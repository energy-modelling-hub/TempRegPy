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188CBB19-C266-421E-823A-99298D396A8A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7" l="1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11" i="7"/>
  <c r="AA11" i="7" a="1"/>
  <c r="AA11" i="7" s="1"/>
  <c r="H82" i="1"/>
  <c r="H81" i="1"/>
  <c r="H80" i="1"/>
  <c r="H79" i="1"/>
  <c r="H78" i="1"/>
  <c r="H77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5" i="1"/>
  <c r="H64" i="1"/>
  <c r="H60" i="1"/>
  <c r="H49" i="1"/>
  <c r="H43" i="1"/>
  <c r="H34" i="1"/>
  <c r="G26" i="1"/>
  <c r="H26" i="1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9" i="7" l="1"/>
  <c r="G3" i="7" a="1"/>
  <c r="G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<sst xmlns="http://schemas.openxmlformats.org/spreadsheetml/2006/main" count="468" uniqueCount="263">
  <si>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</si>
  <si>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</si>
  <si>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</si>
  <si>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</si>
  <si>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</si>
  <si>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</si>
  <si>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</si>
  <si>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</si>
  <si>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</si>
  <si>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</si>
  <si>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</si>
  <si>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</si>
  <si>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</si>
  <si>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</si>
  <si>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</si>
  <si>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</si>
  <si>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</si>
  <si>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</si>
  <si>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</si>
  <si>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</si>
  <si>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</si>
  <si>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</si>
  <si>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</si>
  <si>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</si>
  <si>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</si>
  <si>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</si>
  <si>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</si>
  <si>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</si>
  <si>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</si>
  <si>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</si>
  <si>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</si>
  <si>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</si>
  <si>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</si>
  <si>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</si>
  <si>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</si>
  <si>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</si>
  <si>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</si>
  <si>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</si>
  <si>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</si>
  <si>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</si>
  <si>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</si>
  <si>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</si>
  <si>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</si>
  <si>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</si>
  <si>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</si>
  <si>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</si>
  <si>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</si>
  <si>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</si>
  <si>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</si>
  <si>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</si>
  <si>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</si>
  <si>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</si>
  <si>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</si>
  <si>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</si>
  <si>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</si>
  <si>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</si>
  <si>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</si>
  <si>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</si>
  <si>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</si>
  <si>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</si>
  <si>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</si>
  <si>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</si>
  <si>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</si>
  <si>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</si>
  <si>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</si>
  <si>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</si>
  <si>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</si>
  <si>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</si>
  <si>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</si>
  <si>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</si>
  <si>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</si>
  <si>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</si>
  <si>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</si>
  <si>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</si>
  <si>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</si>
  <si>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</si>
  <si>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</si>
  <si>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</si>
  <si>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</si>
  <si>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</si>
  <si>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</si>
  <si>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</si>
  <si>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</si>
  <si>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</si>
  <si>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</si>
  <si>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</si>
  <si>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</si>
  <si>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</si>
  <si>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</si>
  <si>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</si>
  <si>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</si>
  <si>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</si>
  <si>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</si>
  <si>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</si>
  <si>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</si>
  <si>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</si>
  <si>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</si>
  <si>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</si>
  <si>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</si>
  <si>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</si>
  <si>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</si>
  <si>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</si>
  <si>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</si>
  <si>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</si>
  <si>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</si>
  <si>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</si>
  <si>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</si>
  <si>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</si>
  <si>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</si>
  <si>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</si>
  <si>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</si>
  <si>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</si>
  <si>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</si>
  <si>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</si>
  <si>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</si>
  <si>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</si>
  <si>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</si>
  <si>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</si>
  <si>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</si>
  <si>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</si>
  <si>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</si>
  <si>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</si>
  <si>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</si>
  <si>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</si>
  <si>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</si>
  <si>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</si>
  <si>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</si>
  <si>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</si>
  <si>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</si>
  <si>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</si>
  <si>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</si>
  <si>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</si>
  <si>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</si>
  <si>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</si>
  <si>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</si>
  <si>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</si>
  <si>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</si>
  <si>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</si>
  <si>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</si>
  <si>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</si>
  <si>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</si>
  <si>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</si>
  <si>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</si>
  <si>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</si>
  <si>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</si>
  <si>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</si>
  <si>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</si>
  <si>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</si>
  <si>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</si>
  <si>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</si>
  <si>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</si>
  <si>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</si>
  <si>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</si>
  <si>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</si>
  <si>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</si>
  <si>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</si>
  <si>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</si>
  <si>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</si>
  <si>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</si>
  <si>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</si>
  <si>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</si>
  <si>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</si>
  <si>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</si>
  <si>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</si>
  <si>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</si>
  <si>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</si>
  <si>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</si>
  <si>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</si>
  <si>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</si>
  <si>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</si>
  <si>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</si>
  <si>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</si>
  <si>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</si>
  <si>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</si>
  <si>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</si>
  <si>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</si>
  <si>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</si>
  <si>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</si>
  <si>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</si>
  <si>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</si>
  <si>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</si>
  <si>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</si>
  <si>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</si>
  <si>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</si>
  <si>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</si>
  <si>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</si>
  <si>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</si>
  <si>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</si>
  <si>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</si>
  <si>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</si>
  <si>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</si>
  <si>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</si>
  <si>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</si>
  <si>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</si>
  <si>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</si>
  <si>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</si>
  <si>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</si>
  <si>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</si>
  <si>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</si>
  <si>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</si>
  <si>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</si>
  <si>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</si>
  <si>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</si>
  <si>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</si>
  <si>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</si>
  <si>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</si>
  <si>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</si>
  <si>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</si>
  <si>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</si>
  <si>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</si>
  <si>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</si>
  <si>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</si>
  <si>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</si>
  <si>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</si>
  <si>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</si>
  <si>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</si>
  <si>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</si>
  <si>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</si>
  <si>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</si>
  <si>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</si>
  <si>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</si>
  <si>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</si>
  <si>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</si>
  <si>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</si>
  <si>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</si>
  <si>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</si>
  <si>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</si>
  <si>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</si>
  <si>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</si>
  <si>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</si>
  <si>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</si>
  <si>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</si>
  <si>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</si>
  <si>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</si>
  <si>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</si>
  <si>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</si>
  <si>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</si>
  <si>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</si>
  <si>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</si>
  <si>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</si>
  <si>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</si>
  <si>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</si>
  <si>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</si>
  <si>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</si>
  <si>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</si>
  <si>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</si>
  <si>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</si>
  <si>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</si>
  <si>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</si>
  <si>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</si>
  <si>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</si>
  <si>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</si>
  <si>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</si>
  <si>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</si>
  <si>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</si>
  <si>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</si>
  <si>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</si>
  <si>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</si>
  <si>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</si>
  <si>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</si>
  <si>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v0.1.1</t>
  </si>
  <si>
    <t>Bypass release number of total ramp up and down cycles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</si>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</sst>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5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5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18"/>
    <tableColumn id="50" xr3:uid="{AA0C2BD9-7C93-4912-AA6D-8BA6A79CA8FB}" uniqueName="50" name="q_bp_ramp_up" queryTableFieldId="115" dataDxfId="17"/>
    <tableColumn id="51" xr3:uid="{89936BF6-E129-46E2-9E73-958D5ED6F4D5}" uniqueName="51" name="q_bp_rr_down_change" queryTableFieldId="116" dataDxfId="16"/>
    <tableColumn id="52" xr3:uid="{FAF80359-7339-43D4-9355-3E02E8F66C38}" uniqueName="52" name="q_bp_rr_up_change" queryTableFieldId="117" dataDxfId="15"/>
    <tableColumn id="53" xr3:uid="{61240F60-100C-4FCA-9359-60F0C4915F0E}" uniqueName="53" name="q_gg" queryTableFieldId="118" dataDxfId="14"/>
    <tableColumn id="54" xr3:uid="{BC98FC23-3CBF-4558-9152-ACBAD17F0133}" uniqueName="54" name="q_gg_ramp_down" queryTableFieldId="119" dataDxfId="13"/>
    <tableColumn id="55" xr3:uid="{EE83055B-9623-4CFA-92D9-047365FEA812}" uniqueName="55" name="q_gg_ramp_up" queryTableFieldId="120" dataDxfId="12"/>
    <tableColumn id="56" xr3:uid="{5F51997C-B2BF-49B5-B54B-9E77CFE8C400}" uniqueName="56" name="q_in_flow" queryTableFieldId="121" dataDxfId="11"/>
    <tableColumn id="57" xr3:uid="{B4DF2E48-3152-4EC3-B269-A02AD715AC60}" uniqueName="57" name="q_out_flow" queryTableFieldId="122" dataDxfId="10"/>
    <tableColumn id="58" xr3:uid="{31AD7833-F7E1-460D-A8C3-77C023D0A7C9}" uniqueName="58" name="q_sink" queryTableFieldId="123" dataDxfId="9"/>
    <tableColumn id="59" xr3:uid="{373C05EE-8587-4F41-B806-13750CE647E5}" uniqueName="59" name="q_source" queryTableFieldId="124" dataDxfId="8"/>
    <tableColumn id="60" xr3:uid="{C22A4875-A0A9-4201-90AE-F9A4F1D7E443}" uniqueName="60" name="q_tot" queryTableFieldId="125" dataDxfId="7"/>
    <tableColumn id="61" xr3:uid="{77406859-CEEA-42A8-8FF9-058C58D695C1}" uniqueName="61" name="q_tot_ramp_down" queryTableFieldId="126" dataDxfId="6"/>
    <tableColumn id="62" xr3:uid="{54B5D12C-77CE-49A0-932E-1C259957F885}" uniqueName="62" name="q_tot_ramp_up" queryTableFieldId="127" dataDxfId="5"/>
    <tableColumn id="63" xr3:uid="{61B5BD0F-C1C3-42F2-875E-F3BC219A3291}" uniqueName="63" name="q_tur" queryTableFieldId="128" dataDxfId="4"/>
    <tableColumn id="64" xr3:uid="{767C8A97-62FF-4D21-AAE1-7F07D9E71630}" uniqueName="64" name="q_tur_ramp_down" queryTableFieldId="129" dataDxfId="3"/>
    <tableColumn id="65" xr3:uid="{A5AA19B3-EEF9-4122-9721-C5D9B0ABD663}" uniqueName="65" name="q_tur_ramp_up" queryTableFieldId="130" dataDxfId="2"/>
    <tableColumn id="66" xr3:uid="{FC54F758-AE2E-478C-A250-0C2ACA2A0E43}" uniqueName="66" name="T_plant" queryTableFieldId="13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4"/>
  <sheetViews>
    <sheetView tabSelected="1" topLeftCell="A46" workbookViewId="0">
      <selection activeCell="G37" sqref="G37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2" t="s">
        <v>32</v>
      </c>
      <c r="F1" s="12" t="s">
        <v>151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127</v>
      </c>
      <c r="E3" s="2" t="s">
        <v>128</v>
      </c>
      <c r="F3" s="2"/>
      <c r="G3" s="14" t="s">
        <v>260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129</v>
      </c>
      <c r="AE4" s="15" t="b">
        <v>1</v>
      </c>
    </row>
    <row r="5" spans="4:31" ht="15.75" customHeight="1">
      <c r="G5" s="14"/>
      <c r="H5" s="21"/>
      <c r="I5" s="22"/>
      <c r="AD5" s="15" t="s">
        <v>150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115</v>
      </c>
    </row>
    <row r="8" spans="4:31" ht="15.75" customHeight="1">
      <c r="D8" t="s">
        <v>108</v>
      </c>
      <c r="E8" s="2" t="s">
        <v>107</v>
      </c>
      <c r="F8" s="2"/>
      <c r="G8" s="4" t="s">
        <v>262</v>
      </c>
    </row>
    <row r="9" spans="4:31" ht="15.75" customHeight="1">
      <c r="D9" t="s">
        <v>116</v>
      </c>
      <c r="E9" s="2" t="s">
        <v>117</v>
      </c>
      <c r="F9" s="2"/>
      <c r="G9" s="4" t="b">
        <v>1</v>
      </c>
    </row>
    <row r="10" spans="4:31" ht="15.75" customHeight="1">
      <c r="D10" t="s">
        <v>141</v>
      </c>
      <c r="E10" s="2" t="s">
        <v>142</v>
      </c>
      <c r="F10" s="2"/>
      <c r="G10" s="4" t="s">
        <v>150</v>
      </c>
    </row>
    <row r="12" spans="4:31" ht="20.25" thickBot="1">
      <c r="D12" s="1" t="s">
        <v>158</v>
      </c>
      <c r="E12" s="7" t="s">
        <v>32</v>
      </c>
      <c r="F12" s="3" t="s">
        <v>151</v>
      </c>
      <c r="G12" s="3"/>
      <c r="H12" s="3" t="s">
        <v>162</v>
      </c>
      <c r="I12" s="3" t="s">
        <v>163</v>
      </c>
      <c r="J12" s="3" t="s">
        <v>164</v>
      </c>
      <c r="K12" s="3" t="s">
        <v>165</v>
      </c>
      <c r="L12" s="3" t="s">
        <v>166</v>
      </c>
      <c r="M12" s="3" t="s">
        <v>167</v>
      </c>
      <c r="N12" s="3" t="s">
        <v>168</v>
      </c>
      <c r="O12" s="3" t="s">
        <v>169</v>
      </c>
      <c r="P12" s="3" t="s">
        <v>170</v>
      </c>
      <c r="Q12" s="3" t="s">
        <v>171</v>
      </c>
      <c r="R12" s="3" t="s">
        <v>172</v>
      </c>
      <c r="S12" s="3" t="s">
        <v>173</v>
      </c>
      <c r="T12" s="3" t="s">
        <v>174</v>
      </c>
      <c r="U12" s="3" t="s">
        <v>175</v>
      </c>
      <c r="V12" s="3" t="s">
        <v>176</v>
      </c>
      <c r="W12" s="3" t="s">
        <v>177</v>
      </c>
      <c r="X12" s="3" t="s">
        <v>178</v>
      </c>
      <c r="Y12" s="3" t="s">
        <v>179</v>
      </c>
      <c r="Z12" s="3" t="s">
        <v>180</v>
      </c>
      <c r="AA12" s="3" t="s">
        <v>181</v>
      </c>
      <c r="AB12" s="3" t="s">
        <v>182</v>
      </c>
      <c r="AC12" s="3" t="s">
        <v>183</v>
      </c>
      <c r="AD12" s="3" t="s">
        <v>184</v>
      </c>
      <c r="AE12" s="3" t="s">
        <v>185</v>
      </c>
    </row>
    <row r="13" spans="4:31" ht="15.75" thickTop="1">
      <c r="D13" t="s">
        <v>206</v>
      </c>
      <c r="E13" s="2" t="s">
        <v>156</v>
      </c>
      <c r="H13" s="8" t="s">
        <v>152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207</v>
      </c>
      <c r="E14" s="2" t="s">
        <v>157</v>
      </c>
      <c r="H14" s="8" t="s">
        <v>154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208</v>
      </c>
      <c r="E15" s="2" t="s">
        <v>159</v>
      </c>
      <c r="H15" s="8" t="s">
        <v>153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209</v>
      </c>
      <c r="E16" s="2" t="s">
        <v>189</v>
      </c>
      <c r="H16" s="8" t="s">
        <v>155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210</v>
      </c>
      <c r="E17" s="2" t="s">
        <v>160</v>
      </c>
      <c r="H17" s="8" t="s">
        <v>161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213</v>
      </c>
      <c r="E18" s="2" t="s">
        <v>214</v>
      </c>
      <c r="H18" s="8" t="s">
        <v>152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211</v>
      </c>
      <c r="E19" s="2" t="s">
        <v>212</v>
      </c>
      <c r="H19" s="8" t="s">
        <v>154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53</v>
      </c>
      <c r="E21" s="7" t="s">
        <v>32</v>
      </c>
      <c r="F21" s="3" t="s">
        <v>151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215</v>
      </c>
      <c r="E22" s="2"/>
      <c r="F22" s="2"/>
      <c r="G22" s="4" t="b">
        <v>1</v>
      </c>
    </row>
    <row r="23" spans="4:31">
      <c r="D23" s="17" t="s">
        <v>216</v>
      </c>
      <c r="E23" s="2" t="s">
        <v>219</v>
      </c>
      <c r="F23" s="8" t="s">
        <v>155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217</v>
      </c>
      <c r="E24" s="2" t="s">
        <v>220</v>
      </c>
      <c r="F24" s="8" t="s">
        <v>155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 ht="15.75" customHeight="1" thickBot="1">
      <c r="D25" s="18" t="s">
        <v>218</v>
      </c>
      <c r="E25" s="2"/>
      <c r="F25" s="2"/>
    </row>
    <row r="26" spans="4:31">
      <c r="D26" s="17" t="s">
        <v>130</v>
      </c>
      <c r="E26" s="2" t="s">
        <v>59</v>
      </c>
      <c r="F26" s="8" t="s">
        <v>152</v>
      </c>
      <c r="G26" s="8">
        <f>235003/12.1</f>
        <v>19421.735537190085</v>
      </c>
      <c r="H26" s="26" t="str">
        <f>IF(G26&gt;SUM(H48:AE48)/12.1, "The total release of " &amp;G26&amp; " is higher than sum of maximum releases " &amp; SUM(H48:AE48)/12.1,"")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152</v>
      </c>
      <c r="G28" s="8">
        <v>8000</v>
      </c>
    </row>
    <row r="29" spans="4:31" ht="15.75" customHeight="1" thickBot="1">
      <c r="D29" s="18" t="s">
        <v>144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152</v>
      </c>
      <c r="G30" s="8">
        <v>15000</v>
      </c>
    </row>
    <row r="31" spans="4:31">
      <c r="D31" s="17" t="s">
        <v>68</v>
      </c>
      <c r="E31" s="2" t="s">
        <v>63</v>
      </c>
      <c r="F31" s="8" t="s">
        <v>152</v>
      </c>
      <c r="G31" s="8">
        <v>15000</v>
      </c>
    </row>
    <row r="32" spans="4:31">
      <c r="D32" s="17" t="s">
        <v>80</v>
      </c>
      <c r="E32" s="2" t="s">
        <v>74</v>
      </c>
      <c r="F32" s="8" t="s">
        <v>152</v>
      </c>
      <c r="G32" s="2"/>
      <c r="H32" s="8">
        <v>600</v>
      </c>
      <c r="I32" s="8">
        <v>600</v>
      </c>
      <c r="J32" s="8">
        <v>600</v>
      </c>
      <c r="K32" s="8">
        <v>600</v>
      </c>
      <c r="L32" s="8">
        <v>600</v>
      </c>
      <c r="M32" s="8">
        <v>600</v>
      </c>
      <c r="N32" s="8">
        <v>600</v>
      </c>
      <c r="O32" s="8">
        <v>600</v>
      </c>
      <c r="P32" s="8">
        <v>600</v>
      </c>
      <c r="Q32" s="8">
        <v>600</v>
      </c>
      <c r="R32" s="8">
        <v>600</v>
      </c>
      <c r="S32" s="8">
        <v>600</v>
      </c>
      <c r="T32" s="8">
        <v>600</v>
      </c>
      <c r="U32" s="8">
        <v>600</v>
      </c>
      <c r="V32" s="8">
        <v>600</v>
      </c>
      <c r="W32" s="8">
        <v>5000</v>
      </c>
      <c r="X32" s="8">
        <v>600</v>
      </c>
      <c r="Y32" s="8">
        <v>600</v>
      </c>
      <c r="Z32" s="8">
        <v>600</v>
      </c>
      <c r="AA32" s="8">
        <v>600</v>
      </c>
      <c r="AB32" s="8">
        <v>600</v>
      </c>
      <c r="AC32" s="8">
        <v>600</v>
      </c>
      <c r="AD32" s="8">
        <v>600</v>
      </c>
      <c r="AE32" s="8">
        <v>600</v>
      </c>
    </row>
    <row r="33" spans="4:31">
      <c r="D33" s="17" t="s">
        <v>81</v>
      </c>
      <c r="E33" s="2" t="s">
        <v>75</v>
      </c>
      <c r="F33" s="8" t="s">
        <v>152</v>
      </c>
      <c r="G33" s="2"/>
      <c r="H33" s="8">
        <v>15000</v>
      </c>
      <c r="I33" s="8">
        <v>15000</v>
      </c>
      <c r="J33" s="8">
        <v>15000</v>
      </c>
      <c r="K33" s="8">
        <v>15000</v>
      </c>
      <c r="L33" s="8">
        <v>15000</v>
      </c>
      <c r="M33" s="8">
        <v>15000</v>
      </c>
      <c r="N33" s="8">
        <v>15000</v>
      </c>
      <c r="O33" s="8">
        <v>10000</v>
      </c>
      <c r="P33" s="8">
        <v>15000</v>
      </c>
      <c r="Q33" s="8">
        <v>15000</v>
      </c>
      <c r="R33" s="8">
        <v>15000</v>
      </c>
      <c r="S33" s="8">
        <v>15000</v>
      </c>
      <c r="T33" s="8">
        <v>15000</v>
      </c>
      <c r="U33" s="8">
        <v>15000</v>
      </c>
      <c r="V33" s="8">
        <v>15000</v>
      </c>
      <c r="W33" s="8">
        <v>15000</v>
      </c>
      <c r="X33" s="8">
        <v>15000</v>
      </c>
      <c r="Y33" s="8">
        <v>15000</v>
      </c>
      <c r="Z33" s="8">
        <v>15000</v>
      </c>
      <c r="AA33" s="8">
        <v>15000</v>
      </c>
      <c r="AB33" s="8">
        <v>15000</v>
      </c>
      <c r="AC33" s="8">
        <v>15000</v>
      </c>
      <c r="AD33" s="8">
        <v>15000</v>
      </c>
      <c r="AE33" s="8">
        <v>15000</v>
      </c>
    </row>
    <row r="34" spans="4:31" ht="15.75" customHeight="1">
      <c r="D34" s="39" t="s">
        <v>103</v>
      </c>
      <c r="E34" s="2" t="s">
        <v>99</v>
      </c>
      <c r="F34" s="8" t="s">
        <v>152</v>
      </c>
      <c r="G34" s="4" t="b">
        <v>1</v>
      </c>
      <c r="H34" s="26" t="str">
        <f>IF(H63=AE63,"","Might cause infeasibility because Temperature delta between Glen Canyon and RM61 at H01 and H24 are not the same")</f>
        <v/>
      </c>
    </row>
    <row r="35" spans="4:31" ht="15.75" customHeight="1">
      <c r="D35" s="39" t="s">
        <v>148</v>
      </c>
      <c r="E35" s="2" t="s">
        <v>146</v>
      </c>
      <c r="F35" s="8" t="s">
        <v>152</v>
      </c>
      <c r="G35" s="8">
        <v>11</v>
      </c>
      <c r="H35" s="26"/>
    </row>
    <row r="36" spans="4:31" ht="15.75" customHeight="1">
      <c r="D36" s="39" t="s">
        <v>149</v>
      </c>
      <c r="E36" s="2" t="s">
        <v>147</v>
      </c>
      <c r="F36" s="8" t="s">
        <v>152</v>
      </c>
      <c r="G36" s="8">
        <v>11</v>
      </c>
      <c r="H36" s="38"/>
    </row>
    <row r="37" spans="4:31" ht="15.75" customHeight="1" thickBot="1">
      <c r="D37" s="37" t="s">
        <v>261</v>
      </c>
      <c r="E37" s="2" t="s">
        <v>221</v>
      </c>
      <c r="F37" s="8" t="s">
        <v>152</v>
      </c>
      <c r="G37" s="8">
        <v>12</v>
      </c>
      <c r="H37" s="38"/>
    </row>
    <row r="38" spans="4:31" ht="15.75" customHeight="1" thickBot="1">
      <c r="D38" s="18" t="s">
        <v>145</v>
      </c>
      <c r="E38" s="2" t="s">
        <v>94</v>
      </c>
      <c r="F38" s="2"/>
      <c r="G38" s="4" t="b">
        <v>1</v>
      </c>
    </row>
    <row r="39" spans="4:31">
      <c r="D39" s="17" t="s">
        <v>71</v>
      </c>
      <c r="E39" s="2" t="s">
        <v>64</v>
      </c>
      <c r="F39" s="8" t="s">
        <v>152</v>
      </c>
      <c r="G39" s="8">
        <v>1000</v>
      </c>
    </row>
    <row r="40" spans="4:31">
      <c r="D40" s="17" t="s">
        <v>70</v>
      </c>
      <c r="E40" s="2" t="s">
        <v>65</v>
      </c>
      <c r="F40" s="8" t="s">
        <v>152</v>
      </c>
      <c r="G40" s="8">
        <v>500</v>
      </c>
    </row>
    <row r="41" spans="4:31">
      <c r="D41" s="17" t="s">
        <v>82</v>
      </c>
      <c r="E41" s="2" t="s">
        <v>76</v>
      </c>
      <c r="F41" s="8" t="s">
        <v>152</v>
      </c>
      <c r="G41" s="2"/>
      <c r="H41" s="8">
        <v>2400</v>
      </c>
      <c r="I41" s="8">
        <v>2400</v>
      </c>
      <c r="J41" s="8">
        <v>2400</v>
      </c>
      <c r="K41" s="8">
        <v>2400</v>
      </c>
      <c r="L41" s="8">
        <v>2400</v>
      </c>
      <c r="M41" s="8">
        <v>2400</v>
      </c>
      <c r="N41" s="8">
        <v>2400</v>
      </c>
      <c r="O41" s="8">
        <v>2400</v>
      </c>
      <c r="P41" s="8">
        <v>2400</v>
      </c>
      <c r="Q41" s="8">
        <v>2400</v>
      </c>
      <c r="R41" s="8">
        <v>2400</v>
      </c>
      <c r="S41" s="8">
        <v>2400</v>
      </c>
      <c r="T41" s="8">
        <v>2400</v>
      </c>
      <c r="U41" s="8">
        <v>2400</v>
      </c>
      <c r="V41" s="8">
        <v>2400</v>
      </c>
      <c r="W41" s="8">
        <v>2400</v>
      </c>
      <c r="X41" s="8">
        <v>2400</v>
      </c>
      <c r="Y41" s="8">
        <v>2400</v>
      </c>
      <c r="Z41" s="8">
        <v>2400</v>
      </c>
      <c r="AA41" s="8">
        <v>2400</v>
      </c>
      <c r="AB41" s="8">
        <v>2400</v>
      </c>
      <c r="AC41" s="8">
        <v>2400</v>
      </c>
      <c r="AD41" s="8">
        <v>2400</v>
      </c>
      <c r="AE41" s="8">
        <v>2400</v>
      </c>
    </row>
    <row r="42" spans="4:31">
      <c r="D42" s="17" t="s">
        <v>83</v>
      </c>
      <c r="E42" s="2" t="s">
        <v>77</v>
      </c>
      <c r="F42" s="8" t="s">
        <v>152</v>
      </c>
      <c r="G42" s="2"/>
      <c r="H42" s="8">
        <v>25000</v>
      </c>
      <c r="I42" s="8">
        <v>25000</v>
      </c>
      <c r="J42" s="8">
        <v>25000</v>
      </c>
      <c r="K42" s="8">
        <v>25000</v>
      </c>
      <c r="L42" s="8">
        <v>25000</v>
      </c>
      <c r="M42" s="8">
        <v>25000</v>
      </c>
      <c r="N42" s="8">
        <v>25000</v>
      </c>
      <c r="O42" s="8">
        <v>25000</v>
      </c>
      <c r="P42" s="8">
        <v>25000</v>
      </c>
      <c r="Q42" s="8">
        <v>25000</v>
      </c>
      <c r="R42" s="8">
        <v>25000</v>
      </c>
      <c r="S42" s="8">
        <v>25000</v>
      </c>
      <c r="T42" s="8">
        <v>25000</v>
      </c>
      <c r="U42" s="8">
        <v>25000</v>
      </c>
      <c r="V42" s="8">
        <v>25000</v>
      </c>
      <c r="W42" s="8">
        <v>25000</v>
      </c>
      <c r="X42" s="8">
        <v>25000</v>
      </c>
      <c r="Y42" s="8">
        <v>25000</v>
      </c>
      <c r="Z42" s="8">
        <v>25000</v>
      </c>
      <c r="AA42" s="8">
        <v>25000</v>
      </c>
      <c r="AB42" s="8">
        <v>25000</v>
      </c>
      <c r="AC42" s="8">
        <v>25000</v>
      </c>
      <c r="AD42" s="8">
        <v>25000</v>
      </c>
      <c r="AE42" s="8">
        <v>25000</v>
      </c>
    </row>
    <row r="43" spans="4:31" ht="15.75" customHeight="1">
      <c r="D43" s="39" t="s">
        <v>104</v>
      </c>
      <c r="E43" s="2" t="s">
        <v>100</v>
      </c>
      <c r="F43" s="8" t="s">
        <v>152</v>
      </c>
      <c r="G43" s="4" t="b">
        <v>1</v>
      </c>
      <c r="H43" s="26" t="str">
        <f>IF(H63=AE63,"","Might cause infeasibility because Temperature delta between Glen Canyon and RM61 at H01 and H24 are not the same")</f>
        <v/>
      </c>
    </row>
    <row r="44" spans="4:31" ht="15.75" customHeight="1" thickBot="1">
      <c r="D44" s="18" t="s">
        <v>143</v>
      </c>
      <c r="E44" s="2" t="s">
        <v>96</v>
      </c>
      <c r="F44" s="2"/>
      <c r="G44" s="4" t="b">
        <v>1</v>
      </c>
    </row>
    <row r="45" spans="4:31">
      <c r="D45" s="17" t="s">
        <v>73</v>
      </c>
      <c r="E45" s="2" t="s">
        <v>66</v>
      </c>
      <c r="F45" s="8" t="s">
        <v>152</v>
      </c>
      <c r="G45" s="8">
        <v>4000</v>
      </c>
    </row>
    <row r="46" spans="4:31">
      <c r="D46" s="17" t="s">
        <v>72</v>
      </c>
      <c r="E46" s="2" t="s">
        <v>67</v>
      </c>
      <c r="F46" s="8" t="s">
        <v>152</v>
      </c>
      <c r="G46" s="8">
        <v>2500</v>
      </c>
    </row>
    <row r="47" spans="4:31">
      <c r="D47" s="17" t="s">
        <v>84</v>
      </c>
      <c r="E47" s="2" t="s">
        <v>78</v>
      </c>
      <c r="F47" s="8" t="s">
        <v>152</v>
      </c>
      <c r="G47" s="2"/>
      <c r="H47" s="8">
        <v>7000</v>
      </c>
      <c r="I47" s="8">
        <v>7000</v>
      </c>
      <c r="J47" s="8">
        <v>7000</v>
      </c>
      <c r="K47" s="8">
        <v>7000</v>
      </c>
      <c r="L47" s="8">
        <v>7000</v>
      </c>
      <c r="M47" s="8">
        <v>7000</v>
      </c>
      <c r="N47" s="8">
        <v>7000</v>
      </c>
      <c r="O47" s="8">
        <v>7000</v>
      </c>
      <c r="P47" s="8">
        <v>7000</v>
      </c>
      <c r="Q47" s="8">
        <v>7000</v>
      </c>
      <c r="R47" s="8">
        <v>7000</v>
      </c>
      <c r="S47" s="8">
        <v>7000</v>
      </c>
      <c r="T47" s="8">
        <v>7000</v>
      </c>
      <c r="U47" s="8">
        <v>7000</v>
      </c>
      <c r="V47" s="8">
        <v>7000</v>
      </c>
      <c r="W47" s="8">
        <v>7000</v>
      </c>
      <c r="X47" s="8">
        <v>7000</v>
      </c>
      <c r="Y47" s="8">
        <v>7000</v>
      </c>
      <c r="Z47" s="8">
        <v>7000</v>
      </c>
      <c r="AA47" s="8">
        <v>7000</v>
      </c>
      <c r="AB47" s="8">
        <v>7000</v>
      </c>
      <c r="AC47" s="8">
        <v>7000</v>
      </c>
      <c r="AD47" s="8">
        <v>7000</v>
      </c>
      <c r="AE47" s="8">
        <v>7000</v>
      </c>
    </row>
    <row r="48" spans="4:31">
      <c r="D48" s="17" t="s">
        <v>85</v>
      </c>
      <c r="E48" s="2" t="s">
        <v>79</v>
      </c>
      <c r="F48" s="8" t="s">
        <v>152</v>
      </c>
      <c r="G48" s="2"/>
      <c r="H48" s="8">
        <v>12100</v>
      </c>
      <c r="I48" s="8">
        <v>12100</v>
      </c>
      <c r="J48" s="8">
        <v>12100</v>
      </c>
      <c r="K48" s="8">
        <v>12100</v>
      </c>
      <c r="L48" s="8">
        <v>12100</v>
      </c>
      <c r="M48" s="8">
        <v>12100</v>
      </c>
      <c r="N48" s="8">
        <v>12100</v>
      </c>
      <c r="O48" s="8">
        <v>12100</v>
      </c>
      <c r="P48" s="8">
        <v>12100</v>
      </c>
      <c r="Q48" s="8">
        <v>12100</v>
      </c>
      <c r="R48" s="8">
        <v>12100</v>
      </c>
      <c r="S48" s="8">
        <v>12100</v>
      </c>
      <c r="T48" s="8">
        <v>12100</v>
      </c>
      <c r="U48" s="8">
        <v>12100</v>
      </c>
      <c r="V48" s="8">
        <v>12100</v>
      </c>
      <c r="W48" s="8">
        <v>12100</v>
      </c>
      <c r="X48" s="8">
        <v>12100</v>
      </c>
      <c r="Y48" s="8">
        <v>12100</v>
      </c>
      <c r="Z48" s="8">
        <v>12100</v>
      </c>
      <c r="AA48" s="8">
        <v>12100</v>
      </c>
      <c r="AB48" s="8">
        <v>12100</v>
      </c>
      <c r="AC48" s="8">
        <v>12100</v>
      </c>
      <c r="AD48" s="8">
        <v>12100</v>
      </c>
      <c r="AE48" s="8">
        <v>12100</v>
      </c>
    </row>
    <row r="49" spans="4:31" ht="15.75" customHeight="1">
      <c r="D49" s="39" t="s">
        <v>105</v>
      </c>
      <c r="E49" s="2" t="s">
        <v>101</v>
      </c>
      <c r="F49" s="8" t="s">
        <v>152</v>
      </c>
      <c r="G49" s="4" t="b">
        <v>1</v>
      </c>
      <c r="H49" s="26" t="str">
        <f>IF(H63=AE63,"","Might cause infeasibility because Temperature delta between Glen Canyon and RM61 at H01 and H24 are not the same")</f>
        <v/>
      </c>
    </row>
    <row r="50" spans="4:31" ht="15.75" customHeight="1" thickBot="1">
      <c r="D50" s="18" t="s">
        <v>190</v>
      </c>
      <c r="E50" s="2" t="s">
        <v>201</v>
      </c>
      <c r="F50" s="2"/>
      <c r="G50" s="4" t="b">
        <v>0</v>
      </c>
    </row>
    <row r="51" spans="4:31">
      <c r="D51" s="17" t="s">
        <v>191</v>
      </c>
      <c r="E51" s="2" t="s">
        <v>192</v>
      </c>
      <c r="F51" s="8" t="s">
        <v>154</v>
      </c>
      <c r="G51" s="8">
        <v>15000</v>
      </c>
    </row>
    <row r="52" spans="4:31">
      <c r="D52" s="17" t="s">
        <v>193</v>
      </c>
      <c r="E52" s="2" t="s">
        <v>194</v>
      </c>
      <c r="F52" s="8" t="s">
        <v>154</v>
      </c>
      <c r="G52" s="8">
        <v>15000</v>
      </c>
    </row>
    <row r="53" spans="4:31">
      <c r="D53" s="17" t="s">
        <v>195</v>
      </c>
      <c r="E53" s="2" t="s">
        <v>196</v>
      </c>
      <c r="F53" s="8" t="s">
        <v>154</v>
      </c>
      <c r="G53" s="2"/>
      <c r="H53" s="8">
        <v>6900</v>
      </c>
      <c r="I53" s="8">
        <v>6900</v>
      </c>
      <c r="J53" s="8">
        <v>6900</v>
      </c>
      <c r="K53" s="8">
        <v>6900</v>
      </c>
      <c r="L53" s="8">
        <v>6900</v>
      </c>
      <c r="M53" s="8">
        <v>6900</v>
      </c>
      <c r="N53" s="8">
        <v>6900</v>
      </c>
      <c r="O53" s="8">
        <v>6900</v>
      </c>
      <c r="P53" s="8">
        <v>6900</v>
      </c>
      <c r="Q53" s="8">
        <v>6900</v>
      </c>
      <c r="R53" s="8">
        <v>6900</v>
      </c>
      <c r="S53" s="8">
        <v>6900</v>
      </c>
      <c r="T53" s="8">
        <v>6900</v>
      </c>
      <c r="U53" s="8">
        <v>6900</v>
      </c>
      <c r="V53" s="8">
        <v>6900</v>
      </c>
      <c r="W53" s="8">
        <v>6900</v>
      </c>
      <c r="X53" s="8">
        <v>6900</v>
      </c>
      <c r="Y53" s="8">
        <v>6900</v>
      </c>
      <c r="Z53" s="8">
        <v>6900</v>
      </c>
      <c r="AA53" s="8">
        <v>6900</v>
      </c>
      <c r="AB53" s="8">
        <v>6900</v>
      </c>
      <c r="AC53" s="8">
        <v>6900</v>
      </c>
      <c r="AD53" s="8">
        <v>6900</v>
      </c>
      <c r="AE53" s="8">
        <v>6900</v>
      </c>
    </row>
    <row r="54" spans="4:31">
      <c r="D54" s="17" t="s">
        <v>197</v>
      </c>
      <c r="E54" s="2" t="s">
        <v>198</v>
      </c>
      <c r="F54" s="8" t="s">
        <v>154</v>
      </c>
      <c r="G54" s="2"/>
      <c r="H54" s="8">
        <v>12100</v>
      </c>
      <c r="I54" s="8">
        <v>12100</v>
      </c>
      <c r="J54" s="8">
        <v>12100</v>
      </c>
      <c r="K54" s="8">
        <v>12100</v>
      </c>
      <c r="L54" s="8">
        <v>12100</v>
      </c>
      <c r="M54" s="8">
        <v>12100</v>
      </c>
      <c r="N54" s="8">
        <v>12100</v>
      </c>
      <c r="O54" s="8">
        <v>12100</v>
      </c>
      <c r="P54" s="8">
        <v>12100</v>
      </c>
      <c r="Q54" s="8">
        <v>12100</v>
      </c>
      <c r="R54" s="8">
        <v>12100</v>
      </c>
      <c r="S54" s="8">
        <v>12100</v>
      </c>
      <c r="T54" s="8">
        <v>12100</v>
      </c>
      <c r="U54" s="8">
        <v>12100</v>
      </c>
      <c r="V54" s="8">
        <v>12100</v>
      </c>
      <c r="W54" s="8">
        <v>12100</v>
      </c>
      <c r="X54" s="8">
        <v>12100</v>
      </c>
      <c r="Y54" s="8">
        <v>12100</v>
      </c>
      <c r="Z54" s="8">
        <v>12100</v>
      </c>
      <c r="AA54" s="8">
        <v>12100</v>
      </c>
      <c r="AB54" s="8">
        <v>12100</v>
      </c>
      <c r="AC54" s="8">
        <v>12100</v>
      </c>
      <c r="AD54" s="8">
        <v>12100</v>
      </c>
      <c r="AE54" s="8">
        <v>12100</v>
      </c>
    </row>
    <row r="55" spans="4:31" ht="15.75" customHeight="1">
      <c r="D55" s="39" t="s">
        <v>199</v>
      </c>
      <c r="E55" s="2" t="s">
        <v>200</v>
      </c>
      <c r="F55" s="8" t="s">
        <v>154</v>
      </c>
      <c r="G55" s="4" t="b">
        <v>0</v>
      </c>
      <c r="H55" s="26"/>
    </row>
    <row r="57" spans="4:31" ht="20.25" thickBot="1">
      <c r="D57" s="1" t="s">
        <v>1</v>
      </c>
      <c r="E57" s="7" t="s">
        <v>32</v>
      </c>
      <c r="F57" s="3" t="s">
        <v>151</v>
      </c>
      <c r="G57" s="7"/>
      <c r="H57" s="3" t="s">
        <v>7</v>
      </c>
      <c r="I57" s="3" t="s">
        <v>8</v>
      </c>
      <c r="J57" s="3" t="s">
        <v>9</v>
      </c>
      <c r="K57" s="3" t="s">
        <v>10</v>
      </c>
      <c r="L57" s="3" t="s">
        <v>11</v>
      </c>
      <c r="M57" s="3" t="s">
        <v>12</v>
      </c>
      <c r="N57" s="3" t="s">
        <v>13</v>
      </c>
      <c r="O57" s="3" t="s">
        <v>14</v>
      </c>
      <c r="P57" s="3" t="s">
        <v>15</v>
      </c>
      <c r="Q57" s="3" t="s">
        <v>16</v>
      </c>
      <c r="R57" s="3" t="s">
        <v>17</v>
      </c>
      <c r="S57" s="3" t="s">
        <v>18</v>
      </c>
      <c r="T57" s="3" t="s">
        <v>19</v>
      </c>
      <c r="U57" s="3" t="s">
        <v>20</v>
      </c>
      <c r="V57" s="3" t="s">
        <v>21</v>
      </c>
      <c r="W57" s="3" t="s">
        <v>22</v>
      </c>
      <c r="X57" s="3" t="s">
        <v>23</v>
      </c>
      <c r="Y57" s="3" t="s">
        <v>24</v>
      </c>
      <c r="Z57" s="3" t="s">
        <v>25</v>
      </c>
      <c r="AA57" s="3" t="s">
        <v>26</v>
      </c>
      <c r="AB57" s="3" t="s">
        <v>27</v>
      </c>
      <c r="AC57" s="3" t="s">
        <v>28</v>
      </c>
      <c r="AD57" s="3" t="s">
        <v>29</v>
      </c>
      <c r="AE57" s="3" t="s">
        <v>30</v>
      </c>
    </row>
    <row r="58" spans="4:31" ht="15.75" thickTop="1">
      <c r="D58" s="17" t="s">
        <v>35</v>
      </c>
      <c r="E58" s="2" t="s">
        <v>5</v>
      </c>
      <c r="F58" s="8" t="s">
        <v>152</v>
      </c>
      <c r="G58" s="2"/>
      <c r="H58" s="9">
        <v>7.5</v>
      </c>
      <c r="I58" s="9">
        <v>7.5</v>
      </c>
      <c r="J58" s="9">
        <v>7.5</v>
      </c>
      <c r="K58" s="9">
        <v>7.5</v>
      </c>
      <c r="L58" s="9">
        <v>7.5</v>
      </c>
      <c r="M58" s="9">
        <v>7.5</v>
      </c>
      <c r="N58" s="9">
        <v>7.5</v>
      </c>
      <c r="O58" s="9">
        <v>7.5</v>
      </c>
      <c r="P58" s="9">
        <v>7.5</v>
      </c>
      <c r="Q58" s="9">
        <v>7.5</v>
      </c>
      <c r="R58" s="9">
        <v>7.5</v>
      </c>
      <c r="S58" s="9">
        <v>7.5</v>
      </c>
      <c r="T58" s="9">
        <v>7.5</v>
      </c>
      <c r="U58" s="9">
        <v>7.5</v>
      </c>
      <c r="V58" s="9">
        <v>7.5</v>
      </c>
      <c r="W58" s="9">
        <v>7.5</v>
      </c>
      <c r="X58" s="9">
        <v>7.5</v>
      </c>
      <c r="Y58" s="9">
        <v>7.5</v>
      </c>
      <c r="Z58" s="9">
        <v>7.5</v>
      </c>
      <c r="AA58" s="9">
        <v>7.5</v>
      </c>
      <c r="AB58" s="9">
        <v>7.5</v>
      </c>
      <c r="AC58" s="9">
        <v>7.5</v>
      </c>
      <c r="AD58" s="9">
        <v>7.5</v>
      </c>
      <c r="AE58" s="9">
        <v>7.5</v>
      </c>
    </row>
    <row r="59" spans="4:31">
      <c r="D59" s="17" t="s">
        <v>36</v>
      </c>
      <c r="E59" s="2" t="s">
        <v>6</v>
      </c>
      <c r="F59" s="8" t="s">
        <v>152</v>
      </c>
      <c r="G59" s="2"/>
      <c r="H59" s="9">
        <v>14</v>
      </c>
      <c r="I59" s="9">
        <v>14</v>
      </c>
      <c r="J59" s="9">
        <v>14</v>
      </c>
      <c r="K59" s="9">
        <v>14</v>
      </c>
      <c r="L59" s="9">
        <v>14</v>
      </c>
      <c r="M59" s="9">
        <v>14</v>
      </c>
      <c r="N59" s="9">
        <v>14</v>
      </c>
      <c r="O59" s="9">
        <v>14</v>
      </c>
      <c r="P59" s="9">
        <v>14</v>
      </c>
      <c r="Q59" s="9">
        <v>14</v>
      </c>
      <c r="R59" s="9">
        <v>14</v>
      </c>
      <c r="S59" s="9">
        <v>14</v>
      </c>
      <c r="T59" s="9">
        <v>14</v>
      </c>
      <c r="U59" s="9">
        <v>14</v>
      </c>
      <c r="V59" s="9">
        <v>14</v>
      </c>
      <c r="W59" s="9">
        <v>14</v>
      </c>
      <c r="X59" s="9">
        <v>14</v>
      </c>
      <c r="Y59" s="9">
        <v>14</v>
      </c>
      <c r="Z59" s="9">
        <v>14</v>
      </c>
      <c r="AA59" s="9">
        <v>14</v>
      </c>
      <c r="AB59" s="9">
        <v>14</v>
      </c>
      <c r="AC59" s="9">
        <v>14</v>
      </c>
      <c r="AD59" s="9">
        <v>14</v>
      </c>
      <c r="AE59" s="9">
        <v>14</v>
      </c>
    </row>
    <row r="60" spans="4:31" ht="15.75" customHeight="1" thickBot="1">
      <c r="D60" s="18" t="s">
        <v>106</v>
      </c>
      <c r="E60" s="2" t="s">
        <v>102</v>
      </c>
      <c r="F60" s="2"/>
      <c r="G60" s="4" t="b">
        <v>1</v>
      </c>
      <c r="H60" s="26" t="str">
        <f>IF(H63=AE63,"","Might cause infeasibility because Temperature delta between Glen Canyon and RM61 at H01 and H24 are not the same")</f>
        <v/>
      </c>
    </row>
    <row r="61" spans="4:31">
      <c r="D61" s="17" t="s">
        <v>33</v>
      </c>
      <c r="E61" s="2" t="s">
        <v>186</v>
      </c>
      <c r="F61" s="8" t="s">
        <v>154</v>
      </c>
      <c r="G61" s="2"/>
      <c r="H61" s="9">
        <v>15.5</v>
      </c>
      <c r="I61" s="9">
        <v>15.5</v>
      </c>
      <c r="J61" s="9">
        <v>15.5</v>
      </c>
      <c r="K61" s="9">
        <v>15.5</v>
      </c>
      <c r="L61" s="9">
        <v>15.5</v>
      </c>
      <c r="M61" s="9">
        <v>18</v>
      </c>
      <c r="N61" s="9">
        <v>18</v>
      </c>
      <c r="O61" s="9">
        <v>15.5</v>
      </c>
      <c r="P61" s="9">
        <v>15.5</v>
      </c>
      <c r="Q61" s="9">
        <v>15.5</v>
      </c>
      <c r="R61" s="9">
        <v>14.1</v>
      </c>
      <c r="S61" s="9">
        <v>15.5</v>
      </c>
      <c r="T61" s="9">
        <v>15.5</v>
      </c>
      <c r="U61" s="9">
        <v>19</v>
      </c>
      <c r="V61" s="9">
        <v>18</v>
      </c>
      <c r="W61" s="9">
        <v>18</v>
      </c>
      <c r="X61" s="9">
        <v>15.5</v>
      </c>
      <c r="Y61" s="9">
        <v>15.5</v>
      </c>
      <c r="Z61" s="9">
        <v>15.5</v>
      </c>
      <c r="AA61" s="9">
        <v>15.5</v>
      </c>
      <c r="AB61" s="9">
        <v>15.5</v>
      </c>
      <c r="AC61" s="9">
        <v>15.5</v>
      </c>
      <c r="AD61" s="9">
        <v>15.5</v>
      </c>
      <c r="AE61" s="9">
        <v>15.5</v>
      </c>
    </row>
    <row r="62" spans="4:31">
      <c r="D62" s="17" t="s">
        <v>34</v>
      </c>
      <c r="E62" s="2" t="s">
        <v>187</v>
      </c>
      <c r="F62" s="8" t="s">
        <v>154</v>
      </c>
      <c r="G62" s="2"/>
      <c r="H62" s="9">
        <v>14</v>
      </c>
      <c r="I62" s="9">
        <v>14</v>
      </c>
      <c r="J62" s="9">
        <v>14</v>
      </c>
      <c r="K62" s="9">
        <v>14</v>
      </c>
      <c r="L62" s="9">
        <v>14</v>
      </c>
      <c r="M62" s="9">
        <v>14</v>
      </c>
      <c r="N62" s="9">
        <v>14</v>
      </c>
      <c r="O62" s="9">
        <v>14</v>
      </c>
      <c r="P62" s="9">
        <v>14</v>
      </c>
      <c r="Q62" s="9">
        <v>14</v>
      </c>
      <c r="R62" s="9">
        <v>14</v>
      </c>
      <c r="S62" s="9">
        <v>14</v>
      </c>
      <c r="T62" s="9">
        <v>14</v>
      </c>
      <c r="U62" s="9">
        <v>14</v>
      </c>
      <c r="V62" s="9">
        <v>14</v>
      </c>
      <c r="W62" s="9">
        <v>14</v>
      </c>
      <c r="X62" s="9">
        <v>14</v>
      </c>
      <c r="Y62" s="9">
        <v>14</v>
      </c>
      <c r="Z62" s="9">
        <v>14</v>
      </c>
      <c r="AA62" s="9">
        <v>14</v>
      </c>
      <c r="AB62" s="9">
        <v>14</v>
      </c>
      <c r="AC62" s="9">
        <v>14</v>
      </c>
      <c r="AD62" s="9">
        <v>14</v>
      </c>
      <c r="AE62" s="9">
        <v>14</v>
      </c>
    </row>
    <row r="63" spans="4:31">
      <c r="D63" s="17" t="s">
        <v>37</v>
      </c>
      <c r="E63" s="2" t="s">
        <v>3</v>
      </c>
      <c r="F63" s="8" t="s">
        <v>155</v>
      </c>
      <c r="G63" s="2"/>
      <c r="H63" s="9">
        <v>2.1</v>
      </c>
      <c r="I63" s="9">
        <v>3.3</v>
      </c>
      <c r="J63" s="9">
        <v>2.2000000000000002</v>
      </c>
      <c r="K63" s="9">
        <v>2.8</v>
      </c>
      <c r="L63" s="9">
        <v>2.8</v>
      </c>
      <c r="M63" s="9">
        <v>2.4</v>
      </c>
      <c r="N63" s="9">
        <v>2.5</v>
      </c>
      <c r="O63" s="9">
        <v>2.4</v>
      </c>
      <c r="P63" s="9">
        <v>2.1</v>
      </c>
      <c r="Q63" s="9">
        <v>2.1</v>
      </c>
      <c r="R63" s="9">
        <v>2</v>
      </c>
      <c r="S63" s="9">
        <v>3.5</v>
      </c>
      <c r="T63" s="9">
        <v>3.4</v>
      </c>
      <c r="U63" s="9">
        <v>2.2999999999999998</v>
      </c>
      <c r="V63" s="9">
        <v>3.5</v>
      </c>
      <c r="W63" s="9">
        <v>2.8</v>
      </c>
      <c r="X63" s="9">
        <v>2.1</v>
      </c>
      <c r="Y63" s="9">
        <v>2.5</v>
      </c>
      <c r="Z63" s="9">
        <v>3.3</v>
      </c>
      <c r="AA63" s="9">
        <v>2.6</v>
      </c>
      <c r="AB63" s="9">
        <v>2.4</v>
      </c>
      <c r="AC63" s="9">
        <v>2.7</v>
      </c>
      <c r="AD63" s="9">
        <v>3.3</v>
      </c>
      <c r="AE63" s="9">
        <v>2.1</v>
      </c>
    </row>
    <row r="64" spans="4:31">
      <c r="D64" s="17" t="s">
        <v>38</v>
      </c>
      <c r="E64" s="2" t="s">
        <v>188</v>
      </c>
      <c r="F64" s="8" t="s">
        <v>154</v>
      </c>
      <c r="G64" s="9">
        <v>15.5</v>
      </c>
      <c r="H64" s="26" t="str">
        <f>"Because of rounding might not be exactly " &amp; G64 &amp; ". Maximum expected deviation in the positive direction is 0.05°C"</f>
        <v>Because of rounding might not be exactly 15.5. Maximum expected deviation in the positive direction is 0.05°C</v>
      </c>
    </row>
    <row r="65" spans="4:31">
      <c r="D65" s="17" t="s">
        <v>39</v>
      </c>
      <c r="E65" s="2" t="s">
        <v>4</v>
      </c>
      <c r="F65" s="8" t="s">
        <v>155</v>
      </c>
      <c r="G65" s="11">
        <f>AVERAGE(H63:AE63)</f>
        <v>2.6333333333333333</v>
      </c>
    </row>
    <row r="67" spans="4:31" ht="20.25" thickBot="1">
      <c r="D67" s="1" t="s">
        <v>86</v>
      </c>
      <c r="E67" s="7" t="s">
        <v>32</v>
      </c>
      <c r="F67" s="3" t="s">
        <v>151</v>
      </c>
      <c r="G67" s="7"/>
      <c r="H67" s="3" t="s">
        <v>7</v>
      </c>
      <c r="I67" s="3" t="s">
        <v>8</v>
      </c>
      <c r="J67" s="3" t="s">
        <v>9</v>
      </c>
      <c r="K67" s="3" t="s">
        <v>10</v>
      </c>
      <c r="L67" s="3" t="s">
        <v>11</v>
      </c>
      <c r="M67" s="3" t="s">
        <v>12</v>
      </c>
      <c r="N67" s="3" t="s">
        <v>13</v>
      </c>
      <c r="O67" s="3" t="s">
        <v>14</v>
      </c>
      <c r="P67" s="3" t="s">
        <v>15</v>
      </c>
      <c r="Q67" s="3" t="s">
        <v>16</v>
      </c>
      <c r="R67" s="3" t="s">
        <v>17</v>
      </c>
      <c r="S67" s="3" t="s">
        <v>18</v>
      </c>
      <c r="T67" s="3" t="s">
        <v>19</v>
      </c>
      <c r="U67" s="3" t="s">
        <v>20</v>
      </c>
      <c r="V67" s="3" t="s">
        <v>21</v>
      </c>
      <c r="W67" s="3" t="s">
        <v>22</v>
      </c>
      <c r="X67" s="3" t="s">
        <v>23</v>
      </c>
      <c r="Y67" s="3" t="s">
        <v>24</v>
      </c>
      <c r="Z67" s="3" t="s">
        <v>25</v>
      </c>
      <c r="AA67" s="3" t="s">
        <v>26</v>
      </c>
      <c r="AB67" s="3" t="s">
        <v>27</v>
      </c>
      <c r="AC67" s="3" t="s">
        <v>28</v>
      </c>
      <c r="AD67" s="3" t="s">
        <v>29</v>
      </c>
      <c r="AE67" s="3" t="s">
        <v>30</v>
      </c>
    </row>
    <row r="68" spans="4:31" ht="15.75" thickTop="1">
      <c r="D68" t="s">
        <v>57</v>
      </c>
      <c r="E68" s="2" t="s">
        <v>56</v>
      </c>
      <c r="F68" s="8" t="s">
        <v>152</v>
      </c>
      <c r="G68" s="4">
        <v>3.5453800000000001E-2</v>
      </c>
    </row>
    <row r="69" spans="4:31">
      <c r="D69" t="s">
        <v>87</v>
      </c>
      <c r="E69" s="2" t="s">
        <v>89</v>
      </c>
      <c r="F69" s="8" t="s">
        <v>152</v>
      </c>
      <c r="G69" s="8">
        <v>200</v>
      </c>
      <c r="H69" s="10">
        <f>$G$69</f>
        <v>200</v>
      </c>
      <c r="I69" s="10">
        <f t="shared" ref="I69:AE69" si="0">$G$69</f>
        <v>200</v>
      </c>
      <c r="J69" s="10">
        <f t="shared" si="0"/>
        <v>200</v>
      </c>
      <c r="K69" s="10">
        <f t="shared" si="0"/>
        <v>200</v>
      </c>
      <c r="L69" s="10">
        <f t="shared" si="0"/>
        <v>200</v>
      </c>
      <c r="M69" s="10">
        <f t="shared" si="0"/>
        <v>200</v>
      </c>
      <c r="N69" s="10">
        <f t="shared" si="0"/>
        <v>200</v>
      </c>
      <c r="O69" s="10">
        <f t="shared" si="0"/>
        <v>200</v>
      </c>
      <c r="P69" s="10">
        <f t="shared" si="0"/>
        <v>200</v>
      </c>
      <c r="Q69" s="10">
        <f t="shared" si="0"/>
        <v>200</v>
      </c>
      <c r="R69" s="10">
        <f t="shared" si="0"/>
        <v>200</v>
      </c>
      <c r="S69" s="10">
        <f t="shared" si="0"/>
        <v>200</v>
      </c>
      <c r="T69" s="10">
        <f t="shared" si="0"/>
        <v>200</v>
      </c>
      <c r="U69" s="10">
        <f t="shared" si="0"/>
        <v>200</v>
      </c>
      <c r="V69" s="10">
        <f t="shared" si="0"/>
        <v>200</v>
      </c>
      <c r="W69" s="10">
        <f t="shared" si="0"/>
        <v>200</v>
      </c>
      <c r="X69" s="10">
        <f t="shared" si="0"/>
        <v>200</v>
      </c>
      <c r="Y69" s="10">
        <f t="shared" si="0"/>
        <v>200</v>
      </c>
      <c r="Z69" s="10">
        <f t="shared" si="0"/>
        <v>200</v>
      </c>
      <c r="AA69" s="10">
        <f t="shared" si="0"/>
        <v>200</v>
      </c>
      <c r="AB69" s="10">
        <f t="shared" si="0"/>
        <v>200</v>
      </c>
      <c r="AC69" s="10">
        <f t="shared" si="0"/>
        <v>200</v>
      </c>
      <c r="AD69" s="10">
        <f t="shared" si="0"/>
        <v>200</v>
      </c>
      <c r="AE69" s="10">
        <f t="shared" si="0"/>
        <v>200</v>
      </c>
    </row>
    <row r="70" spans="4:31">
      <c r="D70" t="s">
        <v>88</v>
      </c>
      <c r="E70" s="2" t="s">
        <v>90</v>
      </c>
      <c r="F70" s="8" t="s">
        <v>152</v>
      </c>
      <c r="G70" s="8">
        <v>1000</v>
      </c>
      <c r="H70" s="10">
        <f>$G$70</f>
        <v>1000</v>
      </c>
      <c r="I70" s="10">
        <f t="shared" ref="I70:AE70" si="1">$G$70</f>
        <v>1000</v>
      </c>
      <c r="J70" s="10">
        <f t="shared" si="1"/>
        <v>1000</v>
      </c>
      <c r="K70" s="10">
        <f t="shared" si="1"/>
        <v>1000</v>
      </c>
      <c r="L70" s="10">
        <f t="shared" si="1"/>
        <v>1000</v>
      </c>
      <c r="M70" s="10">
        <f t="shared" si="1"/>
        <v>1000</v>
      </c>
      <c r="N70" s="10">
        <f t="shared" si="1"/>
        <v>1000</v>
      </c>
      <c r="O70" s="10">
        <f t="shared" si="1"/>
        <v>1000</v>
      </c>
      <c r="P70" s="10">
        <f t="shared" si="1"/>
        <v>1000</v>
      </c>
      <c r="Q70" s="10">
        <f t="shared" si="1"/>
        <v>1000</v>
      </c>
      <c r="R70" s="10">
        <f t="shared" si="1"/>
        <v>1000</v>
      </c>
      <c r="S70" s="10">
        <f t="shared" si="1"/>
        <v>1000</v>
      </c>
      <c r="T70" s="10">
        <f t="shared" si="1"/>
        <v>1000</v>
      </c>
      <c r="U70" s="10">
        <f t="shared" si="1"/>
        <v>1000</v>
      </c>
      <c r="V70" s="10">
        <f t="shared" si="1"/>
        <v>1000</v>
      </c>
      <c r="W70" s="10">
        <f t="shared" si="1"/>
        <v>1000</v>
      </c>
      <c r="X70" s="10">
        <f t="shared" si="1"/>
        <v>1000</v>
      </c>
      <c r="Y70" s="10">
        <f t="shared" si="1"/>
        <v>1000</v>
      </c>
      <c r="Z70" s="10">
        <f t="shared" si="1"/>
        <v>1000</v>
      </c>
      <c r="AA70" s="10">
        <f t="shared" si="1"/>
        <v>1000</v>
      </c>
      <c r="AB70" s="10">
        <f t="shared" si="1"/>
        <v>1000</v>
      </c>
      <c r="AC70" s="10">
        <f t="shared" si="1"/>
        <v>1000</v>
      </c>
      <c r="AD70" s="10">
        <f t="shared" si="1"/>
        <v>1000</v>
      </c>
      <c r="AE70" s="10">
        <f t="shared" si="1"/>
        <v>1000</v>
      </c>
    </row>
    <row r="72" spans="4:31" ht="20.25" thickBot="1">
      <c r="D72" s="1" t="s">
        <v>140</v>
      </c>
      <c r="E72" s="7" t="s">
        <v>32</v>
      </c>
      <c r="F72" s="3" t="s">
        <v>151</v>
      </c>
      <c r="G72" s="7"/>
      <c r="H72" s="3" t="s">
        <v>7</v>
      </c>
      <c r="I72" s="3" t="s">
        <v>8</v>
      </c>
      <c r="J72" s="3" t="s">
        <v>9</v>
      </c>
      <c r="K72" s="3" t="s">
        <v>10</v>
      </c>
      <c r="L72" s="3" t="s">
        <v>11</v>
      </c>
      <c r="M72" s="3" t="s">
        <v>12</v>
      </c>
      <c r="N72" s="3" t="s">
        <v>13</v>
      </c>
      <c r="O72" s="3" t="s">
        <v>14</v>
      </c>
      <c r="P72" s="3" t="s">
        <v>15</v>
      </c>
      <c r="Q72" s="3" t="s">
        <v>16</v>
      </c>
      <c r="R72" s="3" t="s">
        <v>17</v>
      </c>
      <c r="S72" s="3" t="s">
        <v>18</v>
      </c>
      <c r="T72" s="3" t="s">
        <v>19</v>
      </c>
      <c r="U72" s="3" t="s">
        <v>20</v>
      </c>
      <c r="V72" s="3" t="s">
        <v>21</v>
      </c>
      <c r="W72" s="3" t="s">
        <v>22</v>
      </c>
      <c r="X72" s="3" t="s">
        <v>23</v>
      </c>
      <c r="Y72" s="3" t="s">
        <v>24</v>
      </c>
      <c r="Z72" s="3" t="s">
        <v>25</v>
      </c>
      <c r="AA72" s="3" t="s">
        <v>26</v>
      </c>
      <c r="AB72" s="3" t="s">
        <v>27</v>
      </c>
      <c r="AC72" s="3" t="s">
        <v>28</v>
      </c>
      <c r="AD72" s="3" t="s">
        <v>29</v>
      </c>
      <c r="AE72" s="3" t="s">
        <v>30</v>
      </c>
    </row>
    <row r="73" spans="4:31" ht="15.75" thickTop="1">
      <c r="D73" t="s">
        <v>55</v>
      </c>
      <c r="E73" s="2" t="s">
        <v>54</v>
      </c>
      <c r="F73" s="8" t="s">
        <v>153</v>
      </c>
      <c r="G73" s="2"/>
      <c r="H73" s="8">
        <v>1000</v>
      </c>
      <c r="I73" s="8">
        <v>1000</v>
      </c>
      <c r="J73" s="8">
        <v>1000</v>
      </c>
      <c r="K73" s="8">
        <v>1000</v>
      </c>
      <c r="L73" s="8">
        <v>1000</v>
      </c>
      <c r="M73" s="8">
        <v>1000</v>
      </c>
      <c r="N73" s="8">
        <v>1000</v>
      </c>
      <c r="O73" s="8">
        <v>1000</v>
      </c>
      <c r="P73" s="8">
        <v>1000</v>
      </c>
      <c r="Q73" s="8">
        <v>1000</v>
      </c>
      <c r="R73" s="8">
        <v>1000</v>
      </c>
      <c r="S73" s="8">
        <v>1000</v>
      </c>
      <c r="T73" s="8">
        <v>1000</v>
      </c>
      <c r="U73" s="8">
        <v>1000</v>
      </c>
      <c r="V73" s="8">
        <v>1000</v>
      </c>
      <c r="W73" s="8">
        <v>1000</v>
      </c>
      <c r="X73" s="8">
        <v>1000</v>
      </c>
      <c r="Y73" s="8">
        <v>1000</v>
      </c>
      <c r="Z73" s="8">
        <v>1000</v>
      </c>
      <c r="AA73" s="8">
        <v>1000</v>
      </c>
      <c r="AB73" s="8">
        <v>1000</v>
      </c>
      <c r="AC73" s="8">
        <v>1000</v>
      </c>
      <c r="AD73" s="8">
        <v>1000</v>
      </c>
      <c r="AE73" s="8">
        <v>1000</v>
      </c>
    </row>
    <row r="75" spans="4:31" ht="20.25" thickBot="1">
      <c r="D75" s="1" t="s">
        <v>40</v>
      </c>
      <c r="E75" s="7" t="s">
        <v>32</v>
      </c>
      <c r="F75" s="3" t="s">
        <v>151</v>
      </c>
      <c r="G75" s="7"/>
      <c r="H75" s="3" t="s">
        <v>7</v>
      </c>
      <c r="I75" s="3" t="s">
        <v>8</v>
      </c>
      <c r="J75" s="3" t="s">
        <v>9</v>
      </c>
      <c r="K75" s="3" t="s">
        <v>10</v>
      </c>
      <c r="L75" s="3" t="s">
        <v>11</v>
      </c>
      <c r="M75" s="3" t="s">
        <v>12</v>
      </c>
      <c r="N75" s="3" t="s">
        <v>13</v>
      </c>
      <c r="O75" s="3" t="s">
        <v>14</v>
      </c>
      <c r="P75" s="3" t="s">
        <v>15</v>
      </c>
      <c r="Q75" s="3" t="s">
        <v>16</v>
      </c>
      <c r="R75" s="3" t="s">
        <v>17</v>
      </c>
      <c r="S75" s="3" t="s">
        <v>18</v>
      </c>
      <c r="T75" s="3" t="s">
        <v>19</v>
      </c>
      <c r="U75" s="3" t="s">
        <v>20</v>
      </c>
      <c r="V75" s="3" t="s">
        <v>21</v>
      </c>
      <c r="W75" s="3" t="s">
        <v>22</v>
      </c>
      <c r="X75" s="3" t="s">
        <v>23</v>
      </c>
      <c r="Y75" s="3" t="s">
        <v>24</v>
      </c>
      <c r="Z75" s="3" t="s">
        <v>25</v>
      </c>
      <c r="AA75" s="3" t="s">
        <v>26</v>
      </c>
      <c r="AB75" s="3" t="s">
        <v>27</v>
      </c>
      <c r="AC75" s="3" t="s">
        <v>28</v>
      </c>
      <c r="AD75" s="3" t="s">
        <v>29</v>
      </c>
      <c r="AE75" s="3" t="s">
        <v>30</v>
      </c>
    </row>
    <row r="76" spans="4:31" ht="15.75" thickTop="1">
      <c r="D76" t="s">
        <v>31</v>
      </c>
      <c r="E76" s="2" t="s">
        <v>2</v>
      </c>
      <c r="F76" s="8" t="s">
        <v>153</v>
      </c>
      <c r="G76" s="2"/>
      <c r="H76" s="5">
        <v>46.85</v>
      </c>
      <c r="I76" s="5">
        <v>45.06</v>
      </c>
      <c r="J76" s="5">
        <v>43.83</v>
      </c>
      <c r="K76" s="5">
        <v>42.55</v>
      </c>
      <c r="L76" s="5">
        <v>42.62</v>
      </c>
      <c r="M76" s="5">
        <v>46.61</v>
      </c>
      <c r="N76" s="5">
        <v>76.48</v>
      </c>
      <c r="O76" s="5">
        <v>77.489999999999995</v>
      </c>
      <c r="P76" s="5">
        <v>73.64</v>
      </c>
      <c r="Q76" s="5">
        <v>68.510000000000005</v>
      </c>
      <c r="R76" s="5">
        <v>67.62</v>
      </c>
      <c r="S76" s="5">
        <v>69.34</v>
      </c>
      <c r="T76" s="5">
        <v>69.23</v>
      </c>
      <c r="U76" s="4">
        <v>74.680000000000007</v>
      </c>
      <c r="V76" s="4">
        <v>86.84</v>
      </c>
      <c r="W76" s="4">
        <v>97.79</v>
      </c>
      <c r="X76" s="4">
        <v>91.29</v>
      </c>
      <c r="Y76" s="4">
        <v>99.07</v>
      </c>
      <c r="Z76" s="4">
        <v>103.56</v>
      </c>
      <c r="AA76" s="4">
        <v>108.67</v>
      </c>
      <c r="AB76" s="4">
        <v>98.73</v>
      </c>
      <c r="AC76" s="4">
        <v>91.91</v>
      </c>
      <c r="AD76" s="4">
        <v>53.34</v>
      </c>
      <c r="AE76" s="4">
        <v>48.72</v>
      </c>
    </row>
    <row r="77" spans="4:31">
      <c r="D77" t="s">
        <v>47</v>
      </c>
      <c r="E77" s="2" t="s">
        <v>41</v>
      </c>
      <c r="F77" s="8" t="s">
        <v>152</v>
      </c>
      <c r="G77" s="5">
        <v>0.1</v>
      </c>
      <c r="H77" s="26" t="str">
        <f>IF(AND(G29=TRUE,G77&lt;0),"the penalty cost should be in range 0-25","")</f>
        <v/>
      </c>
    </row>
    <row r="78" spans="4:31">
      <c r="D78" t="s">
        <v>48</v>
      </c>
      <c r="E78" s="2" t="s">
        <v>42</v>
      </c>
      <c r="F78" s="8" t="s">
        <v>152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49</v>
      </c>
      <c r="E79" s="2" t="s">
        <v>43</v>
      </c>
      <c r="F79" s="8" t="s">
        <v>152</v>
      </c>
      <c r="G79" s="5">
        <v>0.1</v>
      </c>
      <c r="H79" s="26" t="str">
        <f>IF(AND(G38=TRUE,G79&lt;0),"the penalty cost should be in range 0-25","")</f>
        <v/>
      </c>
    </row>
    <row r="80" spans="4:31">
      <c r="D80" t="s">
        <v>50</v>
      </c>
      <c r="E80" s="2" t="s">
        <v>44</v>
      </c>
      <c r="F80" s="8" t="s">
        <v>152</v>
      </c>
      <c r="G80" s="5">
        <v>0.1</v>
      </c>
      <c r="H80" s="26" t="str">
        <f>IF(AND(G38=TRUE,G80&lt;0),"the penalty cost should be in range 0-25","")</f>
        <v/>
      </c>
    </row>
    <row r="81" spans="4:8">
      <c r="D81" t="s">
        <v>51</v>
      </c>
      <c r="E81" s="2" t="s">
        <v>45</v>
      </c>
      <c r="F81" s="8" t="s">
        <v>152</v>
      </c>
      <c r="G81" s="5">
        <v>0.1</v>
      </c>
      <c r="H81" s="26" t="str">
        <f>IF(AND(G44=TRUE,G81&lt;0),"the penalty cost should be in range 0-25","")</f>
        <v/>
      </c>
    </row>
    <row r="82" spans="4:8">
      <c r="D82" t="s">
        <v>52</v>
      </c>
      <c r="E82" s="2" t="s">
        <v>46</v>
      </c>
      <c r="F82" s="8" t="s">
        <v>152</v>
      </c>
      <c r="G82" s="5">
        <v>0.1</v>
      </c>
      <c r="H82" s="26" t="str">
        <f>IF(AND(G44=TRUE,G82&lt;0),"the penalty cost should be in range 0-25","")</f>
        <v/>
      </c>
    </row>
    <row r="83" spans="4:8">
      <c r="D83" t="s">
        <v>204</v>
      </c>
      <c r="E83" s="2" t="s">
        <v>202</v>
      </c>
      <c r="F83" s="8" t="s">
        <v>154</v>
      </c>
      <c r="G83" s="5">
        <v>0.1</v>
      </c>
    </row>
    <row r="84" spans="4:8">
      <c r="D84" t="s">
        <v>205</v>
      </c>
      <c r="E84" s="2" t="s">
        <v>203</v>
      </c>
      <c r="F84" s="8" t="s">
        <v>154</v>
      </c>
      <c r="G84" s="5">
        <v>0.1</v>
      </c>
    </row>
  </sheetData>
  <phoneticPr fontId="7" type="noConversion"/>
  <conditionalFormatting sqref="G9">
    <cfRule type="cellIs" dxfId="44" priority="62" operator="equal">
      <formula>FALSE</formula>
    </cfRule>
    <cfRule type="cellIs" dxfId="43" priority="63" operator="equal">
      <formula>TRUE</formula>
    </cfRule>
  </conditionalFormatting>
  <conditionalFormatting sqref="G10">
    <cfRule type="cellIs" dxfId="42" priority="60" operator="equal">
      <formula>FALSE</formula>
    </cfRule>
    <cfRule type="cellIs" dxfId="41" priority="61" operator="equal">
      <formula>TRUE</formula>
    </cfRule>
  </conditionalFormatting>
  <conditionalFormatting sqref="G27">
    <cfRule type="cellIs" dxfId="40" priority="20" operator="equal">
      <formula>FALSE</formula>
    </cfRule>
    <cfRule type="cellIs" dxfId="39" priority="21" operator="equal">
      <formula>TRUE</formula>
    </cfRule>
  </conditionalFormatting>
  <conditionalFormatting sqref="G29 G49 G60 G34 G38 G43:G44">
    <cfRule type="cellIs" dxfId="38" priority="18" operator="equal">
      <formula>FALSE</formula>
    </cfRule>
    <cfRule type="cellIs" dxfId="37" priority="19" operator="equal">
      <formula>TRUE</formula>
    </cfRule>
  </conditionalFormatting>
  <conditionalFormatting sqref="G30:G31">
    <cfRule type="expression" dxfId="36" priority="15">
      <formula>$G$29=FALSE</formula>
    </cfRule>
  </conditionalFormatting>
  <conditionalFormatting sqref="G28">
    <cfRule type="expression" dxfId="35" priority="14">
      <formula>$G$27=FALSE</formula>
    </cfRule>
  </conditionalFormatting>
  <conditionalFormatting sqref="G39:G40">
    <cfRule type="expression" dxfId="34" priority="13">
      <formula>$G$38=FALSE</formula>
    </cfRule>
  </conditionalFormatting>
  <conditionalFormatting sqref="G45:G46">
    <cfRule type="expression" dxfId="33" priority="12">
      <formula>$G$44=FALSE</formula>
    </cfRule>
  </conditionalFormatting>
  <conditionalFormatting sqref="G35:G37">
    <cfRule type="expression" dxfId="32" priority="11">
      <formula>$G$29=FALSE</formula>
    </cfRule>
  </conditionalFormatting>
  <conditionalFormatting sqref="G35:G37">
    <cfRule type="expression" dxfId="29" priority="8">
      <formula>$G$10="LP"</formula>
    </cfRule>
  </conditionalFormatting>
  <conditionalFormatting sqref="G51:G52">
    <cfRule type="expression" dxfId="28" priority="7">
      <formula>$G$44=FALSE</formula>
    </cfRule>
  </conditionalFormatting>
  <conditionalFormatting sqref="G50">
    <cfRule type="cellIs" dxfId="27" priority="5" operator="equal">
      <formula>FALSE</formula>
    </cfRule>
    <cfRule type="cellIs" dxfId="26" priority="6" operator="equal">
      <formula>TRUE</formula>
    </cfRule>
  </conditionalFormatting>
  <conditionalFormatting sqref="G55">
    <cfRule type="cellIs" dxfId="25" priority="3" operator="equal">
      <formula>FALSE</formula>
    </cfRule>
    <cfRule type="cellIs" dxfId="24" priority="4" operator="equal">
      <formula>TRUE</formula>
    </cfRule>
  </conditionalFormatting>
  <conditionalFormatting sqref="G22">
    <cfRule type="cellIs" dxfId="23" priority="1" operator="equal">
      <formula>FALSE</formula>
    </cfRule>
    <cfRule type="cellIs" dxfId="22" priority="2" operator="equal">
      <formula>TRUE</formula>
    </cfRule>
  </conditionalFormatting>
  <dataValidations count="2">
    <dataValidation type="list" allowBlank="1" showInputMessage="1" showErrorMessage="1" sqref="G9 G60 G34 G43:G44 G29 G38 G27 G49:G50 G55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  <x14:sparkline>
              <xm:f>Inputs!H33:AE33</xm:f>
              <xm:sqref>G33</xm:sqref>
            </x14:sparkline>
            <x14:sparkline>
              <xm:f>Inputs!H41:AE41</xm:f>
              <xm:sqref>G41</xm:sqref>
            </x14:sparkline>
            <x14:sparkline>
              <xm:f>Inputs!H42:AE42</xm:f>
              <xm:sqref>G42</xm:sqref>
            </x14:sparkline>
            <x14:sparkline>
              <xm:f>Inputs!H47:AE47</xm:f>
              <xm:sqref>G47</xm:sqref>
            </x14:sparkline>
            <x14:sparkline>
              <xm:f>Inputs!H48:AE48</xm:f>
              <xm:sqref>G48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Inputs!H58:AE58</xm:f>
              <xm:sqref>G58</xm:sqref>
            </x14:sparkline>
            <x14:sparkline>
              <xm:f>Inputs!H59:AE59</xm:f>
              <xm:sqref>G59</xm:sqref>
            </x14:sparkline>
            <x14:sparkline>
              <xm:f>Inputs!H61:AE61</xm:f>
              <xm:sqref>G61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</x14:sparklines>
        </x14:sparklineGroup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Inputs!H76:AE76</xm:f>
              <xm:sqref>G76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AC17" sqref="AC17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7" width="12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7.28515625" bestFit="1" customWidth="1"/>
    <col min="14" max="14" width="18.5703125" bestFit="1" customWidth="1"/>
    <col min="15" max="15" width="16" bestFit="1" customWidth="1"/>
    <col min="16" max="16" width="11.7109375" bestFit="1" customWidth="1"/>
    <col min="17" max="17" width="13" bestFit="1" customWidth="1"/>
    <col min="18" max="18" width="9" bestFit="1" customWidth="1"/>
    <col min="19" max="20" width="12" bestFit="1" customWidth="1"/>
    <col min="21" max="21" width="19.140625" bestFit="1" customWidth="1"/>
    <col min="22" max="22" width="16.5703125" bestFit="1" customWidth="1"/>
    <col min="23" max="23" width="12" bestFit="1" customWidth="1"/>
    <col min="24" max="24" width="19.140625" bestFit="1" customWidth="1"/>
    <col min="25" max="25" width="16.5703125" bestFit="1" customWidth="1"/>
    <col min="26" max="26" width="12" bestFit="1" customWidth="1"/>
    <col min="27" max="27" width="11.28515625" customWidth="1"/>
  </cols>
  <sheetData>
    <row r="1" spans="1:28" ht="24.75" thickBot="1">
      <c r="D1" s="23" t="s">
        <v>119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120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.75" thickTop="1">
      <c r="D3" t="s">
        <v>125</v>
      </c>
      <c r="E3" s="30" t="s">
        <v>262</v>
      </c>
      <c r="F3" t="s">
        <v>118</v>
      </c>
      <c r="G3" s="33" t="str" cm="1">
        <f t="array" aca="1" ref="G3" ca="1">LEFT(CELL("filename", A3), FIND("[", CELL("filename", A3)) - 1) &amp; "Results\" &amp; E3</f>
        <v>C:\Projects\GitHub\TempRegPy\Results\Test1</v>
      </c>
      <c r="H3" s="21"/>
    </row>
    <row r="5" spans="1:28" s="32" customFormat="1" ht="18" thickBot="1">
      <c r="A5" s="31"/>
      <c r="B5" s="31"/>
      <c r="C5" s="31"/>
      <c r="D5" s="24" t="s">
        <v>131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2" customFormat="1" ht="53.25" thickTop="1" thickBot="1">
      <c r="A6" s="31"/>
      <c r="B6" s="31"/>
      <c r="C6" s="31"/>
      <c r="D6" s="43" t="s">
        <v>244</v>
      </c>
      <c r="E6" s="42" t="s">
        <v>152</v>
      </c>
      <c r="F6" s="41" t="s">
        <v>86</v>
      </c>
      <c r="G6" s="41" t="s">
        <v>249</v>
      </c>
      <c r="H6" s="41" t="s">
        <v>245</v>
      </c>
      <c r="I6" s="41" t="s">
        <v>123</v>
      </c>
      <c r="J6" s="41" t="s">
        <v>124</v>
      </c>
      <c r="K6" s="41" t="s">
        <v>246</v>
      </c>
      <c r="L6" s="41" t="s">
        <v>247</v>
      </c>
      <c r="M6" s="41" t="s">
        <v>248</v>
      </c>
      <c r="N6" s="41" t="s">
        <v>250</v>
      </c>
      <c r="O6" s="41" t="s">
        <v>251</v>
      </c>
      <c r="P6" s="41" t="s">
        <v>252</v>
      </c>
      <c r="Q6" s="41" t="s">
        <v>253</v>
      </c>
      <c r="R6" s="41" t="s">
        <v>254</v>
      </c>
      <c r="S6" s="41" t="s">
        <v>255</v>
      </c>
      <c r="T6" s="41" t="s">
        <v>256</v>
      </c>
      <c r="U6" s="41" t="s">
        <v>136</v>
      </c>
      <c r="V6" s="41" t="s">
        <v>137</v>
      </c>
      <c r="W6" s="41" t="s">
        <v>257</v>
      </c>
      <c r="X6" s="41" t="s">
        <v>138</v>
      </c>
      <c r="Y6" s="41" t="s">
        <v>139</v>
      </c>
      <c r="Z6" s="41" t="s">
        <v>258</v>
      </c>
      <c r="AA6" s="41" t="s">
        <v>132</v>
      </c>
      <c r="AB6" s="41" t="s">
        <v>134</v>
      </c>
    </row>
    <row r="7" spans="1:28" s="34" customFormat="1" ht="18" customHeight="1" thickTop="1" thickBot="1">
      <c r="F7" s="35" t="s">
        <v>121</v>
      </c>
      <c r="G7" s="35" t="s">
        <v>122</v>
      </c>
      <c r="H7" s="35" t="s">
        <v>259</v>
      </c>
      <c r="I7" s="35" t="s">
        <v>122</v>
      </c>
      <c r="J7" s="35" t="s">
        <v>122</v>
      </c>
      <c r="K7" s="35" t="s">
        <v>259</v>
      </c>
      <c r="L7" s="35" t="s">
        <v>259</v>
      </c>
      <c r="M7" s="35" t="s">
        <v>122</v>
      </c>
      <c r="N7" s="35" t="s">
        <v>122</v>
      </c>
      <c r="O7" s="35" t="s">
        <v>122</v>
      </c>
      <c r="P7" s="35" t="s">
        <v>122</v>
      </c>
      <c r="Q7" s="35" t="s">
        <v>122</v>
      </c>
      <c r="R7" s="35" t="s">
        <v>122</v>
      </c>
      <c r="S7" s="35" t="s">
        <v>122</v>
      </c>
      <c r="T7" s="35" t="s">
        <v>122</v>
      </c>
      <c r="U7" s="35" t="s">
        <v>122</v>
      </c>
      <c r="V7" s="35" t="s">
        <v>122</v>
      </c>
      <c r="W7" s="35" t="s">
        <v>122</v>
      </c>
      <c r="X7" s="35" t="s">
        <v>122</v>
      </c>
      <c r="Y7" s="35" t="s">
        <v>122</v>
      </c>
      <c r="Z7" s="35" t="s">
        <v>126</v>
      </c>
      <c r="AA7" s="35" t="s">
        <v>133</v>
      </c>
      <c r="AB7" s="35" t="s">
        <v>135</v>
      </c>
    </row>
    <row r="8" spans="1:28" s="34" customFormat="1" ht="18" customHeight="1" thickBot="1"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</row>
    <row r="9" spans="1:28" ht="15.75" thickBot="1">
      <c r="F9" s="36">
        <f>SUM(F11:F34)</f>
        <v>6879.0340881302582</v>
      </c>
      <c r="G9" s="36">
        <f>SUM(G11:G34)</f>
        <v>40974.882051282002</v>
      </c>
      <c r="H9" s="36">
        <f t="shared" ref="H9:W9" si="0">SUM(H11:H34)</f>
        <v>20</v>
      </c>
      <c r="I9" s="36">
        <f t="shared" ref="I9:J9" si="1">AVERAGE(I11:I34)</f>
        <v>354.53925708658471</v>
      </c>
      <c r="J9" s="36">
        <f t="shared" si="1"/>
        <v>354.53925708658466</v>
      </c>
      <c r="K9" s="36">
        <f t="shared" si="0"/>
        <v>5.9999999999999982</v>
      </c>
      <c r="L9" s="36">
        <f t="shared" si="0"/>
        <v>6</v>
      </c>
      <c r="M9" s="36">
        <f t="shared" si="0"/>
        <v>0</v>
      </c>
      <c r="N9" s="36">
        <f t="shared" ref="N9:O9" si="2">AVERAGE(N11:N34)</f>
        <v>0</v>
      </c>
      <c r="O9" s="36">
        <f t="shared" si="2"/>
        <v>0</v>
      </c>
      <c r="P9" s="36">
        <f t="shared" si="0"/>
        <v>0</v>
      </c>
      <c r="Q9" s="36">
        <f t="shared" si="0"/>
        <v>235003</v>
      </c>
      <c r="R9" s="36">
        <f t="shared" si="0"/>
        <v>0</v>
      </c>
      <c r="S9" s="36">
        <f t="shared" si="0"/>
        <v>235002.99999999994</v>
      </c>
      <c r="T9" s="36">
        <f t="shared" si="0"/>
        <v>235002.99999999997</v>
      </c>
      <c r="U9" s="36">
        <f t="shared" ref="U9:V9" si="3">AVERAGE(U11:U34)</f>
        <v>395.75757575757558</v>
      </c>
      <c r="V9" s="36">
        <f t="shared" si="3"/>
        <v>395.75757575757575</v>
      </c>
      <c r="W9" s="36">
        <f t="shared" si="0"/>
        <v>194028.11794871802</v>
      </c>
      <c r="X9" s="36">
        <f t="shared" ref="X9:Y9" si="4">AVERAGE(X11:X34)</f>
        <v>263.65835452137685</v>
      </c>
      <c r="Y9" s="36">
        <f t="shared" si="4"/>
        <v>263.65835452137657</v>
      </c>
      <c r="Z9" s="36">
        <f>AVERAGE(Z11:Z34)</f>
        <v>12.905083919654105</v>
      </c>
      <c r="AA9" s="36">
        <f>AVERAGE(AA11:AA34)</f>
        <v>71.851250000000007</v>
      </c>
      <c r="AB9" s="36">
        <f>SUM(AB11:AB34)</f>
        <v>516302.49767432793</v>
      </c>
    </row>
    <row r="10" spans="1:28">
      <c r="E10" t="s">
        <v>222</v>
      </c>
      <c r="F10" t="s">
        <v>223</v>
      </c>
      <c r="G10" t="s">
        <v>224</v>
      </c>
      <c r="H10" t="s">
        <v>225</v>
      </c>
      <c r="I10" t="s">
        <v>226</v>
      </c>
      <c r="J10" t="s">
        <v>227</v>
      </c>
      <c r="K10" t="s">
        <v>228</v>
      </c>
      <c r="L10" t="s">
        <v>229</v>
      </c>
      <c r="M10" t="s">
        <v>230</v>
      </c>
      <c r="N10" t="s">
        <v>231</v>
      </c>
      <c r="O10" t="s">
        <v>232</v>
      </c>
      <c r="P10" t="s">
        <v>233</v>
      </c>
      <c r="Q10" t="s">
        <v>234</v>
      </c>
      <c r="R10" t="s">
        <v>235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  <c r="X10" t="s">
        <v>241</v>
      </c>
      <c r="Y10" t="s">
        <v>242</v>
      </c>
      <c r="Z10" t="s">
        <v>243</v>
      </c>
    </row>
    <row r="11" spans="1:28">
      <c r="E11">
        <v>1</v>
      </c>
      <c r="F11">
        <v>235.4538</v>
      </c>
      <c r="G11">
        <v>1541.4062328108721</v>
      </c>
      <c r="H11" s="40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8182.5504825104817</v>
      </c>
      <c r="R11">
        <v>0</v>
      </c>
      <c r="S11">
        <v>8182.5504825104799</v>
      </c>
      <c r="T11">
        <v>8182.5504825104799</v>
      </c>
      <c r="U11">
        <v>0</v>
      </c>
      <c r="V11">
        <v>0</v>
      </c>
      <c r="W11">
        <v>6641.1442496996087</v>
      </c>
      <c r="X11">
        <v>0</v>
      </c>
      <c r="Y11">
        <v>0</v>
      </c>
      <c r="Z11">
        <v>12.77554797435277</v>
      </c>
      <c r="AA11" cm="1">
        <f t="array" ref="AA11:AA34">TRANSPOSE(Inputs!H76:AE76)</f>
        <v>46.85</v>
      </c>
      <c r="AB11" s="44">
        <f>AA11*Flows[[#This Row],[p_tur]]</f>
        <v>11031.01053</v>
      </c>
    </row>
    <row r="12" spans="1:28">
      <c r="E12">
        <v>2</v>
      </c>
      <c r="F12">
        <v>200</v>
      </c>
      <c r="G12">
        <v>2160.4382232892103</v>
      </c>
      <c r="H12" s="40">
        <v>1</v>
      </c>
      <c r="I12">
        <v>0</v>
      </c>
      <c r="J12">
        <v>619.03199047833834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7801.5824729888191</v>
      </c>
      <c r="R12">
        <v>0</v>
      </c>
      <c r="S12">
        <v>7801.5824729888191</v>
      </c>
      <c r="T12">
        <v>7801.5824729888218</v>
      </c>
      <c r="U12">
        <v>380.96800952165933</v>
      </c>
      <c r="V12">
        <v>0</v>
      </c>
      <c r="W12">
        <v>5641.1442496996087</v>
      </c>
      <c r="X12">
        <v>1000</v>
      </c>
      <c r="Y12">
        <v>0</v>
      </c>
      <c r="Z12">
        <v>12.2</v>
      </c>
      <c r="AA12">
        <v>45.06</v>
      </c>
      <c r="AB12" s="44">
        <f>AA12*Flows[[#This Row],[p_tur]]</f>
        <v>9012</v>
      </c>
    </row>
    <row r="13" spans="1:28">
      <c r="E13">
        <v>3</v>
      </c>
      <c r="F13">
        <v>200</v>
      </c>
      <c r="G13">
        <v>1624.9999999999941</v>
      </c>
      <c r="H13" s="40">
        <v>1</v>
      </c>
      <c r="I13">
        <v>535.43822328921635</v>
      </c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7266.1442496996015</v>
      </c>
      <c r="R13">
        <v>0</v>
      </c>
      <c r="S13">
        <v>7266.1442496996033</v>
      </c>
      <c r="T13">
        <v>7266.1442496996033</v>
      </c>
      <c r="U13">
        <v>535.43822328921794</v>
      </c>
      <c r="V13">
        <v>0</v>
      </c>
      <c r="W13">
        <v>5641.1442496996087</v>
      </c>
      <c r="X13">
        <v>0</v>
      </c>
      <c r="Y13">
        <v>0</v>
      </c>
      <c r="Z13">
        <v>12.54634044728239</v>
      </c>
      <c r="AA13">
        <v>43.83</v>
      </c>
      <c r="AB13" s="44">
        <f>AA13*Flows[[#This Row],[p_tur]]</f>
        <v>8766</v>
      </c>
    </row>
    <row r="14" spans="1:28">
      <c r="E14">
        <v>4</v>
      </c>
      <c r="F14">
        <v>212.72280000000003</v>
      </c>
      <c r="G14">
        <v>1625.0000000000023</v>
      </c>
      <c r="H14" s="40">
        <v>1</v>
      </c>
      <c r="I14">
        <v>-8.4019164105778897E-12</v>
      </c>
      <c r="J14">
        <v>0</v>
      </c>
      <c r="K14">
        <v>-1.4340541512985898E-15</v>
      </c>
      <c r="L14">
        <v>0</v>
      </c>
      <c r="M14">
        <v>0</v>
      </c>
      <c r="N14">
        <v>0</v>
      </c>
      <c r="O14">
        <v>0</v>
      </c>
      <c r="P14">
        <v>0</v>
      </c>
      <c r="Q14">
        <v>7625.0000000000009</v>
      </c>
      <c r="R14">
        <v>0</v>
      </c>
      <c r="S14">
        <v>7625.0000000000018</v>
      </c>
      <c r="T14">
        <v>7625.0000000000036</v>
      </c>
      <c r="U14">
        <v>0</v>
      </c>
      <c r="V14">
        <v>358.85575030039985</v>
      </c>
      <c r="W14">
        <v>6000</v>
      </c>
      <c r="X14">
        <v>0</v>
      </c>
      <c r="Y14">
        <v>358.85575030039138</v>
      </c>
      <c r="Z14">
        <v>12.614754098360654</v>
      </c>
      <c r="AA14">
        <v>42.55</v>
      </c>
      <c r="AB14" s="44">
        <f>AA14*Flows[[#This Row],[p_tur]]</f>
        <v>9051.3551400000015</v>
      </c>
    </row>
    <row r="15" spans="1:28">
      <c r="E15">
        <v>5</v>
      </c>
      <c r="F15">
        <v>230.44970000000001</v>
      </c>
      <c r="G15">
        <v>1625.0000000000023</v>
      </c>
      <c r="H15" s="40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8125.0000000000009</v>
      </c>
      <c r="R15">
        <v>0</v>
      </c>
      <c r="S15">
        <v>8125.0000000000027</v>
      </c>
      <c r="T15">
        <v>8125.0000000000009</v>
      </c>
      <c r="U15">
        <v>0</v>
      </c>
      <c r="V15">
        <v>499.99999999999864</v>
      </c>
      <c r="W15">
        <v>6500</v>
      </c>
      <c r="X15">
        <v>0</v>
      </c>
      <c r="Y15">
        <v>499.99999999999847</v>
      </c>
      <c r="Z15">
        <v>12.7</v>
      </c>
      <c r="AA15">
        <v>42.62</v>
      </c>
      <c r="AB15" s="44">
        <f>AA15*Flows[[#This Row],[p_tur]]</f>
        <v>9821.7662139999993</v>
      </c>
    </row>
    <row r="16" spans="1:28">
      <c r="E16">
        <v>6</v>
      </c>
      <c r="F16">
        <v>248.17659999999998</v>
      </c>
      <c r="G16">
        <v>0</v>
      </c>
      <c r="H16" s="40">
        <v>0</v>
      </c>
      <c r="I16">
        <v>1625.0000000000023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6999.9999999999982</v>
      </c>
      <c r="R16">
        <v>0</v>
      </c>
      <c r="S16">
        <v>6999.9999999999982</v>
      </c>
      <c r="T16">
        <v>7000</v>
      </c>
      <c r="U16">
        <v>1125.0000000000002</v>
      </c>
      <c r="V16">
        <v>0</v>
      </c>
      <c r="W16">
        <v>6999.9999999999982</v>
      </c>
      <c r="X16">
        <v>0</v>
      </c>
      <c r="Y16">
        <v>500</v>
      </c>
      <c r="Z16">
        <v>14</v>
      </c>
      <c r="AA16">
        <v>46.61</v>
      </c>
      <c r="AB16" s="44">
        <f>AA16*Flows[[#This Row],[p_tur]]</f>
        <v>11567.511325999998</v>
      </c>
    </row>
    <row r="17" spans="5:28">
      <c r="E17">
        <v>7</v>
      </c>
      <c r="F17">
        <v>265.90349999999995</v>
      </c>
      <c r="G17">
        <v>0</v>
      </c>
      <c r="H17" s="40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7499.9999999999964</v>
      </c>
      <c r="R17">
        <v>0</v>
      </c>
      <c r="S17">
        <v>7499.9999999999991</v>
      </c>
      <c r="T17">
        <v>7499.9999999999973</v>
      </c>
      <c r="U17">
        <v>0</v>
      </c>
      <c r="V17">
        <v>499.99999999999847</v>
      </c>
      <c r="W17">
        <v>7499.9999999999991</v>
      </c>
      <c r="X17">
        <v>0</v>
      </c>
      <c r="Y17">
        <v>500</v>
      </c>
      <c r="Z17">
        <v>14</v>
      </c>
      <c r="AA17">
        <v>76.48</v>
      </c>
      <c r="AB17" s="44">
        <f>AA17*Flows[[#This Row],[p_tur]]</f>
        <v>20336.299679999996</v>
      </c>
    </row>
    <row r="18" spans="5:28">
      <c r="E18">
        <v>8</v>
      </c>
      <c r="F18">
        <v>283.63040000000001</v>
      </c>
      <c r="G18">
        <v>1285.7142857142931</v>
      </c>
      <c r="H18" s="40">
        <v>1</v>
      </c>
      <c r="I18">
        <v>0</v>
      </c>
      <c r="J18">
        <v>1285.7142857142928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9285.7142857142917</v>
      </c>
      <c r="R18">
        <v>0</v>
      </c>
      <c r="S18">
        <v>9285.7142857142917</v>
      </c>
      <c r="T18">
        <v>9285.7142857142899</v>
      </c>
      <c r="U18">
        <v>0</v>
      </c>
      <c r="V18">
        <v>1785.7142857142926</v>
      </c>
      <c r="W18">
        <v>7999.9999999999991</v>
      </c>
      <c r="X18">
        <v>0</v>
      </c>
      <c r="Y18">
        <v>500</v>
      </c>
      <c r="Z18">
        <v>13.099999999999996</v>
      </c>
      <c r="AA18">
        <v>77.489999999999995</v>
      </c>
      <c r="AB18" s="44">
        <f>AA18*Flows[[#This Row],[p_tur]]</f>
        <v>21978.519695999999</v>
      </c>
    </row>
    <row r="19" spans="5:28">
      <c r="E19">
        <v>9</v>
      </c>
      <c r="F19">
        <v>301.35730000000001</v>
      </c>
      <c r="G19">
        <v>1285.7142857142933</v>
      </c>
      <c r="H19" s="40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9785.7142857142899</v>
      </c>
      <c r="R19">
        <v>0</v>
      </c>
      <c r="S19">
        <v>9785.7142857142917</v>
      </c>
      <c r="T19">
        <v>9785.7142857142917</v>
      </c>
      <c r="U19">
        <v>0</v>
      </c>
      <c r="V19">
        <v>500.00000000000244</v>
      </c>
      <c r="W19">
        <v>8500</v>
      </c>
      <c r="X19">
        <v>0</v>
      </c>
      <c r="Y19">
        <v>500</v>
      </c>
      <c r="Z19">
        <v>13.14598540145985</v>
      </c>
      <c r="AA19">
        <v>73.64</v>
      </c>
      <c r="AB19" s="44">
        <f>AA19*Flows[[#This Row],[p_tur]]</f>
        <v>22191.951572000002</v>
      </c>
    </row>
    <row r="20" spans="5:28">
      <c r="E20">
        <v>10</v>
      </c>
      <c r="F20">
        <v>311.29811727711143</v>
      </c>
      <c r="G20">
        <v>1285.7142857142933</v>
      </c>
      <c r="H20" s="4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10066.10220681475</v>
      </c>
      <c r="R20">
        <v>0</v>
      </c>
      <c r="S20">
        <v>10066.10220681475</v>
      </c>
      <c r="T20">
        <v>10066.10220681475</v>
      </c>
      <c r="U20">
        <v>0</v>
      </c>
      <c r="V20">
        <v>280.38792110045893</v>
      </c>
      <c r="W20">
        <v>8780.3879211004587</v>
      </c>
      <c r="X20">
        <v>0</v>
      </c>
      <c r="Y20">
        <v>280.38792110045682</v>
      </c>
      <c r="Z20">
        <v>13.169773693387981</v>
      </c>
      <c r="AA20">
        <v>68.510000000000005</v>
      </c>
      <c r="AB20" s="44">
        <f>AA20*Flows[[#This Row],[p_tur]]</f>
        <v>21327.034014654906</v>
      </c>
    </row>
    <row r="21" spans="5:28">
      <c r="E21">
        <v>11</v>
      </c>
      <c r="F21">
        <v>284.72128615384611</v>
      </c>
      <c r="G21">
        <v>3569.2307692307686</v>
      </c>
      <c r="H21" s="40">
        <v>1</v>
      </c>
      <c r="I21">
        <v>0</v>
      </c>
      <c r="J21">
        <v>2283.5164835164746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11599.999999999996</v>
      </c>
      <c r="R21">
        <v>0</v>
      </c>
      <c r="S21">
        <v>11599.999999999996</v>
      </c>
      <c r="T21">
        <v>11599.999999999996</v>
      </c>
      <c r="U21">
        <v>0</v>
      </c>
      <c r="V21">
        <v>1533.897793185246</v>
      </c>
      <c r="W21">
        <v>8030.7692307692287</v>
      </c>
      <c r="X21">
        <v>749.61869033122866</v>
      </c>
      <c r="Y21">
        <v>0</v>
      </c>
      <c r="Z21">
        <v>12.000000000000002</v>
      </c>
      <c r="AA21">
        <v>67.62</v>
      </c>
      <c r="AB21" s="44">
        <f>AA21*Flows[[#This Row],[p_tur]]</f>
        <v>19252.853369723074</v>
      </c>
    </row>
    <row r="22" spans="5:28">
      <c r="E22">
        <v>12</v>
      </c>
      <c r="F22">
        <v>284.72128615384611</v>
      </c>
      <c r="G22">
        <v>3569.2307692307686</v>
      </c>
      <c r="H22" s="40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11599.999999999996</v>
      </c>
      <c r="R22">
        <v>0</v>
      </c>
      <c r="S22">
        <v>11599.999999999996</v>
      </c>
      <c r="T22">
        <v>11599.999999999996</v>
      </c>
      <c r="U22">
        <v>0</v>
      </c>
      <c r="V22">
        <v>0</v>
      </c>
      <c r="W22">
        <v>8030.7692307692287</v>
      </c>
      <c r="X22">
        <v>0</v>
      </c>
      <c r="Y22">
        <v>0</v>
      </c>
      <c r="Z22">
        <v>12.000000000000002</v>
      </c>
      <c r="AA22">
        <v>69.34</v>
      </c>
      <c r="AB22" s="44">
        <f>AA22*Flows[[#This Row],[p_tur]]</f>
        <v>19742.573981907692</v>
      </c>
    </row>
    <row r="23" spans="5:28">
      <c r="E23">
        <v>13</v>
      </c>
      <c r="F23">
        <v>302.44818615384611</v>
      </c>
      <c r="G23">
        <v>3569.2307692307704</v>
      </c>
      <c r="H23" s="40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12100</v>
      </c>
      <c r="R23">
        <v>0</v>
      </c>
      <c r="S23">
        <v>12100</v>
      </c>
      <c r="T23">
        <v>12099.999999999998</v>
      </c>
      <c r="U23">
        <v>0</v>
      </c>
      <c r="V23">
        <v>499.99999999999966</v>
      </c>
      <c r="W23">
        <v>8530.7692307692287</v>
      </c>
      <c r="X23">
        <v>0</v>
      </c>
      <c r="Y23">
        <v>500</v>
      </c>
      <c r="Z23">
        <v>12.082644628099171</v>
      </c>
      <c r="AA23">
        <v>69.23</v>
      </c>
      <c r="AB23" s="44">
        <f>AA23*Flows[[#This Row],[p_tur]]</f>
        <v>20938.487927430768</v>
      </c>
    </row>
    <row r="24" spans="5:28">
      <c r="E24">
        <v>14</v>
      </c>
      <c r="F24">
        <v>320.17508615384622</v>
      </c>
      <c r="G24">
        <v>600.00000000000011</v>
      </c>
      <c r="H24" s="40">
        <v>1</v>
      </c>
      <c r="I24">
        <v>2969.2307692307695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9630.7692307692287</v>
      </c>
      <c r="R24">
        <v>0</v>
      </c>
      <c r="S24">
        <v>9630.7692307692323</v>
      </c>
      <c r="T24">
        <v>9630.7692307692323</v>
      </c>
      <c r="U24">
        <v>2469.2307692307654</v>
      </c>
      <c r="V24">
        <v>0</v>
      </c>
      <c r="W24">
        <v>9030.7692307692323</v>
      </c>
      <c r="X24">
        <v>0</v>
      </c>
      <c r="Y24">
        <v>499.99999999999994</v>
      </c>
      <c r="Z24">
        <v>13.595047923322683</v>
      </c>
      <c r="AA24">
        <v>74.680000000000007</v>
      </c>
      <c r="AB24" s="44">
        <f>AA24*Flows[[#This Row],[p_tur]]</f>
        <v>23910.675433969238</v>
      </c>
    </row>
    <row r="25" spans="5:28">
      <c r="E25">
        <v>15</v>
      </c>
      <c r="F25">
        <v>337.90198615384617</v>
      </c>
      <c r="G25">
        <v>3.7195184793126558E-12</v>
      </c>
      <c r="H25" s="40">
        <v>0</v>
      </c>
      <c r="I25">
        <v>599.99999999999613</v>
      </c>
      <c r="J25">
        <v>0</v>
      </c>
      <c r="K25">
        <v>0.99999999999999989</v>
      </c>
      <c r="L25">
        <v>0</v>
      </c>
      <c r="M25">
        <v>0</v>
      </c>
      <c r="N25">
        <v>0</v>
      </c>
      <c r="O25">
        <v>0</v>
      </c>
      <c r="P25">
        <v>0</v>
      </c>
      <c r="Q25">
        <v>9530.7692307692323</v>
      </c>
      <c r="R25">
        <v>0</v>
      </c>
      <c r="S25">
        <v>9530.7692307692341</v>
      </c>
      <c r="T25">
        <v>9530.7692307692323</v>
      </c>
      <c r="U25">
        <v>99.999999999995993</v>
      </c>
      <c r="V25">
        <v>0</v>
      </c>
      <c r="W25">
        <v>9530.7692307692305</v>
      </c>
      <c r="X25">
        <v>0</v>
      </c>
      <c r="Y25">
        <v>500</v>
      </c>
      <c r="Z25">
        <v>13.999999999999996</v>
      </c>
      <c r="AA25">
        <v>86.84</v>
      </c>
      <c r="AB25" s="44">
        <f>AA25*Flows[[#This Row],[p_tur]]</f>
        <v>29343.408477600002</v>
      </c>
    </row>
    <row r="26" spans="5:28">
      <c r="E26">
        <v>16</v>
      </c>
      <c r="F26">
        <v>355.62888615384622</v>
      </c>
      <c r="G26">
        <v>0</v>
      </c>
      <c r="H26" s="40">
        <v>0</v>
      </c>
      <c r="I26">
        <v>3.719518479312655E-12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10030.769230769229</v>
      </c>
      <c r="R26">
        <v>0</v>
      </c>
      <c r="S26">
        <v>10030.769230769232</v>
      </c>
      <c r="T26">
        <v>10030.769230769229</v>
      </c>
      <c r="U26">
        <v>0</v>
      </c>
      <c r="V26">
        <v>499.99999999999608</v>
      </c>
      <c r="W26">
        <v>10030.769230769232</v>
      </c>
      <c r="X26">
        <v>0</v>
      </c>
      <c r="Y26">
        <v>500</v>
      </c>
      <c r="Z26">
        <v>14</v>
      </c>
      <c r="AA26">
        <v>97.79</v>
      </c>
      <c r="AB26" s="44">
        <f>AA26*Flows[[#This Row],[p_tur]]</f>
        <v>34776.948776984624</v>
      </c>
    </row>
    <row r="27" spans="5:28">
      <c r="E27">
        <v>17</v>
      </c>
      <c r="F27">
        <v>366.14602039160837</v>
      </c>
      <c r="G27">
        <v>1772.5874125874145</v>
      </c>
      <c r="H27" s="40">
        <v>1</v>
      </c>
      <c r="I27">
        <v>0</v>
      </c>
      <c r="J27">
        <v>1772.5874125874145</v>
      </c>
      <c r="K27">
        <v>0</v>
      </c>
      <c r="L27">
        <v>0.99999999999999989</v>
      </c>
      <c r="M27">
        <v>0</v>
      </c>
      <c r="N27">
        <v>0</v>
      </c>
      <c r="O27">
        <v>0</v>
      </c>
      <c r="P27">
        <v>0</v>
      </c>
      <c r="Q27">
        <v>12099.999999999998</v>
      </c>
      <c r="R27">
        <v>0</v>
      </c>
      <c r="S27">
        <v>12100</v>
      </c>
      <c r="T27">
        <v>12099.999999999998</v>
      </c>
      <c r="U27">
        <v>0</v>
      </c>
      <c r="V27">
        <v>2069.2307692307704</v>
      </c>
      <c r="W27">
        <v>10327.412587412586</v>
      </c>
      <c r="X27">
        <v>0</v>
      </c>
      <c r="Y27">
        <v>296.64335664335351</v>
      </c>
      <c r="Z27">
        <v>13.047783621337338</v>
      </c>
      <c r="AA27">
        <v>91.29</v>
      </c>
      <c r="AB27" s="44">
        <f>AA27*Flows[[#This Row],[p_tur]]</f>
        <v>33425.470201549928</v>
      </c>
    </row>
    <row r="28" spans="5:28">
      <c r="E28">
        <v>18</v>
      </c>
      <c r="F28">
        <v>345.64727784615383</v>
      </c>
      <c r="G28">
        <v>1772.5874125874145</v>
      </c>
      <c r="H28" s="40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11521.818181818182</v>
      </c>
      <c r="R28">
        <v>0</v>
      </c>
      <c r="S28">
        <v>11521.818181818182</v>
      </c>
      <c r="T28">
        <v>11521.818181818186</v>
      </c>
      <c r="U28">
        <v>578.18181818181415</v>
      </c>
      <c r="V28">
        <v>0</v>
      </c>
      <c r="W28">
        <v>9749.2307692307677</v>
      </c>
      <c r="X28">
        <v>578.18181818181563</v>
      </c>
      <c r="Y28">
        <v>0</v>
      </c>
      <c r="Z28">
        <v>12.999999999999998</v>
      </c>
      <c r="AA28">
        <v>99.07</v>
      </c>
      <c r="AB28" s="44">
        <f>AA28*Flows[[#This Row],[p_tur]]</f>
        <v>34243.275816218455</v>
      </c>
    </row>
    <row r="29" spans="5:28">
      <c r="E29">
        <v>19</v>
      </c>
      <c r="F29">
        <v>310.19347784615388</v>
      </c>
      <c r="G29">
        <v>3350.7692307692305</v>
      </c>
      <c r="H29" s="40">
        <v>1</v>
      </c>
      <c r="I29">
        <v>0</v>
      </c>
      <c r="J29">
        <v>1578.1818181818157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12100.000000000002</v>
      </c>
      <c r="R29">
        <v>0</v>
      </c>
      <c r="S29">
        <v>12100</v>
      </c>
      <c r="T29">
        <v>12099.999999999998</v>
      </c>
      <c r="U29">
        <v>0</v>
      </c>
      <c r="V29">
        <v>578.18181818181404</v>
      </c>
      <c r="W29">
        <v>8749.2307692307695</v>
      </c>
      <c r="X29">
        <v>1000</v>
      </c>
      <c r="Y29">
        <v>0</v>
      </c>
      <c r="Z29">
        <v>12.2</v>
      </c>
      <c r="AA29">
        <v>103.56</v>
      </c>
      <c r="AB29" s="44">
        <f>AA29*Flows[[#This Row],[p_tur]]</f>
        <v>32123.636565747696</v>
      </c>
    </row>
    <row r="30" spans="5:28">
      <c r="E30">
        <v>20</v>
      </c>
      <c r="F30">
        <v>327.92037784615394</v>
      </c>
      <c r="G30">
        <v>1956.485490498027</v>
      </c>
      <c r="H30" s="40">
        <v>1</v>
      </c>
      <c r="I30">
        <v>1394.2837402712032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11205.716259728795</v>
      </c>
      <c r="R30">
        <v>0</v>
      </c>
      <c r="S30">
        <v>11205.716259728799</v>
      </c>
      <c r="T30">
        <v>11205.716259728797</v>
      </c>
      <c r="U30">
        <v>894.28374027120515</v>
      </c>
      <c r="V30">
        <v>0</v>
      </c>
      <c r="W30">
        <v>9249.2307692307713</v>
      </c>
      <c r="X30">
        <v>0</v>
      </c>
      <c r="Y30">
        <v>500</v>
      </c>
      <c r="Z30">
        <v>12.865118891691001</v>
      </c>
      <c r="AA30">
        <v>108.67</v>
      </c>
      <c r="AB30" s="44">
        <f>AA30*Flows[[#This Row],[p_tur]]</f>
        <v>35635.107460541549</v>
      </c>
    </row>
    <row r="31" spans="5:28">
      <c r="E31">
        <v>21</v>
      </c>
      <c r="F31">
        <v>341.81519999999989</v>
      </c>
      <c r="G31">
        <v>1956.4854904980266</v>
      </c>
      <c r="H31" s="40">
        <v>1</v>
      </c>
      <c r="I31">
        <v>6.6516272653945443E-13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11597.629740197635</v>
      </c>
      <c r="R31">
        <v>0</v>
      </c>
      <c r="S31">
        <v>11597.629740197634</v>
      </c>
      <c r="T31">
        <v>11597.629740197635</v>
      </c>
      <c r="U31">
        <v>0</v>
      </c>
      <c r="V31">
        <v>391.91348046884002</v>
      </c>
      <c r="W31">
        <v>9641.144249699606</v>
      </c>
      <c r="X31">
        <v>0</v>
      </c>
      <c r="Y31">
        <v>391.91348046883837</v>
      </c>
      <c r="Z31">
        <v>12.903469418051928</v>
      </c>
      <c r="AA31">
        <v>98.73</v>
      </c>
      <c r="AB31" s="44">
        <f>AA31*Flows[[#This Row],[p_tur]]</f>
        <v>33747.414695999993</v>
      </c>
    </row>
    <row r="32" spans="5:28">
      <c r="E32">
        <v>22</v>
      </c>
      <c r="F32">
        <v>306.36139999999995</v>
      </c>
      <c r="G32">
        <v>1956.4854904980264</v>
      </c>
      <c r="H32" s="40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10597.629740197634</v>
      </c>
      <c r="R32">
        <v>0</v>
      </c>
      <c r="S32">
        <v>10597.629740197634</v>
      </c>
      <c r="T32">
        <v>10597.62974019763</v>
      </c>
      <c r="U32">
        <v>1000.0000000000039</v>
      </c>
      <c r="V32">
        <v>0</v>
      </c>
      <c r="W32">
        <v>8641.144249699606</v>
      </c>
      <c r="X32">
        <v>1000</v>
      </c>
      <c r="Y32">
        <v>0</v>
      </c>
      <c r="Z32">
        <v>12.799999999999999</v>
      </c>
      <c r="AA32">
        <v>91.91</v>
      </c>
      <c r="AB32" s="44">
        <f>AA32*Flows[[#This Row],[p_tur]]</f>
        <v>28157.676273999994</v>
      </c>
    </row>
    <row r="33" spans="5:28">
      <c r="E33">
        <v>23</v>
      </c>
      <c r="F33">
        <v>270.90759999999995</v>
      </c>
      <c r="G33">
        <v>2926.3956700977228</v>
      </c>
      <c r="H33" s="40">
        <v>1</v>
      </c>
      <c r="I33">
        <v>0</v>
      </c>
      <c r="J33">
        <v>969.91017959969656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10567.539919797333</v>
      </c>
      <c r="R33">
        <v>0</v>
      </c>
      <c r="S33">
        <v>10567.539919797329</v>
      </c>
      <c r="T33">
        <v>10567.539919797331</v>
      </c>
      <c r="U33">
        <v>30.089820400299839</v>
      </c>
      <c r="V33">
        <v>0</v>
      </c>
      <c r="W33">
        <v>7641.1442496996069</v>
      </c>
      <c r="X33">
        <v>1000</v>
      </c>
      <c r="Y33">
        <v>0</v>
      </c>
      <c r="Z33">
        <v>12.2</v>
      </c>
      <c r="AA33">
        <v>53.34</v>
      </c>
      <c r="AB33" s="44">
        <f>AA33*Flows[[#This Row],[p_tur]]</f>
        <v>14450.211383999998</v>
      </c>
    </row>
    <row r="34" spans="5:28">
      <c r="E34">
        <v>24</v>
      </c>
      <c r="F34">
        <v>235.4538</v>
      </c>
      <c r="G34">
        <v>1541.4062328108721</v>
      </c>
      <c r="H34" s="40">
        <v>1</v>
      </c>
      <c r="I34">
        <v>1384.98943728685</v>
      </c>
      <c r="J34">
        <v>0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8182.5504825104817</v>
      </c>
      <c r="R34">
        <v>0</v>
      </c>
      <c r="S34">
        <v>8182.5504825104799</v>
      </c>
      <c r="T34">
        <v>8182.5504825104799</v>
      </c>
      <c r="U34">
        <v>2384.9894372868516</v>
      </c>
      <c r="V34">
        <v>0</v>
      </c>
      <c r="W34">
        <v>6641.1442496996087</v>
      </c>
      <c r="X34">
        <v>1000</v>
      </c>
      <c r="Y34">
        <v>0</v>
      </c>
      <c r="Z34">
        <v>12.77554797435277</v>
      </c>
      <c r="AA34">
        <v>48.72</v>
      </c>
      <c r="AB34" s="44">
        <f>AA34*Flows[[#This Row],[p_tur]]</f>
        <v>11471.309136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2024-08-07T15:36:49Z</dcterms:modified>
</cp:coreProperties>
</file>