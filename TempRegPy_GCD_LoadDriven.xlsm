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F94BF960-14A3-4B77-92F5-C2A2E5A54870}" xr6:coauthVersionLast="47" xr6:coauthVersionMax="47" xr10:uidLastSave="{00000000-0000-0000-0000-000000000000}"/>
  <bookViews>
    <workbookView xWindow="-3744" yWindow="-17388" windowWidth="30936" windowHeight="16776" xr2:uid="{EDE72A4E-5E83-4998-A3FD-57974B6FA13E}"/>
  </bookViews>
  <sheets>
    <sheet name="Inputs" sheetId="1" r:id="rId1"/>
    <sheet name="Results" sheetId="7" r:id="rId2"/>
    <sheet name="Sheet1" sheetId="8" r:id="rId3"/>
  </sheets>
  <definedNames>
    <definedName name="ExternalData_1" localSheetId="1" hidden="1">Results!$E$10:$Z$34</definedName>
    <definedName name="FolderPath">Results!$G$3</definedName>
    <definedName name="PlantName">Results!$E$6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7" l="1"/>
  <c r="H65" i="1"/>
  <c r="H70" i="1"/>
  <c r="H71" i="1"/>
  <c r="H78" i="1"/>
  <c r="H79" i="1"/>
  <c r="H80" i="1"/>
  <c r="H81" i="1"/>
  <c r="H82" i="1"/>
  <c r="H83" i="1"/>
  <c r="AA11" i="7" l="1" a="1"/>
  <c r="AA11" i="7" s="1"/>
  <c r="AA9" i="7" s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G66" i="1"/>
  <c r="H61" i="1"/>
  <c r="H50" i="1"/>
  <c r="H44" i="1"/>
  <c r="H35" i="1"/>
  <c r="H26" i="1"/>
  <c r="J9" i="7"/>
  <c r="I9" i="7"/>
  <c r="O9" i="7"/>
  <c r="N9" i="7"/>
  <c r="V9" i="7"/>
  <c r="U9" i="7"/>
  <c r="Y9" i="7"/>
  <c r="X9" i="7"/>
  <c r="H9" i="7"/>
  <c r="K9" i="7"/>
  <c r="L9" i="7"/>
  <c r="M9" i="7"/>
  <c r="P9" i="7"/>
  <c r="Q9" i="7"/>
  <c r="R9" i="7"/>
  <c r="S9" i="7"/>
  <c r="T9" i="7"/>
  <c r="W9" i="7"/>
  <c r="G9" i="7"/>
  <c r="F9" i="7"/>
  <c r="AB22" i="7" l="1"/>
  <c r="AB34" i="7"/>
  <c r="AB26" i="7"/>
  <c r="AB18" i="7"/>
  <c r="AB30" i="7"/>
  <c r="AB33" i="7"/>
  <c r="AB25" i="7"/>
  <c r="AB17" i="7"/>
  <c r="AB29" i="7"/>
  <c r="AB32" i="7"/>
  <c r="AB24" i="7"/>
  <c r="AB16" i="7"/>
  <c r="AB31" i="7"/>
  <c r="AB23" i="7"/>
  <c r="AB15" i="7"/>
  <c r="AB14" i="7"/>
  <c r="AB13" i="7"/>
  <c r="AB28" i="7"/>
  <c r="AB20" i="7"/>
  <c r="AB12" i="7"/>
  <c r="AB21" i="7"/>
  <c r="AB11" i="7"/>
  <c r="AB27" i="7"/>
  <c r="AB19" i="7"/>
  <c r="G3" i="7" a="1"/>
  <c r="G3" i="7" s="1"/>
  <c r="AB9" i="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8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9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<sst xmlns="http://schemas.openxmlformats.org/spreadsheetml/2006/main" count="471" uniqueCount="266">
  <si>
    <t>Glen Canyon Dam Inputs</t>
  </si>
  <si>
    <t>Temperature</t>
  </si>
  <si>
    <t>LMP_values</t>
  </si>
  <si>
    <t>dT_hourly_values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</si>
  <si>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</si>
  <si>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</si>
  <si>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</si>
  <si>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</si>
  <si>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</si>
  <si>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</si>
  <si>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</si>
  <si>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</si>
  <si>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</si>
  <si>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</si>
  <si>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</si>
  <si>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</si>
  <si>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</si>
  <si>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</si>
  <si>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</si>
  <si>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</si>
  <si>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</si>
  <si>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</si>
  <si>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</si>
  <si>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</si>
  <si>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</si>
  <si>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</si>
  <si>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</si>
  <si>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</si>
  <si>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</si>
  <si>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</si>
  <si>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</si>
  <si>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</si>
  <si>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</si>
  <si>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</si>
  <si>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</si>
  <si>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</si>
  <si>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</si>
  <si>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</si>
  <si>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</si>
  <si>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</si>
  <si>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</si>
  <si>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</si>
  <si>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</si>
  <si>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</si>
  <si>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</si>
  <si>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</si>
  <si>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</si>
  <si>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</si>
  <si>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</si>
  <si>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</si>
  <si>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</si>
  <si>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</si>
  <si>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</si>
  <si>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</si>
  <si>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</si>
  <si>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</si>
  <si>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</si>
  <si>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</si>
  <si>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</si>
  <si>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</si>
  <si>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</si>
  <si>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</si>
  <si>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</si>
  <si>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</si>
  <si>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</si>
  <si>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</si>
  <si>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</si>
  <si>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</si>
  <si>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</si>
  <si>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</si>
  <si>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</si>
  <si>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</si>
  <si>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</si>
  <si>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</si>
  <si>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</si>
  <si>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</si>
  <si>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</si>
  <si>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</si>
  <si>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</si>
  <si>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</si>
  <si>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</si>
  <si>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</si>
  <si>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</si>
  <si>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</si>
  <si>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</si>
  <si>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</si>
  <si>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</si>
  <si>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</si>
  <si>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</si>
  <si>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</si>
  <si>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</si>
  <si>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</si>
  <si>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</si>
  <si>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</si>
  <si>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cnstr_tur_ramp</t>
  </si>
  <si>
    <t>cnstr_bp_ramp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</si>
  <si>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</si>
  <si>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</si>
  <si>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</si>
  <si>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</si>
  <si>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</si>
  <si>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</si>
  <si>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</si>
  <si>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</si>
  <si>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</si>
  <si>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</si>
  <si>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</si>
  <si>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</si>
  <si>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</si>
  <si>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</si>
  <si>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</si>
  <si>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</si>
  <si>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</si>
  <si>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</si>
  <si>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</si>
  <si>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Show plots</t>
  </si>
  <si>
    <t>plt_show</t>
  </si>
  <si>
    <t>Path</t>
  </si>
  <si>
    <t>Results</t>
  </si>
  <si>
    <t>Simulation selection</t>
  </si>
  <si>
    <t>MW</t>
  </si>
  <si>
    <t>CFS</t>
  </si>
  <si>
    <t>Bypass Ramp Down</t>
  </si>
  <si>
    <t>Bypass Ramp Up</t>
  </si>
  <si>
    <t>Simulation Folder</t>
  </si>
  <si>
    <t>°C</t>
  </si>
  <si>
    <t>Version</t>
  </si>
  <si>
    <t>version</t>
  </si>
  <si>
    <t>LP</t>
  </si>
  <si>
    <t>Total release - daily (AF)</t>
  </si>
  <si>
    <t>Summary</t>
  </si>
  <si>
    <t>LPM</t>
  </si>
  <si>
    <t>$/MWh</t>
  </si>
  <si>
    <t>Economic Value</t>
  </si>
  <si>
    <t>$</t>
  </si>
  <si>
    <t>Total Ramp Down</t>
  </si>
  <si>
    <t>Total Ramp Up</t>
  </si>
  <si>
    <t>Turbine Ramp Down</t>
  </si>
  <si>
    <t>Turbine Ramp Up</t>
  </si>
  <si>
    <t>Demand</t>
  </si>
  <si>
    <t>Simulation type</t>
  </si>
  <si>
    <t>sim_type</t>
  </si>
  <si>
    <t>Total Release Constraints</t>
  </si>
  <si>
    <t>Bypass Release Constraints</t>
  </si>
  <si>
    <t>Turbine Release Constraints</t>
  </si>
  <si>
    <t>bp_ramp_down_cyc</t>
  </si>
  <si>
    <t>bp_ramp_up_cyc</t>
  </si>
  <si>
    <t>Bypass release number of RampDown cycles</t>
  </si>
  <si>
    <t>Bypass release number of RampUp cycles</t>
  </si>
  <si>
    <t>MILP</t>
  </si>
  <si>
    <t>Name</t>
  </si>
  <si>
    <t>GCD</t>
  </si>
  <si>
    <t>Node 1</t>
  </si>
  <si>
    <t>RM61</t>
  </si>
  <si>
    <t>GCD - RM61</t>
  </si>
  <si>
    <t>plants</t>
  </si>
  <si>
    <t>gauges</t>
  </si>
  <si>
    <t>Names</t>
  </si>
  <si>
    <t>nodes</t>
  </si>
  <si>
    <t>plant_to_node</t>
  </si>
  <si>
    <t>GCD - Node 1</t>
  </si>
  <si>
    <t>N01</t>
  </si>
  <si>
    <t>N02</t>
  </si>
  <si>
    <t>N03</t>
  </si>
  <si>
    <t>N04</t>
  </si>
  <si>
    <t>N05</t>
  </si>
  <si>
    <t>N06</t>
  </si>
  <si>
    <t>N07</t>
  </si>
  <si>
    <t>N08</t>
  </si>
  <si>
    <t>N09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</si>
  <si>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</si>
  <si>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</si>
  <si>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</si>
  <si>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</si>
  <si>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</si>
  <si>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</si>
  <si>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</si>
  <si>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</si>
  <si>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</si>
  <si>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</si>
  <si>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</si>
  <si>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</si>
  <si>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</si>
  <si>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</si>
  <si>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</si>
  <si>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T_gauge_hourly_max_values</t>
  </si>
  <si>
    <t>T_gauge_hourly_min_values</t>
  </si>
  <si>
    <t>T_gauge_daily</t>
  </si>
  <si>
    <t>river_topology</t>
  </si>
  <si>
    <t>Gauge Release Constraints</t>
  </si>
  <si>
    <t>Gauge release RampDown rate (CFS/h)</t>
  </si>
  <si>
    <t>Q_gg_ramp_up_max</t>
  </si>
  <si>
    <t>Gauge release RampUp rate (CFS/h)</t>
  </si>
  <si>
    <t>Q_gg_ramp_down_max</t>
  </si>
  <si>
    <t>Gauge release minimum - hourly (CFS)</t>
  </si>
  <si>
    <t>Q_gg_min_values</t>
  </si>
  <si>
    <t>Gauge release maximum - hourly (CFS)</t>
  </si>
  <si>
    <t>Q_gg_max_values</t>
  </si>
  <si>
    <t>Gauge release cycling constraint t01=t24</t>
  </si>
  <si>
    <t>cnstr_gg_t01t24</t>
  </si>
  <si>
    <t>cnstr_gg_ramp</t>
  </si>
  <si>
    <t>C_gg_ramp_up</t>
  </si>
  <si>
    <t>C_gg_ramp_down</t>
  </si>
  <si>
    <t>Gage release ramp up penalty cost ($/CFS)</t>
  </si>
  <si>
    <t>Gage release ramp down penalty cost ($/CFS)</t>
  </si>
  <si>
    <t>Plants</t>
  </si>
  <si>
    <t>Gauges</t>
  </si>
  <si>
    <t>Power Nodes</t>
  </si>
  <si>
    <t>River Topology</t>
  </si>
  <si>
    <t>Plant supply to Power Node</t>
  </si>
  <si>
    <t>Sinks</t>
  </si>
  <si>
    <t>sinks</t>
  </si>
  <si>
    <t>Sources</t>
  </si>
  <si>
    <t>sources</t>
  </si>
  <si>
    <t>Flow Limits From node I to node J</t>
  </si>
  <si>
    <t>Max Flow From GCD - RM61</t>
  </si>
  <si>
    <t>Min Flow From GCD - RM61</t>
  </si>
  <si>
    <t>Total daily release</t>
  </si>
  <si>
    <t>Flow_i_j_max</t>
  </si>
  <si>
    <t>Flow_i_j_min</t>
  </si>
  <si>
    <t>bp_ramp_tot_cyc</t>
  </si>
  <si>
    <t>Hour</t>
  </si>
  <si>
    <t>p_tur</t>
  </si>
  <si>
    <t>q_bp</t>
  </si>
  <si>
    <t>q_bp_committed</t>
  </si>
  <si>
    <t>q_bp_ramp_down</t>
  </si>
  <si>
    <t>q_bp_ramp_up</t>
  </si>
  <si>
    <t>q_bp_rr_down_change</t>
  </si>
  <si>
    <t>q_bp_rr_up_change</t>
  </si>
  <si>
    <t>q_gg</t>
  </si>
  <si>
    <t>q_gg_ramp_down</t>
  </si>
  <si>
    <t>q_gg_ramp_up</t>
  </si>
  <si>
    <t>q_in_flow</t>
  </si>
  <si>
    <t>q_out_flow</t>
  </si>
  <si>
    <t>q_sink</t>
  </si>
  <si>
    <t>q_source</t>
  </si>
  <si>
    <t>q_tot</t>
  </si>
  <si>
    <t>q_tot_ramp_down</t>
  </si>
  <si>
    <t>q_tot_ramp_up</t>
  </si>
  <si>
    <t>q_tur</t>
  </si>
  <si>
    <t>q_tur_ramp_down</t>
  </si>
  <si>
    <t>q_tur_ramp_up</t>
  </si>
  <si>
    <t>T_plant</t>
  </si>
  <si>
    <t>Plant to be displayed</t>
  </si>
  <si>
    <t>Bypass Committment Status</t>
  </si>
  <si>
    <t>Bypass Ramp Down Change</t>
  </si>
  <si>
    <t>Bypass Ramp Up Change</t>
  </si>
  <si>
    <t>Gauge Flow</t>
  </si>
  <si>
    <t>Bypass Flow</t>
  </si>
  <si>
    <t>Gauge Ramp Down</t>
  </si>
  <si>
    <t>Gauge Ramp Up</t>
  </si>
  <si>
    <t>In flows</t>
  </si>
  <si>
    <t>Out Flows</t>
  </si>
  <si>
    <t>Sink</t>
  </si>
  <si>
    <t>Source</t>
  </si>
  <si>
    <t>Total Plant Relese</t>
  </si>
  <si>
    <t>Turbine Flow</t>
  </si>
  <si>
    <t>Plant temeprature</t>
  </si>
  <si>
    <t>-</t>
  </si>
  <si>
    <t>Bypass release number of total ramp up and down cycles</t>
  </si>
  <si>
    <t>bp_forced_commit</t>
  </si>
  <si>
    <t>Bypass forced commitment state (-)</t>
  </si>
  <si>
    <t>v0.1.2</t>
  </si>
  <si>
    <t>Week10_WD_alt1</t>
  </si>
  <si>
    <t>C:\Users\mpavicevic\AppData\Local\miniconda3\envs\tempregpy\python.exe</t>
  </si>
  <si>
    <t>Week10_WD_alt2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</si>
</sst>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7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000000"/>
      <name val="Aptos Narrow"/>
      <family val="2"/>
    </font>
    <font>
      <i/>
      <sz val="11"/>
      <color rgb="FFFF0000"/>
      <name val="Aptos Narrow"/>
      <family val="2"/>
      <scheme val="minor"/>
    </font>
    <font>
      <b/>
      <sz val="11"/>
      <color theme="3" tint="0.24994659260841701"/>
      <name val="Aptos Narrow"/>
      <family val="2"/>
      <scheme val="minor"/>
    </font>
    <font>
      <sz val="11"/>
      <color theme="3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</borders>
  <cellStyleXfs count="10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1" fillId="0" borderId="5" applyNumberFormat="0" applyFill="0" applyAlignment="0" applyProtection="0"/>
    <xf numFmtId="0" fontId="12" fillId="6" borderId="0" applyNumberFormat="0" applyBorder="0" applyAlignment="0" applyProtection="0"/>
    <xf numFmtId="0" fontId="14" fillId="0" borderId="0" applyNumberFormat="0" applyFill="0" applyBorder="0" applyAlignment="0" applyProtection="0"/>
  </cellStyleXfs>
  <cellXfs count="44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3" fontId="8" fillId="4" borderId="3" xfId="6" applyNumberFormat="1"/>
    <xf numFmtId="164" fontId="8" fillId="4" borderId="3" xfId="6" applyNumberFormat="1"/>
    <xf numFmtId="0" fontId="9" fillId="5" borderId="2" xfId="5" applyFont="1" applyFill="1" applyBorder="1"/>
    <xf numFmtId="0" fontId="10" fillId="5" borderId="2" xfId="3" applyFont="1" applyFill="1" applyAlignment="1">
      <alignment horizontal="center"/>
    </xf>
    <xf numFmtId="0" fontId="8" fillId="0" borderId="0" xfId="6" applyFill="1" applyBorder="1"/>
    <xf numFmtId="0" fontId="12" fillId="6" borderId="0" xfId="8"/>
    <xf numFmtId="0" fontId="12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1" fillId="0" borderId="5" xfId="7" applyFill="1"/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2" fillId="0" borderId="0" xfId="8" applyFill="1"/>
    <xf numFmtId="0" fontId="1" fillId="0" borderId="4" xfId="1"/>
    <xf numFmtId="0" fontId="3" fillId="0" borderId="2" xfId="3"/>
    <xf numFmtId="3" fontId="12" fillId="6" borderId="3" xfId="8" applyNumberFormat="1" applyBorder="1"/>
    <xf numFmtId="0" fontId="14" fillId="0" borderId="7" xfId="9" applyFill="1" applyBorder="1"/>
    <xf numFmtId="0" fontId="12" fillId="7" borderId="0" xfId="8" applyFill="1"/>
    <xf numFmtId="0" fontId="0" fillId="7" borderId="0" xfId="0" applyFill="1"/>
    <xf numFmtId="0" fontId="12" fillId="7" borderId="0" xfId="8" applyFill="1" applyBorder="1" applyAlignment="1">
      <alignment horizontal="center"/>
    </xf>
    <xf numFmtId="0" fontId="3" fillId="0" borderId="0" xfId="3" applyBorder="1"/>
    <xf numFmtId="0" fontId="3" fillId="0" borderId="0" xfId="3" applyFill="1" applyBorder="1"/>
    <xf numFmtId="0" fontId="8" fillId="4" borderId="9" xfId="6" applyBorder="1"/>
    <xf numFmtId="0" fontId="0" fillId="0" borderId="0" xfId="0" applyAlignment="1">
      <alignment horizontal="center" vertical="center" wrapText="1"/>
    </xf>
    <xf numFmtId="0" fontId="0" fillId="0" borderId="4" xfId="0" applyBorder="1" applyAlignment="1">
      <alignment horizontal="center"/>
    </xf>
    <xf numFmtId="165" fontId="15" fillId="4" borderId="10" xfId="6" applyNumberFormat="1" applyFont="1" applyBorder="1"/>
    <xf numFmtId="0" fontId="16" fillId="0" borderId="5" xfId="7" applyFont="1" applyFill="1" applyAlignment="1">
      <alignment horizontal="left" indent="1"/>
    </xf>
    <xf numFmtId="0" fontId="14" fillId="0" borderId="0" xfId="9" applyFill="1" applyBorder="1"/>
    <xf numFmtId="0" fontId="16" fillId="0" borderId="0" xfId="7" applyFont="1" applyFill="1" applyBorder="1" applyAlignment="1">
      <alignment horizontal="left" indent="1"/>
    </xf>
    <xf numFmtId="1" fontId="0" fillId="0" borderId="0" xfId="0" applyNumberFormat="1"/>
    <xf numFmtId="0" fontId="3" fillId="0" borderId="2" xfId="3" applyAlignment="1">
      <alignment horizontal="center" vertical="center" wrapText="1"/>
    </xf>
    <xf numFmtId="0" fontId="4" fillId="3" borderId="8" xfId="4" applyBorder="1" applyAlignment="1">
      <alignment horizontal="center" vertical="center"/>
    </xf>
    <xf numFmtId="0" fontId="0" fillId="0" borderId="0" xfId="0" applyAlignment="1">
      <alignment horizontal="left" vertical="center"/>
    </xf>
    <xf numFmtId="165" fontId="0" fillId="0" borderId="0" xfId="0" applyNumberFormat="1"/>
  </cellXfs>
  <cellStyles count="10">
    <cellStyle name="Calculation" xfId="6" builtinId="22" customBuiltin="1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Title" xfId="1" builtinId="15" customBuiltin="1"/>
    <cellStyle name="Warning Text" xfId="5" builtinId="11"/>
  </cellStyles>
  <dxfs count="43"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strike/>
        <color rgb="FFC00000"/>
      </font>
      <numFmt numFmtId="1" formatCode="0"/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3124200</xdr:colOff>
          <xdr:row>2</xdr:row>
          <xdr:rowOff>114300</xdr:rowOff>
        </xdr:from>
        <xdr:to>
          <xdr:col>3</xdr:col>
          <xdr:colOff>4305300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6</xdr:row>
          <xdr:rowOff>60960</xdr:rowOff>
        </xdr:from>
        <xdr:to>
          <xdr:col>3</xdr:col>
          <xdr:colOff>1188720</xdr:colOff>
          <xdr:row>8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Results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DF2F266-D835-4BAC-8257-D75624F19BAE}" autoFormatId="16" applyNumberFormats="0" applyBorderFormats="0" applyFontFormats="0" applyPatternFormats="0" applyAlignmentFormats="0" applyWidthHeightFormats="0">
  <queryTableRefresh nextId="135">
    <queryTableFields count="22">
      <queryTableField id="110" name="Hour" tableColumnId="45"/>
      <queryTableField id="111" name="p_tur" tableColumnId="46"/>
      <queryTableField id="112" name="q_bp" tableColumnId="47"/>
      <queryTableField id="113" name="q_bp_committed" tableColumnId="48"/>
      <queryTableField id="114" name="q_bp_ramp_down" tableColumnId="49"/>
      <queryTableField id="115" name="q_bp_ramp_up" tableColumnId="50"/>
      <queryTableField id="116" name="q_bp_rr_down_change" tableColumnId="51"/>
      <queryTableField id="117" name="q_bp_rr_up_change" tableColumnId="52"/>
      <queryTableField id="118" name="q_gg" tableColumnId="53"/>
      <queryTableField id="119" name="q_gg_ramp_down" tableColumnId="54"/>
      <queryTableField id="120" name="q_gg_ramp_up" tableColumnId="55"/>
      <queryTableField id="121" name="q_in_flow" tableColumnId="56"/>
      <queryTableField id="122" name="q_out_flow" tableColumnId="57"/>
      <queryTableField id="123" name="q_sink" tableColumnId="58"/>
      <queryTableField id="124" name="q_source" tableColumnId="59"/>
      <queryTableField id="125" name="q_tot" tableColumnId="60"/>
      <queryTableField id="126" name="q_tot_ramp_down" tableColumnId="61"/>
      <queryTableField id="127" name="q_tot_ramp_up" tableColumnId="62"/>
      <queryTableField id="128" name="q_tur" tableColumnId="63"/>
      <queryTableField id="129" name="q_tur_ramp_down" tableColumnId="64"/>
      <queryTableField id="130" name="q_tur_ramp_up" tableColumnId="65"/>
      <queryTableField id="131" name="T_plant" tableColumnId="6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018A3B-9F4D-4A44-B817-5FC1E17FA47B}" name="Flows" displayName="Flows" ref="E10:Z34" tableType="queryTable" totalsRowShown="0">
  <autoFilter ref="E10:Z34" xr:uid="{C5018A3B-9F4D-4A44-B817-5FC1E17FA47B}"/>
  <tableColumns count="22">
    <tableColumn id="45" xr3:uid="{6C71F0F8-0163-49EC-BB85-47D0136C8A02}" uniqueName="45" name="Hour" queryTableFieldId="110" dataDxfId="21"/>
    <tableColumn id="46" xr3:uid="{EE2D606C-AB33-4353-AF2B-A9F873DBC849}" uniqueName="46" name="p_tur" queryTableFieldId="111" dataDxfId="20"/>
    <tableColumn id="47" xr3:uid="{CDA1AAB0-BC48-45FA-89CB-6380FCFDF58F}" uniqueName="47" name="q_bp" queryTableFieldId="112" dataDxfId="19"/>
    <tableColumn id="48" xr3:uid="{71400EA2-8506-4910-953B-6E60B366422E}" uniqueName="48" name="q_bp_committed" queryTableFieldId="113" dataDxfId="0"/>
    <tableColumn id="49" xr3:uid="{8186E766-E88A-4B93-8BD6-452DFDB7D946}" uniqueName="49" name="q_bp_ramp_down" queryTableFieldId="114" dataDxfId="18"/>
    <tableColumn id="50" xr3:uid="{AA0C2BD9-7C93-4912-AA6D-8BA6A79CA8FB}" uniqueName="50" name="q_bp_ramp_up" queryTableFieldId="115" dataDxfId="17"/>
    <tableColumn id="51" xr3:uid="{89936BF6-E129-46E2-9E73-958D5ED6F4D5}" uniqueName="51" name="q_bp_rr_down_change" queryTableFieldId="116" dataDxfId="16"/>
    <tableColumn id="52" xr3:uid="{FAF80359-7339-43D4-9355-3E02E8F66C38}" uniqueName="52" name="q_bp_rr_up_change" queryTableFieldId="117" dataDxfId="15"/>
    <tableColumn id="53" xr3:uid="{61240F60-100C-4FCA-9359-60F0C4915F0E}" uniqueName="53" name="q_gg" queryTableFieldId="118" dataDxfId="14"/>
    <tableColumn id="54" xr3:uid="{BC98FC23-3CBF-4558-9152-ACBAD17F0133}" uniqueName="54" name="q_gg_ramp_down" queryTableFieldId="119" dataDxfId="13"/>
    <tableColumn id="55" xr3:uid="{EE83055B-9623-4CFA-92D9-047365FEA812}" uniqueName="55" name="q_gg_ramp_up" queryTableFieldId="120" dataDxfId="12"/>
    <tableColumn id="56" xr3:uid="{5F51997C-B2BF-49B5-B54B-9E77CFE8C400}" uniqueName="56" name="q_in_flow" queryTableFieldId="121" dataDxfId="11"/>
    <tableColumn id="57" xr3:uid="{B4DF2E48-3152-4EC3-B269-A02AD715AC60}" uniqueName="57" name="q_out_flow" queryTableFieldId="122" dataDxfId="10"/>
    <tableColumn id="58" xr3:uid="{31AD7833-F7E1-460D-A8C3-77C023D0A7C9}" uniqueName="58" name="q_sink" queryTableFieldId="123" dataDxfId="9"/>
    <tableColumn id="59" xr3:uid="{373C05EE-8587-4F41-B806-13750CE647E5}" uniqueName="59" name="q_source" queryTableFieldId="124" dataDxfId="8"/>
    <tableColumn id="60" xr3:uid="{C22A4875-A0A9-4201-90AE-F9A4F1D7E443}" uniqueName="60" name="q_tot" queryTableFieldId="125" dataDxfId="7"/>
    <tableColumn id="61" xr3:uid="{77406859-CEEA-42A8-8FF9-058C58D695C1}" uniqueName="61" name="q_tot_ramp_down" queryTableFieldId="126" dataDxfId="6"/>
    <tableColumn id="62" xr3:uid="{54B5D12C-77CE-49A0-932E-1C259957F885}" uniqueName="62" name="q_tot_ramp_up" queryTableFieldId="127" dataDxfId="5"/>
    <tableColumn id="63" xr3:uid="{61B5BD0F-C1C3-42F2-875E-F3BC219A3291}" uniqueName="63" name="q_tur" queryTableFieldId="128" dataDxfId="4"/>
    <tableColumn id="64" xr3:uid="{767C8A97-62FF-4D21-AAE1-7F07D9E71630}" uniqueName="64" name="q_tur_ramp_down" queryTableFieldId="129" dataDxfId="3"/>
    <tableColumn id="65" xr3:uid="{A5AA19B3-EEF9-4122-9721-C5D9B0ABD663}" uniqueName="65" name="q_tur_ramp_up" queryTableFieldId="130" dataDxfId="2"/>
    <tableColumn id="66" xr3:uid="{FC54F758-AE2E-478C-A250-0C2ACA2A0E43}" uniqueName="66" name="T_plant" queryTableFieldId="131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D1:AE85"/>
  <sheetViews>
    <sheetView tabSelected="1" zoomScale="85" zoomScaleNormal="85" workbookViewId="0">
      <selection activeCell="H64" sqref="H64:AE64"/>
    </sheetView>
  </sheetViews>
  <sheetFormatPr defaultRowHeight="14.4"/>
  <cols>
    <col min="1" max="3" width="1.6640625" customWidth="1"/>
    <col min="4" max="4" width="69.33203125" bestFit="1" customWidth="1"/>
    <col min="5" max="5" width="29" bestFit="1" customWidth="1"/>
    <col min="6" max="6" width="12.44140625" customWidth="1"/>
    <col min="7" max="7" width="13.109375" bestFit="1" customWidth="1"/>
  </cols>
  <sheetData>
    <row r="1" spans="4:31" ht="24" thickBot="1">
      <c r="D1" s="6" t="s">
        <v>0</v>
      </c>
      <c r="E1" s="12" t="s">
        <v>32</v>
      </c>
      <c r="F1" s="12" t="s">
        <v>150</v>
      </c>
      <c r="G1" s="13" t="s">
        <v>58</v>
      </c>
      <c r="H1" s="13" t="s">
        <v>7</v>
      </c>
      <c r="I1" s="13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  <c r="V1" s="13" t="s">
        <v>21</v>
      </c>
      <c r="W1" s="13" t="s">
        <v>22</v>
      </c>
      <c r="X1" s="13" t="s">
        <v>23</v>
      </c>
      <c r="Y1" s="13" t="s">
        <v>24</v>
      </c>
      <c r="Z1" s="13" t="s">
        <v>25</v>
      </c>
      <c r="AA1" s="13" t="s">
        <v>26</v>
      </c>
      <c r="AB1" s="13" t="s">
        <v>27</v>
      </c>
      <c r="AC1" s="13" t="s">
        <v>28</v>
      </c>
      <c r="AD1" s="13" t="s">
        <v>29</v>
      </c>
      <c r="AE1" s="13" t="s">
        <v>30</v>
      </c>
    </row>
    <row r="2" spans="4:31" ht="15.75" customHeight="1" thickTop="1" thickBot="1">
      <c r="D2" s="1" t="s">
        <v>111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4:31" ht="15.75" customHeight="1" thickTop="1">
      <c r="D3" t="s">
        <v>126</v>
      </c>
      <c r="E3" s="2" t="s">
        <v>127</v>
      </c>
      <c r="F3" s="2"/>
      <c r="G3" s="14" t="s">
        <v>262</v>
      </c>
      <c r="H3" s="21"/>
      <c r="I3" s="27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9"/>
    </row>
    <row r="4" spans="4:31" ht="15.75" customHeight="1">
      <c r="D4" t="s">
        <v>110</v>
      </c>
      <c r="G4" s="19" t="s">
        <v>112</v>
      </c>
      <c r="H4" s="20" t="s">
        <v>113</v>
      </c>
      <c r="I4" s="15" t="s">
        <v>114</v>
      </c>
      <c r="J4" s="2" t="s">
        <v>109</v>
      </c>
      <c r="AD4" s="15" t="s">
        <v>128</v>
      </c>
      <c r="AE4" s="15" t="b">
        <v>1</v>
      </c>
    </row>
    <row r="5" spans="4:31" ht="15.75" customHeight="1">
      <c r="G5" s="14"/>
      <c r="H5" s="21"/>
      <c r="I5" s="22"/>
      <c r="P5">
        <v>516302.49767432816</v>
      </c>
      <c r="AD5" s="15" t="s">
        <v>149</v>
      </c>
      <c r="AE5" s="16" t="b">
        <v>0</v>
      </c>
    </row>
    <row r="6" spans="4:31" ht="15.75" customHeight="1" thickBot="1">
      <c r="D6" s="1" t="s">
        <v>93</v>
      </c>
      <c r="E6" s="7" t="s">
        <v>32</v>
      </c>
      <c r="F6" s="7"/>
      <c r="G6" s="3" t="s">
        <v>58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4:31" ht="15.75" customHeight="1" thickTop="1">
      <c r="D7" t="s">
        <v>92</v>
      </c>
      <c r="E7" s="2" t="s">
        <v>91</v>
      </c>
      <c r="F7" s="2"/>
      <c r="G7" s="25" t="s">
        <v>264</v>
      </c>
    </row>
    <row r="8" spans="4:31" ht="15.75" customHeight="1">
      <c r="D8" t="s">
        <v>108</v>
      </c>
      <c r="E8" s="2" t="s">
        <v>107</v>
      </c>
      <c r="F8" s="2"/>
      <c r="G8" s="4" t="s">
        <v>265</v>
      </c>
    </row>
    <row r="9" spans="4:31" ht="15.75" customHeight="1">
      <c r="D9" t="s">
        <v>115</v>
      </c>
      <c r="E9" s="2" t="s">
        <v>116</v>
      </c>
      <c r="F9" s="2"/>
      <c r="G9" s="4" t="b">
        <v>1</v>
      </c>
    </row>
    <row r="10" spans="4:31" ht="15.75" customHeight="1">
      <c r="D10" t="s">
        <v>140</v>
      </c>
      <c r="E10" s="2" t="s">
        <v>141</v>
      </c>
      <c r="F10" s="2"/>
      <c r="G10" s="4" t="s">
        <v>149</v>
      </c>
    </row>
    <row r="12" spans="4:31" ht="20.399999999999999" thickBot="1">
      <c r="D12" s="1" t="s">
        <v>157</v>
      </c>
      <c r="E12" s="7" t="s">
        <v>32</v>
      </c>
      <c r="F12" s="3" t="s">
        <v>150</v>
      </c>
      <c r="G12" s="3"/>
      <c r="H12" s="3" t="s">
        <v>161</v>
      </c>
      <c r="I12" s="3" t="s">
        <v>162</v>
      </c>
      <c r="J12" s="3" t="s">
        <v>163</v>
      </c>
      <c r="K12" s="3" t="s">
        <v>164</v>
      </c>
      <c r="L12" s="3" t="s">
        <v>165</v>
      </c>
      <c r="M12" s="3" t="s">
        <v>166</v>
      </c>
      <c r="N12" s="3" t="s">
        <v>167</v>
      </c>
      <c r="O12" s="3" t="s">
        <v>168</v>
      </c>
      <c r="P12" s="3" t="s">
        <v>169</v>
      </c>
      <c r="Q12" s="3" t="s">
        <v>170</v>
      </c>
      <c r="R12" s="3" t="s">
        <v>171</v>
      </c>
      <c r="S12" s="3" t="s">
        <v>172</v>
      </c>
      <c r="T12" s="3" t="s">
        <v>173</v>
      </c>
      <c r="U12" s="3" t="s">
        <v>174</v>
      </c>
      <c r="V12" s="3" t="s">
        <v>175</v>
      </c>
      <c r="W12" s="3" t="s">
        <v>176</v>
      </c>
      <c r="X12" s="3" t="s">
        <v>177</v>
      </c>
      <c r="Y12" s="3" t="s">
        <v>178</v>
      </c>
      <c r="Z12" s="3" t="s">
        <v>179</v>
      </c>
      <c r="AA12" s="3" t="s">
        <v>180</v>
      </c>
      <c r="AB12" s="3" t="s">
        <v>181</v>
      </c>
      <c r="AC12" s="3" t="s">
        <v>182</v>
      </c>
      <c r="AD12" s="3" t="s">
        <v>183</v>
      </c>
      <c r="AE12" s="3" t="s">
        <v>184</v>
      </c>
    </row>
    <row r="13" spans="4:31" ht="15" thickTop="1">
      <c r="D13" t="s">
        <v>205</v>
      </c>
      <c r="E13" s="2" t="s">
        <v>155</v>
      </c>
      <c r="H13" s="8" t="s">
        <v>151</v>
      </c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</row>
    <row r="14" spans="4:31">
      <c r="D14" t="s">
        <v>206</v>
      </c>
      <c r="E14" s="2" t="s">
        <v>156</v>
      </c>
      <c r="H14" s="8" t="s">
        <v>153</v>
      </c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</row>
    <row r="15" spans="4:31">
      <c r="D15" t="s">
        <v>207</v>
      </c>
      <c r="E15" s="2" t="s">
        <v>158</v>
      </c>
      <c r="H15" s="8" t="s">
        <v>152</v>
      </c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</row>
    <row r="16" spans="4:31">
      <c r="D16" t="s">
        <v>208</v>
      </c>
      <c r="E16" s="2" t="s">
        <v>188</v>
      </c>
      <c r="H16" s="8" t="s">
        <v>154</v>
      </c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</row>
    <row r="17" spans="4:31">
      <c r="D17" t="s">
        <v>209</v>
      </c>
      <c r="E17" s="2" t="s">
        <v>159</v>
      </c>
      <c r="H17" s="8" t="s">
        <v>160</v>
      </c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</row>
    <row r="18" spans="4:31">
      <c r="D18" t="s">
        <v>212</v>
      </c>
      <c r="E18" s="2" t="s">
        <v>213</v>
      </c>
      <c r="H18" s="8" t="s">
        <v>151</v>
      </c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</row>
    <row r="19" spans="4:31">
      <c r="D19" t="s">
        <v>210</v>
      </c>
      <c r="E19" s="2" t="s">
        <v>211</v>
      </c>
      <c r="H19" s="8" t="s">
        <v>153</v>
      </c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</row>
    <row r="21" spans="4:31" ht="20.399999999999999" thickBot="1">
      <c r="D21" s="1" t="s">
        <v>53</v>
      </c>
      <c r="E21" s="7" t="s">
        <v>32</v>
      </c>
      <c r="F21" s="3" t="s">
        <v>150</v>
      </c>
      <c r="G21" s="3" t="s">
        <v>58</v>
      </c>
      <c r="H21" s="3" t="s">
        <v>7</v>
      </c>
      <c r="I21" s="3" t="s">
        <v>8</v>
      </c>
      <c r="J21" s="3" t="s">
        <v>9</v>
      </c>
      <c r="K21" s="3" t="s">
        <v>10</v>
      </c>
      <c r="L21" s="3" t="s">
        <v>11</v>
      </c>
      <c r="M21" s="3" t="s">
        <v>12</v>
      </c>
      <c r="N21" s="3" t="s">
        <v>13</v>
      </c>
      <c r="O21" s="3" t="s">
        <v>14</v>
      </c>
      <c r="P21" s="3" t="s">
        <v>15</v>
      </c>
      <c r="Q21" s="3" t="s">
        <v>16</v>
      </c>
      <c r="R21" s="3" t="s">
        <v>17</v>
      </c>
      <c r="S21" s="3" t="s">
        <v>18</v>
      </c>
      <c r="T21" s="3" t="s">
        <v>19</v>
      </c>
      <c r="U21" s="3" t="s">
        <v>20</v>
      </c>
      <c r="V21" s="3" t="s">
        <v>21</v>
      </c>
      <c r="W21" s="3" t="s">
        <v>22</v>
      </c>
      <c r="X21" s="3" t="s">
        <v>23</v>
      </c>
      <c r="Y21" s="3" t="s">
        <v>24</v>
      </c>
      <c r="Z21" s="3" t="s">
        <v>25</v>
      </c>
      <c r="AA21" s="3" t="s">
        <v>26</v>
      </c>
      <c r="AB21" s="3" t="s">
        <v>27</v>
      </c>
      <c r="AC21" s="3" t="s">
        <v>28</v>
      </c>
      <c r="AD21" s="3" t="s">
        <v>29</v>
      </c>
      <c r="AE21" s="3" t="s">
        <v>30</v>
      </c>
    </row>
    <row r="22" spans="4:31" ht="15.75" customHeight="1" thickTop="1" thickBot="1">
      <c r="D22" s="18" t="s">
        <v>214</v>
      </c>
      <c r="E22" s="2"/>
      <c r="F22" s="2"/>
      <c r="G22" s="4" t="b">
        <v>1</v>
      </c>
    </row>
    <row r="23" spans="4:31">
      <c r="D23" s="17" t="s">
        <v>215</v>
      </c>
      <c r="E23" s="2" t="s">
        <v>218</v>
      </c>
      <c r="F23" s="8" t="s">
        <v>154</v>
      </c>
      <c r="G23" s="2"/>
      <c r="H23" s="8">
        <v>25000</v>
      </c>
      <c r="I23" s="8">
        <v>25000</v>
      </c>
      <c r="J23" s="8">
        <v>25000</v>
      </c>
      <c r="K23" s="8">
        <v>25000</v>
      </c>
      <c r="L23" s="8">
        <v>25000</v>
      </c>
      <c r="M23" s="8">
        <v>25000</v>
      </c>
      <c r="N23" s="8">
        <v>25000</v>
      </c>
      <c r="O23" s="8">
        <v>25000</v>
      </c>
      <c r="P23" s="8">
        <v>25000</v>
      </c>
      <c r="Q23" s="8">
        <v>25000</v>
      </c>
      <c r="R23" s="8">
        <v>25000</v>
      </c>
      <c r="S23" s="8">
        <v>25000</v>
      </c>
      <c r="T23" s="8">
        <v>25000</v>
      </c>
      <c r="U23" s="8">
        <v>25000</v>
      </c>
      <c r="V23" s="8">
        <v>25000</v>
      </c>
      <c r="W23" s="8">
        <v>25000</v>
      </c>
      <c r="X23" s="8">
        <v>25000</v>
      </c>
      <c r="Y23" s="8">
        <v>25000</v>
      </c>
      <c r="Z23" s="8">
        <v>25000</v>
      </c>
      <c r="AA23" s="8">
        <v>25000</v>
      </c>
      <c r="AB23" s="8">
        <v>25000</v>
      </c>
      <c r="AC23" s="8">
        <v>25000</v>
      </c>
      <c r="AD23" s="8">
        <v>25000</v>
      </c>
      <c r="AE23" s="8">
        <v>25000</v>
      </c>
    </row>
    <row r="24" spans="4:31">
      <c r="D24" s="17" t="s">
        <v>216</v>
      </c>
      <c r="E24" s="2" t="s">
        <v>219</v>
      </c>
      <c r="F24" s="8" t="s">
        <v>154</v>
      </c>
      <c r="G24" s="2"/>
      <c r="H24" s="8">
        <v>5000</v>
      </c>
      <c r="I24" s="8">
        <v>5000</v>
      </c>
      <c r="J24" s="8">
        <v>5000</v>
      </c>
      <c r="K24" s="8">
        <v>5000</v>
      </c>
      <c r="L24" s="8">
        <v>5000</v>
      </c>
      <c r="M24" s="8">
        <v>5000</v>
      </c>
      <c r="N24" s="8">
        <v>8000</v>
      </c>
      <c r="O24" s="8">
        <v>8000</v>
      </c>
      <c r="P24" s="8">
        <v>8000</v>
      </c>
      <c r="Q24" s="8">
        <v>8000</v>
      </c>
      <c r="R24" s="8">
        <v>8000</v>
      </c>
      <c r="S24" s="8">
        <v>8000</v>
      </c>
      <c r="T24" s="8">
        <v>8000</v>
      </c>
      <c r="U24" s="8">
        <v>8000</v>
      </c>
      <c r="V24" s="8">
        <v>8000</v>
      </c>
      <c r="W24" s="8">
        <v>8000</v>
      </c>
      <c r="X24" s="8">
        <v>8000</v>
      </c>
      <c r="Y24" s="8">
        <v>8000</v>
      </c>
      <c r="Z24" s="8">
        <v>5000</v>
      </c>
      <c r="AA24" s="8">
        <v>5000</v>
      </c>
      <c r="AB24" s="8">
        <v>5000</v>
      </c>
      <c r="AC24" s="8">
        <v>5000</v>
      </c>
      <c r="AD24" s="8">
        <v>5000</v>
      </c>
      <c r="AE24" s="8">
        <v>5000</v>
      </c>
    </row>
    <row r="25" spans="4:31" ht="15.75" customHeight="1" thickBot="1">
      <c r="D25" s="18" t="s">
        <v>217</v>
      </c>
      <c r="E25" s="2"/>
      <c r="F25" s="2"/>
    </row>
    <row r="26" spans="4:31">
      <c r="D26" s="17" t="s">
        <v>129</v>
      </c>
      <c r="E26" s="2" t="s">
        <v>59</v>
      </c>
      <c r="F26" s="8" t="s">
        <v>151</v>
      </c>
      <c r="G26" s="8">
        <v>19322.099999999999</v>
      </c>
      <c r="H26" s="26" t="str">
        <f>IF(G26&gt;SUM(H49:AE49)/12.1, "The total release of " &amp;G26&amp; " is higher than sum of maximum releases " &amp; SUM(H49:AE49)/12.1,"")</f>
        <v/>
      </c>
    </row>
    <row r="27" spans="4:31" ht="15.75" customHeight="1" thickBot="1">
      <c r="D27" s="18" t="s">
        <v>97</v>
      </c>
      <c r="E27" s="2" t="s">
        <v>98</v>
      </c>
      <c r="F27" s="2"/>
      <c r="G27" s="4" t="b">
        <v>1</v>
      </c>
    </row>
    <row r="28" spans="4:31">
      <c r="D28" s="17" t="s">
        <v>61</v>
      </c>
      <c r="E28" s="2" t="s">
        <v>60</v>
      </c>
      <c r="F28" s="8" t="s">
        <v>151</v>
      </c>
      <c r="G28" s="8">
        <v>5112</v>
      </c>
    </row>
    <row r="29" spans="4:31" ht="15.75" customHeight="1" thickBot="1">
      <c r="D29" s="18" t="s">
        <v>143</v>
      </c>
      <c r="E29" s="2" t="s">
        <v>95</v>
      </c>
      <c r="F29" s="2"/>
      <c r="G29" s="4" t="b">
        <v>1</v>
      </c>
    </row>
    <row r="30" spans="4:31">
      <c r="D30" s="17" t="s">
        <v>69</v>
      </c>
      <c r="E30" s="2" t="s">
        <v>62</v>
      </c>
      <c r="F30" s="8" t="s">
        <v>151</v>
      </c>
      <c r="G30" s="8">
        <v>15000</v>
      </c>
    </row>
    <row r="31" spans="4:31">
      <c r="D31" s="17" t="s">
        <v>68</v>
      </c>
      <c r="E31" s="2" t="s">
        <v>63</v>
      </c>
      <c r="F31" s="8" t="s">
        <v>151</v>
      </c>
      <c r="G31" s="8">
        <v>15000</v>
      </c>
    </row>
    <row r="32" spans="4:31">
      <c r="D32" s="17" t="s">
        <v>261</v>
      </c>
      <c r="E32" s="2" t="s">
        <v>260</v>
      </c>
      <c r="F32" s="8" t="s">
        <v>151</v>
      </c>
      <c r="G32" s="2"/>
      <c r="H32" s="8">
        <v>1</v>
      </c>
      <c r="I32" s="8">
        <v>1</v>
      </c>
      <c r="J32" s="8">
        <v>1</v>
      </c>
      <c r="K32" s="8">
        <v>1</v>
      </c>
      <c r="L32" s="8">
        <v>1</v>
      </c>
      <c r="M32" s="8">
        <v>1</v>
      </c>
      <c r="N32" s="8">
        <v>1</v>
      </c>
      <c r="O32" s="8">
        <v>1</v>
      </c>
      <c r="P32" s="8">
        <v>1</v>
      </c>
      <c r="Q32" s="8">
        <v>1</v>
      </c>
      <c r="R32" s="8">
        <v>1</v>
      </c>
      <c r="S32" s="8">
        <v>1</v>
      </c>
      <c r="T32" s="8">
        <v>1</v>
      </c>
      <c r="U32" s="8">
        <v>1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>
        <v>1</v>
      </c>
      <c r="AE32" s="8">
        <v>1</v>
      </c>
    </row>
    <row r="33" spans="4:31">
      <c r="D33" s="17" t="s">
        <v>80</v>
      </c>
      <c r="E33" s="2" t="s">
        <v>74</v>
      </c>
      <c r="F33" s="8" t="s">
        <v>151</v>
      </c>
      <c r="G33" s="2"/>
      <c r="H33" s="8">
        <v>1000</v>
      </c>
      <c r="I33" s="8">
        <v>1000</v>
      </c>
      <c r="J33" s="8">
        <v>1000</v>
      </c>
      <c r="K33" s="8">
        <v>1000</v>
      </c>
      <c r="L33" s="8">
        <v>1000</v>
      </c>
      <c r="M33" s="8">
        <v>1000</v>
      </c>
      <c r="N33" s="8">
        <v>1000</v>
      </c>
      <c r="O33" s="8">
        <v>1000</v>
      </c>
      <c r="P33" s="8">
        <v>1000</v>
      </c>
      <c r="Q33" s="8">
        <v>1000</v>
      </c>
      <c r="R33" s="8">
        <v>1000</v>
      </c>
      <c r="S33" s="8">
        <v>1000</v>
      </c>
      <c r="T33" s="8">
        <v>1000</v>
      </c>
      <c r="U33" s="8">
        <v>1000</v>
      </c>
      <c r="V33" s="8">
        <v>1000</v>
      </c>
      <c r="W33" s="8">
        <v>1000</v>
      </c>
      <c r="X33" s="8">
        <v>1000</v>
      </c>
      <c r="Y33" s="8">
        <v>1000</v>
      </c>
      <c r="Z33" s="8">
        <v>1000</v>
      </c>
      <c r="AA33" s="8">
        <v>1000</v>
      </c>
      <c r="AB33" s="8">
        <v>1000</v>
      </c>
      <c r="AC33" s="8">
        <v>1000</v>
      </c>
      <c r="AD33" s="8">
        <v>1000</v>
      </c>
      <c r="AE33" s="8">
        <v>1000</v>
      </c>
    </row>
    <row r="34" spans="4:31">
      <c r="D34" s="17" t="s">
        <v>81</v>
      </c>
      <c r="E34" s="2" t="s">
        <v>75</v>
      </c>
      <c r="F34" s="8" t="s">
        <v>151</v>
      </c>
      <c r="G34" s="2"/>
      <c r="H34" s="8">
        <v>7500</v>
      </c>
      <c r="I34" s="8">
        <v>7500</v>
      </c>
      <c r="J34" s="8">
        <v>7500</v>
      </c>
      <c r="K34" s="8">
        <v>7500</v>
      </c>
      <c r="L34" s="8">
        <v>7500</v>
      </c>
      <c r="M34" s="8">
        <v>7500</v>
      </c>
      <c r="N34" s="8">
        <v>7500</v>
      </c>
      <c r="O34" s="8">
        <v>7500</v>
      </c>
      <c r="P34" s="8">
        <v>7500</v>
      </c>
      <c r="Q34" s="8">
        <v>7500</v>
      </c>
      <c r="R34" s="8">
        <v>7500</v>
      </c>
      <c r="S34" s="8">
        <v>7500</v>
      </c>
      <c r="T34" s="8">
        <v>7500</v>
      </c>
      <c r="U34" s="8">
        <v>7500</v>
      </c>
      <c r="V34" s="8">
        <v>7500</v>
      </c>
      <c r="W34" s="8">
        <v>7500</v>
      </c>
      <c r="X34" s="8">
        <v>7500</v>
      </c>
      <c r="Y34" s="8">
        <v>7500</v>
      </c>
      <c r="Z34" s="8">
        <v>7500</v>
      </c>
      <c r="AA34" s="8">
        <v>7500</v>
      </c>
      <c r="AB34" s="8">
        <v>7500</v>
      </c>
      <c r="AC34" s="8">
        <v>7500</v>
      </c>
      <c r="AD34" s="8">
        <v>7500</v>
      </c>
      <c r="AE34" s="8">
        <v>7500</v>
      </c>
    </row>
    <row r="35" spans="4:31" ht="15.75" customHeight="1">
      <c r="D35" s="38" t="s">
        <v>103</v>
      </c>
      <c r="E35" s="2" t="s">
        <v>99</v>
      </c>
      <c r="F35" s="8" t="s">
        <v>151</v>
      </c>
      <c r="G35" s="4" t="b">
        <v>1</v>
      </c>
      <c r="H35" s="26" t="str">
        <f>IF(H64=AE64,"","Might cause infeasibility because Temperature delta between Glen Canyon and RM61 at H01 and H24 are not the same")</f>
        <v/>
      </c>
    </row>
    <row r="36" spans="4:31" ht="15.75" customHeight="1">
      <c r="D36" s="38" t="s">
        <v>147</v>
      </c>
      <c r="E36" s="2" t="s">
        <v>145</v>
      </c>
      <c r="F36" s="8" t="s">
        <v>151</v>
      </c>
      <c r="G36" s="8">
        <v>3</v>
      </c>
      <c r="H36" s="26"/>
    </row>
    <row r="37" spans="4:31" ht="15.75" customHeight="1">
      <c r="D37" s="38" t="s">
        <v>148</v>
      </c>
      <c r="E37" s="2" t="s">
        <v>146</v>
      </c>
      <c r="F37" s="8" t="s">
        <v>151</v>
      </c>
      <c r="G37" s="8">
        <v>3</v>
      </c>
      <c r="H37" s="37"/>
    </row>
    <row r="38" spans="4:31" ht="15.75" customHeight="1" thickBot="1">
      <c r="D38" s="36" t="s">
        <v>259</v>
      </c>
      <c r="E38" s="2" t="s">
        <v>220</v>
      </c>
      <c r="F38" s="8" t="s">
        <v>151</v>
      </c>
      <c r="G38" s="8">
        <v>4</v>
      </c>
      <c r="H38" s="37"/>
    </row>
    <row r="39" spans="4:31" ht="15.75" customHeight="1" thickBot="1">
      <c r="D39" s="18" t="s">
        <v>144</v>
      </c>
      <c r="E39" s="2" t="s">
        <v>94</v>
      </c>
      <c r="F39" s="2"/>
      <c r="G39" s="4" t="b">
        <v>1</v>
      </c>
    </row>
    <row r="40" spans="4:31">
      <c r="D40" s="17" t="s">
        <v>71</v>
      </c>
      <c r="E40" s="2" t="s">
        <v>64</v>
      </c>
      <c r="F40" s="8" t="s">
        <v>151</v>
      </c>
      <c r="G40" s="8">
        <v>10000</v>
      </c>
    </row>
    <row r="41" spans="4:31">
      <c r="D41" s="17" t="s">
        <v>70</v>
      </c>
      <c r="E41" s="2" t="s">
        <v>65</v>
      </c>
      <c r="F41" s="8" t="s">
        <v>151</v>
      </c>
      <c r="G41" s="8">
        <v>10000</v>
      </c>
    </row>
    <row r="42" spans="4:31">
      <c r="D42" s="17" t="s">
        <v>82</v>
      </c>
      <c r="E42" s="2" t="s">
        <v>76</v>
      </c>
      <c r="F42" s="8" t="s">
        <v>151</v>
      </c>
      <c r="G42" s="2"/>
      <c r="H42" s="8">
        <v>2400</v>
      </c>
      <c r="I42" s="8">
        <v>2400</v>
      </c>
      <c r="J42" s="8">
        <v>2400</v>
      </c>
      <c r="K42" s="8">
        <v>2400</v>
      </c>
      <c r="L42" s="8">
        <v>2400</v>
      </c>
      <c r="M42" s="8">
        <v>2400</v>
      </c>
      <c r="N42" s="8">
        <v>2400</v>
      </c>
      <c r="O42" s="8">
        <v>2400</v>
      </c>
      <c r="P42" s="8">
        <v>2400</v>
      </c>
      <c r="Q42" s="8">
        <v>2400</v>
      </c>
      <c r="R42" s="8">
        <v>2400</v>
      </c>
      <c r="S42" s="8">
        <v>2400</v>
      </c>
      <c r="T42" s="8">
        <v>2400</v>
      </c>
      <c r="U42" s="8">
        <v>2400</v>
      </c>
      <c r="V42" s="8">
        <v>2400</v>
      </c>
      <c r="W42" s="8">
        <v>2400</v>
      </c>
      <c r="X42" s="8">
        <v>2400</v>
      </c>
      <c r="Y42" s="8">
        <v>2400</v>
      </c>
      <c r="Z42" s="8">
        <v>2400</v>
      </c>
      <c r="AA42" s="8">
        <v>2400</v>
      </c>
      <c r="AB42" s="8">
        <v>2400</v>
      </c>
      <c r="AC42" s="8">
        <v>2400</v>
      </c>
      <c r="AD42" s="8">
        <v>2400</v>
      </c>
      <c r="AE42" s="8">
        <v>2400</v>
      </c>
    </row>
    <row r="43" spans="4:31">
      <c r="D43" s="17" t="s">
        <v>83</v>
      </c>
      <c r="E43" s="2" t="s">
        <v>77</v>
      </c>
      <c r="F43" s="8" t="s">
        <v>151</v>
      </c>
      <c r="G43" s="2"/>
      <c r="H43" s="8">
        <v>25000</v>
      </c>
      <c r="I43" s="8">
        <v>25000</v>
      </c>
      <c r="J43" s="8">
        <v>25000</v>
      </c>
      <c r="K43" s="8">
        <v>25000</v>
      </c>
      <c r="L43" s="8">
        <v>25000</v>
      </c>
      <c r="M43" s="8">
        <v>25000</v>
      </c>
      <c r="N43" s="8">
        <v>25000</v>
      </c>
      <c r="O43" s="8">
        <v>25000</v>
      </c>
      <c r="P43" s="8">
        <v>25000</v>
      </c>
      <c r="Q43" s="8">
        <v>25000</v>
      </c>
      <c r="R43" s="8">
        <v>25000</v>
      </c>
      <c r="S43" s="8">
        <v>25000</v>
      </c>
      <c r="T43" s="8">
        <v>25000</v>
      </c>
      <c r="U43" s="8">
        <v>25000</v>
      </c>
      <c r="V43" s="8">
        <v>25000</v>
      </c>
      <c r="W43" s="8">
        <v>25000</v>
      </c>
      <c r="X43" s="8">
        <v>25000</v>
      </c>
      <c r="Y43" s="8">
        <v>25000</v>
      </c>
      <c r="Z43" s="8">
        <v>25000</v>
      </c>
      <c r="AA43" s="8">
        <v>25000</v>
      </c>
      <c r="AB43" s="8">
        <v>25000</v>
      </c>
      <c r="AC43" s="8">
        <v>25000</v>
      </c>
      <c r="AD43" s="8">
        <v>25000</v>
      </c>
      <c r="AE43" s="8">
        <v>25000</v>
      </c>
    </row>
    <row r="44" spans="4:31" ht="15.75" customHeight="1">
      <c r="D44" s="38" t="s">
        <v>104</v>
      </c>
      <c r="E44" s="2" t="s">
        <v>100</v>
      </c>
      <c r="F44" s="8" t="s">
        <v>151</v>
      </c>
      <c r="G44" s="4" t="b">
        <v>0</v>
      </c>
      <c r="H44" s="26" t="str">
        <f>IF(H64=AE64,"","Might cause infeasibility because Temperature delta between Glen Canyon and RM61 at H01 and H24 are not the same")</f>
        <v/>
      </c>
    </row>
    <row r="45" spans="4:31" ht="15.75" customHeight="1" thickBot="1">
      <c r="D45" s="18" t="s">
        <v>142</v>
      </c>
      <c r="E45" s="2" t="s">
        <v>96</v>
      </c>
      <c r="F45" s="2"/>
      <c r="G45" s="4" t="b">
        <v>1</v>
      </c>
    </row>
    <row r="46" spans="4:31">
      <c r="D46" s="17" t="s">
        <v>72</v>
      </c>
      <c r="E46" s="2" t="s">
        <v>66</v>
      </c>
      <c r="F46" s="8" t="s">
        <v>151</v>
      </c>
      <c r="G46" s="8">
        <v>4000</v>
      </c>
    </row>
    <row r="47" spans="4:31">
      <c r="D47" s="17" t="s">
        <v>73</v>
      </c>
      <c r="E47" s="2" t="s">
        <v>67</v>
      </c>
      <c r="F47" s="8" t="s">
        <v>151</v>
      </c>
      <c r="G47" s="8">
        <v>2500</v>
      </c>
    </row>
    <row r="48" spans="4:31">
      <c r="D48" s="17" t="s">
        <v>84</v>
      </c>
      <c r="E48" s="2" t="s">
        <v>78</v>
      </c>
      <c r="F48" s="8" t="s">
        <v>151</v>
      </c>
      <c r="G48" s="2"/>
      <c r="H48" s="8">
        <v>5000</v>
      </c>
      <c r="I48" s="8">
        <v>5000</v>
      </c>
      <c r="J48" s="8">
        <v>5000</v>
      </c>
      <c r="K48" s="8">
        <v>5000</v>
      </c>
      <c r="L48" s="8">
        <v>5000</v>
      </c>
      <c r="M48" s="8">
        <v>5000</v>
      </c>
      <c r="N48" s="8">
        <v>8000</v>
      </c>
      <c r="O48" s="8">
        <v>8000</v>
      </c>
      <c r="P48" s="8">
        <v>8000</v>
      </c>
      <c r="Q48" s="8">
        <v>8000</v>
      </c>
      <c r="R48" s="8">
        <v>8000</v>
      </c>
      <c r="S48" s="8">
        <v>8000</v>
      </c>
      <c r="T48" s="8">
        <v>8000</v>
      </c>
      <c r="U48" s="8">
        <v>8000</v>
      </c>
      <c r="V48" s="8">
        <v>8000</v>
      </c>
      <c r="W48" s="8">
        <v>8000</v>
      </c>
      <c r="X48" s="8">
        <v>8000</v>
      </c>
      <c r="Y48" s="8">
        <v>8000</v>
      </c>
      <c r="Z48" s="8">
        <v>5000</v>
      </c>
      <c r="AA48" s="8">
        <v>5000</v>
      </c>
      <c r="AB48" s="8">
        <v>5000</v>
      </c>
      <c r="AC48" s="8">
        <v>5000</v>
      </c>
      <c r="AD48" s="8">
        <v>5000</v>
      </c>
      <c r="AE48" s="8">
        <v>5000</v>
      </c>
    </row>
    <row r="49" spans="4:31">
      <c r="D49" s="17" t="s">
        <v>85</v>
      </c>
      <c r="E49" s="2" t="s">
        <v>79</v>
      </c>
      <c r="F49" s="8" t="s">
        <v>151</v>
      </c>
      <c r="G49" s="2"/>
      <c r="H49" s="8">
        <v>25000</v>
      </c>
      <c r="I49" s="8">
        <v>25000</v>
      </c>
      <c r="J49" s="8">
        <v>25000</v>
      </c>
      <c r="K49" s="8">
        <v>25000</v>
      </c>
      <c r="L49" s="8">
        <v>25000</v>
      </c>
      <c r="M49" s="8">
        <v>25000</v>
      </c>
      <c r="N49" s="8">
        <v>25000</v>
      </c>
      <c r="O49" s="8">
        <v>25000</v>
      </c>
      <c r="P49" s="8">
        <v>25000</v>
      </c>
      <c r="Q49" s="8">
        <v>25000</v>
      </c>
      <c r="R49" s="8">
        <v>25000</v>
      </c>
      <c r="S49" s="8">
        <v>25000</v>
      </c>
      <c r="T49" s="8">
        <v>25000</v>
      </c>
      <c r="U49" s="8">
        <v>25000</v>
      </c>
      <c r="V49" s="8">
        <v>25000</v>
      </c>
      <c r="W49" s="8">
        <v>25000</v>
      </c>
      <c r="X49" s="8">
        <v>25000</v>
      </c>
      <c r="Y49" s="8">
        <v>25000</v>
      </c>
      <c r="Z49" s="8">
        <v>25000</v>
      </c>
      <c r="AA49" s="8">
        <v>25000</v>
      </c>
      <c r="AB49" s="8">
        <v>25000</v>
      </c>
      <c r="AC49" s="8">
        <v>25000</v>
      </c>
      <c r="AD49" s="8">
        <v>25000</v>
      </c>
      <c r="AE49" s="8">
        <v>25000</v>
      </c>
    </row>
    <row r="50" spans="4:31" ht="15.75" customHeight="1">
      <c r="D50" s="38" t="s">
        <v>105</v>
      </c>
      <c r="E50" s="2" t="s">
        <v>101</v>
      </c>
      <c r="F50" s="8" t="s">
        <v>151</v>
      </c>
      <c r="G50" s="4" t="b">
        <v>1</v>
      </c>
      <c r="H50" s="26" t="str">
        <f>IF(H64=AE64,"","Might cause infeasibility because Temperature delta between Glen Canyon and RM61 at H01 and H24 are not the same")</f>
        <v/>
      </c>
    </row>
    <row r="51" spans="4:31" ht="15.75" customHeight="1" thickBot="1">
      <c r="D51" s="18" t="s">
        <v>189</v>
      </c>
      <c r="E51" s="2" t="s">
        <v>200</v>
      </c>
      <c r="F51" s="2"/>
      <c r="G51" s="4" t="b">
        <v>0</v>
      </c>
    </row>
    <row r="52" spans="4:31">
      <c r="D52" s="17" t="s">
        <v>190</v>
      </c>
      <c r="E52" s="2" t="s">
        <v>191</v>
      </c>
      <c r="F52" s="8" t="s">
        <v>153</v>
      </c>
      <c r="G52" s="8">
        <v>15000</v>
      </c>
    </row>
    <row r="53" spans="4:31">
      <c r="D53" s="17" t="s">
        <v>192</v>
      </c>
      <c r="E53" s="2" t="s">
        <v>193</v>
      </c>
      <c r="F53" s="8" t="s">
        <v>153</v>
      </c>
      <c r="G53" s="8">
        <v>15000</v>
      </c>
    </row>
    <row r="54" spans="4:31">
      <c r="D54" s="17" t="s">
        <v>194</v>
      </c>
      <c r="E54" s="2" t="s">
        <v>195</v>
      </c>
      <c r="F54" s="8" t="s">
        <v>153</v>
      </c>
      <c r="G54" s="2"/>
      <c r="H54" s="8">
        <v>5000</v>
      </c>
      <c r="I54" s="8">
        <v>5000</v>
      </c>
      <c r="J54" s="8">
        <v>5000</v>
      </c>
      <c r="K54" s="8">
        <v>5000</v>
      </c>
      <c r="L54" s="8">
        <v>5000</v>
      </c>
      <c r="M54" s="8">
        <v>5000</v>
      </c>
      <c r="N54" s="8">
        <v>8000</v>
      </c>
      <c r="O54" s="8">
        <v>8000</v>
      </c>
      <c r="P54" s="8">
        <v>8000</v>
      </c>
      <c r="Q54" s="8">
        <v>8000</v>
      </c>
      <c r="R54" s="8">
        <v>8000</v>
      </c>
      <c r="S54" s="8">
        <v>8000</v>
      </c>
      <c r="T54" s="8">
        <v>8000</v>
      </c>
      <c r="U54" s="8">
        <v>8000</v>
      </c>
      <c r="V54" s="8">
        <v>8000</v>
      </c>
      <c r="W54" s="8">
        <v>8000</v>
      </c>
      <c r="X54" s="8">
        <v>8000</v>
      </c>
      <c r="Y54" s="8">
        <v>8000</v>
      </c>
      <c r="Z54" s="8">
        <v>5000</v>
      </c>
      <c r="AA54" s="8">
        <v>5000</v>
      </c>
      <c r="AB54" s="8">
        <v>5000</v>
      </c>
      <c r="AC54" s="8">
        <v>5000</v>
      </c>
      <c r="AD54" s="8">
        <v>5000</v>
      </c>
      <c r="AE54" s="8">
        <v>5000</v>
      </c>
    </row>
    <row r="55" spans="4:31">
      <c r="D55" s="17" t="s">
        <v>196</v>
      </c>
      <c r="E55" s="2" t="s">
        <v>197</v>
      </c>
      <c r="F55" s="8" t="s">
        <v>153</v>
      </c>
      <c r="G55" s="2"/>
      <c r="H55" s="8">
        <v>25000</v>
      </c>
      <c r="I55" s="8">
        <v>25000</v>
      </c>
      <c r="J55" s="8">
        <v>25000</v>
      </c>
      <c r="K55" s="8">
        <v>25000</v>
      </c>
      <c r="L55" s="8">
        <v>25000</v>
      </c>
      <c r="M55" s="8">
        <v>25000</v>
      </c>
      <c r="N55" s="8">
        <v>25000</v>
      </c>
      <c r="O55" s="8">
        <v>25000</v>
      </c>
      <c r="P55" s="8">
        <v>25000</v>
      </c>
      <c r="Q55" s="8">
        <v>25000</v>
      </c>
      <c r="R55" s="8">
        <v>25000</v>
      </c>
      <c r="S55" s="8">
        <v>25000</v>
      </c>
      <c r="T55" s="8">
        <v>25000</v>
      </c>
      <c r="U55" s="8">
        <v>25000</v>
      </c>
      <c r="V55" s="8">
        <v>25000</v>
      </c>
      <c r="W55" s="8">
        <v>25000</v>
      </c>
      <c r="X55" s="8">
        <v>25000</v>
      </c>
      <c r="Y55" s="8">
        <v>25000</v>
      </c>
      <c r="Z55" s="8">
        <v>25000</v>
      </c>
      <c r="AA55" s="8">
        <v>25000</v>
      </c>
      <c r="AB55" s="8">
        <v>25000</v>
      </c>
      <c r="AC55" s="8">
        <v>25000</v>
      </c>
      <c r="AD55" s="8">
        <v>25000</v>
      </c>
      <c r="AE55" s="8">
        <v>25000</v>
      </c>
    </row>
    <row r="56" spans="4:31" ht="15.75" customHeight="1">
      <c r="D56" s="38" t="s">
        <v>198</v>
      </c>
      <c r="E56" s="2" t="s">
        <v>199</v>
      </c>
      <c r="F56" s="8" t="s">
        <v>153</v>
      </c>
      <c r="G56" s="4" t="b">
        <v>0</v>
      </c>
      <c r="H56" s="26"/>
    </row>
    <row r="58" spans="4:31" ht="20.399999999999999" thickBot="1">
      <c r="D58" s="1" t="s">
        <v>1</v>
      </c>
      <c r="E58" s="7" t="s">
        <v>32</v>
      </c>
      <c r="F58" s="3" t="s">
        <v>150</v>
      </c>
      <c r="G58" s="7"/>
      <c r="H58" s="3" t="s">
        <v>7</v>
      </c>
      <c r="I58" s="3" t="s">
        <v>8</v>
      </c>
      <c r="J58" s="3" t="s">
        <v>9</v>
      </c>
      <c r="K58" s="3" t="s">
        <v>10</v>
      </c>
      <c r="L58" s="3" t="s">
        <v>11</v>
      </c>
      <c r="M58" s="3" t="s">
        <v>12</v>
      </c>
      <c r="N58" s="3" t="s">
        <v>13</v>
      </c>
      <c r="O58" s="3" t="s">
        <v>14</v>
      </c>
      <c r="P58" s="3" t="s">
        <v>15</v>
      </c>
      <c r="Q58" s="3" t="s">
        <v>16</v>
      </c>
      <c r="R58" s="3" t="s">
        <v>17</v>
      </c>
      <c r="S58" s="3" t="s">
        <v>18</v>
      </c>
      <c r="T58" s="3" t="s">
        <v>19</v>
      </c>
      <c r="U58" s="3" t="s">
        <v>20</v>
      </c>
      <c r="V58" s="3" t="s">
        <v>21</v>
      </c>
      <c r="W58" s="3" t="s">
        <v>22</v>
      </c>
      <c r="X58" s="3" t="s">
        <v>23</v>
      </c>
      <c r="Y58" s="3" t="s">
        <v>24</v>
      </c>
      <c r="Z58" s="3" t="s">
        <v>25</v>
      </c>
      <c r="AA58" s="3" t="s">
        <v>26</v>
      </c>
      <c r="AB58" s="3" t="s">
        <v>27</v>
      </c>
      <c r="AC58" s="3" t="s">
        <v>28</v>
      </c>
      <c r="AD58" s="3" t="s">
        <v>29</v>
      </c>
      <c r="AE58" s="3" t="s">
        <v>30</v>
      </c>
    </row>
    <row r="59" spans="4:31" ht="15" thickTop="1">
      <c r="D59" s="17" t="s">
        <v>35</v>
      </c>
      <c r="E59" s="2" t="s">
        <v>5</v>
      </c>
      <c r="F59" s="8" t="s">
        <v>151</v>
      </c>
      <c r="G59" s="2"/>
      <c r="H59" s="9">
        <v>9</v>
      </c>
      <c r="I59" s="9">
        <v>9</v>
      </c>
      <c r="J59" s="9">
        <v>9</v>
      </c>
      <c r="K59" s="9">
        <v>9</v>
      </c>
      <c r="L59" s="9">
        <v>9</v>
      </c>
      <c r="M59" s="9">
        <v>9</v>
      </c>
      <c r="N59" s="9">
        <v>9</v>
      </c>
      <c r="O59" s="9">
        <v>9</v>
      </c>
      <c r="P59" s="9">
        <v>9</v>
      </c>
      <c r="Q59" s="9">
        <v>9</v>
      </c>
      <c r="R59" s="9">
        <v>9</v>
      </c>
      <c r="S59" s="9">
        <v>9</v>
      </c>
      <c r="T59" s="9">
        <v>9</v>
      </c>
      <c r="U59" s="9">
        <v>9</v>
      </c>
      <c r="V59" s="9">
        <v>9</v>
      </c>
      <c r="W59" s="9">
        <v>9</v>
      </c>
      <c r="X59" s="9">
        <v>9</v>
      </c>
      <c r="Y59" s="9">
        <v>9</v>
      </c>
      <c r="Z59" s="9">
        <v>9</v>
      </c>
      <c r="AA59" s="9">
        <v>9</v>
      </c>
      <c r="AB59" s="9">
        <v>9</v>
      </c>
      <c r="AC59" s="9">
        <v>9</v>
      </c>
      <c r="AD59" s="9">
        <v>9</v>
      </c>
      <c r="AE59" s="9">
        <v>9</v>
      </c>
    </row>
    <row r="60" spans="4:31">
      <c r="D60" s="17" t="s">
        <v>36</v>
      </c>
      <c r="E60" s="2" t="s">
        <v>6</v>
      </c>
      <c r="F60" s="8" t="s">
        <v>151</v>
      </c>
      <c r="G60" s="2"/>
      <c r="H60" s="9">
        <v>16.100000000000001</v>
      </c>
      <c r="I60" s="9">
        <v>16.100000000000001</v>
      </c>
      <c r="J60" s="9">
        <v>16.100000000000001</v>
      </c>
      <c r="K60" s="9">
        <v>16.100000000000001</v>
      </c>
      <c r="L60" s="9">
        <v>16.100000000000001</v>
      </c>
      <c r="M60" s="9">
        <v>16.100000000000001</v>
      </c>
      <c r="N60" s="9">
        <v>16.100000000000001</v>
      </c>
      <c r="O60" s="9">
        <v>16.100000000000001</v>
      </c>
      <c r="P60" s="9">
        <v>16.100000000000001</v>
      </c>
      <c r="Q60" s="9">
        <v>16.100000000000001</v>
      </c>
      <c r="R60" s="9">
        <v>16.100000000000001</v>
      </c>
      <c r="S60" s="9">
        <v>16.100000000000001</v>
      </c>
      <c r="T60" s="9">
        <v>16.100000000000001</v>
      </c>
      <c r="U60" s="9">
        <v>16.100000000000001</v>
      </c>
      <c r="V60" s="9">
        <v>16.100000000000001</v>
      </c>
      <c r="W60" s="9">
        <v>16.100000000000001</v>
      </c>
      <c r="X60" s="9">
        <v>16.100000000000001</v>
      </c>
      <c r="Y60" s="9">
        <v>16.100000000000001</v>
      </c>
      <c r="Z60" s="9">
        <v>16.100000000000001</v>
      </c>
      <c r="AA60" s="9">
        <v>16.100000000000001</v>
      </c>
      <c r="AB60" s="9">
        <v>16.100000000000001</v>
      </c>
      <c r="AC60" s="9">
        <v>16.100000000000001</v>
      </c>
      <c r="AD60" s="9">
        <v>16.100000000000001</v>
      </c>
      <c r="AE60" s="9">
        <v>16.100000000000001</v>
      </c>
    </row>
    <row r="61" spans="4:31" ht="15.75" customHeight="1" thickBot="1">
      <c r="D61" s="18" t="s">
        <v>106</v>
      </c>
      <c r="E61" s="2" t="s">
        <v>102</v>
      </c>
      <c r="F61" s="2"/>
      <c r="G61" s="4" t="b">
        <v>1</v>
      </c>
      <c r="H61" s="26" t="str">
        <f>IF(H64=AE64,"","Might cause infeasibility because Temperature delta between Glen Canyon and RM61 at H01 and H24 are not the same")</f>
        <v/>
      </c>
    </row>
    <row r="62" spans="4:31">
      <c r="D62" s="17" t="s">
        <v>33</v>
      </c>
      <c r="E62" s="2" t="s">
        <v>185</v>
      </c>
      <c r="F62" s="8" t="s">
        <v>153</v>
      </c>
      <c r="G62" s="2"/>
      <c r="H62" s="9">
        <v>19.5</v>
      </c>
      <c r="I62" s="9">
        <v>19.5</v>
      </c>
      <c r="J62" s="9">
        <v>19.5</v>
      </c>
      <c r="K62" s="9">
        <v>19.5</v>
      </c>
      <c r="L62" s="9">
        <v>19.5</v>
      </c>
      <c r="M62" s="9">
        <v>19.5</v>
      </c>
      <c r="N62" s="9">
        <v>19.5</v>
      </c>
      <c r="O62" s="9">
        <v>19.5</v>
      </c>
      <c r="P62" s="9">
        <v>19.5</v>
      </c>
      <c r="Q62" s="9">
        <v>19.5</v>
      </c>
      <c r="R62" s="9">
        <v>19.5</v>
      </c>
      <c r="S62" s="9">
        <v>19.5</v>
      </c>
      <c r="T62" s="9">
        <v>19.5</v>
      </c>
      <c r="U62" s="9">
        <v>19.5</v>
      </c>
      <c r="V62" s="9">
        <v>19.5</v>
      </c>
      <c r="W62" s="9">
        <v>19.5</v>
      </c>
      <c r="X62" s="9">
        <v>19.5</v>
      </c>
      <c r="Y62" s="9">
        <v>19.5</v>
      </c>
      <c r="Z62" s="9">
        <v>19.5</v>
      </c>
      <c r="AA62" s="9">
        <v>19.5</v>
      </c>
      <c r="AB62" s="9">
        <v>19.5</v>
      </c>
      <c r="AC62" s="9">
        <v>19.5</v>
      </c>
      <c r="AD62" s="9">
        <v>19.5</v>
      </c>
      <c r="AE62" s="9">
        <v>19.5</v>
      </c>
    </row>
    <row r="63" spans="4:31">
      <c r="D63" s="17" t="s">
        <v>34</v>
      </c>
      <c r="E63" s="2" t="s">
        <v>186</v>
      </c>
      <c r="F63" s="8" t="s">
        <v>153</v>
      </c>
      <c r="G63" s="2"/>
      <c r="H63" s="9">
        <v>14</v>
      </c>
      <c r="I63" s="9">
        <v>14</v>
      </c>
      <c r="J63" s="9">
        <v>14</v>
      </c>
      <c r="K63" s="9">
        <v>14</v>
      </c>
      <c r="L63" s="9">
        <v>14</v>
      </c>
      <c r="M63" s="9">
        <v>14</v>
      </c>
      <c r="N63" s="9">
        <v>14</v>
      </c>
      <c r="O63" s="9">
        <v>14</v>
      </c>
      <c r="P63" s="9">
        <v>14</v>
      </c>
      <c r="Q63" s="9">
        <v>14</v>
      </c>
      <c r="R63" s="9">
        <v>14</v>
      </c>
      <c r="S63" s="9">
        <v>14</v>
      </c>
      <c r="T63" s="9">
        <v>14</v>
      </c>
      <c r="U63" s="9">
        <v>14</v>
      </c>
      <c r="V63" s="9">
        <v>14</v>
      </c>
      <c r="W63" s="9">
        <v>14</v>
      </c>
      <c r="X63" s="9">
        <v>14</v>
      </c>
      <c r="Y63" s="9">
        <v>14</v>
      </c>
      <c r="Z63" s="9">
        <v>14</v>
      </c>
      <c r="AA63" s="9">
        <v>14</v>
      </c>
      <c r="AB63" s="9">
        <v>14</v>
      </c>
      <c r="AC63" s="9">
        <v>14</v>
      </c>
      <c r="AD63" s="9">
        <v>14</v>
      </c>
      <c r="AE63" s="9">
        <v>14</v>
      </c>
    </row>
    <row r="64" spans="4:31">
      <c r="D64" s="17" t="s">
        <v>37</v>
      </c>
      <c r="E64" s="2" t="s">
        <v>3</v>
      </c>
      <c r="F64" s="8" t="s">
        <v>154</v>
      </c>
      <c r="G64" s="2"/>
      <c r="H64" s="9">
        <v>2.8</v>
      </c>
      <c r="I64" s="9">
        <v>2.8</v>
      </c>
      <c r="J64" s="9">
        <v>2.8</v>
      </c>
      <c r="K64" s="9">
        <v>2.8</v>
      </c>
      <c r="L64" s="9">
        <v>2.8</v>
      </c>
      <c r="M64" s="9">
        <v>2.8</v>
      </c>
      <c r="N64" s="9">
        <v>2.8</v>
      </c>
      <c r="O64" s="9">
        <v>2.8</v>
      </c>
      <c r="P64" s="9">
        <v>2.8</v>
      </c>
      <c r="Q64" s="9">
        <v>2.8</v>
      </c>
      <c r="R64" s="9">
        <v>2.8</v>
      </c>
      <c r="S64" s="9">
        <v>2.8</v>
      </c>
      <c r="T64" s="9">
        <v>2.8</v>
      </c>
      <c r="U64" s="9">
        <v>2.8</v>
      </c>
      <c r="V64" s="9">
        <v>2.8</v>
      </c>
      <c r="W64" s="9">
        <v>2.8</v>
      </c>
      <c r="X64" s="9">
        <v>2.8</v>
      </c>
      <c r="Y64" s="9">
        <v>2.8</v>
      </c>
      <c r="Z64" s="9">
        <v>2.8</v>
      </c>
      <c r="AA64" s="9">
        <v>2.8</v>
      </c>
      <c r="AB64" s="9">
        <v>2.8</v>
      </c>
      <c r="AC64" s="9">
        <v>2.8</v>
      </c>
      <c r="AD64" s="9">
        <v>2.8</v>
      </c>
      <c r="AE64" s="9">
        <v>2.8</v>
      </c>
    </row>
    <row r="65" spans="4:31">
      <c r="D65" s="17" t="s">
        <v>38</v>
      </c>
      <c r="E65" s="2" t="s">
        <v>187</v>
      </c>
      <c r="F65" s="8" t="s">
        <v>153</v>
      </c>
      <c r="G65" s="9">
        <v>15.2</v>
      </c>
      <c r="H65" s="26" t="str">
        <f>"Because of rounding might not be exactly " &amp; G65 &amp; ". Maximum expected deviation in the positive direction is 0.05°C"</f>
        <v>Because of rounding might not be exactly 15.2. Maximum expected deviation in the positive direction is 0.05°C</v>
      </c>
    </row>
    <row r="66" spans="4:31">
      <c r="D66" s="17" t="s">
        <v>39</v>
      </c>
      <c r="E66" s="2" t="s">
        <v>4</v>
      </c>
      <c r="F66" s="8" t="s">
        <v>154</v>
      </c>
      <c r="G66" s="11">
        <f>AVERAGE(H64:AE64)</f>
        <v>2.7999999999999989</v>
      </c>
    </row>
    <row r="68" spans="4:31" ht="20.399999999999999" thickBot="1">
      <c r="D68" s="1" t="s">
        <v>86</v>
      </c>
      <c r="E68" s="7" t="s">
        <v>32</v>
      </c>
      <c r="F68" s="3" t="s">
        <v>150</v>
      </c>
      <c r="G68" s="7"/>
      <c r="H68" s="3" t="s">
        <v>7</v>
      </c>
      <c r="I68" s="3" t="s">
        <v>8</v>
      </c>
      <c r="J68" s="3" t="s">
        <v>9</v>
      </c>
      <c r="K68" s="3" t="s">
        <v>10</v>
      </c>
      <c r="L68" s="3" t="s">
        <v>11</v>
      </c>
      <c r="M68" s="3" t="s">
        <v>12</v>
      </c>
      <c r="N68" s="3" t="s">
        <v>13</v>
      </c>
      <c r="O68" s="3" t="s">
        <v>14</v>
      </c>
      <c r="P68" s="3" t="s">
        <v>15</v>
      </c>
      <c r="Q68" s="3" t="s">
        <v>16</v>
      </c>
      <c r="R68" s="3" t="s">
        <v>17</v>
      </c>
      <c r="S68" s="3" t="s">
        <v>18</v>
      </c>
      <c r="T68" s="3" t="s">
        <v>19</v>
      </c>
      <c r="U68" s="3" t="s">
        <v>20</v>
      </c>
      <c r="V68" s="3" t="s">
        <v>21</v>
      </c>
      <c r="W68" s="3" t="s">
        <v>22</v>
      </c>
      <c r="X68" s="3" t="s">
        <v>23</v>
      </c>
      <c r="Y68" s="3" t="s">
        <v>24</v>
      </c>
      <c r="Z68" s="3" t="s">
        <v>25</v>
      </c>
      <c r="AA68" s="3" t="s">
        <v>26</v>
      </c>
      <c r="AB68" s="3" t="s">
        <v>27</v>
      </c>
      <c r="AC68" s="3" t="s">
        <v>28</v>
      </c>
      <c r="AD68" s="3" t="s">
        <v>29</v>
      </c>
      <c r="AE68" s="3" t="s">
        <v>30</v>
      </c>
    </row>
    <row r="69" spans="4:31" ht="15" thickTop="1">
      <c r="D69" t="s">
        <v>57</v>
      </c>
      <c r="E69" s="2" t="s">
        <v>56</v>
      </c>
      <c r="F69" s="8" t="s">
        <v>151</v>
      </c>
      <c r="G69" s="4">
        <v>3.4573471398217918E-2</v>
      </c>
    </row>
    <row r="70" spans="4:31">
      <c r="D70" t="s">
        <v>87</v>
      </c>
      <c r="E70" s="2" t="s">
        <v>89</v>
      </c>
      <c r="F70" s="8" t="s">
        <v>151</v>
      </c>
      <c r="G70" s="8">
        <v>10</v>
      </c>
      <c r="H70" s="10">
        <f>$G$70</f>
        <v>10</v>
      </c>
      <c r="I70" s="10">
        <f t="shared" ref="I70:AE70" si="0">$G$70</f>
        <v>10</v>
      </c>
      <c r="J70" s="10">
        <f t="shared" si="0"/>
        <v>10</v>
      </c>
      <c r="K70" s="10">
        <f t="shared" si="0"/>
        <v>10</v>
      </c>
      <c r="L70" s="10">
        <f t="shared" si="0"/>
        <v>10</v>
      </c>
      <c r="M70" s="10">
        <f t="shared" si="0"/>
        <v>10</v>
      </c>
      <c r="N70" s="10">
        <f t="shared" si="0"/>
        <v>10</v>
      </c>
      <c r="O70" s="10">
        <f t="shared" si="0"/>
        <v>10</v>
      </c>
      <c r="P70" s="10">
        <f t="shared" si="0"/>
        <v>10</v>
      </c>
      <c r="Q70" s="10">
        <f t="shared" si="0"/>
        <v>10</v>
      </c>
      <c r="R70" s="10">
        <f t="shared" si="0"/>
        <v>10</v>
      </c>
      <c r="S70" s="10">
        <f t="shared" si="0"/>
        <v>10</v>
      </c>
      <c r="T70" s="10">
        <f t="shared" si="0"/>
        <v>10</v>
      </c>
      <c r="U70" s="10">
        <f t="shared" si="0"/>
        <v>10</v>
      </c>
      <c r="V70" s="10">
        <f t="shared" si="0"/>
        <v>10</v>
      </c>
      <c r="W70" s="10">
        <f t="shared" si="0"/>
        <v>10</v>
      </c>
      <c r="X70" s="10">
        <f t="shared" si="0"/>
        <v>10</v>
      </c>
      <c r="Y70" s="10">
        <f t="shared" si="0"/>
        <v>10</v>
      </c>
      <c r="Z70" s="10">
        <f t="shared" si="0"/>
        <v>10</v>
      </c>
      <c r="AA70" s="10">
        <f t="shared" si="0"/>
        <v>10</v>
      </c>
      <c r="AB70" s="10">
        <f t="shared" si="0"/>
        <v>10</v>
      </c>
      <c r="AC70" s="10">
        <f t="shared" si="0"/>
        <v>10</v>
      </c>
      <c r="AD70" s="10">
        <f t="shared" si="0"/>
        <v>10</v>
      </c>
      <c r="AE70" s="10">
        <f t="shared" si="0"/>
        <v>10</v>
      </c>
    </row>
    <row r="71" spans="4:31">
      <c r="D71" t="s">
        <v>88</v>
      </c>
      <c r="E71" s="2" t="s">
        <v>90</v>
      </c>
      <c r="F71" s="8" t="s">
        <v>151</v>
      </c>
      <c r="G71" s="8">
        <v>1000</v>
      </c>
      <c r="H71" s="10">
        <f>$G$71</f>
        <v>1000</v>
      </c>
      <c r="I71" s="10">
        <f t="shared" ref="I71:AE71" si="1">$G$71</f>
        <v>1000</v>
      </c>
      <c r="J71" s="10">
        <f t="shared" si="1"/>
        <v>1000</v>
      </c>
      <c r="K71" s="10">
        <f t="shared" si="1"/>
        <v>1000</v>
      </c>
      <c r="L71" s="10">
        <f t="shared" si="1"/>
        <v>1000</v>
      </c>
      <c r="M71" s="10">
        <f t="shared" si="1"/>
        <v>1000</v>
      </c>
      <c r="N71" s="10">
        <f t="shared" si="1"/>
        <v>1000</v>
      </c>
      <c r="O71" s="10">
        <f t="shared" si="1"/>
        <v>1000</v>
      </c>
      <c r="P71" s="10">
        <f t="shared" si="1"/>
        <v>1000</v>
      </c>
      <c r="Q71" s="10">
        <f t="shared" si="1"/>
        <v>1000</v>
      </c>
      <c r="R71" s="10">
        <f t="shared" si="1"/>
        <v>1000</v>
      </c>
      <c r="S71" s="10">
        <f t="shared" si="1"/>
        <v>1000</v>
      </c>
      <c r="T71" s="10">
        <f t="shared" si="1"/>
        <v>1000</v>
      </c>
      <c r="U71" s="10">
        <f t="shared" si="1"/>
        <v>1000</v>
      </c>
      <c r="V71" s="10">
        <f t="shared" si="1"/>
        <v>1000</v>
      </c>
      <c r="W71" s="10">
        <f t="shared" si="1"/>
        <v>1000</v>
      </c>
      <c r="X71" s="10">
        <f t="shared" si="1"/>
        <v>1000</v>
      </c>
      <c r="Y71" s="10">
        <f t="shared" si="1"/>
        <v>1000</v>
      </c>
      <c r="Z71" s="10">
        <f t="shared" si="1"/>
        <v>1000</v>
      </c>
      <c r="AA71" s="10">
        <f t="shared" si="1"/>
        <v>1000</v>
      </c>
      <c r="AB71" s="10">
        <f t="shared" si="1"/>
        <v>1000</v>
      </c>
      <c r="AC71" s="10">
        <f t="shared" si="1"/>
        <v>1000</v>
      </c>
      <c r="AD71" s="10">
        <f t="shared" si="1"/>
        <v>1000</v>
      </c>
      <c r="AE71" s="10">
        <f t="shared" si="1"/>
        <v>1000</v>
      </c>
    </row>
    <row r="73" spans="4:31" ht="20.399999999999999" thickBot="1">
      <c r="D73" s="1" t="s">
        <v>139</v>
      </c>
      <c r="E73" s="7" t="s">
        <v>32</v>
      </c>
      <c r="F73" s="3" t="s">
        <v>150</v>
      </c>
      <c r="G73" s="7"/>
      <c r="H73" s="3" t="s">
        <v>7</v>
      </c>
      <c r="I73" s="3" t="s">
        <v>8</v>
      </c>
      <c r="J73" s="3" t="s">
        <v>9</v>
      </c>
      <c r="K73" s="3" t="s">
        <v>10</v>
      </c>
      <c r="L73" s="3" t="s">
        <v>11</v>
      </c>
      <c r="M73" s="3" t="s">
        <v>12</v>
      </c>
      <c r="N73" s="3" t="s">
        <v>13</v>
      </c>
      <c r="O73" s="3" t="s">
        <v>14</v>
      </c>
      <c r="P73" s="3" t="s">
        <v>15</v>
      </c>
      <c r="Q73" s="3" t="s">
        <v>16</v>
      </c>
      <c r="R73" s="3" t="s">
        <v>17</v>
      </c>
      <c r="S73" s="3" t="s">
        <v>18</v>
      </c>
      <c r="T73" s="3" t="s">
        <v>19</v>
      </c>
      <c r="U73" s="3" t="s">
        <v>20</v>
      </c>
      <c r="V73" s="3" t="s">
        <v>21</v>
      </c>
      <c r="W73" s="3" t="s">
        <v>22</v>
      </c>
      <c r="X73" s="3" t="s">
        <v>23</v>
      </c>
      <c r="Y73" s="3" t="s">
        <v>24</v>
      </c>
      <c r="Z73" s="3" t="s">
        <v>25</v>
      </c>
      <c r="AA73" s="3" t="s">
        <v>26</v>
      </c>
      <c r="AB73" s="3" t="s">
        <v>27</v>
      </c>
      <c r="AC73" s="3" t="s">
        <v>28</v>
      </c>
      <c r="AD73" s="3" t="s">
        <v>29</v>
      </c>
      <c r="AE73" s="3" t="s">
        <v>30</v>
      </c>
    </row>
    <row r="74" spans="4:31" ht="15" thickTop="1">
      <c r="D74" t="s">
        <v>55</v>
      </c>
      <c r="E74" s="2" t="s">
        <v>54</v>
      </c>
      <c r="F74" s="8" t="s">
        <v>152</v>
      </c>
      <c r="G74" s="2"/>
      <c r="H74" s="5">
        <v>442.69657292841788</v>
      </c>
      <c r="I74" s="5">
        <v>362.27094893570683</v>
      </c>
      <c r="J74" s="5">
        <v>362.27094893570683</v>
      </c>
      <c r="K74" s="5">
        <v>362.27094893570683</v>
      </c>
      <c r="L74" s="5">
        <v>426.44032978095498</v>
      </c>
      <c r="M74" s="5">
        <v>362.27094893570683</v>
      </c>
      <c r="N74" s="5">
        <v>304.3759075508828</v>
      </c>
      <c r="O74" s="5">
        <v>280.13414145378908</v>
      </c>
      <c r="P74" s="5">
        <v>294.39400386384426</v>
      </c>
      <c r="Q74" s="5">
        <v>317.20978371993255</v>
      </c>
      <c r="R74" s="5">
        <v>308.08347177749721</v>
      </c>
      <c r="S74" s="5">
        <v>303.80551305448063</v>
      </c>
      <c r="T74" s="5">
        <v>303.80551305448063</v>
      </c>
      <c r="U74" s="4">
        <v>353.43040463596901</v>
      </c>
      <c r="V74" s="4">
        <v>587.29100737188094</v>
      </c>
      <c r="W74" s="4">
        <v>604.40284226394715</v>
      </c>
      <c r="X74" s="4">
        <v>875.91062255139741</v>
      </c>
      <c r="Y74" s="4">
        <v>1116.9022972813298</v>
      </c>
      <c r="Z74" s="4">
        <v>1156.8299120294841</v>
      </c>
      <c r="AA74" s="4">
        <v>1156.8299120294841</v>
      </c>
      <c r="AB74" s="4">
        <v>1114.0503247993186</v>
      </c>
      <c r="AC74" s="4">
        <v>1034.1950953030096</v>
      </c>
      <c r="AD74" s="4">
        <v>807.46328298313267</v>
      </c>
      <c r="AE74" s="4">
        <v>578.16526582394192</v>
      </c>
    </row>
    <row r="76" spans="4:31" ht="20.399999999999999" thickBot="1">
      <c r="D76" s="1" t="s">
        <v>40</v>
      </c>
      <c r="E76" s="7" t="s">
        <v>32</v>
      </c>
      <c r="F76" s="3" t="s">
        <v>150</v>
      </c>
      <c r="G76" s="7"/>
      <c r="H76" s="3" t="s">
        <v>7</v>
      </c>
      <c r="I76" s="3" t="s">
        <v>8</v>
      </c>
      <c r="J76" s="3" t="s">
        <v>9</v>
      </c>
      <c r="K76" s="3" t="s">
        <v>10</v>
      </c>
      <c r="L76" s="3" t="s">
        <v>11</v>
      </c>
      <c r="M76" s="3" t="s">
        <v>12</v>
      </c>
      <c r="N76" s="3" t="s">
        <v>13</v>
      </c>
      <c r="O76" s="3" t="s">
        <v>14</v>
      </c>
      <c r="P76" s="3" t="s">
        <v>15</v>
      </c>
      <c r="Q76" s="3" t="s">
        <v>16</v>
      </c>
      <c r="R76" s="3" t="s">
        <v>17</v>
      </c>
      <c r="S76" s="3" t="s">
        <v>18</v>
      </c>
      <c r="T76" s="3" t="s">
        <v>19</v>
      </c>
      <c r="U76" s="3" t="s">
        <v>20</v>
      </c>
      <c r="V76" s="3" t="s">
        <v>21</v>
      </c>
      <c r="W76" s="3" t="s">
        <v>22</v>
      </c>
      <c r="X76" s="3" t="s">
        <v>23</v>
      </c>
      <c r="Y76" s="3" t="s">
        <v>24</v>
      </c>
      <c r="Z76" s="3" t="s">
        <v>25</v>
      </c>
      <c r="AA76" s="3" t="s">
        <v>26</v>
      </c>
      <c r="AB76" s="3" t="s">
        <v>27</v>
      </c>
      <c r="AC76" s="3" t="s">
        <v>28</v>
      </c>
      <c r="AD76" s="3" t="s">
        <v>29</v>
      </c>
      <c r="AE76" s="3" t="s">
        <v>30</v>
      </c>
    </row>
    <row r="77" spans="4:31" ht="15" thickTop="1">
      <c r="D77" t="s">
        <v>31</v>
      </c>
      <c r="E77" s="2" t="s">
        <v>2</v>
      </c>
      <c r="F77" s="8" t="s">
        <v>152</v>
      </c>
      <c r="G77" s="2"/>
      <c r="H77" s="5">
        <v>442.69657292841788</v>
      </c>
      <c r="I77" s="5">
        <v>362.27094893570683</v>
      </c>
      <c r="J77" s="5">
        <v>362.27094893570683</v>
      </c>
      <c r="K77" s="5">
        <v>362.27094893570683</v>
      </c>
      <c r="L77" s="5">
        <v>426.44032978095498</v>
      </c>
      <c r="M77" s="5">
        <v>362.27094893570683</v>
      </c>
      <c r="N77" s="5">
        <v>304.3759075508828</v>
      </c>
      <c r="O77" s="5">
        <v>280.13414145378908</v>
      </c>
      <c r="P77" s="5">
        <v>294.39400386384426</v>
      </c>
      <c r="Q77" s="5">
        <v>317.20978371993255</v>
      </c>
      <c r="R77" s="5">
        <v>308.08347177749721</v>
      </c>
      <c r="S77" s="5">
        <v>303.80551305448063</v>
      </c>
      <c r="T77" s="5">
        <v>303.80551305448063</v>
      </c>
      <c r="U77" s="4">
        <v>353.43040463596901</v>
      </c>
      <c r="V77" s="4">
        <v>587.29100737188094</v>
      </c>
      <c r="W77" s="4">
        <v>604.40284226394715</v>
      </c>
      <c r="X77" s="4">
        <v>875.91062255139741</v>
      </c>
      <c r="Y77" s="4">
        <v>1116.9022972813298</v>
      </c>
      <c r="Z77" s="4">
        <v>1156.8299120294841</v>
      </c>
      <c r="AA77" s="4">
        <v>1156.8299120294841</v>
      </c>
      <c r="AB77" s="4">
        <v>1114.0503247993186</v>
      </c>
      <c r="AC77" s="4">
        <v>1034.1950953030096</v>
      </c>
      <c r="AD77" s="4">
        <v>807.46328298313267</v>
      </c>
      <c r="AE77" s="4">
        <v>578.16526582394192</v>
      </c>
    </row>
    <row r="78" spans="4:31">
      <c r="D78" t="s">
        <v>47</v>
      </c>
      <c r="E78" s="2" t="s">
        <v>41</v>
      </c>
      <c r="F78" s="8" t="s">
        <v>151</v>
      </c>
      <c r="G78" s="5">
        <v>0.1</v>
      </c>
      <c r="H78" s="26" t="str">
        <f>IF(AND(G29=TRUE,G78&lt;0),"the penalty cost should be in range 0-25","")</f>
        <v/>
      </c>
    </row>
    <row r="79" spans="4:31">
      <c r="D79" t="s">
        <v>48</v>
      </c>
      <c r="E79" s="2" t="s">
        <v>42</v>
      </c>
      <c r="F79" s="8" t="s">
        <v>151</v>
      </c>
      <c r="G79" s="5">
        <v>0.1</v>
      </c>
      <c r="H79" s="26" t="str">
        <f>IF(AND(G29=TRUE,G79&lt;0),"the penalty cost should be in range 0-25","")</f>
        <v/>
      </c>
    </row>
    <row r="80" spans="4:31">
      <c r="D80" t="s">
        <v>49</v>
      </c>
      <c r="E80" s="2" t="s">
        <v>43</v>
      </c>
      <c r="F80" s="8" t="s">
        <v>151</v>
      </c>
      <c r="G80" s="5">
        <v>0.1</v>
      </c>
      <c r="H80" s="26" t="str">
        <f>IF(AND(G39=TRUE,G80&lt;0),"the penalty cost should be in range 0-25","")</f>
        <v/>
      </c>
    </row>
    <row r="81" spans="4:8">
      <c r="D81" t="s">
        <v>50</v>
      </c>
      <c r="E81" s="2" t="s">
        <v>44</v>
      </c>
      <c r="F81" s="8" t="s">
        <v>151</v>
      </c>
      <c r="G81" s="5">
        <v>0.1</v>
      </c>
      <c r="H81" s="26" t="str">
        <f>IF(AND(G39=TRUE,G81&lt;0),"the penalty cost should be in range 0-25","")</f>
        <v/>
      </c>
    </row>
    <row r="82" spans="4:8">
      <c r="D82" t="s">
        <v>51</v>
      </c>
      <c r="E82" s="2" t="s">
        <v>45</v>
      </c>
      <c r="F82" s="8" t="s">
        <v>151</v>
      </c>
      <c r="G82" s="5">
        <v>0.1</v>
      </c>
      <c r="H82" s="26" t="str">
        <f>IF(AND(G45=TRUE,G82&lt;0),"the penalty cost should be in range 0-25","")</f>
        <v/>
      </c>
    </row>
    <row r="83" spans="4:8">
      <c r="D83" t="s">
        <v>52</v>
      </c>
      <c r="E83" s="2" t="s">
        <v>46</v>
      </c>
      <c r="F83" s="8" t="s">
        <v>151</v>
      </c>
      <c r="G83" s="5">
        <v>0.1</v>
      </c>
      <c r="H83" s="26" t="str">
        <f>IF(AND(G45=TRUE,G83&lt;0),"the penalty cost should be in range 0-25","")</f>
        <v/>
      </c>
    </row>
    <row r="84" spans="4:8">
      <c r="D84" t="s">
        <v>203</v>
      </c>
      <c r="E84" s="2" t="s">
        <v>201</v>
      </c>
      <c r="F84" s="8" t="s">
        <v>153</v>
      </c>
      <c r="G84" s="5">
        <v>0.1</v>
      </c>
    </row>
    <row r="85" spans="4:8">
      <c r="D85" t="s">
        <v>204</v>
      </c>
      <c r="E85" s="2" t="s">
        <v>202</v>
      </c>
      <c r="F85" s="8" t="s">
        <v>153</v>
      </c>
      <c r="G85" s="5">
        <v>0.1</v>
      </c>
    </row>
  </sheetData>
  <phoneticPr fontId="7" type="noConversion"/>
  <conditionalFormatting sqref="G9">
    <cfRule type="cellIs" dxfId="42" priority="62" operator="equal">
      <formula>FALSE</formula>
    </cfRule>
    <cfRule type="cellIs" dxfId="41" priority="63" operator="equal">
      <formula>TRUE</formula>
    </cfRule>
  </conditionalFormatting>
  <conditionalFormatting sqref="G10">
    <cfRule type="cellIs" dxfId="40" priority="60" operator="equal">
      <formula>FALSE</formula>
    </cfRule>
    <cfRule type="cellIs" dxfId="39" priority="61" operator="equal">
      <formula>TRUE</formula>
    </cfRule>
  </conditionalFormatting>
  <conditionalFormatting sqref="G27">
    <cfRule type="cellIs" dxfId="38" priority="20" operator="equal">
      <formula>FALSE</formula>
    </cfRule>
    <cfRule type="cellIs" dxfId="37" priority="21" operator="equal">
      <formula>TRUE</formula>
    </cfRule>
  </conditionalFormatting>
  <conditionalFormatting sqref="G29 G50 G61 G35 G39 G44:G45">
    <cfRule type="cellIs" dxfId="36" priority="18" operator="equal">
      <formula>FALSE</formula>
    </cfRule>
    <cfRule type="cellIs" dxfId="35" priority="19" operator="equal">
      <formula>TRUE</formula>
    </cfRule>
  </conditionalFormatting>
  <conditionalFormatting sqref="G30:G31">
    <cfRule type="expression" dxfId="34" priority="15">
      <formula>$G$29=FALSE</formula>
    </cfRule>
  </conditionalFormatting>
  <conditionalFormatting sqref="G28">
    <cfRule type="expression" dxfId="33" priority="14">
      <formula>$G$27=FALSE</formula>
    </cfRule>
  </conditionalFormatting>
  <conditionalFormatting sqref="G40:G41">
    <cfRule type="expression" dxfId="32" priority="13">
      <formula>$G$39=FALSE</formula>
    </cfRule>
  </conditionalFormatting>
  <conditionalFormatting sqref="G46:G47">
    <cfRule type="expression" dxfId="31" priority="12">
      <formula>$G$45=FALSE</formula>
    </cfRule>
  </conditionalFormatting>
  <conditionalFormatting sqref="G36:G38">
    <cfRule type="expression" dxfId="30" priority="11">
      <formula>$G$29=FALSE</formula>
    </cfRule>
  </conditionalFormatting>
  <conditionalFormatting sqref="G36:G38">
    <cfRule type="expression" dxfId="29" priority="8">
      <formula>$G$10="LP"</formula>
    </cfRule>
  </conditionalFormatting>
  <conditionalFormatting sqref="G52:G53">
    <cfRule type="expression" dxfId="28" priority="7">
      <formula>$G$45=FALSE</formula>
    </cfRule>
  </conditionalFormatting>
  <conditionalFormatting sqref="G51">
    <cfRule type="cellIs" dxfId="27" priority="5" operator="equal">
      <formula>FALSE</formula>
    </cfRule>
    <cfRule type="cellIs" dxfId="26" priority="6" operator="equal">
      <formula>TRUE</formula>
    </cfRule>
  </conditionalFormatting>
  <conditionalFormatting sqref="G56">
    <cfRule type="cellIs" dxfId="25" priority="3" operator="equal">
      <formula>FALSE</formula>
    </cfRule>
    <cfRule type="cellIs" dxfId="24" priority="4" operator="equal">
      <formula>TRUE</formula>
    </cfRule>
  </conditionalFormatting>
  <conditionalFormatting sqref="G22">
    <cfRule type="cellIs" dxfId="23" priority="1" operator="equal">
      <formula>FALSE</formula>
    </cfRule>
    <cfRule type="cellIs" dxfId="22" priority="2" operator="equal">
      <formula>TRUE</formula>
    </cfRule>
  </conditionalFormatting>
  <dataValidations count="2">
    <dataValidation type="list" allowBlank="1" showInputMessage="1" showErrorMessage="1" sqref="G9 G61 G35 G44:G45 G29 G39 G27 G50:G51 G56 G22" xr:uid="{486E1DFA-3633-4FFB-A635-629E01A4702D}">
      <formula1>$AE$4:$AE$5</formula1>
    </dataValidation>
    <dataValidation type="list" allowBlank="1" showInputMessage="1" showErrorMessage="1" sqref="G10" xr:uid="{D951DE0D-37BD-4A18-A15C-8E7BB126690F}">
      <formula1>$AD$4:$AD$5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TempRegPy">
                <anchor moveWithCells="1" sizeWithCells="1">
                  <from>
                    <xdr:col>3</xdr:col>
                    <xdr:colOff>3124200</xdr:colOff>
                    <xdr:row>2</xdr:row>
                    <xdr:rowOff>114300</xdr:rowOff>
                  </from>
                  <to>
                    <xdr:col>3</xdr:col>
                    <xdr:colOff>4305300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B1D28A62-8160-4214-90C6-7300CAB8AAB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Inputs!H32:AE32</xm:f>
              <xm:sqref>G32</xm:sqref>
            </x14:sparkline>
          </x14:sparklines>
        </x14:sparklineGroup>
        <x14:sparklineGroup displayEmptyCellsAs="gap" xr2:uid="{C158CFA3-6126-40A8-B8DD-D0E71C4846C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Inputs!H23:AE23</xm:f>
              <xm:sqref>G23</xm:sqref>
            </x14:sparkline>
            <x14:sparkline>
              <xm:f>Inputs!H24:AE24</xm:f>
              <xm:sqref>G24</xm:sqref>
            </x14:sparkline>
          </x14:sparklines>
        </x14:sparklineGroup>
        <x14:sparklineGroup displayEmptyCellsAs="gap" xr2:uid="{7D049DFB-E378-47D1-9440-154383A5D7E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Inputs!H33:AE33</xm:f>
              <xm:sqref>G33</xm:sqref>
            </x14:sparkline>
            <x14:sparkline>
              <xm:f>Inputs!H34:AE34</xm:f>
              <xm:sqref>G34</xm:sqref>
            </x14:sparkline>
            <x14:sparkline>
              <xm:f>Inputs!H42:AE42</xm:f>
              <xm:sqref>G42</xm:sqref>
            </x14:sparkline>
            <x14:sparkline>
              <xm:f>Inputs!H43:AE43</xm:f>
              <xm:sqref>G43</xm:sqref>
            </x14:sparkline>
            <x14:sparkline>
              <xm:f>Inputs!H48:AE48</xm:f>
              <xm:sqref>G48</xm:sqref>
            </x14:sparkline>
            <x14:sparkline>
              <xm:f>Inputs!H49:AE49</xm:f>
              <xm:sqref>G49</xm:sqref>
            </x14:sparkline>
          </x14:sparklines>
        </x14:sparklineGroup>
        <x14:sparklineGroup displayEmptyCellsAs="gap" xr2:uid="{82CD4ABA-B273-45B5-94EE-EC102B43C09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Inputs!H59:AE59</xm:f>
              <xm:sqref>G59</xm:sqref>
            </x14:sparkline>
            <x14:sparkline>
              <xm:f>Inputs!H60:AE60</xm:f>
              <xm:sqref>G60</xm:sqref>
            </x14:sparkline>
            <x14:sparkline>
              <xm:f>Inputs!H62:AE62</xm:f>
              <xm:sqref>G62</xm:sqref>
            </x14:sparkline>
            <x14:sparkline>
              <xm:f>Inputs!H63:AE63</xm:f>
              <xm:sqref>G63</xm:sqref>
            </x14:sparkline>
            <x14:sparkline>
              <xm:f>Inputs!H64:AE64</xm:f>
              <xm:sqref>G64</xm:sqref>
            </x14:sparkline>
          </x14:sparklines>
        </x14:sparklineGroup>
        <x14:sparklineGroup displayEmptyCellsAs="gap" xr2:uid="{8BCAB434-1C4D-4D9F-A270-9BF6C31C4D1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Inputs!H77:AE77</xm:f>
              <xm:sqref>G77</xm:sqref>
            </x14:sparkline>
            <x14:sparkline>
              <xm:f>Inputs!H74:AE74</xm:f>
              <xm:sqref>G74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7A04-B687-4B29-8B43-B75768E7C5A7}">
  <sheetPr codeName="Sheet2"/>
  <dimension ref="A1:AB34"/>
  <sheetViews>
    <sheetView workbookViewId="0">
      <selection activeCell="Z11" sqref="Z11:Z34"/>
    </sheetView>
  </sheetViews>
  <sheetFormatPr defaultRowHeight="14.4"/>
  <cols>
    <col min="1" max="3" width="1.6640625" customWidth="1"/>
    <col min="4" max="4" width="22.44140625" bestFit="1" customWidth="1"/>
    <col min="5" max="5" width="7.21875" bestFit="1" customWidth="1"/>
    <col min="6" max="6" width="7.44140625" bestFit="1" customWidth="1"/>
    <col min="7" max="7" width="7.33203125" bestFit="1" customWidth="1"/>
    <col min="8" max="8" width="17.5546875" bestFit="1" customWidth="1"/>
    <col min="9" max="9" width="17.88671875" bestFit="1" customWidth="1"/>
    <col min="10" max="10" width="15.5546875" bestFit="1" customWidth="1"/>
    <col min="11" max="11" width="21.5546875" bestFit="1" customWidth="1"/>
    <col min="12" max="12" width="19.109375" bestFit="1" customWidth="1"/>
    <col min="13" max="13" width="12" bestFit="1" customWidth="1"/>
    <col min="14" max="14" width="17.44140625" bestFit="1" customWidth="1"/>
    <col min="15" max="15" width="15" bestFit="1" customWidth="1"/>
    <col min="16" max="18" width="12" bestFit="1" customWidth="1"/>
    <col min="19" max="19" width="10.6640625" bestFit="1" customWidth="1"/>
    <col min="20" max="20" width="7.44140625" bestFit="1" customWidth="1"/>
    <col min="21" max="21" width="18" bestFit="1" customWidth="1"/>
    <col min="22" max="22" width="15.6640625" bestFit="1" customWidth="1"/>
    <col min="23" max="23" width="7.44140625" bestFit="1" customWidth="1"/>
    <col min="24" max="24" width="18" bestFit="1" customWidth="1"/>
    <col min="25" max="25" width="15.6640625" bestFit="1" customWidth="1"/>
    <col min="26" max="26" width="12" bestFit="1" customWidth="1"/>
    <col min="27" max="27" width="11.33203125" customWidth="1"/>
  </cols>
  <sheetData>
    <row r="1" spans="1:28" ht="24" thickBot="1">
      <c r="D1" s="23" t="s">
        <v>118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8" ht="18" thickBot="1">
      <c r="D2" s="24" t="s">
        <v>119</v>
      </c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8" ht="15" thickTop="1">
      <c r="D3" t="s">
        <v>124</v>
      </c>
      <c r="E3" s="4" t="s">
        <v>263</v>
      </c>
      <c r="F3" t="s">
        <v>117</v>
      </c>
      <c r="G3" s="32" t="str" cm="1">
        <f t="array" aca="1" ref="G3" ca="1">LEFT(CELL("filename", A3), FIND("[", CELL("filename", A3)) - 1) &amp; "Results\" &amp; E3</f>
        <v>C:\Projects\Github\TempRegPy\Results\Week10_WD_alt1</v>
      </c>
      <c r="H3" s="21"/>
    </row>
    <row r="5" spans="1:28" s="31" customFormat="1" ht="18" thickBot="1">
      <c r="A5" s="30"/>
      <c r="B5" s="30"/>
      <c r="C5" s="30"/>
      <c r="D5" s="24" t="s">
        <v>130</v>
      </c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</row>
    <row r="6" spans="1:28" s="31" customFormat="1" ht="70.8" thickTop="1" thickBot="1">
      <c r="A6" s="30"/>
      <c r="B6" s="30"/>
      <c r="C6" s="30"/>
      <c r="D6" s="42" t="s">
        <v>243</v>
      </c>
      <c r="E6" s="41" t="s">
        <v>153</v>
      </c>
      <c r="F6" s="40" t="s">
        <v>86</v>
      </c>
      <c r="G6" s="40" t="s">
        <v>248</v>
      </c>
      <c r="H6" s="40" t="s">
        <v>244</v>
      </c>
      <c r="I6" s="40" t="s">
        <v>122</v>
      </c>
      <c r="J6" s="40" t="s">
        <v>123</v>
      </c>
      <c r="K6" s="40" t="s">
        <v>245</v>
      </c>
      <c r="L6" s="40" t="s">
        <v>246</v>
      </c>
      <c r="M6" s="40" t="s">
        <v>247</v>
      </c>
      <c r="N6" s="40" t="s">
        <v>249</v>
      </c>
      <c r="O6" s="40" t="s">
        <v>250</v>
      </c>
      <c r="P6" s="40" t="s">
        <v>251</v>
      </c>
      <c r="Q6" s="40" t="s">
        <v>252</v>
      </c>
      <c r="R6" s="40" t="s">
        <v>253</v>
      </c>
      <c r="S6" s="40" t="s">
        <v>254</v>
      </c>
      <c r="T6" s="40" t="s">
        <v>255</v>
      </c>
      <c r="U6" s="40" t="s">
        <v>135</v>
      </c>
      <c r="V6" s="40" t="s">
        <v>136</v>
      </c>
      <c r="W6" s="40" t="s">
        <v>256</v>
      </c>
      <c r="X6" s="40" t="s">
        <v>137</v>
      </c>
      <c r="Y6" s="40" t="s">
        <v>138</v>
      </c>
      <c r="Z6" s="40" t="s">
        <v>257</v>
      </c>
      <c r="AA6" s="40" t="s">
        <v>131</v>
      </c>
      <c r="AB6" s="40" t="s">
        <v>133</v>
      </c>
    </row>
    <row r="7" spans="1:28" s="33" customFormat="1" ht="18" customHeight="1" thickTop="1" thickBot="1">
      <c r="F7" s="34" t="s">
        <v>120</v>
      </c>
      <c r="G7" s="34" t="s">
        <v>121</v>
      </c>
      <c r="H7" s="34" t="s">
        <v>258</v>
      </c>
      <c r="I7" s="34" t="s">
        <v>121</v>
      </c>
      <c r="J7" s="34" t="s">
        <v>121</v>
      </c>
      <c r="K7" s="34" t="s">
        <v>258</v>
      </c>
      <c r="L7" s="34" t="s">
        <v>258</v>
      </c>
      <c r="M7" s="34" t="s">
        <v>121</v>
      </c>
      <c r="N7" s="34" t="s">
        <v>121</v>
      </c>
      <c r="O7" s="34" t="s">
        <v>121</v>
      </c>
      <c r="P7" s="34" t="s">
        <v>121</v>
      </c>
      <c r="Q7" s="34" t="s">
        <v>121</v>
      </c>
      <c r="R7" s="34" t="s">
        <v>121</v>
      </c>
      <c r="S7" s="34" t="s">
        <v>121</v>
      </c>
      <c r="T7" s="34" t="s">
        <v>121</v>
      </c>
      <c r="U7" s="34" t="s">
        <v>121</v>
      </c>
      <c r="V7" s="34" t="s">
        <v>121</v>
      </c>
      <c r="W7" s="34" t="s">
        <v>121</v>
      </c>
      <c r="X7" s="34" t="s">
        <v>121</v>
      </c>
      <c r="Y7" s="34" t="s">
        <v>121</v>
      </c>
      <c r="Z7" s="34" t="s">
        <v>125</v>
      </c>
      <c r="AA7" s="34" t="s">
        <v>132</v>
      </c>
      <c r="AB7" s="34" t="s">
        <v>134</v>
      </c>
    </row>
    <row r="8" spans="1:28" s="33" customFormat="1" ht="18" customHeight="1" thickBot="1"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</row>
    <row r="9" spans="1:28" ht="15" thickBot="1">
      <c r="F9" s="35">
        <f>SUM(F11:F34)</f>
        <v>0</v>
      </c>
      <c r="G9" s="35">
        <f>SUM(G11:G34)</f>
        <v>0</v>
      </c>
      <c r="H9" s="35">
        <f t="shared" ref="H9:W9" si="0">SUM(H11:H34)</f>
        <v>0</v>
      </c>
      <c r="I9" s="35">
        <f t="shared" ref="I9:J9" si="1">AVERAGE(I11:I34)</f>
        <v>0</v>
      </c>
      <c r="J9" s="35">
        <f t="shared" si="1"/>
        <v>0</v>
      </c>
      <c r="K9" s="35">
        <f t="shared" si="0"/>
        <v>0</v>
      </c>
      <c r="L9" s="35">
        <f t="shared" si="0"/>
        <v>0</v>
      </c>
      <c r="M9" s="35">
        <f t="shared" si="0"/>
        <v>233797.41</v>
      </c>
      <c r="N9" s="35">
        <f t="shared" ref="N9:O9" si="2">AVERAGE(N11:N34)</f>
        <v>0</v>
      </c>
      <c r="O9" s="35">
        <f t="shared" si="2"/>
        <v>0</v>
      </c>
      <c r="P9" s="35">
        <f t="shared" si="0"/>
        <v>233797.41</v>
      </c>
      <c r="Q9" s="35">
        <f t="shared" si="0"/>
        <v>0</v>
      </c>
      <c r="R9" s="35">
        <f t="shared" si="0"/>
        <v>233797.41</v>
      </c>
      <c r="S9" s="35">
        <f t="shared" si="0"/>
        <v>0</v>
      </c>
      <c r="T9" s="35">
        <f t="shared" si="0"/>
        <v>0</v>
      </c>
      <c r="U9" s="35">
        <f t="shared" ref="U9:V9" si="3">AVERAGE(U11:U34)</f>
        <v>0</v>
      </c>
      <c r="V9" s="35">
        <f t="shared" si="3"/>
        <v>0</v>
      </c>
      <c r="W9" s="35">
        <f t="shared" si="0"/>
        <v>0</v>
      </c>
      <c r="X9" s="35">
        <f t="shared" ref="X9:Y9" si="4">AVERAGE(X11:X34)</f>
        <v>0</v>
      </c>
      <c r="Y9" s="35">
        <f t="shared" si="4"/>
        <v>0</v>
      </c>
      <c r="Z9" s="35">
        <f>(SUMPRODUCT(Flows[q_gg],Flows[T_plant])+SUMPRODUCT(Flows[q_tot],Flows[T_plant]))/SUM(Flows[q_gg],T11:T34)</f>
        <v>15.150481342665829</v>
      </c>
      <c r="AA9" s="35">
        <f>AVERAGE(AA11:AA34)</f>
        <v>575.64583333333348</v>
      </c>
      <c r="AB9" s="35">
        <f>SUM(AB11:AB34)</f>
        <v>0</v>
      </c>
    </row>
    <row r="10" spans="1:28">
      <c r="E10" t="s">
        <v>221</v>
      </c>
      <c r="F10" t="s">
        <v>222</v>
      </c>
      <c r="G10" t="s">
        <v>223</v>
      </c>
      <c r="H10" t="s">
        <v>224</v>
      </c>
      <c r="I10" t="s">
        <v>225</v>
      </c>
      <c r="J10" t="s">
        <v>226</v>
      </c>
      <c r="K10" t="s">
        <v>227</v>
      </c>
      <c r="L10" t="s">
        <v>228</v>
      </c>
      <c r="M10" t="s">
        <v>229</v>
      </c>
      <c r="N10" t="s">
        <v>230</v>
      </c>
      <c r="O10" t="s">
        <v>231</v>
      </c>
      <c r="P10" t="s">
        <v>232</v>
      </c>
      <c r="Q10" t="s">
        <v>233</v>
      </c>
      <c r="R10" t="s">
        <v>234</v>
      </c>
      <c r="S10" t="s">
        <v>235</v>
      </c>
      <c r="T10" t="s">
        <v>236</v>
      </c>
      <c r="U10" t="s">
        <v>237</v>
      </c>
      <c r="V10" t="s">
        <v>238</v>
      </c>
      <c r="W10" t="s">
        <v>239</v>
      </c>
      <c r="X10" t="s">
        <v>240</v>
      </c>
      <c r="Y10" t="s">
        <v>241</v>
      </c>
      <c r="Z10" t="s">
        <v>242</v>
      </c>
    </row>
    <row r="11" spans="1:28">
      <c r="E11">
        <v>1</v>
      </c>
      <c r="F11">
        <v>0</v>
      </c>
      <c r="G11">
        <v>0</v>
      </c>
      <c r="H11" s="39">
        <v>0</v>
      </c>
      <c r="I11">
        <v>0</v>
      </c>
      <c r="J11">
        <v>0</v>
      </c>
      <c r="K11">
        <v>0</v>
      </c>
      <c r="L11">
        <v>0</v>
      </c>
      <c r="M11">
        <v>7775.5562482226678</v>
      </c>
      <c r="N11">
        <v>0</v>
      </c>
      <c r="O11">
        <v>0</v>
      </c>
      <c r="P11">
        <v>7775.5562482226678</v>
      </c>
      <c r="Q11">
        <v>0</v>
      </c>
      <c r="R11">
        <v>7775.5562482226678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14.139470585714285</v>
      </c>
      <c r="AA11" cm="1">
        <f t="array" ref="AA11:AA34">TRANSPOSE(Inputs!H77:AE77)</f>
        <v>442.69657292841788</v>
      </c>
      <c r="AB11" s="43">
        <f>AA11*Flows[[#This Row],[p_tur]]</f>
        <v>0</v>
      </c>
    </row>
    <row r="12" spans="1:28">
      <c r="E12">
        <v>2</v>
      </c>
      <c r="F12">
        <v>0</v>
      </c>
      <c r="G12">
        <v>0</v>
      </c>
      <c r="H12" s="39">
        <v>0</v>
      </c>
      <c r="I12">
        <v>0</v>
      </c>
      <c r="J12">
        <v>0</v>
      </c>
      <c r="K12">
        <v>0</v>
      </c>
      <c r="L12">
        <v>0</v>
      </c>
      <c r="M12">
        <v>8053.9932386424234</v>
      </c>
      <c r="N12">
        <v>0</v>
      </c>
      <c r="O12">
        <v>0</v>
      </c>
      <c r="P12">
        <v>8053.9932386424234</v>
      </c>
      <c r="Q12">
        <v>0</v>
      </c>
      <c r="R12">
        <v>8053.9932386424234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14.182102087881942</v>
      </c>
      <c r="AA12">
        <v>362.27094893570683</v>
      </c>
      <c r="AB12" s="43">
        <f>AA12*Flows[[#This Row],[p_tur]]</f>
        <v>0</v>
      </c>
    </row>
    <row r="13" spans="1:28">
      <c r="E13">
        <v>3</v>
      </c>
      <c r="F13">
        <v>0</v>
      </c>
      <c r="G13">
        <v>0</v>
      </c>
      <c r="H13" s="39">
        <v>0</v>
      </c>
      <c r="I13">
        <v>0</v>
      </c>
      <c r="J13">
        <v>0</v>
      </c>
      <c r="K13">
        <v>0</v>
      </c>
      <c r="L13">
        <v>0</v>
      </c>
      <c r="M13">
        <v>8053.9932386424234</v>
      </c>
      <c r="N13">
        <v>0</v>
      </c>
      <c r="O13">
        <v>0</v>
      </c>
      <c r="P13">
        <v>8053.9932386424234</v>
      </c>
      <c r="Q13">
        <v>0</v>
      </c>
      <c r="R13">
        <v>8053.9932386424234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14.261852959310513</v>
      </c>
      <c r="AA13">
        <v>362.27094893570683</v>
      </c>
      <c r="AB13" s="43">
        <f>AA13*Flows[[#This Row],[p_tur]]</f>
        <v>0</v>
      </c>
    </row>
    <row r="14" spans="1:28">
      <c r="E14">
        <v>4</v>
      </c>
      <c r="F14">
        <v>0</v>
      </c>
      <c r="G14">
        <v>0</v>
      </c>
      <c r="H14" s="39">
        <v>0</v>
      </c>
      <c r="I14">
        <v>0</v>
      </c>
      <c r="J14">
        <v>0</v>
      </c>
      <c r="K14">
        <v>0</v>
      </c>
      <c r="L14">
        <v>0</v>
      </c>
      <c r="M14">
        <v>8053.9932386424234</v>
      </c>
      <c r="N14">
        <v>0</v>
      </c>
      <c r="O14">
        <v>0</v>
      </c>
      <c r="P14">
        <v>8053.9932386424234</v>
      </c>
      <c r="Q14">
        <v>0</v>
      </c>
      <c r="R14">
        <v>8053.9932386424234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14.334438816453371</v>
      </c>
      <c r="AA14">
        <v>362.27094893570683</v>
      </c>
      <c r="AB14" s="43">
        <f>AA14*Flows[[#This Row],[p_tur]]</f>
        <v>0</v>
      </c>
    </row>
    <row r="15" spans="1:28">
      <c r="E15">
        <v>5</v>
      </c>
      <c r="F15">
        <v>0</v>
      </c>
      <c r="G15">
        <v>0</v>
      </c>
      <c r="H15" s="39">
        <v>0</v>
      </c>
      <c r="I15">
        <v>0</v>
      </c>
      <c r="J15">
        <v>0</v>
      </c>
      <c r="K15">
        <v>0</v>
      </c>
      <c r="L15">
        <v>0</v>
      </c>
      <c r="M15">
        <v>8053.9932386424234</v>
      </c>
      <c r="N15">
        <v>0</v>
      </c>
      <c r="O15">
        <v>0</v>
      </c>
      <c r="P15">
        <v>8053.9932386424234</v>
      </c>
      <c r="Q15">
        <v>0</v>
      </c>
      <c r="R15">
        <v>8053.9932386424234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14.405464487881941</v>
      </c>
      <c r="AA15">
        <v>426.44032978095498</v>
      </c>
      <c r="AB15" s="43">
        <f>AA15*Flows[[#This Row],[p_tur]]</f>
        <v>0</v>
      </c>
    </row>
    <row r="16" spans="1:28">
      <c r="E16">
        <v>6</v>
      </c>
      <c r="F16">
        <v>0</v>
      </c>
      <c r="G16">
        <v>0</v>
      </c>
      <c r="H16" s="39">
        <v>0</v>
      </c>
      <c r="I16">
        <v>0</v>
      </c>
      <c r="J16">
        <v>0</v>
      </c>
      <c r="K16">
        <v>0</v>
      </c>
      <c r="L16">
        <v>0</v>
      </c>
      <c r="M16">
        <v>8053.9932386424234</v>
      </c>
      <c r="N16">
        <v>0</v>
      </c>
      <c r="O16">
        <v>0</v>
      </c>
      <c r="P16">
        <v>8053.9932386424234</v>
      </c>
      <c r="Q16">
        <v>0</v>
      </c>
      <c r="R16">
        <v>8053.9932386424234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14.484059787881941</v>
      </c>
      <c r="AA16">
        <v>362.27094893570683</v>
      </c>
      <c r="AB16" s="43">
        <f>AA16*Flows[[#This Row],[p_tur]]</f>
        <v>0</v>
      </c>
    </row>
    <row r="17" spans="5:28">
      <c r="E17">
        <v>7</v>
      </c>
      <c r="F17">
        <v>0</v>
      </c>
      <c r="G17">
        <v>0</v>
      </c>
      <c r="H17" s="39">
        <v>0</v>
      </c>
      <c r="I17">
        <v>0</v>
      </c>
      <c r="J17">
        <v>0</v>
      </c>
      <c r="K17">
        <v>0</v>
      </c>
      <c r="L17">
        <v>0</v>
      </c>
      <c r="M17">
        <v>8053.9932386424234</v>
      </c>
      <c r="N17">
        <v>0</v>
      </c>
      <c r="O17">
        <v>0</v>
      </c>
      <c r="P17">
        <v>8053.9932386424234</v>
      </c>
      <c r="Q17">
        <v>0</v>
      </c>
      <c r="R17">
        <v>8053.9932386424234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14.547257345024798</v>
      </c>
      <c r="AA17">
        <v>304.3759075508828</v>
      </c>
      <c r="AB17" s="43">
        <f>AA17*Flows[[#This Row],[p_tur]]</f>
        <v>0</v>
      </c>
    </row>
    <row r="18" spans="5:28">
      <c r="E18">
        <v>8</v>
      </c>
      <c r="F18">
        <v>0</v>
      </c>
      <c r="G18">
        <v>0</v>
      </c>
      <c r="H18" s="39">
        <v>0</v>
      </c>
      <c r="I18">
        <v>0</v>
      </c>
      <c r="J18">
        <v>0</v>
      </c>
      <c r="K18">
        <v>0</v>
      </c>
      <c r="L18">
        <v>0</v>
      </c>
      <c r="M18">
        <v>8053.9932386424234</v>
      </c>
      <c r="N18">
        <v>0</v>
      </c>
      <c r="O18">
        <v>0</v>
      </c>
      <c r="P18">
        <v>8053.9932386424234</v>
      </c>
      <c r="Q18">
        <v>0</v>
      </c>
      <c r="R18">
        <v>8053.9932386424234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14.509401787881941</v>
      </c>
      <c r="AA18">
        <v>280.13414145378908</v>
      </c>
      <c r="AB18" s="43">
        <f>AA18*Flows[[#This Row],[p_tur]]</f>
        <v>0</v>
      </c>
    </row>
    <row r="19" spans="5:28">
      <c r="E19">
        <v>9</v>
      </c>
      <c r="F19">
        <v>0</v>
      </c>
      <c r="G19">
        <v>0</v>
      </c>
      <c r="H19" s="39">
        <v>0</v>
      </c>
      <c r="I19">
        <v>0</v>
      </c>
      <c r="J19">
        <v>0</v>
      </c>
      <c r="K19">
        <v>0</v>
      </c>
      <c r="L19">
        <v>0</v>
      </c>
      <c r="M19">
        <v>8053.9932386424234</v>
      </c>
      <c r="N19">
        <v>0</v>
      </c>
      <c r="O19">
        <v>0</v>
      </c>
      <c r="P19">
        <v>8053.9932386424234</v>
      </c>
      <c r="Q19">
        <v>0</v>
      </c>
      <c r="R19">
        <v>8053.9932386424234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14.378625502167656</v>
      </c>
      <c r="AA19">
        <v>294.39400386384426</v>
      </c>
      <c r="AB19" s="43">
        <f>AA19*Flows[[#This Row],[p_tur]]</f>
        <v>0</v>
      </c>
    </row>
    <row r="20" spans="5:28">
      <c r="E20">
        <v>10</v>
      </c>
      <c r="F20">
        <v>0</v>
      </c>
      <c r="G20">
        <v>0</v>
      </c>
      <c r="H20" s="39">
        <v>0</v>
      </c>
      <c r="I20">
        <v>0</v>
      </c>
      <c r="J20">
        <v>0</v>
      </c>
      <c r="K20">
        <v>0</v>
      </c>
      <c r="L20">
        <v>0</v>
      </c>
      <c r="M20">
        <v>8053.9932386424234</v>
      </c>
      <c r="N20">
        <v>0</v>
      </c>
      <c r="O20">
        <v>0</v>
      </c>
      <c r="P20">
        <v>8053.9932386424234</v>
      </c>
      <c r="Q20">
        <v>0</v>
      </c>
      <c r="R20">
        <v>8053.9932386424234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14.187339673596227</v>
      </c>
      <c r="AA20">
        <v>317.20978371993255</v>
      </c>
      <c r="AB20" s="43">
        <f>AA20*Flows[[#This Row],[p_tur]]</f>
        <v>0</v>
      </c>
    </row>
    <row r="21" spans="5:28">
      <c r="E21">
        <v>11</v>
      </c>
      <c r="F21">
        <v>0</v>
      </c>
      <c r="G21">
        <v>0</v>
      </c>
      <c r="H21" s="39">
        <v>0</v>
      </c>
      <c r="I21">
        <v>0</v>
      </c>
      <c r="J21">
        <v>0</v>
      </c>
      <c r="K21">
        <v>0</v>
      </c>
      <c r="L21">
        <v>0</v>
      </c>
      <c r="M21">
        <v>8057.6833771008323</v>
      </c>
      <c r="N21">
        <v>0</v>
      </c>
      <c r="O21">
        <v>0</v>
      </c>
      <c r="P21">
        <v>8057.6833771008323</v>
      </c>
      <c r="Q21">
        <v>0</v>
      </c>
      <c r="R21">
        <v>8057.6833771008323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14</v>
      </c>
      <c r="AA21">
        <v>308.08347177749721</v>
      </c>
      <c r="AB21" s="43">
        <f>AA21*Flows[[#This Row],[p_tur]]</f>
        <v>0</v>
      </c>
    </row>
    <row r="22" spans="5:28">
      <c r="E22">
        <v>12</v>
      </c>
      <c r="F22">
        <v>0</v>
      </c>
      <c r="G22">
        <v>0</v>
      </c>
      <c r="H22" s="39">
        <v>0</v>
      </c>
      <c r="I22">
        <v>0</v>
      </c>
      <c r="J22">
        <v>0</v>
      </c>
      <c r="K22">
        <v>0</v>
      </c>
      <c r="L22">
        <v>0</v>
      </c>
      <c r="M22">
        <v>8887.5562482226669</v>
      </c>
      <c r="N22">
        <v>0</v>
      </c>
      <c r="O22">
        <v>0</v>
      </c>
      <c r="P22">
        <v>8887.5562482226669</v>
      </c>
      <c r="Q22">
        <v>0</v>
      </c>
      <c r="R22">
        <v>8887.5562482226669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14.365863160537788</v>
      </c>
      <c r="AA22">
        <v>303.80551305448063</v>
      </c>
      <c r="AB22" s="43">
        <f>AA22*Flows[[#This Row],[p_tur]]</f>
        <v>0</v>
      </c>
    </row>
    <row r="23" spans="5:28">
      <c r="E23">
        <v>13</v>
      </c>
      <c r="F23">
        <v>0</v>
      </c>
      <c r="G23">
        <v>0</v>
      </c>
      <c r="H23" s="39">
        <v>0</v>
      </c>
      <c r="I23">
        <v>0</v>
      </c>
      <c r="J23">
        <v>0</v>
      </c>
      <c r="K23">
        <v>0</v>
      </c>
      <c r="L23">
        <v>0</v>
      </c>
      <c r="M23">
        <v>12887.556248222667</v>
      </c>
      <c r="N23">
        <v>0</v>
      </c>
      <c r="O23">
        <v>0</v>
      </c>
      <c r="P23">
        <v>12887.556248222667</v>
      </c>
      <c r="Q23">
        <v>0</v>
      </c>
      <c r="R23">
        <v>12887.556248222667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16.384909354998449</v>
      </c>
      <c r="AA23">
        <v>303.80551305448063</v>
      </c>
      <c r="AB23" s="43">
        <f>AA23*Flows[[#This Row],[p_tur]]</f>
        <v>0</v>
      </c>
    </row>
    <row r="24" spans="5:28">
      <c r="E24">
        <v>14</v>
      </c>
      <c r="F24">
        <v>0</v>
      </c>
      <c r="G24">
        <v>0</v>
      </c>
      <c r="H24" s="39">
        <v>0</v>
      </c>
      <c r="I24">
        <v>0</v>
      </c>
      <c r="J24">
        <v>0</v>
      </c>
      <c r="K24">
        <v>0</v>
      </c>
      <c r="L24">
        <v>0</v>
      </c>
      <c r="M24">
        <v>12887.556248222667</v>
      </c>
      <c r="N24">
        <v>0</v>
      </c>
      <c r="O24">
        <v>0</v>
      </c>
      <c r="P24">
        <v>12887.556248222667</v>
      </c>
      <c r="Q24">
        <v>0</v>
      </c>
      <c r="R24">
        <v>12887.556248222667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16.507652812141306</v>
      </c>
      <c r="AA24">
        <v>353.43040463596901</v>
      </c>
      <c r="AB24" s="43">
        <f>AA24*Flows[[#This Row],[p_tur]]</f>
        <v>0</v>
      </c>
    </row>
    <row r="25" spans="5:28">
      <c r="E25">
        <v>15</v>
      </c>
      <c r="F25">
        <v>0</v>
      </c>
      <c r="G25">
        <v>0</v>
      </c>
      <c r="H25" s="39">
        <v>0</v>
      </c>
      <c r="I25">
        <v>0</v>
      </c>
      <c r="J25">
        <v>0</v>
      </c>
      <c r="K25">
        <v>0</v>
      </c>
      <c r="L25">
        <v>0</v>
      </c>
      <c r="M25">
        <v>12887.556248222667</v>
      </c>
      <c r="N25">
        <v>0</v>
      </c>
      <c r="O25">
        <v>0</v>
      </c>
      <c r="P25">
        <v>12887.556248222667</v>
      </c>
      <c r="Q25">
        <v>0</v>
      </c>
      <c r="R25">
        <v>12887.556248222667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16.56341119785559</v>
      </c>
      <c r="AA25">
        <v>587.29100737188094</v>
      </c>
      <c r="AB25" s="43">
        <f>AA25*Flows[[#This Row],[p_tur]]</f>
        <v>0</v>
      </c>
    </row>
    <row r="26" spans="5:28">
      <c r="E26">
        <v>16</v>
      </c>
      <c r="F26">
        <v>0</v>
      </c>
      <c r="G26">
        <v>0</v>
      </c>
      <c r="H26" s="39">
        <v>0</v>
      </c>
      <c r="I26">
        <v>0</v>
      </c>
      <c r="J26">
        <v>0</v>
      </c>
      <c r="K26">
        <v>0</v>
      </c>
      <c r="L26">
        <v>0</v>
      </c>
      <c r="M26">
        <v>12887.556248222667</v>
      </c>
      <c r="N26">
        <v>0</v>
      </c>
      <c r="O26">
        <v>0</v>
      </c>
      <c r="P26">
        <v>12887.556248222667</v>
      </c>
      <c r="Q26">
        <v>0</v>
      </c>
      <c r="R26">
        <v>12887.556248222667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16.094592583569877</v>
      </c>
      <c r="AA26">
        <v>604.40284226394715</v>
      </c>
      <c r="AB26" s="43">
        <f>AA26*Flows[[#This Row],[p_tur]]</f>
        <v>0</v>
      </c>
    </row>
    <row r="27" spans="5:28">
      <c r="E27">
        <v>17</v>
      </c>
      <c r="F27">
        <v>0</v>
      </c>
      <c r="G27">
        <v>0</v>
      </c>
      <c r="H27" s="39">
        <v>0</v>
      </c>
      <c r="I27">
        <v>0</v>
      </c>
      <c r="J27">
        <v>0</v>
      </c>
      <c r="K27">
        <v>0</v>
      </c>
      <c r="L27">
        <v>0</v>
      </c>
      <c r="M27">
        <v>12887.556248222667</v>
      </c>
      <c r="N27">
        <v>0</v>
      </c>
      <c r="O27">
        <v>0</v>
      </c>
      <c r="P27">
        <v>12887.556248222667</v>
      </c>
      <c r="Q27">
        <v>0</v>
      </c>
      <c r="R27">
        <v>12887.556248222667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16.03082779785559</v>
      </c>
      <c r="AA27">
        <v>875.91062255139741</v>
      </c>
      <c r="AB27" s="43">
        <f>AA27*Flows[[#This Row],[p_tur]]</f>
        <v>0</v>
      </c>
    </row>
    <row r="28" spans="5:28">
      <c r="E28">
        <v>18</v>
      </c>
      <c r="F28">
        <v>0</v>
      </c>
      <c r="G28">
        <v>0</v>
      </c>
      <c r="H28" s="39">
        <v>0</v>
      </c>
      <c r="I28">
        <v>0</v>
      </c>
      <c r="J28">
        <v>0</v>
      </c>
      <c r="K28">
        <v>0</v>
      </c>
      <c r="L28">
        <v>0</v>
      </c>
      <c r="M28">
        <v>12887.556248222667</v>
      </c>
      <c r="N28">
        <v>0</v>
      </c>
      <c r="O28">
        <v>0</v>
      </c>
      <c r="P28">
        <v>12887.556248222667</v>
      </c>
      <c r="Q28">
        <v>0</v>
      </c>
      <c r="R28">
        <v>12887.556248222667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15.960277026427018</v>
      </c>
      <c r="AA28">
        <v>1116.9022972813298</v>
      </c>
      <c r="AB28" s="43">
        <f>AA28*Flows[[#This Row],[p_tur]]</f>
        <v>0</v>
      </c>
    </row>
    <row r="29" spans="5:28">
      <c r="E29">
        <v>19</v>
      </c>
      <c r="F29">
        <v>0</v>
      </c>
      <c r="G29">
        <v>0</v>
      </c>
      <c r="H29" s="39">
        <v>0</v>
      </c>
      <c r="I29">
        <v>0</v>
      </c>
      <c r="J29">
        <v>0</v>
      </c>
      <c r="K29">
        <v>0</v>
      </c>
      <c r="L29">
        <v>0</v>
      </c>
      <c r="M29">
        <v>12887.556248222667</v>
      </c>
      <c r="N29">
        <v>0</v>
      </c>
      <c r="O29">
        <v>0</v>
      </c>
      <c r="P29">
        <v>12887.556248222667</v>
      </c>
      <c r="Q29">
        <v>0</v>
      </c>
      <c r="R29">
        <v>12887.556248222667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15.941746283569877</v>
      </c>
      <c r="AA29">
        <v>1156.8299120294841</v>
      </c>
      <c r="AB29" s="43">
        <f>AA29*Flows[[#This Row],[p_tur]]</f>
        <v>0</v>
      </c>
    </row>
    <row r="30" spans="5:28">
      <c r="E30">
        <v>20</v>
      </c>
      <c r="F30">
        <v>0</v>
      </c>
      <c r="G30">
        <v>0</v>
      </c>
      <c r="H30" s="39">
        <v>0</v>
      </c>
      <c r="I30">
        <v>0</v>
      </c>
      <c r="J30">
        <v>0</v>
      </c>
      <c r="K30">
        <v>0</v>
      </c>
      <c r="L30">
        <v>0</v>
      </c>
      <c r="M30">
        <v>12775.556248222669</v>
      </c>
      <c r="N30">
        <v>0</v>
      </c>
      <c r="O30">
        <v>0</v>
      </c>
      <c r="P30">
        <v>12775.556248222669</v>
      </c>
      <c r="Q30">
        <v>0</v>
      </c>
      <c r="R30">
        <v>12775.556248222669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15.929441273799283</v>
      </c>
      <c r="AA30">
        <v>1156.8299120294841</v>
      </c>
      <c r="AB30" s="43">
        <f>AA30*Flows[[#This Row],[p_tur]]</f>
        <v>0</v>
      </c>
    </row>
    <row r="31" spans="5:28">
      <c r="E31">
        <v>21</v>
      </c>
      <c r="F31">
        <v>0</v>
      </c>
      <c r="G31">
        <v>0</v>
      </c>
      <c r="H31" s="39">
        <v>0</v>
      </c>
      <c r="I31">
        <v>0</v>
      </c>
      <c r="J31">
        <v>0</v>
      </c>
      <c r="K31">
        <v>0</v>
      </c>
      <c r="L31">
        <v>0</v>
      </c>
      <c r="M31">
        <v>10275.556248222667</v>
      </c>
      <c r="N31">
        <v>0</v>
      </c>
      <c r="O31">
        <v>0</v>
      </c>
      <c r="P31">
        <v>10275.556248222667</v>
      </c>
      <c r="Q31">
        <v>0</v>
      </c>
      <c r="R31">
        <v>10275.556248222667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15.335102709194979</v>
      </c>
      <c r="AA31">
        <v>1114.0503247993186</v>
      </c>
      <c r="AB31" s="43">
        <f>AA31*Flows[[#This Row],[p_tur]]</f>
        <v>0</v>
      </c>
    </row>
    <row r="32" spans="5:28">
      <c r="E32">
        <v>22</v>
      </c>
      <c r="F32">
        <v>0</v>
      </c>
      <c r="G32">
        <v>0</v>
      </c>
      <c r="H32" s="39">
        <v>0</v>
      </c>
      <c r="I32">
        <v>0</v>
      </c>
      <c r="J32">
        <v>0</v>
      </c>
      <c r="K32">
        <v>0</v>
      </c>
      <c r="L32">
        <v>0</v>
      </c>
      <c r="M32">
        <v>7775.5562482226678</v>
      </c>
      <c r="N32">
        <v>0</v>
      </c>
      <c r="O32">
        <v>0</v>
      </c>
      <c r="P32">
        <v>7775.5562482226678</v>
      </c>
      <c r="Q32">
        <v>0</v>
      </c>
      <c r="R32">
        <v>7775.5562482226678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14.029508371428571</v>
      </c>
      <c r="AA32">
        <v>1034.1950953030096</v>
      </c>
      <c r="AB32" s="43">
        <f>AA32*Flows[[#This Row],[p_tur]]</f>
        <v>0</v>
      </c>
    </row>
    <row r="33" spans="5:28">
      <c r="E33">
        <v>23</v>
      </c>
      <c r="F33">
        <v>0</v>
      </c>
      <c r="G33">
        <v>0</v>
      </c>
      <c r="H33" s="39">
        <v>0</v>
      </c>
      <c r="I33">
        <v>0</v>
      </c>
      <c r="J33">
        <v>0</v>
      </c>
      <c r="K33">
        <v>0</v>
      </c>
      <c r="L33">
        <v>0</v>
      </c>
      <c r="M33">
        <v>7775.5562482226678</v>
      </c>
      <c r="N33">
        <v>0</v>
      </c>
      <c r="O33">
        <v>0</v>
      </c>
      <c r="P33">
        <v>7775.5562482226678</v>
      </c>
      <c r="Q33">
        <v>0</v>
      </c>
      <c r="R33">
        <v>7775.5562482226678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14</v>
      </c>
      <c r="AA33">
        <v>807.46328298313267</v>
      </c>
      <c r="AB33" s="43">
        <f>AA33*Flows[[#This Row],[p_tur]]</f>
        <v>0</v>
      </c>
    </row>
    <row r="34" spans="5:28">
      <c r="E34">
        <v>24</v>
      </c>
      <c r="F34">
        <v>0</v>
      </c>
      <c r="G34">
        <v>0</v>
      </c>
      <c r="H34" s="39">
        <v>0</v>
      </c>
      <c r="I34">
        <v>0</v>
      </c>
      <c r="J34">
        <v>0</v>
      </c>
      <c r="K34">
        <v>0</v>
      </c>
      <c r="L34">
        <v>0</v>
      </c>
      <c r="M34">
        <v>7775.5562482226678</v>
      </c>
      <c r="N34">
        <v>0</v>
      </c>
      <c r="O34">
        <v>0</v>
      </c>
      <c r="P34">
        <v>7775.5562482226678</v>
      </c>
      <c r="Q34">
        <v>0</v>
      </c>
      <c r="R34">
        <v>7775.5562482226678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14</v>
      </c>
      <c r="AA34">
        <v>578.16526582394192</v>
      </c>
      <c r="AB34" s="43">
        <f>AA34*Flows[[#This Row],[p_tur]]</f>
        <v>0</v>
      </c>
    </row>
  </sheetData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RefreshQuery">
                <anchor moveWithCells="1" sizeWithCells="1">
                  <from>
                    <xdr:col>3</xdr:col>
                    <xdr:colOff>220980</xdr:colOff>
                    <xdr:row>6</xdr:row>
                    <xdr:rowOff>60960</xdr:rowOff>
                  </from>
                  <to>
                    <xdr:col>3</xdr:col>
                    <xdr:colOff>1188720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689DD899-AA03-4195-B48B-C0BDDE09680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Results!F11:F34</xm:f>
              <xm:sqref>F8</xm:sqref>
            </x14:sparkline>
          </x14:sparklines>
        </x14:sparklineGroup>
        <x14:sparklineGroup displayEmptyCellsAs="gap" xr2:uid="{2A7405EA-436A-44C6-A274-F097853A875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Results!G11:G34</xm:f>
              <xm:sqref>G8</xm:sqref>
            </x14:sparkline>
          </x14:sparklines>
        </x14:sparklineGroup>
        <x14:sparklineGroup displayEmptyCellsAs="gap" xr2:uid="{B5FF6D15-A649-4F94-9C47-80F731DF088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Results!H11:H34</xm:f>
              <xm:sqref>H8</xm:sqref>
            </x14:sparkline>
          </x14:sparklines>
        </x14:sparklineGroup>
        <x14:sparklineGroup displayEmptyCellsAs="gap" xr2:uid="{959AB49B-D573-46DE-97F9-BEFA30287FB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Results!I11:I34</xm:f>
              <xm:sqref>I8</xm:sqref>
            </x14:sparkline>
          </x14:sparklines>
        </x14:sparklineGroup>
        <x14:sparklineGroup displayEmptyCellsAs="gap" xr2:uid="{73D6FDA3-A5D9-4357-85A5-D49462CED79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Results!J11:J34</xm:f>
              <xm:sqref>J8</xm:sqref>
            </x14:sparkline>
          </x14:sparklines>
        </x14:sparklineGroup>
        <x14:sparklineGroup displayEmptyCellsAs="gap" xr2:uid="{7232D623-77FA-4D51-9FD2-95599E41DA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Results!K11:K34</xm:f>
              <xm:sqref>K8</xm:sqref>
            </x14:sparkline>
          </x14:sparklines>
        </x14:sparklineGroup>
        <x14:sparklineGroup displayEmptyCellsAs="gap" xr2:uid="{9CF31D82-920B-4AFA-9AB9-FA7E971CCFD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Results!L11:L34</xm:f>
              <xm:sqref>L8</xm:sqref>
            </x14:sparkline>
          </x14:sparklines>
        </x14:sparklineGroup>
        <x14:sparklineGroup displayEmptyCellsAs="gap" xr2:uid="{F26FF472-0ACD-429B-9F9D-4A075CCF775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Results!M11:M34</xm:f>
              <xm:sqref>M8</xm:sqref>
            </x14:sparkline>
          </x14:sparklines>
        </x14:sparklineGroup>
        <x14:sparklineGroup displayEmptyCellsAs="gap" xr2:uid="{66A6417D-6C7E-46D8-AB3E-949C5A96B49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Results!N11:N34</xm:f>
              <xm:sqref>N8</xm:sqref>
            </x14:sparkline>
          </x14:sparklines>
        </x14:sparklineGroup>
        <x14:sparklineGroup displayEmptyCellsAs="gap" xr2:uid="{5CAD5FF2-2820-4F2B-B17D-C0C2F13CCB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Results!O11:O34</xm:f>
              <xm:sqref>O8</xm:sqref>
            </x14:sparkline>
          </x14:sparklines>
        </x14:sparklineGroup>
        <x14:sparklineGroup displayEmptyCellsAs="gap" xr2:uid="{7F60DD58-FB59-4AF6-85B0-0FDF6521FFD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Results!P11:P34</xm:f>
              <xm:sqref>P8</xm:sqref>
            </x14:sparkline>
          </x14:sparklines>
        </x14:sparklineGroup>
        <x14:sparklineGroup displayEmptyCellsAs="gap" xr2:uid="{86F061BD-C620-46CE-A10F-7A9DB9E7E66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Results!Q11:Q34</xm:f>
              <xm:sqref>Q8</xm:sqref>
            </x14:sparkline>
          </x14:sparklines>
        </x14:sparklineGroup>
        <x14:sparklineGroup displayEmptyCellsAs="gap" xr2:uid="{15BCC6EC-5DDA-4F8F-AA12-4F6284F3C1E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Results!R11:R34</xm:f>
              <xm:sqref>R8</xm:sqref>
            </x14:sparkline>
          </x14:sparklines>
        </x14:sparklineGroup>
        <x14:sparklineGroup displayEmptyCellsAs="gap" xr2:uid="{B8BA7A17-95B8-480F-8B44-2311B755B37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Results!S11:S34</xm:f>
              <xm:sqref>S8</xm:sqref>
            </x14:sparkline>
          </x14:sparklines>
        </x14:sparklineGroup>
        <x14:sparklineGroup displayEmptyCellsAs="gap" xr2:uid="{FE4FA1D8-232B-4CF3-8D4F-7B2A43D1DAC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Results!T11:T34</xm:f>
              <xm:sqref>T8</xm:sqref>
            </x14:sparkline>
          </x14:sparklines>
        </x14:sparklineGroup>
        <x14:sparklineGroup displayEmptyCellsAs="gap" xr2:uid="{545015B0-24AF-4A77-834C-45CFD53E030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Results!U11:U34</xm:f>
              <xm:sqref>U8</xm:sqref>
            </x14:sparkline>
          </x14:sparklines>
        </x14:sparklineGroup>
        <x14:sparklineGroup displayEmptyCellsAs="gap" xr2:uid="{ACB577B1-8E85-4889-9102-638ED8BACB7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Results!V11:V34</xm:f>
              <xm:sqref>V8</xm:sqref>
            </x14:sparkline>
          </x14:sparklines>
        </x14:sparklineGroup>
        <x14:sparklineGroup displayEmptyCellsAs="gap" xr2:uid="{07EFBDEF-EEF7-4FD8-8BBD-A8E4EFCE59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Results!W11:W34</xm:f>
              <xm:sqref>W8</xm:sqref>
            </x14:sparkline>
          </x14:sparklines>
        </x14:sparklineGroup>
        <x14:sparklineGroup displayEmptyCellsAs="gap" xr2:uid="{5E13677F-8CEC-4AFD-BF5A-F764CE9CC4C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Results!X11:X34</xm:f>
              <xm:sqref>X8</xm:sqref>
            </x14:sparkline>
          </x14:sparklines>
        </x14:sparklineGroup>
        <x14:sparklineGroup displayEmptyCellsAs="gap" xr2:uid="{2CCAB679-FE66-4529-B827-AA9BB04CC38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Results!Y11:Y34</xm:f>
              <xm:sqref>Y8</xm:sqref>
            </x14:sparkline>
          </x14:sparklines>
        </x14:sparklineGroup>
        <x14:sparklineGroup displayEmptyCellsAs="gap" xr2:uid="{3F94791A-E69E-4F67-9676-F457246E4F2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Results!Z11:Z34</xm:f>
              <xm:sqref>Z8</xm:sqref>
            </x14:sparkline>
          </x14:sparklines>
        </x14:sparklineGroup>
        <x14:sparklineGroup displayEmptyCellsAs="gap" xr2:uid="{629FDA7C-1D92-4A2C-A68E-69BF6396435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Results!AB11:AB34</xm:f>
              <xm:sqref>AB8</xm:sqref>
            </x14:sparkline>
          </x14:sparklines>
        </x14:sparklineGroup>
        <x14:sparklineGroup displayEmptyCellsAs="gap" xr2:uid="{0D81DD16-0C21-423A-8D9E-E94CEF1B639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Results!AA11:AA34</xm:f>
              <xm:sqref>AA8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32D21-A55A-4C6D-95D4-9ECEEB248DED}">
  <sheetPr codeName="Sheet3"/>
  <dimension ref="A1"/>
  <sheetViews>
    <sheetView workbookViewId="0">
      <selection activeCell="D20" sqref="D20"/>
    </sheetView>
  </sheetViews>
  <sheetFormatPr defaultRowHeight="14.4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Inputs</vt:lpstr>
      <vt:lpstr>Results</vt:lpstr>
      <vt:lpstr>Sheet1</vt:lpstr>
      <vt:lpstr>FolderPath</vt:lpstr>
      <vt:lpstr>PlantName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2025-04-18T19:45:13Z</dcterms:modified>
</cp:coreProperties>
</file>