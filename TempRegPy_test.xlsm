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F35838B6-C2CD-4F58-814A-CB2552DBE72E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Results!$E$10:$O$34</definedName>
    <definedName name="ExternalData_2" localSheetId="1" hidden="1">Results!$P$10:$V$34</definedName>
    <definedName name="FolderPath">Results!$G$3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7" l="1" a="1"/>
  <c r="W11" i="7" s="1"/>
  <c r="W9" i="7" s="1"/>
  <c r="H86" i="1"/>
  <c r="H87" i="1"/>
  <c r="H88" i="1"/>
  <c r="H89" i="1"/>
  <c r="H90" i="1"/>
  <c r="H91" i="1"/>
  <c r="F9" i="7"/>
  <c r="G9" i="7"/>
  <c r="J9" i="7"/>
  <c r="M9" i="7"/>
  <c r="Y11" i="7" a="1"/>
  <c r="Y11" i="7" s="1"/>
  <c r="Y9" i="7" s="1"/>
  <c r="G26" i="1"/>
  <c r="H26" i="1" s="1"/>
  <c r="X27" i="7" l="1"/>
  <c r="X12" i="7"/>
  <c r="X20" i="7"/>
  <c r="X28" i="7"/>
  <c r="X11" i="7"/>
  <c r="X19" i="7"/>
  <c r="X13" i="7"/>
  <c r="X21" i="7"/>
  <c r="X29" i="7"/>
  <c r="X30" i="7"/>
  <c r="X15" i="7"/>
  <c r="X23" i="7"/>
  <c r="X31" i="7"/>
  <c r="X22" i="7"/>
  <c r="X16" i="7"/>
  <c r="X24" i="7"/>
  <c r="X32" i="7"/>
  <c r="X14" i="7"/>
  <c r="X17" i="7"/>
  <c r="X25" i="7"/>
  <c r="X33" i="7"/>
  <c r="X18" i="7"/>
  <c r="X26" i="7"/>
  <c r="X34" i="7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H43" i="1"/>
  <c r="H51" i="1"/>
  <c r="H66" i="1"/>
  <c r="H70" i="1"/>
  <c r="H34" i="1"/>
  <c r="G3" i="7" a="1"/>
  <c r="G3" i="7" s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H79" i="1"/>
  <c r="H78" i="1"/>
  <c r="X9" i="7" l="1"/>
  <c r="Z9" i="7"/>
  <c r="G7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<sst xmlns="http://schemas.openxmlformats.org/spreadsheetml/2006/main" count="511" uniqueCount="296">
  <si>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</si>
  <si>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</si>
  <si>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</si>
  <si>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</si>
  <si>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</si>
  <si>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</si>
  <si>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</si>
  <si>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</si>
  <si>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</si>
  <si>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</si>
  <si>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</si>
  <si>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</si>
  <si>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</si>
  <si>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</si>
  <si>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</si>
  <si>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</si>
  <si>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</si>
  <si>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</si>
  <si>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</si>
  <si>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</si>
  <si>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</si>
  <si>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</si>
  <si>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</si>
  <si>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</si>
  <si>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</si>
  <si>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</si>
  <si>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</si>
  <si>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</si>
  <si>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</si>
  <si>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</si>
  <si>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</si>
  <si>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</si>
  <si>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</si>
  <si>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</si>
  <si>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</si>
  <si>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</si>
  <si>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</si>
  <si>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</si>
  <si>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</si>
  <si>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</si>
  <si>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</si>
  <si>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</si>
  <si>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</si>
  <si>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</si>
  <si>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</si>
  <si>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</si>
  <si>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</si>
  <si>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</si>
  <si>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</si>
  <si>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</si>
  <si>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</si>
  <si>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</si>
  <si>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</si>
  <si>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</si>
  <si>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</si>
  <si>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</si>
  <si>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</si>
  <si>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</si>
  <si>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</si>
  <si>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</si>
  <si>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</si>
  <si>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</si>
  <si>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</si>
  <si>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</si>
  <si>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</si>
  <si>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</si>
  <si>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</si>
  <si>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</si>
  <si>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</si>
  <si>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</si>
  <si>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</si>
  <si>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</si>
  <si>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</si>
  <si>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</si>
  <si>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</si>
  <si>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</si>
  <si>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</si>
  <si>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</si>
  <si>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</si>
  <si>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</si>
  <si>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</si>
  <si>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</si>
  <si>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</si>
  <si>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</si>
  <si>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</si>
  <si>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</si>
  <si>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</si>
  <si>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</si>
  <si>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</si>
  <si>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</si>
  <si>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</si>
  <si>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</si>
  <si>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</si>
  <si>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</si>
  <si>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</si>
  <si>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</si>
  <si>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</si>
  <si>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</si>
  <si>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</si>
  <si>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</si>
  <si>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</si>
  <si>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</si>
  <si>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</si>
  <si>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</si>
  <si>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</si>
  <si>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</si>
  <si>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</si>
  <si>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</si>
  <si>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</si>
  <si>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</si>
  <si>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</si>
  <si>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</si>
  <si>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</si>
  <si>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</si>
  <si>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</si>
  <si>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</si>
  <si>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</si>
  <si>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</si>
  <si>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</si>
  <si>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</si>
  <si>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</si>
  <si>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</si>
  <si>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</si>
  <si>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</si>
  <si>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</si>
  <si>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</si>
  <si>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</si>
  <si>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</si>
  <si>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</si>
  <si>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</si>
  <si>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</si>
  <si>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</si>
  <si>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</si>
  <si>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</si>
  <si>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</si>
  <si>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</si>
  <si>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</si>
  <si>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</si>
  <si>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</si>
  <si>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</si>
  <si>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</si>
  <si>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</si>
  <si>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</si>
  <si>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</si>
  <si>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</si>
  <si>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</si>
  <si>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</si>
  <si>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</si>
  <si>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</si>
  <si>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</si>
  <si>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</si>
  <si>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</si>
  <si>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</si>
  <si>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</si>
  <si>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</si>
  <si>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</si>
  <si>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</si>
  <si>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</si>
  <si>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</si>
  <si>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</si>
  <si>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</si>
  <si>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</si>
  <si>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</si>
  <si>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</si>
  <si>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</si>
  <si>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</si>
  <si>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</si>
  <si>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</si>
  <si>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</si>
  <si>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</si>
  <si>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</si>
  <si>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</si>
  <si>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</si>
  <si>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</si>
  <si>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</si>
  <si>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</si>
  <si>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</si>
  <si>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</si>
  <si>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</si>
  <si>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</si>
  <si>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</si>
  <si>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</si>
  <si>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</si>
  <si>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</si>
  <si>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</si>
  <si>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</si>
  <si>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</si>
  <si>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</si>
  <si>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</si>
  <si>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</si>
  <si>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</si>
  <si>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</si>
  <si>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</si>
  <si>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</si>
  <si>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</si>
  <si>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</si>
  <si>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</si>
  <si>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</si>
  <si>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</si>
  <si>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</si>
  <si>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</si>
  <si>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</si>
  <si>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</si>
  <si>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</si>
  <si>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</si>
  <si>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</si>
  <si>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</si>
  <si>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</si>
  <si>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</si>
  <si>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</si>
  <si>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</si>
  <si>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</si>
  <si>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</si>
  <si>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</si>
  <si>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</si>
  <si>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</si>
  <si>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</si>
  <si>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</si>
  <si>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</si>
  <si>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</si>
  <si>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</si>
  <si>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</si>
  <si>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</si>
  <si>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</si>
  <si>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</si>
  <si>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</si>
  <si>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</si>
  <si>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</si>
  <si>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</si>
  <si>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</si>
  <si>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</si>
  <si>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</si>
  <si>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</si>
  <si>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</si>
  <si>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</si>
  <si>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</si>
  <si>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</si>
  <si>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</si>
  <si>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</si>
  <si>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</si>
  <si>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</si>
  <si>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</si>
  <si>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</si>
  <si>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</si>
  <si>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</si>
  <si>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</si>
  <si>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</si>
  <si>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</si>
  <si>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</si>
  <si>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</si>
  <si>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</si>
  <si>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</si>
  <si>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</si>
  <si>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</si>
  <si>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</si>
  <si>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</si>
  <si>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</si>
  <si>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</si>
  <si>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</si>
  <si>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</si>
  <si>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</si>
  <si>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</si>
  <si>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</si>
  <si>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</si>
  <si>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</si>
  <si>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</si>
  <si>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</si>
  <si>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</si>
  <si>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</si>
  <si>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</si>
  <si>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</si>
  <si>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</si>
  <si>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</si>
  <si>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</si>
  <si>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</si>
  <si>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</si>
  <si>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</si>
  <si>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</si>
  <si>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</si>
  <si>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</si>
  <si>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</si>
  <si>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</si>
  <si>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</si>
  <si>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</si>
  <si>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</si>
  <si>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</si>
  <si>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</si>
  <si>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</si>
  <si>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</si>
  <si>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</si>
  <si>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</si>
  <si>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</si>
  <si>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Test_1P_1G</t>
  </si>
  <si>
    <t>v0.2.0</t>
  </si>
  <si>
    <t>Bypass release number of total ramp up and down cycles</t>
  </si>
  <si>
    <t>bp_ramp_tot_cyc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</si>
</sst>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17"/>
    <tableColumn id="3" xr3:uid="{AB7BA1B5-1F3B-4F1E-A213-D19ED7F5CF9F}" uniqueName="3" name="Column3" queryTableFieldId="57" dataDxfId="16"/>
    <tableColumn id="4" xr3:uid="{A1ADD4F0-4074-4303-B2D1-E5F14BB8196A}" uniqueName="4" name="Column4" queryTableFieldId="58" dataDxfId="15"/>
    <tableColumn id="5" xr3:uid="{563CE4C9-CE38-47A0-99F4-F29BA90D9E2E}" uniqueName="5" name="Column5" queryTableFieldId="59" dataDxfId="14"/>
    <tableColumn id="6" xr3:uid="{11FC9600-0852-44F4-AB65-12E64C0839F0}" uniqueName="6" name="Column6" queryTableFieldId="60" dataDxfId="13"/>
    <tableColumn id="7" xr3:uid="{665E194B-6F50-4A5E-A8F2-597E627F17E1}" uniqueName="7" name="Column7" queryTableFieldId="61" dataDxfId="12"/>
    <tableColumn id="8" xr3:uid="{072A3F39-9873-4439-990D-30D1CBD7FCF2}" uniqueName="8" name="Column8" queryTableFieldId="62" dataDxfId="11"/>
    <tableColumn id="9" xr3:uid="{266FC45C-C5A6-4D88-87EB-5BBED5D382AD}" uniqueName="9" name="Column9" queryTableFieldId="63" dataDxfId="10"/>
    <tableColumn id="10" xr3:uid="{98BFDA63-39EE-48C0-877C-F7A5933274D6}" uniqueName="10" name="Column10" queryTableFieldId="64" dataDxfId="9"/>
    <tableColumn id="11" xr3:uid="{ECB46E26-8F59-422C-8E30-1555ACFD5D2E}" uniqueName="11" name="Column11" queryTableFieldId="65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7">
  <autoFilter ref="P10:V34" xr:uid="{D1D4CA61-52EC-483D-8747-CC7F48372471}"/>
  <tableColumns count="7">
    <tableColumn id="1" xr3:uid="{624BB3D2-CE71-4124-ABE2-E1EF59184E8D}" uniqueName="1" name="T_RM61" queryTableFieldId="26" dataDxfId="6"/>
    <tableColumn id="2" xr3:uid="{4FDE7653-7AD8-4F9F-9772-584D0EEF2FA4}" uniqueName="2" name="T_RM61_max" queryTableFieldId="27" dataDxfId="5"/>
    <tableColumn id="3" xr3:uid="{88F40627-3F4E-4A4B-AD21-370475C246E3}" uniqueName="3" name="T_RM61_min" queryTableFieldId="28" dataDxfId="4"/>
    <tableColumn id="4" xr3:uid="{3BEE7060-FD58-4688-B488-1EF8E041E474}" uniqueName="4" name="T_min" queryTableFieldId="29" dataDxfId="3"/>
    <tableColumn id="5" xr3:uid="{51552412-3F29-4C9A-AF7D-58E95626E89B}" uniqueName="5" name="T_max" queryTableFieldId="30" dataDxfId="2"/>
    <tableColumn id="6" xr3:uid="{C17D0F2B-2760-45F9-8C4B-7FEBE10394AD}" uniqueName="6" name="T_dam" queryTableFieldId="31" dataDxfId="1"/>
    <tableColumn id="7" xr3:uid="{D63905B4-2879-4E84-8A0E-4F92372D84A2}" uniqueName="7" name="d_T" queryTableFieldId="3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3"/>
  <sheetViews>
    <sheetView tabSelected="1" workbookViewId="0">
      <selection activeCell="D12" sqref="D12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218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180</v>
      </c>
      <c r="E3" s="2" t="s">
        <v>181</v>
      </c>
      <c r="F3" s="2"/>
      <c r="G3" s="15" t="s">
        <v>293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182</v>
      </c>
      <c r="AE4" s="16" t="b">
        <v>1</v>
      </c>
    </row>
    <row r="5" spans="4:31" ht="15.75" customHeight="1">
      <c r="G5" s="15"/>
      <c r="H5" s="24"/>
      <c r="I5" s="25"/>
      <c r="AD5" s="16" t="s">
        <v>217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292</v>
      </c>
    </row>
    <row r="9" spans="4:31" ht="15.75" customHeight="1">
      <c r="D9" t="s">
        <v>146</v>
      </c>
      <c r="E9" s="2" t="s">
        <v>147</v>
      </c>
      <c r="F9" s="2"/>
      <c r="G9" s="4" t="b">
        <v>1</v>
      </c>
    </row>
    <row r="10" spans="4:31" ht="15.75" customHeight="1">
      <c r="D10" t="s">
        <v>200</v>
      </c>
      <c r="E10" s="2" t="s">
        <v>201</v>
      </c>
      <c r="F10" s="2"/>
      <c r="G10" s="4" t="s">
        <v>217</v>
      </c>
    </row>
    <row r="12" spans="4:31" ht="20.25" thickBot="1">
      <c r="D12" s="1" t="s">
        <v>225</v>
      </c>
      <c r="E12" s="7" t="s">
        <v>34</v>
      </c>
      <c r="F12" s="3" t="s">
        <v>218</v>
      </c>
      <c r="G12" s="3"/>
      <c r="H12" s="3" t="s">
        <v>229</v>
      </c>
      <c r="I12" s="3" t="s">
        <v>230</v>
      </c>
      <c r="J12" s="3" t="s">
        <v>231</v>
      </c>
      <c r="K12" s="3" t="s">
        <v>232</v>
      </c>
      <c r="L12" s="3" t="s">
        <v>233</v>
      </c>
      <c r="M12" s="3" t="s">
        <v>234</v>
      </c>
      <c r="N12" s="3" t="s">
        <v>235</v>
      </c>
      <c r="O12" s="3" t="s">
        <v>236</v>
      </c>
      <c r="P12" s="3" t="s">
        <v>237</v>
      </c>
      <c r="Q12" s="3" t="s">
        <v>238</v>
      </c>
      <c r="R12" s="3" t="s">
        <v>239</v>
      </c>
      <c r="S12" s="3" t="s">
        <v>240</v>
      </c>
      <c r="T12" s="3" t="s">
        <v>241</v>
      </c>
      <c r="U12" s="3" t="s">
        <v>242</v>
      </c>
      <c r="V12" s="3" t="s">
        <v>243</v>
      </c>
      <c r="W12" s="3" t="s">
        <v>244</v>
      </c>
      <c r="X12" s="3" t="s">
        <v>245</v>
      </c>
      <c r="Y12" s="3" t="s">
        <v>246</v>
      </c>
      <c r="Z12" s="3" t="s">
        <v>247</v>
      </c>
      <c r="AA12" s="3" t="s">
        <v>248</v>
      </c>
      <c r="AB12" s="3" t="s">
        <v>249</v>
      </c>
      <c r="AC12" s="3" t="s">
        <v>250</v>
      </c>
      <c r="AD12" s="3" t="s">
        <v>251</v>
      </c>
      <c r="AE12" s="3" t="s">
        <v>252</v>
      </c>
    </row>
    <row r="13" spans="4:31" ht="15.75" thickTop="1">
      <c r="D13" t="s">
        <v>277</v>
      </c>
      <c r="E13" s="2" t="s">
        <v>223</v>
      </c>
      <c r="H13" s="8" t="s">
        <v>219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278</v>
      </c>
      <c r="E14" s="2" t="s">
        <v>224</v>
      </c>
      <c r="H14" s="8" t="s">
        <v>221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279</v>
      </c>
      <c r="E15" s="2" t="s">
        <v>226</v>
      </c>
      <c r="H15" s="8" t="s">
        <v>220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280</v>
      </c>
      <c r="E16" s="2" t="s">
        <v>256</v>
      </c>
      <c r="H16" s="8" t="s">
        <v>222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281</v>
      </c>
      <c r="E17" s="2" t="s">
        <v>227</v>
      </c>
      <c r="H17" s="8" t="s">
        <v>228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284</v>
      </c>
      <c r="E18" s="2" t="s">
        <v>285</v>
      </c>
      <c r="H18" s="8" t="s">
        <v>219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282</v>
      </c>
      <c r="E19" s="2" t="s">
        <v>283</v>
      </c>
      <c r="H19" s="8" t="s">
        <v>221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218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286</v>
      </c>
      <c r="E22" s="2"/>
      <c r="F22" s="2"/>
      <c r="G22" s="4" t="b">
        <v>1</v>
      </c>
    </row>
    <row r="23" spans="4:31">
      <c r="D23" s="18" t="s">
        <v>287</v>
      </c>
      <c r="E23" s="2" t="s">
        <v>290</v>
      </c>
      <c r="F23" s="8" t="s">
        <v>222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288</v>
      </c>
      <c r="E24" s="2" t="s">
        <v>291</v>
      </c>
      <c r="F24" s="8" t="s">
        <v>222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 ht="15.75" customHeight="1" thickBot="1">
      <c r="D25" s="19" t="s">
        <v>289</v>
      </c>
      <c r="E25" s="2"/>
      <c r="F25" s="2"/>
    </row>
    <row r="26" spans="4:31">
      <c r="D26" s="18" t="s">
        <v>183</v>
      </c>
      <c r="E26" s="2" t="s">
        <v>63</v>
      </c>
      <c r="F26" s="8" t="s">
        <v>219</v>
      </c>
      <c r="G26" s="8">
        <f>235003/12.1</f>
        <v>19421.735537190085</v>
      </c>
      <c r="H26" s="29" t="str">
        <f>IF(G26&gt;SUM(H50:AE50)/12.1, "The total release of " &amp;G26&amp; " is higher than sum of maximum releases " &amp; SUM(H50:AE50)/12.1,"")</f>
        <v/>
      </c>
    </row>
    <row r="27" spans="4:31" ht="15.75" customHeight="1" thickBot="1">
      <c r="D27" s="19" t="s">
        <v>101</v>
      </c>
      <c r="E27" s="2" t="s">
        <v>102</v>
      </c>
      <c r="F27" s="2"/>
      <c r="G27" s="4" t="b">
        <v>1</v>
      </c>
    </row>
    <row r="28" spans="4:31">
      <c r="D28" s="18" t="s">
        <v>65</v>
      </c>
      <c r="E28" s="2" t="s">
        <v>64</v>
      </c>
      <c r="F28" s="8" t="s">
        <v>219</v>
      </c>
      <c r="G28" s="8">
        <v>8000</v>
      </c>
    </row>
    <row r="29" spans="4:31" ht="15.75" customHeight="1" thickBot="1">
      <c r="D29" s="19" t="s">
        <v>203</v>
      </c>
      <c r="E29" s="2" t="s">
        <v>99</v>
      </c>
      <c r="F29" s="2"/>
      <c r="G29" s="4" t="b">
        <v>1</v>
      </c>
    </row>
    <row r="30" spans="4:31">
      <c r="D30" s="18" t="s">
        <v>73</v>
      </c>
      <c r="E30" s="2" t="s">
        <v>66</v>
      </c>
      <c r="F30" s="8" t="s">
        <v>219</v>
      </c>
      <c r="G30" s="8">
        <v>15000</v>
      </c>
    </row>
    <row r="31" spans="4:31">
      <c r="D31" s="18" t="s">
        <v>72</v>
      </c>
      <c r="E31" s="2" t="s">
        <v>67</v>
      </c>
      <c r="F31" s="8" t="s">
        <v>219</v>
      </c>
      <c r="G31" s="8">
        <v>15000</v>
      </c>
    </row>
    <row r="32" spans="4:31">
      <c r="D32" s="18" t="s">
        <v>84</v>
      </c>
      <c r="E32" s="2" t="s">
        <v>78</v>
      </c>
      <c r="F32" s="8" t="s">
        <v>219</v>
      </c>
      <c r="G32" s="2"/>
      <c r="H32" s="8">
        <v>600</v>
      </c>
      <c r="I32" s="8">
        <v>600</v>
      </c>
      <c r="J32" s="8">
        <v>600</v>
      </c>
      <c r="K32" s="8">
        <v>600</v>
      </c>
      <c r="L32" s="8">
        <v>600</v>
      </c>
      <c r="M32" s="8">
        <v>600</v>
      </c>
      <c r="N32" s="8">
        <v>600</v>
      </c>
      <c r="O32" s="8">
        <v>600</v>
      </c>
      <c r="P32" s="8">
        <v>600</v>
      </c>
      <c r="Q32" s="8">
        <v>600</v>
      </c>
      <c r="R32" s="8">
        <v>600</v>
      </c>
      <c r="S32" s="8">
        <v>600</v>
      </c>
      <c r="T32" s="8">
        <v>600</v>
      </c>
      <c r="U32" s="8">
        <v>600</v>
      </c>
      <c r="V32" s="8">
        <v>600</v>
      </c>
      <c r="W32" s="8">
        <v>5000</v>
      </c>
      <c r="X32" s="8">
        <v>600</v>
      </c>
      <c r="Y32" s="8">
        <v>600</v>
      </c>
      <c r="Z32" s="8">
        <v>600</v>
      </c>
      <c r="AA32" s="8">
        <v>600</v>
      </c>
      <c r="AB32" s="8">
        <v>600</v>
      </c>
      <c r="AC32" s="8">
        <v>600</v>
      </c>
      <c r="AD32" s="8">
        <v>600</v>
      </c>
      <c r="AE32" s="8">
        <v>600</v>
      </c>
    </row>
    <row r="33" spans="4:31">
      <c r="D33" s="18" t="s">
        <v>85</v>
      </c>
      <c r="E33" s="2" t="s">
        <v>79</v>
      </c>
      <c r="F33" s="8" t="s">
        <v>219</v>
      </c>
      <c r="G33" s="2"/>
      <c r="H33" s="8">
        <v>15000</v>
      </c>
      <c r="I33" s="8">
        <v>15000</v>
      </c>
      <c r="J33" s="8">
        <v>15000</v>
      </c>
      <c r="K33" s="8">
        <v>15000</v>
      </c>
      <c r="L33" s="8">
        <v>15000</v>
      </c>
      <c r="M33" s="8">
        <v>15000</v>
      </c>
      <c r="N33" s="8">
        <v>15000</v>
      </c>
      <c r="O33" s="8">
        <v>10000</v>
      </c>
      <c r="P33" s="8">
        <v>15000</v>
      </c>
      <c r="Q33" s="8">
        <v>15000</v>
      </c>
      <c r="R33" s="8">
        <v>15000</v>
      </c>
      <c r="S33" s="8">
        <v>15000</v>
      </c>
      <c r="T33" s="8">
        <v>15000</v>
      </c>
      <c r="U33" s="8">
        <v>15000</v>
      </c>
      <c r="V33" s="8">
        <v>15000</v>
      </c>
      <c r="W33" s="8">
        <v>15000</v>
      </c>
      <c r="X33" s="8">
        <v>15000</v>
      </c>
      <c r="Y33" s="8">
        <v>15000</v>
      </c>
      <c r="Z33" s="8">
        <v>15000</v>
      </c>
      <c r="AA33" s="8">
        <v>15000</v>
      </c>
      <c r="AB33" s="8">
        <v>15000</v>
      </c>
      <c r="AC33" s="8">
        <v>15000</v>
      </c>
      <c r="AD33" s="8">
        <v>15000</v>
      </c>
      <c r="AE33" s="8">
        <v>15000</v>
      </c>
    </row>
    <row r="34" spans="4:31" ht="15.75" customHeight="1">
      <c r="D34" s="55" t="s">
        <v>107</v>
      </c>
      <c r="E34" s="2" t="s">
        <v>103</v>
      </c>
      <c r="F34" s="8" t="s">
        <v>219</v>
      </c>
      <c r="G34" s="4" t="b">
        <v>1</v>
      </c>
      <c r="H34" s="29" t="str">
        <f>IF(H69=AE69,"","Might cause infeasibility because Temperature delta between Glen Canyon and RM61 at H01 and H24 are not the same")</f>
        <v/>
      </c>
    </row>
    <row r="35" spans="4:31" ht="15.75" customHeight="1">
      <c r="D35" s="55" t="s">
        <v>209</v>
      </c>
      <c r="E35" s="2" t="s">
        <v>205</v>
      </c>
      <c r="F35" s="8" t="s">
        <v>219</v>
      </c>
      <c r="G35" s="8">
        <v>3</v>
      </c>
      <c r="H35" s="29"/>
    </row>
    <row r="36" spans="4:31" ht="15.75" customHeight="1">
      <c r="D36" s="55" t="s">
        <v>210</v>
      </c>
      <c r="E36" s="2" t="s">
        <v>206</v>
      </c>
      <c r="F36" s="8" t="s">
        <v>219</v>
      </c>
      <c r="G36" s="8">
        <v>3</v>
      </c>
      <c r="H36" s="54"/>
    </row>
    <row r="37" spans="4:31" ht="15.75" customHeight="1" thickBot="1">
      <c r="D37" s="53" t="s">
        <v>294</v>
      </c>
      <c r="E37" s="2" t="s">
        <v>295</v>
      </c>
      <c r="F37" s="8" t="s">
        <v>219</v>
      </c>
      <c r="G37" s="8">
        <v>4</v>
      </c>
      <c r="H37" s="54"/>
    </row>
    <row r="38" spans="4:31" ht="15.75" customHeight="1" thickBot="1">
      <c r="D38" s="19" t="s">
        <v>204</v>
      </c>
      <c r="E38" s="2" t="s">
        <v>98</v>
      </c>
      <c r="F38" s="2"/>
      <c r="G38" s="4" t="b">
        <v>1</v>
      </c>
    </row>
    <row r="39" spans="4:31">
      <c r="D39" s="18" t="s">
        <v>75</v>
      </c>
      <c r="E39" s="2" t="s">
        <v>68</v>
      </c>
      <c r="F39" s="8" t="s">
        <v>219</v>
      </c>
      <c r="G39" s="8">
        <v>1000</v>
      </c>
    </row>
    <row r="40" spans="4:31">
      <c r="D40" s="18" t="s">
        <v>74</v>
      </c>
      <c r="E40" s="2" t="s">
        <v>69</v>
      </c>
      <c r="F40" s="8" t="s">
        <v>219</v>
      </c>
      <c r="G40" s="8">
        <v>500</v>
      </c>
    </row>
    <row r="41" spans="4:31">
      <c r="D41" s="18" t="s">
        <v>86</v>
      </c>
      <c r="E41" s="2" t="s">
        <v>80</v>
      </c>
      <c r="F41" s="8" t="s">
        <v>219</v>
      </c>
      <c r="G41" s="2"/>
      <c r="H41" s="8">
        <v>2400</v>
      </c>
      <c r="I41" s="8">
        <v>2400</v>
      </c>
      <c r="J41" s="8">
        <v>2400</v>
      </c>
      <c r="K41" s="8">
        <v>2400</v>
      </c>
      <c r="L41" s="8">
        <v>2400</v>
      </c>
      <c r="M41" s="8">
        <v>2400</v>
      </c>
      <c r="N41" s="8">
        <v>2400</v>
      </c>
      <c r="O41" s="8">
        <v>2400</v>
      </c>
      <c r="P41" s="8">
        <v>2400</v>
      </c>
      <c r="Q41" s="8">
        <v>2400</v>
      </c>
      <c r="R41" s="8">
        <v>2400</v>
      </c>
      <c r="S41" s="8">
        <v>2400</v>
      </c>
      <c r="T41" s="8">
        <v>2400</v>
      </c>
      <c r="U41" s="8">
        <v>2400</v>
      </c>
      <c r="V41" s="8">
        <v>2400</v>
      </c>
      <c r="W41" s="8">
        <v>2400</v>
      </c>
      <c r="X41" s="8">
        <v>2400</v>
      </c>
      <c r="Y41" s="8">
        <v>2400</v>
      </c>
      <c r="Z41" s="8">
        <v>2400</v>
      </c>
      <c r="AA41" s="8">
        <v>2400</v>
      </c>
      <c r="AB41" s="8">
        <v>2400</v>
      </c>
      <c r="AC41" s="8">
        <v>2400</v>
      </c>
      <c r="AD41" s="8">
        <v>2400</v>
      </c>
      <c r="AE41" s="8">
        <v>2400</v>
      </c>
    </row>
    <row r="42" spans="4:31">
      <c r="D42" s="18" t="s">
        <v>87</v>
      </c>
      <c r="E42" s="2" t="s">
        <v>81</v>
      </c>
      <c r="F42" s="8" t="s">
        <v>219</v>
      </c>
      <c r="G42" s="2"/>
      <c r="H42" s="8">
        <v>25000</v>
      </c>
      <c r="I42" s="8">
        <v>25000</v>
      </c>
      <c r="J42" s="8">
        <v>25000</v>
      </c>
      <c r="K42" s="8">
        <v>25000</v>
      </c>
      <c r="L42" s="8">
        <v>25000</v>
      </c>
      <c r="M42" s="8">
        <v>25000</v>
      </c>
      <c r="N42" s="8">
        <v>25000</v>
      </c>
      <c r="O42" s="8">
        <v>25000</v>
      </c>
      <c r="P42" s="8">
        <v>25000</v>
      </c>
      <c r="Q42" s="8">
        <v>25000</v>
      </c>
      <c r="R42" s="8">
        <v>25000</v>
      </c>
      <c r="S42" s="8">
        <v>25000</v>
      </c>
      <c r="T42" s="8">
        <v>25000</v>
      </c>
      <c r="U42" s="8">
        <v>25000</v>
      </c>
      <c r="V42" s="8">
        <v>25000</v>
      </c>
      <c r="W42" s="8">
        <v>25000</v>
      </c>
      <c r="X42" s="8">
        <v>25000</v>
      </c>
      <c r="Y42" s="8">
        <v>25000</v>
      </c>
      <c r="Z42" s="8">
        <v>25000</v>
      </c>
      <c r="AA42" s="8">
        <v>25000</v>
      </c>
      <c r="AB42" s="8">
        <v>25000</v>
      </c>
      <c r="AC42" s="8">
        <v>25000</v>
      </c>
      <c r="AD42" s="8">
        <v>25000</v>
      </c>
      <c r="AE42" s="8">
        <v>25000</v>
      </c>
    </row>
    <row r="43" spans="4:31" ht="15.75" customHeight="1">
      <c r="D43" s="55" t="s">
        <v>108</v>
      </c>
      <c r="E43" s="2" t="s">
        <v>104</v>
      </c>
      <c r="F43" s="8" t="s">
        <v>219</v>
      </c>
      <c r="G43" s="4" t="b">
        <v>1</v>
      </c>
      <c r="H43" s="29" t="str">
        <f>IF(H69=AE69,"","Might cause infeasibility because Temperature delta between Glen Canyon and RM61 at H01 and H24 are not the same")</f>
        <v/>
      </c>
    </row>
    <row r="44" spans="4:31" ht="15.75" customHeight="1">
      <c r="D44" s="55" t="s">
        <v>211</v>
      </c>
      <c r="E44" s="2" t="s">
        <v>215</v>
      </c>
      <c r="F44" s="8" t="s">
        <v>219</v>
      </c>
      <c r="G44" s="8">
        <v>3</v>
      </c>
      <c r="H44" s="29"/>
    </row>
    <row r="45" spans="4:31" ht="15.75" customHeight="1" thickBot="1">
      <c r="D45" s="53" t="s">
        <v>212</v>
      </c>
      <c r="E45" s="2" t="s">
        <v>216</v>
      </c>
      <c r="F45" s="8" t="s">
        <v>219</v>
      </c>
      <c r="G45" s="8">
        <v>1</v>
      </c>
      <c r="H45" s="54"/>
    </row>
    <row r="46" spans="4:31" ht="15.75" customHeight="1" thickBot="1">
      <c r="D46" s="19" t="s">
        <v>202</v>
      </c>
      <c r="E46" s="2" t="s">
        <v>100</v>
      </c>
      <c r="F46" s="2"/>
      <c r="G46" s="4" t="b">
        <v>1</v>
      </c>
    </row>
    <row r="47" spans="4:31">
      <c r="D47" s="18" t="s">
        <v>77</v>
      </c>
      <c r="E47" s="2" t="s">
        <v>70</v>
      </c>
      <c r="F47" s="8" t="s">
        <v>219</v>
      </c>
      <c r="G47" s="8">
        <v>4000</v>
      </c>
    </row>
    <row r="48" spans="4:31">
      <c r="D48" s="18" t="s">
        <v>76</v>
      </c>
      <c r="E48" s="2" t="s">
        <v>71</v>
      </c>
      <c r="F48" s="8" t="s">
        <v>219</v>
      </c>
      <c r="G48" s="8">
        <v>2500</v>
      </c>
    </row>
    <row r="49" spans="4:31">
      <c r="D49" s="18" t="s">
        <v>88</v>
      </c>
      <c r="E49" s="2" t="s">
        <v>82</v>
      </c>
      <c r="F49" s="8" t="s">
        <v>219</v>
      </c>
      <c r="G49" s="2"/>
      <c r="H49" s="8">
        <v>7000</v>
      </c>
      <c r="I49" s="8">
        <v>7000</v>
      </c>
      <c r="J49" s="8">
        <v>7000</v>
      </c>
      <c r="K49" s="8">
        <v>7000</v>
      </c>
      <c r="L49" s="8">
        <v>7000</v>
      </c>
      <c r="M49" s="8">
        <v>7000</v>
      </c>
      <c r="N49" s="8">
        <v>7000</v>
      </c>
      <c r="O49" s="8">
        <v>7000</v>
      </c>
      <c r="P49" s="8">
        <v>7000</v>
      </c>
      <c r="Q49" s="8">
        <v>7000</v>
      </c>
      <c r="R49" s="8">
        <v>7000</v>
      </c>
      <c r="S49" s="8">
        <v>7000</v>
      </c>
      <c r="T49" s="8">
        <v>7000</v>
      </c>
      <c r="U49" s="8">
        <v>7000</v>
      </c>
      <c r="V49" s="8">
        <v>7000</v>
      </c>
      <c r="W49" s="8">
        <v>7000</v>
      </c>
      <c r="X49" s="8">
        <v>7000</v>
      </c>
      <c r="Y49" s="8">
        <v>7000</v>
      </c>
      <c r="Z49" s="8">
        <v>7000</v>
      </c>
      <c r="AA49" s="8">
        <v>7000</v>
      </c>
      <c r="AB49" s="8">
        <v>7000</v>
      </c>
      <c r="AC49" s="8">
        <v>7000</v>
      </c>
      <c r="AD49" s="8">
        <v>7000</v>
      </c>
      <c r="AE49" s="8">
        <v>7000</v>
      </c>
    </row>
    <row r="50" spans="4:31">
      <c r="D50" s="18" t="s">
        <v>89</v>
      </c>
      <c r="E50" s="2" t="s">
        <v>83</v>
      </c>
      <c r="F50" s="8" t="s">
        <v>219</v>
      </c>
      <c r="G50" s="2"/>
      <c r="H50" s="8">
        <v>12100</v>
      </c>
      <c r="I50" s="8">
        <v>12100</v>
      </c>
      <c r="J50" s="8">
        <v>12100</v>
      </c>
      <c r="K50" s="8">
        <v>12100</v>
      </c>
      <c r="L50" s="8">
        <v>12100</v>
      </c>
      <c r="M50" s="8">
        <v>12100</v>
      </c>
      <c r="N50" s="8">
        <v>12100</v>
      </c>
      <c r="O50" s="8">
        <v>12100</v>
      </c>
      <c r="P50" s="8">
        <v>12100</v>
      </c>
      <c r="Q50" s="8">
        <v>12100</v>
      </c>
      <c r="R50" s="8">
        <v>12100</v>
      </c>
      <c r="S50" s="8">
        <v>12100</v>
      </c>
      <c r="T50" s="8">
        <v>12100</v>
      </c>
      <c r="U50" s="8">
        <v>12100</v>
      </c>
      <c r="V50" s="8">
        <v>12100</v>
      </c>
      <c r="W50" s="8">
        <v>12100</v>
      </c>
      <c r="X50" s="8">
        <v>12100</v>
      </c>
      <c r="Y50" s="8">
        <v>12100</v>
      </c>
      <c r="Z50" s="8">
        <v>12100</v>
      </c>
      <c r="AA50" s="8">
        <v>12100</v>
      </c>
      <c r="AB50" s="8">
        <v>12100</v>
      </c>
      <c r="AC50" s="8">
        <v>12100</v>
      </c>
      <c r="AD50" s="8">
        <v>12100</v>
      </c>
      <c r="AE50" s="8">
        <v>12100</v>
      </c>
    </row>
    <row r="51" spans="4:31" ht="15.75" customHeight="1">
      <c r="D51" s="55" t="s">
        <v>109</v>
      </c>
      <c r="E51" s="2" t="s">
        <v>105</v>
      </c>
      <c r="F51" s="8" t="s">
        <v>219</v>
      </c>
      <c r="G51" s="4" t="b">
        <v>1</v>
      </c>
      <c r="H51" s="29" t="str">
        <f>IF(H69=AE69,"","Might cause infeasibility because Temperature delta between Glen Canyon and RM61 at H01 and H24 are not the same")</f>
        <v/>
      </c>
    </row>
    <row r="52" spans="4:31" ht="15.75" customHeight="1">
      <c r="D52" s="55" t="s">
        <v>207</v>
      </c>
      <c r="E52" s="2" t="s">
        <v>213</v>
      </c>
      <c r="F52" s="8" t="s">
        <v>219</v>
      </c>
      <c r="G52" s="8">
        <v>3</v>
      </c>
      <c r="H52" s="29"/>
    </row>
    <row r="53" spans="4:31" ht="15.75" customHeight="1" thickBot="1">
      <c r="D53" s="53" t="s">
        <v>208</v>
      </c>
      <c r="E53" s="2" t="s">
        <v>214</v>
      </c>
      <c r="F53" s="8" t="s">
        <v>219</v>
      </c>
      <c r="G53" s="8">
        <v>3</v>
      </c>
      <c r="H53" s="54"/>
    </row>
    <row r="54" spans="4:31" ht="15.75" customHeight="1" thickBot="1">
      <c r="D54" s="19" t="s">
        <v>257</v>
      </c>
      <c r="E54" s="2" t="s">
        <v>272</v>
      </c>
      <c r="F54" s="2"/>
      <c r="G54" s="4" t="b">
        <v>0</v>
      </c>
    </row>
    <row r="55" spans="4:31">
      <c r="D55" s="18" t="s">
        <v>258</v>
      </c>
      <c r="E55" s="2" t="s">
        <v>259</v>
      </c>
      <c r="F55" s="8" t="s">
        <v>221</v>
      </c>
      <c r="G55" s="8">
        <v>15000</v>
      </c>
    </row>
    <row r="56" spans="4:31">
      <c r="D56" s="18" t="s">
        <v>260</v>
      </c>
      <c r="E56" s="2" t="s">
        <v>261</v>
      </c>
      <c r="F56" s="8" t="s">
        <v>221</v>
      </c>
      <c r="G56" s="8">
        <v>15000</v>
      </c>
    </row>
    <row r="57" spans="4:31">
      <c r="D57" s="18" t="s">
        <v>262</v>
      </c>
      <c r="E57" s="2" t="s">
        <v>263</v>
      </c>
      <c r="F57" s="8" t="s">
        <v>221</v>
      </c>
      <c r="G57" s="2"/>
      <c r="H57" s="8">
        <v>6900</v>
      </c>
      <c r="I57" s="8">
        <v>6900</v>
      </c>
      <c r="J57" s="8">
        <v>6900</v>
      </c>
      <c r="K57" s="8">
        <v>6900</v>
      </c>
      <c r="L57" s="8">
        <v>6900</v>
      </c>
      <c r="M57" s="8">
        <v>6900</v>
      </c>
      <c r="N57" s="8">
        <v>6900</v>
      </c>
      <c r="O57" s="8">
        <v>6900</v>
      </c>
      <c r="P57" s="8">
        <v>6900</v>
      </c>
      <c r="Q57" s="8">
        <v>6900</v>
      </c>
      <c r="R57" s="8">
        <v>6900</v>
      </c>
      <c r="S57" s="8">
        <v>6900</v>
      </c>
      <c r="T57" s="8">
        <v>6900</v>
      </c>
      <c r="U57" s="8">
        <v>6900</v>
      </c>
      <c r="V57" s="8">
        <v>6900</v>
      </c>
      <c r="W57" s="8">
        <v>6900</v>
      </c>
      <c r="X57" s="8">
        <v>6900</v>
      </c>
      <c r="Y57" s="8">
        <v>6900</v>
      </c>
      <c r="Z57" s="8">
        <v>6900</v>
      </c>
      <c r="AA57" s="8">
        <v>6900</v>
      </c>
      <c r="AB57" s="8">
        <v>6900</v>
      </c>
      <c r="AC57" s="8">
        <v>6900</v>
      </c>
      <c r="AD57" s="8">
        <v>6900</v>
      </c>
      <c r="AE57" s="8">
        <v>6900</v>
      </c>
    </row>
    <row r="58" spans="4:31">
      <c r="D58" s="18" t="s">
        <v>264</v>
      </c>
      <c r="E58" s="2" t="s">
        <v>265</v>
      </c>
      <c r="F58" s="8" t="s">
        <v>221</v>
      </c>
      <c r="G58" s="2"/>
      <c r="H58" s="8">
        <v>12100</v>
      </c>
      <c r="I58" s="8">
        <v>12100</v>
      </c>
      <c r="J58" s="8">
        <v>12100</v>
      </c>
      <c r="K58" s="8">
        <v>12100</v>
      </c>
      <c r="L58" s="8">
        <v>12100</v>
      </c>
      <c r="M58" s="8">
        <v>12100</v>
      </c>
      <c r="N58" s="8">
        <v>12100</v>
      </c>
      <c r="O58" s="8">
        <v>12100</v>
      </c>
      <c r="P58" s="8">
        <v>12100</v>
      </c>
      <c r="Q58" s="8">
        <v>12100</v>
      </c>
      <c r="R58" s="8">
        <v>12100</v>
      </c>
      <c r="S58" s="8">
        <v>12100</v>
      </c>
      <c r="T58" s="8">
        <v>12100</v>
      </c>
      <c r="U58" s="8">
        <v>12100</v>
      </c>
      <c r="V58" s="8">
        <v>12100</v>
      </c>
      <c r="W58" s="8">
        <v>12100</v>
      </c>
      <c r="X58" s="8">
        <v>12100</v>
      </c>
      <c r="Y58" s="8">
        <v>12100</v>
      </c>
      <c r="Z58" s="8">
        <v>12100</v>
      </c>
      <c r="AA58" s="8">
        <v>12100</v>
      </c>
      <c r="AB58" s="8">
        <v>12100</v>
      </c>
      <c r="AC58" s="8">
        <v>12100</v>
      </c>
      <c r="AD58" s="8">
        <v>12100</v>
      </c>
      <c r="AE58" s="8">
        <v>12100</v>
      </c>
    </row>
    <row r="59" spans="4:31" ht="15.75" customHeight="1">
      <c r="D59" s="55" t="s">
        <v>266</v>
      </c>
      <c r="E59" s="2" t="s">
        <v>267</v>
      </c>
      <c r="F59" s="8" t="s">
        <v>221</v>
      </c>
      <c r="G59" s="4" t="b">
        <v>0</v>
      </c>
      <c r="H59" s="29"/>
    </row>
    <row r="60" spans="4:31" ht="15.75" customHeight="1">
      <c r="D60" s="55" t="s">
        <v>268</v>
      </c>
      <c r="E60" s="2" t="s">
        <v>269</v>
      </c>
      <c r="F60" s="8" t="s">
        <v>221</v>
      </c>
      <c r="G60" s="8">
        <v>3</v>
      </c>
      <c r="H60" s="29"/>
    </row>
    <row r="61" spans="4:31" ht="15.75" customHeight="1" thickBot="1">
      <c r="D61" s="53" t="s">
        <v>270</v>
      </c>
      <c r="E61" s="2" t="s">
        <v>271</v>
      </c>
      <c r="F61" s="8" t="s">
        <v>221</v>
      </c>
      <c r="G61" s="8">
        <v>3</v>
      </c>
      <c r="H61" s="54"/>
    </row>
    <row r="63" spans="4:31" ht="20.25" thickBot="1">
      <c r="D63" s="1" t="s">
        <v>1</v>
      </c>
      <c r="E63" s="7" t="s">
        <v>34</v>
      </c>
      <c r="F63" s="3" t="s">
        <v>218</v>
      </c>
      <c r="G63" s="7"/>
      <c r="H63" s="3" t="s">
        <v>9</v>
      </c>
      <c r="I63" s="3" t="s">
        <v>10</v>
      </c>
      <c r="J63" s="3" t="s">
        <v>11</v>
      </c>
      <c r="K63" s="3" t="s">
        <v>12</v>
      </c>
      <c r="L63" s="3" t="s">
        <v>13</v>
      </c>
      <c r="M63" s="3" t="s">
        <v>14</v>
      </c>
      <c r="N63" s="3" t="s">
        <v>15</v>
      </c>
      <c r="O63" s="3" t="s">
        <v>16</v>
      </c>
      <c r="P63" s="3" t="s">
        <v>17</v>
      </c>
      <c r="Q63" s="3" t="s">
        <v>18</v>
      </c>
      <c r="R63" s="3" t="s">
        <v>19</v>
      </c>
      <c r="S63" s="3" t="s">
        <v>20</v>
      </c>
      <c r="T63" s="3" t="s">
        <v>21</v>
      </c>
      <c r="U63" s="3" t="s">
        <v>22</v>
      </c>
      <c r="V63" s="3" t="s">
        <v>23</v>
      </c>
      <c r="W63" s="3" t="s">
        <v>24</v>
      </c>
      <c r="X63" s="3" t="s">
        <v>25</v>
      </c>
      <c r="Y63" s="3" t="s">
        <v>26</v>
      </c>
      <c r="Z63" s="3" t="s">
        <v>27</v>
      </c>
      <c r="AA63" s="3" t="s">
        <v>28</v>
      </c>
      <c r="AB63" s="3" t="s">
        <v>29</v>
      </c>
      <c r="AC63" s="3" t="s">
        <v>30</v>
      </c>
      <c r="AD63" s="3" t="s">
        <v>31</v>
      </c>
      <c r="AE63" s="3" t="s">
        <v>32</v>
      </c>
    </row>
    <row r="64" spans="4:31" ht="15.75" thickTop="1">
      <c r="D64" s="18" t="s">
        <v>37</v>
      </c>
      <c r="E64" s="2" t="s">
        <v>7</v>
      </c>
      <c r="F64" s="8" t="s">
        <v>219</v>
      </c>
      <c r="G64" s="2"/>
      <c r="H64" s="9">
        <v>7.5</v>
      </c>
      <c r="I64" s="9">
        <v>7.5</v>
      </c>
      <c r="J64" s="9">
        <v>7.5</v>
      </c>
      <c r="K64" s="9">
        <v>7.5</v>
      </c>
      <c r="L64" s="9">
        <v>7.5</v>
      </c>
      <c r="M64" s="9">
        <v>7.5</v>
      </c>
      <c r="N64" s="9">
        <v>7.5</v>
      </c>
      <c r="O64" s="9">
        <v>7.5</v>
      </c>
      <c r="P64" s="9">
        <v>7.5</v>
      </c>
      <c r="Q64" s="9">
        <v>7.5</v>
      </c>
      <c r="R64" s="9">
        <v>7.5</v>
      </c>
      <c r="S64" s="9">
        <v>7.5</v>
      </c>
      <c r="T64" s="9">
        <v>7.5</v>
      </c>
      <c r="U64" s="9">
        <v>7.5</v>
      </c>
      <c r="V64" s="9">
        <v>7.5</v>
      </c>
      <c r="W64" s="9">
        <v>7.5</v>
      </c>
      <c r="X64" s="9">
        <v>7.5</v>
      </c>
      <c r="Y64" s="9">
        <v>7.5</v>
      </c>
      <c r="Z64" s="9">
        <v>7.5</v>
      </c>
      <c r="AA64" s="9">
        <v>7.5</v>
      </c>
      <c r="AB64" s="9">
        <v>7.5</v>
      </c>
      <c r="AC64" s="9">
        <v>7.5</v>
      </c>
      <c r="AD64" s="9">
        <v>7.5</v>
      </c>
      <c r="AE64" s="9">
        <v>7.5</v>
      </c>
    </row>
    <row r="65" spans="4:31">
      <c r="D65" s="18" t="s">
        <v>38</v>
      </c>
      <c r="E65" s="2" t="s">
        <v>8</v>
      </c>
      <c r="F65" s="8" t="s">
        <v>219</v>
      </c>
      <c r="G65" s="2"/>
      <c r="H65" s="9">
        <v>14</v>
      </c>
      <c r="I65" s="9">
        <v>14</v>
      </c>
      <c r="J65" s="9">
        <v>14</v>
      </c>
      <c r="K65" s="9">
        <v>14</v>
      </c>
      <c r="L65" s="9">
        <v>14</v>
      </c>
      <c r="M65" s="9">
        <v>14</v>
      </c>
      <c r="N65" s="9">
        <v>14</v>
      </c>
      <c r="O65" s="9">
        <v>14</v>
      </c>
      <c r="P65" s="9">
        <v>14</v>
      </c>
      <c r="Q65" s="9">
        <v>14</v>
      </c>
      <c r="R65" s="9">
        <v>14</v>
      </c>
      <c r="S65" s="9">
        <v>14</v>
      </c>
      <c r="T65" s="9">
        <v>14</v>
      </c>
      <c r="U65" s="9">
        <v>14</v>
      </c>
      <c r="V65" s="9">
        <v>14</v>
      </c>
      <c r="W65" s="9">
        <v>14</v>
      </c>
      <c r="X65" s="9">
        <v>14</v>
      </c>
      <c r="Y65" s="9">
        <v>14</v>
      </c>
      <c r="Z65" s="9">
        <v>14</v>
      </c>
      <c r="AA65" s="9">
        <v>14</v>
      </c>
      <c r="AB65" s="9">
        <v>14</v>
      </c>
      <c r="AC65" s="9">
        <v>14</v>
      </c>
      <c r="AD65" s="9">
        <v>14</v>
      </c>
      <c r="AE65" s="9">
        <v>14</v>
      </c>
    </row>
    <row r="66" spans="4:31" ht="15.75" customHeight="1" thickBot="1">
      <c r="D66" s="19" t="s">
        <v>110</v>
      </c>
      <c r="E66" s="2" t="s">
        <v>106</v>
      </c>
      <c r="F66" s="2"/>
      <c r="G66" s="4" t="b">
        <v>1</v>
      </c>
      <c r="H66" s="29" t="str">
        <f>IF(H69=AE69,"","Might cause infeasibility because Temperature delta between Glen Canyon and RM61 at H01 and H24 are not the same")</f>
        <v/>
      </c>
    </row>
    <row r="67" spans="4:31">
      <c r="D67" s="18" t="s">
        <v>35</v>
      </c>
      <c r="E67" s="2" t="s">
        <v>253</v>
      </c>
      <c r="F67" s="8" t="s">
        <v>221</v>
      </c>
      <c r="G67" s="2"/>
      <c r="H67" s="9">
        <v>15.5</v>
      </c>
      <c r="I67" s="9">
        <v>15.5</v>
      </c>
      <c r="J67" s="9">
        <v>15.5</v>
      </c>
      <c r="K67" s="9">
        <v>15.5</v>
      </c>
      <c r="L67" s="9">
        <v>15.5</v>
      </c>
      <c r="M67" s="9">
        <v>18</v>
      </c>
      <c r="N67" s="9">
        <v>18</v>
      </c>
      <c r="O67" s="9">
        <v>15.5</v>
      </c>
      <c r="P67" s="9">
        <v>15.5</v>
      </c>
      <c r="Q67" s="9">
        <v>15.5</v>
      </c>
      <c r="R67" s="9">
        <v>14.1</v>
      </c>
      <c r="S67" s="9">
        <v>15.5</v>
      </c>
      <c r="T67" s="9">
        <v>15.5</v>
      </c>
      <c r="U67" s="9">
        <v>19</v>
      </c>
      <c r="V67" s="9">
        <v>18</v>
      </c>
      <c r="W67" s="9">
        <v>18</v>
      </c>
      <c r="X67" s="9">
        <v>15.5</v>
      </c>
      <c r="Y67" s="9">
        <v>15.5</v>
      </c>
      <c r="Z67" s="9">
        <v>15.5</v>
      </c>
      <c r="AA67" s="9">
        <v>15.5</v>
      </c>
      <c r="AB67" s="9">
        <v>15.5</v>
      </c>
      <c r="AC67" s="9">
        <v>15.5</v>
      </c>
      <c r="AD67" s="9">
        <v>15.5</v>
      </c>
      <c r="AE67" s="9">
        <v>15.5</v>
      </c>
    </row>
    <row r="68" spans="4:31">
      <c r="D68" s="18" t="s">
        <v>36</v>
      </c>
      <c r="E68" s="2" t="s">
        <v>254</v>
      </c>
      <c r="F68" s="8" t="s">
        <v>221</v>
      </c>
      <c r="G68" s="2"/>
      <c r="H68" s="9">
        <v>14</v>
      </c>
      <c r="I68" s="9">
        <v>14</v>
      </c>
      <c r="J68" s="9">
        <v>14</v>
      </c>
      <c r="K68" s="9">
        <v>14</v>
      </c>
      <c r="L68" s="9">
        <v>14</v>
      </c>
      <c r="M68" s="9">
        <v>14</v>
      </c>
      <c r="N68" s="9">
        <v>14</v>
      </c>
      <c r="O68" s="9">
        <v>14</v>
      </c>
      <c r="P68" s="9">
        <v>14</v>
      </c>
      <c r="Q68" s="9">
        <v>14</v>
      </c>
      <c r="R68" s="9">
        <v>14</v>
      </c>
      <c r="S68" s="9">
        <v>14</v>
      </c>
      <c r="T68" s="9">
        <v>14</v>
      </c>
      <c r="U68" s="9">
        <v>14</v>
      </c>
      <c r="V68" s="9">
        <v>14</v>
      </c>
      <c r="W68" s="9">
        <v>14</v>
      </c>
      <c r="X68" s="9">
        <v>14</v>
      </c>
      <c r="Y68" s="9">
        <v>14</v>
      </c>
      <c r="Z68" s="9">
        <v>14</v>
      </c>
      <c r="AA68" s="9">
        <v>14</v>
      </c>
      <c r="AB68" s="9">
        <v>14</v>
      </c>
      <c r="AC68" s="9">
        <v>14</v>
      </c>
      <c r="AD68" s="9">
        <v>14</v>
      </c>
      <c r="AE68" s="9">
        <v>14</v>
      </c>
    </row>
    <row r="69" spans="4:31">
      <c r="D69" s="18" t="s">
        <v>39</v>
      </c>
      <c r="E69" s="2" t="s">
        <v>3</v>
      </c>
      <c r="F69" s="8" t="s">
        <v>222</v>
      </c>
      <c r="G69" s="2"/>
      <c r="H69" s="9">
        <v>2.1</v>
      </c>
      <c r="I69" s="9">
        <v>3.3</v>
      </c>
      <c r="J69" s="9">
        <v>2.2000000000000002</v>
      </c>
      <c r="K69" s="9">
        <v>2.8</v>
      </c>
      <c r="L69" s="9">
        <v>2.8</v>
      </c>
      <c r="M69" s="9">
        <v>2.4</v>
      </c>
      <c r="N69" s="9">
        <v>2.5</v>
      </c>
      <c r="O69" s="9">
        <v>2.4</v>
      </c>
      <c r="P69" s="9">
        <v>2.1</v>
      </c>
      <c r="Q69" s="9">
        <v>2.1</v>
      </c>
      <c r="R69" s="9">
        <v>2</v>
      </c>
      <c r="S69" s="9">
        <v>3.5</v>
      </c>
      <c r="T69" s="9">
        <v>3.4</v>
      </c>
      <c r="U69" s="9">
        <v>2.2999999999999998</v>
      </c>
      <c r="V69" s="9">
        <v>3.5</v>
      </c>
      <c r="W69" s="9">
        <v>2.8</v>
      </c>
      <c r="X69" s="9">
        <v>2.1</v>
      </c>
      <c r="Y69" s="9">
        <v>2.5</v>
      </c>
      <c r="Z69" s="9">
        <v>3.3</v>
      </c>
      <c r="AA69" s="9">
        <v>2.6</v>
      </c>
      <c r="AB69" s="9">
        <v>2.4</v>
      </c>
      <c r="AC69" s="9">
        <v>2.7</v>
      </c>
      <c r="AD69" s="9">
        <v>3.3</v>
      </c>
      <c r="AE69" s="9">
        <v>2.1</v>
      </c>
    </row>
    <row r="70" spans="4:31">
      <c r="D70" s="18" t="s">
        <v>42</v>
      </c>
      <c r="E70" s="2" t="s">
        <v>255</v>
      </c>
      <c r="F70" s="8" t="s">
        <v>221</v>
      </c>
      <c r="G70" s="9">
        <v>15.5</v>
      </c>
      <c r="H70" s="29" t="str">
        <f>"Because of rounding might not be exactly " &amp; G70 &amp; ". Maximum expected deviation in the positive direction is 0.05°C"</f>
        <v>Because of rounding might not be exactly 15.5. Maximum expected deviation in the positive direction is 0.05°C</v>
      </c>
    </row>
    <row r="71" spans="4:31">
      <c r="D71" s="18" t="s">
        <v>43</v>
      </c>
      <c r="E71" s="2" t="s">
        <v>6</v>
      </c>
      <c r="F71" s="8" t="s">
        <v>222</v>
      </c>
      <c r="G71" s="12">
        <f>AVERAGE(H69:AE69)</f>
        <v>2.6333333333333333</v>
      </c>
    </row>
    <row r="72" spans="4:31" ht="15.75" thickBot="1">
      <c r="D72" s="20" t="s">
        <v>112</v>
      </c>
      <c r="E72" s="2" t="s">
        <v>111</v>
      </c>
      <c r="F72" s="2"/>
      <c r="G72" s="4" t="b">
        <v>0</v>
      </c>
    </row>
    <row r="73" spans="4:31">
      <c r="D73" s="21" t="s">
        <v>40</v>
      </c>
      <c r="E73" s="2" t="s">
        <v>4</v>
      </c>
      <c r="F73" s="8" t="s">
        <v>221</v>
      </c>
      <c r="G73" s="11">
        <v>2</v>
      </c>
    </row>
    <row r="74" spans="4:31">
      <c r="D74" s="21" t="s">
        <v>41</v>
      </c>
      <c r="E74" s="2" t="s">
        <v>5</v>
      </c>
      <c r="F74" s="8" t="s">
        <v>221</v>
      </c>
      <c r="G74" s="11">
        <v>2</v>
      </c>
    </row>
    <row r="76" spans="4:31" ht="20.25" thickBot="1">
      <c r="D76" s="1" t="s">
        <v>90</v>
      </c>
      <c r="E76" s="7" t="s">
        <v>34</v>
      </c>
      <c r="F76" s="3" t="s">
        <v>218</v>
      </c>
      <c r="G76" s="7"/>
      <c r="H76" s="3" t="s">
        <v>9</v>
      </c>
      <c r="I76" s="3" t="s">
        <v>10</v>
      </c>
      <c r="J76" s="3" t="s">
        <v>11</v>
      </c>
      <c r="K76" s="3" t="s">
        <v>12</v>
      </c>
      <c r="L76" s="3" t="s">
        <v>13</v>
      </c>
      <c r="M76" s="3" t="s">
        <v>14</v>
      </c>
      <c r="N76" s="3" t="s">
        <v>15</v>
      </c>
      <c r="O76" s="3" t="s">
        <v>16</v>
      </c>
      <c r="P76" s="3" t="s">
        <v>17</v>
      </c>
      <c r="Q76" s="3" t="s">
        <v>18</v>
      </c>
      <c r="R76" s="3" t="s">
        <v>19</v>
      </c>
      <c r="S76" s="3" t="s">
        <v>20</v>
      </c>
      <c r="T76" s="3" t="s">
        <v>21</v>
      </c>
      <c r="U76" s="3" t="s">
        <v>22</v>
      </c>
      <c r="V76" s="3" t="s">
        <v>23</v>
      </c>
      <c r="W76" s="3" t="s">
        <v>24</v>
      </c>
      <c r="X76" s="3" t="s">
        <v>25</v>
      </c>
      <c r="Y76" s="3" t="s">
        <v>26</v>
      </c>
      <c r="Z76" s="3" t="s">
        <v>27</v>
      </c>
      <c r="AA76" s="3" t="s">
        <v>28</v>
      </c>
      <c r="AB76" s="3" t="s">
        <v>29</v>
      </c>
      <c r="AC76" s="3" t="s">
        <v>30</v>
      </c>
      <c r="AD76" s="3" t="s">
        <v>31</v>
      </c>
      <c r="AE76" s="3" t="s">
        <v>32</v>
      </c>
    </row>
    <row r="77" spans="4:31" ht="15.75" thickTop="1">
      <c r="D77" t="s">
        <v>61</v>
      </c>
      <c r="E77" s="2" t="s">
        <v>60</v>
      </c>
      <c r="F77" s="8" t="s">
        <v>219</v>
      </c>
      <c r="G77" s="4">
        <v>3.5453800000000001E-2</v>
      </c>
    </row>
    <row r="78" spans="4:31">
      <c r="D78" t="s">
        <v>91</v>
      </c>
      <c r="E78" s="2" t="s">
        <v>93</v>
      </c>
      <c r="F78" s="8" t="s">
        <v>219</v>
      </c>
      <c r="G78" s="8">
        <v>200</v>
      </c>
      <c r="H78" s="10">
        <f>$G$78</f>
        <v>200</v>
      </c>
      <c r="I78" s="10">
        <f t="shared" ref="I78:AE78" si="0">$G$78</f>
        <v>200</v>
      </c>
      <c r="J78" s="10">
        <f t="shared" si="0"/>
        <v>200</v>
      </c>
      <c r="K78" s="10">
        <f t="shared" si="0"/>
        <v>200</v>
      </c>
      <c r="L78" s="10">
        <f t="shared" si="0"/>
        <v>200</v>
      </c>
      <c r="M78" s="10">
        <f t="shared" si="0"/>
        <v>200</v>
      </c>
      <c r="N78" s="10">
        <f t="shared" si="0"/>
        <v>200</v>
      </c>
      <c r="O78" s="10">
        <f t="shared" si="0"/>
        <v>200</v>
      </c>
      <c r="P78" s="10">
        <f t="shared" si="0"/>
        <v>200</v>
      </c>
      <c r="Q78" s="10">
        <f t="shared" si="0"/>
        <v>200</v>
      </c>
      <c r="R78" s="10">
        <f t="shared" si="0"/>
        <v>200</v>
      </c>
      <c r="S78" s="10">
        <f t="shared" si="0"/>
        <v>200</v>
      </c>
      <c r="T78" s="10">
        <f t="shared" si="0"/>
        <v>200</v>
      </c>
      <c r="U78" s="10">
        <f t="shared" si="0"/>
        <v>200</v>
      </c>
      <c r="V78" s="10">
        <f t="shared" si="0"/>
        <v>200</v>
      </c>
      <c r="W78" s="10">
        <f t="shared" si="0"/>
        <v>200</v>
      </c>
      <c r="X78" s="10">
        <f t="shared" si="0"/>
        <v>200</v>
      </c>
      <c r="Y78" s="10">
        <f t="shared" si="0"/>
        <v>200</v>
      </c>
      <c r="Z78" s="10">
        <f t="shared" si="0"/>
        <v>200</v>
      </c>
      <c r="AA78" s="10">
        <f t="shared" si="0"/>
        <v>200</v>
      </c>
      <c r="AB78" s="10">
        <f t="shared" si="0"/>
        <v>200</v>
      </c>
      <c r="AC78" s="10">
        <f t="shared" si="0"/>
        <v>200</v>
      </c>
      <c r="AD78" s="10">
        <f t="shared" si="0"/>
        <v>200</v>
      </c>
      <c r="AE78" s="10">
        <f t="shared" si="0"/>
        <v>200</v>
      </c>
    </row>
    <row r="79" spans="4:31">
      <c r="D79" t="s">
        <v>92</v>
      </c>
      <c r="E79" s="2" t="s">
        <v>94</v>
      </c>
      <c r="F79" s="8" t="s">
        <v>219</v>
      </c>
      <c r="G79" s="8">
        <v>1000</v>
      </c>
      <c r="H79" s="10">
        <f>$G$79</f>
        <v>1000</v>
      </c>
      <c r="I79" s="10">
        <f t="shared" ref="I79:AE79" si="1">$G$79</f>
        <v>1000</v>
      </c>
      <c r="J79" s="10">
        <f t="shared" si="1"/>
        <v>1000</v>
      </c>
      <c r="K79" s="10">
        <f t="shared" si="1"/>
        <v>1000</v>
      </c>
      <c r="L79" s="10">
        <f t="shared" si="1"/>
        <v>1000</v>
      </c>
      <c r="M79" s="10">
        <f t="shared" si="1"/>
        <v>1000</v>
      </c>
      <c r="N79" s="10">
        <f t="shared" si="1"/>
        <v>1000</v>
      </c>
      <c r="O79" s="10">
        <f t="shared" si="1"/>
        <v>1000</v>
      </c>
      <c r="P79" s="10">
        <f t="shared" si="1"/>
        <v>1000</v>
      </c>
      <c r="Q79" s="10">
        <f t="shared" si="1"/>
        <v>1000</v>
      </c>
      <c r="R79" s="10">
        <f t="shared" si="1"/>
        <v>1000</v>
      </c>
      <c r="S79" s="10">
        <f t="shared" si="1"/>
        <v>1000</v>
      </c>
      <c r="T79" s="10">
        <f t="shared" si="1"/>
        <v>1000</v>
      </c>
      <c r="U79" s="10">
        <f t="shared" si="1"/>
        <v>1000</v>
      </c>
      <c r="V79" s="10">
        <f t="shared" si="1"/>
        <v>1000</v>
      </c>
      <c r="W79" s="10">
        <f t="shared" si="1"/>
        <v>1000</v>
      </c>
      <c r="X79" s="10">
        <f t="shared" si="1"/>
        <v>1000</v>
      </c>
      <c r="Y79" s="10">
        <f t="shared" si="1"/>
        <v>1000</v>
      </c>
      <c r="Z79" s="10">
        <f t="shared" si="1"/>
        <v>1000</v>
      </c>
      <c r="AA79" s="10">
        <f t="shared" si="1"/>
        <v>1000</v>
      </c>
      <c r="AB79" s="10">
        <f t="shared" si="1"/>
        <v>1000</v>
      </c>
      <c r="AC79" s="10">
        <f t="shared" si="1"/>
        <v>1000</v>
      </c>
      <c r="AD79" s="10">
        <f t="shared" si="1"/>
        <v>1000</v>
      </c>
      <c r="AE79" s="10">
        <f t="shared" si="1"/>
        <v>1000</v>
      </c>
    </row>
    <row r="81" spans="4:31" ht="20.25" thickBot="1">
      <c r="D81" s="1" t="s">
        <v>197</v>
      </c>
      <c r="E81" s="7" t="s">
        <v>34</v>
      </c>
      <c r="F81" s="3" t="s">
        <v>218</v>
      </c>
      <c r="G81" s="7"/>
      <c r="H81" s="3" t="s">
        <v>9</v>
      </c>
      <c r="I81" s="3" t="s">
        <v>10</v>
      </c>
      <c r="J81" s="3" t="s">
        <v>11</v>
      </c>
      <c r="K81" s="3" t="s">
        <v>12</v>
      </c>
      <c r="L81" s="3" t="s">
        <v>13</v>
      </c>
      <c r="M81" s="3" t="s">
        <v>14</v>
      </c>
      <c r="N81" s="3" t="s">
        <v>15</v>
      </c>
      <c r="O81" s="3" t="s">
        <v>16</v>
      </c>
      <c r="P81" s="3" t="s">
        <v>17</v>
      </c>
      <c r="Q81" s="3" t="s">
        <v>18</v>
      </c>
      <c r="R81" s="3" t="s">
        <v>19</v>
      </c>
      <c r="S81" s="3" t="s">
        <v>20</v>
      </c>
      <c r="T81" s="3" t="s">
        <v>21</v>
      </c>
      <c r="U81" s="3" t="s">
        <v>22</v>
      </c>
      <c r="V81" s="3" t="s">
        <v>23</v>
      </c>
      <c r="W81" s="3" t="s">
        <v>24</v>
      </c>
      <c r="X81" s="3" t="s">
        <v>25</v>
      </c>
      <c r="Y81" s="3" t="s">
        <v>26</v>
      </c>
      <c r="Z81" s="3" t="s">
        <v>27</v>
      </c>
      <c r="AA81" s="3" t="s">
        <v>28</v>
      </c>
      <c r="AB81" s="3" t="s">
        <v>29</v>
      </c>
      <c r="AC81" s="3" t="s">
        <v>30</v>
      </c>
      <c r="AD81" s="3" t="s">
        <v>31</v>
      </c>
      <c r="AE81" s="3" t="s">
        <v>32</v>
      </c>
    </row>
    <row r="82" spans="4:31" ht="15.75" thickTop="1">
      <c r="D82" t="s">
        <v>59</v>
      </c>
      <c r="E82" s="2" t="s">
        <v>58</v>
      </c>
      <c r="F82" s="8" t="s">
        <v>220</v>
      </c>
      <c r="G82" s="2"/>
      <c r="H82" s="8">
        <v>1000</v>
      </c>
      <c r="I82" s="8">
        <v>1000</v>
      </c>
      <c r="J82" s="8">
        <v>1000</v>
      </c>
      <c r="K82" s="8">
        <v>1000</v>
      </c>
      <c r="L82" s="8">
        <v>1000</v>
      </c>
      <c r="M82" s="8">
        <v>1000</v>
      </c>
      <c r="N82" s="8">
        <v>1000</v>
      </c>
      <c r="O82" s="8">
        <v>1000</v>
      </c>
      <c r="P82" s="8">
        <v>1000</v>
      </c>
      <c r="Q82" s="8">
        <v>1000</v>
      </c>
      <c r="R82" s="8">
        <v>1000</v>
      </c>
      <c r="S82" s="8">
        <v>1000</v>
      </c>
      <c r="T82" s="8">
        <v>1000</v>
      </c>
      <c r="U82" s="8">
        <v>1000</v>
      </c>
      <c r="V82" s="8">
        <v>1000</v>
      </c>
      <c r="W82" s="8">
        <v>1000</v>
      </c>
      <c r="X82" s="8">
        <v>1000</v>
      </c>
      <c r="Y82" s="8">
        <v>1000</v>
      </c>
      <c r="Z82" s="8">
        <v>1000</v>
      </c>
      <c r="AA82" s="8">
        <v>1000</v>
      </c>
      <c r="AB82" s="8">
        <v>1000</v>
      </c>
      <c r="AC82" s="8">
        <v>1000</v>
      </c>
      <c r="AD82" s="8">
        <v>1000</v>
      </c>
      <c r="AE82" s="8">
        <v>1000</v>
      </c>
    </row>
    <row r="84" spans="4:31" ht="20.25" thickBot="1">
      <c r="D84" s="1" t="s">
        <v>44</v>
      </c>
      <c r="E84" s="7" t="s">
        <v>34</v>
      </c>
      <c r="F84" s="3" t="s">
        <v>218</v>
      </c>
      <c r="G84" s="7"/>
      <c r="H84" s="3" t="s">
        <v>9</v>
      </c>
      <c r="I84" s="3" t="s">
        <v>10</v>
      </c>
      <c r="J84" s="3" t="s">
        <v>11</v>
      </c>
      <c r="K84" s="3" t="s">
        <v>12</v>
      </c>
      <c r="L84" s="3" t="s">
        <v>13</v>
      </c>
      <c r="M84" s="3" t="s">
        <v>14</v>
      </c>
      <c r="N84" s="3" t="s">
        <v>15</v>
      </c>
      <c r="O84" s="3" t="s">
        <v>16</v>
      </c>
      <c r="P84" s="3" t="s">
        <v>17</v>
      </c>
      <c r="Q84" s="3" t="s">
        <v>18</v>
      </c>
      <c r="R84" s="3" t="s">
        <v>19</v>
      </c>
      <c r="S84" s="3" t="s">
        <v>20</v>
      </c>
      <c r="T84" s="3" t="s">
        <v>21</v>
      </c>
      <c r="U84" s="3" t="s">
        <v>22</v>
      </c>
      <c r="V84" s="3" t="s">
        <v>23</v>
      </c>
      <c r="W84" s="3" t="s">
        <v>24</v>
      </c>
      <c r="X84" s="3" t="s">
        <v>25</v>
      </c>
      <c r="Y84" s="3" t="s">
        <v>26</v>
      </c>
      <c r="Z84" s="3" t="s">
        <v>27</v>
      </c>
      <c r="AA84" s="3" t="s">
        <v>28</v>
      </c>
      <c r="AB84" s="3" t="s">
        <v>29</v>
      </c>
      <c r="AC84" s="3" t="s">
        <v>30</v>
      </c>
      <c r="AD84" s="3" t="s">
        <v>31</v>
      </c>
      <c r="AE84" s="3" t="s">
        <v>32</v>
      </c>
    </row>
    <row r="85" spans="4:31" ht="15.75" thickTop="1">
      <c r="D85" t="s">
        <v>33</v>
      </c>
      <c r="E85" s="2" t="s">
        <v>2</v>
      </c>
      <c r="F85" s="8" t="s">
        <v>220</v>
      </c>
      <c r="G85" s="2"/>
      <c r="H85" s="5">
        <v>46.85</v>
      </c>
      <c r="I85" s="5">
        <v>45.06</v>
      </c>
      <c r="J85" s="5">
        <v>43.83</v>
      </c>
      <c r="K85" s="5">
        <v>42.55</v>
      </c>
      <c r="L85" s="5">
        <v>42.62</v>
      </c>
      <c r="M85" s="5">
        <v>46.61</v>
      </c>
      <c r="N85" s="5">
        <v>76.48</v>
      </c>
      <c r="O85" s="5">
        <v>77.489999999999995</v>
      </c>
      <c r="P85" s="5">
        <v>73.64</v>
      </c>
      <c r="Q85" s="5">
        <v>68.510000000000005</v>
      </c>
      <c r="R85" s="5">
        <v>67.62</v>
      </c>
      <c r="S85" s="5">
        <v>69.34</v>
      </c>
      <c r="T85" s="5">
        <v>69.23</v>
      </c>
      <c r="U85" s="4">
        <v>74.680000000000007</v>
      </c>
      <c r="V85" s="4">
        <v>86.84</v>
      </c>
      <c r="W85" s="4">
        <v>97.79</v>
      </c>
      <c r="X85" s="4">
        <v>91.29</v>
      </c>
      <c r="Y85" s="4">
        <v>99.07</v>
      </c>
      <c r="Z85" s="4">
        <v>103.56</v>
      </c>
      <c r="AA85" s="4">
        <v>108.67</v>
      </c>
      <c r="AB85" s="4">
        <v>98.73</v>
      </c>
      <c r="AC85" s="4">
        <v>91.91</v>
      </c>
      <c r="AD85" s="4">
        <v>53.34</v>
      </c>
      <c r="AE85" s="4">
        <v>48.72</v>
      </c>
    </row>
    <row r="86" spans="4:31">
      <c r="D86" t="s">
        <v>51</v>
      </c>
      <c r="E86" s="2" t="s">
        <v>45</v>
      </c>
      <c r="F86" s="8" t="s">
        <v>219</v>
      </c>
      <c r="G86" s="5">
        <v>1</v>
      </c>
      <c r="H86" s="29" t="str">
        <f>IF(AND(G29=TRUE,G86&lt;0),"the penalty cost should be in range 0-25","")</f>
        <v/>
      </c>
    </row>
    <row r="87" spans="4:31">
      <c r="D87" t="s">
        <v>52</v>
      </c>
      <c r="E87" s="2" t="s">
        <v>46</v>
      </c>
      <c r="F87" s="8" t="s">
        <v>219</v>
      </c>
      <c r="G87" s="5">
        <v>1</v>
      </c>
      <c r="H87" s="29" t="str">
        <f>IF(AND(G29=TRUE,G87&lt;0),"the penalty cost should be in range 0-25","")</f>
        <v/>
      </c>
    </row>
    <row r="88" spans="4:31">
      <c r="D88" t="s">
        <v>53</v>
      </c>
      <c r="E88" s="2" t="s">
        <v>47</v>
      </c>
      <c r="F88" s="8" t="s">
        <v>219</v>
      </c>
      <c r="G88" s="5">
        <v>0</v>
      </c>
      <c r="H88" s="29" t="str">
        <f>IF(AND(G38=TRUE,G88&lt;0),"the penalty cost should be in range 0-25","")</f>
        <v/>
      </c>
    </row>
    <row r="89" spans="4:31">
      <c r="D89" t="s">
        <v>54</v>
      </c>
      <c r="E89" s="2" t="s">
        <v>48</v>
      </c>
      <c r="F89" s="8" t="s">
        <v>219</v>
      </c>
      <c r="G89" s="5">
        <v>0</v>
      </c>
      <c r="H89" s="29" t="str">
        <f>IF(AND(G38=TRUE,G89&lt;0),"the penalty cost should be in range 0-25","")</f>
        <v/>
      </c>
    </row>
    <row r="90" spans="4:31">
      <c r="D90" t="s">
        <v>55</v>
      </c>
      <c r="E90" s="2" t="s">
        <v>49</v>
      </c>
      <c r="F90" s="8" t="s">
        <v>219</v>
      </c>
      <c r="G90" s="5">
        <v>0</v>
      </c>
      <c r="H90" s="29" t="str">
        <f>IF(AND(G46=TRUE,G90&lt;0),"the penalty cost should be in range 0-25","")</f>
        <v/>
      </c>
    </row>
    <row r="91" spans="4:31">
      <c r="D91" t="s">
        <v>56</v>
      </c>
      <c r="E91" s="2" t="s">
        <v>50</v>
      </c>
      <c r="F91" s="8" t="s">
        <v>219</v>
      </c>
      <c r="G91" s="5">
        <v>0</v>
      </c>
      <c r="H91" s="29" t="str">
        <f>IF(AND(G46=TRUE,G91&lt;0),"the penalty cost should be in range 0-25","")</f>
        <v/>
      </c>
    </row>
    <row r="92" spans="4:31">
      <c r="D92" t="s">
        <v>275</v>
      </c>
      <c r="E92" s="2" t="s">
        <v>273</v>
      </c>
      <c r="F92" s="8" t="s">
        <v>221</v>
      </c>
      <c r="G92" s="5">
        <v>0</v>
      </c>
    </row>
    <row r="93" spans="4:31">
      <c r="D93" t="s">
        <v>276</v>
      </c>
      <c r="E93" s="2" t="s">
        <v>274</v>
      </c>
      <c r="F93" s="8" t="s">
        <v>221</v>
      </c>
      <c r="G93" s="5">
        <v>0</v>
      </c>
    </row>
  </sheetData>
  <phoneticPr fontId="7" type="noConversion"/>
  <conditionalFormatting sqref="G27">
    <cfRule type="cellIs" dxfId="42" priority="30" operator="equal">
      <formula>FALSE</formula>
    </cfRule>
    <cfRule type="cellIs" dxfId="41" priority="31" operator="equal">
      <formula>TRUE</formula>
    </cfRule>
  </conditionalFormatting>
  <conditionalFormatting sqref="G29 G43 G51 G66 G34 G38 G46">
    <cfRule type="cellIs" dxfId="40" priority="28" operator="equal">
      <formula>FALSE</formula>
    </cfRule>
    <cfRule type="cellIs" dxfId="39" priority="29" operator="equal">
      <formula>TRUE</formula>
    </cfRule>
  </conditionalFormatting>
  <conditionalFormatting sqref="G72">
    <cfRule type="cellIs" dxfId="38" priority="26" operator="equal">
      <formula>FALSE</formula>
    </cfRule>
    <cfRule type="cellIs" dxfId="37" priority="27" operator="equal">
      <formula>TRUE</formula>
    </cfRule>
  </conditionalFormatting>
  <conditionalFormatting sqref="G30:G31 G60:G61">
    <cfRule type="expression" dxfId="36" priority="25">
      <formula>$G$29=FALSE</formula>
    </cfRule>
  </conditionalFormatting>
  <conditionalFormatting sqref="G28">
    <cfRule type="expression" dxfId="35" priority="24">
      <formula>$G$27=FALSE</formula>
    </cfRule>
  </conditionalFormatting>
  <conditionalFormatting sqref="G39:G40">
    <cfRule type="expression" dxfId="34" priority="23">
      <formula>$G$38=FALSE</formula>
    </cfRule>
  </conditionalFormatting>
  <conditionalFormatting sqref="G47:G48">
    <cfRule type="expression" dxfId="33" priority="22">
      <formula>$G$46=FALSE</formula>
    </cfRule>
  </conditionalFormatting>
  <conditionalFormatting sqref="G9">
    <cfRule type="cellIs" dxfId="32" priority="20" operator="equal">
      <formula>FALSE</formula>
    </cfRule>
    <cfRule type="cellIs" dxfId="31" priority="21" operator="equal">
      <formula>TRUE</formula>
    </cfRule>
  </conditionalFormatting>
  <conditionalFormatting sqref="G10">
    <cfRule type="cellIs" dxfId="30" priority="18" operator="equal">
      <formula>FALSE</formula>
    </cfRule>
    <cfRule type="cellIs" dxfId="29" priority="19" operator="equal">
      <formula>TRUE</formula>
    </cfRule>
  </conditionalFormatting>
  <conditionalFormatting sqref="G35:G37">
    <cfRule type="expression" dxfId="28" priority="17">
      <formula>$G$29=FALSE</formula>
    </cfRule>
  </conditionalFormatting>
  <conditionalFormatting sqref="G44:G45">
    <cfRule type="expression" dxfId="27" priority="16">
      <formula>$G$29=FALSE</formula>
    </cfRule>
  </conditionalFormatting>
  <conditionalFormatting sqref="G52:G53">
    <cfRule type="expression" dxfId="26" priority="15">
      <formula>$G$29=FALSE</formula>
    </cfRule>
  </conditionalFormatting>
  <conditionalFormatting sqref="G44:G45 G52:G53 G60:G61 G35:G37">
    <cfRule type="expression" dxfId="25" priority="14">
      <formula>$G$10="LP"</formula>
    </cfRule>
  </conditionalFormatting>
  <conditionalFormatting sqref="G55:G56">
    <cfRule type="expression" dxfId="24" priority="11">
      <formula>$G$46=FALSE</formula>
    </cfRule>
  </conditionalFormatting>
  <conditionalFormatting sqref="G54">
    <cfRule type="cellIs" dxfId="23" priority="9" operator="equal">
      <formula>FALSE</formula>
    </cfRule>
    <cfRule type="cellIs" dxfId="22" priority="10" operator="equal">
      <formula>TRUE</formula>
    </cfRule>
  </conditionalFormatting>
  <conditionalFormatting sqref="G59">
    <cfRule type="cellIs" dxfId="21" priority="7" operator="equal">
      <formula>FALSE</formula>
    </cfRule>
    <cfRule type="cellIs" dxfId="20" priority="8" operator="equal">
      <formula>TRUE</formula>
    </cfRule>
  </conditionalFormatting>
  <conditionalFormatting sqref="G22">
    <cfRule type="cellIs" dxfId="19" priority="3" operator="equal">
      <formula>FALSE</formula>
    </cfRule>
    <cfRule type="cellIs" dxfId="18" priority="4" operator="equal">
      <formula>TRUE</formula>
    </cfRule>
  </conditionalFormatting>
  <dataValidations count="2">
    <dataValidation type="list" allowBlank="1" showInputMessage="1" showErrorMessage="1" sqref="G66 G51 G43 G34 G46 G29 G9 G38 G72 G27 G54 G59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  <x14:sparkline>
              <xm:f>Inputs!H33:AE33</xm:f>
              <xm:sqref>G33</xm:sqref>
            </x14:sparkline>
            <x14:sparkline>
              <xm:f>Inputs!H41:AE41</xm:f>
              <xm:sqref>G41</xm:sqref>
            </x14:sparkline>
            <x14:sparkline>
              <xm:f>Inputs!H42:AE42</xm:f>
              <xm:sqref>G42</xm:sqref>
            </x14:sparkline>
            <x14:sparkline>
              <xm:f>Inputs!H49:AE49</xm:f>
              <xm:sqref>G49</xm:sqref>
            </x14:sparkline>
            <x14:sparkline>
              <xm:f>Inputs!H50:AE50</xm:f>
              <xm:sqref>G50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Inputs!H64:AE64</xm:f>
              <xm:sqref>G64</xm:sqref>
            </x14:sparkline>
            <x14:sparkline>
              <xm:f>Inputs!H65:AE65</xm:f>
              <xm:sqref>G65</xm:sqref>
            </x14:sparkline>
            <x14:sparkline>
              <xm:f>Inputs!H67:AE67</xm:f>
              <xm:sqref>G67</xm:sqref>
            </x14:sparkline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Inputs!H85:AE85</xm:f>
              <xm:sqref>G85</xm:sqref>
            </x14:sparkline>
            <x14:sparkline>
              <xm:f>Inputs!H82:AE82</xm:f>
              <xm:sqref>G82</xm:sqref>
            </x14:sparkline>
          </x14:sparklines>
        </x14:sparklineGroup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149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160</v>
      </c>
      <c r="E3" s="34" t="s">
        <v>190</v>
      </c>
      <c r="F3" t="s">
        <v>148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184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152</v>
      </c>
      <c r="F6" s="42" t="s">
        <v>90</v>
      </c>
      <c r="G6" s="42" t="s">
        <v>154</v>
      </c>
      <c r="H6" s="42" t="s">
        <v>156</v>
      </c>
      <c r="I6" s="42" t="s">
        <v>157</v>
      </c>
      <c r="J6" s="42" t="s">
        <v>158</v>
      </c>
      <c r="K6" s="42" t="s">
        <v>191</v>
      </c>
      <c r="L6" s="42" t="s">
        <v>192</v>
      </c>
      <c r="M6" s="42" t="s">
        <v>159</v>
      </c>
      <c r="N6" s="42" t="s">
        <v>193</v>
      </c>
      <c r="O6" s="42" t="s">
        <v>194</v>
      </c>
      <c r="P6" s="41" t="s">
        <v>172</v>
      </c>
      <c r="Q6" s="41" t="s">
        <v>196</v>
      </c>
      <c r="R6" s="42" t="s">
        <v>195</v>
      </c>
      <c r="S6" s="41" t="s">
        <v>175</v>
      </c>
      <c r="T6" s="41" t="s">
        <v>176</v>
      </c>
      <c r="U6" s="41" t="s">
        <v>177</v>
      </c>
      <c r="V6" s="41" t="s">
        <v>178</v>
      </c>
      <c r="W6" s="41" t="s">
        <v>197</v>
      </c>
      <c r="X6" s="42" t="s">
        <v>199</v>
      </c>
      <c r="Y6" s="41" t="s">
        <v>185</v>
      </c>
      <c r="Z6" s="42" t="s">
        <v>187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153</v>
      </c>
      <c r="F7" s="49" t="s">
        <v>151</v>
      </c>
      <c r="G7" s="49" t="s">
        <v>155</v>
      </c>
      <c r="H7" s="49" t="s">
        <v>155</v>
      </c>
      <c r="I7" s="49" t="s">
        <v>155</v>
      </c>
      <c r="J7" s="49" t="s">
        <v>155</v>
      </c>
      <c r="K7" s="49" t="s">
        <v>155</v>
      </c>
      <c r="L7" s="49" t="s">
        <v>155</v>
      </c>
      <c r="M7" s="49" t="s">
        <v>155</v>
      </c>
      <c r="N7" s="49" t="s">
        <v>155</v>
      </c>
      <c r="O7" s="49" t="s">
        <v>155</v>
      </c>
      <c r="P7" s="49" t="s">
        <v>179</v>
      </c>
      <c r="Q7" s="49" t="s">
        <v>179</v>
      </c>
      <c r="R7" s="49" t="s">
        <v>179</v>
      </c>
      <c r="S7" s="49" t="s">
        <v>179</v>
      </c>
      <c r="T7" s="49" t="s">
        <v>179</v>
      </c>
      <c r="U7" s="49" t="s">
        <v>179</v>
      </c>
      <c r="V7" s="49" t="s">
        <v>179</v>
      </c>
      <c r="W7" s="49" t="s">
        <v>198</v>
      </c>
      <c r="X7" s="49" t="s">
        <v>198</v>
      </c>
      <c r="Y7" s="49" t="s">
        <v>186</v>
      </c>
      <c r="Z7" s="49" t="s">
        <v>188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189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161</v>
      </c>
      <c r="F10" t="s">
        <v>162</v>
      </c>
      <c r="G10" t="s">
        <v>163</v>
      </c>
      <c r="H10" t="s">
        <v>164</v>
      </c>
      <c r="I10" t="s">
        <v>165</v>
      </c>
      <c r="J10" t="s">
        <v>166</v>
      </c>
      <c r="K10" t="s">
        <v>167</v>
      </c>
      <c r="L10" t="s">
        <v>168</v>
      </c>
      <c r="M10" t="s">
        <v>169</v>
      </c>
      <c r="N10" t="s">
        <v>170</v>
      </c>
      <c r="O10" t="s">
        <v>171</v>
      </c>
      <c r="P10" t="s">
        <v>172</v>
      </c>
      <c r="Q10" t="s">
        <v>173</v>
      </c>
      <c r="R10" t="s">
        <v>174</v>
      </c>
      <c r="S10" t="s">
        <v>175</v>
      </c>
      <c r="T10" t="s">
        <v>176</v>
      </c>
      <c r="U10" t="s">
        <v>177</v>
      </c>
      <c r="V10" t="s">
        <v>178</v>
      </c>
    </row>
    <row r="11" spans="1:71">
      <c r="E11" t="s">
        <v>122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TRANSPOSE(Inputs!H82:AE82)</f>
        <v>1000</v>
      </c>
      <c r="X11" s="47">
        <f>W11-Flows[[#This Row],[Column2]]</f>
        <v>800</v>
      </c>
      <c r="Y11" s="47" cm="1">
        <f t="array" ref="Y11:Y34">TRANSPOSE(Inputs!H85:AE85)</f>
        <v>46.85</v>
      </c>
      <c r="Z11" s="48">
        <f>Y11*Flows[[#This Row],[Column2]]</f>
        <v>9370</v>
      </c>
    </row>
    <row r="12" spans="1:71">
      <c r="E12" t="s">
        <v>123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124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125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126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127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128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129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130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131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132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133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134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135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136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137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138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139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140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141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142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143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144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145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  <x14:sparkline>
              <xm:f>Results!X11:X34</xm:f>
              <xm:sqref>X8</xm:sqref>
            </x14:sparkline>
          </x14:sparklines>
        </x14:sparklineGroup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  <x14:sparkline>
              <xm:f>Results!G11:G34</xm:f>
              <xm:sqref>G8</xm:sqref>
            </x14:sparkline>
            <x14:sparkline>
              <xm:f>Results!H11:H34</xm:f>
              <xm:sqref>H8</xm:sqref>
            </x14:sparkline>
            <x14:sparkline>
              <xm:f>Results!I11:I34</xm:f>
              <xm:sqref>I8</xm:sqref>
            </x14:sparkline>
            <x14:sparkline>
              <xm:f>Results!J11:J34</xm:f>
              <xm:sqref>J8</xm:sqref>
            </x14:sparkline>
            <x14:sparkline>
              <xm:f>Results!K11:K34</xm:f>
              <xm:sqref>K8</xm:sqref>
            </x14:sparkline>
            <x14:sparkline>
              <xm:f>Results!L11:L34</xm:f>
              <xm:sqref>L8</xm:sqref>
            </x14:sparkline>
            <x14:sparkline>
              <xm:f>Results!M11:M34</xm:f>
              <xm:sqref>M8</xm:sqref>
            </x14:sparkline>
            <x14:sparkline>
              <xm:f>Results!N11:N34</xm:f>
              <xm:sqref>N8</xm:sqref>
            </x14:sparkline>
            <x14:sparkline>
              <xm:f>Results!O11:O34</xm:f>
              <xm:sqref>O8</xm:sqref>
            </x14:sparkline>
            <x14:sparkline>
              <xm:f>Results!P11:P34</xm:f>
              <xm:sqref>P8</xm:sqref>
            </x14:sparkline>
            <x14:sparkline>
              <xm:f>Results!Q11:Q34</xm:f>
              <xm:sqref>Q8</xm:sqref>
            </x14:sparkline>
            <x14:sparkline>
              <xm:f>Results!R11:R34</xm:f>
              <xm:sqref>R8</xm:sqref>
            </x14:sparkline>
            <x14:sparkline>
              <xm:f>Results!S11:S34</xm:f>
              <xm:sqref>S8</xm:sqref>
            </x14:sparkline>
            <x14:sparkline>
              <xm:f>Results!T11:T34</xm:f>
              <xm:sqref>T8</xm:sqref>
            </x14:sparkline>
            <x14:sparkline>
              <xm:f>Results!U11:U34</xm:f>
              <xm:sqref>U8</xm:sqref>
            </x14:sparkline>
            <x14:sparkline>
              <xm:f>Results!V11:V34</xm:f>
              <xm:sqref>V8</xm:sqref>
            </x14:sparkline>
            <x14:sparkline>
              <xm:f>Results!Y11:Y34</xm:f>
              <xm:sqref>Y8</xm:sqref>
            </x14:sparkline>
            <x14:sparkline>
              <xm:f>Results!Z11:Z34</xm:f>
              <xm:sqref>Z8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Results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2024-08-06T20:09:44Z</dcterms:modified>
</cp:coreProperties>
</file>