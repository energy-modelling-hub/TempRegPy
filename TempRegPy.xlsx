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GitHub\TempRegPy\"/>
    </mc:Choice>
  </mc:AlternateContent>
  <xr:revisionPtr revIDLastSave="0" documentId="13_ncr:1_{180EFB08-0071-41B5-9496-5CE25F5602B4}" xr6:coauthVersionLast="47" xr6:coauthVersionMax="47" xr10:uidLastSave="{00000000-0000-0000-0000-000000000000}"/>
  <bookViews>
    <workbookView xWindow="-14205" yWindow="-16320" windowWidth="29040" windowHeight="15840" xr2:uid="{EDE72A4E-5E83-4998-A3FD-57974B6FA13E}"/>
  </bookViews>
  <sheets>
    <sheet name="Input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G49" i="1"/>
  <c r="G48" i="1"/>
</calcChain>
</file>

<file path=xl/sharedStrings.xml><?xml version="1.0" encoding="utf-8"?>
<sst xmlns="http://schemas.openxmlformats.org/spreadsheetml/2006/main" count="232" uniqueCount="129">
  <si>
    <t>Glen Canyon Dam Inputs</t>
  </si>
  <si>
    <t>Temperature</t>
  </si>
  <si>
    <t>LMP_values</t>
  </si>
  <si>
    <t>T_RM61_hourly_max_values</t>
  </si>
  <si>
    <t>T_RM61_hourly_min_values</t>
  </si>
  <si>
    <t>dT_hourly_values</t>
  </si>
  <si>
    <t>T_ramp_up_delta</t>
  </si>
  <si>
    <t>T_ramp_down_delta</t>
  </si>
  <si>
    <t>T_RM61_daily</t>
  </si>
  <si>
    <t>dT_daily</t>
  </si>
  <si>
    <t>T_bp_values</t>
  </si>
  <si>
    <t>T_tur_values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</si>
  <si>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</si>
  <si>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</si>
  <si>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</si>
  <si>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</si>
  <si>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</si>
  <si>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</si>
  <si>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</si>
  <si>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</si>
  <si>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</si>
  <si>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</si>
  <si>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</si>
  <si>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</si>
  <si>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</si>
  <si>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</si>
  <si>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</si>
  <si>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</si>
  <si>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</si>
  <si>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</si>
  <si>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</si>
  <si>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</si>
  <si>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</si>
  <si>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</si>
  <si>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</si>
  <si>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</si>
  <si>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Hourly LMPs</t>
  </si>
  <si>
    <t>Python Variable Names</t>
  </si>
  <si>
    <t>Maximum temperature @ RM61 - hourly (°C or °F)</t>
  </si>
  <si>
    <t>Minimum temperature @ RM61 - hourly (°C or °F)</t>
  </si>
  <si>
    <t>Bypass temperature - hourly (°C or °F)</t>
  </si>
  <si>
    <t>Turbine temperature - hourly (°C or °F)</t>
  </si>
  <si>
    <t>Temperature delta between Glen Canyon and RM61 - hourly (°C or °F)</t>
  </si>
  <si>
    <t>Maximum Temperature RampUp rate - hourly</t>
  </si>
  <si>
    <t>Maximum Temperature RampDown rate - hourly</t>
  </si>
  <si>
    <t>Maximum average temperature @ RM61 - daily (°C or °F)</t>
  </si>
  <si>
    <t>Average temperature delta between Glen Canyon and RM61 - daily (°C or °F)</t>
  </si>
  <si>
    <t>Price</t>
  </si>
  <si>
    <t>C_bp_ramp_up</t>
  </si>
  <si>
    <t>C_bp_ramp_down</t>
  </si>
  <si>
    <t>C_tur_ramp_up</t>
  </si>
  <si>
    <t>C_tur_ramp_down</t>
  </si>
  <si>
    <t>C_tot_ramp_up</t>
  </si>
  <si>
    <t>C_tot_ramp_down</t>
  </si>
  <si>
    <t>Bypass release ramp up penalty cost ($/CFS)</t>
  </si>
  <si>
    <t>Bypass release ramp down penalty cost ($/CFS)</t>
  </si>
  <si>
    <t>Turbine release ramp up penalty cost ($/CFS)</t>
  </si>
  <si>
    <t>Turbine release ramp down penalty cost ($/CFS)</t>
  </si>
  <si>
    <t>Total release ramp up penalty cost ($/CFS)</t>
  </si>
  <si>
    <t>Total release ramp down penalty cost ($/CFS)</t>
  </si>
  <si>
    <t>Water</t>
  </si>
  <si>
    <t>Demand_values</t>
  </si>
  <si>
    <t>Demand (MWh)</t>
  </si>
  <si>
    <t>WaterToPowerConversion</t>
  </si>
  <si>
    <t>Water to Power Conversion Factor (MW/CFS)</t>
  </si>
  <si>
    <t>Single input</t>
  </si>
  <si>
    <t>Total release - daily (CFS)</t>
  </si>
  <si>
    <t>Q_tot_daily</t>
  </si>
  <si>
    <t>Q_max_daily_change</t>
  </si>
  <si>
    <t>Maximum change between minimum and maximum release - daily (CFS)</t>
  </si>
  <si>
    <t>Q_bp_ramp_down_max</t>
  </si>
  <si>
    <t>Q_bp_ramp_up_max</t>
  </si>
  <si>
    <t>Q_tur_ramp_down_max</t>
  </si>
  <si>
    <t>Q_tur_ramp_up_max</t>
  </si>
  <si>
    <t>Q_tot_ramp_up_max</t>
  </si>
  <si>
    <t>Q_tot_ramp_down_max</t>
  </si>
  <si>
    <t>Bypass release RampUp rate (CFS/h)</t>
  </si>
  <si>
    <t>Bypass release RampDown rate (CFS/h)</t>
  </si>
  <si>
    <t>Turbine release RampUp rate (CFS/h)</t>
  </si>
  <si>
    <t>Turbine release RampDown rate (CFS/h)</t>
  </si>
  <si>
    <t>Total release RampUp rate (CFS/h)</t>
  </si>
  <si>
    <t>Total release RampDown rate (CFS/h)</t>
  </si>
  <si>
    <t>Q_bp_min_values</t>
  </si>
  <si>
    <t>Q_bp_max_values</t>
  </si>
  <si>
    <t>Q_tur_min_values</t>
  </si>
  <si>
    <t>Q_tur_max_values</t>
  </si>
  <si>
    <t>Q_tot_min_values</t>
  </si>
  <si>
    <t>Q_tot_max_values</t>
  </si>
  <si>
    <t>Bypass release minimum - hourly (CFS)</t>
  </si>
  <si>
    <t>Bypass release maximum - hourly (CFS)</t>
  </si>
  <si>
    <t>Turbine release minimum - hourly (CFS)</t>
  </si>
  <si>
    <t>Turbine release maximum - hourly (CFS)</t>
  </si>
  <si>
    <t>Total release minimum - hourly (CFS)</t>
  </si>
  <si>
    <t>Total release maximum - hourly (CFS)</t>
  </si>
  <si>
    <t>Power</t>
  </si>
  <si>
    <t>Power Turbine - min (MW)</t>
  </si>
  <si>
    <t>Power Turbine - max (MW)</t>
  </si>
  <si>
    <t>P_tur_min_values</t>
  </si>
  <si>
    <t>P_tur_max_values</t>
  </si>
  <si>
    <t>python_path</t>
  </si>
  <si>
    <t>Python Environment Path</t>
  </si>
  <si>
    <t>Simulation options</t>
  </si>
  <si>
    <t>Bypass Ramping Constraint</t>
  </si>
  <si>
    <t>Turbine Ramping Constraint</t>
  </si>
  <si>
    <t>cnstr_tur_ramp</t>
  </si>
  <si>
    <t>cnstr_bp_ramp</t>
  </si>
  <si>
    <t>Total Release Ramping Constraint</t>
  </si>
  <si>
    <t>cnstr_tot_ramp</t>
  </si>
  <si>
    <t>Maximum daily operating range</t>
  </si>
  <si>
    <t>cnstr_oper_range</t>
  </si>
  <si>
    <t>cnstr_bp_t01t24</t>
  </si>
  <si>
    <t>cnstr_tur_t01t24</t>
  </si>
  <si>
    <t>cnstr_tot_t01t24</t>
  </si>
  <si>
    <t>cnstr_temp_t01t24</t>
  </si>
  <si>
    <t>Bypass cycling constraint t01=t24</t>
  </si>
  <si>
    <t>Turbine cycling constraint t01=t24</t>
  </si>
  <si>
    <t>Total release cycling constraint t01=t24</t>
  </si>
  <si>
    <t>Temperature cycling constraint t01=t24</t>
  </si>
  <si>
    <t>cnstr_temp_convex_hull</t>
  </si>
  <si>
    <t>Temperature ramping with Convex Hull Approximation</t>
  </si>
  <si>
    <t>sim_folder</t>
  </si>
  <si>
    <t>Simulation Folder Name</t>
  </si>
  <si>
    <t>Info</t>
  </si>
  <si>
    <t>Colourcodes</t>
  </si>
  <si>
    <t>Sheet info</t>
  </si>
  <si>
    <t>Calculations</t>
  </si>
  <si>
    <t>Inputs</t>
  </si>
  <si>
    <t>Helpers</t>
  </si>
  <si>
    <t>Test2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</si>
</sst>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.8000000000000007"/>
      <color rgb="FFBCBEC4"/>
      <name val="JetBrains Mono"/>
      <family val="3"/>
    </font>
    <font>
      <sz val="8"/>
      <name val="Aptos Narrow"/>
      <family val="2"/>
      <scheme val="minor"/>
    </font>
    <font>
      <sz val="11"/>
      <color theme="3" tint="0.2499465926084170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3"/>
      <color theme="4" tint="0.79998168889431442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</borders>
  <cellStyleXfs count="9">
    <xf numFmtId="0" fontId="0" fillId="0" borderId="0"/>
    <xf numFmtId="0" fontId="1" fillId="0" borderId="4" applyNumberFormat="0" applyFill="0" applyAlignment="0" applyProtection="0"/>
    <xf numFmtId="0" fontId="2" fillId="2" borderId="1" applyNumberFormat="0" applyAlignment="0" applyProtection="0"/>
    <xf numFmtId="0" fontId="3" fillId="0" borderId="2" applyNumberFormat="0" applyFill="0" applyAlignment="0" applyProtection="0"/>
    <xf numFmtId="0" fontId="4" fillId="3" borderId="3" applyNumberFormat="0" applyAlignment="0" applyProtection="0"/>
    <xf numFmtId="0" fontId="5" fillId="0" borderId="0" applyNumberFormat="0" applyFill="0" applyBorder="0" applyAlignment="0" applyProtection="0"/>
    <xf numFmtId="0" fontId="8" fillId="4" borderId="3" applyNumberFormat="0" applyAlignment="0" applyProtection="0"/>
    <xf numFmtId="0" fontId="12" fillId="0" borderId="5" applyNumberFormat="0" applyFill="0" applyAlignment="0" applyProtection="0"/>
    <xf numFmtId="0" fontId="13" fillId="6" borderId="0" applyNumberFormat="0" applyBorder="0" applyAlignment="0" applyProtection="0"/>
  </cellStyleXfs>
  <cellXfs count="29">
    <xf numFmtId="0" fontId="0" fillId="0" borderId="0" xfId="0"/>
    <xf numFmtId="0" fontId="2" fillId="2" borderId="1" xfId="2"/>
    <xf numFmtId="0" fontId="6" fillId="0" borderId="0" xfId="0" applyFont="1" applyAlignment="1">
      <alignment vertical="center"/>
    </xf>
    <xf numFmtId="0" fontId="3" fillId="0" borderId="2" xfId="3" applyAlignment="1">
      <alignment horizontal="center"/>
    </xf>
    <xf numFmtId="0" fontId="4" fillId="3" borderId="3" xfId="4"/>
    <xf numFmtId="0" fontId="4" fillId="3" borderId="3" xfId="4" applyAlignment="1">
      <alignment vertical="center"/>
    </xf>
    <xf numFmtId="0" fontId="1" fillId="0" borderId="2" xfId="1" applyBorder="1"/>
    <xf numFmtId="0" fontId="5" fillId="0" borderId="2" xfId="5" applyFill="1" applyBorder="1"/>
    <xf numFmtId="3" fontId="4" fillId="3" borderId="3" xfId="4" applyNumberFormat="1"/>
    <xf numFmtId="164" fontId="4" fillId="3" borderId="3" xfId="4" applyNumberFormat="1"/>
    <xf numFmtId="3" fontId="8" fillId="4" borderId="3" xfId="6" applyNumberFormat="1"/>
    <xf numFmtId="164" fontId="9" fillId="4" borderId="3" xfId="4" applyNumberFormat="1" applyFont="1" applyFill="1"/>
    <xf numFmtId="164" fontId="8" fillId="4" borderId="3" xfId="6" applyNumberFormat="1"/>
    <xf numFmtId="0" fontId="10" fillId="5" borderId="2" xfId="5" applyFont="1" applyFill="1" applyBorder="1"/>
    <xf numFmtId="0" fontId="11" fillId="5" borderId="2" xfId="3" applyFont="1" applyFill="1" applyAlignment="1">
      <alignment horizontal="center"/>
    </xf>
    <xf numFmtId="0" fontId="0" fillId="0" borderId="0" xfId="0" applyFill="1"/>
    <xf numFmtId="0" fontId="0" fillId="0" borderId="0" xfId="0" applyFill="1" applyBorder="1"/>
    <xf numFmtId="0" fontId="6" fillId="0" borderId="0" xfId="0" applyFont="1" applyFill="1" applyBorder="1" applyAlignment="1">
      <alignment vertical="center"/>
    </xf>
    <xf numFmtId="0" fontId="8" fillId="0" borderId="0" xfId="6" applyFill="1" applyBorder="1"/>
    <xf numFmtId="0" fontId="13" fillId="6" borderId="0" xfId="8"/>
    <xf numFmtId="0" fontId="13" fillId="6" borderId="0" xfId="8" applyBorder="1" applyAlignment="1">
      <alignment horizontal="center"/>
    </xf>
    <xf numFmtId="0" fontId="0" fillId="0" borderId="0" xfId="0" applyAlignment="1">
      <alignment horizontal="left" indent="1"/>
    </xf>
    <xf numFmtId="0" fontId="12" fillId="0" borderId="5" xfId="7" applyFill="1"/>
    <xf numFmtId="0" fontId="12" fillId="0" borderId="5" xfId="7" applyAlignment="1">
      <alignment horizontal="left"/>
    </xf>
    <xf numFmtId="0" fontId="9" fillId="4" borderId="0" xfId="0" applyFont="1" applyFill="1" applyAlignment="1">
      <alignment horizontal="left" indent="1"/>
    </xf>
    <xf numFmtId="0" fontId="8" fillId="4" borderId="6" xfId="6" applyBorder="1"/>
    <xf numFmtId="0" fontId="4" fillId="3" borderId="6" xfId="4" applyBorder="1"/>
    <xf numFmtId="0" fontId="4" fillId="0" borderId="0" xfId="4" applyFill="1" applyBorder="1"/>
    <xf numFmtId="0" fontId="13" fillId="0" borderId="0" xfId="8" applyFill="1"/>
  </cellXfs>
  <cellStyles count="9">
    <cellStyle name="Calculation" xfId="6" builtinId="22" customBuiltin="1"/>
    <cellStyle name="Heading 1" xfId="2" builtinId="16" customBuiltin="1"/>
    <cellStyle name="Heading 2" xfId="3" builtinId="17"/>
    <cellStyle name="Heading 3" xfId="7" builtinId="18"/>
    <cellStyle name="Input" xfId="4" builtinId="20" customBuiltin="1"/>
    <cellStyle name="Neutral" xfId="8" builtinId="28"/>
    <cellStyle name="Normal" xfId="0" builtinId="0"/>
    <cellStyle name="Title" xfId="1" builtinId="15" customBuiltin="1"/>
    <cellStyle name="Warning Text" xfId="5" builtinId="11"/>
  </cellStyles>
  <dxfs count="7">
    <dxf>
      <fill>
        <patternFill>
          <bgColor theme="9" tint="0.79998168889431442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3731-CB62-44B0-AADB-81B3396EA9EB}">
  <dimension ref="D1:AD59"/>
  <sheetViews>
    <sheetView tabSelected="1" topLeftCell="D6" workbookViewId="0">
      <selection activeCell="N18" sqref="N18"/>
    </sheetView>
  </sheetViews>
  <sheetFormatPr defaultRowHeight="15"/>
  <cols>
    <col min="1" max="3" width="1.7109375" customWidth="1"/>
    <col min="4" max="4" width="68" bestFit="1" customWidth="1"/>
    <col min="5" max="5" width="27.5703125" customWidth="1"/>
    <col min="6" max="6" width="13.140625" bestFit="1" customWidth="1"/>
  </cols>
  <sheetData>
    <row r="1" spans="4:30" ht="24.75" thickBot="1">
      <c r="D1" s="6" t="s">
        <v>0</v>
      </c>
      <c r="E1" s="13" t="s">
        <v>37</v>
      </c>
      <c r="F1" s="14" t="s">
        <v>65</v>
      </c>
      <c r="G1" s="14" t="s">
        <v>12</v>
      </c>
      <c r="H1" s="14" t="s">
        <v>13</v>
      </c>
      <c r="I1" s="14" t="s">
        <v>14</v>
      </c>
      <c r="J1" s="14" t="s">
        <v>15</v>
      </c>
      <c r="K1" s="14" t="s">
        <v>16</v>
      </c>
      <c r="L1" s="14" t="s">
        <v>17</v>
      </c>
      <c r="M1" s="14" t="s">
        <v>18</v>
      </c>
      <c r="N1" s="14" t="s">
        <v>19</v>
      </c>
      <c r="O1" s="14" t="s">
        <v>20</v>
      </c>
      <c r="P1" s="14" t="s">
        <v>21</v>
      </c>
      <c r="Q1" s="14" t="s">
        <v>22</v>
      </c>
      <c r="R1" s="14" t="s">
        <v>23</v>
      </c>
      <c r="S1" s="14" t="s">
        <v>24</v>
      </c>
      <c r="T1" s="14" t="s">
        <v>25</v>
      </c>
      <c r="U1" s="14" t="s">
        <v>26</v>
      </c>
      <c r="V1" s="14" t="s">
        <v>27</v>
      </c>
      <c r="W1" s="14" t="s">
        <v>28</v>
      </c>
      <c r="X1" s="14" t="s">
        <v>29</v>
      </c>
      <c r="Y1" s="14" t="s">
        <v>30</v>
      </c>
      <c r="Z1" s="14" t="s">
        <v>31</v>
      </c>
      <c r="AA1" s="14" t="s">
        <v>32</v>
      </c>
      <c r="AB1" s="14" t="s">
        <v>33</v>
      </c>
      <c r="AC1" s="14" t="s">
        <v>34</v>
      </c>
      <c r="AD1" s="14" t="s">
        <v>35</v>
      </c>
    </row>
    <row r="2" spans="4:30" s="15" customFormat="1" ht="15.75" customHeight="1" thickTop="1" thickBot="1">
      <c r="D2" s="1" t="s">
        <v>124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4:30" ht="15.75" customHeight="1" thickTop="1">
      <c r="D3" t="s">
        <v>123</v>
      </c>
      <c r="F3" s="25" t="s">
        <v>125</v>
      </c>
      <c r="G3" s="26" t="s">
        <v>126</v>
      </c>
      <c r="H3" s="19" t="s">
        <v>127</v>
      </c>
      <c r="I3" s="2" t="s">
        <v>122</v>
      </c>
      <c r="AD3" s="19" t="b">
        <v>1</v>
      </c>
    </row>
    <row r="4" spans="4:30" s="15" customFormat="1" ht="15.75" customHeight="1">
      <c r="F4" s="18"/>
      <c r="G4" s="27"/>
      <c r="H4" s="28"/>
      <c r="AD4" s="20" t="b">
        <v>0</v>
      </c>
    </row>
    <row r="5" spans="4:30" ht="15.75" customHeight="1" thickBot="1">
      <c r="D5" s="1" t="s">
        <v>101</v>
      </c>
      <c r="E5" s="7" t="s">
        <v>37</v>
      </c>
      <c r="F5" s="3" t="s">
        <v>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4:30" ht="15.75" customHeight="1" thickTop="1">
      <c r="D6" t="s">
        <v>100</v>
      </c>
      <c r="E6" s="2" t="s">
        <v>99</v>
      </c>
      <c r="F6" s="8"/>
    </row>
    <row r="7" spans="4:30" ht="15.75" customHeight="1">
      <c r="D7" t="s">
        <v>121</v>
      </c>
      <c r="E7" s="2" t="s">
        <v>120</v>
      </c>
      <c r="F7" s="4" t="s">
        <v>128</v>
      </c>
    </row>
    <row r="8" spans="4:30" ht="15.75" customHeight="1">
      <c r="D8" s="16"/>
      <c r="E8" s="17"/>
      <c r="F8" s="18"/>
      <c r="G8" s="16"/>
      <c r="H8" s="16"/>
    </row>
    <row r="10" spans="4:30" ht="20.25" thickBot="1">
      <c r="D10" s="1" t="s">
        <v>60</v>
      </c>
      <c r="E10" s="7" t="s">
        <v>37</v>
      </c>
      <c r="F10" s="3" t="s">
        <v>65</v>
      </c>
      <c r="G10" s="3" t="s">
        <v>12</v>
      </c>
      <c r="H10" s="3" t="s">
        <v>13</v>
      </c>
      <c r="I10" s="3" t="s">
        <v>14</v>
      </c>
      <c r="J10" s="3" t="s">
        <v>15</v>
      </c>
      <c r="K10" s="3" t="s">
        <v>16</v>
      </c>
      <c r="L10" s="3" t="s">
        <v>17</v>
      </c>
      <c r="M10" s="3" t="s">
        <v>18</v>
      </c>
      <c r="N10" s="3" t="s">
        <v>19</v>
      </c>
      <c r="O10" s="3" t="s">
        <v>20</v>
      </c>
      <c r="P10" s="3" t="s">
        <v>21</v>
      </c>
      <c r="Q10" s="3" t="s">
        <v>22</v>
      </c>
      <c r="R10" s="3" t="s">
        <v>23</v>
      </c>
      <c r="S10" s="3" t="s">
        <v>24</v>
      </c>
      <c r="T10" s="3" t="s">
        <v>25</v>
      </c>
      <c r="U10" s="3" t="s">
        <v>26</v>
      </c>
      <c r="V10" s="3" t="s">
        <v>27</v>
      </c>
      <c r="W10" s="3" t="s">
        <v>28</v>
      </c>
      <c r="X10" s="3" t="s">
        <v>29</v>
      </c>
      <c r="Y10" s="3" t="s">
        <v>30</v>
      </c>
      <c r="Z10" s="3" t="s">
        <v>31</v>
      </c>
      <c r="AA10" s="3" t="s">
        <v>32</v>
      </c>
      <c r="AB10" s="3" t="s">
        <v>33</v>
      </c>
      <c r="AC10" s="3" t="s">
        <v>34</v>
      </c>
      <c r="AD10" s="3" t="s">
        <v>35</v>
      </c>
    </row>
    <row r="11" spans="4:30" ht="15.75" thickTop="1">
      <c r="D11" s="21" t="s">
        <v>66</v>
      </c>
      <c r="E11" s="2" t="s">
        <v>67</v>
      </c>
      <c r="F11" s="8">
        <v>235003</v>
      </c>
    </row>
    <row r="12" spans="4:30" ht="15.75" customHeight="1" thickBot="1">
      <c r="D12" s="22" t="s">
        <v>108</v>
      </c>
      <c r="E12" s="2" t="s">
        <v>109</v>
      </c>
      <c r="F12" s="4" t="b">
        <v>1</v>
      </c>
    </row>
    <row r="13" spans="4:30">
      <c r="D13" s="21" t="s">
        <v>69</v>
      </c>
      <c r="E13" s="2" t="s">
        <v>68</v>
      </c>
      <c r="F13" s="8">
        <v>8000</v>
      </c>
    </row>
    <row r="14" spans="4:30" ht="15.75" customHeight="1" thickBot="1">
      <c r="D14" s="22" t="s">
        <v>102</v>
      </c>
      <c r="E14" s="2" t="s">
        <v>105</v>
      </c>
      <c r="F14" s="4" t="b">
        <v>1</v>
      </c>
    </row>
    <row r="15" spans="4:30">
      <c r="D15" s="21" t="s">
        <v>76</v>
      </c>
      <c r="E15" s="2" t="s">
        <v>70</v>
      </c>
      <c r="F15" s="8">
        <v>15000</v>
      </c>
    </row>
    <row r="16" spans="4:30">
      <c r="D16" s="21" t="s">
        <v>77</v>
      </c>
      <c r="E16" s="2" t="s">
        <v>71</v>
      </c>
      <c r="F16" s="8">
        <v>15000</v>
      </c>
    </row>
    <row r="17" spans="4:30">
      <c r="D17" s="21" t="s">
        <v>88</v>
      </c>
      <c r="E17" s="2" t="s">
        <v>82</v>
      </c>
      <c r="F17" s="2"/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5000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</row>
    <row r="18" spans="4:30">
      <c r="D18" s="21" t="s">
        <v>89</v>
      </c>
      <c r="E18" s="2" t="s">
        <v>83</v>
      </c>
      <c r="F18" s="2"/>
      <c r="G18" s="8">
        <v>15000</v>
      </c>
      <c r="H18" s="8">
        <v>15000</v>
      </c>
      <c r="I18" s="8">
        <v>15000</v>
      </c>
      <c r="J18" s="8">
        <v>15000</v>
      </c>
      <c r="K18" s="8">
        <v>15000</v>
      </c>
      <c r="L18" s="8">
        <v>15000</v>
      </c>
      <c r="M18" s="8">
        <v>15000</v>
      </c>
      <c r="N18" s="8">
        <v>10000</v>
      </c>
      <c r="O18" s="8">
        <v>15000</v>
      </c>
      <c r="P18" s="8">
        <v>15000</v>
      </c>
      <c r="Q18" s="8">
        <v>15000</v>
      </c>
      <c r="R18" s="8">
        <v>15000</v>
      </c>
      <c r="S18" s="8">
        <v>15000</v>
      </c>
      <c r="T18" s="8">
        <v>15000</v>
      </c>
      <c r="U18" s="8">
        <v>15000</v>
      </c>
      <c r="V18" s="8">
        <v>15000</v>
      </c>
      <c r="W18" s="8">
        <v>15000</v>
      </c>
      <c r="X18" s="8">
        <v>15000</v>
      </c>
      <c r="Y18" s="8">
        <v>15000</v>
      </c>
      <c r="Z18" s="8">
        <v>15000</v>
      </c>
      <c r="AA18" s="8">
        <v>15000</v>
      </c>
      <c r="AB18" s="8">
        <v>15000</v>
      </c>
      <c r="AC18" s="8">
        <v>15000</v>
      </c>
      <c r="AD18" s="8">
        <v>15000</v>
      </c>
    </row>
    <row r="19" spans="4:30" ht="15.75" customHeight="1" thickBot="1">
      <c r="D19" s="22" t="s">
        <v>114</v>
      </c>
      <c r="E19" s="2" t="s">
        <v>110</v>
      </c>
      <c r="F19" s="4" t="b">
        <v>1</v>
      </c>
    </row>
    <row r="20" spans="4:30" ht="15.75" customHeight="1" thickBot="1">
      <c r="D20" s="22" t="s">
        <v>103</v>
      </c>
      <c r="E20" s="2" t="s">
        <v>104</v>
      </c>
      <c r="F20" s="4" t="b">
        <v>1</v>
      </c>
    </row>
    <row r="21" spans="4:30">
      <c r="D21" s="21" t="s">
        <v>78</v>
      </c>
      <c r="E21" s="2" t="s">
        <v>72</v>
      </c>
      <c r="F21" s="8">
        <v>4000</v>
      </c>
    </row>
    <row r="22" spans="4:30">
      <c r="D22" s="21" t="s">
        <v>79</v>
      </c>
      <c r="E22" s="2" t="s">
        <v>73</v>
      </c>
      <c r="F22" s="8">
        <v>25000</v>
      </c>
    </row>
    <row r="23" spans="4:30">
      <c r="D23" s="21" t="s">
        <v>90</v>
      </c>
      <c r="E23" s="2" t="s">
        <v>84</v>
      </c>
      <c r="F23" s="2"/>
      <c r="G23" s="8">
        <v>2400</v>
      </c>
      <c r="H23" s="8">
        <v>2400</v>
      </c>
      <c r="I23" s="8">
        <v>2400</v>
      </c>
      <c r="J23" s="8">
        <v>2400</v>
      </c>
      <c r="K23" s="8">
        <v>2400</v>
      </c>
      <c r="L23" s="8">
        <v>2400</v>
      </c>
      <c r="M23" s="8">
        <v>2400</v>
      </c>
      <c r="N23" s="8">
        <v>2400</v>
      </c>
      <c r="O23" s="8">
        <v>2400</v>
      </c>
      <c r="P23" s="8">
        <v>2400</v>
      </c>
      <c r="Q23" s="8">
        <v>2400</v>
      </c>
      <c r="R23" s="8">
        <v>2400</v>
      </c>
      <c r="S23" s="8">
        <v>2400</v>
      </c>
      <c r="T23" s="8">
        <v>2400</v>
      </c>
      <c r="U23" s="8">
        <v>2400</v>
      </c>
      <c r="V23" s="8">
        <v>2400</v>
      </c>
      <c r="W23" s="8">
        <v>2400</v>
      </c>
      <c r="X23" s="8">
        <v>2400</v>
      </c>
      <c r="Y23" s="8">
        <v>2400</v>
      </c>
      <c r="Z23" s="8">
        <v>2400</v>
      </c>
      <c r="AA23" s="8">
        <v>2400</v>
      </c>
      <c r="AB23" s="8">
        <v>2400</v>
      </c>
      <c r="AC23" s="8">
        <v>2400</v>
      </c>
      <c r="AD23" s="8">
        <v>2400</v>
      </c>
    </row>
    <row r="24" spans="4:30">
      <c r="D24" s="21" t="s">
        <v>91</v>
      </c>
      <c r="E24" s="2" t="s">
        <v>85</v>
      </c>
      <c r="F24" s="2"/>
      <c r="G24" s="8">
        <v>25000</v>
      </c>
      <c r="H24" s="8">
        <v>25000</v>
      </c>
      <c r="I24" s="8">
        <v>25000</v>
      </c>
      <c r="J24" s="8">
        <v>25000</v>
      </c>
      <c r="K24" s="8">
        <v>25000</v>
      </c>
      <c r="L24" s="8">
        <v>25000</v>
      </c>
      <c r="M24" s="8">
        <v>25000</v>
      </c>
      <c r="N24" s="8">
        <v>25000</v>
      </c>
      <c r="O24" s="8">
        <v>25000</v>
      </c>
      <c r="P24" s="8">
        <v>25000</v>
      </c>
      <c r="Q24" s="8">
        <v>25000</v>
      </c>
      <c r="R24" s="8">
        <v>25000</v>
      </c>
      <c r="S24" s="8">
        <v>25000</v>
      </c>
      <c r="T24" s="8">
        <v>25000</v>
      </c>
      <c r="U24" s="8">
        <v>25000</v>
      </c>
      <c r="V24" s="8">
        <v>25000</v>
      </c>
      <c r="W24" s="8">
        <v>25000</v>
      </c>
      <c r="X24" s="8">
        <v>25000</v>
      </c>
      <c r="Y24" s="8">
        <v>25000</v>
      </c>
      <c r="Z24" s="8">
        <v>25000</v>
      </c>
      <c r="AA24" s="8">
        <v>25000</v>
      </c>
      <c r="AB24" s="8">
        <v>25000</v>
      </c>
      <c r="AC24" s="8">
        <v>25000</v>
      </c>
      <c r="AD24" s="8">
        <v>25000</v>
      </c>
    </row>
    <row r="25" spans="4:30" ht="15.75" customHeight="1" thickBot="1">
      <c r="D25" s="22" t="s">
        <v>115</v>
      </c>
      <c r="E25" s="2" t="s">
        <v>111</v>
      </c>
      <c r="F25" s="4" t="b">
        <v>1</v>
      </c>
    </row>
    <row r="26" spans="4:30" ht="15.75" customHeight="1" thickBot="1">
      <c r="D26" s="22" t="s">
        <v>106</v>
      </c>
      <c r="E26" s="2" t="s">
        <v>107</v>
      </c>
      <c r="F26" s="4" t="b">
        <v>1</v>
      </c>
    </row>
    <row r="27" spans="4:30">
      <c r="D27" s="21" t="s">
        <v>80</v>
      </c>
      <c r="E27" s="2" t="s">
        <v>74</v>
      </c>
      <c r="F27" s="8">
        <v>4000</v>
      </c>
    </row>
    <row r="28" spans="4:30">
      <c r="D28" s="21" t="s">
        <v>81</v>
      </c>
      <c r="E28" s="2" t="s">
        <v>75</v>
      </c>
      <c r="F28" s="8">
        <v>2500</v>
      </c>
    </row>
    <row r="29" spans="4:30">
      <c r="D29" s="21" t="s">
        <v>92</v>
      </c>
      <c r="E29" s="2" t="s">
        <v>86</v>
      </c>
      <c r="F29" s="2"/>
      <c r="G29" s="8">
        <v>7000</v>
      </c>
      <c r="H29" s="8">
        <v>7000</v>
      </c>
      <c r="I29" s="8">
        <v>7000</v>
      </c>
      <c r="J29" s="8">
        <v>7000</v>
      </c>
      <c r="K29" s="8">
        <v>7000</v>
      </c>
      <c r="L29" s="8">
        <v>7000</v>
      </c>
      <c r="M29" s="8">
        <v>7000</v>
      </c>
      <c r="N29" s="8">
        <v>7000</v>
      </c>
      <c r="O29" s="8">
        <v>7000</v>
      </c>
      <c r="P29" s="8">
        <v>7000</v>
      </c>
      <c r="Q29" s="8">
        <v>7000</v>
      </c>
      <c r="R29" s="8">
        <v>7000</v>
      </c>
      <c r="S29" s="8">
        <v>7000</v>
      </c>
      <c r="T29" s="8">
        <v>7000</v>
      </c>
      <c r="U29" s="8">
        <v>7000</v>
      </c>
      <c r="V29" s="8">
        <v>7000</v>
      </c>
      <c r="W29" s="8">
        <v>7000</v>
      </c>
      <c r="X29" s="8">
        <v>7000</v>
      </c>
      <c r="Y29" s="8">
        <v>7000</v>
      </c>
      <c r="Z29" s="8">
        <v>7000</v>
      </c>
      <c r="AA29" s="8">
        <v>7000</v>
      </c>
      <c r="AB29" s="8">
        <v>7000</v>
      </c>
      <c r="AC29" s="8">
        <v>7000</v>
      </c>
      <c r="AD29" s="8">
        <v>7000</v>
      </c>
    </row>
    <row r="30" spans="4:30">
      <c r="D30" s="21" t="s">
        <v>93</v>
      </c>
      <c r="E30" s="2" t="s">
        <v>87</v>
      </c>
      <c r="F30" s="2"/>
      <c r="G30" s="8">
        <v>12100</v>
      </c>
      <c r="H30" s="8">
        <v>12100</v>
      </c>
      <c r="I30" s="8">
        <v>12100</v>
      </c>
      <c r="J30" s="8">
        <v>12100</v>
      </c>
      <c r="K30" s="8">
        <v>12100</v>
      </c>
      <c r="L30" s="8">
        <v>12100</v>
      </c>
      <c r="M30" s="8">
        <v>12100</v>
      </c>
      <c r="N30" s="8">
        <v>12100</v>
      </c>
      <c r="O30" s="8">
        <v>12100</v>
      </c>
      <c r="P30" s="8">
        <v>12100</v>
      </c>
      <c r="Q30" s="8">
        <v>12100</v>
      </c>
      <c r="R30" s="8">
        <v>12100</v>
      </c>
      <c r="S30" s="8">
        <v>12100</v>
      </c>
      <c r="T30" s="8">
        <v>12100</v>
      </c>
      <c r="U30" s="8">
        <v>12100</v>
      </c>
      <c r="V30" s="8">
        <v>12100</v>
      </c>
      <c r="W30" s="8">
        <v>12100</v>
      </c>
      <c r="X30" s="8">
        <v>12100</v>
      </c>
      <c r="Y30" s="8">
        <v>12100</v>
      </c>
      <c r="Z30" s="8">
        <v>12100</v>
      </c>
      <c r="AA30" s="8">
        <v>12100</v>
      </c>
      <c r="AB30" s="8">
        <v>12100</v>
      </c>
      <c r="AC30" s="8">
        <v>12100</v>
      </c>
      <c r="AD30" s="8">
        <v>12100</v>
      </c>
    </row>
    <row r="31" spans="4:30" ht="15.75" customHeight="1" thickBot="1">
      <c r="D31" s="22" t="s">
        <v>116</v>
      </c>
      <c r="E31" s="2" t="s">
        <v>112</v>
      </c>
      <c r="F31" s="4" t="b">
        <v>1</v>
      </c>
    </row>
    <row r="33" spans="4:30" ht="20.25" thickBot="1">
      <c r="D33" s="1" t="s">
        <v>1</v>
      </c>
      <c r="E33" s="7" t="s">
        <v>37</v>
      </c>
      <c r="F33" s="7"/>
      <c r="G33" s="3" t="s">
        <v>12</v>
      </c>
      <c r="H33" s="3" t="s">
        <v>13</v>
      </c>
      <c r="I33" s="3" t="s">
        <v>14</v>
      </c>
      <c r="J33" s="3" t="s">
        <v>15</v>
      </c>
      <c r="K33" s="3" t="s">
        <v>16</v>
      </c>
      <c r="L33" s="3" t="s">
        <v>17</v>
      </c>
      <c r="M33" s="3" t="s">
        <v>18</v>
      </c>
      <c r="N33" s="3" t="s">
        <v>19</v>
      </c>
      <c r="O33" s="3" t="s">
        <v>20</v>
      </c>
      <c r="P33" s="3" t="s">
        <v>21</v>
      </c>
      <c r="Q33" s="3" t="s">
        <v>22</v>
      </c>
      <c r="R33" s="3" t="s">
        <v>23</v>
      </c>
      <c r="S33" s="3" t="s">
        <v>24</v>
      </c>
      <c r="T33" s="3" t="s">
        <v>25</v>
      </c>
      <c r="U33" s="3" t="s">
        <v>26</v>
      </c>
      <c r="V33" s="3" t="s">
        <v>27</v>
      </c>
      <c r="W33" s="3" t="s">
        <v>28</v>
      </c>
      <c r="X33" s="3" t="s">
        <v>29</v>
      </c>
      <c r="Y33" s="3" t="s">
        <v>30</v>
      </c>
      <c r="Z33" s="3" t="s">
        <v>31</v>
      </c>
      <c r="AA33" s="3" t="s">
        <v>32</v>
      </c>
      <c r="AB33" s="3" t="s">
        <v>33</v>
      </c>
      <c r="AC33" s="3" t="s">
        <v>34</v>
      </c>
      <c r="AD33" s="3" t="s">
        <v>35</v>
      </c>
    </row>
    <row r="34" spans="4:30" ht="15.75" thickTop="1">
      <c r="D34" s="21" t="s">
        <v>40</v>
      </c>
      <c r="E34" s="2" t="s">
        <v>10</v>
      </c>
      <c r="F34" s="2"/>
      <c r="G34" s="9">
        <v>7.5</v>
      </c>
      <c r="H34" s="9">
        <v>7.5</v>
      </c>
      <c r="I34" s="9">
        <v>7.5</v>
      </c>
      <c r="J34" s="9">
        <v>7.5</v>
      </c>
      <c r="K34" s="9">
        <v>7.5</v>
      </c>
      <c r="L34" s="9">
        <v>7.5</v>
      </c>
      <c r="M34" s="9">
        <v>7.5</v>
      </c>
      <c r="N34" s="9">
        <v>7.5</v>
      </c>
      <c r="O34" s="9">
        <v>7.5</v>
      </c>
      <c r="P34" s="9">
        <v>7.5</v>
      </c>
      <c r="Q34" s="9">
        <v>7.5</v>
      </c>
      <c r="R34" s="9">
        <v>7.5</v>
      </c>
      <c r="S34" s="9">
        <v>7.5</v>
      </c>
      <c r="T34" s="9">
        <v>7.5</v>
      </c>
      <c r="U34" s="9">
        <v>7.5</v>
      </c>
      <c r="V34" s="9">
        <v>7.5</v>
      </c>
      <c r="W34" s="9">
        <v>7.5</v>
      </c>
      <c r="X34" s="9">
        <v>7.5</v>
      </c>
      <c r="Y34" s="9">
        <v>7.5</v>
      </c>
      <c r="Z34" s="9">
        <v>7.5</v>
      </c>
      <c r="AA34" s="9">
        <v>7.5</v>
      </c>
      <c r="AB34" s="9">
        <v>7.5</v>
      </c>
      <c r="AC34" s="9">
        <v>7.5</v>
      </c>
      <c r="AD34" s="9">
        <v>7.5</v>
      </c>
    </row>
    <row r="35" spans="4:30">
      <c r="D35" s="21" t="s">
        <v>41</v>
      </c>
      <c r="E35" s="2" t="s">
        <v>11</v>
      </c>
      <c r="F35" s="2"/>
      <c r="G35" s="9">
        <v>15.5</v>
      </c>
      <c r="H35" s="9">
        <v>15.5</v>
      </c>
      <c r="I35" s="9">
        <v>15.5</v>
      </c>
      <c r="J35" s="9">
        <v>15.5</v>
      </c>
      <c r="K35" s="9">
        <v>15.5</v>
      </c>
      <c r="L35" s="9">
        <v>15.5</v>
      </c>
      <c r="M35" s="9">
        <v>15.5</v>
      </c>
      <c r="N35" s="9">
        <v>15.5</v>
      </c>
      <c r="O35" s="9">
        <v>15.5</v>
      </c>
      <c r="P35" s="9">
        <v>15.5</v>
      </c>
      <c r="Q35" s="9">
        <v>15.5</v>
      </c>
      <c r="R35" s="9">
        <v>15.5</v>
      </c>
      <c r="S35" s="9">
        <v>15.5</v>
      </c>
      <c r="T35" s="9">
        <v>15.5</v>
      </c>
      <c r="U35" s="9">
        <v>15.5</v>
      </c>
      <c r="V35" s="9">
        <v>15.5</v>
      </c>
      <c r="W35" s="9">
        <v>15.5</v>
      </c>
      <c r="X35" s="9">
        <v>15.5</v>
      </c>
      <c r="Y35" s="9">
        <v>15.5</v>
      </c>
      <c r="Z35" s="9">
        <v>15.5</v>
      </c>
      <c r="AA35" s="9">
        <v>15.5</v>
      </c>
      <c r="AB35" s="9">
        <v>15.5</v>
      </c>
      <c r="AC35" s="9">
        <v>15.5</v>
      </c>
      <c r="AD35" s="9">
        <v>15.5</v>
      </c>
    </row>
    <row r="36" spans="4:30" ht="15.75" customHeight="1" thickBot="1">
      <c r="D36" s="22" t="s">
        <v>117</v>
      </c>
      <c r="E36" s="2" t="s">
        <v>113</v>
      </c>
      <c r="F36" s="4" t="b">
        <v>1</v>
      </c>
    </row>
    <row r="37" spans="4:30">
      <c r="D37" s="21" t="s">
        <v>38</v>
      </c>
      <c r="E37" s="2" t="s">
        <v>3</v>
      </c>
      <c r="F37" s="2"/>
      <c r="G37" s="9">
        <v>15.5</v>
      </c>
      <c r="H37" s="9">
        <v>15.5</v>
      </c>
      <c r="I37" s="9">
        <v>15.5</v>
      </c>
      <c r="J37" s="9">
        <v>15.5</v>
      </c>
      <c r="K37" s="9">
        <v>15.5</v>
      </c>
      <c r="L37" s="9">
        <v>15.5</v>
      </c>
      <c r="M37" s="9">
        <v>15.5</v>
      </c>
      <c r="N37" s="9">
        <v>15.5</v>
      </c>
      <c r="O37" s="9">
        <v>15.5</v>
      </c>
      <c r="P37" s="9">
        <v>15.5</v>
      </c>
      <c r="Q37" s="9">
        <v>14.1</v>
      </c>
      <c r="R37" s="9">
        <v>15.5</v>
      </c>
      <c r="S37" s="9">
        <v>15.5</v>
      </c>
      <c r="T37" s="9">
        <v>19</v>
      </c>
      <c r="U37" s="9">
        <v>18</v>
      </c>
      <c r="V37" s="9">
        <v>18</v>
      </c>
      <c r="W37" s="9">
        <v>15.5</v>
      </c>
      <c r="X37" s="9">
        <v>15.5</v>
      </c>
      <c r="Y37" s="9">
        <v>15.5</v>
      </c>
      <c r="Z37" s="9">
        <v>15.5</v>
      </c>
      <c r="AA37" s="9">
        <v>15.5</v>
      </c>
      <c r="AB37" s="9">
        <v>15.5</v>
      </c>
      <c r="AC37" s="9">
        <v>15.5</v>
      </c>
      <c r="AD37" s="9">
        <v>15.5</v>
      </c>
    </row>
    <row r="38" spans="4:30">
      <c r="D38" s="21" t="s">
        <v>39</v>
      </c>
      <c r="E38" s="2" t="s">
        <v>4</v>
      </c>
      <c r="F38" s="2"/>
      <c r="G38" s="9">
        <v>14</v>
      </c>
      <c r="H38" s="9">
        <v>14</v>
      </c>
      <c r="I38" s="9">
        <v>14</v>
      </c>
      <c r="J38" s="9">
        <v>14</v>
      </c>
      <c r="K38" s="9">
        <v>14</v>
      </c>
      <c r="L38" s="9">
        <v>15</v>
      </c>
      <c r="M38" s="9">
        <v>14</v>
      </c>
      <c r="N38" s="9">
        <v>14</v>
      </c>
      <c r="O38" s="9">
        <v>14</v>
      </c>
      <c r="P38" s="9">
        <v>14</v>
      </c>
      <c r="Q38" s="9">
        <v>14</v>
      </c>
      <c r="R38" s="9">
        <v>14</v>
      </c>
      <c r="S38" s="9">
        <v>14</v>
      </c>
      <c r="T38" s="9">
        <v>14</v>
      </c>
      <c r="U38" s="9">
        <v>14</v>
      </c>
      <c r="V38" s="9">
        <v>14</v>
      </c>
      <c r="W38" s="9">
        <v>14</v>
      </c>
      <c r="X38" s="9">
        <v>14</v>
      </c>
      <c r="Y38" s="9">
        <v>14</v>
      </c>
      <c r="Z38" s="9">
        <v>14</v>
      </c>
      <c r="AA38" s="9">
        <v>14</v>
      </c>
      <c r="AB38" s="9">
        <v>14</v>
      </c>
      <c r="AC38" s="9">
        <v>14</v>
      </c>
      <c r="AD38" s="9">
        <v>14</v>
      </c>
    </row>
    <row r="39" spans="4:30">
      <c r="D39" s="21" t="s">
        <v>42</v>
      </c>
      <c r="E39" s="2" t="s">
        <v>5</v>
      </c>
      <c r="F39" s="2"/>
      <c r="G39" s="9">
        <v>2.2000000000000002</v>
      </c>
      <c r="H39" s="9">
        <v>3.5</v>
      </c>
      <c r="I39" s="9">
        <v>3.5</v>
      </c>
      <c r="J39" s="9">
        <v>3.5</v>
      </c>
      <c r="K39" s="9">
        <v>1.5</v>
      </c>
      <c r="L39" s="9">
        <v>1.6</v>
      </c>
      <c r="M39" s="9">
        <v>2.6</v>
      </c>
      <c r="N39" s="9">
        <v>2.7</v>
      </c>
      <c r="O39" s="9">
        <v>2.6</v>
      </c>
      <c r="P39" s="9">
        <v>2.4</v>
      </c>
      <c r="Q39" s="9">
        <v>2.8</v>
      </c>
      <c r="R39" s="9">
        <v>1.8</v>
      </c>
      <c r="S39" s="9">
        <v>2.8</v>
      </c>
      <c r="T39" s="9">
        <v>4.9000000000000004</v>
      </c>
      <c r="U39" s="9">
        <v>4</v>
      </c>
      <c r="V39" s="9">
        <v>4</v>
      </c>
      <c r="W39" s="9">
        <v>2.1</v>
      </c>
      <c r="X39" s="9">
        <v>2.5</v>
      </c>
      <c r="Y39" s="9">
        <v>2.9</v>
      </c>
      <c r="Z39" s="9">
        <v>3.4</v>
      </c>
      <c r="AA39" s="9">
        <v>2.5</v>
      </c>
      <c r="AB39" s="9">
        <v>1.7</v>
      </c>
      <c r="AC39" s="9">
        <v>2.5</v>
      </c>
      <c r="AD39" s="9">
        <v>2.2000000000000002</v>
      </c>
    </row>
    <row r="40" spans="4:30">
      <c r="D40" s="21" t="s">
        <v>45</v>
      </c>
      <c r="E40" s="2" t="s">
        <v>8</v>
      </c>
      <c r="F40" s="9">
        <v>15.5</v>
      </c>
    </row>
    <row r="41" spans="4:30">
      <c r="D41" s="21" t="s">
        <v>46</v>
      </c>
      <c r="E41" s="2" t="s">
        <v>9</v>
      </c>
      <c r="F41" s="12">
        <f>AVERAGE(G39:AD39)</f>
        <v>2.7583333333333333</v>
      </c>
    </row>
    <row r="42" spans="4:30" ht="15.75" thickBot="1">
      <c r="D42" s="23" t="s">
        <v>119</v>
      </c>
      <c r="E42" s="2" t="s">
        <v>118</v>
      </c>
      <c r="F42" s="4" t="b">
        <v>1</v>
      </c>
    </row>
    <row r="43" spans="4:30">
      <c r="D43" s="24" t="s">
        <v>43</v>
      </c>
      <c r="E43" s="2" t="s">
        <v>6</v>
      </c>
      <c r="F43" s="11">
        <v>1</v>
      </c>
    </row>
    <row r="44" spans="4:30">
      <c r="D44" s="24" t="s">
        <v>44</v>
      </c>
      <c r="E44" s="2" t="s">
        <v>7</v>
      </c>
      <c r="F44" s="11">
        <v>1</v>
      </c>
    </row>
    <row r="46" spans="4:30" ht="20.25" thickBot="1">
      <c r="D46" s="1" t="s">
        <v>94</v>
      </c>
      <c r="E46" s="7" t="s">
        <v>37</v>
      </c>
      <c r="F46" s="7"/>
      <c r="G46" s="3" t="s">
        <v>12</v>
      </c>
      <c r="H46" s="3" t="s">
        <v>13</v>
      </c>
      <c r="I46" s="3" t="s">
        <v>14</v>
      </c>
      <c r="J46" s="3" t="s">
        <v>15</v>
      </c>
      <c r="K46" s="3" t="s">
        <v>16</v>
      </c>
      <c r="L46" s="3" t="s">
        <v>17</v>
      </c>
      <c r="M46" s="3" t="s">
        <v>18</v>
      </c>
      <c r="N46" s="3" t="s">
        <v>19</v>
      </c>
      <c r="O46" s="3" t="s">
        <v>20</v>
      </c>
      <c r="P46" s="3" t="s">
        <v>21</v>
      </c>
      <c r="Q46" s="3" t="s">
        <v>22</v>
      </c>
      <c r="R46" s="3" t="s">
        <v>23</v>
      </c>
      <c r="S46" s="3" t="s">
        <v>24</v>
      </c>
      <c r="T46" s="3" t="s">
        <v>25</v>
      </c>
      <c r="U46" s="3" t="s">
        <v>26</v>
      </c>
      <c r="V46" s="3" t="s">
        <v>27</v>
      </c>
      <c r="W46" s="3" t="s">
        <v>28</v>
      </c>
      <c r="X46" s="3" t="s">
        <v>29</v>
      </c>
      <c r="Y46" s="3" t="s">
        <v>30</v>
      </c>
      <c r="Z46" s="3" t="s">
        <v>31</v>
      </c>
      <c r="AA46" s="3" t="s">
        <v>32</v>
      </c>
      <c r="AB46" s="3" t="s">
        <v>33</v>
      </c>
      <c r="AC46" s="3" t="s">
        <v>34</v>
      </c>
      <c r="AD46" s="3" t="s">
        <v>35</v>
      </c>
    </row>
    <row r="47" spans="4:30" ht="15.75" thickTop="1">
      <c r="D47" t="s">
        <v>64</v>
      </c>
      <c r="E47" s="2" t="s">
        <v>63</v>
      </c>
      <c r="F47" s="4">
        <v>3.5453800000000001E-2</v>
      </c>
    </row>
    <row r="48" spans="4:30">
      <c r="D48" t="s">
        <v>95</v>
      </c>
      <c r="E48" s="2" t="s">
        <v>97</v>
      </c>
      <c r="F48" s="8">
        <v>200</v>
      </c>
      <c r="G48" s="10">
        <f>$F$48</f>
        <v>200</v>
      </c>
      <c r="H48" s="10">
        <f t="shared" ref="H48:AD48" si="0">$F$48</f>
        <v>200</v>
      </c>
      <c r="I48" s="10">
        <f t="shared" si="0"/>
        <v>200</v>
      </c>
      <c r="J48" s="10">
        <f t="shared" si="0"/>
        <v>200</v>
      </c>
      <c r="K48" s="10">
        <f t="shared" si="0"/>
        <v>200</v>
      </c>
      <c r="L48" s="10">
        <f t="shared" si="0"/>
        <v>200</v>
      </c>
      <c r="M48" s="10">
        <f t="shared" si="0"/>
        <v>200</v>
      </c>
      <c r="N48" s="10">
        <f t="shared" si="0"/>
        <v>200</v>
      </c>
      <c r="O48" s="10">
        <f t="shared" si="0"/>
        <v>200</v>
      </c>
      <c r="P48" s="10">
        <f t="shared" si="0"/>
        <v>200</v>
      </c>
      <c r="Q48" s="10">
        <f t="shared" si="0"/>
        <v>200</v>
      </c>
      <c r="R48" s="10">
        <f t="shared" si="0"/>
        <v>200</v>
      </c>
      <c r="S48" s="10">
        <f t="shared" si="0"/>
        <v>200</v>
      </c>
      <c r="T48" s="10">
        <f t="shared" si="0"/>
        <v>200</v>
      </c>
      <c r="U48" s="10">
        <f t="shared" si="0"/>
        <v>200</v>
      </c>
      <c r="V48" s="10">
        <f t="shared" si="0"/>
        <v>200</v>
      </c>
      <c r="W48" s="10">
        <f t="shared" si="0"/>
        <v>200</v>
      </c>
      <c r="X48" s="10">
        <f t="shared" si="0"/>
        <v>200</v>
      </c>
      <c r="Y48" s="10">
        <f t="shared" si="0"/>
        <v>200</v>
      </c>
      <c r="Z48" s="10">
        <f t="shared" si="0"/>
        <v>200</v>
      </c>
      <c r="AA48" s="10">
        <f t="shared" si="0"/>
        <v>200</v>
      </c>
      <c r="AB48" s="10">
        <f t="shared" si="0"/>
        <v>200</v>
      </c>
      <c r="AC48" s="10">
        <f t="shared" si="0"/>
        <v>200</v>
      </c>
      <c r="AD48" s="10">
        <f t="shared" si="0"/>
        <v>200</v>
      </c>
    </row>
    <row r="49" spans="4:30">
      <c r="D49" t="s">
        <v>96</v>
      </c>
      <c r="E49" s="2" t="s">
        <v>98</v>
      </c>
      <c r="F49" s="8">
        <v>1000</v>
      </c>
      <c r="G49" s="10">
        <f>$F$49</f>
        <v>1000</v>
      </c>
      <c r="H49" s="10">
        <f t="shared" ref="H49:AD49" si="1">$F$49</f>
        <v>1000</v>
      </c>
      <c r="I49" s="10">
        <f t="shared" si="1"/>
        <v>1000</v>
      </c>
      <c r="J49" s="10">
        <f t="shared" si="1"/>
        <v>1000</v>
      </c>
      <c r="K49" s="10">
        <f t="shared" si="1"/>
        <v>1000</v>
      </c>
      <c r="L49" s="10">
        <f t="shared" si="1"/>
        <v>1000</v>
      </c>
      <c r="M49" s="10">
        <f t="shared" si="1"/>
        <v>1000</v>
      </c>
      <c r="N49" s="10">
        <f t="shared" si="1"/>
        <v>1000</v>
      </c>
      <c r="O49" s="10">
        <f t="shared" si="1"/>
        <v>1000</v>
      </c>
      <c r="P49" s="10">
        <f t="shared" si="1"/>
        <v>1000</v>
      </c>
      <c r="Q49" s="10">
        <f t="shared" si="1"/>
        <v>1000</v>
      </c>
      <c r="R49" s="10">
        <f t="shared" si="1"/>
        <v>1000</v>
      </c>
      <c r="S49" s="10">
        <f t="shared" si="1"/>
        <v>1000</v>
      </c>
      <c r="T49" s="10">
        <f t="shared" si="1"/>
        <v>1000</v>
      </c>
      <c r="U49" s="10">
        <f t="shared" si="1"/>
        <v>1000</v>
      </c>
      <c r="V49" s="10">
        <f t="shared" si="1"/>
        <v>1000</v>
      </c>
      <c r="W49" s="10">
        <f t="shared" si="1"/>
        <v>1000</v>
      </c>
      <c r="X49" s="10">
        <f t="shared" si="1"/>
        <v>1000</v>
      </c>
      <c r="Y49" s="10">
        <f t="shared" si="1"/>
        <v>1000</v>
      </c>
      <c r="Z49" s="10">
        <f t="shared" si="1"/>
        <v>1000</v>
      </c>
      <c r="AA49" s="10">
        <f t="shared" si="1"/>
        <v>1000</v>
      </c>
      <c r="AB49" s="10">
        <f t="shared" si="1"/>
        <v>1000</v>
      </c>
      <c r="AC49" s="10">
        <f t="shared" si="1"/>
        <v>1000</v>
      </c>
      <c r="AD49" s="10">
        <f t="shared" si="1"/>
        <v>1000</v>
      </c>
    </row>
    <row r="50" spans="4:30">
      <c r="D50" t="s">
        <v>62</v>
      </c>
      <c r="E50" s="2" t="s">
        <v>61</v>
      </c>
      <c r="F50" s="2"/>
      <c r="G50" s="8">
        <v>1000</v>
      </c>
      <c r="H50" s="8">
        <v>1000</v>
      </c>
      <c r="I50" s="8">
        <v>1000</v>
      </c>
      <c r="J50" s="8">
        <v>1000</v>
      </c>
      <c r="K50" s="8">
        <v>1000</v>
      </c>
      <c r="L50" s="8">
        <v>1000</v>
      </c>
      <c r="M50" s="8">
        <v>1000</v>
      </c>
      <c r="N50" s="8">
        <v>1000</v>
      </c>
      <c r="O50" s="8">
        <v>1000</v>
      </c>
      <c r="P50" s="8">
        <v>1000</v>
      </c>
      <c r="Q50" s="8">
        <v>1000</v>
      </c>
      <c r="R50" s="8">
        <v>1000</v>
      </c>
      <c r="S50" s="8">
        <v>1000</v>
      </c>
      <c r="T50" s="8">
        <v>1000</v>
      </c>
      <c r="U50" s="8">
        <v>1000</v>
      </c>
      <c r="V50" s="8">
        <v>1000</v>
      </c>
      <c r="W50" s="8">
        <v>1000</v>
      </c>
      <c r="X50" s="8">
        <v>1000</v>
      </c>
      <c r="Y50" s="8">
        <v>1000</v>
      </c>
      <c r="Z50" s="8">
        <v>1000</v>
      </c>
      <c r="AA50" s="8">
        <v>1000</v>
      </c>
      <c r="AB50" s="8">
        <v>1000</v>
      </c>
      <c r="AC50" s="8">
        <v>1000</v>
      </c>
      <c r="AD50" s="8">
        <v>1000</v>
      </c>
    </row>
    <row r="52" spans="4:30" ht="20.25" thickBot="1">
      <c r="D52" s="1" t="s">
        <v>47</v>
      </c>
      <c r="E52" s="7" t="s">
        <v>37</v>
      </c>
      <c r="F52" s="7"/>
      <c r="G52" s="3" t="s">
        <v>12</v>
      </c>
      <c r="H52" s="3" t="s">
        <v>13</v>
      </c>
      <c r="I52" s="3" t="s">
        <v>14</v>
      </c>
      <c r="J52" s="3" t="s">
        <v>15</v>
      </c>
      <c r="K52" s="3" t="s">
        <v>16</v>
      </c>
      <c r="L52" s="3" t="s">
        <v>17</v>
      </c>
      <c r="M52" s="3" t="s">
        <v>18</v>
      </c>
      <c r="N52" s="3" t="s">
        <v>19</v>
      </c>
      <c r="O52" s="3" t="s">
        <v>20</v>
      </c>
      <c r="P52" s="3" t="s">
        <v>21</v>
      </c>
      <c r="Q52" s="3" t="s">
        <v>22</v>
      </c>
      <c r="R52" s="3" t="s">
        <v>23</v>
      </c>
      <c r="S52" s="3" t="s">
        <v>24</v>
      </c>
      <c r="T52" s="3" t="s">
        <v>25</v>
      </c>
      <c r="U52" s="3" t="s">
        <v>26</v>
      </c>
      <c r="V52" s="3" t="s">
        <v>27</v>
      </c>
      <c r="W52" s="3" t="s">
        <v>28</v>
      </c>
      <c r="X52" s="3" t="s">
        <v>29</v>
      </c>
      <c r="Y52" s="3" t="s">
        <v>30</v>
      </c>
      <c r="Z52" s="3" t="s">
        <v>31</v>
      </c>
      <c r="AA52" s="3" t="s">
        <v>32</v>
      </c>
      <c r="AB52" s="3" t="s">
        <v>33</v>
      </c>
      <c r="AC52" s="3" t="s">
        <v>34</v>
      </c>
      <c r="AD52" s="3" t="s">
        <v>35</v>
      </c>
    </row>
    <row r="53" spans="4:30" ht="15.75" thickTop="1">
      <c r="D53" t="s">
        <v>36</v>
      </c>
      <c r="E53" s="2" t="s">
        <v>2</v>
      </c>
      <c r="F53" s="2"/>
      <c r="G53" s="5">
        <v>46.85</v>
      </c>
      <c r="H53" s="5">
        <v>45.06</v>
      </c>
      <c r="I53" s="5">
        <v>43.83</v>
      </c>
      <c r="J53" s="5">
        <v>42.55</v>
      </c>
      <c r="K53" s="5">
        <v>42.62</v>
      </c>
      <c r="L53" s="5">
        <v>46.61</v>
      </c>
      <c r="M53" s="5">
        <v>76.48</v>
      </c>
      <c r="N53" s="5">
        <v>77.489999999999995</v>
      </c>
      <c r="O53" s="5">
        <v>73.64</v>
      </c>
      <c r="P53" s="5">
        <v>68.510000000000005</v>
      </c>
      <c r="Q53" s="5">
        <v>67.62</v>
      </c>
      <c r="R53" s="5">
        <v>69.34</v>
      </c>
      <c r="S53" s="5">
        <v>69.23</v>
      </c>
      <c r="T53" s="4">
        <v>74.680000000000007</v>
      </c>
      <c r="U53" s="4">
        <v>86.84</v>
      </c>
      <c r="V53" s="4">
        <v>97.79</v>
      </c>
      <c r="W53" s="4">
        <v>91.29</v>
      </c>
      <c r="X53" s="4">
        <v>99.07</v>
      </c>
      <c r="Y53" s="4">
        <v>103.56</v>
      </c>
      <c r="Z53" s="4">
        <v>108.67</v>
      </c>
      <c r="AA53" s="4">
        <v>98.73</v>
      </c>
      <c r="AB53" s="4">
        <v>91.91</v>
      </c>
      <c r="AC53" s="4">
        <v>53.34</v>
      </c>
      <c r="AD53" s="4">
        <v>48.72</v>
      </c>
    </row>
    <row r="54" spans="4:30">
      <c r="D54" t="s">
        <v>54</v>
      </c>
      <c r="E54" s="2" t="s">
        <v>48</v>
      </c>
      <c r="F54" s="5">
        <v>5</v>
      </c>
    </row>
    <row r="55" spans="4:30">
      <c r="D55" t="s">
        <v>55</v>
      </c>
      <c r="E55" s="2" t="s">
        <v>49</v>
      </c>
      <c r="F55" s="5">
        <v>5</v>
      </c>
    </row>
    <row r="56" spans="4:30">
      <c r="D56" t="s">
        <v>56</v>
      </c>
      <c r="E56" s="2" t="s">
        <v>50</v>
      </c>
      <c r="F56" s="5">
        <v>1</v>
      </c>
    </row>
    <row r="57" spans="4:30">
      <c r="D57" t="s">
        <v>57</v>
      </c>
      <c r="E57" s="2" t="s">
        <v>51</v>
      </c>
      <c r="F57" s="5">
        <v>1</v>
      </c>
    </row>
    <row r="58" spans="4:30">
      <c r="D58" t="s">
        <v>58</v>
      </c>
      <c r="E58" s="2" t="s">
        <v>52</v>
      </c>
      <c r="F58" s="5">
        <v>1</v>
      </c>
    </row>
    <row r="59" spans="4:30">
      <c r="D59" t="s">
        <v>59</v>
      </c>
      <c r="E59" s="2" t="s">
        <v>53</v>
      </c>
      <c r="F59" s="5">
        <v>1</v>
      </c>
    </row>
  </sheetData>
  <phoneticPr fontId="7" type="noConversion"/>
  <conditionalFormatting sqref="F12">
    <cfRule type="cellIs" dxfId="5" priority="5" operator="equal">
      <formula>FALSE</formula>
    </cfRule>
    <cfRule type="cellIs" dxfId="4" priority="6" operator="equal">
      <formula>TRUE</formula>
    </cfRule>
  </conditionalFormatting>
  <conditionalFormatting sqref="F31 F25:F26 F19:F20 F14 F36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F42">
    <cfRule type="cellIs" dxfId="1" priority="1" operator="equal">
      <formula>FALSE</formula>
    </cfRule>
    <cfRule type="cellIs" dxfId="0" priority="2" operator="equal">
      <formula>TRUE</formula>
    </cfRule>
  </conditionalFormatting>
  <dataValidations count="1">
    <dataValidation type="list" allowBlank="1" showInputMessage="1" showErrorMessage="1" sqref="F36 F12 F31 F14 F19:F20 F25:F26 F42" xr:uid="{486E1DFA-3633-4FFB-A635-629E01A4702D}">
      <formula1>$AD$3:$AD$4</formula1>
    </dataValidation>
  </dataValidations>
  <pageMargins left="0.7" right="0.7" top="0.75" bottom="0.75" header="0.3" footer="0.3"/>
  <pageSetup paperSize="0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2D083DB-E6B1-4F01-A35C-9FD820D5AA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Inputs!G34:AD34</xm:f>
              <xm:sqref>F34</xm:sqref>
            </x14:sparkline>
            <x14:sparkline>
              <xm:f>Inputs!G35:AD35</xm:f>
              <xm:sqref>F35</xm:sqref>
            </x14:sparkline>
            <x14:sparkline>
              <xm:f>Inputs!G37:AD37</xm:f>
              <xm:sqref>F37</xm:sqref>
            </x14:sparkline>
            <x14:sparkline>
              <xm:f>Inputs!G38:AD38</xm:f>
              <xm:sqref>F38</xm:sqref>
            </x14:sparkline>
            <x14:sparkline>
              <xm:f>Inputs!G39:AD39</xm:f>
              <xm:sqref>F39</xm:sqref>
            </x14:sparkline>
          </x14:sparklines>
        </x14:sparklineGroup>
        <x14:sparklineGroup displayEmptyCellsAs="gap" xr2:uid="{89FAA351-4CD0-46A1-8D77-812DD671BDC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Inputs!G17:AD17</xm:f>
              <xm:sqref>F17</xm:sqref>
            </x14:sparkline>
            <x14:sparkline>
              <xm:f>Inputs!G18:AD18</xm:f>
              <xm:sqref>F18</xm:sqref>
            </x14:sparkline>
            <x14:sparkline>
              <xm:f>Inputs!G23:AD23</xm:f>
              <xm:sqref>F23</xm:sqref>
            </x14:sparkline>
            <x14:sparkline>
              <xm:f>Inputs!G24:AD24</xm:f>
              <xm:sqref>F24</xm:sqref>
            </x14:sparkline>
            <x14:sparkline>
              <xm:f>Inputs!G29:AD29</xm:f>
              <xm:sqref>F29</xm:sqref>
            </x14:sparkline>
            <x14:sparkline>
              <xm:f>Inputs!G30:AD30</xm:f>
              <xm:sqref>F30</xm:sqref>
            </x14:sparkline>
          </x14:sparklines>
        </x14:sparklineGroup>
        <x14:sparklineGroup displayEmptyCellsAs="gap" xr2:uid="{4DCA35DE-27EE-4EB1-92A4-E9A4EB40680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Inputs!G53:AD53</xm:f>
              <xm:sqref>F53</xm:sqref>
            </x14:sparkline>
            <x14:sparkline>
              <xm:f>Inputs!G50:AD50</xm:f>
              <xm:sqref>F50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D884-2110-49D8-9700-EF0E90CF4604}">
  <dimension ref="A1"/>
  <sheetViews>
    <sheetView workbookViewId="0">
      <selection activeCell="B3" sqref="B3"/>
    </sheetView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E88E24-AFF1-4856-B4E7-4CA4114D0D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Pavicevic, Matija</dc:creator>
  <cp:lastModifiedBy>Pavicevic, Matija</cp:lastModifiedBy>
  <dcterms:created xsi:type="dcterms:W3CDTF">2024-06-18T13:16:56Z</dcterms:created>
  <dcterms:modified xsi:type="dcterms:W3CDTF">2024-06-25T21:19:21Z</dcterms:modified>
</cp:coreProperties>
</file>