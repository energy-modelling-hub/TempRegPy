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TempRegPy\"/>
    </mc:Choice>
  </mc:AlternateContent>
  <xr:revisionPtr revIDLastSave="0" documentId="13_ncr:1_{DAF7FB24-4697-438D-8A9E-71445BB8AC7B}" xr6:coauthVersionLast="47" xr6:coauthVersionMax="47" xr10:uidLastSave="{00000000-0000-0000-0000-000000000000}"/>
  <bookViews>
    <workbookView xWindow="14595" yWindow="-16320" windowWidth="29040" windowHeight="15840" xr2:uid="{EDE72A4E-5E83-4998-A3FD-57974B6FA13E}"/>
  </bookViews>
  <sheets>
    <sheet name="Inputs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  <c r="F32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G37" i="1"/>
  <c r="G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<sst xmlns="http://schemas.openxmlformats.org/spreadsheetml/2006/main" count="205" uniqueCount="104">
  <si>
    <t>Glen Canyon Dam Inputs</t>
  </si>
  <si>
    <t>Temperature</t>
  </si>
  <si>
    <t>LMP_values</t>
  </si>
  <si>
    <t>T_RM61_hourly_max_values</t>
  </si>
  <si>
    <t>T_RM61_hourly_min_values</t>
  </si>
  <si>
    <t>dT_hourly_values</t>
  </si>
  <si>
    <t>T_ramp_up_delta</t>
  </si>
  <si>
    <t>T_ramp_down_delta</t>
  </si>
  <si>
    <t>T_RM61_daily</t>
  </si>
  <si>
    <t>dT_daily</t>
  </si>
  <si>
    <t>T_bp_values</t>
  </si>
  <si>
    <t>T_tur_values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</si>
  <si>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</si>
  <si>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</si>
  <si>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</si>
  <si>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</si>
  <si>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</si>
  <si>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</si>
  <si>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</si>
  <si>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</si>
  <si>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</si>
  <si>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</si>
  <si>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</si>
  <si>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</si>
  <si>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</si>
  <si>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</si>
  <si>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</si>
  <si>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</si>
  <si>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</si>
  <si>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</si>
  <si>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</si>
  <si>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</si>
  <si>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</si>
  <si>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</si>
  <si>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</si>
  <si>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</si>
  <si>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Hourly LMPs</t>
  </si>
  <si>
    <t>Python Variable Names</t>
  </si>
  <si>
    <t>Maximum temperature @ RM61 - hourly (°C or °F)</t>
  </si>
  <si>
    <t>Minimum temperature @ RM61 - hourly (°C or °F)</t>
  </si>
  <si>
    <t>Bypass temperature - hourly (°C or °F)</t>
  </si>
  <si>
    <t>Turbine temperature - hourly (°C or °F)</t>
  </si>
  <si>
    <t>Temperature delta between Glen Canyon and RM61 - hourly (°C or °F)</t>
  </si>
  <si>
    <t>Maximum Temperature RampUp rate - hourly</t>
  </si>
  <si>
    <t>Maximum Temperature RampDown rate - hourly</t>
  </si>
  <si>
    <t>Maximum average temperature @ RM61 - daily (°C or °F)</t>
  </si>
  <si>
    <t>Average temperature delta between Glen Canyon and RM61 - daily (°C or °F)</t>
  </si>
  <si>
    <t>Price</t>
  </si>
  <si>
    <t>C_bp_ramp_up</t>
  </si>
  <si>
    <t>C_bp_ramp_down</t>
  </si>
  <si>
    <t>C_tur_ramp_up</t>
  </si>
  <si>
    <t>C_tur_ramp_down</t>
  </si>
  <si>
    <t>C_tot_ramp_up</t>
  </si>
  <si>
    <t>C_tot_ramp_down</t>
  </si>
  <si>
    <t>Bypass release ramp up penalty cost ($/CFS)</t>
  </si>
  <si>
    <t>Bypass release ramp down penalty cost ($/CFS)</t>
  </si>
  <si>
    <t>Turbine release ramp up penalty cost ($/CFS)</t>
  </si>
  <si>
    <t>Turbine release ramp down penalty cost ($/CFS)</t>
  </si>
  <si>
    <t>Total release ramp up penalty cost ($/CFS)</t>
  </si>
  <si>
    <t>Total release ramp down penalty cost ($/CFS)</t>
  </si>
  <si>
    <t>Water</t>
  </si>
  <si>
    <t>Demand_values</t>
  </si>
  <si>
    <t>Demand (MWh)</t>
  </si>
  <si>
    <t>WaterToPowerConversion</t>
  </si>
  <si>
    <t>Water to Power Conversion Factor (MW/CFS)</t>
  </si>
  <si>
    <t>Single input</t>
  </si>
  <si>
    <t>Total release - daily (CFS)</t>
  </si>
  <si>
    <t>Q_tot_daily</t>
  </si>
  <si>
    <t>Q_max_daily_change</t>
  </si>
  <si>
    <t>Maximum change between minimum and maximum release - daily (CFS)</t>
  </si>
  <si>
    <t>Q_bp_ramp_down_max</t>
  </si>
  <si>
    <t>Q_bp_ramp_up_max</t>
  </si>
  <si>
    <t>Q_tur_ramp_down_max</t>
  </si>
  <si>
    <t>Q_tur_ramp_up_max</t>
  </si>
  <si>
    <t>Q_tot_ramp_up_max</t>
  </si>
  <si>
    <t>Q_tot_ramp_down_max</t>
  </si>
  <si>
    <t>Bypass release RampUp rate (CFS/h)</t>
  </si>
  <si>
    <t>Bypass release RampDown rate (CFS/h)</t>
  </si>
  <si>
    <t>Turbine release RampUp rate (CFS/h)</t>
  </si>
  <si>
    <t>Turbine release RampDown rate (CFS/h)</t>
  </si>
  <si>
    <t>Total release RampUp rate (CFS/h)</t>
  </si>
  <si>
    <t>Total release RampDown rate (CFS/h)</t>
  </si>
  <si>
    <t>Q_bp_min_values</t>
  </si>
  <si>
    <t>Q_bp_max_values</t>
  </si>
  <si>
    <t>Q_tur_min_values</t>
  </si>
  <si>
    <t>Q_tur_max_values</t>
  </si>
  <si>
    <t>Q_tot_min_values</t>
  </si>
  <si>
    <t>Q_tot_max_values</t>
  </si>
  <si>
    <t>Bypass release minimum - hourly (CFS)</t>
  </si>
  <si>
    <t>Bypass release maximum - hourly (CFS)</t>
  </si>
  <si>
    <t>Turbine release minimum - hourly (CFS)</t>
  </si>
  <si>
    <t>Turbine release maximum - hourly (CFS)</t>
  </si>
  <si>
    <t>Total release minimum - hourly (CFS)</t>
  </si>
  <si>
    <t>Total release maximum - hourly (CFS)</t>
  </si>
  <si>
    <t>Power</t>
  </si>
  <si>
    <t>Power Turbine - min (MW)</t>
  </si>
  <si>
    <t>Power Turbine - max (MW)</t>
  </si>
  <si>
    <t>P_tur_min_values</t>
  </si>
  <si>
    <t>P_tur_max_values</t>
  </si>
  <si>
    <t>python_path</t>
  </si>
  <si>
    <t>Environment Settings</t>
  </si>
  <si>
    <t>Excel Path</t>
  </si>
  <si>
    <t>excel_path</t>
  </si>
  <si>
    <t>Python Environment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</si>
</sst>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.8000000000000007"/>
      <color rgb="FFBCBEC4"/>
      <name val="JetBrains Mono"/>
      <family val="3"/>
    </font>
    <font>
      <sz val="8"/>
      <name val="Aptos Narrow"/>
      <family val="2"/>
      <scheme val="minor"/>
    </font>
    <font>
      <sz val="11"/>
      <color theme="3" tint="0.2499465926084170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b/>
      <sz val="13"/>
      <color theme="4" tint="0.7999816888943144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1" fillId="0" borderId="4" applyNumberFormat="0" applyFill="0" applyAlignment="0" applyProtection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3" applyNumberFormat="0" applyAlignment="0" applyProtection="0"/>
    <xf numFmtId="0" fontId="5" fillId="0" borderId="0" applyNumberFormat="0" applyFill="0" applyBorder="0" applyAlignment="0" applyProtection="0"/>
    <xf numFmtId="0" fontId="8" fillId="4" borderId="3" applyNumberFormat="0" applyAlignment="0" applyProtection="0"/>
  </cellStyleXfs>
  <cellXfs count="17">
    <xf numFmtId="0" fontId="0" fillId="0" borderId="0" xfId="0"/>
    <xf numFmtId="0" fontId="2" fillId="2" borderId="1" xfId="2"/>
    <xf numFmtId="0" fontId="6" fillId="0" borderId="0" xfId="0" applyFont="1" applyAlignment="1">
      <alignment vertical="center"/>
    </xf>
    <xf numFmtId="0" fontId="3" fillId="0" borderId="2" xfId="3" applyAlignment="1">
      <alignment horizontal="center"/>
    </xf>
    <xf numFmtId="0" fontId="4" fillId="3" borderId="3" xfId="4"/>
    <xf numFmtId="0" fontId="4" fillId="3" borderId="3" xfId="4" applyAlignment="1">
      <alignment vertical="center"/>
    </xf>
    <xf numFmtId="0" fontId="1" fillId="0" borderId="2" xfId="1" applyBorder="1"/>
    <xf numFmtId="0" fontId="5" fillId="0" borderId="2" xfId="5" applyFill="1" applyBorder="1"/>
    <xf numFmtId="3" fontId="4" fillId="3" borderId="3" xfId="4" applyNumberFormat="1"/>
    <xf numFmtId="164" fontId="4" fillId="3" borderId="3" xfId="4" applyNumberFormat="1"/>
    <xf numFmtId="3" fontId="8" fillId="4" borderId="3" xfId="6" applyNumberFormat="1"/>
    <xf numFmtId="0" fontId="9" fillId="4" borderId="0" xfId="0" applyFont="1" applyFill="1"/>
    <xf numFmtId="164" fontId="9" fillId="4" borderId="3" xfId="4" applyNumberFormat="1" applyFont="1" applyFill="1"/>
    <xf numFmtId="164" fontId="8" fillId="4" borderId="3" xfId="6" applyNumberFormat="1"/>
    <xf numFmtId="0" fontId="10" fillId="5" borderId="2" xfId="5" applyFont="1" applyFill="1" applyBorder="1"/>
    <xf numFmtId="0" fontId="11" fillId="5" borderId="2" xfId="3" applyFont="1" applyFill="1" applyAlignment="1">
      <alignment horizontal="center"/>
    </xf>
    <xf numFmtId="0" fontId="8" fillId="4" borderId="3" xfId="6"/>
  </cellXfs>
  <cellStyles count="7">
    <cellStyle name="Calculation" xfId="6" builtinId="22" customBuiltin="1"/>
    <cellStyle name="Heading 1" xfId="2" builtinId="16" customBuiltin="1"/>
    <cellStyle name="Heading 2" xfId="3" builtinId="17"/>
    <cellStyle name="Input" xfId="4" builtinId="20" customBuiltin="1"/>
    <cellStyle name="Normal" xfId="0" builtinId="0"/>
    <cellStyle name="Title" xfId="1" builtinId="15" customBuiltin="1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3731-CB62-44B0-AADB-81B3396EA9EB}">
  <dimension ref="D1:AD47"/>
  <sheetViews>
    <sheetView tabSelected="1" workbookViewId="0">
      <selection activeCell="F4" sqref="F4"/>
    </sheetView>
  </sheetViews>
  <sheetFormatPr defaultRowHeight="15"/>
  <cols>
    <col min="1" max="3" width="1.7109375" customWidth="1"/>
    <col min="4" max="4" width="68" bestFit="1" customWidth="1"/>
    <col min="5" max="5" width="27.5703125" customWidth="1"/>
    <col min="6" max="6" width="13.140625" bestFit="1" customWidth="1"/>
  </cols>
  <sheetData>
    <row r="1" spans="4:30" ht="24.75" thickBot="1">
      <c r="D1" s="6" t="s">
        <v>0</v>
      </c>
      <c r="E1" s="14" t="s">
        <v>37</v>
      </c>
      <c r="F1" s="15" t="s">
        <v>65</v>
      </c>
      <c r="G1" s="15" t="s">
        <v>12</v>
      </c>
      <c r="H1" s="15" t="s">
        <v>13</v>
      </c>
      <c r="I1" s="15" t="s">
        <v>14</v>
      </c>
      <c r="J1" s="15" t="s">
        <v>15</v>
      </c>
      <c r="K1" s="15" t="s">
        <v>16</v>
      </c>
      <c r="L1" s="15" t="s">
        <v>17</v>
      </c>
      <c r="M1" s="15" t="s">
        <v>18</v>
      </c>
      <c r="N1" s="15" t="s">
        <v>19</v>
      </c>
      <c r="O1" s="15" t="s">
        <v>20</v>
      </c>
      <c r="P1" s="15" t="s">
        <v>21</v>
      </c>
      <c r="Q1" s="15" t="s">
        <v>22</v>
      </c>
      <c r="R1" s="15" t="s">
        <v>23</v>
      </c>
      <c r="S1" s="15" t="s">
        <v>24</v>
      </c>
      <c r="T1" s="15" t="s">
        <v>25</v>
      </c>
      <c r="U1" s="15" t="s">
        <v>26</v>
      </c>
      <c r="V1" s="15" t="s">
        <v>27</v>
      </c>
      <c r="W1" s="15" t="s">
        <v>28</v>
      </c>
      <c r="X1" s="15" t="s">
        <v>29</v>
      </c>
      <c r="Y1" s="15" t="s">
        <v>30</v>
      </c>
      <c r="Z1" s="15" t="s">
        <v>31</v>
      </c>
      <c r="AA1" s="15" t="s">
        <v>32</v>
      </c>
      <c r="AB1" s="15" t="s">
        <v>33</v>
      </c>
      <c r="AC1" s="15" t="s">
        <v>34</v>
      </c>
      <c r="AD1" s="15" t="s">
        <v>35</v>
      </c>
    </row>
    <row r="2" spans="4:30" ht="15.75" thickTop="1"/>
    <row r="3" spans="4:30" ht="15.75" customHeight="1" thickBot="1">
      <c r="D3" s="1" t="s">
        <v>100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4:30" ht="15.75" customHeight="1" thickTop="1">
      <c r="D4" t="s">
        <v>103</v>
      </c>
      <c r="E4" s="2" t="s">
        <v>99</v>
      </c>
      <c r="F4" s="8"/>
    </row>
    <row r="5" spans="4:30" ht="15.75" customHeight="1">
      <c r="D5" t="s">
        <v>101</v>
      </c>
      <c r="E5" s="2" t="s">
        <v>102</v>
      </c>
      <c r="F5" s="16" t="str" cm="1">
        <f t="array" aca="1" ref="F5" ca="1">LEFT(CELL("filename"), FIND("[", CELL("filename")) - 1) &amp; MID(CELL("filename"), FIND("[", CELL("filename")) + 1, FIND("]", CELL("filename")) - FIND("[", CELL("filename")) - 1)</f>
        <v>C:\Projects\GitHub\TempRegPy\TempRegPy.xlsx</v>
      </c>
    </row>
    <row r="7" spans="4:30" ht="20.25" thickBot="1">
      <c r="D7" s="1" t="s">
        <v>60</v>
      </c>
      <c r="E7" s="7" t="s">
        <v>37</v>
      </c>
      <c r="F7" s="3" t="s">
        <v>65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  <c r="S7" s="3" t="s">
        <v>24</v>
      </c>
      <c r="T7" s="3" t="s">
        <v>25</v>
      </c>
      <c r="U7" s="3" t="s">
        <v>26</v>
      </c>
      <c r="V7" s="3" t="s">
        <v>27</v>
      </c>
      <c r="W7" s="3" t="s">
        <v>28</v>
      </c>
      <c r="X7" s="3" t="s">
        <v>29</v>
      </c>
      <c r="Y7" s="3" t="s">
        <v>30</v>
      </c>
      <c r="Z7" s="3" t="s">
        <v>31</v>
      </c>
      <c r="AA7" s="3" t="s">
        <v>32</v>
      </c>
      <c r="AB7" s="3" t="s">
        <v>33</v>
      </c>
      <c r="AC7" s="3" t="s">
        <v>34</v>
      </c>
      <c r="AD7" s="3" t="s">
        <v>35</v>
      </c>
    </row>
    <row r="8" spans="4:30" ht="15.75" thickTop="1">
      <c r="D8" t="s">
        <v>66</v>
      </c>
      <c r="E8" s="2" t="s">
        <v>67</v>
      </c>
      <c r="F8" s="8">
        <v>235003</v>
      </c>
    </row>
    <row r="9" spans="4:30">
      <c r="D9" t="s">
        <v>69</v>
      </c>
      <c r="E9" s="2" t="s">
        <v>68</v>
      </c>
      <c r="F9" s="8">
        <v>8000</v>
      </c>
    </row>
    <row r="10" spans="4:30">
      <c r="D10" t="s">
        <v>76</v>
      </c>
      <c r="E10" s="2" t="s">
        <v>70</v>
      </c>
      <c r="F10" s="8">
        <v>15000</v>
      </c>
    </row>
    <row r="11" spans="4:30">
      <c r="D11" t="s">
        <v>77</v>
      </c>
      <c r="E11" s="2" t="s">
        <v>71</v>
      </c>
      <c r="F11" s="8">
        <v>15000</v>
      </c>
    </row>
    <row r="12" spans="4:30">
      <c r="D12" t="s">
        <v>78</v>
      </c>
      <c r="E12" s="2" t="s">
        <v>72</v>
      </c>
      <c r="F12" s="8">
        <v>4000</v>
      </c>
    </row>
    <row r="13" spans="4:30">
      <c r="D13" t="s">
        <v>79</v>
      </c>
      <c r="E13" s="2" t="s">
        <v>73</v>
      </c>
      <c r="F13" s="8">
        <v>25000</v>
      </c>
    </row>
    <row r="14" spans="4:30">
      <c r="D14" t="s">
        <v>80</v>
      </c>
      <c r="E14" s="2" t="s">
        <v>74</v>
      </c>
      <c r="F14" s="8">
        <v>4000</v>
      </c>
    </row>
    <row r="15" spans="4:30">
      <c r="D15" t="s">
        <v>81</v>
      </c>
      <c r="E15" s="2" t="s">
        <v>75</v>
      </c>
      <c r="F15" s="8">
        <v>2500</v>
      </c>
    </row>
    <row r="16" spans="4:30">
      <c r="D16" t="s">
        <v>88</v>
      </c>
      <c r="E16" s="2" t="s">
        <v>82</v>
      </c>
      <c r="F16" s="2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4:30">
      <c r="D17" t="s">
        <v>89</v>
      </c>
      <c r="E17" s="2" t="s">
        <v>83</v>
      </c>
      <c r="F17" s="2"/>
      <c r="G17" s="8">
        <v>15000</v>
      </c>
      <c r="H17" s="8">
        <v>15000</v>
      </c>
      <c r="I17" s="8">
        <v>15000</v>
      </c>
      <c r="J17" s="8">
        <v>15000</v>
      </c>
      <c r="K17" s="8">
        <v>15000</v>
      </c>
      <c r="L17" s="8">
        <v>15000</v>
      </c>
      <c r="M17" s="8">
        <v>15000</v>
      </c>
      <c r="N17" s="8">
        <v>15000</v>
      </c>
      <c r="O17" s="8">
        <v>15000</v>
      </c>
      <c r="P17" s="8">
        <v>15000</v>
      </c>
      <c r="Q17" s="8">
        <v>15000</v>
      </c>
      <c r="R17" s="8">
        <v>15000</v>
      </c>
      <c r="S17" s="8">
        <v>15000</v>
      </c>
      <c r="T17" s="8">
        <v>15000</v>
      </c>
      <c r="U17" s="8">
        <v>15000</v>
      </c>
      <c r="V17" s="8">
        <v>15000</v>
      </c>
      <c r="W17" s="8">
        <v>15000</v>
      </c>
      <c r="X17" s="8">
        <v>15000</v>
      </c>
      <c r="Y17" s="8">
        <v>15000</v>
      </c>
      <c r="Z17" s="8">
        <v>15000</v>
      </c>
      <c r="AA17" s="8">
        <v>15000</v>
      </c>
      <c r="AB17" s="8">
        <v>15000</v>
      </c>
      <c r="AC17" s="8">
        <v>15000</v>
      </c>
      <c r="AD17" s="8">
        <v>15000</v>
      </c>
    </row>
    <row r="18" spans="4:30">
      <c r="D18" t="s">
        <v>90</v>
      </c>
      <c r="E18" s="2" t="s">
        <v>84</v>
      </c>
      <c r="F18" s="2"/>
      <c r="G18" s="8">
        <v>2400</v>
      </c>
      <c r="H18" s="8">
        <v>2400</v>
      </c>
      <c r="I18" s="8">
        <v>2400</v>
      </c>
      <c r="J18" s="8">
        <v>2400</v>
      </c>
      <c r="K18" s="8">
        <v>2400</v>
      </c>
      <c r="L18" s="8">
        <v>2400</v>
      </c>
      <c r="M18" s="8">
        <v>2400</v>
      </c>
      <c r="N18" s="8">
        <v>2400</v>
      </c>
      <c r="O18" s="8">
        <v>2400</v>
      </c>
      <c r="P18" s="8">
        <v>2400</v>
      </c>
      <c r="Q18" s="8">
        <v>2400</v>
      </c>
      <c r="R18" s="8">
        <v>2400</v>
      </c>
      <c r="S18" s="8">
        <v>2400</v>
      </c>
      <c r="T18" s="8">
        <v>2400</v>
      </c>
      <c r="U18" s="8">
        <v>2400</v>
      </c>
      <c r="V18" s="8">
        <v>2400</v>
      </c>
      <c r="W18" s="8">
        <v>2400</v>
      </c>
      <c r="X18" s="8">
        <v>2400</v>
      </c>
      <c r="Y18" s="8">
        <v>2400</v>
      </c>
      <c r="Z18" s="8">
        <v>2400</v>
      </c>
      <c r="AA18" s="8">
        <v>2400</v>
      </c>
      <c r="AB18" s="8">
        <v>2400</v>
      </c>
      <c r="AC18" s="8">
        <v>2400</v>
      </c>
      <c r="AD18" s="8">
        <v>2400</v>
      </c>
    </row>
    <row r="19" spans="4:30">
      <c r="D19" t="s">
        <v>91</v>
      </c>
      <c r="E19" s="2" t="s">
        <v>85</v>
      </c>
      <c r="F19" s="2"/>
      <c r="G19" s="8">
        <v>25000</v>
      </c>
      <c r="H19" s="8">
        <v>25000</v>
      </c>
      <c r="I19" s="8">
        <v>25000</v>
      </c>
      <c r="J19" s="8">
        <v>25000</v>
      </c>
      <c r="K19" s="8">
        <v>25000</v>
      </c>
      <c r="L19" s="8">
        <v>25000</v>
      </c>
      <c r="M19" s="8">
        <v>25000</v>
      </c>
      <c r="N19" s="8">
        <v>25000</v>
      </c>
      <c r="O19" s="8">
        <v>25000</v>
      </c>
      <c r="P19" s="8">
        <v>25000</v>
      </c>
      <c r="Q19" s="8">
        <v>25000</v>
      </c>
      <c r="R19" s="8">
        <v>25000</v>
      </c>
      <c r="S19" s="8">
        <v>25000</v>
      </c>
      <c r="T19" s="8">
        <v>25000</v>
      </c>
      <c r="U19" s="8">
        <v>25000</v>
      </c>
      <c r="V19" s="8">
        <v>25000</v>
      </c>
      <c r="W19" s="8">
        <v>25000</v>
      </c>
      <c r="X19" s="8">
        <v>25000</v>
      </c>
      <c r="Y19" s="8">
        <v>25000</v>
      </c>
      <c r="Z19" s="8">
        <v>25000</v>
      </c>
      <c r="AA19" s="8">
        <v>25000</v>
      </c>
      <c r="AB19" s="8">
        <v>25000</v>
      </c>
      <c r="AC19" s="8">
        <v>25000</v>
      </c>
      <c r="AD19" s="8">
        <v>25000</v>
      </c>
    </row>
    <row r="20" spans="4:30">
      <c r="D20" t="s">
        <v>92</v>
      </c>
      <c r="E20" s="2" t="s">
        <v>86</v>
      </c>
      <c r="F20" s="2"/>
      <c r="G20" s="8">
        <v>7000</v>
      </c>
      <c r="H20" s="8">
        <v>7000</v>
      </c>
      <c r="I20" s="8">
        <v>7000</v>
      </c>
      <c r="J20" s="8">
        <v>7000</v>
      </c>
      <c r="K20" s="8">
        <v>7000</v>
      </c>
      <c r="L20" s="8">
        <v>7000</v>
      </c>
      <c r="M20" s="8">
        <v>7000</v>
      </c>
      <c r="N20" s="8">
        <v>7000</v>
      </c>
      <c r="O20" s="8">
        <v>7000</v>
      </c>
      <c r="P20" s="8">
        <v>7000</v>
      </c>
      <c r="Q20" s="8">
        <v>7000</v>
      </c>
      <c r="R20" s="8">
        <v>7000</v>
      </c>
      <c r="S20" s="8">
        <v>7000</v>
      </c>
      <c r="T20" s="8">
        <v>7000</v>
      </c>
      <c r="U20" s="8">
        <v>7000</v>
      </c>
      <c r="V20" s="8">
        <v>7000</v>
      </c>
      <c r="W20" s="8">
        <v>7000</v>
      </c>
      <c r="X20" s="8">
        <v>7000</v>
      </c>
      <c r="Y20" s="8">
        <v>7000</v>
      </c>
      <c r="Z20" s="8">
        <v>7000</v>
      </c>
      <c r="AA20" s="8">
        <v>7000</v>
      </c>
      <c r="AB20" s="8">
        <v>7000</v>
      </c>
      <c r="AC20" s="8">
        <v>7000</v>
      </c>
      <c r="AD20" s="8">
        <v>7000</v>
      </c>
    </row>
    <row r="21" spans="4:30">
      <c r="D21" t="s">
        <v>93</v>
      </c>
      <c r="E21" s="2" t="s">
        <v>87</v>
      </c>
      <c r="F21" s="2"/>
      <c r="G21" s="8">
        <v>12100</v>
      </c>
      <c r="H21" s="8">
        <v>12100</v>
      </c>
      <c r="I21" s="8">
        <v>12100</v>
      </c>
      <c r="J21" s="8">
        <v>12100</v>
      </c>
      <c r="K21" s="8">
        <v>12100</v>
      </c>
      <c r="L21" s="8">
        <v>12100</v>
      </c>
      <c r="M21" s="8">
        <v>12100</v>
      </c>
      <c r="N21" s="8">
        <v>12100</v>
      </c>
      <c r="O21" s="8">
        <v>12100</v>
      </c>
      <c r="P21" s="8">
        <v>12100</v>
      </c>
      <c r="Q21" s="8">
        <v>12100</v>
      </c>
      <c r="R21" s="8">
        <v>12100</v>
      </c>
      <c r="S21" s="8">
        <v>12100</v>
      </c>
      <c r="T21" s="8">
        <v>12100</v>
      </c>
      <c r="U21" s="8">
        <v>12100</v>
      </c>
      <c r="V21" s="8">
        <v>12100</v>
      </c>
      <c r="W21" s="8">
        <v>12100</v>
      </c>
      <c r="X21" s="8">
        <v>12100</v>
      </c>
      <c r="Y21" s="8">
        <v>12100</v>
      </c>
      <c r="Z21" s="8">
        <v>12100</v>
      </c>
      <c r="AA21" s="8">
        <v>12100</v>
      </c>
      <c r="AB21" s="8">
        <v>12100</v>
      </c>
      <c r="AC21" s="8">
        <v>12100</v>
      </c>
      <c r="AD21" s="8">
        <v>12100</v>
      </c>
    </row>
    <row r="23" spans="4:30" ht="20.25" thickBot="1">
      <c r="D23" s="1" t="s">
        <v>1</v>
      </c>
      <c r="E23" s="7" t="s">
        <v>37</v>
      </c>
      <c r="F23" s="7"/>
      <c r="G23" s="3" t="s">
        <v>12</v>
      </c>
      <c r="H23" s="3" t="s">
        <v>13</v>
      </c>
      <c r="I23" s="3" t="s">
        <v>14</v>
      </c>
      <c r="J23" s="3" t="s">
        <v>15</v>
      </c>
      <c r="K23" s="3" t="s">
        <v>16</v>
      </c>
      <c r="L23" s="3" t="s">
        <v>17</v>
      </c>
      <c r="M23" s="3" t="s">
        <v>18</v>
      </c>
      <c r="N23" s="3" t="s">
        <v>19</v>
      </c>
      <c r="O23" s="3" t="s">
        <v>20</v>
      </c>
      <c r="P23" s="3" t="s">
        <v>21</v>
      </c>
      <c r="Q23" s="3" t="s">
        <v>22</v>
      </c>
      <c r="R23" s="3" t="s">
        <v>23</v>
      </c>
      <c r="S23" s="3" t="s">
        <v>24</v>
      </c>
      <c r="T23" s="3" t="s">
        <v>25</v>
      </c>
      <c r="U23" s="3" t="s">
        <v>26</v>
      </c>
      <c r="V23" s="3" t="s">
        <v>27</v>
      </c>
      <c r="W23" s="3" t="s">
        <v>28</v>
      </c>
      <c r="X23" s="3" t="s">
        <v>29</v>
      </c>
      <c r="Y23" s="3" t="s">
        <v>30</v>
      </c>
      <c r="Z23" s="3" t="s">
        <v>31</v>
      </c>
      <c r="AA23" s="3" t="s">
        <v>32</v>
      </c>
      <c r="AB23" s="3" t="s">
        <v>33</v>
      </c>
      <c r="AC23" s="3" t="s">
        <v>34</v>
      </c>
      <c r="AD23" s="3" t="s">
        <v>35</v>
      </c>
    </row>
    <row r="24" spans="4:30" ht="15.75" thickTop="1">
      <c r="D24" t="s">
        <v>40</v>
      </c>
      <c r="E24" s="2" t="s">
        <v>10</v>
      </c>
      <c r="F24" s="2"/>
      <c r="G24" s="9">
        <v>7.5</v>
      </c>
      <c r="H24" s="9">
        <v>7.5</v>
      </c>
      <c r="I24" s="9">
        <v>7.5</v>
      </c>
      <c r="J24" s="9">
        <v>7.5</v>
      </c>
      <c r="K24" s="9">
        <v>7.5</v>
      </c>
      <c r="L24" s="9">
        <v>7.5</v>
      </c>
      <c r="M24" s="9">
        <v>7.5</v>
      </c>
      <c r="N24" s="9">
        <v>7.5</v>
      </c>
      <c r="O24" s="9">
        <v>7.5</v>
      </c>
      <c r="P24" s="9">
        <v>7.5</v>
      </c>
      <c r="Q24" s="9">
        <v>7.5</v>
      </c>
      <c r="R24" s="9">
        <v>7.5</v>
      </c>
      <c r="S24" s="9">
        <v>7.5</v>
      </c>
      <c r="T24" s="9">
        <v>7.5</v>
      </c>
      <c r="U24" s="9">
        <v>7.5</v>
      </c>
      <c r="V24" s="9">
        <v>7.5</v>
      </c>
      <c r="W24" s="9">
        <v>7.5</v>
      </c>
      <c r="X24" s="9">
        <v>7.5</v>
      </c>
      <c r="Y24" s="9">
        <v>7.5</v>
      </c>
      <c r="Z24" s="9">
        <v>7.5</v>
      </c>
      <c r="AA24" s="9">
        <v>7.5</v>
      </c>
      <c r="AB24" s="9">
        <v>7.5</v>
      </c>
      <c r="AC24" s="9">
        <v>7.5</v>
      </c>
      <c r="AD24" s="9">
        <v>7.5</v>
      </c>
    </row>
    <row r="25" spans="4:30">
      <c r="D25" t="s">
        <v>41</v>
      </c>
      <c r="E25" s="2" t="s">
        <v>11</v>
      </c>
      <c r="F25" s="2"/>
      <c r="G25" s="9">
        <v>15.5</v>
      </c>
      <c r="H25" s="9">
        <v>15.5</v>
      </c>
      <c r="I25" s="9">
        <v>15.5</v>
      </c>
      <c r="J25" s="9">
        <v>15.5</v>
      </c>
      <c r="K25" s="9">
        <v>15.5</v>
      </c>
      <c r="L25" s="9">
        <v>15.5</v>
      </c>
      <c r="M25" s="9">
        <v>15.5</v>
      </c>
      <c r="N25" s="9">
        <v>15.5</v>
      </c>
      <c r="O25" s="9">
        <v>15.5</v>
      </c>
      <c r="P25" s="9">
        <v>15.5</v>
      </c>
      <c r="Q25" s="9">
        <v>15.5</v>
      </c>
      <c r="R25" s="9">
        <v>15.5</v>
      </c>
      <c r="S25" s="9">
        <v>15.5</v>
      </c>
      <c r="T25" s="9">
        <v>15.5</v>
      </c>
      <c r="U25" s="9">
        <v>15.5</v>
      </c>
      <c r="V25" s="9">
        <v>15.5</v>
      </c>
      <c r="W25" s="9">
        <v>15.5</v>
      </c>
      <c r="X25" s="9">
        <v>15.5</v>
      </c>
      <c r="Y25" s="9">
        <v>15.5</v>
      </c>
      <c r="Z25" s="9">
        <v>15.5</v>
      </c>
      <c r="AA25" s="9">
        <v>15.5</v>
      </c>
      <c r="AB25" s="9">
        <v>15.5</v>
      </c>
      <c r="AC25" s="9">
        <v>15.5</v>
      </c>
      <c r="AD25" s="9">
        <v>15.5</v>
      </c>
    </row>
    <row r="26" spans="4:30">
      <c r="D26" t="s">
        <v>38</v>
      </c>
      <c r="E26" s="2" t="s">
        <v>3</v>
      </c>
      <c r="F26" s="2"/>
      <c r="G26" s="9">
        <v>15.5</v>
      </c>
      <c r="H26" s="9">
        <v>15.5</v>
      </c>
      <c r="I26" s="9">
        <v>15.5</v>
      </c>
      <c r="J26" s="9">
        <v>15.5</v>
      </c>
      <c r="K26" s="9">
        <v>15.5</v>
      </c>
      <c r="L26" s="9">
        <v>15.5</v>
      </c>
      <c r="M26" s="9">
        <v>15.5</v>
      </c>
      <c r="N26" s="9">
        <v>15.5</v>
      </c>
      <c r="O26" s="9">
        <v>15.5</v>
      </c>
      <c r="P26" s="9">
        <v>15.5</v>
      </c>
      <c r="Q26" s="9">
        <v>15.5</v>
      </c>
      <c r="R26" s="9">
        <v>15.5</v>
      </c>
      <c r="S26" s="9">
        <v>15.5</v>
      </c>
      <c r="T26" s="9">
        <v>18</v>
      </c>
      <c r="U26" s="9">
        <v>18</v>
      </c>
      <c r="V26" s="9">
        <v>18</v>
      </c>
      <c r="W26" s="9">
        <v>15.5</v>
      </c>
      <c r="X26" s="9">
        <v>15.5</v>
      </c>
      <c r="Y26" s="9">
        <v>15.5</v>
      </c>
      <c r="Z26" s="9">
        <v>15.5</v>
      </c>
      <c r="AA26" s="9">
        <v>15.5</v>
      </c>
      <c r="AB26" s="9">
        <v>15.5</v>
      </c>
      <c r="AC26" s="9">
        <v>15.5</v>
      </c>
      <c r="AD26" s="9">
        <v>15.5</v>
      </c>
    </row>
    <row r="27" spans="4:30">
      <c r="D27" t="s">
        <v>39</v>
      </c>
      <c r="E27" s="2" t="s">
        <v>4</v>
      </c>
      <c r="F27" s="2"/>
      <c r="G27" s="9">
        <v>14</v>
      </c>
      <c r="H27" s="9">
        <v>14</v>
      </c>
      <c r="I27" s="9">
        <v>14</v>
      </c>
      <c r="J27" s="9">
        <v>14</v>
      </c>
      <c r="K27" s="9">
        <v>14</v>
      </c>
      <c r="L27" s="9">
        <v>14</v>
      </c>
      <c r="M27" s="9">
        <v>14</v>
      </c>
      <c r="N27" s="9">
        <v>14</v>
      </c>
      <c r="O27" s="9">
        <v>14</v>
      </c>
      <c r="P27" s="9">
        <v>14</v>
      </c>
      <c r="Q27" s="9">
        <v>14</v>
      </c>
      <c r="R27" s="9">
        <v>14</v>
      </c>
      <c r="S27" s="9">
        <v>14</v>
      </c>
      <c r="T27" s="9">
        <v>14</v>
      </c>
      <c r="U27" s="9">
        <v>14</v>
      </c>
      <c r="V27" s="9">
        <v>14</v>
      </c>
      <c r="W27" s="9">
        <v>14</v>
      </c>
      <c r="X27" s="9">
        <v>14</v>
      </c>
      <c r="Y27" s="9">
        <v>14</v>
      </c>
      <c r="Z27" s="9">
        <v>14</v>
      </c>
      <c r="AA27" s="9">
        <v>14</v>
      </c>
      <c r="AB27" s="9">
        <v>14</v>
      </c>
      <c r="AC27" s="9">
        <v>14</v>
      </c>
      <c r="AD27" s="9">
        <v>14</v>
      </c>
    </row>
    <row r="28" spans="4:30">
      <c r="D28" t="s">
        <v>42</v>
      </c>
      <c r="E28" s="2" t="s">
        <v>5</v>
      </c>
      <c r="F28" s="2"/>
      <c r="G28" s="9">
        <v>3.5</v>
      </c>
      <c r="H28" s="9">
        <v>2.6</v>
      </c>
      <c r="I28" s="9">
        <v>3.3</v>
      </c>
      <c r="J28" s="9">
        <v>2.5</v>
      </c>
      <c r="K28" s="9">
        <v>1.5</v>
      </c>
      <c r="L28" s="9">
        <v>1.6</v>
      </c>
      <c r="M28" s="9">
        <v>2.6</v>
      </c>
      <c r="N28" s="9">
        <v>2.7</v>
      </c>
      <c r="O28" s="9">
        <v>2.6</v>
      </c>
      <c r="P28" s="9">
        <v>2.4</v>
      </c>
      <c r="Q28" s="9">
        <v>2.8</v>
      </c>
      <c r="R28" s="9">
        <v>1.8</v>
      </c>
      <c r="S28" s="9">
        <v>2.8</v>
      </c>
      <c r="T28" s="9">
        <v>3.2</v>
      </c>
      <c r="U28" s="9">
        <v>2.1</v>
      </c>
      <c r="V28" s="9">
        <v>2.8</v>
      </c>
      <c r="W28" s="9">
        <v>2.1</v>
      </c>
      <c r="X28" s="9">
        <v>2.5</v>
      </c>
      <c r="Y28" s="9">
        <v>2.9</v>
      </c>
      <c r="Z28" s="9">
        <v>3.4</v>
      </c>
      <c r="AA28" s="9">
        <v>2.5</v>
      </c>
      <c r="AB28" s="9">
        <v>1.7</v>
      </c>
      <c r="AC28" s="9">
        <v>2.5</v>
      </c>
      <c r="AD28" s="9">
        <v>2.2000000000000002</v>
      </c>
    </row>
    <row r="29" spans="4:30">
      <c r="D29" s="11" t="s">
        <v>43</v>
      </c>
      <c r="E29" s="2" t="s">
        <v>6</v>
      </c>
      <c r="F29" s="12">
        <v>1</v>
      </c>
    </row>
    <row r="30" spans="4:30">
      <c r="D30" s="11" t="s">
        <v>44</v>
      </c>
      <c r="E30" s="2" t="s">
        <v>7</v>
      </c>
      <c r="F30" s="12">
        <v>1</v>
      </c>
    </row>
    <row r="31" spans="4:30">
      <c r="D31" t="s">
        <v>45</v>
      </c>
      <c r="E31" s="2" t="s">
        <v>8</v>
      </c>
      <c r="F31" s="9">
        <v>15.5</v>
      </c>
    </row>
    <row r="32" spans="4:30">
      <c r="D32" t="s">
        <v>46</v>
      </c>
      <c r="E32" s="2" t="s">
        <v>9</v>
      </c>
      <c r="F32" s="13">
        <f>AVERAGE(G28:AD28)</f>
        <v>2.5249999999999999</v>
      </c>
    </row>
    <row r="34" spans="4:30" ht="20.25" thickBot="1">
      <c r="D34" s="1" t="s">
        <v>94</v>
      </c>
      <c r="E34" s="7" t="s">
        <v>37</v>
      </c>
      <c r="F34" s="7"/>
      <c r="G34" s="3" t="s">
        <v>12</v>
      </c>
      <c r="H34" s="3" t="s">
        <v>13</v>
      </c>
      <c r="I34" s="3" t="s">
        <v>14</v>
      </c>
      <c r="J34" s="3" t="s">
        <v>15</v>
      </c>
      <c r="K34" s="3" t="s">
        <v>16</v>
      </c>
      <c r="L34" s="3" t="s">
        <v>17</v>
      </c>
      <c r="M34" s="3" t="s">
        <v>18</v>
      </c>
      <c r="N34" s="3" t="s">
        <v>19</v>
      </c>
      <c r="O34" s="3" t="s">
        <v>20</v>
      </c>
      <c r="P34" s="3" t="s">
        <v>21</v>
      </c>
      <c r="Q34" s="3" t="s">
        <v>22</v>
      </c>
      <c r="R34" s="3" t="s">
        <v>23</v>
      </c>
      <c r="S34" s="3" t="s">
        <v>24</v>
      </c>
      <c r="T34" s="3" t="s">
        <v>25</v>
      </c>
      <c r="U34" s="3" t="s">
        <v>26</v>
      </c>
      <c r="V34" s="3" t="s">
        <v>27</v>
      </c>
      <c r="W34" s="3" t="s">
        <v>28</v>
      </c>
      <c r="X34" s="3" t="s">
        <v>29</v>
      </c>
      <c r="Y34" s="3" t="s">
        <v>30</v>
      </c>
      <c r="Z34" s="3" t="s">
        <v>31</v>
      </c>
      <c r="AA34" s="3" t="s">
        <v>32</v>
      </c>
      <c r="AB34" s="3" t="s">
        <v>33</v>
      </c>
      <c r="AC34" s="3" t="s">
        <v>34</v>
      </c>
      <c r="AD34" s="3" t="s">
        <v>35</v>
      </c>
    </row>
    <row r="35" spans="4:30" ht="15.75" thickTop="1">
      <c r="D35" t="s">
        <v>64</v>
      </c>
      <c r="E35" s="2" t="s">
        <v>63</v>
      </c>
      <c r="F35" s="4">
        <v>3.5453800000000001E-2</v>
      </c>
    </row>
    <row r="36" spans="4:30">
      <c r="D36" t="s">
        <v>95</v>
      </c>
      <c r="E36" s="2" t="s">
        <v>97</v>
      </c>
      <c r="F36" s="8">
        <v>200</v>
      </c>
      <c r="G36" s="10">
        <f>$F$36</f>
        <v>200</v>
      </c>
      <c r="H36" s="10">
        <f t="shared" ref="H36:AD36" si="0">$F$36</f>
        <v>200</v>
      </c>
      <c r="I36" s="10">
        <f t="shared" si="0"/>
        <v>200</v>
      </c>
      <c r="J36" s="10">
        <f t="shared" si="0"/>
        <v>200</v>
      </c>
      <c r="K36" s="10">
        <f t="shared" si="0"/>
        <v>200</v>
      </c>
      <c r="L36" s="10">
        <f t="shared" si="0"/>
        <v>200</v>
      </c>
      <c r="M36" s="10">
        <f t="shared" si="0"/>
        <v>200</v>
      </c>
      <c r="N36" s="10">
        <f t="shared" si="0"/>
        <v>200</v>
      </c>
      <c r="O36" s="10">
        <f t="shared" si="0"/>
        <v>200</v>
      </c>
      <c r="P36" s="10">
        <f t="shared" si="0"/>
        <v>200</v>
      </c>
      <c r="Q36" s="10">
        <f t="shared" si="0"/>
        <v>200</v>
      </c>
      <c r="R36" s="10">
        <f t="shared" si="0"/>
        <v>200</v>
      </c>
      <c r="S36" s="10">
        <f t="shared" si="0"/>
        <v>200</v>
      </c>
      <c r="T36" s="10">
        <f t="shared" si="0"/>
        <v>200</v>
      </c>
      <c r="U36" s="10">
        <f t="shared" si="0"/>
        <v>200</v>
      </c>
      <c r="V36" s="10">
        <f t="shared" si="0"/>
        <v>200</v>
      </c>
      <c r="W36" s="10">
        <f t="shared" si="0"/>
        <v>200</v>
      </c>
      <c r="X36" s="10">
        <f t="shared" si="0"/>
        <v>200</v>
      </c>
      <c r="Y36" s="10">
        <f t="shared" si="0"/>
        <v>200</v>
      </c>
      <c r="Z36" s="10">
        <f t="shared" si="0"/>
        <v>200</v>
      </c>
      <c r="AA36" s="10">
        <f t="shared" si="0"/>
        <v>200</v>
      </c>
      <c r="AB36" s="10">
        <f t="shared" si="0"/>
        <v>200</v>
      </c>
      <c r="AC36" s="10">
        <f t="shared" si="0"/>
        <v>200</v>
      </c>
      <c r="AD36" s="10">
        <f t="shared" si="0"/>
        <v>200</v>
      </c>
    </row>
    <row r="37" spans="4:30">
      <c r="D37" t="s">
        <v>96</v>
      </c>
      <c r="E37" s="2" t="s">
        <v>98</v>
      </c>
      <c r="F37" s="8">
        <v>1000</v>
      </c>
      <c r="G37" s="10">
        <f>$F$37</f>
        <v>1000</v>
      </c>
      <c r="H37" s="10">
        <f t="shared" ref="H37:AD37" si="1">$F$37</f>
        <v>1000</v>
      </c>
      <c r="I37" s="10">
        <f t="shared" si="1"/>
        <v>1000</v>
      </c>
      <c r="J37" s="10">
        <f t="shared" si="1"/>
        <v>1000</v>
      </c>
      <c r="K37" s="10">
        <f t="shared" si="1"/>
        <v>1000</v>
      </c>
      <c r="L37" s="10">
        <f t="shared" si="1"/>
        <v>1000</v>
      </c>
      <c r="M37" s="10">
        <f t="shared" si="1"/>
        <v>1000</v>
      </c>
      <c r="N37" s="10">
        <f t="shared" si="1"/>
        <v>1000</v>
      </c>
      <c r="O37" s="10">
        <f t="shared" si="1"/>
        <v>1000</v>
      </c>
      <c r="P37" s="10">
        <f t="shared" si="1"/>
        <v>1000</v>
      </c>
      <c r="Q37" s="10">
        <f t="shared" si="1"/>
        <v>1000</v>
      </c>
      <c r="R37" s="10">
        <f t="shared" si="1"/>
        <v>1000</v>
      </c>
      <c r="S37" s="10">
        <f t="shared" si="1"/>
        <v>1000</v>
      </c>
      <c r="T37" s="10">
        <f t="shared" si="1"/>
        <v>1000</v>
      </c>
      <c r="U37" s="10">
        <f t="shared" si="1"/>
        <v>1000</v>
      </c>
      <c r="V37" s="10">
        <f t="shared" si="1"/>
        <v>1000</v>
      </c>
      <c r="W37" s="10">
        <f t="shared" si="1"/>
        <v>1000</v>
      </c>
      <c r="X37" s="10">
        <f t="shared" si="1"/>
        <v>1000</v>
      </c>
      <c r="Y37" s="10">
        <f t="shared" si="1"/>
        <v>1000</v>
      </c>
      <c r="Z37" s="10">
        <f t="shared" si="1"/>
        <v>1000</v>
      </c>
      <c r="AA37" s="10">
        <f t="shared" si="1"/>
        <v>1000</v>
      </c>
      <c r="AB37" s="10">
        <f t="shared" si="1"/>
        <v>1000</v>
      </c>
      <c r="AC37" s="10">
        <f t="shared" si="1"/>
        <v>1000</v>
      </c>
      <c r="AD37" s="10">
        <f t="shared" si="1"/>
        <v>1000</v>
      </c>
    </row>
    <row r="38" spans="4:30">
      <c r="D38" t="s">
        <v>62</v>
      </c>
      <c r="E38" s="2" t="s">
        <v>61</v>
      </c>
      <c r="F38" s="2"/>
      <c r="G38" s="8">
        <v>1000</v>
      </c>
      <c r="H38" s="8">
        <v>1000</v>
      </c>
      <c r="I38" s="8">
        <v>1000</v>
      </c>
      <c r="J38" s="8">
        <v>1000</v>
      </c>
      <c r="K38" s="8">
        <v>1000</v>
      </c>
      <c r="L38" s="8">
        <v>1000</v>
      </c>
      <c r="M38" s="8">
        <v>1000</v>
      </c>
      <c r="N38" s="8">
        <v>1000</v>
      </c>
      <c r="O38" s="8">
        <v>1000</v>
      </c>
      <c r="P38" s="8">
        <v>1000</v>
      </c>
      <c r="Q38" s="8">
        <v>1000</v>
      </c>
      <c r="R38" s="8">
        <v>1000</v>
      </c>
      <c r="S38" s="8">
        <v>1000</v>
      </c>
      <c r="T38" s="8">
        <v>1000</v>
      </c>
      <c r="U38" s="8">
        <v>1000</v>
      </c>
      <c r="V38" s="8">
        <v>1000</v>
      </c>
      <c r="W38" s="8">
        <v>1000</v>
      </c>
      <c r="X38" s="8">
        <v>1000</v>
      </c>
      <c r="Y38" s="8">
        <v>1000</v>
      </c>
      <c r="Z38" s="8">
        <v>1000</v>
      </c>
      <c r="AA38" s="8">
        <v>1000</v>
      </c>
      <c r="AB38" s="8">
        <v>1000</v>
      </c>
      <c r="AC38" s="8">
        <v>1000</v>
      </c>
      <c r="AD38" s="8">
        <v>1000</v>
      </c>
    </row>
    <row r="40" spans="4:30" ht="20.25" thickBot="1">
      <c r="D40" s="1" t="s">
        <v>47</v>
      </c>
      <c r="E40" s="7" t="s">
        <v>37</v>
      </c>
      <c r="F40" s="7"/>
      <c r="G40" s="3" t="s">
        <v>12</v>
      </c>
      <c r="H40" s="3" t="s">
        <v>13</v>
      </c>
      <c r="I40" s="3" t="s">
        <v>14</v>
      </c>
      <c r="J40" s="3" t="s">
        <v>15</v>
      </c>
      <c r="K40" s="3" t="s">
        <v>16</v>
      </c>
      <c r="L40" s="3" t="s">
        <v>17</v>
      </c>
      <c r="M40" s="3" t="s">
        <v>18</v>
      </c>
      <c r="N40" s="3" t="s">
        <v>19</v>
      </c>
      <c r="O40" s="3" t="s">
        <v>20</v>
      </c>
      <c r="P40" s="3" t="s">
        <v>21</v>
      </c>
      <c r="Q40" s="3" t="s">
        <v>22</v>
      </c>
      <c r="R40" s="3" t="s">
        <v>23</v>
      </c>
      <c r="S40" s="3" t="s">
        <v>24</v>
      </c>
      <c r="T40" s="3" t="s">
        <v>25</v>
      </c>
      <c r="U40" s="3" t="s">
        <v>26</v>
      </c>
      <c r="V40" s="3" t="s">
        <v>27</v>
      </c>
      <c r="W40" s="3" t="s">
        <v>28</v>
      </c>
      <c r="X40" s="3" t="s">
        <v>29</v>
      </c>
      <c r="Y40" s="3" t="s">
        <v>30</v>
      </c>
      <c r="Z40" s="3" t="s">
        <v>31</v>
      </c>
      <c r="AA40" s="3" t="s">
        <v>32</v>
      </c>
      <c r="AB40" s="3" t="s">
        <v>33</v>
      </c>
      <c r="AC40" s="3" t="s">
        <v>34</v>
      </c>
      <c r="AD40" s="3" t="s">
        <v>35</v>
      </c>
    </row>
    <row r="41" spans="4:30" ht="15.75" thickTop="1">
      <c r="D41" t="s">
        <v>36</v>
      </c>
      <c r="E41" s="2" t="s">
        <v>2</v>
      </c>
      <c r="F41" s="2"/>
      <c r="G41" s="5">
        <v>46.85</v>
      </c>
      <c r="H41" s="5">
        <v>45.06</v>
      </c>
      <c r="I41" s="5">
        <v>43.83</v>
      </c>
      <c r="J41" s="5">
        <v>42.55</v>
      </c>
      <c r="K41" s="5">
        <v>42.62</v>
      </c>
      <c r="L41" s="5">
        <v>46.61</v>
      </c>
      <c r="M41" s="5">
        <v>76.48</v>
      </c>
      <c r="N41" s="5">
        <v>77.489999999999995</v>
      </c>
      <c r="O41" s="5">
        <v>73.64</v>
      </c>
      <c r="P41" s="5">
        <v>68.510000000000005</v>
      </c>
      <c r="Q41" s="5">
        <v>67.62</v>
      </c>
      <c r="R41" s="5">
        <v>69.34</v>
      </c>
      <c r="S41" s="5">
        <v>69.23</v>
      </c>
      <c r="T41" s="4">
        <v>74.680000000000007</v>
      </c>
      <c r="U41" s="4">
        <v>86.84</v>
      </c>
      <c r="V41" s="4">
        <v>97.79</v>
      </c>
      <c r="W41" s="4">
        <v>91.29</v>
      </c>
      <c r="X41" s="4">
        <v>99.07</v>
      </c>
      <c r="Y41" s="4">
        <v>103.56</v>
      </c>
      <c r="Z41" s="4">
        <v>108.67</v>
      </c>
      <c r="AA41" s="4">
        <v>98.73</v>
      </c>
      <c r="AB41" s="4">
        <v>91.91</v>
      </c>
      <c r="AC41" s="4">
        <v>53.34</v>
      </c>
      <c r="AD41" s="4">
        <v>48.72</v>
      </c>
    </row>
    <row r="42" spans="4:30">
      <c r="D42" t="s">
        <v>54</v>
      </c>
      <c r="E42" s="2" t="s">
        <v>48</v>
      </c>
      <c r="F42" s="5">
        <v>5</v>
      </c>
    </row>
    <row r="43" spans="4:30">
      <c r="D43" t="s">
        <v>55</v>
      </c>
      <c r="E43" s="2" t="s">
        <v>49</v>
      </c>
      <c r="F43" s="5">
        <v>5</v>
      </c>
    </row>
    <row r="44" spans="4:30">
      <c r="D44" t="s">
        <v>56</v>
      </c>
      <c r="E44" s="2" t="s">
        <v>50</v>
      </c>
      <c r="F44" s="5">
        <v>1</v>
      </c>
    </row>
    <row r="45" spans="4:30">
      <c r="D45" t="s">
        <v>57</v>
      </c>
      <c r="E45" s="2" t="s">
        <v>51</v>
      </c>
      <c r="F45" s="5">
        <v>1</v>
      </c>
    </row>
    <row r="46" spans="4:30">
      <c r="D46" t="s">
        <v>58</v>
      </c>
      <c r="E46" s="2" t="s">
        <v>52</v>
      </c>
      <c r="F46" s="5">
        <v>1</v>
      </c>
    </row>
    <row r="47" spans="4:30">
      <c r="D47" t="s">
        <v>59</v>
      </c>
      <c r="E47" s="2" t="s">
        <v>53</v>
      </c>
      <c r="F47" s="5">
        <v>1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CA35DE-27EE-4EB1-92A4-E9A4EB4068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Inputs!G41:AD41</xm:f>
              <xm:sqref>F41</xm:sqref>
            </x14:sparkline>
            <x14:sparkline>
              <xm:f>Inputs!G38:AD38</xm:f>
              <xm:sqref>F38</xm:sqref>
            </x14:sparkline>
          </x14:sparklines>
        </x14:sparklineGroup>
        <x14:sparklineGroup displayEmptyCellsAs="gap" xr2:uid="{89FAA351-4CD0-46A1-8D77-812DD671BD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Inputs!G16:AD16</xm:f>
              <xm:sqref>F16</xm:sqref>
            </x14:sparkline>
            <x14:sparkline>
              <xm:f>Inputs!G17:AD17</xm:f>
              <xm:sqref>F17</xm:sqref>
            </x14:sparkline>
            <x14:sparkline>
              <xm:f>Inputs!G18:AD18</xm:f>
              <xm:sqref>F18</xm:sqref>
            </x14:sparkline>
            <x14:sparkline>
              <xm:f>Inputs!G19:AD19</xm:f>
              <xm:sqref>F19</xm:sqref>
            </x14:sparkline>
            <x14:sparkline>
              <xm:f>Inputs!G20:AD20</xm:f>
              <xm:sqref>F20</xm:sqref>
            </x14:sparkline>
            <x14:sparkline>
              <xm:f>Inputs!G21:AD21</xm:f>
              <xm:sqref>F21</xm:sqref>
            </x14:sparkline>
          </x14:sparklines>
        </x14:sparklineGroup>
        <x14:sparklineGroup displayEmptyCellsAs="gap" xr2:uid="{62D083DB-E6B1-4F01-A35C-9FD820D5AA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Inputs!G24:AD24</xm:f>
              <xm:sqref>F24</xm:sqref>
            </x14:sparkline>
            <x14:sparkline>
              <xm:f>Inputs!G25:AD25</xm:f>
              <xm:sqref>F25</xm:sqref>
            </x14:sparkline>
            <x14:sparkline>
              <xm:f>Inputs!G26:AD26</xm:f>
              <xm:sqref>F26</xm:sqref>
            </x14:sparkline>
            <x14:sparkline>
              <xm:f>Inputs!G27:AD27</xm:f>
              <xm:sqref>F27</xm:sqref>
            </x14:sparkline>
            <x14:sparkline>
              <xm:f>Inputs!G28:AD28</xm:f>
              <xm:sqref>F28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D884-2110-49D8-9700-EF0E90CF460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Pavicevic, Matija</dc:creator>
  <cp:lastModifiedBy>Pavicevic, Matija</cp:lastModifiedBy>
  <dcterms:created xsi:type="dcterms:W3CDTF">2024-06-18T13:16:56Z</dcterms:created>
  <dcterms:modified xsi:type="dcterms:W3CDTF">2024-06-18T20:12:08Z</dcterms:modified>
</cp:coreProperties>
</file>