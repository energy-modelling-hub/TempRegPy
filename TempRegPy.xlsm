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645FD8B8-5E8B-4EA3-9404-699556073C6C}" xr6:coauthVersionLast="47" xr6:coauthVersionMax="47" xr10:uidLastSave="{00000000-0000-0000-0000-000000000000}"/>
  <bookViews>
    <workbookView xWindow="-14205" yWindow="-16320" windowWidth="29040" windowHeight="15840" activeTab="1" xr2:uid="{EDE72A4E-5E83-4998-A3FD-57974B6FA13E}"/>
  </bookViews>
  <sheets>
    <sheet name="Inputs" sheetId="1" r:id="rId1"/>
    <sheet name="Power and Flow" sheetId="7" r:id="rId2"/>
  </sheets>
  <definedNames>
    <definedName name="ExternalData_1" localSheetId="1" hidden="1">'Power and Flow'!$E$4:$AB$14</definedName>
    <definedName name="ExternalData_2" localSheetId="1" hidden="1">'Power and Flow'!$E$15:$AB$22</definedName>
    <definedName name="FolderPath">'Power and Flow'!$F$3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1" l="1"/>
  <c r="G13" i="1" s="1"/>
  <c r="G61" i="1" l="1"/>
  <c r="G59" i="1"/>
  <c r="G57" i="1"/>
  <c r="G60" i="1"/>
  <c r="G58" i="1"/>
  <c r="G56" i="1"/>
  <c r="G27" i="1"/>
  <c r="G33" i="1"/>
  <c r="G38" i="1"/>
  <c r="G42" i="1"/>
  <c r="G21" i="1"/>
  <c r="F3" i="7" a="1"/>
  <c r="F3" i="7" s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G51" i="1"/>
  <c r="G50" i="1"/>
  <c r="F4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3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5" xr16:uid="{67BF8B20-BF59-4BA9-808B-A3B14F4E0BC0}" keepAlive="1" name="Query - Temperature_summary" description="Connection to the 'Temperature_summary' query in the workbook." type="5" refreshedVersion="8" background="1" saveData="1">
    <dbPr connection="Provider=Microsoft.Mashup.OleDb.1;Data Source=$Workbook$;Location=Temperature_summary;Extended Properties=&quot;&quot;" command="SELECT * FROM [Temperature_summary]"/>
  </connection>
  <connection id="6" xr16:uid="{75FD620C-E26F-42F5-A7D5-4FA824849ABA}" keepAlive="1" name="Query - Test2 (2)" description="Connection to the 'Test2 (2)' query in the workbook." type="5" refreshedVersion="8" background="1" saveData="1">
    <dbPr connection="Provider=Microsoft.Mashup.OleDb.1;Data Source=$Workbook$;Location=&quot;Test2 (2)&quot;;Extended Properties=&quot;&quot;" command="SELECT * FROM [Test2 (2)]"/>
  </connection>
  <connection id="7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9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0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<sst xmlns="http://schemas.openxmlformats.org/spreadsheetml/2006/main" count="329" uniqueCount="210">
  <si>
    <t>Glen Canyon Dam Inputs</t>
  </si>
  <si>
    <t>Temperature</t>
  </si>
  <si>
    <t>LMP_values</t>
  </si>
  <si>
    <t>T_RM61_hourly_max_values</t>
  </si>
  <si>
    <t>T_RM61_hourly_min_values</t>
  </si>
  <si>
    <t>dT_hourly_values</t>
  </si>
  <si>
    <t>T_ramp_up_delta</t>
  </si>
  <si>
    <t>T_ramp_down_delta</t>
  </si>
  <si>
    <t>T_RM61_daily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</si>
  <si>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</si>
  <si>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</si>
  <si>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</si>
  <si>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</si>
  <si>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</si>
  <si>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</si>
  <si>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</si>
  <si>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</si>
  <si>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</si>
  <si>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</si>
  <si>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</si>
  <si>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</si>
  <si>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</si>
  <si>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</si>
  <si>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</si>
  <si>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</si>
  <si>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</si>
  <si>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</si>
  <si>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</si>
  <si>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</si>
  <si>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</si>
  <si>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</si>
  <si>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</si>
  <si>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</si>
  <si>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</si>
  <si>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</si>
  <si>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</si>
  <si>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</si>
  <si>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</si>
  <si>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</si>
  <si>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</si>
  <si>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</si>
  <si>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</si>
  <si>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</si>
  <si>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</si>
  <si>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</si>
  <si>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</si>
  <si>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</si>
  <si>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</si>
  <si>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</si>
  <si>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</si>
  <si>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</si>
  <si>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</si>
  <si>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</si>
  <si>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</si>
  <si>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</si>
  <si>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</si>
  <si>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</si>
  <si>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</si>
  <si>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</si>
  <si>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</si>
  <si>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</si>
  <si>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</si>
  <si>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</si>
  <si>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</si>
  <si>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</si>
  <si>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</si>
  <si>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</si>
  <si>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</si>
  <si>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</si>
  <si>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</si>
  <si>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</si>
  <si>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</si>
  <si>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</si>
  <si>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</si>
  <si>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</si>
  <si>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</si>
  <si>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</si>
  <si>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</si>
  <si>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</si>
  <si>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</si>
  <si>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</si>
  <si>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</si>
  <si>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</si>
  <si>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</si>
  <si>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</si>
  <si>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</si>
  <si>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</si>
  <si>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</si>
  <si>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</si>
  <si>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</si>
  <si>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</si>
  <si>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</si>
  <si>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</si>
  <si>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</si>
  <si>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</si>
  <si>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</si>
  <si>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</si>
  <si>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</si>
  <si>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</si>
  <si>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</si>
  <si>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</si>
  <si>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Bypass Ramping Constraint</t>
  </si>
  <si>
    <t>Turbine Ramping Constraint</t>
  </si>
  <si>
    <t>cnstr_tur_ramp</t>
  </si>
  <si>
    <t>cnstr_bp_ramp</t>
  </si>
  <si>
    <t>Total Release Ramping Constraint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</si>
  <si>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</si>
  <si>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</si>
  <si>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</si>
  <si>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</si>
  <si>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</si>
  <si>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</si>
  <si>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</si>
  <si>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</si>
  <si>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</si>
  <si>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</si>
  <si>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</si>
  <si>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</si>
  <si>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</si>
  <si>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</si>
  <si>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</si>
  <si>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</si>
  <si>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</si>
  <si>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</si>
  <si>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</si>
  <si>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</si>
  <si>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</si>
  <si>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C:\Users\mpavicevic\AppData\Local\miniconda3\envs\tempregpy\python.exe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</si>
  <si>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</si>
  <si>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</si>
  <si>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</si>
  <si>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</si>
  <si>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</si>
  <si>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</si>
  <si>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</si>
  <si>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</si>
  <si>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</si>
  <si>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</si>
  <si>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</si>
  <si>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</si>
  <si>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</si>
  <si>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</si>
  <si>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</si>
  <si>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</si>
  <si>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</si>
  <si>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</si>
  <si>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</si>
  <si>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</si>
  <si>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</si>
  <si>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</si>
  <si>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</si>
  <si>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</si>
  <si>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</si>
  <si>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</si>
  <si>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Path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</si>
  <si>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</si>
  <si>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</si>
  <si>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</si>
  <si>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</si>
  <si>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</si>
  <si>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</si>
  <si>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</si>
  <si>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</si>
  <si>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</si>
  <si>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</si>
  <si>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Total Release Ramp Down</t>
  </si>
  <si>
    <t>Total Release Ramp Up</t>
  </si>
  <si>
    <t>Turbine Release</t>
  </si>
  <si>
    <t>Turbine Release Ramp Down</t>
  </si>
  <si>
    <t>Turbine Release Ramp Up</t>
  </si>
  <si>
    <t>Test</t>
  </si>
  <si>
    <t>Simulation Folder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</si>
  <si>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</si>
  <si>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</si>
  <si>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</si>
  <si>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</si>
  <si>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</si>
  <si>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</si>
  <si>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</si>
  <si>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</si>
  <si>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</si>
  <si>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</si>
  <si>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</si>
  <si>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</si>
  <si>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</si>
  <si>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</si>
  <si>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</si>
  <si>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</si>
  <si>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</si>
  <si>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</si>
  <si>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</si>
  <si>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</si>
  <si>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</si>
  <si>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</si>
  <si>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</si>
  <si>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</si>
  <si>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T_RM61</t>
  </si>
  <si>
    <t>T_RM61_max</t>
  </si>
  <si>
    <t>T_RM61_min</t>
  </si>
  <si>
    <t>T_min</t>
  </si>
  <si>
    <t>T_max</t>
  </si>
  <si>
    <t>T_dam</t>
  </si>
  <si>
    <t>d_T</t>
  </si>
  <si>
    <t>°C</t>
  </si>
  <si>
    <t>Test1</t>
  </si>
  <si>
    <t>Version</t>
  </si>
  <si>
    <t>version</t>
  </si>
  <si>
    <t>v0.0.1</t>
  </si>
  <si>
    <t>LP</t>
  </si>
  <si>
    <t>Total release - daily (AF)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</si>
</sst>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  <font>
      <i/>
      <sz val="11"/>
      <color rgb="FFFF000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  <xf numFmtId="0" fontId="15" fillId="0" borderId="0" applyNumberFormat="0" applyFill="0" applyBorder="0" applyAlignment="0" applyProtection="0"/>
  </cellStyleXfs>
  <cellXfs count="35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164" fontId="0" fillId="0" borderId="0" xfId="0" applyNumberFormat="1"/>
    <xf numFmtId="0" fontId="1" fillId="0" borderId="4" xfId="1"/>
    <xf numFmtId="0" fontId="3" fillId="0" borderId="2" xfId="3"/>
    <xf numFmtId="0" fontId="8" fillId="4" borderId="3" xfId="6"/>
    <xf numFmtId="3" fontId="13" fillId="6" borderId="3" xfId="8" applyNumberFormat="1" applyBorder="1"/>
    <xf numFmtId="0" fontId="15" fillId="0" borderId="7" xfId="9" applyFill="1" applyBorder="1"/>
    <xf numFmtId="0" fontId="13" fillId="7" borderId="0" xfId="8" applyFill="1"/>
    <xf numFmtId="0" fontId="0" fillId="7" borderId="0" xfId="0" applyFill="1"/>
    <xf numFmtId="0" fontId="13" fillId="7" borderId="0" xfId="8" applyFill="1" applyBorder="1" applyAlignment="1">
      <alignment horizontal="center"/>
    </xf>
  </cellXfs>
  <cellStyles count="10">
    <cellStyle name="Calculation" xfId="6" builtinId="22" customBuiltin="1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14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114300</xdr:rowOff>
        </xdr:from>
        <xdr:to>
          <xdr:col>3</xdr:col>
          <xdr:colOff>4305300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142875</xdr:rowOff>
        </xdr:from>
        <xdr:to>
          <xdr:col>5</xdr:col>
          <xdr:colOff>285750</xdr:colOff>
          <xdr:row>1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DF2F266-D835-4BAC-8257-D75624F19BAE}" autoFormatId="16" applyNumberFormats="0" applyBorderFormats="0" applyFontFormats="0" applyPatternFormats="0" applyAlignmentFormats="0" applyWidthHeightFormats="0">
  <queryTableRefresh nextId="55">
    <queryTableFields count="24">
      <queryTableField id="31" name="t01" tableColumnId="7"/>
      <queryTableField id="32" name="t02" tableColumnId="8"/>
      <queryTableField id="33" name="t03" tableColumnId="9"/>
      <queryTableField id="34" name="t04" tableColumnId="10"/>
      <queryTableField id="35" name="t05" tableColumnId="11"/>
      <queryTableField id="36" name="t06" tableColumnId="12"/>
      <queryTableField id="37" name="t07" tableColumnId="13"/>
      <queryTableField id="38" name="t08" tableColumnId="14"/>
      <queryTableField id="39" name="t09" tableColumnId="15"/>
      <queryTableField id="40" name="t10" tableColumnId="16"/>
      <queryTableField id="41" name="t11" tableColumnId="17"/>
      <queryTableField id="42" name="t12" tableColumnId="18"/>
      <queryTableField id="43" name="t13" tableColumnId="19"/>
      <queryTableField id="44" name="t14" tableColumnId="20"/>
      <queryTableField id="45" name="t15" tableColumnId="21"/>
      <queryTableField id="46" name="t16" tableColumnId="22"/>
      <queryTableField id="47" name="t17" tableColumnId="23"/>
      <queryTableField id="48" name="t18" tableColumnId="24"/>
      <queryTableField id="49" name="t19" tableColumnId="25"/>
      <queryTableField id="50" name="t20" tableColumnId="26"/>
      <queryTableField id="51" name="t21" tableColumnId="27"/>
      <queryTableField id="52" name="t22" tableColumnId="28"/>
      <queryTableField id="53" name="t23" tableColumnId="29"/>
      <queryTableField id="54" name="t24" tableColumnId="3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940F4C6D-5828-4ACA-B9BD-0DAE24517D69}" autoFormatId="16" applyNumberFormats="0" applyBorderFormats="0" applyFontFormats="0" applyPatternFormats="0" applyAlignmentFormats="0" applyWidthHeightFormats="0">
  <queryTableRefresh nextId="26">
    <queryTableFields count="2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Test2__2" displayName="Test2__2" ref="E4:AB14" tableType="queryTable" totalsRowShown="0">
  <autoFilter ref="E4:AB14" xr:uid="{C5018A3B-9F4D-4A44-B817-5FC1E17FA47B}"/>
  <tableColumns count="24">
    <tableColumn id="7" xr3:uid="{B0EE4460-094F-4E9C-B893-21335B947E4D}" uniqueName="7" name="t01" queryTableFieldId="31"/>
    <tableColumn id="8" xr3:uid="{E41060BC-414A-4D0C-87A8-79B8F552A8E0}" uniqueName="8" name="t02" queryTableFieldId="32"/>
    <tableColumn id="9" xr3:uid="{7ED3AAD3-FD85-44B2-866A-E7528782E6D4}" uniqueName="9" name="t03" queryTableFieldId="33"/>
    <tableColumn id="10" xr3:uid="{63821529-26B3-45DE-BEE2-455D755A0CBF}" uniqueName="10" name="t04" queryTableFieldId="34"/>
    <tableColumn id="11" xr3:uid="{4F9F1689-62B6-4B42-B063-D1FDDD641D51}" uniqueName="11" name="t05" queryTableFieldId="35"/>
    <tableColumn id="12" xr3:uid="{258CA559-E8C7-4EC4-89BA-508081376B57}" uniqueName="12" name="t06" queryTableFieldId="36"/>
    <tableColumn id="13" xr3:uid="{22063096-4E0B-4172-A64D-3D75E717286D}" uniqueName="13" name="t07" queryTableFieldId="37"/>
    <tableColumn id="14" xr3:uid="{A5C56D7E-A6D2-4343-92A0-BCD8F459DA01}" uniqueName="14" name="t08" queryTableFieldId="38"/>
    <tableColumn id="15" xr3:uid="{2B6D7C9E-32F2-4743-A2E9-C89C024EBA20}" uniqueName="15" name="t09" queryTableFieldId="39"/>
    <tableColumn id="16" xr3:uid="{150A53F4-062D-4654-9255-ED494E0A4299}" uniqueName="16" name="t10" queryTableFieldId="40"/>
    <tableColumn id="17" xr3:uid="{5210E693-D0AF-4717-B486-CB42D9097411}" uniqueName="17" name="t11" queryTableFieldId="41"/>
    <tableColumn id="18" xr3:uid="{C4169F44-60D6-4AB5-82BE-0756BAA23F5F}" uniqueName="18" name="t12" queryTableFieldId="42"/>
    <tableColumn id="19" xr3:uid="{80447F0E-D91E-4A6F-ABF1-BC42D29BE968}" uniqueName="19" name="t13" queryTableFieldId="43"/>
    <tableColumn id="20" xr3:uid="{B11673ED-1771-43DF-8DA9-BAD0C81E3D45}" uniqueName="20" name="t14" queryTableFieldId="44"/>
    <tableColumn id="21" xr3:uid="{DAE5F98A-0383-4DA6-936D-C429E4E0C770}" uniqueName="21" name="t15" queryTableFieldId="45"/>
    <tableColumn id="22" xr3:uid="{FB1FBC71-8317-4975-9110-6EF573F60407}" uniqueName="22" name="t16" queryTableFieldId="46"/>
    <tableColumn id="23" xr3:uid="{177AD5F2-455E-4CE5-A0E6-7AEB052CE2A6}" uniqueName="23" name="t17" queryTableFieldId="47"/>
    <tableColumn id="24" xr3:uid="{AD0C9201-6C1C-4BC9-8516-AAB6F9CB326E}" uniqueName="24" name="t18" queryTableFieldId="48"/>
    <tableColumn id="25" xr3:uid="{87AB0BA0-A6E6-4285-8533-7A6123767DBD}" uniqueName="25" name="t19" queryTableFieldId="49"/>
    <tableColumn id="26" xr3:uid="{23A6D16A-435F-486C-911E-0E0D1B522B94}" uniqueName="26" name="t20" queryTableFieldId="50"/>
    <tableColumn id="27" xr3:uid="{2B567335-CD96-4C26-8C47-EBEE3779C494}" uniqueName="27" name="t21" queryTableFieldId="51"/>
    <tableColumn id="28" xr3:uid="{E00CEF18-6C54-44C4-80EC-5BD4BBDB8BDD}" uniqueName="28" name="t22" queryTableFieldId="52"/>
    <tableColumn id="29" xr3:uid="{5D9EB5D2-CB7F-4727-A7F8-AB60F3E761AA}" uniqueName="29" name="t23" queryTableFieldId="53"/>
    <tableColumn id="30" xr3:uid="{DEBFF84D-3A87-4E8A-8401-532994610673}" uniqueName="30" name="t24" queryTableFieldId="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D4CA61-52EC-483D-8747-CC7F48372471}" name="Temperature_summary" displayName="Temperature_summary" ref="E15:AB22" tableType="queryTable" totalsRowShown="0">
  <autoFilter ref="E15:AB22" xr:uid="{D1D4CA61-52EC-483D-8747-CC7F48372471}"/>
  <tableColumns count="24">
    <tableColumn id="1" xr3:uid="{3C1B5474-4523-4B15-AC80-371C6673BD53}" uniqueName="1" name="Column1" queryTableFieldId="1"/>
    <tableColumn id="2" xr3:uid="{E270D97E-AB10-459E-9083-D426B0ACA2C0}" uniqueName="2" name="Column2" queryTableFieldId="2"/>
    <tableColumn id="3" xr3:uid="{1A72D2F9-C80B-4B8B-9A49-7529E0B9655D}" uniqueName="3" name="Column3" queryTableFieldId="3"/>
    <tableColumn id="4" xr3:uid="{42892218-39F9-4C8D-A622-BBB6A86AD569}" uniqueName="4" name="Column4" queryTableFieldId="4"/>
    <tableColumn id="5" xr3:uid="{88810089-5E0B-4791-80C8-1EFAAADADFEF}" uniqueName="5" name="Column5" queryTableFieldId="5"/>
    <tableColumn id="6" xr3:uid="{09154E51-D53F-4710-B5AB-AB3E5CE3DABA}" uniqueName="6" name="Column6" queryTableFieldId="6"/>
    <tableColumn id="7" xr3:uid="{5A7FA351-6FE4-4846-B65A-8A58AD05362D}" uniqueName="7" name="Column7" queryTableFieldId="7"/>
    <tableColumn id="8" xr3:uid="{5A758E8D-A958-40F3-B05F-5357C24B4AB9}" uniqueName="8" name="Column8" queryTableFieldId="8"/>
    <tableColumn id="9" xr3:uid="{9918822C-FBF2-40C5-B44A-FC7C90506F6C}" uniqueName="9" name="Column9" queryTableFieldId="9"/>
    <tableColumn id="10" xr3:uid="{3A568801-BAF9-4CFA-B358-6F33F13E76DE}" uniqueName="10" name="Column10" queryTableFieldId="10"/>
    <tableColumn id="11" xr3:uid="{8C5E9224-5AC0-4B7D-B318-BC0F325A4E7C}" uniqueName="11" name="Column11" queryTableFieldId="11"/>
    <tableColumn id="12" xr3:uid="{1B744605-E969-4315-A2B7-DB4208F727F7}" uniqueName="12" name="Column12" queryTableFieldId="12"/>
    <tableColumn id="13" xr3:uid="{6ADD063F-75CA-453F-BD48-A57D26D59977}" uniqueName="13" name="Column13" queryTableFieldId="13"/>
    <tableColumn id="14" xr3:uid="{83929CED-B897-4365-860C-14FDC28BC7B5}" uniqueName="14" name="Column14" queryTableFieldId="14"/>
    <tableColumn id="15" xr3:uid="{9EF9D4BF-AE2C-48C4-B978-B96B4C5CE17E}" uniqueName="15" name="Column15" queryTableFieldId="15"/>
    <tableColumn id="16" xr3:uid="{5A5284FF-3103-40E5-BCC7-33BFA56043B6}" uniqueName="16" name="Column16" queryTableFieldId="16"/>
    <tableColumn id="17" xr3:uid="{41ECF4AC-1F7A-4636-B621-2DC23046D6C3}" uniqueName="17" name="Column17" queryTableFieldId="17"/>
    <tableColumn id="18" xr3:uid="{6982DCF8-BDB8-4A4C-A446-6A8F383F2838}" uniqueName="18" name="Column18" queryTableFieldId="18"/>
    <tableColumn id="19" xr3:uid="{9DF21D4F-3ECD-46C5-8921-F46C279AACA8}" uniqueName="19" name="Column19" queryTableFieldId="19"/>
    <tableColumn id="20" xr3:uid="{85701D27-016D-4FC7-8545-36D4BD454106}" uniqueName="20" name="Column20" queryTableFieldId="20"/>
    <tableColumn id="21" xr3:uid="{3A749746-CD9F-4942-80C6-298B3FFBCDD9}" uniqueName="21" name="Column21" queryTableFieldId="21"/>
    <tableColumn id="22" xr3:uid="{9160C62D-367F-4E6B-9D9B-64D5642A2F1E}" uniqueName="22" name="Column22" queryTableFieldId="22"/>
    <tableColumn id="23" xr3:uid="{586BDB9D-B32E-43CA-A5F4-9CD28B662B92}" uniqueName="23" name="Column23" queryTableFieldId="23"/>
    <tableColumn id="24" xr3:uid="{6DC2BE1A-A628-464E-9050-E00DFD5B0B07}" uniqueName="24" name="Column24" queryTableField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D61"/>
  <sheetViews>
    <sheetView workbookViewId="0">
      <selection activeCell="I23" sqref="I23"/>
    </sheetView>
  </sheetViews>
  <sheetFormatPr defaultRowHeight="15"/>
  <cols>
    <col min="1" max="3" width="1.7109375" customWidth="1"/>
    <col min="4" max="4" width="69.28515625" bestFit="1" customWidth="1"/>
    <col min="5" max="5" width="29" bestFit="1" customWidth="1"/>
    <col min="6" max="6" width="13.140625" bestFit="1" customWidth="1"/>
  </cols>
  <sheetData>
    <row r="1" spans="4:30" ht="24.75" thickBot="1">
      <c r="D1" s="6" t="s">
        <v>0</v>
      </c>
      <c r="E1" s="13" t="s">
        <v>37</v>
      </c>
      <c r="F1" s="14" t="s">
        <v>65</v>
      </c>
      <c r="G1" s="14" t="s">
        <v>12</v>
      </c>
      <c r="H1" s="14" t="s">
        <v>13</v>
      </c>
      <c r="I1" s="14" t="s">
        <v>14</v>
      </c>
      <c r="J1" s="14" t="s">
        <v>15</v>
      </c>
      <c r="K1" s="14" t="s">
        <v>16</v>
      </c>
      <c r="L1" s="14" t="s">
        <v>17</v>
      </c>
      <c r="M1" s="14" t="s">
        <v>18</v>
      </c>
      <c r="N1" s="14" t="s">
        <v>19</v>
      </c>
      <c r="O1" s="14" t="s">
        <v>20</v>
      </c>
      <c r="P1" s="14" t="s">
        <v>21</v>
      </c>
      <c r="Q1" s="14" t="s">
        <v>22</v>
      </c>
      <c r="R1" s="14" t="s">
        <v>23</v>
      </c>
      <c r="S1" s="14" t="s">
        <v>24</v>
      </c>
      <c r="T1" s="14" t="s">
        <v>25</v>
      </c>
      <c r="U1" s="14" t="s">
        <v>26</v>
      </c>
      <c r="V1" s="14" t="s">
        <v>27</v>
      </c>
      <c r="W1" s="14" t="s">
        <v>28</v>
      </c>
      <c r="X1" s="14" t="s">
        <v>29</v>
      </c>
      <c r="Y1" s="14" t="s">
        <v>30</v>
      </c>
      <c r="Z1" s="14" t="s">
        <v>31</v>
      </c>
      <c r="AA1" s="14" t="s">
        <v>32</v>
      </c>
      <c r="AB1" s="14" t="s">
        <v>33</v>
      </c>
      <c r="AC1" s="14" t="s">
        <v>34</v>
      </c>
      <c r="AD1" s="14" t="s">
        <v>35</v>
      </c>
    </row>
    <row r="2" spans="4:30" ht="15.75" customHeight="1" thickTop="1" thickBot="1">
      <c r="D2" s="1" t="s">
        <v>123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4:30" ht="15.75" customHeight="1" thickTop="1">
      <c r="D3" t="s">
        <v>205</v>
      </c>
      <c r="E3" s="2" t="s">
        <v>206</v>
      </c>
      <c r="F3" s="15" t="s">
        <v>207</v>
      </c>
      <c r="G3" s="24"/>
      <c r="H3" s="32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4"/>
    </row>
    <row r="4" spans="4:30" ht="15.75" customHeight="1">
      <c r="D4" t="s">
        <v>122</v>
      </c>
      <c r="F4" s="22" t="s">
        <v>124</v>
      </c>
      <c r="G4" s="23" t="s">
        <v>125</v>
      </c>
      <c r="H4" s="16" t="s">
        <v>126</v>
      </c>
      <c r="I4" s="2" t="s">
        <v>121</v>
      </c>
      <c r="AC4" s="16" t="s">
        <v>208</v>
      </c>
      <c r="AD4" s="16" t="b">
        <v>1</v>
      </c>
    </row>
    <row r="5" spans="4:30" ht="15.75" customHeight="1">
      <c r="F5" s="15"/>
      <c r="G5" s="24"/>
      <c r="H5" s="25"/>
      <c r="AC5" s="16"/>
      <c r="AD5" s="17" t="b">
        <v>0</v>
      </c>
    </row>
    <row r="6" spans="4:30" ht="15.75" customHeight="1" thickBot="1">
      <c r="D6" s="1" t="s">
        <v>100</v>
      </c>
      <c r="E6" s="7" t="s">
        <v>37</v>
      </c>
      <c r="F6" s="3" t="s">
        <v>65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4:30" ht="15.75" customHeight="1" thickTop="1">
      <c r="D7" t="s">
        <v>99</v>
      </c>
      <c r="E7" s="2" t="s">
        <v>98</v>
      </c>
      <c r="F7" s="30" t="s">
        <v>127</v>
      </c>
    </row>
    <row r="8" spans="4:30" ht="15.75" customHeight="1">
      <c r="D8" t="s">
        <v>120</v>
      </c>
      <c r="E8" s="2" t="s">
        <v>119</v>
      </c>
      <c r="F8" s="4" t="s">
        <v>204</v>
      </c>
    </row>
    <row r="9" spans="4:30" ht="15.75" customHeight="1">
      <c r="D9" t="s">
        <v>152</v>
      </c>
      <c r="E9" s="2" t="s">
        <v>153</v>
      </c>
      <c r="F9" s="4" t="b">
        <v>1</v>
      </c>
    </row>
    <row r="10" spans="4:30" ht="15.75" customHeight="1">
      <c r="E10" s="2"/>
      <c r="F10" s="4" t="s">
        <v>208</v>
      </c>
    </row>
    <row r="12" spans="4:30" ht="20.25" thickBot="1">
      <c r="D12" s="1" t="s">
        <v>60</v>
      </c>
      <c r="E12" s="7" t="s">
        <v>37</v>
      </c>
      <c r="F12" s="3" t="s">
        <v>65</v>
      </c>
      <c r="G12" s="3" t="s">
        <v>12</v>
      </c>
      <c r="H12" s="3" t="s">
        <v>13</v>
      </c>
      <c r="I12" s="3" t="s">
        <v>14</v>
      </c>
      <c r="J12" s="3" t="s">
        <v>15</v>
      </c>
      <c r="K12" s="3" t="s">
        <v>16</v>
      </c>
      <c r="L12" s="3" t="s">
        <v>17</v>
      </c>
      <c r="M12" s="3" t="s">
        <v>18</v>
      </c>
      <c r="N12" s="3" t="s">
        <v>19</v>
      </c>
      <c r="O12" s="3" t="s">
        <v>20</v>
      </c>
      <c r="P12" s="3" t="s">
        <v>21</v>
      </c>
      <c r="Q12" s="3" t="s">
        <v>22</v>
      </c>
      <c r="R12" s="3" t="s">
        <v>23</v>
      </c>
      <c r="S12" s="3" t="s">
        <v>24</v>
      </c>
      <c r="T12" s="3" t="s">
        <v>25</v>
      </c>
      <c r="U12" s="3" t="s">
        <v>26</v>
      </c>
      <c r="V12" s="3" t="s">
        <v>27</v>
      </c>
      <c r="W12" s="3" t="s">
        <v>28</v>
      </c>
      <c r="X12" s="3" t="s">
        <v>29</v>
      </c>
      <c r="Y12" s="3" t="s">
        <v>30</v>
      </c>
      <c r="Z12" s="3" t="s">
        <v>31</v>
      </c>
      <c r="AA12" s="3" t="s">
        <v>32</v>
      </c>
      <c r="AB12" s="3" t="s">
        <v>33</v>
      </c>
      <c r="AC12" s="3" t="s">
        <v>34</v>
      </c>
      <c r="AD12" s="3" t="s">
        <v>35</v>
      </c>
    </row>
    <row r="13" spans="4:30" ht="15.75" thickTop="1">
      <c r="D13" s="18" t="s">
        <v>209</v>
      </c>
      <c r="E13" s="2" t="s">
        <v>66</v>
      </c>
      <c r="F13" s="8">
        <f>235003/12.1</f>
        <v>19421.735537190085</v>
      </c>
      <c r="G13" s="31" t="str">
        <f>IF(F13&gt;SUM(G32:AD32)/12.1, "The total release of " &amp;F13&amp; " is higher than sum of maximum releases " &amp; SUM(G32:AD32)/12.1,"")</f>
        <v/>
      </c>
    </row>
    <row r="14" spans="4:30" ht="15.75" customHeight="1" thickBot="1">
      <c r="D14" s="19" t="s">
        <v>107</v>
      </c>
      <c r="E14" s="2" t="s">
        <v>108</v>
      </c>
      <c r="F14" s="4" t="b">
        <v>1</v>
      </c>
    </row>
    <row r="15" spans="4:30">
      <c r="D15" s="18" t="s">
        <v>68</v>
      </c>
      <c r="E15" s="2" t="s">
        <v>67</v>
      </c>
      <c r="F15" s="8">
        <v>8000</v>
      </c>
    </row>
    <row r="16" spans="4:30" ht="15.75" customHeight="1" thickBot="1">
      <c r="D16" s="19" t="s">
        <v>101</v>
      </c>
      <c r="E16" s="2" t="s">
        <v>104</v>
      </c>
      <c r="F16" s="4" t="b">
        <v>1</v>
      </c>
    </row>
    <row r="17" spans="4:30">
      <c r="D17" s="18" t="s">
        <v>76</v>
      </c>
      <c r="E17" s="2" t="s">
        <v>69</v>
      </c>
      <c r="F17" s="8">
        <v>15000</v>
      </c>
    </row>
    <row r="18" spans="4:30">
      <c r="D18" s="18" t="s">
        <v>75</v>
      </c>
      <c r="E18" s="2" t="s">
        <v>70</v>
      </c>
      <c r="F18" s="8">
        <v>15000</v>
      </c>
    </row>
    <row r="19" spans="4:30">
      <c r="D19" s="18" t="s">
        <v>87</v>
      </c>
      <c r="E19" s="2" t="s">
        <v>81</v>
      </c>
      <c r="F19" s="2"/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>
        <v>5000</v>
      </c>
      <c r="P19" s="8">
        <v>0</v>
      </c>
      <c r="Q19" s="8">
        <v>0</v>
      </c>
      <c r="R19" s="8">
        <v>0</v>
      </c>
      <c r="S19" s="8">
        <v>0</v>
      </c>
      <c r="T19" s="8">
        <v>0</v>
      </c>
      <c r="U19" s="8">
        <v>0</v>
      </c>
      <c r="V19" s="8">
        <v>5000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v>0</v>
      </c>
      <c r="AC19" s="8">
        <v>0</v>
      </c>
      <c r="AD19" s="8">
        <v>0</v>
      </c>
    </row>
    <row r="20" spans="4:30">
      <c r="D20" s="18" t="s">
        <v>88</v>
      </c>
      <c r="E20" s="2" t="s">
        <v>82</v>
      </c>
      <c r="F20" s="2"/>
      <c r="G20" s="8">
        <v>15000</v>
      </c>
      <c r="H20" s="8">
        <v>15000</v>
      </c>
      <c r="I20" s="8">
        <v>15000</v>
      </c>
      <c r="J20" s="8">
        <v>15000</v>
      </c>
      <c r="K20" s="8">
        <v>15000</v>
      </c>
      <c r="L20" s="8">
        <v>15000</v>
      </c>
      <c r="M20" s="8">
        <v>15000</v>
      </c>
      <c r="N20" s="8">
        <v>10000</v>
      </c>
      <c r="O20" s="8">
        <v>15000</v>
      </c>
      <c r="P20" s="8">
        <v>15000</v>
      </c>
      <c r="Q20" s="8">
        <v>15000</v>
      </c>
      <c r="R20" s="8">
        <v>15000</v>
      </c>
      <c r="S20" s="8">
        <v>15000</v>
      </c>
      <c r="T20" s="8">
        <v>15000</v>
      </c>
      <c r="U20" s="8">
        <v>15000</v>
      </c>
      <c r="V20" s="8">
        <v>15000</v>
      </c>
      <c r="W20" s="8">
        <v>15000</v>
      </c>
      <c r="X20" s="8">
        <v>15000</v>
      </c>
      <c r="Y20" s="8">
        <v>15000</v>
      </c>
      <c r="Z20" s="8">
        <v>15000</v>
      </c>
      <c r="AA20" s="8">
        <v>15000</v>
      </c>
      <c r="AB20" s="8">
        <v>15000</v>
      </c>
      <c r="AC20" s="8">
        <v>15000</v>
      </c>
      <c r="AD20" s="8">
        <v>15000</v>
      </c>
    </row>
    <row r="21" spans="4:30" ht="15.75" customHeight="1" thickBot="1">
      <c r="D21" s="19" t="s">
        <v>113</v>
      </c>
      <c r="E21" s="2" t="s">
        <v>109</v>
      </c>
      <c r="F21" s="4" t="b">
        <v>1</v>
      </c>
      <c r="G21" s="31" t="str">
        <f>IF(G41=AD41,"","Might cause infeasibility because Temperature delta between Glen Canyon and RM61 at H01 and H24 are not the same")</f>
        <v/>
      </c>
    </row>
    <row r="22" spans="4:30" ht="15.75" customHeight="1" thickBot="1">
      <c r="D22" s="19" t="s">
        <v>102</v>
      </c>
      <c r="E22" s="2" t="s">
        <v>103</v>
      </c>
      <c r="F22" s="4" t="b">
        <v>1</v>
      </c>
    </row>
    <row r="23" spans="4:30">
      <c r="D23" s="18" t="s">
        <v>78</v>
      </c>
      <c r="E23" s="2" t="s">
        <v>71</v>
      </c>
      <c r="F23" s="8">
        <v>4000</v>
      </c>
    </row>
    <row r="24" spans="4:30">
      <c r="D24" s="18" t="s">
        <v>77</v>
      </c>
      <c r="E24" s="2" t="s">
        <v>72</v>
      </c>
      <c r="F24" s="8">
        <v>25000</v>
      </c>
    </row>
    <row r="25" spans="4:30">
      <c r="D25" s="18" t="s">
        <v>89</v>
      </c>
      <c r="E25" s="2" t="s">
        <v>83</v>
      </c>
      <c r="F25" s="2"/>
      <c r="G25" s="8">
        <v>2400</v>
      </c>
      <c r="H25" s="8">
        <v>2400</v>
      </c>
      <c r="I25" s="8">
        <v>2400</v>
      </c>
      <c r="J25" s="8">
        <v>2400</v>
      </c>
      <c r="K25" s="8">
        <v>2400</v>
      </c>
      <c r="L25" s="8">
        <v>2400</v>
      </c>
      <c r="M25" s="8">
        <v>2400</v>
      </c>
      <c r="N25" s="8">
        <v>2400</v>
      </c>
      <c r="O25" s="8">
        <v>2400</v>
      </c>
      <c r="P25" s="8">
        <v>2400</v>
      </c>
      <c r="Q25" s="8">
        <v>2400</v>
      </c>
      <c r="R25" s="8">
        <v>2400</v>
      </c>
      <c r="S25" s="8">
        <v>2400</v>
      </c>
      <c r="T25" s="8">
        <v>2400</v>
      </c>
      <c r="U25" s="8">
        <v>2400</v>
      </c>
      <c r="V25" s="8">
        <v>2400</v>
      </c>
      <c r="W25" s="8">
        <v>2400</v>
      </c>
      <c r="X25" s="8">
        <v>2400</v>
      </c>
      <c r="Y25" s="8">
        <v>2400</v>
      </c>
      <c r="Z25" s="8">
        <v>2400</v>
      </c>
      <c r="AA25" s="8">
        <v>2400</v>
      </c>
      <c r="AB25" s="8">
        <v>2400</v>
      </c>
      <c r="AC25" s="8">
        <v>2400</v>
      </c>
      <c r="AD25" s="8">
        <v>2400</v>
      </c>
    </row>
    <row r="26" spans="4:30">
      <c r="D26" s="18" t="s">
        <v>90</v>
      </c>
      <c r="E26" s="2" t="s">
        <v>84</v>
      </c>
      <c r="F26" s="2"/>
      <c r="G26" s="8">
        <v>25000</v>
      </c>
      <c r="H26" s="8">
        <v>25000</v>
      </c>
      <c r="I26" s="8">
        <v>25000</v>
      </c>
      <c r="J26" s="8">
        <v>25000</v>
      </c>
      <c r="K26" s="8">
        <v>25000</v>
      </c>
      <c r="L26" s="8">
        <v>25000</v>
      </c>
      <c r="M26" s="8">
        <v>25000</v>
      </c>
      <c r="N26" s="8">
        <v>25000</v>
      </c>
      <c r="O26" s="8">
        <v>25000</v>
      </c>
      <c r="P26" s="8">
        <v>25000</v>
      </c>
      <c r="Q26" s="8">
        <v>25000</v>
      </c>
      <c r="R26" s="8">
        <v>25000</v>
      </c>
      <c r="S26" s="8">
        <v>25000</v>
      </c>
      <c r="T26" s="8">
        <v>25000</v>
      </c>
      <c r="U26" s="8">
        <v>25000</v>
      </c>
      <c r="V26" s="8">
        <v>25000</v>
      </c>
      <c r="W26" s="8">
        <v>25000</v>
      </c>
      <c r="X26" s="8">
        <v>25000</v>
      </c>
      <c r="Y26" s="8">
        <v>25000</v>
      </c>
      <c r="Z26" s="8">
        <v>25000</v>
      </c>
      <c r="AA26" s="8">
        <v>25000</v>
      </c>
      <c r="AB26" s="8">
        <v>25000</v>
      </c>
      <c r="AC26" s="8">
        <v>25000</v>
      </c>
      <c r="AD26" s="8">
        <v>25000</v>
      </c>
    </row>
    <row r="27" spans="4:30" ht="15.75" customHeight="1" thickBot="1">
      <c r="D27" s="19" t="s">
        <v>114</v>
      </c>
      <c r="E27" s="2" t="s">
        <v>110</v>
      </c>
      <c r="F27" s="4" t="b">
        <v>1</v>
      </c>
      <c r="G27" s="31" t="str">
        <f>IF(G41=AD41,"","Might cause infeasibility because Temperature delta between Glen Canyon and RM61 at H01 and H24 are not the same")</f>
        <v/>
      </c>
    </row>
    <row r="28" spans="4:30" ht="15.75" customHeight="1" thickBot="1">
      <c r="D28" s="19" t="s">
        <v>105</v>
      </c>
      <c r="E28" s="2" t="s">
        <v>106</v>
      </c>
      <c r="F28" s="4" t="b">
        <v>1</v>
      </c>
    </row>
    <row r="29" spans="4:30">
      <c r="D29" s="18" t="s">
        <v>80</v>
      </c>
      <c r="E29" s="2" t="s">
        <v>73</v>
      </c>
      <c r="F29" s="8">
        <v>4000</v>
      </c>
    </row>
    <row r="30" spans="4:30">
      <c r="D30" s="18" t="s">
        <v>79</v>
      </c>
      <c r="E30" s="2" t="s">
        <v>74</v>
      </c>
      <c r="F30" s="8">
        <v>2500</v>
      </c>
    </row>
    <row r="31" spans="4:30">
      <c r="D31" s="18" t="s">
        <v>91</v>
      </c>
      <c r="E31" s="2" t="s">
        <v>85</v>
      </c>
      <c r="F31" s="2"/>
      <c r="G31" s="8">
        <v>7000</v>
      </c>
      <c r="H31" s="8">
        <v>7000</v>
      </c>
      <c r="I31" s="8">
        <v>7000</v>
      </c>
      <c r="J31" s="8">
        <v>7000</v>
      </c>
      <c r="K31" s="8">
        <v>7000</v>
      </c>
      <c r="L31" s="8">
        <v>7000</v>
      </c>
      <c r="M31" s="8">
        <v>7000</v>
      </c>
      <c r="N31" s="8">
        <v>7000</v>
      </c>
      <c r="O31" s="8">
        <v>7000</v>
      </c>
      <c r="P31" s="8">
        <v>7000</v>
      </c>
      <c r="Q31" s="8">
        <v>7000</v>
      </c>
      <c r="R31" s="8">
        <v>7000</v>
      </c>
      <c r="S31" s="8">
        <v>7000</v>
      </c>
      <c r="T31" s="8">
        <v>7000</v>
      </c>
      <c r="U31" s="8">
        <v>7000</v>
      </c>
      <c r="V31" s="8">
        <v>7000</v>
      </c>
      <c r="W31" s="8">
        <v>7000</v>
      </c>
      <c r="X31" s="8">
        <v>7000</v>
      </c>
      <c r="Y31" s="8">
        <v>7000</v>
      </c>
      <c r="Z31" s="8">
        <v>7000</v>
      </c>
      <c r="AA31" s="8">
        <v>7000</v>
      </c>
      <c r="AB31" s="8">
        <v>7000</v>
      </c>
      <c r="AC31" s="8">
        <v>7000</v>
      </c>
      <c r="AD31" s="8">
        <v>7000</v>
      </c>
    </row>
    <row r="32" spans="4:30">
      <c r="D32" s="18" t="s">
        <v>92</v>
      </c>
      <c r="E32" s="2" t="s">
        <v>86</v>
      </c>
      <c r="F32" s="2"/>
      <c r="G32" s="8">
        <v>12100</v>
      </c>
      <c r="H32" s="8">
        <v>12100</v>
      </c>
      <c r="I32" s="8">
        <v>12100</v>
      </c>
      <c r="J32" s="8">
        <v>12100</v>
      </c>
      <c r="K32" s="8">
        <v>12100</v>
      </c>
      <c r="L32" s="8">
        <v>12100</v>
      </c>
      <c r="M32" s="8">
        <v>12100</v>
      </c>
      <c r="N32" s="8">
        <v>12100</v>
      </c>
      <c r="O32" s="8">
        <v>12100</v>
      </c>
      <c r="P32" s="8">
        <v>12100</v>
      </c>
      <c r="Q32" s="8">
        <v>12100</v>
      </c>
      <c r="R32" s="8">
        <v>12100</v>
      </c>
      <c r="S32" s="8">
        <v>12100</v>
      </c>
      <c r="T32" s="8">
        <v>12100</v>
      </c>
      <c r="U32" s="8">
        <v>12100</v>
      </c>
      <c r="V32" s="8">
        <v>12100</v>
      </c>
      <c r="W32" s="8">
        <v>12100</v>
      </c>
      <c r="X32" s="8">
        <v>12100</v>
      </c>
      <c r="Y32" s="8">
        <v>12100</v>
      </c>
      <c r="Z32" s="8">
        <v>12100</v>
      </c>
      <c r="AA32" s="8">
        <v>12100</v>
      </c>
      <c r="AB32" s="8">
        <v>12100</v>
      </c>
      <c r="AC32" s="8">
        <v>12100</v>
      </c>
      <c r="AD32" s="8">
        <v>12100</v>
      </c>
    </row>
    <row r="33" spans="4:30" ht="15.75" customHeight="1" thickBot="1">
      <c r="D33" s="19" t="s">
        <v>115</v>
      </c>
      <c r="E33" s="2" t="s">
        <v>111</v>
      </c>
      <c r="F33" s="4" t="b">
        <v>1</v>
      </c>
      <c r="G33" s="31" t="str">
        <f>IF(G41=AD41,"","Might cause infeasibility because Temperature delta between Glen Canyon and RM61 at H01 and H24 are not the same")</f>
        <v/>
      </c>
    </row>
    <row r="35" spans="4:30" ht="20.25" thickBot="1">
      <c r="D35" s="1" t="s">
        <v>1</v>
      </c>
      <c r="E35" s="7" t="s">
        <v>37</v>
      </c>
      <c r="F35" s="7"/>
      <c r="G35" s="3" t="s">
        <v>12</v>
      </c>
      <c r="H35" s="3" t="s">
        <v>13</v>
      </c>
      <c r="I35" s="3" t="s">
        <v>14</v>
      </c>
      <c r="J35" s="3" t="s">
        <v>15</v>
      </c>
      <c r="K35" s="3" t="s">
        <v>16</v>
      </c>
      <c r="L35" s="3" t="s">
        <v>17</v>
      </c>
      <c r="M35" s="3" t="s">
        <v>18</v>
      </c>
      <c r="N35" s="3" t="s">
        <v>19</v>
      </c>
      <c r="O35" s="3" t="s">
        <v>20</v>
      </c>
      <c r="P35" s="3" t="s">
        <v>21</v>
      </c>
      <c r="Q35" s="3" t="s">
        <v>22</v>
      </c>
      <c r="R35" s="3" t="s">
        <v>23</v>
      </c>
      <c r="S35" s="3" t="s">
        <v>24</v>
      </c>
      <c r="T35" s="3" t="s">
        <v>25</v>
      </c>
      <c r="U35" s="3" t="s">
        <v>26</v>
      </c>
      <c r="V35" s="3" t="s">
        <v>27</v>
      </c>
      <c r="W35" s="3" t="s">
        <v>28</v>
      </c>
      <c r="X35" s="3" t="s">
        <v>29</v>
      </c>
      <c r="Y35" s="3" t="s">
        <v>30</v>
      </c>
      <c r="Z35" s="3" t="s">
        <v>31</v>
      </c>
      <c r="AA35" s="3" t="s">
        <v>32</v>
      </c>
      <c r="AB35" s="3" t="s">
        <v>33</v>
      </c>
      <c r="AC35" s="3" t="s">
        <v>34</v>
      </c>
      <c r="AD35" s="3" t="s">
        <v>35</v>
      </c>
    </row>
    <row r="36" spans="4:30" ht="15.75" thickTop="1">
      <c r="D36" s="18" t="s">
        <v>40</v>
      </c>
      <c r="E36" s="2" t="s">
        <v>10</v>
      </c>
      <c r="F36" s="2"/>
      <c r="G36" s="9">
        <v>7.5</v>
      </c>
      <c r="H36" s="9">
        <v>7.5</v>
      </c>
      <c r="I36" s="9">
        <v>7.5</v>
      </c>
      <c r="J36" s="9">
        <v>7.5</v>
      </c>
      <c r="K36" s="9">
        <v>7.5</v>
      </c>
      <c r="L36" s="9">
        <v>7.5</v>
      </c>
      <c r="M36" s="9">
        <v>7.5</v>
      </c>
      <c r="N36" s="9">
        <v>7.5</v>
      </c>
      <c r="O36" s="9">
        <v>7.5</v>
      </c>
      <c r="P36" s="9">
        <v>7.5</v>
      </c>
      <c r="Q36" s="9">
        <v>7.5</v>
      </c>
      <c r="R36" s="9">
        <v>7.5</v>
      </c>
      <c r="S36" s="9">
        <v>7.5</v>
      </c>
      <c r="T36" s="9">
        <v>7.5</v>
      </c>
      <c r="U36" s="9">
        <v>7.5</v>
      </c>
      <c r="V36" s="9">
        <v>7.5</v>
      </c>
      <c r="W36" s="9">
        <v>7.5</v>
      </c>
      <c r="X36" s="9">
        <v>7.5</v>
      </c>
      <c r="Y36" s="9">
        <v>7.5</v>
      </c>
      <c r="Z36" s="9">
        <v>7.5</v>
      </c>
      <c r="AA36" s="9">
        <v>7.5</v>
      </c>
      <c r="AB36" s="9">
        <v>7.5</v>
      </c>
      <c r="AC36" s="9">
        <v>7.5</v>
      </c>
      <c r="AD36" s="9">
        <v>7.5</v>
      </c>
    </row>
    <row r="37" spans="4:30">
      <c r="D37" s="18" t="s">
        <v>41</v>
      </c>
      <c r="E37" s="2" t="s">
        <v>11</v>
      </c>
      <c r="F37" s="2"/>
      <c r="G37" s="9">
        <v>15.5</v>
      </c>
      <c r="H37" s="9">
        <v>15.5</v>
      </c>
      <c r="I37" s="9">
        <v>15.5</v>
      </c>
      <c r="J37" s="9">
        <v>15.5</v>
      </c>
      <c r="K37" s="9">
        <v>15.5</v>
      </c>
      <c r="L37" s="9">
        <v>15.5</v>
      </c>
      <c r="M37" s="9">
        <v>15.5</v>
      </c>
      <c r="N37" s="9">
        <v>15.5</v>
      </c>
      <c r="O37" s="9">
        <v>15.5</v>
      </c>
      <c r="P37" s="9">
        <v>15.5</v>
      </c>
      <c r="Q37" s="9">
        <v>15.5</v>
      </c>
      <c r="R37" s="9">
        <v>15.5</v>
      </c>
      <c r="S37" s="9">
        <v>15.5</v>
      </c>
      <c r="T37" s="9">
        <v>15.5</v>
      </c>
      <c r="U37" s="9">
        <v>15.5</v>
      </c>
      <c r="V37" s="9">
        <v>15.5</v>
      </c>
      <c r="W37" s="9">
        <v>15.5</v>
      </c>
      <c r="X37" s="9">
        <v>15.5</v>
      </c>
      <c r="Y37" s="9">
        <v>15.5</v>
      </c>
      <c r="Z37" s="9">
        <v>15.5</v>
      </c>
      <c r="AA37" s="9">
        <v>15.5</v>
      </c>
      <c r="AB37" s="9">
        <v>15.5</v>
      </c>
      <c r="AC37" s="9">
        <v>15.5</v>
      </c>
      <c r="AD37" s="9">
        <v>15.5</v>
      </c>
    </row>
    <row r="38" spans="4:30" ht="15.75" customHeight="1" thickBot="1">
      <c r="D38" s="19" t="s">
        <v>116</v>
      </c>
      <c r="E38" s="2" t="s">
        <v>112</v>
      </c>
      <c r="F38" s="4" t="b">
        <v>1</v>
      </c>
      <c r="G38" s="31" t="str">
        <f>IF(G41=AD41,"","Might cause infeasibility because Temperature delta between Glen Canyon and RM61 at H01 and H24 are not the same")</f>
        <v/>
      </c>
    </row>
    <row r="39" spans="4:30">
      <c r="D39" s="18" t="s">
        <v>38</v>
      </c>
      <c r="E39" s="2" t="s">
        <v>3</v>
      </c>
      <c r="F39" s="2"/>
      <c r="G39" s="9">
        <v>15.5</v>
      </c>
      <c r="H39" s="9">
        <v>15.5</v>
      </c>
      <c r="I39" s="9">
        <v>15.5</v>
      </c>
      <c r="J39" s="9">
        <v>15.5</v>
      </c>
      <c r="K39" s="9">
        <v>15.5</v>
      </c>
      <c r="L39" s="9">
        <v>18</v>
      </c>
      <c r="M39" s="9">
        <v>18</v>
      </c>
      <c r="N39" s="9">
        <v>15.5</v>
      </c>
      <c r="O39" s="9">
        <v>15.5</v>
      </c>
      <c r="P39" s="9">
        <v>15.5</v>
      </c>
      <c r="Q39" s="9">
        <v>14.1</v>
      </c>
      <c r="R39" s="9">
        <v>15.5</v>
      </c>
      <c r="S39" s="9">
        <v>15.5</v>
      </c>
      <c r="T39" s="9">
        <v>19</v>
      </c>
      <c r="U39" s="9">
        <v>18</v>
      </c>
      <c r="V39" s="9">
        <v>18</v>
      </c>
      <c r="W39" s="9">
        <v>15.5</v>
      </c>
      <c r="X39" s="9">
        <v>15.5</v>
      </c>
      <c r="Y39" s="9">
        <v>15.5</v>
      </c>
      <c r="Z39" s="9">
        <v>15.5</v>
      </c>
      <c r="AA39" s="9">
        <v>15.5</v>
      </c>
      <c r="AB39" s="9">
        <v>15.5</v>
      </c>
      <c r="AC39" s="9">
        <v>15.5</v>
      </c>
      <c r="AD39" s="9">
        <v>15.5</v>
      </c>
    </row>
    <row r="40" spans="4:30">
      <c r="D40" s="18" t="s">
        <v>39</v>
      </c>
      <c r="E40" s="2" t="s">
        <v>4</v>
      </c>
      <c r="F40" s="2"/>
      <c r="G40" s="9">
        <v>14</v>
      </c>
      <c r="H40" s="9">
        <v>14</v>
      </c>
      <c r="I40" s="9">
        <v>14</v>
      </c>
      <c r="J40" s="9">
        <v>14</v>
      </c>
      <c r="K40" s="9">
        <v>14</v>
      </c>
      <c r="L40" s="9">
        <v>14</v>
      </c>
      <c r="M40" s="9">
        <v>14</v>
      </c>
      <c r="N40" s="9">
        <v>14</v>
      </c>
      <c r="O40" s="9">
        <v>14</v>
      </c>
      <c r="P40" s="9">
        <v>14</v>
      </c>
      <c r="Q40" s="9">
        <v>14</v>
      </c>
      <c r="R40" s="9">
        <v>14</v>
      </c>
      <c r="S40" s="9">
        <v>14</v>
      </c>
      <c r="T40" s="9">
        <v>14</v>
      </c>
      <c r="U40" s="9">
        <v>14</v>
      </c>
      <c r="V40" s="9">
        <v>14</v>
      </c>
      <c r="W40" s="9">
        <v>14</v>
      </c>
      <c r="X40" s="9">
        <v>14</v>
      </c>
      <c r="Y40" s="9">
        <v>14</v>
      </c>
      <c r="Z40" s="9">
        <v>14</v>
      </c>
      <c r="AA40" s="9">
        <v>14</v>
      </c>
      <c r="AB40" s="9">
        <v>14</v>
      </c>
      <c r="AC40" s="9">
        <v>14</v>
      </c>
      <c r="AD40" s="9">
        <v>14</v>
      </c>
    </row>
    <row r="41" spans="4:30">
      <c r="D41" s="18" t="s">
        <v>42</v>
      </c>
      <c r="E41" s="2" t="s">
        <v>5</v>
      </c>
      <c r="F41" s="2"/>
      <c r="G41" s="9">
        <v>2.1</v>
      </c>
      <c r="H41" s="9">
        <v>3.3</v>
      </c>
      <c r="I41" s="9">
        <v>2.2000000000000002</v>
      </c>
      <c r="J41" s="9">
        <v>2.8</v>
      </c>
      <c r="K41" s="9">
        <v>2.8</v>
      </c>
      <c r="L41" s="9">
        <v>2.4</v>
      </c>
      <c r="M41" s="9">
        <v>2.5</v>
      </c>
      <c r="N41" s="9">
        <v>2.4</v>
      </c>
      <c r="O41" s="9">
        <v>2.1</v>
      </c>
      <c r="P41" s="9">
        <v>2.1</v>
      </c>
      <c r="Q41" s="9">
        <v>2</v>
      </c>
      <c r="R41" s="9">
        <v>3.5</v>
      </c>
      <c r="S41" s="9">
        <v>3.4</v>
      </c>
      <c r="T41" s="9">
        <v>2.2999999999999998</v>
      </c>
      <c r="U41" s="9">
        <v>3.5</v>
      </c>
      <c r="V41" s="9">
        <v>2.8</v>
      </c>
      <c r="W41" s="9">
        <v>2.1</v>
      </c>
      <c r="X41" s="9">
        <v>2.5</v>
      </c>
      <c r="Y41" s="9">
        <v>3.3</v>
      </c>
      <c r="Z41" s="9">
        <v>2.6</v>
      </c>
      <c r="AA41" s="9">
        <v>2.4</v>
      </c>
      <c r="AB41" s="9">
        <v>2.7</v>
      </c>
      <c r="AC41" s="9">
        <v>3.3</v>
      </c>
      <c r="AD41" s="9">
        <v>2.1</v>
      </c>
    </row>
    <row r="42" spans="4:30">
      <c r="D42" s="18" t="s">
        <v>45</v>
      </c>
      <c r="E42" s="2" t="s">
        <v>8</v>
      </c>
      <c r="F42" s="9">
        <v>15.5</v>
      </c>
      <c r="G42" s="31" t="str">
        <f>"Because of rounding might not be exactly " &amp; F42 &amp; ". Maximum expected deviation in the positive direction is 0.05°C"</f>
        <v>Because of rounding might not be exactly 15.5. Maximum expected deviation in the positive direction is 0.05°C</v>
      </c>
    </row>
    <row r="43" spans="4:30">
      <c r="D43" s="18" t="s">
        <v>46</v>
      </c>
      <c r="E43" s="2" t="s">
        <v>9</v>
      </c>
      <c r="F43" s="12">
        <f>AVERAGE(G41:AD41)</f>
        <v>2.6333333333333333</v>
      </c>
    </row>
    <row r="44" spans="4:30" ht="15.75" thickBot="1">
      <c r="D44" s="20" t="s">
        <v>118</v>
      </c>
      <c r="E44" s="2" t="s">
        <v>117</v>
      </c>
      <c r="F44" s="4" t="b">
        <v>0</v>
      </c>
    </row>
    <row r="45" spans="4:30">
      <c r="D45" s="21" t="s">
        <v>43</v>
      </c>
      <c r="E45" s="2" t="s">
        <v>6</v>
      </c>
      <c r="F45" s="11">
        <v>2</v>
      </c>
    </row>
    <row r="46" spans="4:30">
      <c r="D46" s="21" t="s">
        <v>44</v>
      </c>
      <c r="E46" s="2" t="s">
        <v>7</v>
      </c>
      <c r="F46" s="11">
        <v>2</v>
      </c>
    </row>
    <row r="48" spans="4:30" ht="20.25" thickBot="1">
      <c r="D48" s="1" t="s">
        <v>93</v>
      </c>
      <c r="E48" s="7" t="s">
        <v>37</v>
      </c>
      <c r="F48" s="7"/>
      <c r="G48" s="3" t="s">
        <v>12</v>
      </c>
      <c r="H48" s="3" t="s">
        <v>13</v>
      </c>
      <c r="I48" s="3" t="s">
        <v>14</v>
      </c>
      <c r="J48" s="3" t="s">
        <v>15</v>
      </c>
      <c r="K48" s="3" t="s">
        <v>16</v>
      </c>
      <c r="L48" s="3" t="s">
        <v>17</v>
      </c>
      <c r="M48" s="3" t="s">
        <v>18</v>
      </c>
      <c r="N48" s="3" t="s">
        <v>19</v>
      </c>
      <c r="O48" s="3" t="s">
        <v>20</v>
      </c>
      <c r="P48" s="3" t="s">
        <v>21</v>
      </c>
      <c r="Q48" s="3" t="s">
        <v>22</v>
      </c>
      <c r="R48" s="3" t="s">
        <v>23</v>
      </c>
      <c r="S48" s="3" t="s">
        <v>24</v>
      </c>
      <c r="T48" s="3" t="s">
        <v>25</v>
      </c>
      <c r="U48" s="3" t="s">
        <v>26</v>
      </c>
      <c r="V48" s="3" t="s">
        <v>27</v>
      </c>
      <c r="W48" s="3" t="s">
        <v>28</v>
      </c>
      <c r="X48" s="3" t="s">
        <v>29</v>
      </c>
      <c r="Y48" s="3" t="s">
        <v>30</v>
      </c>
      <c r="Z48" s="3" t="s">
        <v>31</v>
      </c>
      <c r="AA48" s="3" t="s">
        <v>32</v>
      </c>
      <c r="AB48" s="3" t="s">
        <v>33</v>
      </c>
      <c r="AC48" s="3" t="s">
        <v>34</v>
      </c>
      <c r="AD48" s="3" t="s">
        <v>35</v>
      </c>
    </row>
    <row r="49" spans="4:30" ht="15.75" thickTop="1">
      <c r="D49" t="s">
        <v>64</v>
      </c>
      <c r="E49" s="2" t="s">
        <v>63</v>
      </c>
      <c r="F49" s="4">
        <v>3.5453800000000001E-2</v>
      </c>
    </row>
    <row r="50" spans="4:30">
      <c r="D50" t="s">
        <v>94</v>
      </c>
      <c r="E50" s="2" t="s">
        <v>96</v>
      </c>
      <c r="F50" s="8">
        <v>200</v>
      </c>
      <c r="G50" s="10">
        <f>$F$50</f>
        <v>200</v>
      </c>
      <c r="H50" s="10">
        <f t="shared" ref="H50:AD50" si="0">$F$50</f>
        <v>200</v>
      </c>
      <c r="I50" s="10">
        <f t="shared" si="0"/>
        <v>200</v>
      </c>
      <c r="J50" s="10">
        <f t="shared" si="0"/>
        <v>200</v>
      </c>
      <c r="K50" s="10">
        <f t="shared" si="0"/>
        <v>200</v>
      </c>
      <c r="L50" s="10">
        <f t="shared" si="0"/>
        <v>200</v>
      </c>
      <c r="M50" s="10">
        <f t="shared" si="0"/>
        <v>200</v>
      </c>
      <c r="N50" s="10">
        <f t="shared" si="0"/>
        <v>200</v>
      </c>
      <c r="O50" s="10">
        <f t="shared" si="0"/>
        <v>200</v>
      </c>
      <c r="P50" s="10">
        <f t="shared" si="0"/>
        <v>200</v>
      </c>
      <c r="Q50" s="10">
        <f t="shared" si="0"/>
        <v>200</v>
      </c>
      <c r="R50" s="10">
        <f t="shared" si="0"/>
        <v>200</v>
      </c>
      <c r="S50" s="10">
        <f t="shared" si="0"/>
        <v>200</v>
      </c>
      <c r="T50" s="10">
        <f t="shared" si="0"/>
        <v>200</v>
      </c>
      <c r="U50" s="10">
        <f t="shared" si="0"/>
        <v>200</v>
      </c>
      <c r="V50" s="10">
        <f t="shared" si="0"/>
        <v>200</v>
      </c>
      <c r="W50" s="10">
        <f t="shared" si="0"/>
        <v>200</v>
      </c>
      <c r="X50" s="10">
        <f t="shared" si="0"/>
        <v>200</v>
      </c>
      <c r="Y50" s="10">
        <f t="shared" si="0"/>
        <v>200</v>
      </c>
      <c r="Z50" s="10">
        <f t="shared" si="0"/>
        <v>200</v>
      </c>
      <c r="AA50" s="10">
        <f t="shared" si="0"/>
        <v>200</v>
      </c>
      <c r="AB50" s="10">
        <f t="shared" si="0"/>
        <v>200</v>
      </c>
      <c r="AC50" s="10">
        <f t="shared" si="0"/>
        <v>200</v>
      </c>
      <c r="AD50" s="10">
        <f t="shared" si="0"/>
        <v>200</v>
      </c>
    </row>
    <row r="51" spans="4:30">
      <c r="D51" t="s">
        <v>95</v>
      </c>
      <c r="E51" s="2" t="s">
        <v>97</v>
      </c>
      <c r="F51" s="8">
        <v>1000</v>
      </c>
      <c r="G51" s="10">
        <f>$F$51</f>
        <v>1000</v>
      </c>
      <c r="H51" s="10">
        <f t="shared" ref="H51:AD51" si="1">$F$51</f>
        <v>1000</v>
      </c>
      <c r="I51" s="10">
        <f t="shared" si="1"/>
        <v>1000</v>
      </c>
      <c r="J51" s="10">
        <f t="shared" si="1"/>
        <v>1000</v>
      </c>
      <c r="K51" s="10">
        <f t="shared" si="1"/>
        <v>1000</v>
      </c>
      <c r="L51" s="10">
        <f t="shared" si="1"/>
        <v>1000</v>
      </c>
      <c r="M51" s="10">
        <f t="shared" si="1"/>
        <v>1000</v>
      </c>
      <c r="N51" s="10">
        <f t="shared" si="1"/>
        <v>1000</v>
      </c>
      <c r="O51" s="10">
        <f t="shared" si="1"/>
        <v>1000</v>
      </c>
      <c r="P51" s="10">
        <f t="shared" si="1"/>
        <v>1000</v>
      </c>
      <c r="Q51" s="10">
        <f t="shared" si="1"/>
        <v>1000</v>
      </c>
      <c r="R51" s="10">
        <f t="shared" si="1"/>
        <v>1000</v>
      </c>
      <c r="S51" s="10">
        <f t="shared" si="1"/>
        <v>1000</v>
      </c>
      <c r="T51" s="10">
        <f t="shared" si="1"/>
        <v>1000</v>
      </c>
      <c r="U51" s="10">
        <f t="shared" si="1"/>
        <v>1000</v>
      </c>
      <c r="V51" s="10">
        <f t="shared" si="1"/>
        <v>1000</v>
      </c>
      <c r="W51" s="10">
        <f t="shared" si="1"/>
        <v>1000</v>
      </c>
      <c r="X51" s="10">
        <f t="shared" si="1"/>
        <v>1000</v>
      </c>
      <c r="Y51" s="10">
        <f t="shared" si="1"/>
        <v>1000</v>
      </c>
      <c r="Z51" s="10">
        <f t="shared" si="1"/>
        <v>1000</v>
      </c>
      <c r="AA51" s="10">
        <f t="shared" si="1"/>
        <v>1000</v>
      </c>
      <c r="AB51" s="10">
        <f t="shared" si="1"/>
        <v>1000</v>
      </c>
      <c r="AC51" s="10">
        <f t="shared" si="1"/>
        <v>1000</v>
      </c>
      <c r="AD51" s="10">
        <f t="shared" si="1"/>
        <v>1000</v>
      </c>
    </row>
    <row r="52" spans="4:30">
      <c r="D52" t="s">
        <v>62</v>
      </c>
      <c r="E52" s="2" t="s">
        <v>61</v>
      </c>
      <c r="F52" s="2"/>
      <c r="G52" s="8">
        <v>1000</v>
      </c>
      <c r="H52" s="8">
        <v>1000</v>
      </c>
      <c r="I52" s="8">
        <v>1000</v>
      </c>
      <c r="J52" s="8">
        <v>1000</v>
      </c>
      <c r="K52" s="8">
        <v>1000</v>
      </c>
      <c r="L52" s="8">
        <v>1000</v>
      </c>
      <c r="M52" s="8">
        <v>1000</v>
      </c>
      <c r="N52" s="8">
        <v>1000</v>
      </c>
      <c r="O52" s="8">
        <v>1000</v>
      </c>
      <c r="P52" s="8">
        <v>1000</v>
      </c>
      <c r="Q52" s="8">
        <v>1000</v>
      </c>
      <c r="R52" s="8">
        <v>1000</v>
      </c>
      <c r="S52" s="8">
        <v>1000</v>
      </c>
      <c r="T52" s="8">
        <v>1000</v>
      </c>
      <c r="U52" s="8">
        <v>1000</v>
      </c>
      <c r="V52" s="8">
        <v>1000</v>
      </c>
      <c r="W52" s="8">
        <v>1000</v>
      </c>
      <c r="X52" s="8">
        <v>1000</v>
      </c>
      <c r="Y52" s="8">
        <v>1000</v>
      </c>
      <c r="Z52" s="8">
        <v>1000</v>
      </c>
      <c r="AA52" s="8">
        <v>1000</v>
      </c>
      <c r="AB52" s="8">
        <v>1000</v>
      </c>
      <c r="AC52" s="8">
        <v>1000</v>
      </c>
      <c r="AD52" s="8">
        <v>1000</v>
      </c>
    </row>
    <row r="54" spans="4:30" ht="20.25" thickBot="1">
      <c r="D54" s="1" t="s">
        <v>47</v>
      </c>
      <c r="E54" s="7" t="s">
        <v>37</v>
      </c>
      <c r="F54" s="7"/>
      <c r="G54" s="3" t="s">
        <v>12</v>
      </c>
      <c r="H54" s="3" t="s">
        <v>13</v>
      </c>
      <c r="I54" s="3" t="s">
        <v>14</v>
      </c>
      <c r="J54" s="3" t="s">
        <v>15</v>
      </c>
      <c r="K54" s="3" t="s">
        <v>16</v>
      </c>
      <c r="L54" s="3" t="s">
        <v>17</v>
      </c>
      <c r="M54" s="3" t="s">
        <v>18</v>
      </c>
      <c r="N54" s="3" t="s">
        <v>19</v>
      </c>
      <c r="O54" s="3" t="s">
        <v>20</v>
      </c>
      <c r="P54" s="3" t="s">
        <v>21</v>
      </c>
      <c r="Q54" s="3" t="s">
        <v>22</v>
      </c>
      <c r="R54" s="3" t="s">
        <v>23</v>
      </c>
      <c r="S54" s="3" t="s">
        <v>24</v>
      </c>
      <c r="T54" s="3" t="s">
        <v>25</v>
      </c>
      <c r="U54" s="3" t="s">
        <v>26</v>
      </c>
      <c r="V54" s="3" t="s">
        <v>27</v>
      </c>
      <c r="W54" s="3" t="s">
        <v>28</v>
      </c>
      <c r="X54" s="3" t="s">
        <v>29</v>
      </c>
      <c r="Y54" s="3" t="s">
        <v>30</v>
      </c>
      <c r="Z54" s="3" t="s">
        <v>31</v>
      </c>
      <c r="AA54" s="3" t="s">
        <v>32</v>
      </c>
      <c r="AB54" s="3" t="s">
        <v>33</v>
      </c>
      <c r="AC54" s="3" t="s">
        <v>34</v>
      </c>
      <c r="AD54" s="3" t="s">
        <v>35</v>
      </c>
    </row>
    <row r="55" spans="4:30" ht="15.75" thickTop="1">
      <c r="D55" t="s">
        <v>36</v>
      </c>
      <c r="E55" s="2" t="s">
        <v>2</v>
      </c>
      <c r="F55" s="2"/>
      <c r="G55" s="5">
        <v>46.85</v>
      </c>
      <c r="H55" s="5">
        <v>45.06</v>
      </c>
      <c r="I55" s="5">
        <v>43.83</v>
      </c>
      <c r="J55" s="5">
        <v>42.55</v>
      </c>
      <c r="K55" s="5">
        <v>42.62</v>
      </c>
      <c r="L55" s="5">
        <v>46.61</v>
      </c>
      <c r="M55" s="5">
        <v>76.48</v>
      </c>
      <c r="N55" s="5">
        <v>77.489999999999995</v>
      </c>
      <c r="O55" s="5">
        <v>73.64</v>
      </c>
      <c r="P55" s="5">
        <v>68.510000000000005</v>
      </c>
      <c r="Q55" s="5">
        <v>67.62</v>
      </c>
      <c r="R55" s="5">
        <v>69.34</v>
      </c>
      <c r="S55" s="5">
        <v>69.23</v>
      </c>
      <c r="T55" s="4">
        <v>74.680000000000007</v>
      </c>
      <c r="U55" s="4">
        <v>86.84</v>
      </c>
      <c r="V55" s="4">
        <v>97.79</v>
      </c>
      <c r="W55" s="4">
        <v>91.29</v>
      </c>
      <c r="X55" s="4">
        <v>99.07</v>
      </c>
      <c r="Y55" s="4">
        <v>103.56</v>
      </c>
      <c r="Z55" s="4">
        <v>108.67</v>
      </c>
      <c r="AA55" s="4">
        <v>98.73</v>
      </c>
      <c r="AB55" s="4">
        <v>91.91</v>
      </c>
      <c r="AC55" s="4">
        <v>53.34</v>
      </c>
      <c r="AD55" s="4">
        <v>48.72</v>
      </c>
    </row>
    <row r="56" spans="4:30">
      <c r="D56" t="s">
        <v>54</v>
      </c>
      <c r="E56" s="2" t="s">
        <v>48</v>
      </c>
      <c r="F56" s="5">
        <v>20</v>
      </c>
      <c r="G56" s="31" t="str">
        <f>IF(AND(F16=TRUE,F56&lt;1),"the penalty cost should be in range 1-25","")</f>
        <v/>
      </c>
    </row>
    <row r="57" spans="4:30">
      <c r="D57" t="s">
        <v>55</v>
      </c>
      <c r="E57" s="2" t="s">
        <v>49</v>
      </c>
      <c r="F57" s="5">
        <v>20</v>
      </c>
      <c r="G57" s="31" t="str">
        <f>IF(AND(F16=TRUE,F57&lt;1),"the penalty cost should be in range 1-25","")</f>
        <v/>
      </c>
    </row>
    <row r="58" spans="4:30">
      <c r="D58" t="s">
        <v>56</v>
      </c>
      <c r="E58" s="2" t="s">
        <v>50</v>
      </c>
      <c r="F58" s="5">
        <v>1</v>
      </c>
      <c r="G58" s="31" t="str">
        <f>IF(AND(F22=TRUE,F58&lt;1),"the penalty cost should be in range 1-25","")</f>
        <v/>
      </c>
    </row>
    <row r="59" spans="4:30">
      <c r="D59" t="s">
        <v>57</v>
      </c>
      <c r="E59" s="2" t="s">
        <v>51</v>
      </c>
      <c r="F59" s="5">
        <v>1</v>
      </c>
      <c r="G59" s="31" t="str">
        <f>IF(AND(F22=TRUE,F59&lt;1),"the penalty cost should be in range 1-25","")</f>
        <v/>
      </c>
    </row>
    <row r="60" spans="4:30">
      <c r="D60" t="s">
        <v>58</v>
      </c>
      <c r="E60" s="2" t="s">
        <v>52</v>
      </c>
      <c r="F60" s="5">
        <v>1</v>
      </c>
      <c r="G60" s="31" t="str">
        <f>IF(AND(F28=TRUE,F60&lt;1),"the penalty cost should be in range 1-25","")</f>
        <v/>
      </c>
    </row>
    <row r="61" spans="4:30">
      <c r="D61" t="s">
        <v>59</v>
      </c>
      <c r="E61" s="2" t="s">
        <v>53</v>
      </c>
      <c r="F61" s="5">
        <v>1</v>
      </c>
      <c r="G61" s="31" t="str">
        <f>IF(AND(F28=TRUE,F61&lt;1),"the penalty cost should be in range 1-25","")</f>
        <v/>
      </c>
    </row>
  </sheetData>
  <phoneticPr fontId="7" type="noConversion"/>
  <conditionalFormatting sqref="F14">
    <cfRule type="cellIs" dxfId="13" priority="13" operator="equal">
      <formula>FALSE</formula>
    </cfRule>
    <cfRule type="cellIs" dxfId="12" priority="14" operator="equal">
      <formula>TRUE</formula>
    </cfRule>
  </conditionalFormatting>
  <conditionalFormatting sqref="F16 F21:F22 F27:F28 F33 F38">
    <cfRule type="cellIs" dxfId="11" priority="11" operator="equal">
      <formula>FALSE</formula>
    </cfRule>
    <cfRule type="cellIs" dxfId="10" priority="12" operator="equal">
      <formula>TRUE</formula>
    </cfRule>
  </conditionalFormatting>
  <conditionalFormatting sqref="F44">
    <cfRule type="cellIs" dxfId="9" priority="9" operator="equal">
      <formula>FALSE</formula>
    </cfRule>
    <cfRule type="cellIs" dxfId="8" priority="10" operator="equal">
      <formula>TRUE</formula>
    </cfRule>
  </conditionalFormatting>
  <conditionalFormatting sqref="F17:F18">
    <cfRule type="expression" dxfId="7" priority="8">
      <formula>$F$16=FALSE</formula>
    </cfRule>
  </conditionalFormatting>
  <conditionalFormatting sqref="F15">
    <cfRule type="expression" dxfId="6" priority="7">
      <formula>$F$14=FALSE</formula>
    </cfRule>
  </conditionalFormatting>
  <conditionalFormatting sqref="F23:F24">
    <cfRule type="expression" dxfId="5" priority="6">
      <formula>$F$22=FALSE</formula>
    </cfRule>
  </conditionalFormatting>
  <conditionalFormatting sqref="F29:F30">
    <cfRule type="expression" dxfId="4" priority="5">
      <formula>$F$28=FALSE</formula>
    </cfRule>
  </conditionalFormatting>
  <conditionalFormatting sqref="F9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F10">
    <cfRule type="cellIs" dxfId="1" priority="1" operator="equal">
      <formula>FALSE</formula>
    </cfRule>
    <cfRule type="cellIs" dxfId="0" priority="2" operator="equal">
      <formula>TRUE</formula>
    </cfRule>
  </conditionalFormatting>
  <dataValidations count="2">
    <dataValidation type="list" allowBlank="1" showInputMessage="1" showErrorMessage="1" sqref="F38 F14 F44 F27:F28 F21:F22 F16 F33 F9" xr:uid="{486E1DFA-3633-4FFB-A635-629E01A4702D}">
      <formula1>$AD$4:$AD$5</formula1>
    </dataValidation>
    <dataValidation type="list" allowBlank="1" showInputMessage="1" showErrorMessage="1" sqref="F10" xr:uid="{D951DE0D-37BD-4A18-A15C-8E7BB126690F}">
      <formula1>$AC$4:$AC$5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114300</xdr:rowOff>
                  </from>
                  <to>
                    <xdr:col>3</xdr:col>
                    <xdr:colOff>4305300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Inputs!G36:AD36</xm:f>
              <xm:sqref>F36</xm:sqref>
            </x14:sparkline>
            <x14:sparkline>
              <xm:f>Inputs!G37:AD37</xm:f>
              <xm:sqref>F37</xm:sqref>
            </x14:sparkline>
            <x14:sparkline>
              <xm:f>Inputs!G39:AD39</xm:f>
              <xm:sqref>F39</xm:sqref>
            </x14:sparkline>
            <x14:sparkline>
              <xm:f>Inputs!G40:AD40</xm:f>
              <xm:sqref>F40</xm:sqref>
            </x14:sparkline>
            <x14:sparkline>
              <xm:f>Inputs!G41:AD41</xm:f>
              <xm:sqref>F41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Inputs!G19:AD19</xm:f>
              <xm:sqref>F19</xm:sqref>
            </x14:sparkline>
            <x14:sparkline>
              <xm:f>Inputs!G20:AD20</xm:f>
              <xm:sqref>F20</xm:sqref>
            </x14:sparkline>
            <x14:sparkline>
              <xm:f>Inputs!G25:AD25</xm:f>
              <xm:sqref>F25</xm:sqref>
            </x14:sparkline>
            <x14:sparkline>
              <xm:f>Inputs!G26:AD26</xm:f>
              <xm:sqref>F26</xm:sqref>
            </x14:sparkline>
            <x14:sparkline>
              <xm:f>Inputs!G31:AD31</xm:f>
              <xm:sqref>F31</xm:sqref>
            </x14:sparkline>
            <x14:sparkline>
              <xm:f>Inputs!G32:AD32</xm:f>
              <xm:sqref>F32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Inputs!G55:AD55</xm:f>
              <xm:sqref>F55</xm:sqref>
            </x14:sparkline>
            <x14:sparkline>
              <xm:f>Inputs!G52:AD52</xm:f>
              <xm:sqref>F52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C1:BE22"/>
  <sheetViews>
    <sheetView tabSelected="1" workbookViewId="0">
      <selection activeCell="E17" sqref="E17"/>
    </sheetView>
  </sheetViews>
  <sheetFormatPr defaultRowHeight="15"/>
  <cols>
    <col min="1" max="2" width="1.7109375" customWidth="1"/>
    <col min="3" max="3" width="26.5703125" bestFit="1" customWidth="1"/>
    <col min="4" max="4" width="11.42578125" bestFit="1" customWidth="1"/>
    <col min="5" max="13" width="12" bestFit="1" customWidth="1"/>
    <col min="14" max="28" width="12.42578125" bestFit="1" customWidth="1"/>
    <col min="29" max="29" width="20.42578125" bestFit="1" customWidth="1"/>
    <col min="30" max="30" width="12.28515625" bestFit="1" customWidth="1"/>
    <col min="31" max="31" width="16.5703125" bestFit="1" customWidth="1"/>
    <col min="32" max="32" width="16.28515625" bestFit="1" customWidth="1"/>
    <col min="33" max="33" width="14.85546875" bestFit="1" customWidth="1"/>
    <col min="34" max="34" width="42.28515625" bestFit="1" customWidth="1"/>
    <col min="35" max="42" width="6.5703125" bestFit="1" customWidth="1"/>
    <col min="43" max="50" width="7.5703125" bestFit="1" customWidth="1"/>
    <col min="51" max="58" width="6.5703125" bestFit="1" customWidth="1"/>
  </cols>
  <sheetData>
    <row r="1" spans="3:57" ht="24.75" thickBot="1">
      <c r="C1" s="27" t="s">
        <v>155</v>
      </c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</row>
    <row r="2" spans="3:57" ht="18" thickBot="1">
      <c r="C2" s="28" t="s">
        <v>156</v>
      </c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</row>
    <row r="3" spans="3:57" ht="15.75" thickTop="1">
      <c r="C3" t="s">
        <v>171</v>
      </c>
      <c r="D3" s="4" t="s">
        <v>170</v>
      </c>
      <c r="E3" t="s">
        <v>154</v>
      </c>
      <c r="F3" s="29" t="str" cm="1">
        <f t="array" aca="1" ref="F3" ca="1">LEFT(CELL("filename", A3), FIND("[", CELL("filename", A3)) - 1) &amp; "Results\" &amp; D3</f>
        <v>C:\Projects\GitHub\TempRegPy\Results\Test</v>
      </c>
      <c r="G3" s="29"/>
      <c r="H3" s="29"/>
      <c r="I3" s="29"/>
      <c r="J3" s="29"/>
      <c r="K3" s="29"/>
      <c r="L3" s="29"/>
      <c r="M3" s="29"/>
      <c r="N3" s="29"/>
      <c r="O3" s="29"/>
      <c r="P3" s="29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3:57">
      <c r="C4" t="s">
        <v>158</v>
      </c>
      <c r="D4" t="s">
        <v>159</v>
      </c>
      <c r="E4" t="s">
        <v>128</v>
      </c>
      <c r="F4" t="s">
        <v>129</v>
      </c>
      <c r="G4" t="s">
        <v>130</v>
      </c>
      <c r="H4" t="s">
        <v>131</v>
      </c>
      <c r="I4" t="s">
        <v>132</v>
      </c>
      <c r="J4" t="s">
        <v>133</v>
      </c>
      <c r="K4" t="s">
        <v>134</v>
      </c>
      <c r="L4" t="s">
        <v>135</v>
      </c>
      <c r="M4" t="s">
        <v>136</v>
      </c>
      <c r="N4" t="s">
        <v>137</v>
      </c>
      <c r="O4" t="s">
        <v>138</v>
      </c>
      <c r="P4" t="s">
        <v>139</v>
      </c>
      <c r="Q4" t="s">
        <v>140</v>
      </c>
      <c r="R4" t="s">
        <v>141</v>
      </c>
      <c r="S4" t="s">
        <v>142</v>
      </c>
      <c r="T4" t="s">
        <v>143</v>
      </c>
      <c r="U4" t="s">
        <v>144</v>
      </c>
      <c r="V4" t="s">
        <v>145</v>
      </c>
      <c r="W4" t="s">
        <v>146</v>
      </c>
      <c r="X4" t="s">
        <v>147</v>
      </c>
      <c r="Y4" t="s">
        <v>148</v>
      </c>
      <c r="Z4" t="s">
        <v>149</v>
      </c>
      <c r="AA4" t="s">
        <v>150</v>
      </c>
      <c r="AB4" t="s">
        <v>151</v>
      </c>
    </row>
    <row r="5" spans="3:57">
      <c r="C5" t="s">
        <v>93</v>
      </c>
      <c r="D5" t="s">
        <v>157</v>
      </c>
      <c r="E5">
        <v>200</v>
      </c>
      <c r="F5">
        <v>200</v>
      </c>
      <c r="G5">
        <v>200</v>
      </c>
      <c r="H5">
        <v>200</v>
      </c>
      <c r="I5">
        <v>200</v>
      </c>
      <c r="J5">
        <v>200</v>
      </c>
      <c r="K5">
        <v>200</v>
      </c>
      <c r="L5">
        <v>200</v>
      </c>
      <c r="M5">
        <v>216.66211111111119</v>
      </c>
      <c r="N5">
        <v>200</v>
      </c>
      <c r="O5">
        <v>200</v>
      </c>
      <c r="P5">
        <v>200</v>
      </c>
      <c r="Q5">
        <v>200</v>
      </c>
      <c r="R5">
        <v>200</v>
      </c>
      <c r="S5">
        <v>200</v>
      </c>
      <c r="T5">
        <v>200</v>
      </c>
      <c r="U5">
        <v>200</v>
      </c>
      <c r="V5">
        <v>200</v>
      </c>
      <c r="W5">
        <v>200</v>
      </c>
      <c r="X5">
        <v>200</v>
      </c>
      <c r="Y5">
        <v>200</v>
      </c>
      <c r="Z5">
        <v>200</v>
      </c>
      <c r="AA5">
        <v>200</v>
      </c>
      <c r="AB5">
        <v>200</v>
      </c>
    </row>
    <row r="6" spans="3:57">
      <c r="C6" t="s">
        <v>160</v>
      </c>
      <c r="D6" t="s">
        <v>161</v>
      </c>
      <c r="E6">
        <v>3960.803409363557</v>
      </c>
      <c r="F6">
        <v>3960.803409363557</v>
      </c>
      <c r="G6">
        <v>3868.6995367051431</v>
      </c>
      <c r="H6">
        <v>3868.6995367051431</v>
      </c>
      <c r="I6">
        <v>3868.6995367051431</v>
      </c>
      <c r="J6">
        <v>3868.6995367051431</v>
      </c>
      <c r="K6">
        <v>3868.6995367051431</v>
      </c>
      <c r="L6">
        <v>3868.6995367051431</v>
      </c>
      <c r="M6">
        <v>5000</v>
      </c>
      <c r="N6">
        <v>4387.5566386552518</v>
      </c>
      <c r="O6">
        <v>4387.5566386552518</v>
      </c>
      <c r="P6">
        <v>4387.5566386552518</v>
      </c>
      <c r="Q6">
        <v>4387.5566386552518</v>
      </c>
      <c r="R6">
        <v>4387.5566386552518</v>
      </c>
      <c r="S6">
        <v>4387.5566386552518</v>
      </c>
      <c r="T6">
        <v>5000</v>
      </c>
      <c r="U6">
        <v>3960.803409363557</v>
      </c>
      <c r="V6">
        <v>3960.803409363557</v>
      </c>
      <c r="W6">
        <v>3960.803409363557</v>
      </c>
      <c r="X6">
        <v>3960.803409363557</v>
      </c>
      <c r="Y6">
        <v>3960.803409363557</v>
      </c>
      <c r="Z6">
        <v>3960.803409363557</v>
      </c>
      <c r="AA6">
        <v>3960.803409363557</v>
      </c>
      <c r="AB6">
        <v>3960.803409363557</v>
      </c>
    </row>
    <row r="7" spans="3:57">
      <c r="C7" t="s">
        <v>162</v>
      </c>
      <c r="D7" t="s">
        <v>161</v>
      </c>
      <c r="E7">
        <v>0</v>
      </c>
      <c r="F7">
        <v>0</v>
      </c>
      <c r="G7">
        <v>92.103872658413621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612.44336134474793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1039.1965906364433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3:57">
      <c r="C8" t="s">
        <v>163</v>
      </c>
      <c r="D8" t="s">
        <v>161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1131.3004632948569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612.44336134474793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</row>
    <row r="9" spans="3:57">
      <c r="C9" t="s">
        <v>164</v>
      </c>
      <c r="D9" t="s">
        <v>161</v>
      </c>
      <c r="E9">
        <v>9601.9476590631657</v>
      </c>
      <c r="F9">
        <v>9601.9476590631657</v>
      </c>
      <c r="G9">
        <v>9509.8437864047519</v>
      </c>
      <c r="H9">
        <v>9509.8437864047519</v>
      </c>
      <c r="I9">
        <v>9509.8437864047519</v>
      </c>
      <c r="J9">
        <v>9509.8437864047519</v>
      </c>
      <c r="K9">
        <v>9509.8437864047519</v>
      </c>
      <c r="L9">
        <v>9509.8437864047519</v>
      </c>
      <c r="M9">
        <v>11111.111111111113</v>
      </c>
      <c r="N9">
        <v>10028.700888354861</v>
      </c>
      <c r="O9">
        <v>10028.700888354861</v>
      </c>
      <c r="P9">
        <v>10028.700888354861</v>
      </c>
      <c r="Q9">
        <v>10028.700888354861</v>
      </c>
      <c r="R9">
        <v>10028.700888354861</v>
      </c>
      <c r="S9">
        <v>10028.700888354861</v>
      </c>
      <c r="T9">
        <v>10641.144249699608</v>
      </c>
      <c r="U9">
        <v>9601.9476590631657</v>
      </c>
      <c r="V9">
        <v>9601.9476590631639</v>
      </c>
      <c r="W9">
        <v>9601.9476590631657</v>
      </c>
      <c r="X9">
        <v>9601.9476590631657</v>
      </c>
      <c r="Y9">
        <v>9601.9476590631657</v>
      </c>
      <c r="Z9">
        <v>9601.9476590631657</v>
      </c>
      <c r="AA9">
        <v>9601.9476590631657</v>
      </c>
      <c r="AB9">
        <v>9601.9476590631657</v>
      </c>
    </row>
    <row r="10" spans="3:57">
      <c r="C10" t="s">
        <v>165</v>
      </c>
      <c r="D10" t="s">
        <v>161</v>
      </c>
      <c r="E10">
        <v>0</v>
      </c>
      <c r="F10">
        <v>0</v>
      </c>
      <c r="G10">
        <v>92.10387265841365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1082.4102227562526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1039.1965906364433</v>
      </c>
      <c r="V10">
        <v>5.3969595037468565E-13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</row>
    <row r="11" spans="3:57">
      <c r="C11" t="s">
        <v>166</v>
      </c>
      <c r="D11" t="s">
        <v>161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1601.2673247063615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612.44336134474804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5.5710995655571696E-13</v>
      </c>
    </row>
    <row r="12" spans="3:57">
      <c r="C12" t="s">
        <v>167</v>
      </c>
      <c r="D12" t="s">
        <v>161</v>
      </c>
      <c r="E12">
        <v>5641.1442496996087</v>
      </c>
      <c r="F12">
        <v>5641.1442496996087</v>
      </c>
      <c r="G12">
        <v>5641.1442496996087</v>
      </c>
      <c r="H12">
        <v>5641.1442496996087</v>
      </c>
      <c r="I12">
        <v>5641.1442496996087</v>
      </c>
      <c r="J12">
        <v>5641.1442496996087</v>
      </c>
      <c r="K12">
        <v>5641.1442496996087</v>
      </c>
      <c r="L12">
        <v>5641.1442496996087</v>
      </c>
      <c r="M12">
        <v>6111.1111111111131</v>
      </c>
      <c r="N12">
        <v>5641.1442496996087</v>
      </c>
      <c r="O12">
        <v>5641.1442496996087</v>
      </c>
      <c r="P12">
        <v>5641.1442496996087</v>
      </c>
      <c r="Q12">
        <v>5641.1442496996087</v>
      </c>
      <c r="R12">
        <v>5641.1442496996087</v>
      </c>
      <c r="S12">
        <v>5641.1442496996087</v>
      </c>
      <c r="T12">
        <v>5641.1442496996087</v>
      </c>
      <c r="U12">
        <v>5641.1442496996087</v>
      </c>
      <c r="V12">
        <v>5641.1442496996087</v>
      </c>
      <c r="W12">
        <v>5641.1442496996087</v>
      </c>
      <c r="X12">
        <v>5641.1442496996087</v>
      </c>
      <c r="Y12">
        <v>5641.1442496996087</v>
      </c>
      <c r="Z12">
        <v>5641.1442496996087</v>
      </c>
      <c r="AA12">
        <v>5641.1442496996087</v>
      </c>
      <c r="AB12">
        <v>5641.1442496996087</v>
      </c>
    </row>
    <row r="13" spans="3:57">
      <c r="C13" t="s">
        <v>168</v>
      </c>
      <c r="D13" t="s">
        <v>161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469.96686141150417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</row>
    <row r="14" spans="3:57">
      <c r="C14" t="s">
        <v>169</v>
      </c>
      <c r="D14" t="s">
        <v>161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469.96686141150417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4.9832777766471215E-13</v>
      </c>
    </row>
    <row r="15" spans="3:57" hidden="1">
      <c r="E15" t="s">
        <v>172</v>
      </c>
      <c r="F15" t="s">
        <v>173</v>
      </c>
      <c r="G15" t="s">
        <v>174</v>
      </c>
      <c r="H15" t="s">
        <v>175</v>
      </c>
      <c r="I15" t="s">
        <v>176</v>
      </c>
      <c r="J15" t="s">
        <v>177</v>
      </c>
      <c r="K15" t="s">
        <v>178</v>
      </c>
      <c r="L15" t="s">
        <v>179</v>
      </c>
      <c r="M15" t="s">
        <v>180</v>
      </c>
      <c r="N15" t="s">
        <v>181</v>
      </c>
      <c r="O15" t="s">
        <v>182</v>
      </c>
      <c r="P15" t="s">
        <v>183</v>
      </c>
      <c r="Q15" t="s">
        <v>184</v>
      </c>
      <c r="R15" t="s">
        <v>185</v>
      </c>
      <c r="S15" t="s">
        <v>186</v>
      </c>
      <c r="T15" t="s">
        <v>187</v>
      </c>
      <c r="U15" t="s">
        <v>188</v>
      </c>
      <c r="V15" t="s">
        <v>189</v>
      </c>
      <c r="W15" t="s">
        <v>190</v>
      </c>
      <c r="X15" t="s">
        <v>191</v>
      </c>
      <c r="Y15" t="s">
        <v>192</v>
      </c>
      <c r="Z15" t="s">
        <v>193</v>
      </c>
      <c r="AA15" t="s">
        <v>194</v>
      </c>
      <c r="AB15" t="s">
        <v>195</v>
      </c>
    </row>
    <row r="16" spans="3:57">
      <c r="C16" t="s">
        <v>196</v>
      </c>
      <c r="D16" t="s">
        <v>203</v>
      </c>
      <c r="E16">
        <v>14.3</v>
      </c>
      <c r="F16">
        <v>15.5</v>
      </c>
      <c r="G16">
        <v>14.44552001181275</v>
      </c>
      <c r="H16">
        <v>15.045520011812748</v>
      </c>
      <c r="I16">
        <v>15.045520011812748</v>
      </c>
      <c r="J16">
        <v>14.645520011812749</v>
      </c>
      <c r="K16">
        <v>14.745520011812747</v>
      </c>
      <c r="L16">
        <v>14.645520011812749</v>
      </c>
      <c r="M16">
        <v>14</v>
      </c>
      <c r="N16">
        <v>14.1</v>
      </c>
      <c r="O16">
        <v>14</v>
      </c>
      <c r="P16">
        <v>15.5</v>
      </c>
      <c r="Q16">
        <v>15.4</v>
      </c>
      <c r="R16">
        <v>14.3</v>
      </c>
      <c r="S16">
        <v>15.5</v>
      </c>
      <c r="T16">
        <v>14.541005754514686</v>
      </c>
      <c r="U16">
        <v>14.3</v>
      </c>
      <c r="V16">
        <v>14.7</v>
      </c>
      <c r="W16">
        <v>15.5</v>
      </c>
      <c r="X16">
        <v>14.8</v>
      </c>
      <c r="Y16">
        <v>14.6</v>
      </c>
      <c r="Z16">
        <v>14.9</v>
      </c>
      <c r="AA16">
        <v>15.5</v>
      </c>
      <c r="AB16">
        <v>14.3</v>
      </c>
    </row>
    <row r="17" spans="3:56">
      <c r="C17" t="s">
        <v>197</v>
      </c>
      <c r="D17" t="s">
        <v>203</v>
      </c>
      <c r="E17">
        <v>15.5</v>
      </c>
      <c r="F17">
        <v>15.5</v>
      </c>
      <c r="G17">
        <v>15.5</v>
      </c>
      <c r="H17">
        <v>15.5</v>
      </c>
      <c r="I17">
        <v>15.5</v>
      </c>
      <c r="J17">
        <v>18</v>
      </c>
      <c r="K17">
        <v>18</v>
      </c>
      <c r="L17">
        <v>15.5</v>
      </c>
      <c r="M17">
        <v>15.5</v>
      </c>
      <c r="N17">
        <v>15.5</v>
      </c>
      <c r="O17">
        <v>14.1</v>
      </c>
      <c r="P17">
        <v>15.5</v>
      </c>
      <c r="Q17">
        <v>15.5</v>
      </c>
      <c r="R17">
        <v>19</v>
      </c>
      <c r="S17">
        <v>18</v>
      </c>
      <c r="T17">
        <v>18</v>
      </c>
      <c r="U17">
        <v>15.5</v>
      </c>
      <c r="V17">
        <v>15.5</v>
      </c>
      <c r="W17">
        <v>15.5</v>
      </c>
      <c r="X17">
        <v>15.5</v>
      </c>
      <c r="Y17">
        <v>15.5</v>
      </c>
      <c r="Z17">
        <v>15.5</v>
      </c>
      <c r="AA17">
        <v>15.5</v>
      </c>
      <c r="AB17">
        <v>15.5</v>
      </c>
    </row>
    <row r="18" spans="3:56">
      <c r="C18" t="s">
        <v>198</v>
      </c>
      <c r="D18" t="s">
        <v>203</v>
      </c>
      <c r="E18">
        <v>14</v>
      </c>
      <c r="F18">
        <v>14</v>
      </c>
      <c r="G18">
        <v>14</v>
      </c>
      <c r="H18">
        <v>14</v>
      </c>
      <c r="I18">
        <v>14</v>
      </c>
      <c r="J18">
        <v>14</v>
      </c>
      <c r="K18">
        <v>14</v>
      </c>
      <c r="L18">
        <v>14</v>
      </c>
      <c r="M18">
        <v>14</v>
      </c>
      <c r="N18">
        <v>14</v>
      </c>
      <c r="O18">
        <v>14</v>
      </c>
      <c r="P18">
        <v>14</v>
      </c>
      <c r="Q18">
        <v>14</v>
      </c>
      <c r="R18">
        <v>14</v>
      </c>
      <c r="S18">
        <v>14</v>
      </c>
      <c r="T18">
        <v>14</v>
      </c>
      <c r="U18">
        <v>14</v>
      </c>
      <c r="V18">
        <v>14</v>
      </c>
      <c r="W18">
        <v>14</v>
      </c>
      <c r="X18">
        <v>14</v>
      </c>
      <c r="Y18">
        <v>14</v>
      </c>
      <c r="Z18">
        <v>14</v>
      </c>
      <c r="AA18">
        <v>14</v>
      </c>
      <c r="AB18">
        <v>14</v>
      </c>
    </row>
    <row r="19" spans="3:56">
      <c r="C19" t="s">
        <v>199</v>
      </c>
      <c r="D19" t="s">
        <v>203</v>
      </c>
      <c r="E19">
        <v>14</v>
      </c>
      <c r="F19">
        <v>14</v>
      </c>
      <c r="G19">
        <v>14</v>
      </c>
      <c r="H19">
        <v>14</v>
      </c>
      <c r="I19">
        <v>14</v>
      </c>
      <c r="J19">
        <v>14</v>
      </c>
      <c r="K19">
        <v>14</v>
      </c>
      <c r="L19">
        <v>14</v>
      </c>
      <c r="M19">
        <v>14</v>
      </c>
      <c r="N19">
        <v>14</v>
      </c>
      <c r="O19">
        <v>14</v>
      </c>
      <c r="P19">
        <v>14</v>
      </c>
      <c r="Q19">
        <v>14</v>
      </c>
      <c r="R19">
        <v>14</v>
      </c>
      <c r="S19">
        <v>14</v>
      </c>
      <c r="T19">
        <v>14</v>
      </c>
      <c r="U19">
        <v>14</v>
      </c>
      <c r="V19">
        <v>14</v>
      </c>
      <c r="W19">
        <v>14</v>
      </c>
      <c r="X19">
        <v>14</v>
      </c>
      <c r="Y19">
        <v>14</v>
      </c>
      <c r="Z19">
        <v>14</v>
      </c>
      <c r="AA19">
        <v>14</v>
      </c>
      <c r="AB19">
        <v>14</v>
      </c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</row>
    <row r="20" spans="3:56">
      <c r="C20" t="s">
        <v>200</v>
      </c>
      <c r="D20" t="s">
        <v>203</v>
      </c>
      <c r="E20">
        <v>15.5</v>
      </c>
      <c r="F20">
        <v>15.5</v>
      </c>
      <c r="G20">
        <v>15.5</v>
      </c>
      <c r="H20">
        <v>15.5</v>
      </c>
      <c r="I20">
        <v>15.5</v>
      </c>
      <c r="J20">
        <v>17.045520011812748</v>
      </c>
      <c r="K20">
        <v>16.645520011812749</v>
      </c>
      <c r="L20">
        <v>15.5</v>
      </c>
      <c r="M20">
        <v>15.5</v>
      </c>
      <c r="N20">
        <v>15.5</v>
      </c>
      <c r="O20">
        <v>14.1</v>
      </c>
      <c r="P20">
        <v>15.5</v>
      </c>
      <c r="Q20">
        <v>15.5</v>
      </c>
      <c r="R20">
        <v>17.399999999999999</v>
      </c>
      <c r="S20">
        <v>16.3</v>
      </c>
      <c r="T20">
        <v>17.5</v>
      </c>
      <c r="U20">
        <v>15.5</v>
      </c>
      <c r="V20">
        <v>15.5</v>
      </c>
      <c r="W20">
        <v>15.5</v>
      </c>
      <c r="X20">
        <v>15.5</v>
      </c>
      <c r="Y20">
        <v>15.5</v>
      </c>
      <c r="Z20">
        <v>15.5</v>
      </c>
      <c r="AA20">
        <v>15.5</v>
      </c>
      <c r="AB20">
        <v>15.5</v>
      </c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</row>
    <row r="21" spans="3:56">
      <c r="C21" t="s">
        <v>201</v>
      </c>
      <c r="D21" t="s">
        <v>203</v>
      </c>
      <c r="E21">
        <v>12.2</v>
      </c>
      <c r="F21">
        <v>12.2</v>
      </c>
      <c r="G21">
        <v>12.245520011812747</v>
      </c>
      <c r="H21">
        <v>12.245520011812747</v>
      </c>
      <c r="I21">
        <v>12.245520011812747</v>
      </c>
      <c r="J21">
        <v>12.245520011812747</v>
      </c>
      <c r="K21">
        <v>12.245520011812747</v>
      </c>
      <c r="L21">
        <v>12.245520011812747</v>
      </c>
      <c r="M21">
        <v>11.9</v>
      </c>
      <c r="N21">
        <v>12</v>
      </c>
      <c r="O21">
        <v>12</v>
      </c>
      <c r="P21">
        <v>12</v>
      </c>
      <c r="Q21">
        <v>12</v>
      </c>
      <c r="R21">
        <v>12</v>
      </c>
      <c r="S21">
        <v>12</v>
      </c>
      <c r="T21">
        <v>11.741005754514685</v>
      </c>
      <c r="U21">
        <v>12.2</v>
      </c>
      <c r="V21">
        <v>12.2</v>
      </c>
      <c r="W21">
        <v>12.2</v>
      </c>
      <c r="X21">
        <v>12.2</v>
      </c>
      <c r="Y21">
        <v>12.2</v>
      </c>
      <c r="Z21">
        <v>12.2</v>
      </c>
      <c r="AA21">
        <v>12.2</v>
      </c>
      <c r="AB21">
        <v>12.2</v>
      </c>
    </row>
    <row r="22" spans="3:56">
      <c r="C22" t="s">
        <v>202</v>
      </c>
      <c r="D22" t="s">
        <v>203</v>
      </c>
      <c r="E22">
        <v>2.1</v>
      </c>
      <c r="F22">
        <v>3.3</v>
      </c>
      <c r="G22">
        <v>2.2000000000000002</v>
      </c>
      <c r="H22">
        <v>2.8</v>
      </c>
      <c r="I22">
        <v>2.8</v>
      </c>
      <c r="J22">
        <v>2.4</v>
      </c>
      <c r="K22">
        <v>2.5</v>
      </c>
      <c r="L22">
        <v>2.4</v>
      </c>
      <c r="M22">
        <v>2.1</v>
      </c>
      <c r="N22">
        <v>2.1</v>
      </c>
      <c r="O22">
        <v>2</v>
      </c>
      <c r="P22">
        <v>3.5</v>
      </c>
      <c r="Q22">
        <v>3.4</v>
      </c>
      <c r="R22">
        <v>2.2999999999999998</v>
      </c>
      <c r="S22">
        <v>3.5</v>
      </c>
      <c r="T22">
        <v>2.8</v>
      </c>
      <c r="U22">
        <v>2.1</v>
      </c>
      <c r="V22">
        <v>2.5</v>
      </c>
      <c r="W22">
        <v>3.3</v>
      </c>
      <c r="X22">
        <v>2.6</v>
      </c>
      <c r="Y22">
        <v>2.4</v>
      </c>
      <c r="Z22">
        <v>2.7</v>
      </c>
      <c r="AA22">
        <v>3.3</v>
      </c>
      <c r="AB22">
        <v>2.1</v>
      </c>
    </row>
  </sheetData>
  <phoneticPr fontId="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RefreshQuery">
                <anchor moveWithCells="1" sizeWithCells="1">
                  <from>
                    <xdr:col>4</xdr:col>
                    <xdr:colOff>47625</xdr:colOff>
                    <xdr:row>0</xdr:row>
                    <xdr:rowOff>142875</xdr:rowOff>
                  </from>
                  <to>
                    <xdr:col>5</xdr:col>
                    <xdr:colOff>285750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Power and Flow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2024-07-02T14:56:00Z</dcterms:modified>
</cp:coreProperties>
</file>