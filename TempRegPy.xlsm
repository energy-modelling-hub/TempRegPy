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Projects\GitHub\TempRegPy\"/>
    </mc:Choice>
  </mc:AlternateContent>
  <xr:revisionPtr revIDLastSave="0" documentId="13_ncr:1_{1D83DD07-24F6-490B-A1AE-327030E9F7BB}" xr6:coauthVersionLast="47" xr6:coauthVersionMax="47" xr10:uidLastSave="{00000000-0000-0000-0000-000000000000}"/>
  <bookViews>
    <workbookView xWindow="-14205" yWindow="-16320" windowWidth="29040" windowHeight="15840" activeTab="1" xr2:uid="{EDE72A4E-5E83-4998-A3FD-57974B6FA13E}"/>
  </bookViews>
  <sheets>
    <sheet name="Inputs" sheetId="1" r:id="rId1"/>
    <sheet name="Power and Flow" sheetId="7" r:id="rId2"/>
  </sheets>
  <definedNames>
    <definedName name="ExternalData_1" localSheetId="1" hidden="1">'Power and Flow'!$E$10:$O$34</definedName>
    <definedName name="ExternalData_2" localSheetId="1" hidden="1">'Power and Flow'!$P$10:$V$34</definedName>
    <definedName name="FolderPath">'Power and Flow'!$G$3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34" i="7" l="1"/>
  <c r="X33" i="7"/>
  <c r="X32" i="7"/>
  <c r="X31" i="7"/>
  <c r="X30" i="7"/>
  <c r="X29" i="7"/>
  <c r="X28" i="7"/>
  <c r="X27" i="7"/>
  <c r="X26" i="7"/>
  <c r="X25" i="7"/>
  <c r="X24" i="7"/>
  <c r="X23" i="7"/>
  <c r="X22" i="7"/>
  <c r="X21" i="7"/>
  <c r="X20" i="7"/>
  <c r="X19" i="7"/>
  <c r="X18" i="7"/>
  <c r="X17" i="7"/>
  <c r="X16" i="7"/>
  <c r="X15" i="7"/>
  <c r="X14" i="7"/>
  <c r="X13" i="7"/>
  <c r="X12" i="7"/>
  <c r="X11" i="7"/>
  <c r="W11" i="7" a="1"/>
  <c r="W11" i="7" s="1"/>
  <c r="W9" i="7" s="1"/>
  <c r="G56" i="1"/>
  <c r="G57" i="1"/>
  <c r="G58" i="1"/>
  <c r="G59" i="1"/>
  <c r="G60" i="1"/>
  <c r="G61" i="1"/>
  <c r="F9" i="7"/>
  <c r="G9" i="7"/>
  <c r="J9" i="7"/>
  <c r="M9" i="7"/>
  <c r="Y11" i="7" a="1"/>
  <c r="Y11" i="7" s="1"/>
  <c r="Y9" i="7" s="1"/>
  <c r="F13" i="1"/>
  <c r="G13" i="1" s="1"/>
  <c r="X9" i="7" l="1"/>
  <c r="Z21" i="7"/>
  <c r="Z13" i="7"/>
  <c r="Z29" i="7"/>
  <c r="Z11" i="7"/>
  <c r="Z27" i="7"/>
  <c r="Z19" i="7"/>
  <c r="Z34" i="7"/>
  <c r="Z26" i="7"/>
  <c r="Z18" i="7"/>
  <c r="Z33" i="7"/>
  <c r="Z25" i="7"/>
  <c r="Z17" i="7"/>
  <c r="Z32" i="7"/>
  <c r="Z24" i="7"/>
  <c r="Z16" i="7"/>
  <c r="Z31" i="7"/>
  <c r="Z23" i="7"/>
  <c r="Z15" i="7"/>
  <c r="Z30" i="7"/>
  <c r="Z22" i="7"/>
  <c r="Z14" i="7"/>
  <c r="Z28" i="7"/>
  <c r="Z20" i="7"/>
  <c r="Z12" i="7"/>
  <c r="G27" i="1"/>
  <c r="G33" i="1"/>
  <c r="G38" i="1"/>
  <c r="G42" i="1"/>
  <c r="G21" i="1"/>
  <c r="G3" i="7" a="1"/>
  <c r="G3" i="7" s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G51" i="1"/>
  <c r="G50" i="1"/>
  <c r="Z9" i="7" l="1"/>
  <c r="F4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5FD620C-E26F-42F5-A7D5-4FA824849ABA}" keepAlive="1" name="Query - Flows" description="Connection to the 'Flows' query in the workbook." type="5" refreshedVersion="8" background="1" saveData="1">
    <dbPr connection="Provider=Microsoft.Mashup.OleDb.1;Data Source=$Workbook$;Location=Flows;Extended Properties=&quot;&quot;" command="SELECT * FROM [Flows]"/>
  </connection>
  <connection id="2" xr16:uid="{C48F3CED-843F-405B-BE6D-2D62B9A3C6BB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3" xr16:uid="{ACA8B7FF-04B1-47EC-9C70-7B1E437C0C66}" keepAlive="1" name="Query - Parameter2" description="Connection to the 'Parameter2' query in the workbook." type="5" refreshedVersion="0" background="1">
    <dbPr connection="Provider=Microsoft.Mashup.OleDb.1;Data Source=$Workbook$;Location=Parameter2;Extended Properties=&quot;&quot;" command="SELECT * FROM [Parameter2]"/>
  </connection>
  <connection id="4" xr16:uid="{3FFFA63A-2589-4957-9E2B-D99905BB9B6B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5" xr16:uid="{791533C6-4CE8-42B1-B084-FEAB8FFA2375}" keepAlive="1" name="Query - Sample File (2)" description="Connection to the 'Sample File (2)' query in the workbook." type="5" refreshedVersion="0" background="1">
    <dbPr connection="Provider=Microsoft.Mashup.OleDb.1;Data Source=$Workbook$;Location=&quot;Sample File (2)&quot;;Extended Properties=&quot;&quot;" command="SELECT * FROM [Sample File (2)]"/>
  </connection>
  <connection id="6" xr16:uid="{67BF8B20-BF59-4BA9-808B-A3B14F4E0BC0}" keepAlive="1" name="Query - Temperature_summary" description="Connection to the 'Temperature_summary' query in the workbook." type="5" refreshedVersion="8" background="1" saveData="1">
    <dbPr connection="Provider=Microsoft.Mashup.OleDb.1;Data Source=$Workbook$;Location=Temperature_summary;Extended Properties=&quot;&quot;" command="SELECT * FROM [Temperature_summary]"/>
  </connection>
  <connection id="7" xr16:uid="{94709A37-6A15-443B-BF5E-D47797A8E7E1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8" xr16:uid="{EC07C3DB-D405-42B2-8B4A-974299753FDB}" keepAlive="1" name="Query - Transform File (2)" description="Connection to the 'Transform File (2)' query in the workbook." type="5" refreshedVersion="0" background="1">
    <dbPr connection="Provider=Microsoft.Mashup.OleDb.1;Data Source=$Workbook$;Location=&quot;Transform File (2)&quot;;Extended Properties=&quot;&quot;" command="SELECT * FROM [Transform File (2)]"/>
  </connection>
  <connection id="9" xr16:uid="{648103CA-F3E7-43ED-B179-8B291221D7F2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  <connection id="10" xr16:uid="{7D5A78DE-69C3-468B-B92B-BC09B7B1954A}" keepAlive="1" name="Query - Transform Sample File (2)" description="Connection to the 'Transform Sample File (2)' query in the workbook." type="5" refreshedVersion="0" background="1">
    <dbPr connection="Provider=Microsoft.Mashup.OleDb.1;Data Source=$Workbook$;Location=&quot;Transform Sample File (2)&quot;;Extended Properties=&quot;&quot;" command="SELECT * FROM [Transform Sample File (2)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<sst xmlns="http://schemas.openxmlformats.org/spreadsheetml/2006/main" count="333" uniqueCount="207">
  <si>
    <t>Glen Canyon Dam Inputs</t>
  </si>
  <si>
    <t>Temperature</t>
  </si>
  <si>
    <t>LMP_values</t>
  </si>
  <si>
    <t>T_RM61_hourly_max_values</t>
  </si>
  <si>
    <t>T_RM61_hourly_min_values</t>
  </si>
  <si>
    <t>dT_hourly_values</t>
  </si>
  <si>
    <t>T_ramp_up_delta</t>
  </si>
  <si>
    <t>T_ramp_down_delta</t>
  </si>
  <si>
    <t>T_RM61_daily</t>
  </si>
  <si>
    <t>dT_daily</t>
  </si>
  <si>
    <t>T_bp_values</t>
  </si>
  <si>
    <t>T_tur_values</t>
  </si>
  <si>
    <t>H01</t>
  </si>
  <si>
    <t>H02</t>
  </si>
  <si>
    <t>H03</t>
  </si>
  <si>
    <t>H04</t>
  </si>
  <si>
    <t>H05</t>
  </si>
  <si>
    <t>H06</t>
  </si>
  <si>
    <t>H07</t>
  </si>
  <si>
    <t>H08</t>
  </si>
  <si>
    <t>H09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</si>
  <si>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</si>
  <si>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</si>
  <si>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</si>
  <si>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</si>
  <si>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</si>
  <si>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</si>
  <si>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</si>
  <si>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</si>
  <si>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</si>
  <si>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</si>
  <si>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</si>
  <si>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</si>
  <si>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</si>
  <si>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</si>
  <si>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</si>
  <si>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Hourly LMPs</t>
  </si>
  <si>
    <t>Python Variable Names</t>
  </si>
  <si>
    <t>Maximum temperature @ RM61 - hourly (°C or °F)</t>
  </si>
  <si>
    <t>Minimum temperature @ RM61 - hourly (°C or °F)</t>
  </si>
  <si>
    <t>Bypass temperature - hourly (°C or °F)</t>
  </si>
  <si>
    <t>Turbine temperature - hourly (°C or °F)</t>
  </si>
  <si>
    <t>Temperature delta between Glen Canyon and RM61 - hourly (°C or °F)</t>
  </si>
  <si>
    <t>Maximum Temperature RampUp rate - hourly</t>
  </si>
  <si>
    <t>Maximum Temperature RampDown rate - hourly</t>
  </si>
  <si>
    <t>Maximum average temperature @ RM61 - daily (°C or °F)</t>
  </si>
  <si>
    <t>Average temperature delta between Glen Canyon and RM61 - daily (°C or °F)</t>
  </si>
  <si>
    <t>Price</t>
  </si>
  <si>
    <t>C_bp_ramp_up</t>
  </si>
  <si>
    <t>C_bp_ramp_down</t>
  </si>
  <si>
    <t>C_tur_ramp_up</t>
  </si>
  <si>
    <t>C_tur_ramp_down</t>
  </si>
  <si>
    <t>C_tot_ramp_up</t>
  </si>
  <si>
    <t>C_tot_ramp_down</t>
  </si>
  <si>
    <t>Bypass release ramp up penalty cost ($/CFS)</t>
  </si>
  <si>
    <t>Bypass release ramp down penalty cost ($/CFS)</t>
  </si>
  <si>
    <t>Turbine release ramp up penalty cost ($/CFS)</t>
  </si>
  <si>
    <t>Turbine release ramp down penalty cost ($/CFS)</t>
  </si>
  <si>
    <t>Total release ramp up penalty cost ($/CFS)</t>
  </si>
  <si>
    <t>Total release ramp down penalty cost ($/CFS)</t>
  </si>
  <si>
    <t>Water</t>
  </si>
  <si>
    <t>Demand_values</t>
  </si>
  <si>
    <t>Demand (MWh)</t>
  </si>
  <si>
    <t>WaterToPowerConversion</t>
  </si>
  <si>
    <t>Water to Power Conversion Factor (MW/CFS)</t>
  </si>
  <si>
    <t>Single input</t>
  </si>
  <si>
    <t>Q_tot_daily</t>
  </si>
  <si>
    <t>Q_max_daily_change</t>
  </si>
  <si>
    <t>Maximum change between minimum and maximum release - daily (CFS)</t>
  </si>
  <si>
    <t>Q_bp_ramp_down_max</t>
  </si>
  <si>
    <t>Q_bp_ramp_up_max</t>
  </si>
  <si>
    <t>Q_tur_ramp_down_max</t>
  </si>
  <si>
    <t>Q_tur_ramp_up_max</t>
  </si>
  <si>
    <t>Q_tot_ramp_up_max</t>
  </si>
  <si>
    <t>Q_tot_ramp_down_max</t>
  </si>
  <si>
    <t>Bypass release RampUp rate (CFS/h)</t>
  </si>
  <si>
    <t>Bypass release RampDown rate (CFS/h)</t>
  </si>
  <si>
    <t>Turbine release RampUp rate (CFS/h)</t>
  </si>
  <si>
    <t>Turbine release RampDown rate (CFS/h)</t>
  </si>
  <si>
    <t>Total release RampUp rate (CFS/h)</t>
  </si>
  <si>
    <t>Total release RampDown rate (CFS/h)</t>
  </si>
  <si>
    <t>Q_bp_min_values</t>
  </si>
  <si>
    <t>Q_bp_max_values</t>
  </si>
  <si>
    <t>Q_tur_min_values</t>
  </si>
  <si>
    <t>Q_tur_max_values</t>
  </si>
  <si>
    <t>Q_tot_min_values</t>
  </si>
  <si>
    <t>Q_tot_max_values</t>
  </si>
  <si>
    <t>Bypass release minimum - hourly (CFS)</t>
  </si>
  <si>
    <t>Bypass release maximum - hourly (CFS)</t>
  </si>
  <si>
    <t>Turbine release minimum - hourly (CFS)</t>
  </si>
  <si>
    <t>Turbine release maximum - hourly (CFS)</t>
  </si>
  <si>
    <t>Total release minimum - hourly (CFS)</t>
  </si>
  <si>
    <t>Total release maximum - hourly (CFS)</t>
  </si>
  <si>
    <t>Power</t>
  </si>
  <si>
    <t>Power Turbine - min (MW)</t>
  </si>
  <si>
    <t>Power Turbine - max (MW)</t>
  </si>
  <si>
    <t>P_tur_min_values</t>
  </si>
  <si>
    <t>P_tur_max_values</t>
  </si>
  <si>
    <t>python_path</t>
  </si>
  <si>
    <t>Python Environment Path</t>
  </si>
  <si>
    <t>Simulation options</t>
  </si>
  <si>
    <t>Bypass Ramping Constraint</t>
  </si>
  <si>
    <t>Turbine Ramping Constraint</t>
  </si>
  <si>
    <t>cnstr_tur_ramp</t>
  </si>
  <si>
    <t>cnstr_bp_ramp</t>
  </si>
  <si>
    <t>Total Release Ramping Constraint</t>
  </si>
  <si>
    <t>cnstr_tot_ramp</t>
  </si>
  <si>
    <t>Maximum daily operating range</t>
  </si>
  <si>
    <t>cnstr_oper_range</t>
  </si>
  <si>
    <t>cnstr_bp_t01t24</t>
  </si>
  <si>
    <t>cnstr_tur_t01t24</t>
  </si>
  <si>
    <t>cnstr_tot_t01t24</t>
  </si>
  <si>
    <t>cnstr_temp_t01t24</t>
  </si>
  <si>
    <t>Bypass cycling constraint t01=t24</t>
  </si>
  <si>
    <t>Turbine cycling constraint t01=t24</t>
  </si>
  <si>
    <t>Total release cycling constraint t01=t24</t>
  </si>
  <si>
    <t>Temperature cycling constraint t01=t24</t>
  </si>
  <si>
    <t>cnstr_temp_convex_hull</t>
  </si>
  <si>
    <t>Temperature ramping with Convex Hull Approximation</t>
  </si>
  <si>
    <t>sim_folder</t>
  </si>
  <si>
    <t>Simulation Folder Name</t>
  </si>
  <si>
    <t>Info</t>
  </si>
  <si>
    <t>Colourcodes</t>
  </si>
  <si>
    <t>Sheet info</t>
  </si>
  <si>
    <t>Calculations</t>
  </si>
  <si>
    <t>Inputs</t>
  </si>
  <si>
    <t>Helpers</t>
  </si>
  <si>
    <t>C:\Users\mpavicevic\AppData\Local\miniconda3\envs\tempregpy\python.exe</t>
  </si>
  <si>
    <t>t01</t>
  </si>
  <si>
    <t>t02</t>
  </si>
  <si>
    <t>t03</t>
  </si>
  <si>
    <t>t04</t>
  </si>
  <si>
    <t>t05</t>
  </si>
  <si>
    <t>t06</t>
  </si>
  <si>
    <t>t07</t>
  </si>
  <si>
    <t>t08</t>
  </si>
  <si>
    <t>t09</t>
  </si>
  <si>
    <t>t10</t>
  </si>
  <si>
    <t>t11</t>
  </si>
  <si>
    <t>t12</t>
  </si>
  <si>
    <t>t13</t>
  </si>
  <si>
    <t>t14</t>
  </si>
  <si>
    <t>t15</t>
  </si>
  <si>
    <t>t16</t>
  </si>
  <si>
    <t>t17</t>
  </si>
  <si>
    <t>t18</t>
  </si>
  <si>
    <t>t19</t>
  </si>
  <si>
    <t>t20</t>
  </si>
  <si>
    <t>t21</t>
  </si>
  <si>
    <t>t22</t>
  </si>
  <si>
    <t>t23</t>
  </si>
  <si>
    <t>t24</t>
  </si>
  <si>
    <t>Show plots</t>
  </si>
  <si>
    <t>plt_show</t>
  </si>
  <si>
    <t>Path</t>
  </si>
  <si>
    <t>Results</t>
  </si>
  <si>
    <t>Simulation selection</t>
  </si>
  <si>
    <t>MW</t>
  </si>
  <si>
    <t>Variable</t>
  </si>
  <si>
    <t>Units</t>
  </si>
  <si>
    <t>Bypass</t>
  </si>
  <si>
    <t>CFS</t>
  </si>
  <si>
    <t>Bypass Ramp Down</t>
  </si>
  <si>
    <t>Bypass Ramp Up</t>
  </si>
  <si>
    <t>Total Release</t>
  </si>
  <si>
    <t>Turbine Release</t>
  </si>
  <si>
    <t>Simulation Folder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</si>
  <si>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</si>
  <si>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</si>
  <si>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</si>
  <si>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</si>
  <si>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</si>
  <si>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</si>
  <si>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</si>
  <si>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</si>
  <si>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</si>
  <si>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</si>
  <si>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</si>
  <si>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T_RM61</t>
  </si>
  <si>
    <t>T_RM61_max</t>
  </si>
  <si>
    <t>T_RM61_min</t>
  </si>
  <si>
    <t>T_min</t>
  </si>
  <si>
    <t>T_max</t>
  </si>
  <si>
    <t>T_dam</t>
  </si>
  <si>
    <t>d_T</t>
  </si>
  <si>
    <t>°C</t>
  </si>
  <si>
    <t>Version</t>
  </si>
  <si>
    <t>version</t>
  </si>
  <si>
    <t>v0.0.1</t>
  </si>
  <si>
    <t>LP</t>
  </si>
  <si>
    <t>Total release - daily (AF)</t>
  </si>
  <si>
    <t>Summary</t>
  </si>
  <si>
    <t>LPM</t>
  </si>
  <si>
    <t>$/MWh</t>
  </si>
  <si>
    <t>Economic Value</t>
  </si>
  <si>
    <t>$</t>
  </si>
  <si>
    <t>Total</t>
  </si>
  <si>
    <t>Test2</t>
  </si>
  <si>
    <t>Total Ramp Down</t>
  </si>
  <si>
    <t>Total Ramp Up</t>
  </si>
  <si>
    <t>Turbine Ramp Down</t>
  </si>
  <si>
    <t>Turbine Ramp Up</t>
  </si>
  <si>
    <t>T_RM61 min</t>
  </si>
  <si>
    <t>T_RM61 max</t>
  </si>
  <si>
    <t>Demand</t>
  </si>
  <si>
    <t>MWh</t>
  </si>
  <si>
    <t>Demand - Generation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</si>
</sst>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7" formatCode="#,##0.0"/>
  </numFmts>
  <fonts count="17"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sz val="11"/>
      <color rgb="FF3F3F76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9.8000000000000007"/>
      <color rgb="FFBCBEC4"/>
      <name val="JetBrains Mono"/>
      <family val="3"/>
    </font>
    <font>
      <sz val="8"/>
      <name val="Aptos Narrow"/>
      <family val="2"/>
      <scheme val="minor"/>
    </font>
    <font>
      <sz val="11"/>
      <color theme="3" tint="0.24994659260841701"/>
      <name val="Aptos Narrow"/>
      <family val="2"/>
      <scheme val="minor"/>
    </font>
    <font>
      <strike/>
      <sz val="11"/>
      <color rgb="FFC00000"/>
      <name val="Aptos Narrow"/>
      <family val="2"/>
      <scheme val="minor"/>
    </font>
    <font>
      <sz val="11"/>
      <color theme="4" tint="0.79998168889431442"/>
      <name val="Aptos Narrow"/>
      <family val="2"/>
      <scheme val="minor"/>
    </font>
    <font>
      <b/>
      <sz val="13"/>
      <color theme="4" tint="0.79998168889431442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000000"/>
      <name val="Aptos Narrow"/>
      <family val="2"/>
    </font>
    <font>
      <i/>
      <sz val="11"/>
      <color rgb="FFFF0000"/>
      <name val="Aptos Narrow"/>
      <family val="2"/>
      <scheme val="minor"/>
    </font>
    <font>
      <b/>
      <sz val="11"/>
      <color theme="3" tint="0.24994659260841701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599963377788628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theme="7"/>
      </top>
      <bottom style="thin">
        <color theme="7"/>
      </bottom>
      <diagonal/>
    </border>
    <border>
      <left style="thin">
        <color rgb="FF7F7F7F"/>
      </left>
      <right style="thin">
        <color rgb="FF7F7F7F"/>
      </right>
      <top/>
      <bottom style="medium">
        <color indexed="64"/>
      </bottom>
      <diagonal/>
    </border>
  </borders>
  <cellStyleXfs count="10">
    <xf numFmtId="0" fontId="0" fillId="0" borderId="0"/>
    <xf numFmtId="0" fontId="1" fillId="0" borderId="4" applyNumberFormat="0" applyFill="0" applyAlignment="0" applyProtection="0"/>
    <xf numFmtId="0" fontId="2" fillId="2" borderId="1" applyNumberFormat="0" applyAlignment="0" applyProtection="0"/>
    <xf numFmtId="0" fontId="3" fillId="0" borderId="2" applyNumberFormat="0" applyFill="0" applyAlignment="0" applyProtection="0"/>
    <xf numFmtId="0" fontId="4" fillId="3" borderId="3" applyNumberFormat="0" applyAlignment="0" applyProtection="0"/>
    <xf numFmtId="0" fontId="5" fillId="0" borderId="0" applyNumberFormat="0" applyFill="0" applyBorder="0" applyAlignment="0" applyProtection="0"/>
    <xf numFmtId="0" fontId="8" fillId="4" borderId="3" applyNumberFormat="0" applyAlignment="0" applyProtection="0"/>
    <xf numFmtId="0" fontId="12" fillId="0" borderId="5" applyNumberFormat="0" applyFill="0" applyAlignment="0" applyProtection="0"/>
    <xf numFmtId="0" fontId="13" fillId="6" borderId="0" applyNumberFormat="0" applyBorder="0" applyAlignment="0" applyProtection="0"/>
    <xf numFmtId="0" fontId="15" fillId="0" borderId="0" applyNumberFormat="0" applyFill="0" applyBorder="0" applyAlignment="0" applyProtection="0"/>
  </cellStyleXfs>
  <cellXfs count="57">
    <xf numFmtId="0" fontId="0" fillId="0" borderId="0" xfId="0"/>
    <xf numFmtId="0" fontId="2" fillId="2" borderId="1" xfId="2"/>
    <xf numFmtId="0" fontId="6" fillId="0" borderId="0" xfId="0" applyFont="1" applyAlignment="1">
      <alignment vertical="center"/>
    </xf>
    <xf numFmtId="0" fontId="3" fillId="0" borderId="2" xfId="3" applyAlignment="1">
      <alignment horizontal="center"/>
    </xf>
    <xf numFmtId="0" fontId="4" fillId="3" borderId="3" xfId="4"/>
    <xf numFmtId="0" fontId="4" fillId="3" borderId="3" xfId="4" applyAlignment="1">
      <alignment vertical="center"/>
    </xf>
    <xf numFmtId="0" fontId="1" fillId="0" borderId="2" xfId="1" applyBorder="1"/>
    <xf numFmtId="0" fontId="5" fillId="0" borderId="2" xfId="5" applyFill="1" applyBorder="1"/>
    <xf numFmtId="3" fontId="4" fillId="3" borderId="3" xfId="4" applyNumberFormat="1"/>
    <xf numFmtId="164" fontId="4" fillId="3" borderId="3" xfId="4" applyNumberFormat="1"/>
    <xf numFmtId="3" fontId="8" fillId="4" borderId="3" xfId="6" applyNumberFormat="1"/>
    <xf numFmtId="164" fontId="9" fillId="4" borderId="3" xfId="4" applyNumberFormat="1" applyFont="1" applyFill="1"/>
    <xf numFmtId="164" fontId="8" fillId="4" borderId="3" xfId="6" applyNumberFormat="1"/>
    <xf numFmtId="0" fontId="10" fillId="5" borderId="2" xfId="5" applyFont="1" applyFill="1" applyBorder="1"/>
    <xf numFmtId="0" fontId="11" fillId="5" borderId="2" xfId="3" applyFont="1" applyFill="1" applyAlignment="1">
      <alignment horizontal="center"/>
    </xf>
    <xf numFmtId="0" fontId="8" fillId="0" borderId="0" xfId="6" applyFill="1" applyBorder="1"/>
    <xf numFmtId="0" fontId="13" fillId="6" borderId="0" xfId="8"/>
    <xf numFmtId="0" fontId="13" fillId="6" borderId="0" xfId="8" applyBorder="1" applyAlignment="1">
      <alignment horizontal="center"/>
    </xf>
    <xf numFmtId="0" fontId="0" fillId="0" borderId="0" xfId="0" applyAlignment="1">
      <alignment horizontal="left" indent="1"/>
    </xf>
    <xf numFmtId="0" fontId="12" fillId="0" borderId="5" xfId="7" applyFill="1"/>
    <xf numFmtId="0" fontId="12" fillId="0" borderId="5" xfId="7" applyAlignment="1">
      <alignment horizontal="left"/>
    </xf>
    <xf numFmtId="0" fontId="9" fillId="4" borderId="0" xfId="0" applyFont="1" applyFill="1" applyAlignment="1">
      <alignment horizontal="left" indent="1"/>
    </xf>
    <xf numFmtId="0" fontId="8" fillId="4" borderId="6" xfId="6" applyBorder="1"/>
    <xf numFmtId="0" fontId="4" fillId="3" borderId="6" xfId="4" applyBorder="1"/>
    <xf numFmtId="0" fontId="4" fillId="0" borderId="0" xfId="4" applyFill="1" applyBorder="1"/>
    <xf numFmtId="0" fontId="13" fillId="0" borderId="0" xfId="8" applyFill="1"/>
    <xf numFmtId="0" fontId="1" fillId="0" borderId="4" xfId="1"/>
    <xf numFmtId="0" fontId="3" fillId="0" borderId="2" xfId="3"/>
    <xf numFmtId="3" fontId="13" fillId="6" borderId="3" xfId="8" applyNumberFormat="1" applyBorder="1"/>
    <xf numFmtId="0" fontId="15" fillId="0" borderId="7" xfId="9" applyFill="1" applyBorder="1"/>
    <xf numFmtId="0" fontId="13" fillId="7" borderId="0" xfId="8" applyFill="1"/>
    <xf numFmtId="0" fontId="0" fillId="7" borderId="0" xfId="0" applyFill="1"/>
    <xf numFmtId="0" fontId="13" fillId="7" borderId="0" xfId="8" applyFill="1" applyBorder="1" applyAlignment="1">
      <alignment horizontal="center"/>
    </xf>
    <xf numFmtId="0" fontId="3" fillId="0" borderId="2" xfId="3" applyFill="1"/>
    <xf numFmtId="0" fontId="4" fillId="3" borderId="8" xfId="4" applyBorder="1"/>
    <xf numFmtId="0" fontId="0" fillId="0" borderId="0" xfId="0" applyFill="1" applyBorder="1"/>
    <xf numFmtId="0" fontId="3" fillId="0" borderId="0" xfId="3" applyBorder="1"/>
    <xf numFmtId="0" fontId="3" fillId="0" borderId="0" xfId="3" applyFill="1" applyBorder="1"/>
    <xf numFmtId="0" fontId="1" fillId="0" borderId="4" xfId="1" applyFill="1"/>
    <xf numFmtId="0" fontId="1" fillId="0" borderId="0" xfId="1" applyFill="1" applyBorder="1"/>
    <xf numFmtId="164" fontId="0" fillId="0" borderId="0" xfId="0" applyNumberFormat="1" applyFill="1" applyBorder="1"/>
    <xf numFmtId="0" fontId="8" fillId="4" borderId="9" xfId="6" applyBorder="1"/>
    <xf numFmtId="0" fontId="0" fillId="0" borderId="0" xfId="0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0" fontId="8" fillId="0" borderId="0" xfId="6" applyFill="1" applyBorder="1" applyAlignment="1">
      <alignment horizontal="center" vertical="center" wrapText="1"/>
    </xf>
    <xf numFmtId="0" fontId="4" fillId="0" borderId="0" xfId="4" applyFill="1" applyBorder="1" applyAlignment="1">
      <alignment horizontal="center" vertical="center" wrapText="1"/>
    </xf>
    <xf numFmtId="167" fontId="0" fillId="0" borderId="0" xfId="0" applyNumberFormat="1"/>
    <xf numFmtId="4" fontId="0" fillId="0" borderId="0" xfId="0" applyNumberFormat="1"/>
    <xf numFmtId="4" fontId="0" fillId="5" borderId="10" xfId="0" applyNumberFormat="1" applyFill="1" applyBorder="1"/>
    <xf numFmtId="167" fontId="0" fillId="5" borderId="10" xfId="0" applyNumberFormat="1" applyFill="1" applyBorder="1"/>
    <xf numFmtId="0" fontId="0" fillId="0" borderId="4" xfId="0" applyBorder="1" applyAlignment="1">
      <alignment horizontal="center"/>
    </xf>
    <xf numFmtId="0" fontId="0" fillId="0" borderId="4" xfId="0" applyFill="1" applyBorder="1" applyAlignment="1">
      <alignment horizontal="center"/>
    </xf>
    <xf numFmtId="167" fontId="16" fillId="4" borderId="11" xfId="6" applyNumberFormat="1" applyFont="1" applyBorder="1"/>
    <xf numFmtId="4" fontId="0" fillId="0" borderId="10" xfId="0" applyNumberFormat="1" applyBorder="1"/>
    <xf numFmtId="167" fontId="0" fillId="0" borderId="10" xfId="0" applyNumberFormat="1" applyBorder="1"/>
  </cellXfs>
  <cellStyles count="10">
    <cellStyle name="Calculation" xfId="6" builtinId="22" customBuiltin="1"/>
    <cellStyle name="Explanatory Text" xfId="9" builtinId="53" customBuiltin="1"/>
    <cellStyle name="Heading 1" xfId="2" builtinId="16" customBuiltin="1"/>
    <cellStyle name="Heading 2" xfId="3" builtinId="17"/>
    <cellStyle name="Heading 3" xfId="7" builtinId="18"/>
    <cellStyle name="Input" xfId="4" builtinId="20" customBuiltin="1"/>
    <cellStyle name="Neutral" xfId="8" builtinId="28"/>
    <cellStyle name="Normal" xfId="0" builtinId="0"/>
    <cellStyle name="Title" xfId="1" builtinId="15" customBuiltin="1"/>
    <cellStyle name="Warning Text" xfId="5" builtinId="11"/>
  </cellStyles>
  <dxfs count="32">
    <dxf>
      <numFmt numFmtId="167" formatCode="#,##0.0"/>
    </dxf>
    <dxf>
      <numFmt numFmtId="167" formatCode="#,##0.0"/>
    </dxf>
    <dxf>
      <numFmt numFmtId="167" formatCode="#,##0.0"/>
    </dxf>
    <dxf>
      <numFmt numFmtId="167" formatCode="#,##0.0"/>
    </dxf>
    <dxf>
      <numFmt numFmtId="167" formatCode="#,##0.0"/>
    </dxf>
    <dxf>
      <numFmt numFmtId="167" formatCode="#,##0.0"/>
    </dxf>
    <dxf>
      <numFmt numFmtId="167" formatCode="#,##0.0"/>
    </dxf>
    <dxf>
      <numFmt numFmtId="167" formatCode="#,##0.0"/>
    </dxf>
    <dxf>
      <numFmt numFmtId="167" formatCode="#,##0.0"/>
    </dxf>
    <dxf>
      <numFmt numFmtId="167" formatCode="#,##0.0"/>
    </dxf>
    <dxf>
      <numFmt numFmtId="167" formatCode="#,##0.0"/>
    </dxf>
    <dxf>
      <numFmt numFmtId="167" formatCode="#,##0.0"/>
    </dxf>
    <dxf>
      <numFmt numFmtId="167" formatCode="#,##0.0"/>
    </dxf>
    <dxf>
      <numFmt numFmtId="167" formatCode="#,##0.0"/>
    </dxf>
    <dxf>
      <numFmt numFmtId="167" formatCode="#,##0.0"/>
    </dxf>
    <dxf>
      <numFmt numFmtId="167" formatCode="#,##0.0"/>
    </dxf>
    <dxf>
      <numFmt numFmtId="167" formatCode="#,##0.0"/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numFmt numFmtId="167" formatCode="#,##0.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3124200</xdr:colOff>
          <xdr:row>2</xdr:row>
          <xdr:rowOff>114300</xdr:rowOff>
        </xdr:from>
        <xdr:to>
          <xdr:col>3</xdr:col>
          <xdr:colOff>4305300</xdr:colOff>
          <xdr:row>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5</xdr:row>
          <xdr:rowOff>28575</xdr:rowOff>
        </xdr:from>
        <xdr:to>
          <xdr:col>3</xdr:col>
          <xdr:colOff>1066800</xdr:colOff>
          <xdr:row>5</xdr:row>
          <xdr:rowOff>361950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Results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DF2F266-D835-4BAC-8257-D75624F19BAE}" autoFormatId="16" applyNumberFormats="0" applyBorderFormats="0" applyFontFormats="0" applyPatternFormats="0" applyAlignmentFormats="0" applyWidthHeightFormats="0">
  <queryTableRefresh nextId="66">
    <queryTableFields count="11">
      <queryTableField id="55" name="Column1" tableColumnId="1"/>
      <queryTableField id="56" name="Column2" tableColumnId="2"/>
      <queryTableField id="57" name="Column3" tableColumnId="3"/>
      <queryTableField id="58" name="Column4" tableColumnId="4"/>
      <queryTableField id="59" name="Column5" tableColumnId="5"/>
      <queryTableField id="60" name="Column6" tableColumnId="6"/>
      <queryTableField id="61" name="Column7" tableColumnId="7"/>
      <queryTableField id="62" name="Column8" tableColumnId="8"/>
      <queryTableField id="63" name="Column9" tableColumnId="9"/>
      <queryTableField id="64" name="Column10" tableColumnId="10"/>
      <queryTableField id="65" name="Column11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940F4C6D-5828-4ACA-B9BD-0DAE24517D69}" autoFormatId="16" applyNumberFormats="0" applyBorderFormats="0" applyFontFormats="0" applyPatternFormats="0" applyAlignmentFormats="0" applyWidthHeightFormats="0">
  <queryTableRefresh nextId="33">
    <queryTableFields count="7">
      <queryTableField id="26" name="T_RM61" tableColumnId="1"/>
      <queryTableField id="27" name="T_RM61_max" tableColumnId="2"/>
      <queryTableField id="28" name="T_RM61_min" tableColumnId="3"/>
      <queryTableField id="29" name="T_min" tableColumnId="4"/>
      <queryTableField id="30" name="T_max" tableColumnId="5"/>
      <queryTableField id="31" name="T_dam" tableColumnId="6"/>
      <queryTableField id="32" name="d_T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5018A3B-9F4D-4A44-B817-5FC1E17FA47B}" name="Flows" displayName="Flows" ref="E10:O34" tableType="queryTable" totalsRowShown="0">
  <autoFilter ref="E10:O34" xr:uid="{C5018A3B-9F4D-4A44-B817-5FC1E17FA47B}"/>
  <tableColumns count="11">
    <tableColumn id="1" xr3:uid="{98AE34C8-16CB-47F0-9560-D0AE4F8A1FE8}" uniqueName="1" name="Column1" queryTableFieldId="55"/>
    <tableColumn id="2" xr3:uid="{ADF67546-7F3A-4ADA-8D98-821FD2B1AA49}" uniqueName="2" name="Column2" queryTableFieldId="56" dataDxfId="9"/>
    <tableColumn id="3" xr3:uid="{AB7BA1B5-1F3B-4F1E-A213-D19ED7F5CF9F}" uniqueName="3" name="Column3" queryTableFieldId="57" dataDxfId="8"/>
    <tableColumn id="4" xr3:uid="{A1ADD4F0-4074-4303-B2D1-E5F14BB8196A}" uniqueName="4" name="Column4" queryTableFieldId="58" dataDxfId="7"/>
    <tableColumn id="5" xr3:uid="{563CE4C9-CE38-47A0-99F4-F29BA90D9E2E}" uniqueName="5" name="Column5" queryTableFieldId="59" dataDxfId="6"/>
    <tableColumn id="6" xr3:uid="{11FC9600-0852-44F4-AB65-12E64C0839F0}" uniqueName="6" name="Column6" queryTableFieldId="60" dataDxfId="5"/>
    <tableColumn id="7" xr3:uid="{665E194B-6F50-4A5E-A8F2-597E627F17E1}" uniqueName="7" name="Column7" queryTableFieldId="61" dataDxfId="4"/>
    <tableColumn id="8" xr3:uid="{072A3F39-9873-4439-990D-30D1CBD7FCF2}" uniqueName="8" name="Column8" queryTableFieldId="62" dataDxfId="3"/>
    <tableColumn id="9" xr3:uid="{266FC45C-C5A6-4D88-87EB-5BBED5D382AD}" uniqueName="9" name="Column9" queryTableFieldId="63" dataDxfId="2"/>
    <tableColumn id="10" xr3:uid="{98BFDA63-39EE-48C0-877C-F7A5933274D6}" uniqueName="10" name="Column10" queryTableFieldId="64" dataDxfId="1"/>
    <tableColumn id="11" xr3:uid="{ECB46E26-8F59-422C-8E30-1555ACFD5D2E}" uniqueName="11" name="Column11" queryTableFieldId="65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1D4CA61-52EC-483D-8747-CC7F48372471}" name="Temperature_summary" displayName="Temperature_summary" ref="P10:V34" tableType="queryTable" totalsRowShown="0" dataDxfId="31">
  <autoFilter ref="P10:V34" xr:uid="{D1D4CA61-52EC-483D-8747-CC7F48372471}"/>
  <tableColumns count="7">
    <tableColumn id="1" xr3:uid="{624BB3D2-CE71-4124-ABE2-E1EF59184E8D}" uniqueName="1" name="T_RM61" queryTableFieldId="26" dataDxfId="16"/>
    <tableColumn id="2" xr3:uid="{4FDE7653-7AD8-4F9F-9772-584D0EEF2FA4}" uniqueName="2" name="T_RM61_max" queryTableFieldId="27" dataDxfId="15"/>
    <tableColumn id="3" xr3:uid="{88F40627-3F4E-4A4B-AD21-370475C246E3}" uniqueName="3" name="T_RM61_min" queryTableFieldId="28" dataDxfId="14"/>
    <tableColumn id="4" xr3:uid="{3BEE7060-FD58-4688-B488-1EF8E041E474}" uniqueName="4" name="T_min" queryTableFieldId="29" dataDxfId="13"/>
    <tableColumn id="5" xr3:uid="{51552412-3F29-4C9A-AF7D-58E95626E89B}" uniqueName="5" name="T_max" queryTableFieldId="30" dataDxfId="12"/>
    <tableColumn id="6" xr3:uid="{C17D0F2B-2760-45F9-8C4B-7FEBE10394AD}" uniqueName="6" name="T_dam" queryTableFieldId="31" dataDxfId="11"/>
    <tableColumn id="7" xr3:uid="{D63905B4-2879-4E84-8A0E-4F92372D84A2}" uniqueName="7" name="d_T" queryTableFieldId="32" dataDxfId="1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63731-CB62-44B0-AADB-81B3396EA9EB}">
  <sheetPr codeName="Sheet1"/>
  <dimension ref="D1:AD61"/>
  <sheetViews>
    <sheetView topLeftCell="A29" workbookViewId="0">
      <selection activeCell="G52" sqref="G52"/>
    </sheetView>
  </sheetViews>
  <sheetFormatPr defaultRowHeight="15"/>
  <cols>
    <col min="1" max="3" width="1.7109375" customWidth="1"/>
    <col min="4" max="4" width="69.28515625" bestFit="1" customWidth="1"/>
    <col min="5" max="5" width="29" bestFit="1" customWidth="1"/>
    <col min="6" max="6" width="13.140625" bestFit="1" customWidth="1"/>
  </cols>
  <sheetData>
    <row r="1" spans="4:30" ht="24.75" thickBot="1">
      <c r="D1" s="6" t="s">
        <v>0</v>
      </c>
      <c r="E1" s="13" t="s">
        <v>37</v>
      </c>
      <c r="F1" s="14" t="s">
        <v>65</v>
      </c>
      <c r="G1" s="14" t="s">
        <v>12</v>
      </c>
      <c r="H1" s="14" t="s">
        <v>13</v>
      </c>
      <c r="I1" s="14" t="s">
        <v>14</v>
      </c>
      <c r="J1" s="14" t="s">
        <v>15</v>
      </c>
      <c r="K1" s="14" t="s">
        <v>16</v>
      </c>
      <c r="L1" s="14" t="s">
        <v>17</v>
      </c>
      <c r="M1" s="14" t="s">
        <v>18</v>
      </c>
      <c r="N1" s="14" t="s">
        <v>19</v>
      </c>
      <c r="O1" s="14" t="s">
        <v>20</v>
      </c>
      <c r="P1" s="14" t="s">
        <v>21</v>
      </c>
      <c r="Q1" s="14" t="s">
        <v>22</v>
      </c>
      <c r="R1" s="14" t="s">
        <v>23</v>
      </c>
      <c r="S1" s="14" t="s">
        <v>24</v>
      </c>
      <c r="T1" s="14" t="s">
        <v>25</v>
      </c>
      <c r="U1" s="14" t="s">
        <v>26</v>
      </c>
      <c r="V1" s="14" t="s">
        <v>27</v>
      </c>
      <c r="W1" s="14" t="s">
        <v>28</v>
      </c>
      <c r="X1" s="14" t="s">
        <v>29</v>
      </c>
      <c r="Y1" s="14" t="s">
        <v>30</v>
      </c>
      <c r="Z1" s="14" t="s">
        <v>31</v>
      </c>
      <c r="AA1" s="14" t="s">
        <v>32</v>
      </c>
      <c r="AB1" s="14" t="s">
        <v>33</v>
      </c>
      <c r="AC1" s="14" t="s">
        <v>34</v>
      </c>
      <c r="AD1" s="14" t="s">
        <v>35</v>
      </c>
    </row>
    <row r="2" spans="4:30" ht="15.75" customHeight="1" thickTop="1" thickBot="1">
      <c r="D2" s="1" t="s">
        <v>123</v>
      </c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3" spans="4:30" ht="15.75" customHeight="1" thickTop="1">
      <c r="D3" t="s">
        <v>186</v>
      </c>
      <c r="E3" s="2" t="s">
        <v>187</v>
      </c>
      <c r="F3" s="15" t="s">
        <v>188</v>
      </c>
      <c r="G3" s="24"/>
      <c r="H3" s="30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  <c r="AD3" s="32"/>
    </row>
    <row r="4" spans="4:30" ht="15.75" customHeight="1">
      <c r="D4" t="s">
        <v>122</v>
      </c>
      <c r="F4" s="22" t="s">
        <v>124</v>
      </c>
      <c r="G4" s="23" t="s">
        <v>125</v>
      </c>
      <c r="H4" s="16" t="s">
        <v>126</v>
      </c>
      <c r="I4" s="2" t="s">
        <v>121</v>
      </c>
      <c r="AC4" s="16" t="s">
        <v>189</v>
      </c>
      <c r="AD4" s="16" t="b">
        <v>1</v>
      </c>
    </row>
    <row r="5" spans="4:30" ht="15.75" customHeight="1">
      <c r="F5" s="15"/>
      <c r="G5" s="24"/>
      <c r="H5" s="25"/>
      <c r="AC5" s="16"/>
      <c r="AD5" s="17" t="b">
        <v>0</v>
      </c>
    </row>
    <row r="6" spans="4:30" ht="15.75" customHeight="1" thickBot="1">
      <c r="D6" s="1" t="s">
        <v>100</v>
      </c>
      <c r="E6" s="7" t="s">
        <v>37</v>
      </c>
      <c r="F6" s="3" t="s">
        <v>65</v>
      </c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4:30" ht="15.75" customHeight="1" thickTop="1">
      <c r="D7" t="s">
        <v>99</v>
      </c>
      <c r="E7" s="2" t="s">
        <v>98</v>
      </c>
      <c r="F7" s="28" t="s">
        <v>127</v>
      </c>
    </row>
    <row r="8" spans="4:30" ht="15.75" customHeight="1">
      <c r="D8" t="s">
        <v>120</v>
      </c>
      <c r="E8" s="2" t="s">
        <v>119</v>
      </c>
      <c r="F8" s="4" t="s">
        <v>197</v>
      </c>
    </row>
    <row r="9" spans="4:30" ht="15.75" customHeight="1">
      <c r="D9" t="s">
        <v>152</v>
      </c>
      <c r="E9" s="2" t="s">
        <v>153</v>
      </c>
      <c r="F9" s="4" t="b">
        <v>1</v>
      </c>
    </row>
    <row r="10" spans="4:30" ht="15.75" customHeight="1">
      <c r="E10" s="2"/>
      <c r="F10" s="4" t="s">
        <v>189</v>
      </c>
    </row>
    <row r="12" spans="4:30" ht="20.25" thickBot="1">
      <c r="D12" s="1" t="s">
        <v>60</v>
      </c>
      <c r="E12" s="7" t="s">
        <v>37</v>
      </c>
      <c r="F12" s="3" t="s">
        <v>65</v>
      </c>
      <c r="G12" s="3" t="s">
        <v>12</v>
      </c>
      <c r="H12" s="3" t="s">
        <v>13</v>
      </c>
      <c r="I12" s="3" t="s">
        <v>14</v>
      </c>
      <c r="J12" s="3" t="s">
        <v>15</v>
      </c>
      <c r="K12" s="3" t="s">
        <v>16</v>
      </c>
      <c r="L12" s="3" t="s">
        <v>17</v>
      </c>
      <c r="M12" s="3" t="s">
        <v>18</v>
      </c>
      <c r="N12" s="3" t="s">
        <v>19</v>
      </c>
      <c r="O12" s="3" t="s">
        <v>20</v>
      </c>
      <c r="P12" s="3" t="s">
        <v>21</v>
      </c>
      <c r="Q12" s="3" t="s">
        <v>22</v>
      </c>
      <c r="R12" s="3" t="s">
        <v>23</v>
      </c>
      <c r="S12" s="3" t="s">
        <v>24</v>
      </c>
      <c r="T12" s="3" t="s">
        <v>25</v>
      </c>
      <c r="U12" s="3" t="s">
        <v>26</v>
      </c>
      <c r="V12" s="3" t="s">
        <v>27</v>
      </c>
      <c r="W12" s="3" t="s">
        <v>28</v>
      </c>
      <c r="X12" s="3" t="s">
        <v>29</v>
      </c>
      <c r="Y12" s="3" t="s">
        <v>30</v>
      </c>
      <c r="Z12" s="3" t="s">
        <v>31</v>
      </c>
      <c r="AA12" s="3" t="s">
        <v>32</v>
      </c>
      <c r="AB12" s="3" t="s">
        <v>33</v>
      </c>
      <c r="AC12" s="3" t="s">
        <v>34</v>
      </c>
      <c r="AD12" s="3" t="s">
        <v>35</v>
      </c>
    </row>
    <row r="13" spans="4:30" ht="15.75" thickTop="1">
      <c r="D13" s="18" t="s">
        <v>190</v>
      </c>
      <c r="E13" s="2" t="s">
        <v>66</v>
      </c>
      <c r="F13" s="8">
        <f>235003/12.1</f>
        <v>19421.735537190085</v>
      </c>
      <c r="G13" s="29" t="str">
        <f>IF(F13&gt;SUM(G32:AD32)/12.1, "The total release of " &amp;F13&amp; " is higher than sum of maximum releases " &amp; SUM(G32:AD32)/12.1,"")</f>
        <v/>
      </c>
    </row>
    <row r="14" spans="4:30" ht="15.75" customHeight="1" thickBot="1">
      <c r="D14" s="19" t="s">
        <v>107</v>
      </c>
      <c r="E14" s="2" t="s">
        <v>108</v>
      </c>
      <c r="F14" s="4" t="b">
        <v>1</v>
      </c>
    </row>
    <row r="15" spans="4:30">
      <c r="D15" s="18" t="s">
        <v>68</v>
      </c>
      <c r="E15" s="2" t="s">
        <v>67</v>
      </c>
      <c r="F15" s="8">
        <v>2500</v>
      </c>
    </row>
    <row r="16" spans="4:30" ht="15.75" customHeight="1" thickBot="1">
      <c r="D16" s="19" t="s">
        <v>101</v>
      </c>
      <c r="E16" s="2" t="s">
        <v>104</v>
      </c>
      <c r="F16" s="4" t="b">
        <v>1</v>
      </c>
    </row>
    <row r="17" spans="4:30">
      <c r="D17" s="18" t="s">
        <v>76</v>
      </c>
      <c r="E17" s="2" t="s">
        <v>69</v>
      </c>
      <c r="F17" s="8">
        <v>15000</v>
      </c>
    </row>
    <row r="18" spans="4:30">
      <c r="D18" s="18" t="s">
        <v>75</v>
      </c>
      <c r="E18" s="2" t="s">
        <v>70</v>
      </c>
      <c r="F18" s="8">
        <v>15000</v>
      </c>
    </row>
    <row r="19" spans="4:30">
      <c r="D19" s="18" t="s">
        <v>87</v>
      </c>
      <c r="E19" s="2" t="s">
        <v>81</v>
      </c>
      <c r="F19" s="2"/>
      <c r="G19" s="8">
        <v>0</v>
      </c>
      <c r="H19" s="8">
        <v>0</v>
      </c>
      <c r="I19" s="8">
        <v>0</v>
      </c>
      <c r="J19" s="8">
        <v>0</v>
      </c>
      <c r="K19" s="8">
        <v>0</v>
      </c>
      <c r="L19" s="8">
        <v>0</v>
      </c>
      <c r="M19" s="8">
        <v>0</v>
      </c>
      <c r="N19" s="8">
        <v>0</v>
      </c>
      <c r="O19" s="8">
        <v>5000</v>
      </c>
      <c r="P19" s="8">
        <v>0</v>
      </c>
      <c r="Q19" s="8">
        <v>0</v>
      </c>
      <c r="R19" s="8">
        <v>0</v>
      </c>
      <c r="S19" s="8">
        <v>0</v>
      </c>
      <c r="T19" s="8">
        <v>0</v>
      </c>
      <c r="U19" s="8">
        <v>0</v>
      </c>
      <c r="V19" s="8">
        <v>5000</v>
      </c>
      <c r="W19" s="8">
        <v>0</v>
      </c>
      <c r="X19" s="8">
        <v>0</v>
      </c>
      <c r="Y19" s="8">
        <v>0</v>
      </c>
      <c r="Z19" s="8">
        <v>0</v>
      </c>
      <c r="AA19" s="8">
        <v>0</v>
      </c>
      <c r="AB19" s="8">
        <v>0</v>
      </c>
      <c r="AC19" s="8">
        <v>0</v>
      </c>
      <c r="AD19" s="8">
        <v>0</v>
      </c>
    </row>
    <row r="20" spans="4:30">
      <c r="D20" s="18" t="s">
        <v>88</v>
      </c>
      <c r="E20" s="2" t="s">
        <v>82</v>
      </c>
      <c r="F20" s="2"/>
      <c r="G20" s="8">
        <v>15000</v>
      </c>
      <c r="H20" s="8">
        <v>15000</v>
      </c>
      <c r="I20" s="8">
        <v>15000</v>
      </c>
      <c r="J20" s="8">
        <v>15000</v>
      </c>
      <c r="K20" s="8">
        <v>15000</v>
      </c>
      <c r="L20" s="8">
        <v>15000</v>
      </c>
      <c r="M20" s="8">
        <v>15000</v>
      </c>
      <c r="N20" s="8">
        <v>10000</v>
      </c>
      <c r="O20" s="8">
        <v>15000</v>
      </c>
      <c r="P20" s="8">
        <v>15000</v>
      </c>
      <c r="Q20" s="8">
        <v>15000</v>
      </c>
      <c r="R20" s="8">
        <v>15000</v>
      </c>
      <c r="S20" s="8">
        <v>15000</v>
      </c>
      <c r="T20" s="8">
        <v>15000</v>
      </c>
      <c r="U20" s="8">
        <v>15000</v>
      </c>
      <c r="V20" s="8">
        <v>15000</v>
      </c>
      <c r="W20" s="8">
        <v>15000</v>
      </c>
      <c r="X20" s="8">
        <v>15000</v>
      </c>
      <c r="Y20" s="8">
        <v>15000</v>
      </c>
      <c r="Z20" s="8">
        <v>15000</v>
      </c>
      <c r="AA20" s="8">
        <v>15000</v>
      </c>
      <c r="AB20" s="8">
        <v>15000</v>
      </c>
      <c r="AC20" s="8">
        <v>15000</v>
      </c>
      <c r="AD20" s="8">
        <v>15000</v>
      </c>
    </row>
    <row r="21" spans="4:30" ht="15.75" customHeight="1" thickBot="1">
      <c r="D21" s="19" t="s">
        <v>113</v>
      </c>
      <c r="E21" s="2" t="s">
        <v>109</v>
      </c>
      <c r="F21" s="4" t="b">
        <v>1</v>
      </c>
      <c r="G21" s="29" t="str">
        <f>IF(G41=AD41,"","Might cause infeasibility because Temperature delta between Glen Canyon and RM61 at H01 and H24 are not the same")</f>
        <v/>
      </c>
    </row>
    <row r="22" spans="4:30" ht="15.75" customHeight="1" thickBot="1">
      <c r="D22" s="19" t="s">
        <v>102</v>
      </c>
      <c r="E22" s="2" t="s">
        <v>103</v>
      </c>
      <c r="F22" s="4" t="b">
        <v>1</v>
      </c>
    </row>
    <row r="23" spans="4:30">
      <c r="D23" s="18" t="s">
        <v>78</v>
      </c>
      <c r="E23" s="2" t="s">
        <v>71</v>
      </c>
      <c r="F23" s="8">
        <v>1000</v>
      </c>
    </row>
    <row r="24" spans="4:30">
      <c r="D24" s="18" t="s">
        <v>77</v>
      </c>
      <c r="E24" s="2" t="s">
        <v>72</v>
      </c>
      <c r="F24" s="8">
        <v>500</v>
      </c>
    </row>
    <row r="25" spans="4:30">
      <c r="D25" s="18" t="s">
        <v>89</v>
      </c>
      <c r="E25" s="2" t="s">
        <v>83</v>
      </c>
      <c r="F25" s="2"/>
      <c r="G25" s="8">
        <v>2400</v>
      </c>
      <c r="H25" s="8">
        <v>2400</v>
      </c>
      <c r="I25" s="8">
        <v>2400</v>
      </c>
      <c r="J25" s="8">
        <v>2400</v>
      </c>
      <c r="K25" s="8">
        <v>2400</v>
      </c>
      <c r="L25" s="8">
        <v>2400</v>
      </c>
      <c r="M25" s="8">
        <v>2400</v>
      </c>
      <c r="N25" s="8">
        <v>2400</v>
      </c>
      <c r="O25" s="8">
        <v>2400</v>
      </c>
      <c r="P25" s="8">
        <v>2400</v>
      </c>
      <c r="Q25" s="8">
        <v>2400</v>
      </c>
      <c r="R25" s="8">
        <v>2400</v>
      </c>
      <c r="S25" s="8">
        <v>2400</v>
      </c>
      <c r="T25" s="8">
        <v>2400</v>
      </c>
      <c r="U25" s="8">
        <v>2400</v>
      </c>
      <c r="V25" s="8">
        <v>2400</v>
      </c>
      <c r="W25" s="8">
        <v>2400</v>
      </c>
      <c r="X25" s="8">
        <v>2400</v>
      </c>
      <c r="Y25" s="8">
        <v>2400</v>
      </c>
      <c r="Z25" s="8">
        <v>2400</v>
      </c>
      <c r="AA25" s="8">
        <v>2400</v>
      </c>
      <c r="AB25" s="8">
        <v>2400</v>
      </c>
      <c r="AC25" s="8">
        <v>2400</v>
      </c>
      <c r="AD25" s="8">
        <v>2400</v>
      </c>
    </row>
    <row r="26" spans="4:30">
      <c r="D26" s="18" t="s">
        <v>90</v>
      </c>
      <c r="E26" s="2" t="s">
        <v>84</v>
      </c>
      <c r="F26" s="2"/>
      <c r="G26" s="8">
        <v>25000</v>
      </c>
      <c r="H26" s="8">
        <v>25000</v>
      </c>
      <c r="I26" s="8">
        <v>25000</v>
      </c>
      <c r="J26" s="8">
        <v>25000</v>
      </c>
      <c r="K26" s="8">
        <v>25000</v>
      </c>
      <c r="L26" s="8">
        <v>25000</v>
      </c>
      <c r="M26" s="8">
        <v>25000</v>
      </c>
      <c r="N26" s="8">
        <v>25000</v>
      </c>
      <c r="O26" s="8">
        <v>25000</v>
      </c>
      <c r="P26" s="8">
        <v>25000</v>
      </c>
      <c r="Q26" s="8">
        <v>25000</v>
      </c>
      <c r="R26" s="8">
        <v>25000</v>
      </c>
      <c r="S26" s="8">
        <v>25000</v>
      </c>
      <c r="T26" s="8">
        <v>25000</v>
      </c>
      <c r="U26" s="8">
        <v>25000</v>
      </c>
      <c r="V26" s="8">
        <v>25000</v>
      </c>
      <c r="W26" s="8">
        <v>25000</v>
      </c>
      <c r="X26" s="8">
        <v>25000</v>
      </c>
      <c r="Y26" s="8">
        <v>25000</v>
      </c>
      <c r="Z26" s="8">
        <v>25000</v>
      </c>
      <c r="AA26" s="8">
        <v>25000</v>
      </c>
      <c r="AB26" s="8">
        <v>25000</v>
      </c>
      <c r="AC26" s="8">
        <v>25000</v>
      </c>
      <c r="AD26" s="8">
        <v>25000</v>
      </c>
    </row>
    <row r="27" spans="4:30" ht="15.75" customHeight="1" thickBot="1">
      <c r="D27" s="19" t="s">
        <v>114</v>
      </c>
      <c r="E27" s="2" t="s">
        <v>110</v>
      </c>
      <c r="F27" s="4" t="b">
        <v>1</v>
      </c>
      <c r="G27" s="29" t="str">
        <f>IF(G41=AD41,"","Might cause infeasibility because Temperature delta between Glen Canyon and RM61 at H01 and H24 are not the same")</f>
        <v/>
      </c>
    </row>
    <row r="28" spans="4:30" ht="15.75" customHeight="1" thickBot="1">
      <c r="D28" s="19" t="s">
        <v>105</v>
      </c>
      <c r="E28" s="2" t="s">
        <v>106</v>
      </c>
      <c r="F28" s="4" t="b">
        <v>1</v>
      </c>
    </row>
    <row r="29" spans="4:30">
      <c r="D29" s="18" t="s">
        <v>80</v>
      </c>
      <c r="E29" s="2" t="s">
        <v>73</v>
      </c>
      <c r="F29" s="8">
        <v>4000</v>
      </c>
    </row>
    <row r="30" spans="4:30">
      <c r="D30" s="18" t="s">
        <v>79</v>
      </c>
      <c r="E30" s="2" t="s">
        <v>74</v>
      </c>
      <c r="F30" s="8">
        <v>2500</v>
      </c>
    </row>
    <row r="31" spans="4:30">
      <c r="D31" s="18" t="s">
        <v>91</v>
      </c>
      <c r="E31" s="2" t="s">
        <v>85</v>
      </c>
      <c r="F31" s="2"/>
      <c r="G31" s="8">
        <v>7000</v>
      </c>
      <c r="H31" s="8">
        <v>7000</v>
      </c>
      <c r="I31" s="8">
        <v>7000</v>
      </c>
      <c r="J31" s="8">
        <v>7000</v>
      </c>
      <c r="K31" s="8">
        <v>7000</v>
      </c>
      <c r="L31" s="8">
        <v>7000</v>
      </c>
      <c r="M31" s="8">
        <v>7000</v>
      </c>
      <c r="N31" s="8">
        <v>7000</v>
      </c>
      <c r="O31" s="8">
        <v>7000</v>
      </c>
      <c r="P31" s="8">
        <v>7000</v>
      </c>
      <c r="Q31" s="8">
        <v>7000</v>
      </c>
      <c r="R31" s="8">
        <v>7000</v>
      </c>
      <c r="S31" s="8">
        <v>7000</v>
      </c>
      <c r="T31" s="8">
        <v>7000</v>
      </c>
      <c r="U31" s="8">
        <v>7000</v>
      </c>
      <c r="V31" s="8">
        <v>7000</v>
      </c>
      <c r="W31" s="8">
        <v>7000</v>
      </c>
      <c r="X31" s="8">
        <v>7000</v>
      </c>
      <c r="Y31" s="8">
        <v>7000</v>
      </c>
      <c r="Z31" s="8">
        <v>7000</v>
      </c>
      <c r="AA31" s="8">
        <v>7000</v>
      </c>
      <c r="AB31" s="8">
        <v>7000</v>
      </c>
      <c r="AC31" s="8">
        <v>7000</v>
      </c>
      <c r="AD31" s="8">
        <v>7000</v>
      </c>
    </row>
    <row r="32" spans="4:30">
      <c r="D32" s="18" t="s">
        <v>92</v>
      </c>
      <c r="E32" s="2" t="s">
        <v>86</v>
      </c>
      <c r="F32" s="2"/>
      <c r="G32" s="8">
        <v>12100</v>
      </c>
      <c r="H32" s="8">
        <v>12100</v>
      </c>
      <c r="I32" s="8">
        <v>12100</v>
      </c>
      <c r="J32" s="8">
        <v>12100</v>
      </c>
      <c r="K32" s="8">
        <v>12100</v>
      </c>
      <c r="L32" s="8">
        <v>12100</v>
      </c>
      <c r="M32" s="8">
        <v>12100</v>
      </c>
      <c r="N32" s="8">
        <v>12100</v>
      </c>
      <c r="O32" s="8">
        <v>12100</v>
      </c>
      <c r="P32" s="8">
        <v>12100</v>
      </c>
      <c r="Q32" s="8">
        <v>12100</v>
      </c>
      <c r="R32" s="8">
        <v>12100</v>
      </c>
      <c r="S32" s="8">
        <v>12100</v>
      </c>
      <c r="T32" s="8">
        <v>12100</v>
      </c>
      <c r="U32" s="8">
        <v>12100</v>
      </c>
      <c r="V32" s="8">
        <v>12100</v>
      </c>
      <c r="W32" s="8">
        <v>12100</v>
      </c>
      <c r="X32" s="8">
        <v>12100</v>
      </c>
      <c r="Y32" s="8">
        <v>12100</v>
      </c>
      <c r="Z32" s="8">
        <v>12100</v>
      </c>
      <c r="AA32" s="8">
        <v>12100</v>
      </c>
      <c r="AB32" s="8">
        <v>12100</v>
      </c>
      <c r="AC32" s="8">
        <v>12100</v>
      </c>
      <c r="AD32" s="8">
        <v>12100</v>
      </c>
    </row>
    <row r="33" spans="4:30" ht="15.75" customHeight="1" thickBot="1">
      <c r="D33" s="19" t="s">
        <v>115</v>
      </c>
      <c r="E33" s="2" t="s">
        <v>111</v>
      </c>
      <c r="F33" s="4" t="b">
        <v>1</v>
      </c>
      <c r="G33" s="29" t="str">
        <f>IF(G41=AD41,"","Might cause infeasibility because Temperature delta between Glen Canyon and RM61 at H01 and H24 are not the same")</f>
        <v/>
      </c>
    </row>
    <row r="35" spans="4:30" ht="20.25" thickBot="1">
      <c r="D35" s="1" t="s">
        <v>1</v>
      </c>
      <c r="E35" s="7" t="s">
        <v>37</v>
      </c>
      <c r="F35" s="7"/>
      <c r="G35" s="3" t="s">
        <v>12</v>
      </c>
      <c r="H35" s="3" t="s">
        <v>13</v>
      </c>
      <c r="I35" s="3" t="s">
        <v>14</v>
      </c>
      <c r="J35" s="3" t="s">
        <v>15</v>
      </c>
      <c r="K35" s="3" t="s">
        <v>16</v>
      </c>
      <c r="L35" s="3" t="s">
        <v>17</v>
      </c>
      <c r="M35" s="3" t="s">
        <v>18</v>
      </c>
      <c r="N35" s="3" t="s">
        <v>19</v>
      </c>
      <c r="O35" s="3" t="s">
        <v>20</v>
      </c>
      <c r="P35" s="3" t="s">
        <v>21</v>
      </c>
      <c r="Q35" s="3" t="s">
        <v>22</v>
      </c>
      <c r="R35" s="3" t="s">
        <v>23</v>
      </c>
      <c r="S35" s="3" t="s">
        <v>24</v>
      </c>
      <c r="T35" s="3" t="s">
        <v>25</v>
      </c>
      <c r="U35" s="3" t="s">
        <v>26</v>
      </c>
      <c r="V35" s="3" t="s">
        <v>27</v>
      </c>
      <c r="W35" s="3" t="s">
        <v>28</v>
      </c>
      <c r="X35" s="3" t="s">
        <v>29</v>
      </c>
      <c r="Y35" s="3" t="s">
        <v>30</v>
      </c>
      <c r="Z35" s="3" t="s">
        <v>31</v>
      </c>
      <c r="AA35" s="3" t="s">
        <v>32</v>
      </c>
      <c r="AB35" s="3" t="s">
        <v>33</v>
      </c>
      <c r="AC35" s="3" t="s">
        <v>34</v>
      </c>
      <c r="AD35" s="3" t="s">
        <v>35</v>
      </c>
    </row>
    <row r="36" spans="4:30" ht="15.75" thickTop="1">
      <c r="D36" s="18" t="s">
        <v>40</v>
      </c>
      <c r="E36" s="2" t="s">
        <v>10</v>
      </c>
      <c r="F36" s="2"/>
      <c r="G36" s="9">
        <v>7.5</v>
      </c>
      <c r="H36" s="9">
        <v>7.5</v>
      </c>
      <c r="I36" s="9">
        <v>7.5</v>
      </c>
      <c r="J36" s="9">
        <v>7.5</v>
      </c>
      <c r="K36" s="9">
        <v>7.5</v>
      </c>
      <c r="L36" s="9">
        <v>7.5</v>
      </c>
      <c r="M36" s="9">
        <v>7.5</v>
      </c>
      <c r="N36" s="9">
        <v>7.5</v>
      </c>
      <c r="O36" s="9">
        <v>7.5</v>
      </c>
      <c r="P36" s="9">
        <v>7.5</v>
      </c>
      <c r="Q36" s="9">
        <v>7.5</v>
      </c>
      <c r="R36" s="9">
        <v>7.5</v>
      </c>
      <c r="S36" s="9">
        <v>7.5</v>
      </c>
      <c r="T36" s="9">
        <v>7.5</v>
      </c>
      <c r="U36" s="9">
        <v>7.5</v>
      </c>
      <c r="V36" s="9">
        <v>7.5</v>
      </c>
      <c r="W36" s="9">
        <v>7.5</v>
      </c>
      <c r="X36" s="9">
        <v>7.5</v>
      </c>
      <c r="Y36" s="9">
        <v>7.5</v>
      </c>
      <c r="Z36" s="9">
        <v>7.5</v>
      </c>
      <c r="AA36" s="9">
        <v>7.5</v>
      </c>
      <c r="AB36" s="9">
        <v>7.5</v>
      </c>
      <c r="AC36" s="9">
        <v>7.5</v>
      </c>
      <c r="AD36" s="9">
        <v>7.5</v>
      </c>
    </row>
    <row r="37" spans="4:30">
      <c r="D37" s="18" t="s">
        <v>41</v>
      </c>
      <c r="E37" s="2" t="s">
        <v>11</v>
      </c>
      <c r="F37" s="2"/>
      <c r="G37" s="9">
        <v>15.5</v>
      </c>
      <c r="H37" s="9">
        <v>15.5</v>
      </c>
      <c r="I37" s="9">
        <v>15.5</v>
      </c>
      <c r="J37" s="9">
        <v>15.5</v>
      </c>
      <c r="K37" s="9">
        <v>15.5</v>
      </c>
      <c r="L37" s="9">
        <v>15.5</v>
      </c>
      <c r="M37" s="9">
        <v>15.5</v>
      </c>
      <c r="N37" s="9">
        <v>15.5</v>
      </c>
      <c r="O37" s="9">
        <v>15.5</v>
      </c>
      <c r="P37" s="9">
        <v>15.5</v>
      </c>
      <c r="Q37" s="9">
        <v>15.5</v>
      </c>
      <c r="R37" s="9">
        <v>15.5</v>
      </c>
      <c r="S37" s="9">
        <v>15.5</v>
      </c>
      <c r="T37" s="9">
        <v>15.5</v>
      </c>
      <c r="U37" s="9">
        <v>15.5</v>
      </c>
      <c r="V37" s="9">
        <v>15.5</v>
      </c>
      <c r="W37" s="9">
        <v>15.5</v>
      </c>
      <c r="X37" s="9">
        <v>15.5</v>
      </c>
      <c r="Y37" s="9">
        <v>15.5</v>
      </c>
      <c r="Z37" s="9">
        <v>15.5</v>
      </c>
      <c r="AA37" s="9">
        <v>15.5</v>
      </c>
      <c r="AB37" s="9">
        <v>15.5</v>
      </c>
      <c r="AC37" s="9">
        <v>15.5</v>
      </c>
      <c r="AD37" s="9">
        <v>15.5</v>
      </c>
    </row>
    <row r="38" spans="4:30" ht="15.75" customHeight="1" thickBot="1">
      <c r="D38" s="19" t="s">
        <v>116</v>
      </c>
      <c r="E38" s="2" t="s">
        <v>112</v>
      </c>
      <c r="F38" s="4" t="b">
        <v>1</v>
      </c>
      <c r="G38" s="29" t="str">
        <f>IF(G41=AD41,"","Might cause infeasibility because Temperature delta between Glen Canyon and RM61 at H01 and H24 are not the same")</f>
        <v/>
      </c>
    </row>
    <row r="39" spans="4:30">
      <c r="D39" s="18" t="s">
        <v>38</v>
      </c>
      <c r="E39" s="2" t="s">
        <v>3</v>
      </c>
      <c r="F39" s="2"/>
      <c r="G39" s="9">
        <v>15.5</v>
      </c>
      <c r="H39" s="9">
        <v>15.5</v>
      </c>
      <c r="I39" s="9">
        <v>15.5</v>
      </c>
      <c r="J39" s="9">
        <v>15.5</v>
      </c>
      <c r="K39" s="9">
        <v>15.5</v>
      </c>
      <c r="L39" s="9">
        <v>18</v>
      </c>
      <c r="M39" s="9">
        <v>18</v>
      </c>
      <c r="N39" s="9">
        <v>15.5</v>
      </c>
      <c r="O39" s="9">
        <v>15.5</v>
      </c>
      <c r="P39" s="9">
        <v>15.5</v>
      </c>
      <c r="Q39" s="9">
        <v>14.1</v>
      </c>
      <c r="R39" s="9">
        <v>15.5</v>
      </c>
      <c r="S39" s="9">
        <v>15.5</v>
      </c>
      <c r="T39" s="9">
        <v>19</v>
      </c>
      <c r="U39" s="9">
        <v>18</v>
      </c>
      <c r="V39" s="9">
        <v>18</v>
      </c>
      <c r="W39" s="9">
        <v>15.5</v>
      </c>
      <c r="X39" s="9">
        <v>15.5</v>
      </c>
      <c r="Y39" s="9">
        <v>15.5</v>
      </c>
      <c r="Z39" s="9">
        <v>15.5</v>
      </c>
      <c r="AA39" s="9">
        <v>15.5</v>
      </c>
      <c r="AB39" s="9">
        <v>15.5</v>
      </c>
      <c r="AC39" s="9">
        <v>15.5</v>
      </c>
      <c r="AD39" s="9">
        <v>15.5</v>
      </c>
    </row>
    <row r="40" spans="4:30">
      <c r="D40" s="18" t="s">
        <v>39</v>
      </c>
      <c r="E40" s="2" t="s">
        <v>4</v>
      </c>
      <c r="F40" s="2"/>
      <c r="G40" s="9">
        <v>14</v>
      </c>
      <c r="H40" s="9">
        <v>14</v>
      </c>
      <c r="I40" s="9">
        <v>14</v>
      </c>
      <c r="J40" s="9">
        <v>14</v>
      </c>
      <c r="K40" s="9">
        <v>14</v>
      </c>
      <c r="L40" s="9">
        <v>14</v>
      </c>
      <c r="M40" s="9">
        <v>14</v>
      </c>
      <c r="N40" s="9">
        <v>14</v>
      </c>
      <c r="O40" s="9">
        <v>14</v>
      </c>
      <c r="P40" s="9">
        <v>14</v>
      </c>
      <c r="Q40" s="9">
        <v>14</v>
      </c>
      <c r="R40" s="9">
        <v>14</v>
      </c>
      <c r="S40" s="9">
        <v>14</v>
      </c>
      <c r="T40" s="9">
        <v>14</v>
      </c>
      <c r="U40" s="9">
        <v>14</v>
      </c>
      <c r="V40" s="9">
        <v>14</v>
      </c>
      <c r="W40" s="9">
        <v>14</v>
      </c>
      <c r="X40" s="9">
        <v>14</v>
      </c>
      <c r="Y40" s="9">
        <v>14</v>
      </c>
      <c r="Z40" s="9">
        <v>14</v>
      </c>
      <c r="AA40" s="9">
        <v>14</v>
      </c>
      <c r="AB40" s="9">
        <v>14</v>
      </c>
      <c r="AC40" s="9">
        <v>14</v>
      </c>
      <c r="AD40" s="9">
        <v>14</v>
      </c>
    </row>
    <row r="41" spans="4:30">
      <c r="D41" s="18" t="s">
        <v>42</v>
      </c>
      <c r="E41" s="2" t="s">
        <v>5</v>
      </c>
      <c r="F41" s="2"/>
      <c r="G41" s="9">
        <v>2.1</v>
      </c>
      <c r="H41" s="9">
        <v>3.3</v>
      </c>
      <c r="I41" s="9">
        <v>2.2000000000000002</v>
      </c>
      <c r="J41" s="9">
        <v>2.8</v>
      </c>
      <c r="K41" s="9">
        <v>2.8</v>
      </c>
      <c r="L41" s="9">
        <v>2.4</v>
      </c>
      <c r="M41" s="9">
        <v>2.5</v>
      </c>
      <c r="N41" s="9">
        <v>2.4</v>
      </c>
      <c r="O41" s="9">
        <v>2.1</v>
      </c>
      <c r="P41" s="9">
        <v>2.1</v>
      </c>
      <c r="Q41" s="9">
        <v>2</v>
      </c>
      <c r="R41" s="9">
        <v>3.5</v>
      </c>
      <c r="S41" s="9">
        <v>3.4</v>
      </c>
      <c r="T41" s="9">
        <v>2.2999999999999998</v>
      </c>
      <c r="U41" s="9">
        <v>3.5</v>
      </c>
      <c r="V41" s="9">
        <v>2.8</v>
      </c>
      <c r="W41" s="9">
        <v>2.1</v>
      </c>
      <c r="X41" s="9">
        <v>2.5</v>
      </c>
      <c r="Y41" s="9">
        <v>3.3</v>
      </c>
      <c r="Z41" s="9">
        <v>2.6</v>
      </c>
      <c r="AA41" s="9">
        <v>2.4</v>
      </c>
      <c r="AB41" s="9">
        <v>2.7</v>
      </c>
      <c r="AC41" s="9">
        <v>3.3</v>
      </c>
      <c r="AD41" s="9">
        <v>2.1</v>
      </c>
    </row>
    <row r="42" spans="4:30">
      <c r="D42" s="18" t="s">
        <v>45</v>
      </c>
      <c r="E42" s="2" t="s">
        <v>8</v>
      </c>
      <c r="F42" s="9">
        <v>15.5</v>
      </c>
      <c r="G42" s="29" t="str">
        <f>"Because of rounding might not be exactly " &amp; F42 &amp; ". Maximum expected deviation in the positive direction is 0.05°C"</f>
        <v>Because of rounding might not be exactly 15.5. Maximum expected deviation in the positive direction is 0.05°C</v>
      </c>
    </row>
    <row r="43" spans="4:30">
      <c r="D43" s="18" t="s">
        <v>46</v>
      </c>
      <c r="E43" s="2" t="s">
        <v>9</v>
      </c>
      <c r="F43" s="12">
        <f>AVERAGE(G41:AD41)</f>
        <v>2.6333333333333333</v>
      </c>
    </row>
    <row r="44" spans="4:30" ht="15.75" thickBot="1">
      <c r="D44" s="20" t="s">
        <v>118</v>
      </c>
      <c r="E44" s="2" t="s">
        <v>117</v>
      </c>
      <c r="F44" s="4" t="b">
        <v>0</v>
      </c>
    </row>
    <row r="45" spans="4:30">
      <c r="D45" s="21" t="s">
        <v>43</v>
      </c>
      <c r="E45" s="2" t="s">
        <v>6</v>
      </c>
      <c r="F45" s="11">
        <v>2</v>
      </c>
    </row>
    <row r="46" spans="4:30">
      <c r="D46" s="21" t="s">
        <v>44</v>
      </c>
      <c r="E46" s="2" t="s">
        <v>7</v>
      </c>
      <c r="F46" s="11">
        <v>2</v>
      </c>
    </row>
    <row r="48" spans="4:30" ht="20.25" thickBot="1">
      <c r="D48" s="1" t="s">
        <v>93</v>
      </c>
      <c r="E48" s="7" t="s">
        <v>37</v>
      </c>
      <c r="F48" s="7"/>
      <c r="G48" s="3" t="s">
        <v>12</v>
      </c>
      <c r="H48" s="3" t="s">
        <v>13</v>
      </c>
      <c r="I48" s="3" t="s">
        <v>14</v>
      </c>
      <c r="J48" s="3" t="s">
        <v>15</v>
      </c>
      <c r="K48" s="3" t="s">
        <v>16</v>
      </c>
      <c r="L48" s="3" t="s">
        <v>17</v>
      </c>
      <c r="M48" s="3" t="s">
        <v>18</v>
      </c>
      <c r="N48" s="3" t="s">
        <v>19</v>
      </c>
      <c r="O48" s="3" t="s">
        <v>20</v>
      </c>
      <c r="P48" s="3" t="s">
        <v>21</v>
      </c>
      <c r="Q48" s="3" t="s">
        <v>22</v>
      </c>
      <c r="R48" s="3" t="s">
        <v>23</v>
      </c>
      <c r="S48" s="3" t="s">
        <v>24</v>
      </c>
      <c r="T48" s="3" t="s">
        <v>25</v>
      </c>
      <c r="U48" s="3" t="s">
        <v>26</v>
      </c>
      <c r="V48" s="3" t="s">
        <v>27</v>
      </c>
      <c r="W48" s="3" t="s">
        <v>28</v>
      </c>
      <c r="X48" s="3" t="s">
        <v>29</v>
      </c>
      <c r="Y48" s="3" t="s">
        <v>30</v>
      </c>
      <c r="Z48" s="3" t="s">
        <v>31</v>
      </c>
      <c r="AA48" s="3" t="s">
        <v>32</v>
      </c>
      <c r="AB48" s="3" t="s">
        <v>33</v>
      </c>
      <c r="AC48" s="3" t="s">
        <v>34</v>
      </c>
      <c r="AD48" s="3" t="s">
        <v>35</v>
      </c>
    </row>
    <row r="49" spans="4:30" ht="15.75" thickTop="1">
      <c r="D49" t="s">
        <v>64</v>
      </c>
      <c r="E49" s="2" t="s">
        <v>63</v>
      </c>
      <c r="F49" s="4">
        <v>3.5453800000000001E-2</v>
      </c>
    </row>
    <row r="50" spans="4:30">
      <c r="D50" t="s">
        <v>94</v>
      </c>
      <c r="E50" s="2" t="s">
        <v>96</v>
      </c>
      <c r="F50" s="8">
        <v>200</v>
      </c>
      <c r="G50" s="10">
        <f>$F$50</f>
        <v>200</v>
      </c>
      <c r="H50" s="10">
        <f t="shared" ref="H50:AD50" si="0">$F$50</f>
        <v>200</v>
      </c>
      <c r="I50" s="10">
        <f t="shared" si="0"/>
        <v>200</v>
      </c>
      <c r="J50" s="10">
        <f t="shared" si="0"/>
        <v>200</v>
      </c>
      <c r="K50" s="10">
        <f t="shared" si="0"/>
        <v>200</v>
      </c>
      <c r="L50" s="10">
        <f t="shared" si="0"/>
        <v>200</v>
      </c>
      <c r="M50" s="10">
        <f t="shared" si="0"/>
        <v>200</v>
      </c>
      <c r="N50" s="10">
        <f t="shared" si="0"/>
        <v>200</v>
      </c>
      <c r="O50" s="10">
        <f t="shared" si="0"/>
        <v>200</v>
      </c>
      <c r="P50" s="10">
        <f t="shared" si="0"/>
        <v>200</v>
      </c>
      <c r="Q50" s="10">
        <f t="shared" si="0"/>
        <v>200</v>
      </c>
      <c r="R50" s="10">
        <f t="shared" si="0"/>
        <v>200</v>
      </c>
      <c r="S50" s="10">
        <f t="shared" si="0"/>
        <v>200</v>
      </c>
      <c r="T50" s="10">
        <f t="shared" si="0"/>
        <v>200</v>
      </c>
      <c r="U50" s="10">
        <f t="shared" si="0"/>
        <v>200</v>
      </c>
      <c r="V50" s="10">
        <f t="shared" si="0"/>
        <v>200</v>
      </c>
      <c r="W50" s="10">
        <f t="shared" si="0"/>
        <v>200</v>
      </c>
      <c r="X50" s="10">
        <f t="shared" si="0"/>
        <v>200</v>
      </c>
      <c r="Y50" s="10">
        <f t="shared" si="0"/>
        <v>200</v>
      </c>
      <c r="Z50" s="10">
        <f t="shared" si="0"/>
        <v>200</v>
      </c>
      <c r="AA50" s="10">
        <f t="shared" si="0"/>
        <v>200</v>
      </c>
      <c r="AB50" s="10">
        <f t="shared" si="0"/>
        <v>200</v>
      </c>
      <c r="AC50" s="10">
        <f t="shared" si="0"/>
        <v>200</v>
      </c>
      <c r="AD50" s="10">
        <f t="shared" si="0"/>
        <v>200</v>
      </c>
    </row>
    <row r="51" spans="4:30">
      <c r="D51" t="s">
        <v>95</v>
      </c>
      <c r="E51" s="2" t="s">
        <v>97</v>
      </c>
      <c r="F51" s="8">
        <v>1000</v>
      </c>
      <c r="G51" s="10">
        <f>$F$51</f>
        <v>1000</v>
      </c>
      <c r="H51" s="10">
        <f t="shared" ref="H51:AD51" si="1">$F$51</f>
        <v>1000</v>
      </c>
      <c r="I51" s="10">
        <f t="shared" si="1"/>
        <v>1000</v>
      </c>
      <c r="J51" s="10">
        <f t="shared" si="1"/>
        <v>1000</v>
      </c>
      <c r="K51" s="10">
        <f t="shared" si="1"/>
        <v>1000</v>
      </c>
      <c r="L51" s="10">
        <f t="shared" si="1"/>
        <v>1000</v>
      </c>
      <c r="M51" s="10">
        <f t="shared" si="1"/>
        <v>1000</v>
      </c>
      <c r="N51" s="10">
        <f t="shared" si="1"/>
        <v>1000</v>
      </c>
      <c r="O51" s="10">
        <f t="shared" si="1"/>
        <v>1000</v>
      </c>
      <c r="P51" s="10">
        <f t="shared" si="1"/>
        <v>1000</v>
      </c>
      <c r="Q51" s="10">
        <f t="shared" si="1"/>
        <v>1000</v>
      </c>
      <c r="R51" s="10">
        <f t="shared" si="1"/>
        <v>1000</v>
      </c>
      <c r="S51" s="10">
        <f t="shared" si="1"/>
        <v>1000</v>
      </c>
      <c r="T51" s="10">
        <f t="shared" si="1"/>
        <v>1000</v>
      </c>
      <c r="U51" s="10">
        <f t="shared" si="1"/>
        <v>1000</v>
      </c>
      <c r="V51" s="10">
        <f t="shared" si="1"/>
        <v>1000</v>
      </c>
      <c r="W51" s="10">
        <f t="shared" si="1"/>
        <v>1000</v>
      </c>
      <c r="X51" s="10">
        <f t="shared" si="1"/>
        <v>1000</v>
      </c>
      <c r="Y51" s="10">
        <f t="shared" si="1"/>
        <v>1000</v>
      </c>
      <c r="Z51" s="10">
        <f t="shared" si="1"/>
        <v>1000</v>
      </c>
      <c r="AA51" s="10">
        <f t="shared" si="1"/>
        <v>1000</v>
      </c>
      <c r="AB51" s="10">
        <f t="shared" si="1"/>
        <v>1000</v>
      </c>
      <c r="AC51" s="10">
        <f t="shared" si="1"/>
        <v>1000</v>
      </c>
      <c r="AD51" s="10">
        <f t="shared" si="1"/>
        <v>1000</v>
      </c>
    </row>
    <row r="52" spans="4:30">
      <c r="D52" t="s">
        <v>62</v>
      </c>
      <c r="E52" s="2" t="s">
        <v>61</v>
      </c>
      <c r="F52" s="2"/>
      <c r="G52" s="8">
        <v>1000</v>
      </c>
      <c r="H52" s="8">
        <v>1000</v>
      </c>
      <c r="I52" s="8">
        <v>1000</v>
      </c>
      <c r="J52" s="8">
        <v>1000</v>
      </c>
      <c r="K52" s="8">
        <v>1000</v>
      </c>
      <c r="L52" s="8">
        <v>1000</v>
      </c>
      <c r="M52" s="8">
        <v>1000</v>
      </c>
      <c r="N52" s="8">
        <v>1000</v>
      </c>
      <c r="O52" s="8">
        <v>1000</v>
      </c>
      <c r="P52" s="8">
        <v>1000</v>
      </c>
      <c r="Q52" s="8">
        <v>1000</v>
      </c>
      <c r="R52" s="8">
        <v>1000</v>
      </c>
      <c r="S52" s="8">
        <v>1000</v>
      </c>
      <c r="T52" s="8">
        <v>1000</v>
      </c>
      <c r="U52" s="8">
        <v>1000</v>
      </c>
      <c r="V52" s="8">
        <v>1000</v>
      </c>
      <c r="W52" s="8">
        <v>1000</v>
      </c>
      <c r="X52" s="8">
        <v>1000</v>
      </c>
      <c r="Y52" s="8">
        <v>1000</v>
      </c>
      <c r="Z52" s="8">
        <v>1000</v>
      </c>
      <c r="AA52" s="8">
        <v>1000</v>
      </c>
      <c r="AB52" s="8">
        <v>1000</v>
      </c>
      <c r="AC52" s="8">
        <v>1000</v>
      </c>
      <c r="AD52" s="8">
        <v>1000</v>
      </c>
    </row>
    <row r="54" spans="4:30" ht="20.25" thickBot="1">
      <c r="D54" s="1" t="s">
        <v>47</v>
      </c>
      <c r="E54" s="7" t="s">
        <v>37</v>
      </c>
      <c r="F54" s="7"/>
      <c r="G54" s="3" t="s">
        <v>12</v>
      </c>
      <c r="H54" s="3" t="s">
        <v>13</v>
      </c>
      <c r="I54" s="3" t="s">
        <v>14</v>
      </c>
      <c r="J54" s="3" t="s">
        <v>15</v>
      </c>
      <c r="K54" s="3" t="s">
        <v>16</v>
      </c>
      <c r="L54" s="3" t="s">
        <v>17</v>
      </c>
      <c r="M54" s="3" t="s">
        <v>18</v>
      </c>
      <c r="N54" s="3" t="s">
        <v>19</v>
      </c>
      <c r="O54" s="3" t="s">
        <v>20</v>
      </c>
      <c r="P54" s="3" t="s">
        <v>21</v>
      </c>
      <c r="Q54" s="3" t="s">
        <v>22</v>
      </c>
      <c r="R54" s="3" t="s">
        <v>23</v>
      </c>
      <c r="S54" s="3" t="s">
        <v>24</v>
      </c>
      <c r="T54" s="3" t="s">
        <v>25</v>
      </c>
      <c r="U54" s="3" t="s">
        <v>26</v>
      </c>
      <c r="V54" s="3" t="s">
        <v>27</v>
      </c>
      <c r="W54" s="3" t="s">
        <v>28</v>
      </c>
      <c r="X54" s="3" t="s">
        <v>29</v>
      </c>
      <c r="Y54" s="3" t="s">
        <v>30</v>
      </c>
      <c r="Z54" s="3" t="s">
        <v>31</v>
      </c>
      <c r="AA54" s="3" t="s">
        <v>32</v>
      </c>
      <c r="AB54" s="3" t="s">
        <v>33</v>
      </c>
      <c r="AC54" s="3" t="s">
        <v>34</v>
      </c>
      <c r="AD54" s="3" t="s">
        <v>35</v>
      </c>
    </row>
    <row r="55" spans="4:30" ht="15.75" thickTop="1">
      <c r="D55" t="s">
        <v>36</v>
      </c>
      <c r="E55" s="2" t="s">
        <v>2</v>
      </c>
      <c r="F55" s="2"/>
      <c r="G55" s="5">
        <v>46.85</v>
      </c>
      <c r="H55" s="5">
        <v>45.06</v>
      </c>
      <c r="I55" s="5">
        <v>43.83</v>
      </c>
      <c r="J55" s="5">
        <v>42.55</v>
      </c>
      <c r="K55" s="5">
        <v>42.62</v>
      </c>
      <c r="L55" s="5">
        <v>46.61</v>
      </c>
      <c r="M55" s="5">
        <v>76.48</v>
      </c>
      <c r="N55" s="5">
        <v>77.489999999999995</v>
      </c>
      <c r="O55" s="5">
        <v>73.64</v>
      </c>
      <c r="P55" s="5">
        <v>68.510000000000005</v>
      </c>
      <c r="Q55" s="5">
        <v>67.62</v>
      </c>
      <c r="R55" s="5">
        <v>69.34</v>
      </c>
      <c r="S55" s="5">
        <v>69.23</v>
      </c>
      <c r="T55" s="4">
        <v>74.680000000000007</v>
      </c>
      <c r="U55" s="4">
        <v>86.84</v>
      </c>
      <c r="V55" s="4">
        <v>97.79</v>
      </c>
      <c r="W55" s="4">
        <v>91.29</v>
      </c>
      <c r="X55" s="4">
        <v>99.07</v>
      </c>
      <c r="Y55" s="4">
        <v>103.56</v>
      </c>
      <c r="Z55" s="4">
        <v>108.67</v>
      </c>
      <c r="AA55" s="4">
        <v>98.73</v>
      </c>
      <c r="AB55" s="4">
        <v>91.91</v>
      </c>
      <c r="AC55" s="4">
        <v>53.34</v>
      </c>
      <c r="AD55" s="4">
        <v>48.72</v>
      </c>
    </row>
    <row r="56" spans="4:30">
      <c r="D56" t="s">
        <v>54</v>
      </c>
      <c r="E56" s="2" t="s">
        <v>48</v>
      </c>
      <c r="F56" s="5">
        <v>1</v>
      </c>
      <c r="G56" s="29" t="str">
        <f>IF(AND(F16=TRUE,F56&lt;0),"the penalty cost should be in range 0-25","")</f>
        <v/>
      </c>
    </row>
    <row r="57" spans="4:30">
      <c r="D57" t="s">
        <v>55</v>
      </c>
      <c r="E57" s="2" t="s">
        <v>49</v>
      </c>
      <c r="F57" s="5">
        <v>1</v>
      </c>
      <c r="G57" s="29" t="str">
        <f>IF(AND(F16=TRUE,F57&lt;0),"the penalty cost should be in range 0-25","")</f>
        <v/>
      </c>
    </row>
    <row r="58" spans="4:30">
      <c r="D58" t="s">
        <v>56</v>
      </c>
      <c r="E58" s="2" t="s">
        <v>50</v>
      </c>
      <c r="F58" s="5">
        <v>0</v>
      </c>
      <c r="G58" s="29" t="str">
        <f>IF(AND(F22=TRUE,F58&lt;0),"the penalty cost should be in range 0-25","")</f>
        <v/>
      </c>
    </row>
    <row r="59" spans="4:30">
      <c r="D59" t="s">
        <v>57</v>
      </c>
      <c r="E59" s="2" t="s">
        <v>51</v>
      </c>
      <c r="F59" s="5">
        <v>0</v>
      </c>
      <c r="G59" s="29" t="str">
        <f>IF(AND(F22=TRUE,F59&lt;0),"the penalty cost should be in range 0-25","")</f>
        <v/>
      </c>
    </row>
    <row r="60" spans="4:30">
      <c r="D60" t="s">
        <v>58</v>
      </c>
      <c r="E60" s="2" t="s">
        <v>52</v>
      </c>
      <c r="F60" s="5">
        <v>0</v>
      </c>
      <c r="G60" s="29" t="str">
        <f>IF(AND(F28=TRUE,F60&lt;0),"the penalty cost should be in range 0-25","")</f>
        <v/>
      </c>
    </row>
    <row r="61" spans="4:30">
      <c r="D61" t="s">
        <v>59</v>
      </c>
      <c r="E61" s="2" t="s">
        <v>53</v>
      </c>
      <c r="F61" s="5">
        <v>0</v>
      </c>
      <c r="G61" s="29" t="str">
        <f>IF(AND(F28=TRUE,F61&lt;0),"the penalty cost should be in range 0-25","")</f>
        <v/>
      </c>
    </row>
  </sheetData>
  <phoneticPr fontId="7" type="noConversion"/>
  <conditionalFormatting sqref="F14">
    <cfRule type="cellIs" dxfId="30" priority="13" operator="equal">
      <formula>FALSE</formula>
    </cfRule>
    <cfRule type="cellIs" dxfId="29" priority="14" operator="equal">
      <formula>TRUE</formula>
    </cfRule>
  </conditionalFormatting>
  <conditionalFormatting sqref="F16 F21:F22 F27:F28 F33 F38">
    <cfRule type="cellIs" dxfId="28" priority="11" operator="equal">
      <formula>FALSE</formula>
    </cfRule>
    <cfRule type="cellIs" dxfId="27" priority="12" operator="equal">
      <formula>TRUE</formula>
    </cfRule>
  </conditionalFormatting>
  <conditionalFormatting sqref="F44">
    <cfRule type="cellIs" dxfId="26" priority="9" operator="equal">
      <formula>FALSE</formula>
    </cfRule>
    <cfRule type="cellIs" dxfId="25" priority="10" operator="equal">
      <formula>TRUE</formula>
    </cfRule>
  </conditionalFormatting>
  <conditionalFormatting sqref="F17:F18">
    <cfRule type="expression" dxfId="24" priority="8">
      <formula>$F$16=FALSE</formula>
    </cfRule>
  </conditionalFormatting>
  <conditionalFormatting sqref="F15">
    <cfRule type="expression" dxfId="23" priority="7">
      <formula>$F$14=FALSE</formula>
    </cfRule>
  </conditionalFormatting>
  <conditionalFormatting sqref="F23:F24">
    <cfRule type="expression" dxfId="22" priority="6">
      <formula>$F$22=FALSE</formula>
    </cfRule>
  </conditionalFormatting>
  <conditionalFormatting sqref="F29:F30">
    <cfRule type="expression" dxfId="21" priority="5">
      <formula>$F$28=FALSE</formula>
    </cfRule>
  </conditionalFormatting>
  <conditionalFormatting sqref="F9">
    <cfRule type="cellIs" dxfId="20" priority="3" operator="equal">
      <formula>FALSE</formula>
    </cfRule>
    <cfRule type="cellIs" dxfId="19" priority="4" operator="equal">
      <formula>TRUE</formula>
    </cfRule>
  </conditionalFormatting>
  <conditionalFormatting sqref="F10">
    <cfRule type="cellIs" dxfId="18" priority="1" operator="equal">
      <formula>FALSE</formula>
    </cfRule>
    <cfRule type="cellIs" dxfId="17" priority="2" operator="equal">
      <formula>TRUE</formula>
    </cfRule>
  </conditionalFormatting>
  <dataValidations count="2">
    <dataValidation type="list" allowBlank="1" showInputMessage="1" showErrorMessage="1" sqref="F38 F14 F44 F27:F28 F21:F22 F16 F33 F9" xr:uid="{486E1DFA-3633-4FFB-A635-629E01A4702D}">
      <formula1>$AD$4:$AD$5</formula1>
    </dataValidation>
    <dataValidation type="list" allowBlank="1" showInputMessage="1" showErrorMessage="1" sqref="F10" xr:uid="{D951DE0D-37BD-4A18-A15C-8E7BB126690F}">
      <formula1>$AC$4:$AC$5</formula1>
    </dataValidation>
  </dataValidations>
  <pageMargins left="0.7" right="0.7" top="0.75" bottom="0.75" header="0.3" footer="0.3"/>
  <pageSetup paperSize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TempRegPy">
                <anchor moveWithCells="1" sizeWithCells="1">
                  <from>
                    <xdr:col>3</xdr:col>
                    <xdr:colOff>3124200</xdr:colOff>
                    <xdr:row>2</xdr:row>
                    <xdr:rowOff>114300</xdr:rowOff>
                  </from>
                  <to>
                    <xdr:col>3</xdr:col>
                    <xdr:colOff>4305300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4DCA35DE-27EE-4EB1-92A4-E9A4EB40680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Inputs!G55:AD55</xm:f>
              <xm:sqref>F55</xm:sqref>
            </x14:sparkline>
            <x14:sparkline>
              <xm:f>Inputs!G52:AD52</xm:f>
              <xm:sqref>F52</xm:sqref>
            </x14:sparkline>
          </x14:sparklines>
        </x14:sparklineGroup>
        <x14:sparklineGroup displayEmptyCellsAs="gap" xr2:uid="{62D083DB-E6B1-4F01-A35C-9FD820D5AAE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Inputs!G36:AD36</xm:f>
              <xm:sqref>F36</xm:sqref>
            </x14:sparkline>
            <x14:sparkline>
              <xm:f>Inputs!G37:AD37</xm:f>
              <xm:sqref>F37</xm:sqref>
            </x14:sparkline>
            <x14:sparkline>
              <xm:f>Inputs!G39:AD39</xm:f>
              <xm:sqref>F39</xm:sqref>
            </x14:sparkline>
            <x14:sparkline>
              <xm:f>Inputs!G40:AD40</xm:f>
              <xm:sqref>F40</xm:sqref>
            </x14:sparkline>
            <x14:sparkline>
              <xm:f>Inputs!G41:AD41</xm:f>
              <xm:sqref>F41</xm:sqref>
            </x14:sparkline>
          </x14:sparklines>
        </x14:sparklineGroup>
        <x14:sparklineGroup displayEmptyCellsAs="gap" xr2:uid="{89FAA351-4CD0-46A1-8D77-812DD671BDC8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Inputs!G19:AD19</xm:f>
              <xm:sqref>F19</xm:sqref>
            </x14:sparkline>
            <x14:sparkline>
              <xm:f>Inputs!G20:AD20</xm:f>
              <xm:sqref>F20</xm:sqref>
            </x14:sparkline>
            <x14:sparkline>
              <xm:f>Inputs!G25:AD25</xm:f>
              <xm:sqref>F25</xm:sqref>
            </x14:sparkline>
            <x14:sparkline>
              <xm:f>Inputs!G26:AD26</xm:f>
              <xm:sqref>F26</xm:sqref>
            </x14:sparkline>
            <x14:sparkline>
              <xm:f>Inputs!G31:AD31</xm:f>
              <xm:sqref>F31</xm:sqref>
            </x14:sparkline>
            <x14:sparkline>
              <xm:f>Inputs!G32:AD32</xm:f>
              <xm:sqref>F32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B7A04-B687-4B29-8B43-B75768E7C5A7}">
  <sheetPr codeName="Sheet2"/>
  <dimension ref="A1:BS34"/>
  <sheetViews>
    <sheetView tabSelected="1" topLeftCell="A2" workbookViewId="0">
      <selection activeCell="D14" sqref="D14"/>
    </sheetView>
  </sheetViews>
  <sheetFormatPr defaultRowHeight="15"/>
  <cols>
    <col min="1" max="3" width="1.7109375" customWidth="1"/>
    <col min="4" max="4" width="17.140625" customWidth="1"/>
    <col min="5" max="13" width="11.42578125" bestFit="1" customWidth="1"/>
    <col min="14" max="15" width="12.42578125" bestFit="1" customWidth="1"/>
    <col min="16" max="16" width="10" bestFit="1" customWidth="1"/>
    <col min="17" max="17" width="14.5703125" bestFit="1" customWidth="1"/>
    <col min="18" max="18" width="14.28515625" bestFit="1" customWidth="1"/>
    <col min="19" max="19" width="8.5703125" bestFit="1" customWidth="1"/>
    <col min="20" max="20" width="8.85546875" bestFit="1" customWidth="1"/>
    <col min="21" max="21" width="9" bestFit="1" customWidth="1"/>
    <col min="22" max="22" width="6.28515625" style="35" bestFit="1" customWidth="1"/>
    <col min="23" max="26" width="10.7109375" style="35" customWidth="1"/>
    <col min="27" max="27" width="12" style="35" bestFit="1" customWidth="1"/>
    <col min="28" max="42" width="12.42578125" style="35" bestFit="1" customWidth="1"/>
    <col min="43" max="43" width="20.42578125" style="35" bestFit="1" customWidth="1"/>
    <col min="44" max="44" width="12.28515625" style="35" bestFit="1" customWidth="1"/>
    <col min="45" max="45" width="16.5703125" style="35" bestFit="1" customWidth="1"/>
    <col min="46" max="46" width="16.28515625" style="35" bestFit="1" customWidth="1"/>
    <col min="47" max="47" width="14.85546875" style="35" bestFit="1" customWidth="1"/>
    <col min="48" max="48" width="42.28515625" style="35" bestFit="1" customWidth="1"/>
    <col min="49" max="56" width="6.5703125" style="35" bestFit="1" customWidth="1"/>
    <col min="57" max="64" width="7.5703125" style="35" bestFit="1" customWidth="1"/>
    <col min="65" max="72" width="6.5703125" style="35" bestFit="1" customWidth="1"/>
    <col min="73" max="16384" width="9.140625" style="35"/>
  </cols>
  <sheetData>
    <row r="1" spans="1:71" ht="24.75" thickBot="1">
      <c r="D1" s="26" t="s">
        <v>155</v>
      </c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38"/>
      <c r="W1" s="38"/>
      <c r="X1" s="38"/>
      <c r="Y1" s="38"/>
      <c r="Z1" s="38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</row>
    <row r="2" spans="1:71" ht="18" thickBot="1">
      <c r="D2" s="27" t="s">
        <v>156</v>
      </c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33"/>
      <c r="W2" s="33"/>
      <c r="X2" s="33"/>
      <c r="Y2" s="33"/>
      <c r="Z2" s="33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</row>
    <row r="3" spans="1:71" ht="15.75" thickTop="1">
      <c r="D3" t="s">
        <v>166</v>
      </c>
      <c r="E3" s="34" t="s">
        <v>197</v>
      </c>
      <c r="F3" t="s">
        <v>154</v>
      </c>
      <c r="G3" s="41" t="str" cm="1">
        <f t="array" aca="1" ref="G3" ca="1">LEFT(CELL("filename", A3), FIND("[", CELL("filename", A3)) - 1) &amp; "Results\" &amp; E3</f>
        <v>C:\Projects\GitHub\TempRegPy\Results\Test2</v>
      </c>
      <c r="H3" s="24"/>
      <c r="I3" s="24"/>
      <c r="J3" s="24"/>
      <c r="K3" s="24"/>
      <c r="L3" s="24"/>
      <c r="M3" s="24"/>
      <c r="N3" s="24"/>
      <c r="O3" s="24"/>
      <c r="P3" s="24"/>
      <c r="Q3" s="35"/>
      <c r="R3" s="3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24"/>
      <c r="AF3" s="24"/>
      <c r="AG3" s="24"/>
      <c r="AH3" s="24"/>
      <c r="AI3" s="24"/>
      <c r="AJ3" s="24"/>
      <c r="AK3" s="24"/>
      <c r="AL3" s="24"/>
      <c r="AM3" s="24"/>
      <c r="AN3" s="24"/>
      <c r="AO3" s="24"/>
      <c r="AP3" s="24"/>
    </row>
    <row r="4" spans="1:71">
      <c r="E4" s="24"/>
      <c r="F4" s="35"/>
      <c r="G4" s="15"/>
      <c r="H4" s="24"/>
      <c r="I4" s="24"/>
      <c r="J4" s="24"/>
      <c r="K4" s="24"/>
      <c r="L4" s="24"/>
      <c r="M4" s="24"/>
      <c r="N4" s="24"/>
      <c r="O4" s="24"/>
      <c r="P4" s="24"/>
      <c r="Q4" s="35"/>
      <c r="R4" s="3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24"/>
      <c r="AF4" s="24"/>
      <c r="AG4" s="24"/>
      <c r="AH4" s="24"/>
      <c r="AI4" s="24"/>
      <c r="AJ4" s="24"/>
      <c r="AK4" s="24"/>
      <c r="AL4" s="24"/>
      <c r="AM4" s="24"/>
      <c r="AN4" s="24"/>
      <c r="AO4" s="24"/>
      <c r="AP4" s="24"/>
    </row>
    <row r="5" spans="1:71" s="37" customFormat="1" ht="18" thickBot="1">
      <c r="A5" s="36"/>
      <c r="B5" s="36"/>
      <c r="C5" s="36"/>
      <c r="D5" s="27" t="s">
        <v>191</v>
      </c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</row>
    <row r="6" spans="1:71" s="45" customFormat="1" ht="30" customHeight="1" thickTop="1">
      <c r="A6" s="44"/>
      <c r="B6" s="44"/>
      <c r="C6" s="44"/>
      <c r="E6" s="44" t="s">
        <v>158</v>
      </c>
      <c r="F6" s="44" t="s">
        <v>93</v>
      </c>
      <c r="G6" s="44" t="s">
        <v>160</v>
      </c>
      <c r="H6" s="44" t="s">
        <v>162</v>
      </c>
      <c r="I6" s="44" t="s">
        <v>163</v>
      </c>
      <c r="J6" s="44" t="s">
        <v>164</v>
      </c>
      <c r="K6" s="44" t="s">
        <v>198</v>
      </c>
      <c r="L6" s="44" t="s">
        <v>199</v>
      </c>
      <c r="M6" s="44" t="s">
        <v>165</v>
      </c>
      <c r="N6" s="44" t="s">
        <v>200</v>
      </c>
      <c r="O6" s="44" t="s">
        <v>201</v>
      </c>
      <c r="P6" s="42" t="s">
        <v>178</v>
      </c>
      <c r="Q6" s="42" t="s">
        <v>203</v>
      </c>
      <c r="R6" s="44" t="s">
        <v>202</v>
      </c>
      <c r="S6" s="42" t="s">
        <v>181</v>
      </c>
      <c r="T6" s="42" t="s">
        <v>182</v>
      </c>
      <c r="U6" s="42" t="s">
        <v>183</v>
      </c>
      <c r="V6" s="42" t="s">
        <v>184</v>
      </c>
      <c r="W6" s="43" t="s">
        <v>204</v>
      </c>
      <c r="X6" s="45" t="s">
        <v>206</v>
      </c>
      <c r="Y6" s="43" t="s">
        <v>192</v>
      </c>
      <c r="Z6" s="45" t="s">
        <v>194</v>
      </c>
      <c r="AA6" s="46"/>
      <c r="AB6" s="46"/>
      <c r="AC6" s="46"/>
      <c r="AD6" s="46"/>
      <c r="AE6" s="47"/>
      <c r="AF6" s="47"/>
      <c r="AG6" s="47"/>
      <c r="AH6" s="47"/>
      <c r="AI6" s="47"/>
      <c r="AJ6" s="47"/>
      <c r="AK6" s="47"/>
      <c r="AL6" s="47"/>
      <c r="AM6" s="47"/>
      <c r="AN6" s="47"/>
      <c r="AO6" s="47"/>
      <c r="AP6" s="47"/>
    </row>
    <row r="7" spans="1:71" ht="15.75" thickBot="1">
      <c r="E7" s="52" t="s">
        <v>159</v>
      </c>
      <c r="F7" s="52" t="s">
        <v>157</v>
      </c>
      <c r="G7" s="52" t="s">
        <v>161</v>
      </c>
      <c r="H7" s="52" t="s">
        <v>161</v>
      </c>
      <c r="I7" s="52" t="s">
        <v>161</v>
      </c>
      <c r="J7" s="52" t="s">
        <v>161</v>
      </c>
      <c r="K7" s="52" t="s">
        <v>161</v>
      </c>
      <c r="L7" s="52" t="s">
        <v>161</v>
      </c>
      <c r="M7" s="52" t="s">
        <v>161</v>
      </c>
      <c r="N7" s="52" t="s">
        <v>161</v>
      </c>
      <c r="O7" s="52" t="s">
        <v>161</v>
      </c>
      <c r="P7" s="52" t="s">
        <v>185</v>
      </c>
      <c r="Q7" s="52" t="s">
        <v>185</v>
      </c>
      <c r="R7" s="52" t="s">
        <v>185</v>
      </c>
      <c r="S7" s="52" t="s">
        <v>185</v>
      </c>
      <c r="T7" s="52" t="s">
        <v>185</v>
      </c>
      <c r="U7" s="52" t="s">
        <v>185</v>
      </c>
      <c r="V7" s="52" t="s">
        <v>185</v>
      </c>
      <c r="W7" s="53" t="s">
        <v>205</v>
      </c>
      <c r="X7" s="53" t="s">
        <v>205</v>
      </c>
      <c r="Y7" s="53" t="s">
        <v>193</v>
      </c>
      <c r="Z7" s="53" t="s">
        <v>195</v>
      </c>
      <c r="AA7" s="15"/>
      <c r="AB7" s="15"/>
      <c r="AC7" s="15"/>
      <c r="AD7" s="15"/>
      <c r="AE7" s="24"/>
      <c r="AF7" s="24"/>
      <c r="AG7" s="24"/>
      <c r="AH7" s="24"/>
      <c r="AI7" s="24"/>
      <c r="AJ7" s="24"/>
      <c r="AK7" s="24"/>
      <c r="AL7" s="24"/>
      <c r="AM7" s="24"/>
      <c r="AN7" s="24"/>
      <c r="AO7" s="24"/>
      <c r="AP7" s="24"/>
    </row>
    <row r="8" spans="1:71" ht="15.75" thickBot="1">
      <c r="E8" s="52"/>
      <c r="F8" s="52"/>
      <c r="G8" s="52"/>
      <c r="H8" s="52"/>
      <c r="I8" s="52"/>
      <c r="J8" s="52"/>
      <c r="K8" s="52"/>
      <c r="L8" s="52"/>
      <c r="M8" s="52"/>
      <c r="N8" s="52"/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  <c r="AA8" s="15"/>
      <c r="AB8" s="15"/>
      <c r="AC8" s="15"/>
      <c r="AD8" s="15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</row>
    <row r="9" spans="1:71" ht="15.75" thickBot="1">
      <c r="E9" s="52" t="s">
        <v>196</v>
      </c>
      <c r="F9" s="54">
        <f>SUM(F11:F34)</f>
        <v>5181.8448636668736</v>
      </c>
      <c r="G9" s="54">
        <f>SUM(G11:G34)</f>
        <v>88845.328222450757</v>
      </c>
      <c r="H9" s="54"/>
      <c r="I9" s="54"/>
      <c r="J9" s="54">
        <f>SUM(J11:J34)</f>
        <v>235003.00000000006</v>
      </c>
      <c r="K9" s="54"/>
      <c r="L9" s="54"/>
      <c r="M9" s="54">
        <f>SUM(M11:M34)</f>
        <v>146157.67177754914</v>
      </c>
      <c r="N9" s="54"/>
      <c r="O9" s="54"/>
      <c r="P9" s="54"/>
      <c r="Q9" s="54"/>
      <c r="R9" s="54"/>
      <c r="S9" s="54"/>
      <c r="T9" s="54"/>
      <c r="U9" s="54"/>
      <c r="V9" s="54"/>
      <c r="W9" s="54">
        <f>SUM(W11:W34)</f>
        <v>24000</v>
      </c>
      <c r="X9" s="54">
        <f>SUM(X11:X34)</f>
        <v>18818.155136333124</v>
      </c>
      <c r="Y9" s="54">
        <f>SUM(Y11:Y34)</f>
        <v>1724.4300000000003</v>
      </c>
      <c r="Z9" s="54">
        <f>SUM(Z11:Z34)</f>
        <v>377939.35095176112</v>
      </c>
      <c r="AA9" s="15"/>
      <c r="AB9" s="15"/>
      <c r="AC9" s="15"/>
      <c r="AD9" s="15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</row>
    <row r="10" spans="1:71" hidden="1">
      <c r="E10" t="s">
        <v>167</v>
      </c>
      <c r="F10" t="s">
        <v>168</v>
      </c>
      <c r="G10" t="s">
        <v>169</v>
      </c>
      <c r="H10" t="s">
        <v>170</v>
      </c>
      <c r="I10" t="s">
        <v>171</v>
      </c>
      <c r="J10" t="s">
        <v>172</v>
      </c>
      <c r="K10" t="s">
        <v>173</v>
      </c>
      <c r="L10" t="s">
        <v>174</v>
      </c>
      <c r="M10" t="s">
        <v>175</v>
      </c>
      <c r="N10" t="s">
        <v>176</v>
      </c>
      <c r="O10" t="s">
        <v>177</v>
      </c>
      <c r="P10" t="s">
        <v>178</v>
      </c>
      <c r="Q10" t="s">
        <v>179</v>
      </c>
      <c r="R10" t="s">
        <v>180</v>
      </c>
      <c r="S10" t="s">
        <v>181</v>
      </c>
      <c r="T10" t="s">
        <v>182</v>
      </c>
      <c r="U10" t="s">
        <v>183</v>
      </c>
      <c r="V10" t="s">
        <v>184</v>
      </c>
    </row>
    <row r="11" spans="1:71">
      <c r="E11" t="s">
        <v>128</v>
      </c>
      <c r="F11" s="48">
        <v>200</v>
      </c>
      <c r="G11" s="48">
        <v>2564.1564771361755</v>
      </c>
      <c r="H11" s="48">
        <v>0</v>
      </c>
      <c r="I11" s="48">
        <v>0</v>
      </c>
      <c r="J11" s="48">
        <v>8205.3007268357833</v>
      </c>
      <c r="K11" s="48">
        <v>0</v>
      </c>
      <c r="L11" s="48">
        <v>0</v>
      </c>
      <c r="M11" s="48">
        <v>5641.1442496996087</v>
      </c>
      <c r="N11" s="48">
        <v>0</v>
      </c>
      <c r="O11" s="48">
        <v>0</v>
      </c>
      <c r="P11" s="48">
        <v>15.200000000000006</v>
      </c>
      <c r="Q11" s="48">
        <v>15.5</v>
      </c>
      <c r="R11" s="48">
        <v>14</v>
      </c>
      <c r="S11" s="48">
        <v>14</v>
      </c>
      <c r="T11" s="48">
        <v>15.5</v>
      </c>
      <c r="U11" s="48">
        <v>13.000000000000007</v>
      </c>
      <c r="V11" s="48">
        <v>2.2000000000000002</v>
      </c>
      <c r="W11" s="50" cm="1">
        <f t="array" ref="W11:W34">TRANSPOSE(Inputs!G52:AD52)</f>
        <v>1000</v>
      </c>
      <c r="X11" s="50">
        <f>W11-Flows[[#This Row],[Column2]]</f>
        <v>800</v>
      </c>
      <c r="Y11" s="50" cm="1">
        <f t="array" ref="Y11:Y34">TRANSPOSE(Inputs!G55:AD55)</f>
        <v>46.85</v>
      </c>
      <c r="Z11" s="51">
        <f>Y11*Flows[[#This Row],[Column2]]</f>
        <v>9370</v>
      </c>
    </row>
    <row r="12" spans="1:71">
      <c r="E12" t="s">
        <v>129</v>
      </c>
      <c r="F12" s="48">
        <v>200</v>
      </c>
      <c r="G12" s="48">
        <v>4387.5566386552218</v>
      </c>
      <c r="H12" s="48">
        <v>0</v>
      </c>
      <c r="I12" s="48">
        <v>1823.400161519048</v>
      </c>
      <c r="J12" s="48">
        <v>10028.700888354831</v>
      </c>
      <c r="K12" s="48">
        <v>0</v>
      </c>
      <c r="L12" s="48">
        <v>1823.4001615190491</v>
      </c>
      <c r="M12" s="48">
        <v>5641.1442496996087</v>
      </c>
      <c r="N12" s="48">
        <v>0</v>
      </c>
      <c r="O12" s="48">
        <v>0</v>
      </c>
      <c r="P12" s="48">
        <v>15.500000000000011</v>
      </c>
      <c r="Q12" s="48">
        <v>15.5</v>
      </c>
      <c r="R12" s="48">
        <v>14</v>
      </c>
      <c r="S12" s="48">
        <v>14</v>
      </c>
      <c r="T12" s="48">
        <v>15.5</v>
      </c>
      <c r="U12" s="48">
        <v>12.000000000000011</v>
      </c>
      <c r="V12" s="48">
        <v>3.5</v>
      </c>
      <c r="W12" s="49">
        <v>1000</v>
      </c>
      <c r="X12" s="49">
        <f>W12-Flows[[#This Row],[Column2]]</f>
        <v>800</v>
      </c>
      <c r="Y12" s="49">
        <v>45.06</v>
      </c>
      <c r="Z12" s="48">
        <f>Y12*Flows[[#This Row],[Column2]]</f>
        <v>9012</v>
      </c>
    </row>
    <row r="13" spans="1:71">
      <c r="E13" t="s">
        <v>130</v>
      </c>
      <c r="F13" s="48">
        <v>200</v>
      </c>
      <c r="G13" s="48">
        <v>4387.5566386552218</v>
      </c>
      <c r="H13" s="48">
        <v>0</v>
      </c>
      <c r="I13" s="48">
        <v>0</v>
      </c>
      <c r="J13" s="48">
        <v>10028.700888354831</v>
      </c>
      <c r="K13" s="48">
        <v>0</v>
      </c>
      <c r="L13" s="48">
        <v>9.0949470177292824E-13</v>
      </c>
      <c r="M13" s="48">
        <v>5641.1442496996087</v>
      </c>
      <c r="N13" s="48">
        <v>0</v>
      </c>
      <c r="O13" s="48">
        <v>0</v>
      </c>
      <c r="P13" s="48">
        <v>15.500000000000011</v>
      </c>
      <c r="Q13" s="48">
        <v>15.5</v>
      </c>
      <c r="R13" s="48">
        <v>14</v>
      </c>
      <c r="S13" s="48">
        <v>15</v>
      </c>
      <c r="T13" s="48">
        <v>15.5</v>
      </c>
      <c r="U13" s="48">
        <v>12.000000000000011</v>
      </c>
      <c r="V13" s="48">
        <v>3.5</v>
      </c>
      <c r="W13" s="50">
        <v>1000</v>
      </c>
      <c r="X13" s="50">
        <f>W13-Flows[[#This Row],[Column2]]</f>
        <v>800</v>
      </c>
      <c r="Y13" s="50">
        <v>43.83</v>
      </c>
      <c r="Z13" s="51">
        <f>Y13*Flows[[#This Row],[Column2]]</f>
        <v>8766</v>
      </c>
    </row>
    <row r="14" spans="1:71">
      <c r="E14" t="s">
        <v>131</v>
      </c>
      <c r="F14" s="48">
        <v>200</v>
      </c>
      <c r="G14" s="48">
        <v>4387.5566386552273</v>
      </c>
      <c r="H14" s="48">
        <v>0</v>
      </c>
      <c r="I14" s="48">
        <v>0</v>
      </c>
      <c r="J14" s="48">
        <v>10028.700888354835</v>
      </c>
      <c r="K14" s="48">
        <v>0</v>
      </c>
      <c r="L14" s="48">
        <v>0</v>
      </c>
      <c r="M14" s="48">
        <v>5641.1442496996087</v>
      </c>
      <c r="N14" s="48">
        <v>0</v>
      </c>
      <c r="O14" s="48">
        <v>0</v>
      </c>
      <c r="P14" s="48">
        <v>15.500000000000011</v>
      </c>
      <c r="Q14" s="48">
        <v>15.5</v>
      </c>
      <c r="R14" s="48">
        <v>14</v>
      </c>
      <c r="S14" s="48">
        <v>15</v>
      </c>
      <c r="T14" s="48">
        <v>15.5</v>
      </c>
      <c r="U14" s="48">
        <v>12.000000000000011</v>
      </c>
      <c r="V14" s="48">
        <v>3.5</v>
      </c>
      <c r="W14" s="49">
        <v>1000</v>
      </c>
      <c r="X14" s="49">
        <f>W14-Flows[[#This Row],[Column2]]</f>
        <v>800</v>
      </c>
      <c r="Y14" s="49">
        <v>42.55</v>
      </c>
      <c r="Z14" s="48">
        <f>Y14*Flows[[#This Row],[Column2]]</f>
        <v>8510</v>
      </c>
    </row>
    <row r="15" spans="1:71">
      <c r="E15" t="s">
        <v>132</v>
      </c>
      <c r="F15" s="48">
        <v>200</v>
      </c>
      <c r="G15" s="48">
        <v>2007.8649024354472</v>
      </c>
      <c r="H15" s="48">
        <v>2379.6917362197801</v>
      </c>
      <c r="I15" s="48">
        <v>0</v>
      </c>
      <c r="J15" s="48">
        <v>7649.009152135056</v>
      </c>
      <c r="K15" s="48">
        <v>2379.6917362197819</v>
      </c>
      <c r="L15" s="48">
        <v>0</v>
      </c>
      <c r="M15" s="48">
        <v>5641.1442496996087</v>
      </c>
      <c r="N15" s="48">
        <v>0</v>
      </c>
      <c r="O15" s="48">
        <v>0</v>
      </c>
      <c r="P15" s="48">
        <v>14.900000000000006</v>
      </c>
      <c r="Q15" s="48">
        <v>15.5</v>
      </c>
      <c r="R15" s="48">
        <v>14</v>
      </c>
      <c r="S15" s="48">
        <v>15</v>
      </c>
      <c r="T15" s="48">
        <v>15.5</v>
      </c>
      <c r="U15" s="48">
        <v>13.400000000000006</v>
      </c>
      <c r="V15" s="48">
        <v>1.5</v>
      </c>
      <c r="W15" s="50">
        <v>1000</v>
      </c>
      <c r="X15" s="50">
        <f>W15-Flows[[#This Row],[Column2]]</f>
        <v>800</v>
      </c>
      <c r="Y15" s="50">
        <v>42.62</v>
      </c>
      <c r="Z15" s="51">
        <f>Y15*Flows[[#This Row],[Column2]]</f>
        <v>8524</v>
      </c>
    </row>
    <row r="16" spans="1:71">
      <c r="E16" t="s">
        <v>133</v>
      </c>
      <c r="F16" s="48">
        <v>200</v>
      </c>
      <c r="G16" s="48">
        <v>2007.8649024354472</v>
      </c>
      <c r="H16" s="48">
        <v>0</v>
      </c>
      <c r="I16" s="48">
        <v>0</v>
      </c>
      <c r="J16" s="48">
        <v>7649.009152135056</v>
      </c>
      <c r="K16" s="48">
        <v>0</v>
      </c>
      <c r="L16" s="48">
        <v>9.0949470177292824E-13</v>
      </c>
      <c r="M16" s="48">
        <v>5641.1442496996087</v>
      </c>
      <c r="N16" s="48">
        <v>0</v>
      </c>
      <c r="O16" s="48">
        <v>0</v>
      </c>
      <c r="P16" s="48">
        <v>15.000000000000005</v>
      </c>
      <c r="Q16" s="48">
        <v>15.5</v>
      </c>
      <c r="R16" s="48">
        <v>15</v>
      </c>
      <c r="S16" s="48">
        <v>15</v>
      </c>
      <c r="T16" s="48">
        <v>15.5</v>
      </c>
      <c r="U16" s="48">
        <v>13.400000000000006</v>
      </c>
      <c r="V16" s="48">
        <v>1.6</v>
      </c>
      <c r="W16" s="49">
        <v>1000</v>
      </c>
      <c r="X16" s="49">
        <f>W16-Flows[[#This Row],[Column2]]</f>
        <v>800</v>
      </c>
      <c r="Y16" s="49">
        <v>46.61</v>
      </c>
      <c r="Z16" s="48">
        <f>Y16*Flows[[#This Row],[Column2]]</f>
        <v>9322</v>
      </c>
    </row>
    <row r="17" spans="5:46">
      <c r="E17" t="s">
        <v>134</v>
      </c>
      <c r="F17" s="48">
        <v>200</v>
      </c>
      <c r="G17" s="48">
        <v>2716.1064905960884</v>
      </c>
      <c r="H17" s="48">
        <v>0</v>
      </c>
      <c r="I17" s="48">
        <v>708.24158816064119</v>
      </c>
      <c r="J17" s="48">
        <v>8357.2507402956981</v>
      </c>
      <c r="K17" s="48">
        <v>0</v>
      </c>
      <c r="L17" s="48">
        <v>708.2415881606421</v>
      </c>
      <c r="M17" s="48">
        <v>5641.1442496996087</v>
      </c>
      <c r="N17" s="48">
        <v>0</v>
      </c>
      <c r="O17" s="48">
        <v>0</v>
      </c>
      <c r="P17" s="48">
        <v>15.500000000000012</v>
      </c>
      <c r="Q17" s="48">
        <v>15.5</v>
      </c>
      <c r="R17" s="48">
        <v>14</v>
      </c>
      <c r="S17" s="48">
        <v>14</v>
      </c>
      <c r="T17" s="48">
        <v>15.5</v>
      </c>
      <c r="U17" s="48">
        <v>12.900000000000013</v>
      </c>
      <c r="V17" s="48">
        <v>2.6</v>
      </c>
      <c r="W17" s="50">
        <v>1000</v>
      </c>
      <c r="X17" s="50">
        <f>W17-Flows[[#This Row],[Column2]]</f>
        <v>800</v>
      </c>
      <c r="Y17" s="50">
        <v>76.48</v>
      </c>
      <c r="Z17" s="51">
        <f>Y17*Flows[[#This Row],[Column2]]</f>
        <v>15296</v>
      </c>
    </row>
    <row r="18" spans="5:46">
      <c r="E18" t="s">
        <v>135</v>
      </c>
      <c r="F18" s="48">
        <v>200</v>
      </c>
      <c r="G18" s="48">
        <v>2873.7904668280798</v>
      </c>
      <c r="H18" s="48">
        <v>0</v>
      </c>
      <c r="I18" s="48">
        <v>157.68397623199053</v>
      </c>
      <c r="J18" s="48">
        <v>8514.9347165276922</v>
      </c>
      <c r="K18" s="48">
        <v>0</v>
      </c>
      <c r="L18" s="48">
        <v>157.68397623199644</v>
      </c>
      <c r="M18" s="48">
        <v>5641.1442496996087</v>
      </c>
      <c r="N18" s="48">
        <v>0</v>
      </c>
      <c r="O18" s="48">
        <v>0</v>
      </c>
      <c r="P18" s="48">
        <v>15.500000000000011</v>
      </c>
      <c r="Q18" s="48">
        <v>15.5</v>
      </c>
      <c r="R18" s="48">
        <v>14</v>
      </c>
      <c r="S18" s="48">
        <v>15</v>
      </c>
      <c r="T18" s="48">
        <v>15.5</v>
      </c>
      <c r="U18" s="48">
        <v>12.80000000000001</v>
      </c>
      <c r="V18" s="48">
        <v>2.7</v>
      </c>
      <c r="W18" s="49">
        <v>1000</v>
      </c>
      <c r="X18" s="49">
        <f>W18-Flows[[#This Row],[Column2]]</f>
        <v>800</v>
      </c>
      <c r="Y18" s="49">
        <v>77.489999999999995</v>
      </c>
      <c r="Z18" s="48">
        <f>Y18*Flows[[#This Row],[Column2]]</f>
        <v>15497.999999999998</v>
      </c>
    </row>
    <row r="19" spans="5:46">
      <c r="E19" t="s">
        <v>136</v>
      </c>
      <c r="F19" s="48">
        <v>200</v>
      </c>
      <c r="G19" s="48">
        <v>2873.7904668280753</v>
      </c>
      <c r="H19" s="48">
        <v>0</v>
      </c>
      <c r="I19" s="48">
        <v>0</v>
      </c>
      <c r="J19" s="48">
        <v>8514.9347165276922</v>
      </c>
      <c r="K19" s="48">
        <v>0</v>
      </c>
      <c r="L19" s="48">
        <v>0</v>
      </c>
      <c r="M19" s="48">
        <v>5641.144249699616</v>
      </c>
      <c r="N19" s="48">
        <v>0</v>
      </c>
      <c r="O19" s="48">
        <v>0</v>
      </c>
      <c r="P19" s="48">
        <v>15.400000000000018</v>
      </c>
      <c r="Q19" s="48">
        <v>15.5</v>
      </c>
      <c r="R19" s="48">
        <v>14</v>
      </c>
      <c r="S19" s="48">
        <v>15</v>
      </c>
      <c r="T19" s="48">
        <v>15.5</v>
      </c>
      <c r="U19" s="48">
        <v>12.800000000000018</v>
      </c>
      <c r="V19" s="48">
        <v>2.6</v>
      </c>
      <c r="W19" s="50">
        <v>1000</v>
      </c>
      <c r="X19" s="50">
        <f>W19-Flows[[#This Row],[Column2]]</f>
        <v>800</v>
      </c>
      <c r="Y19" s="50">
        <v>73.64</v>
      </c>
      <c r="Z19" s="51">
        <f>Y19*Flows[[#This Row],[Column2]]</f>
        <v>14728</v>
      </c>
    </row>
    <row r="20" spans="5:46">
      <c r="E20" t="s">
        <v>137</v>
      </c>
      <c r="F20" s="48">
        <v>200</v>
      </c>
      <c r="G20" s="48">
        <v>2873.7904668280753</v>
      </c>
      <c r="H20" s="48">
        <v>0</v>
      </c>
      <c r="I20" s="48">
        <v>0</v>
      </c>
      <c r="J20" s="48">
        <v>8514.9347165276849</v>
      </c>
      <c r="K20" s="48">
        <v>0</v>
      </c>
      <c r="L20" s="48">
        <v>0</v>
      </c>
      <c r="M20" s="48">
        <v>5641.1442496996087</v>
      </c>
      <c r="N20" s="48">
        <v>0</v>
      </c>
      <c r="O20" s="48">
        <v>0</v>
      </c>
      <c r="P20" s="48">
        <v>15.200000000000017</v>
      </c>
      <c r="Q20" s="48">
        <v>15.5</v>
      </c>
      <c r="R20" s="48">
        <v>14</v>
      </c>
      <c r="S20" s="48">
        <v>14</v>
      </c>
      <c r="T20" s="48">
        <v>15.5</v>
      </c>
      <c r="U20" s="48">
        <v>12.800000000000017</v>
      </c>
      <c r="V20" s="48">
        <v>2.4</v>
      </c>
      <c r="W20" s="49">
        <v>1000</v>
      </c>
      <c r="X20" s="49">
        <f>W20-Flows[[#This Row],[Column2]]</f>
        <v>800</v>
      </c>
      <c r="Y20" s="49">
        <v>68.510000000000005</v>
      </c>
      <c r="Z20" s="48">
        <f>Y20*Flows[[#This Row],[Column2]]</f>
        <v>13702.000000000002</v>
      </c>
    </row>
    <row r="21" spans="5:46">
      <c r="E21" t="s">
        <v>138</v>
      </c>
      <c r="F21" s="48">
        <v>200</v>
      </c>
      <c r="G21" s="48">
        <v>6234.9489075627062</v>
      </c>
      <c r="H21" s="48">
        <v>0</v>
      </c>
      <c r="I21" s="48">
        <v>3361.1584407346272</v>
      </c>
      <c r="J21" s="48">
        <v>11876.093157262314</v>
      </c>
      <c r="K21" s="48">
        <v>0</v>
      </c>
      <c r="L21" s="48">
        <v>3361.1584407346281</v>
      </c>
      <c r="M21" s="48">
        <v>5641.1442496996087</v>
      </c>
      <c r="N21" s="48">
        <v>0</v>
      </c>
      <c r="O21" s="48">
        <v>0</v>
      </c>
      <c r="P21" s="48">
        <v>14.100000000000009</v>
      </c>
      <c r="Q21" s="48">
        <v>14.1</v>
      </c>
      <c r="R21" s="48">
        <v>14</v>
      </c>
      <c r="S21" s="48">
        <v>14</v>
      </c>
      <c r="T21" s="48">
        <v>14.1</v>
      </c>
      <c r="U21" s="48">
        <v>11.300000000000008</v>
      </c>
      <c r="V21" s="48">
        <v>2.8</v>
      </c>
      <c r="W21" s="50">
        <v>1000</v>
      </c>
      <c r="X21" s="50">
        <f>W21-Flows[[#This Row],[Column2]]</f>
        <v>800</v>
      </c>
      <c r="Y21" s="50">
        <v>67.62</v>
      </c>
      <c r="Z21" s="51">
        <f>Y21*Flows[[#This Row],[Column2]]</f>
        <v>13524</v>
      </c>
    </row>
    <row r="22" spans="5:46">
      <c r="E22" t="s">
        <v>139</v>
      </c>
      <c r="F22" s="48">
        <v>247.36842105263105</v>
      </c>
      <c r="G22" s="48">
        <v>4898.8884273707063</v>
      </c>
      <c r="H22" s="48">
        <v>1336.0604801919981</v>
      </c>
      <c r="I22" s="48">
        <v>0</v>
      </c>
      <c r="J22" s="48">
        <v>11876.093157262314</v>
      </c>
      <c r="K22" s="48">
        <v>0</v>
      </c>
      <c r="L22" s="48">
        <v>0</v>
      </c>
      <c r="M22" s="48">
        <v>6977.2047298916068</v>
      </c>
      <c r="N22" s="48">
        <v>0</v>
      </c>
      <c r="O22" s="48">
        <v>1336.0604801919981</v>
      </c>
      <c r="P22" s="48">
        <v>13.999999999999998</v>
      </c>
      <c r="Q22" s="48">
        <v>15.5</v>
      </c>
      <c r="R22" s="48">
        <v>14</v>
      </c>
      <c r="S22" s="48">
        <v>14</v>
      </c>
      <c r="T22" s="48">
        <v>15.100000000000009</v>
      </c>
      <c r="U22" s="48">
        <v>12.199999999999998</v>
      </c>
      <c r="V22" s="48">
        <v>1.8</v>
      </c>
      <c r="W22" s="49">
        <v>1000</v>
      </c>
      <c r="X22" s="49">
        <f>W22-Flows[[#This Row],[Column2]]</f>
        <v>752.63157894736901</v>
      </c>
      <c r="Y22" s="49">
        <v>69.34</v>
      </c>
      <c r="Z22" s="48">
        <f>Y22*Flows[[#This Row],[Column2]]</f>
        <v>17152.526315789437</v>
      </c>
    </row>
    <row r="23" spans="5:46">
      <c r="E23" t="s">
        <v>140</v>
      </c>
      <c r="F23" s="48">
        <v>247.36842105263105</v>
      </c>
      <c r="G23" s="48">
        <v>4898.8884273707063</v>
      </c>
      <c r="H23" s="48">
        <v>0</v>
      </c>
      <c r="I23" s="48">
        <v>0</v>
      </c>
      <c r="J23" s="48">
        <v>11876.093157262314</v>
      </c>
      <c r="K23" s="48">
        <v>0</v>
      </c>
      <c r="L23" s="48">
        <v>0</v>
      </c>
      <c r="M23" s="48">
        <v>6977.2047298916068</v>
      </c>
      <c r="N23" s="48">
        <v>0</v>
      </c>
      <c r="O23" s="48">
        <v>0</v>
      </c>
      <c r="P23" s="48">
        <v>14.999999999999996</v>
      </c>
      <c r="Q23" s="48">
        <v>15.5</v>
      </c>
      <c r="R23" s="48">
        <v>14</v>
      </c>
      <c r="S23" s="48">
        <v>14</v>
      </c>
      <c r="T23" s="48">
        <v>14.999999999999998</v>
      </c>
      <c r="U23" s="48">
        <v>12.199999999999998</v>
      </c>
      <c r="V23" s="48">
        <v>2.8</v>
      </c>
      <c r="W23" s="50">
        <v>1000</v>
      </c>
      <c r="X23" s="50">
        <f>W23-Flows[[#This Row],[Column2]]</f>
        <v>752.63157894736901</v>
      </c>
      <c r="Y23" s="50">
        <v>69.23</v>
      </c>
      <c r="Z23" s="51">
        <f>Y23*Flows[[#This Row],[Column2]]</f>
        <v>17125.315789473647</v>
      </c>
    </row>
    <row r="24" spans="5:46">
      <c r="E24" t="s">
        <v>141</v>
      </c>
      <c r="F24" s="48">
        <v>247.36842105263105</v>
      </c>
      <c r="G24" s="48">
        <v>4898.8884273707063</v>
      </c>
      <c r="H24" s="48">
        <v>0</v>
      </c>
      <c r="I24" s="48">
        <v>0</v>
      </c>
      <c r="J24" s="48">
        <v>11876.093157262314</v>
      </c>
      <c r="K24" s="48">
        <v>0</v>
      </c>
      <c r="L24" s="48">
        <v>9.0949470177292824E-13</v>
      </c>
      <c r="M24" s="48">
        <v>6977.2047298916068</v>
      </c>
      <c r="N24" s="48">
        <v>0</v>
      </c>
      <c r="O24" s="48">
        <v>0</v>
      </c>
      <c r="P24" s="48">
        <v>17.099999999999998</v>
      </c>
      <c r="Q24" s="48">
        <v>19</v>
      </c>
      <c r="R24" s="48">
        <v>14</v>
      </c>
      <c r="S24" s="48">
        <v>14</v>
      </c>
      <c r="T24" s="48">
        <v>15.999999999999996</v>
      </c>
      <c r="U24" s="48">
        <v>12.199999999999998</v>
      </c>
      <c r="V24" s="48">
        <v>4.9000000000000004</v>
      </c>
      <c r="W24" s="49">
        <v>1000</v>
      </c>
      <c r="X24" s="49">
        <f>W24-Flows[[#This Row],[Column2]]</f>
        <v>752.63157894736901</v>
      </c>
      <c r="Y24" s="49">
        <v>74.680000000000007</v>
      </c>
      <c r="Z24" s="48">
        <f>Y24*Flows[[#This Row],[Column2]]</f>
        <v>18473.473684210487</v>
      </c>
    </row>
    <row r="25" spans="5:46">
      <c r="E25" t="s">
        <v>142</v>
      </c>
      <c r="F25" s="48">
        <v>247.36842105263096</v>
      </c>
      <c r="G25" s="48">
        <v>4898.8884273707063</v>
      </c>
      <c r="H25" s="48">
        <v>0</v>
      </c>
      <c r="I25" s="48">
        <v>0</v>
      </c>
      <c r="J25" s="48">
        <v>11876.093157262314</v>
      </c>
      <c r="K25" s="48">
        <v>0</v>
      </c>
      <c r="L25" s="48">
        <v>0</v>
      </c>
      <c r="M25" s="48">
        <v>6977.2047298916032</v>
      </c>
      <c r="N25" s="48">
        <v>0</v>
      </c>
      <c r="O25" s="48">
        <v>0</v>
      </c>
      <c r="P25" s="48">
        <v>16.199999999999992</v>
      </c>
      <c r="Q25" s="48">
        <v>18</v>
      </c>
      <c r="R25" s="48">
        <v>14</v>
      </c>
      <c r="S25" s="48">
        <v>16</v>
      </c>
      <c r="T25" s="48">
        <v>18</v>
      </c>
      <c r="U25" s="48">
        <v>12.199999999999992</v>
      </c>
      <c r="V25" s="48">
        <v>4</v>
      </c>
      <c r="W25" s="50">
        <v>1000</v>
      </c>
      <c r="X25" s="50">
        <f>W25-Flows[[#This Row],[Column2]]</f>
        <v>752.63157894736901</v>
      </c>
      <c r="Y25" s="50">
        <v>86.84</v>
      </c>
      <c r="Z25" s="51">
        <f>Y25*Flows[[#This Row],[Column2]]</f>
        <v>21481.473684210472</v>
      </c>
      <c r="AA25" s="40"/>
      <c r="AB25" s="40"/>
      <c r="AC25" s="40"/>
      <c r="AD25" s="40"/>
      <c r="AE25" s="40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0"/>
      <c r="AT25" s="40"/>
    </row>
    <row r="26" spans="5:46">
      <c r="E26" t="s">
        <v>143</v>
      </c>
      <c r="F26" s="48">
        <v>247.36842105263079</v>
      </c>
      <c r="G26" s="48">
        <v>5000</v>
      </c>
      <c r="H26" s="48">
        <v>0</v>
      </c>
      <c r="I26" s="48">
        <v>101.11157262929372</v>
      </c>
      <c r="J26" s="48">
        <v>11977.2047298916</v>
      </c>
      <c r="K26" s="48">
        <v>0</v>
      </c>
      <c r="L26" s="48">
        <v>101.11157262928646</v>
      </c>
      <c r="M26" s="48">
        <v>6977.2047298915995</v>
      </c>
      <c r="N26" s="48">
        <v>0</v>
      </c>
      <c r="O26" s="48">
        <v>0</v>
      </c>
      <c r="P26" s="48">
        <v>16.160322595958327</v>
      </c>
      <c r="Q26" s="48">
        <v>18</v>
      </c>
      <c r="R26" s="48">
        <v>14</v>
      </c>
      <c r="S26" s="48">
        <v>15</v>
      </c>
      <c r="T26" s="48">
        <v>17.199999999999992</v>
      </c>
      <c r="U26" s="48">
        <v>12.160322595958329</v>
      </c>
      <c r="V26" s="48">
        <v>4</v>
      </c>
      <c r="W26" s="49">
        <v>1000</v>
      </c>
      <c r="X26" s="49">
        <f>W26-Flows[[#This Row],[Column2]]</f>
        <v>752.63157894736923</v>
      </c>
      <c r="Y26" s="49">
        <v>97.79</v>
      </c>
      <c r="Z26" s="48">
        <f>Y26*Flows[[#This Row],[Column2]]</f>
        <v>24190.157894736767</v>
      </c>
      <c r="AA26" s="40"/>
      <c r="AB26" s="40"/>
      <c r="AC26" s="40"/>
      <c r="AD26" s="40"/>
      <c r="AE26" s="40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0"/>
      <c r="AT26" s="40"/>
    </row>
    <row r="27" spans="5:46">
      <c r="E27" t="s">
        <v>144</v>
      </c>
      <c r="F27" s="48">
        <v>248.3342528012395</v>
      </c>
      <c r="G27" s="48">
        <v>4169.5414019518703</v>
      </c>
      <c r="H27" s="48">
        <v>830.45859804812608</v>
      </c>
      <c r="I27" s="48">
        <v>0</v>
      </c>
      <c r="J27" s="48">
        <v>11173.988112917679</v>
      </c>
      <c r="K27" s="48">
        <v>803.2166169739196</v>
      </c>
      <c r="L27" s="48">
        <v>0</v>
      </c>
      <c r="M27" s="48">
        <v>7004.4467109658062</v>
      </c>
      <c r="N27" s="48">
        <v>0</v>
      </c>
      <c r="O27" s="48">
        <v>27.241981074203068</v>
      </c>
      <c r="P27" s="48">
        <v>14.614823098204887</v>
      </c>
      <c r="Q27" s="48">
        <v>15.5</v>
      </c>
      <c r="R27" s="48">
        <v>14</v>
      </c>
      <c r="S27" s="48">
        <v>15</v>
      </c>
      <c r="T27" s="48">
        <v>15.5</v>
      </c>
      <c r="U27" s="48">
        <v>12.514823098204888</v>
      </c>
      <c r="V27" s="48">
        <v>2.1</v>
      </c>
      <c r="W27" s="50">
        <v>1000</v>
      </c>
      <c r="X27" s="50">
        <f>W27-Flows[[#This Row],[Column2]]</f>
        <v>751.66574719876053</v>
      </c>
      <c r="Y27" s="50">
        <v>91.29</v>
      </c>
      <c r="Z27" s="51">
        <f>Y27*Flows[[#This Row],[Column2]]</f>
        <v>22670.433938225156</v>
      </c>
    </row>
    <row r="28" spans="5:46">
      <c r="E28" t="s">
        <v>145</v>
      </c>
      <c r="F28" s="48">
        <v>248.3342528012395</v>
      </c>
      <c r="G28" s="48">
        <v>4169.5414019518703</v>
      </c>
      <c r="H28" s="48">
        <v>0</v>
      </c>
      <c r="I28" s="48">
        <v>0</v>
      </c>
      <c r="J28" s="48">
        <v>11173.988112917679</v>
      </c>
      <c r="K28" s="48">
        <v>0</v>
      </c>
      <c r="L28" s="48">
        <v>0</v>
      </c>
      <c r="M28" s="48">
        <v>7004.4467109658062</v>
      </c>
      <c r="N28" s="48">
        <v>0</v>
      </c>
      <c r="O28" s="48">
        <v>0</v>
      </c>
      <c r="P28" s="48">
        <v>15.014823098204888</v>
      </c>
      <c r="Q28" s="48">
        <v>15.5</v>
      </c>
      <c r="R28" s="48">
        <v>14</v>
      </c>
      <c r="S28" s="48">
        <v>14</v>
      </c>
      <c r="T28" s="48">
        <v>15.5</v>
      </c>
      <c r="U28" s="48">
        <v>12.514823098204888</v>
      </c>
      <c r="V28" s="48">
        <v>2.5</v>
      </c>
      <c r="W28" s="49">
        <v>1000</v>
      </c>
      <c r="X28" s="49">
        <f>W28-Flows[[#This Row],[Column2]]</f>
        <v>751.66574719876053</v>
      </c>
      <c r="Y28" s="49">
        <v>99.07</v>
      </c>
      <c r="Z28" s="48">
        <f>Y28*Flows[[#This Row],[Column2]]</f>
        <v>24602.474425018794</v>
      </c>
    </row>
    <row r="29" spans="5:46">
      <c r="E29" t="s">
        <v>146</v>
      </c>
      <c r="F29" s="48">
        <v>248.3342528012395</v>
      </c>
      <c r="G29" s="48">
        <v>4169.5414019518703</v>
      </c>
      <c r="H29" s="48">
        <v>0</v>
      </c>
      <c r="I29" s="48">
        <v>0</v>
      </c>
      <c r="J29" s="48">
        <v>11173.988112917679</v>
      </c>
      <c r="K29" s="48">
        <v>0</v>
      </c>
      <c r="L29" s="48">
        <v>0</v>
      </c>
      <c r="M29" s="48">
        <v>7004.4467109658062</v>
      </c>
      <c r="N29" s="48">
        <v>0</v>
      </c>
      <c r="O29" s="48">
        <v>0</v>
      </c>
      <c r="P29" s="48">
        <v>15.414823098204888</v>
      </c>
      <c r="Q29" s="48">
        <v>15.5</v>
      </c>
      <c r="R29" s="48">
        <v>14</v>
      </c>
      <c r="S29" s="48">
        <v>14</v>
      </c>
      <c r="T29" s="48">
        <v>15.5</v>
      </c>
      <c r="U29" s="48">
        <v>12.514823098204888</v>
      </c>
      <c r="V29" s="48">
        <v>2.9</v>
      </c>
      <c r="W29" s="50">
        <v>1000</v>
      </c>
      <c r="X29" s="50">
        <f>W29-Flows[[#This Row],[Column2]]</f>
        <v>751.66574719876053</v>
      </c>
      <c r="Y29" s="50">
        <v>103.56</v>
      </c>
      <c r="Z29" s="51">
        <f>Y29*Flows[[#This Row],[Column2]]</f>
        <v>25717.495220096363</v>
      </c>
    </row>
    <row r="30" spans="5:46">
      <c r="E30" t="s">
        <v>147</v>
      </c>
      <c r="F30" s="48">
        <v>200</v>
      </c>
      <c r="G30" s="48">
        <v>4169.5414019518703</v>
      </c>
      <c r="H30" s="48">
        <v>0</v>
      </c>
      <c r="I30" s="48">
        <v>0</v>
      </c>
      <c r="J30" s="48">
        <v>9810.6856516514817</v>
      </c>
      <c r="K30" s="48">
        <v>1363.3024612661995</v>
      </c>
      <c r="L30" s="48">
        <v>0</v>
      </c>
      <c r="M30" s="48">
        <v>5641.1442496996087</v>
      </c>
      <c r="N30" s="48">
        <v>1363.3024612661975</v>
      </c>
      <c r="O30" s="48">
        <v>0</v>
      </c>
      <c r="P30" s="48">
        <v>15.500000000000004</v>
      </c>
      <c r="Q30" s="48">
        <v>15.5</v>
      </c>
      <c r="R30" s="48">
        <v>14</v>
      </c>
      <c r="S30" s="48">
        <v>14</v>
      </c>
      <c r="T30" s="48">
        <v>15.5</v>
      </c>
      <c r="U30" s="48">
        <v>12.100000000000003</v>
      </c>
      <c r="V30" s="48">
        <v>3.4</v>
      </c>
      <c r="W30" s="49">
        <v>1000</v>
      </c>
      <c r="X30" s="49">
        <f>W30-Flows[[#This Row],[Column2]]</f>
        <v>800</v>
      </c>
      <c r="Y30" s="49">
        <v>108.67</v>
      </c>
      <c r="Z30" s="48">
        <f>Y30*Flows[[#This Row],[Column2]]</f>
        <v>21734</v>
      </c>
    </row>
    <row r="31" spans="5:46">
      <c r="E31" t="s">
        <v>148</v>
      </c>
      <c r="F31" s="48">
        <v>200</v>
      </c>
      <c r="G31" s="48">
        <v>2564.1564771361736</v>
      </c>
      <c r="H31" s="48">
        <v>1605.3849248156985</v>
      </c>
      <c r="I31" s="48">
        <v>0</v>
      </c>
      <c r="J31" s="48">
        <v>8205.3007268357833</v>
      </c>
      <c r="K31" s="48">
        <v>1605.3849248156971</v>
      </c>
      <c r="L31" s="48">
        <v>0</v>
      </c>
      <c r="M31" s="48">
        <v>5641.1442496996087</v>
      </c>
      <c r="N31" s="48">
        <v>0</v>
      </c>
      <c r="O31" s="48">
        <v>0</v>
      </c>
      <c r="P31" s="48">
        <v>15.500000000000007</v>
      </c>
      <c r="Q31" s="48">
        <v>15.5</v>
      </c>
      <c r="R31" s="48">
        <v>14</v>
      </c>
      <c r="S31" s="48">
        <v>15</v>
      </c>
      <c r="T31" s="48">
        <v>15.5</v>
      </c>
      <c r="U31" s="48">
        <v>13.000000000000007</v>
      </c>
      <c r="V31" s="48">
        <v>2.5</v>
      </c>
      <c r="W31" s="50">
        <v>1000</v>
      </c>
      <c r="X31" s="50">
        <f>W31-Flows[[#This Row],[Column2]]</f>
        <v>800</v>
      </c>
      <c r="Y31" s="50">
        <v>98.73</v>
      </c>
      <c r="Z31" s="51">
        <f>Y31*Flows[[#This Row],[Column2]]</f>
        <v>19746</v>
      </c>
    </row>
    <row r="32" spans="5:46">
      <c r="E32" t="s">
        <v>149</v>
      </c>
      <c r="F32" s="48">
        <v>200</v>
      </c>
      <c r="G32" s="48">
        <v>2564.1564771361736</v>
      </c>
      <c r="H32" s="48">
        <v>0</v>
      </c>
      <c r="I32" s="48">
        <v>0</v>
      </c>
      <c r="J32" s="48">
        <v>8205.3007268357796</v>
      </c>
      <c r="K32" s="48">
        <v>3.637978807091713E-12</v>
      </c>
      <c r="L32" s="48">
        <v>0</v>
      </c>
      <c r="M32" s="48">
        <v>5641.1442496996087</v>
      </c>
      <c r="N32" s="48">
        <v>0</v>
      </c>
      <c r="O32" s="48">
        <v>0</v>
      </c>
      <c r="P32" s="48">
        <v>14.700000000000014</v>
      </c>
      <c r="Q32" s="48">
        <v>15.5</v>
      </c>
      <c r="R32" s="48">
        <v>14</v>
      </c>
      <c r="S32" s="48">
        <v>15</v>
      </c>
      <c r="T32" s="48">
        <v>15.5</v>
      </c>
      <c r="U32" s="48">
        <v>13.000000000000014</v>
      </c>
      <c r="V32" s="48">
        <v>1.7</v>
      </c>
      <c r="W32" s="49">
        <v>1000</v>
      </c>
      <c r="X32" s="49">
        <f>W32-Flows[[#This Row],[Column2]]</f>
        <v>800</v>
      </c>
      <c r="Y32" s="49">
        <v>91.91</v>
      </c>
      <c r="Z32" s="48">
        <f>Y32*Flows[[#This Row],[Column2]]</f>
        <v>18382</v>
      </c>
    </row>
    <row r="33" spans="5:26">
      <c r="E33" t="s">
        <v>150</v>
      </c>
      <c r="F33" s="48">
        <v>200</v>
      </c>
      <c r="G33" s="48">
        <v>2564.1564771361736</v>
      </c>
      <c r="H33" s="48">
        <v>0</v>
      </c>
      <c r="I33" s="48">
        <v>0</v>
      </c>
      <c r="J33" s="48">
        <v>8205.3007268357833</v>
      </c>
      <c r="K33" s="48">
        <v>0</v>
      </c>
      <c r="L33" s="48">
        <v>0</v>
      </c>
      <c r="M33" s="48">
        <v>5641.1442496996087</v>
      </c>
      <c r="N33" s="48">
        <v>0</v>
      </c>
      <c r="O33" s="48">
        <v>0</v>
      </c>
      <c r="P33" s="48">
        <v>15.500000000000007</v>
      </c>
      <c r="Q33" s="48">
        <v>15.5</v>
      </c>
      <c r="R33" s="48">
        <v>14</v>
      </c>
      <c r="S33" s="48">
        <v>14</v>
      </c>
      <c r="T33" s="48">
        <v>15.5</v>
      </c>
      <c r="U33" s="48">
        <v>13.000000000000007</v>
      </c>
      <c r="V33" s="48">
        <v>2.5</v>
      </c>
      <c r="W33" s="50">
        <v>1000</v>
      </c>
      <c r="X33" s="50">
        <f>W33-Flows[[#This Row],[Column2]]</f>
        <v>800</v>
      </c>
      <c r="Y33" s="50">
        <v>53.34</v>
      </c>
      <c r="Z33" s="51">
        <f>Y33*Flows[[#This Row],[Column2]]</f>
        <v>10668</v>
      </c>
    </row>
    <row r="34" spans="5:26">
      <c r="E34" t="s">
        <v>151</v>
      </c>
      <c r="F34" s="48">
        <v>200</v>
      </c>
      <c r="G34" s="48">
        <v>2564.1564771361755</v>
      </c>
      <c r="H34" s="48">
        <v>0</v>
      </c>
      <c r="I34" s="48">
        <v>0</v>
      </c>
      <c r="J34" s="48">
        <v>8205.3007268357833</v>
      </c>
      <c r="K34" s="48">
        <v>0</v>
      </c>
      <c r="L34" s="48">
        <v>0</v>
      </c>
      <c r="M34" s="48">
        <v>5641.1442496996087</v>
      </c>
      <c r="N34" s="48">
        <v>0</v>
      </c>
      <c r="O34" s="48">
        <v>0</v>
      </c>
      <c r="P34" s="48">
        <v>15.200000000000006</v>
      </c>
      <c r="Q34" s="48">
        <v>15.5</v>
      </c>
      <c r="R34" s="48">
        <v>14</v>
      </c>
      <c r="S34" s="48">
        <v>15</v>
      </c>
      <c r="T34" s="48">
        <v>15.5</v>
      </c>
      <c r="U34" s="48">
        <v>13.000000000000007</v>
      </c>
      <c r="V34" s="48">
        <v>2.2000000000000002</v>
      </c>
      <c r="W34" s="55">
        <v>1000</v>
      </c>
      <c r="X34" s="55">
        <f>W34-Flows[[#This Row],[Column2]]</f>
        <v>800</v>
      </c>
      <c r="Y34" s="55">
        <v>48.72</v>
      </c>
      <c r="Z34" s="56">
        <f>Y34*Flows[[#This Row],[Column2]]</f>
        <v>9744</v>
      </c>
    </row>
  </sheetData>
  <phoneticPr fontId="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3" name="Button 3">
              <controlPr defaultSize="0" print="0" autoFill="0" autoPict="0" macro="[0]!RefreshQuery">
                <anchor moveWithCells="1" sizeWithCells="1">
                  <from>
                    <xdr:col>3</xdr:col>
                    <xdr:colOff>95250</xdr:colOff>
                    <xdr:row>5</xdr:row>
                    <xdr:rowOff>28575</xdr:rowOff>
                  </from>
                  <to>
                    <xdr:col>3</xdr:col>
                    <xdr:colOff>1066800</xdr:colOff>
                    <xdr:row>5</xdr:row>
                    <xdr:rowOff>361950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C066DF19-0A5E-43A9-A6BB-564067144317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'Power and Flow'!W11:W34</xm:f>
              <xm:sqref>W8</xm:sqref>
            </x14:sparkline>
            <x14:sparkline>
              <xm:f>'Power and Flow'!X11:X34</xm:f>
              <xm:sqref>X8</xm:sqref>
            </x14:sparkline>
          </x14:sparklines>
        </x14:sparklineGroup>
        <x14:sparklineGroup displayEmptyCellsAs="gap" xr2:uid="{F39368FB-861C-421A-9D39-040E6FEEAC44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'Power and Flow'!F11:F34</xm:f>
              <xm:sqref>F8</xm:sqref>
            </x14:sparkline>
            <x14:sparkline>
              <xm:f>'Power and Flow'!G11:G34</xm:f>
              <xm:sqref>G8</xm:sqref>
            </x14:sparkline>
            <x14:sparkline>
              <xm:f>'Power and Flow'!H11:H34</xm:f>
              <xm:sqref>H8</xm:sqref>
            </x14:sparkline>
            <x14:sparkline>
              <xm:f>'Power and Flow'!I11:I34</xm:f>
              <xm:sqref>I8</xm:sqref>
            </x14:sparkline>
            <x14:sparkline>
              <xm:f>'Power and Flow'!J11:J34</xm:f>
              <xm:sqref>J8</xm:sqref>
            </x14:sparkline>
            <x14:sparkline>
              <xm:f>'Power and Flow'!K11:K34</xm:f>
              <xm:sqref>K8</xm:sqref>
            </x14:sparkline>
            <x14:sparkline>
              <xm:f>'Power and Flow'!L11:L34</xm:f>
              <xm:sqref>L8</xm:sqref>
            </x14:sparkline>
            <x14:sparkline>
              <xm:f>'Power and Flow'!M11:M34</xm:f>
              <xm:sqref>M8</xm:sqref>
            </x14:sparkline>
            <x14:sparkline>
              <xm:f>'Power and Flow'!N11:N34</xm:f>
              <xm:sqref>N8</xm:sqref>
            </x14:sparkline>
            <x14:sparkline>
              <xm:f>'Power and Flow'!O11:O34</xm:f>
              <xm:sqref>O8</xm:sqref>
            </x14:sparkline>
            <x14:sparkline>
              <xm:f>'Power and Flow'!P11:P34</xm:f>
              <xm:sqref>P8</xm:sqref>
            </x14:sparkline>
            <x14:sparkline>
              <xm:f>'Power and Flow'!Q11:Q34</xm:f>
              <xm:sqref>Q8</xm:sqref>
            </x14:sparkline>
            <x14:sparkline>
              <xm:f>'Power and Flow'!R11:R34</xm:f>
              <xm:sqref>R8</xm:sqref>
            </x14:sparkline>
            <x14:sparkline>
              <xm:f>'Power and Flow'!S11:S34</xm:f>
              <xm:sqref>S8</xm:sqref>
            </x14:sparkline>
            <x14:sparkline>
              <xm:f>'Power and Flow'!T11:T34</xm:f>
              <xm:sqref>T8</xm:sqref>
            </x14:sparkline>
            <x14:sparkline>
              <xm:f>'Power and Flow'!U11:U34</xm:f>
              <xm:sqref>U8</xm:sqref>
            </x14:sparkline>
            <x14:sparkline>
              <xm:f>'Power and Flow'!V11:V34</xm:f>
              <xm:sqref>V8</xm:sqref>
            </x14:sparkline>
            <x14:sparkline>
              <xm:f>'Power and Flow'!Y11:Y34</xm:f>
              <xm:sqref>Y8</xm:sqref>
            </x14:sparkline>
            <x14:sparkline>
              <xm:f>'Power and Flow'!Z11:Z34</xm:f>
              <xm:sqref>Z8</xm:sqref>
            </x14:sparkline>
          </x14:sparklines>
        </x14:sparklineGroup>
      </x14:sparklineGroup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2E88E24-AFF1-4856-B4E7-4CA4114D0D5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Inputs</vt:lpstr>
      <vt:lpstr>Power and Flow</vt:lpstr>
      <vt:lpstr>FolderPath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Pavicevic, Matija</dc:creator>
  <cp:lastModifiedBy>Pavicevic, Matija</cp:lastModifiedBy>
  <dcterms:created xsi:type="dcterms:W3CDTF">2024-06-18T13:16:56Z</dcterms:created>
  <dcterms:modified xsi:type="dcterms:W3CDTF">2024-07-02T17:29:39Z</dcterms:modified>
</cp:coreProperties>
</file>