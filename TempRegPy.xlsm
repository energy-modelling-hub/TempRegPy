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E48EC32B-1CFE-4802-AAEA-96814E580B05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7" l="1" a="1"/>
  <c r="AA11" i="7" s="1"/>
  <c r="AA9" i="7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26" i="7" l="1"/>
  <c r="AB18" i="7"/>
  <c r="AB33" i="7"/>
  <c r="AB25" i="7"/>
  <c r="AB17" i="7"/>
  <c r="AB32" i="7"/>
  <c r="AB31" i="7"/>
  <c r="AB23" i="7"/>
  <c r="AB15" i="7"/>
  <c r="AB24" i="7"/>
  <c r="AB30" i="7"/>
  <c r="AB22" i="7"/>
  <c r="AB14" i="7"/>
  <c r="AB34" i="7"/>
  <c r="AB16" i="7"/>
  <c r="AB29" i="7"/>
  <c r="AB21" i="7"/>
  <c r="AB13" i="7"/>
  <c r="AB28" i="7"/>
  <c r="AB20" i="7"/>
  <c r="AB12" i="7"/>
  <c r="AB11" i="7"/>
  <c r="AB27" i="7"/>
  <c r="AB19" i="7"/>
  <c r="G3" i="7" a="1"/>
  <c r="G3" i="7" s="1"/>
  <c r="AB9" i="7" l="1"/>
  <c r="H90" i="1"/>
  <c r="H91" i="1"/>
  <c r="H92" i="1"/>
  <c r="H93" i="1"/>
  <c r="H94" i="1"/>
  <c r="H95" i="1"/>
  <c r="G28" i="1"/>
  <c r="H28" i="1" s="1"/>
  <c r="H45" i="1" l="1"/>
  <c r="H53" i="1"/>
  <c r="H70" i="1"/>
  <c r="H74" i="1"/>
  <c r="H36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H83" i="1"/>
  <c r="H82" i="1"/>
  <c r="G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<sst xmlns="http://schemas.openxmlformats.org/spreadsheetml/2006/main" count="511" uniqueCount="288">
  <si>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</si>
  <si>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</si>
  <si>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</si>
  <si>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</si>
  <si>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</si>
  <si>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</si>
  <si>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</si>
  <si>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</si>
  <si>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</si>
  <si>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</si>
  <si>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</si>
  <si>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</si>
  <si>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</si>
  <si>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</si>
  <si>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</si>
  <si>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</si>
  <si>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</si>
  <si>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</si>
  <si>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</si>
  <si>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</si>
  <si>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</si>
  <si>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</si>
  <si>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</si>
  <si>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</si>
  <si>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</si>
  <si>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</si>
  <si>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</si>
  <si>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</si>
  <si>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</si>
  <si>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</si>
  <si>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</si>
  <si>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</si>
  <si>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</si>
  <si>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</si>
  <si>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</si>
  <si>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</si>
  <si>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</si>
  <si>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</si>
  <si>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</si>
  <si>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</si>
  <si>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</si>
  <si>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</si>
  <si>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</si>
  <si>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</si>
  <si>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</si>
  <si>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</si>
  <si>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</si>
  <si>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</si>
  <si>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</si>
  <si>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</si>
  <si>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</si>
  <si>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</si>
  <si>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</si>
  <si>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</si>
  <si>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</si>
  <si>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</si>
  <si>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</si>
  <si>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</si>
  <si>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</si>
  <si>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</si>
  <si>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</si>
  <si>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</si>
  <si>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</si>
  <si>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</si>
  <si>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</si>
  <si>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</si>
  <si>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</si>
  <si>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</si>
  <si>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</si>
  <si>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</si>
  <si>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</si>
  <si>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</si>
  <si>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</si>
  <si>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</si>
  <si>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</si>
  <si>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</si>
  <si>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</si>
  <si>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</si>
  <si>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</si>
  <si>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</si>
  <si>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</si>
  <si>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</si>
  <si>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</si>
  <si>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</si>
  <si>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</si>
  <si>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</si>
  <si>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</si>
  <si>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</si>
  <si>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</si>
  <si>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</si>
  <si>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</si>
  <si>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</si>
  <si>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</si>
  <si>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</si>
  <si>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</si>
  <si>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</si>
  <si>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</si>
  <si>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</si>
  <si>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</si>
  <si>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</si>
  <si>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</si>
  <si>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</si>
  <si>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</si>
  <si>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</si>
  <si>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</si>
  <si>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</si>
  <si>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</si>
  <si>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</si>
  <si>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</si>
  <si>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</si>
  <si>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</si>
  <si>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</si>
  <si>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</si>
  <si>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</si>
  <si>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</si>
  <si>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</si>
  <si>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</si>
  <si>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</si>
  <si>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</si>
  <si>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</si>
  <si>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</si>
  <si>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</si>
  <si>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</si>
  <si>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</si>
  <si>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</si>
  <si>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</si>
  <si>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</si>
  <si>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</si>
  <si>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</si>
  <si>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</si>
  <si>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</si>
  <si>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</si>
  <si>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</si>
  <si>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</si>
  <si>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</si>
  <si>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</si>
  <si>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</si>
  <si>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</si>
  <si>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</si>
  <si>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</si>
  <si>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</si>
  <si>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</si>
  <si>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</si>
  <si>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</si>
  <si>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</si>
  <si>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</si>
  <si>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</si>
  <si>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</si>
  <si>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</si>
  <si>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</si>
  <si>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</si>
  <si>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</si>
  <si>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</si>
  <si>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</si>
  <si>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</si>
  <si>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</si>
  <si>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</si>
  <si>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</si>
  <si>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</si>
  <si>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</si>
  <si>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</si>
  <si>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</si>
  <si>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</si>
  <si>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</si>
  <si>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</si>
  <si>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</si>
  <si>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</si>
  <si>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</si>
  <si>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</si>
  <si>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</si>
  <si>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</si>
  <si>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</si>
  <si>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</si>
  <si>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</si>
  <si>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</si>
  <si>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</si>
  <si>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</si>
  <si>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</si>
  <si>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</si>
  <si>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</si>
  <si>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</si>
  <si>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</si>
  <si>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</si>
  <si>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</si>
  <si>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</si>
  <si>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</si>
  <si>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</si>
  <si>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</si>
  <si>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</si>
  <si>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</si>
  <si>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</si>
  <si>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</si>
  <si>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</si>
  <si>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</si>
  <si>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</si>
  <si>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</si>
  <si>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</si>
  <si>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</si>
  <si>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</si>
  <si>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</si>
  <si>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</si>
  <si>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</si>
  <si>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</si>
  <si>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</si>
  <si>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</si>
  <si>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</si>
  <si>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v0.1.0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</si>
  <si>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</si>
  <si>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</si>
  <si>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</si>
  <si>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</si>
  <si>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</si>
  <si>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</si>
  <si>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</si>
  <si>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</si>
  <si>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</si>
  <si>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</si>
  <si>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</si>
  <si>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</si>
  <si>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</si>
  <si>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</si>
  <si>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</si>
  <si>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</si>
  <si>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</si>
  <si>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</si>
  <si>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</si>
  <si>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</si>
  <si>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</si>
  <si>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</si>
  <si>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</si>
  <si>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</si>
  <si>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</si>
  <si>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</si>
  <si>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</si>
  <si>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</si>
  <si>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</si>
  <si>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</si>
  <si>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</si>
  <si>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</si>
  <si>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</si>
  <si>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</si>
  <si>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</si>
  <si>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</si>
  <si>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</si>
  <si>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</si>
  <si>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</si>
  <si>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</si>
  <si>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</si>
  <si>
    <t>Bypass release number of Total Up and Down cycles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</si>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</sst>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0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7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3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18"/>
    <tableColumn id="50" xr3:uid="{AA0C2BD9-7C93-4912-AA6D-8BA6A79CA8FB}" uniqueName="50" name="q_bp_ramp_up" queryTableFieldId="115" dataDxfId="17"/>
    <tableColumn id="51" xr3:uid="{89936BF6-E129-46E2-9E73-958D5ED6F4D5}" uniqueName="51" name="q_bp_rr_down_change" queryTableFieldId="116" dataDxfId="16"/>
    <tableColumn id="52" xr3:uid="{FAF80359-7339-43D4-9355-3E02E8F66C38}" uniqueName="52" name="q_bp_rr_up_change" queryTableFieldId="117" dataDxfId="15"/>
    <tableColumn id="53" xr3:uid="{61240F60-100C-4FCA-9359-60F0C4915F0E}" uniqueName="53" name="q_gg" queryTableFieldId="118" dataDxfId="14"/>
    <tableColumn id="54" xr3:uid="{BC98FC23-3CBF-4558-9152-ACBAD17F0133}" uniqueName="54" name="q_gg_ramp_down" queryTableFieldId="119" dataDxfId="13"/>
    <tableColumn id="55" xr3:uid="{EE83055B-9623-4CFA-92D9-047365FEA812}" uniqueName="55" name="q_gg_ramp_up" queryTableFieldId="120" dataDxfId="12"/>
    <tableColumn id="56" xr3:uid="{5F51997C-B2BF-49B5-B54B-9E77CFE8C400}" uniqueName="56" name="q_in_flow" queryTableFieldId="121" dataDxfId="11"/>
    <tableColumn id="57" xr3:uid="{B4DF2E48-3152-4EC3-B269-A02AD715AC60}" uniqueName="57" name="q_out_flow" queryTableFieldId="122" dataDxfId="10"/>
    <tableColumn id="58" xr3:uid="{31AD7833-F7E1-460D-A8C3-77C023D0A7C9}" uniqueName="58" name="q_sink" queryTableFieldId="123" dataDxfId="9"/>
    <tableColumn id="59" xr3:uid="{373C05EE-8587-4F41-B806-13750CE647E5}" uniqueName="59" name="q_source" queryTableFieldId="124" dataDxfId="8"/>
    <tableColumn id="60" xr3:uid="{C22A4875-A0A9-4201-90AE-F9A4F1D7E443}" uniqueName="60" name="q_tot" queryTableFieldId="125" dataDxfId="7"/>
    <tableColumn id="61" xr3:uid="{77406859-CEEA-42A8-8FF9-058C58D695C1}" uniqueName="61" name="q_tot_ramp_down" queryTableFieldId="126" dataDxfId="6"/>
    <tableColumn id="62" xr3:uid="{54B5D12C-77CE-49A0-932E-1C259957F885}" uniqueName="62" name="q_tot_ramp_up" queryTableFieldId="127" dataDxfId="5"/>
    <tableColumn id="63" xr3:uid="{61B5BD0F-C1C3-42F2-875E-F3BC219A3291}" uniqueName="63" name="q_tur" queryTableFieldId="128" dataDxfId="4"/>
    <tableColumn id="64" xr3:uid="{767C8A97-62FF-4D21-AAE1-7F07D9E71630}" uniqueName="64" name="q_tur_ramp_down" queryTableFieldId="129" dataDxfId="3"/>
    <tableColumn id="65" xr3:uid="{A5AA19B3-EEF9-4122-9721-C5D9B0ABD663}" uniqueName="65" name="q_tur_ramp_up" queryTableFieldId="130" dataDxfId="2"/>
    <tableColumn id="66" xr3:uid="{FC54F758-AE2E-478C-A250-0C2ACA2A0E43}" uniqueName="66" name="T_plant" queryTableFieldId="13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7"/>
  <sheetViews>
    <sheetView tabSelected="1" workbookViewId="0">
      <selection activeCell="D14" sqref="D14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166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133</v>
      </c>
      <c r="E3" s="2" t="s">
        <v>134</v>
      </c>
      <c r="F3" s="2"/>
      <c r="G3" s="15" t="s">
        <v>206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135</v>
      </c>
      <c r="AE4" s="16" t="b">
        <v>1</v>
      </c>
    </row>
    <row r="5" spans="4:31" ht="15.75" customHeight="1">
      <c r="G5" s="15"/>
      <c r="H5" s="24"/>
      <c r="I5" s="25"/>
      <c r="AD5" s="16" t="s">
        <v>165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149</v>
      </c>
    </row>
    <row r="9" spans="4:31" ht="15.75" customHeight="1">
      <c r="D9" t="s">
        <v>122</v>
      </c>
      <c r="E9" s="2" t="s">
        <v>123</v>
      </c>
      <c r="F9" s="2"/>
      <c r="G9" s="4" t="b">
        <v>1</v>
      </c>
    </row>
    <row r="10" spans="4:31" ht="15.75" customHeight="1">
      <c r="D10" t="s">
        <v>147</v>
      </c>
      <c r="E10" s="2" t="s">
        <v>148</v>
      </c>
      <c r="F10" s="2"/>
      <c r="G10" s="4" t="s">
        <v>165</v>
      </c>
    </row>
    <row r="12" spans="4:31" ht="20.25" thickBot="1">
      <c r="D12" s="1" t="s">
        <v>173</v>
      </c>
      <c r="E12" s="7" t="s">
        <v>34</v>
      </c>
      <c r="F12" s="3" t="s">
        <v>166</v>
      </c>
      <c r="G12" s="3"/>
      <c r="H12" s="3" t="s">
        <v>178</v>
      </c>
      <c r="I12" s="3" t="s">
        <v>179</v>
      </c>
      <c r="J12" s="3" t="s">
        <v>180</v>
      </c>
      <c r="K12" s="3" t="s">
        <v>181</v>
      </c>
      <c r="L12" s="3" t="s">
        <v>182</v>
      </c>
      <c r="M12" s="3" t="s">
        <v>183</v>
      </c>
      <c r="N12" s="3" t="s">
        <v>184</v>
      </c>
      <c r="O12" s="3" t="s">
        <v>185</v>
      </c>
      <c r="P12" s="3" t="s">
        <v>186</v>
      </c>
      <c r="Q12" s="3" t="s">
        <v>187</v>
      </c>
      <c r="R12" s="3" t="s">
        <v>188</v>
      </c>
      <c r="S12" s="3" t="s">
        <v>189</v>
      </c>
      <c r="T12" s="3" t="s">
        <v>190</v>
      </c>
      <c r="U12" s="3" t="s">
        <v>191</v>
      </c>
      <c r="V12" s="3" t="s">
        <v>192</v>
      </c>
      <c r="W12" s="3" t="s">
        <v>193</v>
      </c>
      <c r="X12" s="3" t="s">
        <v>194</v>
      </c>
      <c r="Y12" s="3" t="s">
        <v>195</v>
      </c>
      <c r="Z12" s="3" t="s">
        <v>196</v>
      </c>
      <c r="AA12" s="3" t="s">
        <v>197</v>
      </c>
      <c r="AB12" s="3" t="s">
        <v>198</v>
      </c>
      <c r="AC12" s="3" t="s">
        <v>199</v>
      </c>
      <c r="AD12" s="3" t="s">
        <v>200</v>
      </c>
      <c r="AE12" s="3" t="s">
        <v>201</v>
      </c>
    </row>
    <row r="13" spans="4:31" ht="15.75" thickTop="1">
      <c r="D13" t="s">
        <v>228</v>
      </c>
      <c r="E13" s="2" t="s">
        <v>171</v>
      </c>
      <c r="H13" s="8" t="s">
        <v>167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229</v>
      </c>
      <c r="E14" s="2" t="s">
        <v>172</v>
      </c>
      <c r="H14" s="8" t="s">
        <v>169</v>
      </c>
      <c r="I14" s="8" t="s">
        <v>243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230</v>
      </c>
      <c r="E15" s="2" t="s">
        <v>174</v>
      </c>
      <c r="H15" s="8" t="s">
        <v>168</v>
      </c>
      <c r="I15" s="8" t="s">
        <v>175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231</v>
      </c>
      <c r="E16" s="2" t="s">
        <v>207</v>
      </c>
      <c r="H16" s="8" t="s">
        <v>170</v>
      </c>
      <c r="I16" s="8" t="s">
        <v>244</v>
      </c>
      <c r="J16" s="8" t="s">
        <v>245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232</v>
      </c>
      <c r="E17" s="2" t="s">
        <v>176</v>
      </c>
      <c r="H17" s="8" t="s">
        <v>177</v>
      </c>
      <c r="I17" s="8" t="s">
        <v>202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235</v>
      </c>
      <c r="E18" s="2" t="s">
        <v>236</v>
      </c>
      <c r="H18" s="8" t="s">
        <v>167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233</v>
      </c>
      <c r="E19" s="2" t="s">
        <v>234</v>
      </c>
      <c r="H19" s="8" t="s">
        <v>169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166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237</v>
      </c>
      <c r="E22" s="2"/>
      <c r="F22" s="2"/>
      <c r="G22" s="4" t="b">
        <v>1</v>
      </c>
    </row>
    <row r="23" spans="4:31">
      <c r="D23" s="18" t="s">
        <v>238</v>
      </c>
      <c r="E23" s="2" t="s">
        <v>241</v>
      </c>
      <c r="F23" s="8" t="s">
        <v>170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239</v>
      </c>
      <c r="E24" s="2" t="s">
        <v>242</v>
      </c>
      <c r="F24" s="8" t="s">
        <v>170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8" t="s">
        <v>246</v>
      </c>
      <c r="E25" s="2" t="s">
        <v>241</v>
      </c>
      <c r="F25" s="8" t="s">
        <v>244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8" t="s">
        <v>247</v>
      </c>
      <c r="E26" s="2" t="s">
        <v>241</v>
      </c>
      <c r="F26" s="8" t="s">
        <v>245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9" t="s">
        <v>240</v>
      </c>
      <c r="E27" s="2"/>
      <c r="F27" s="2"/>
    </row>
    <row r="28" spans="4:31">
      <c r="D28" s="18" t="s">
        <v>136</v>
      </c>
      <c r="E28" s="2" t="s">
        <v>63</v>
      </c>
      <c r="F28" s="8" t="s">
        <v>167</v>
      </c>
      <c r="G28" s="8">
        <f>235003/12.1</f>
        <v>19421.735537190085</v>
      </c>
      <c r="H28" s="29" t="str">
        <f>IF(G28&gt;SUM(H52:AE52)/12.1, "The total release of " &amp;G28&amp; " is higher than sum of maximum releases " &amp; SUM(H52:AE52)/12.1,"")</f>
        <v/>
      </c>
    </row>
    <row r="29" spans="4:31" ht="15.75" customHeight="1" thickBot="1">
      <c r="D29" s="19" t="s">
        <v>101</v>
      </c>
      <c r="E29" s="2" t="s">
        <v>102</v>
      </c>
      <c r="F29" s="2"/>
      <c r="G29" s="4" t="b">
        <v>1</v>
      </c>
    </row>
    <row r="30" spans="4:31">
      <c r="D30" s="18" t="s">
        <v>65</v>
      </c>
      <c r="E30" s="2" t="s">
        <v>64</v>
      </c>
      <c r="F30" s="8" t="s">
        <v>167</v>
      </c>
      <c r="G30" s="8">
        <v>2500</v>
      </c>
    </row>
    <row r="31" spans="4:31" ht="15.75" customHeight="1" thickBot="1">
      <c r="D31" s="19" t="s">
        <v>151</v>
      </c>
      <c r="E31" s="2" t="s">
        <v>99</v>
      </c>
      <c r="F31" s="2"/>
      <c r="G31" s="4" t="b">
        <v>1</v>
      </c>
    </row>
    <row r="32" spans="4:31">
      <c r="D32" s="18" t="s">
        <v>73</v>
      </c>
      <c r="E32" s="2" t="s">
        <v>66</v>
      </c>
      <c r="F32" s="8" t="s">
        <v>167</v>
      </c>
      <c r="G32" s="8">
        <v>15000</v>
      </c>
    </row>
    <row r="33" spans="4:31">
      <c r="D33" s="18" t="s">
        <v>72</v>
      </c>
      <c r="E33" s="2" t="s">
        <v>67</v>
      </c>
      <c r="F33" s="8" t="s">
        <v>167</v>
      </c>
      <c r="G33" s="8">
        <v>15000</v>
      </c>
    </row>
    <row r="34" spans="4:31">
      <c r="D34" s="18" t="s">
        <v>84</v>
      </c>
      <c r="E34" s="2" t="s">
        <v>78</v>
      </c>
      <c r="F34" s="8" t="s">
        <v>167</v>
      </c>
      <c r="G34" s="2"/>
      <c r="H34" s="8">
        <v>600</v>
      </c>
      <c r="I34" s="8">
        <v>600</v>
      </c>
      <c r="J34" s="8">
        <v>600</v>
      </c>
      <c r="K34" s="8">
        <v>600</v>
      </c>
      <c r="L34" s="8">
        <v>600</v>
      </c>
      <c r="M34" s="8">
        <v>600</v>
      </c>
      <c r="N34" s="8">
        <v>600</v>
      </c>
      <c r="O34" s="8">
        <v>600</v>
      </c>
      <c r="P34" s="8">
        <v>600</v>
      </c>
      <c r="Q34" s="8">
        <v>600</v>
      </c>
      <c r="R34" s="8">
        <v>600</v>
      </c>
      <c r="S34" s="8">
        <v>600</v>
      </c>
      <c r="T34" s="8">
        <v>600</v>
      </c>
      <c r="U34" s="8">
        <v>600</v>
      </c>
      <c r="V34" s="8">
        <v>600</v>
      </c>
      <c r="W34" s="8">
        <v>600</v>
      </c>
      <c r="X34" s="8">
        <v>600</v>
      </c>
      <c r="Y34" s="8">
        <v>600</v>
      </c>
      <c r="Z34" s="8">
        <v>600</v>
      </c>
      <c r="AA34" s="8">
        <v>600</v>
      </c>
      <c r="AB34" s="8">
        <v>600</v>
      </c>
      <c r="AC34" s="8">
        <v>600</v>
      </c>
      <c r="AD34" s="8">
        <v>600</v>
      </c>
      <c r="AE34" s="8">
        <v>600</v>
      </c>
    </row>
    <row r="35" spans="4:31">
      <c r="D35" s="18" t="s">
        <v>85</v>
      </c>
      <c r="E35" s="2" t="s">
        <v>79</v>
      </c>
      <c r="F35" s="8" t="s">
        <v>167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45" t="s">
        <v>107</v>
      </c>
      <c r="E36" s="2" t="s">
        <v>103</v>
      </c>
      <c r="F36" s="8" t="s">
        <v>167</v>
      </c>
      <c r="G36" s="4" t="b">
        <v>1</v>
      </c>
      <c r="H36" s="29" t="str">
        <f>IF(H73=AE73,"","Might cause infeasibility because Temperature delta between Glen Canyon and RM61 at H01 and H24 are not the same")</f>
        <v/>
      </c>
    </row>
    <row r="37" spans="4:31" ht="15.75" customHeight="1">
      <c r="D37" s="45" t="s">
        <v>157</v>
      </c>
      <c r="E37" s="2" t="s">
        <v>153</v>
      </c>
      <c r="F37" s="8" t="s">
        <v>167</v>
      </c>
      <c r="G37" s="8">
        <v>3</v>
      </c>
      <c r="H37" s="29"/>
    </row>
    <row r="38" spans="4:31" ht="15.75" customHeight="1">
      <c r="D38" s="45" t="s">
        <v>158</v>
      </c>
      <c r="E38" s="2" t="s">
        <v>154</v>
      </c>
      <c r="F38" s="8" t="s">
        <v>167</v>
      </c>
      <c r="G38" s="8">
        <v>3</v>
      </c>
      <c r="H38" s="44"/>
    </row>
    <row r="39" spans="4:31" ht="15.75" customHeight="1" thickBot="1">
      <c r="D39" s="43" t="s">
        <v>248</v>
      </c>
      <c r="E39" s="2" t="s">
        <v>249</v>
      </c>
      <c r="F39" s="8" t="s">
        <v>167</v>
      </c>
      <c r="G39" s="8">
        <v>4</v>
      </c>
      <c r="H39" s="44"/>
    </row>
    <row r="40" spans="4:31" ht="15.75" customHeight="1" thickBot="1">
      <c r="D40" s="19" t="s">
        <v>152</v>
      </c>
      <c r="E40" s="2" t="s">
        <v>98</v>
      </c>
      <c r="F40" s="2"/>
      <c r="G40" s="4" t="b">
        <v>1</v>
      </c>
    </row>
    <row r="41" spans="4:31">
      <c r="D41" s="18" t="s">
        <v>75</v>
      </c>
      <c r="E41" s="2" t="s">
        <v>68</v>
      </c>
      <c r="F41" s="8" t="s">
        <v>167</v>
      </c>
      <c r="G41" s="8">
        <v>1000</v>
      </c>
    </row>
    <row r="42" spans="4:31">
      <c r="D42" s="18" t="s">
        <v>74</v>
      </c>
      <c r="E42" s="2" t="s">
        <v>69</v>
      </c>
      <c r="F42" s="8" t="s">
        <v>167</v>
      </c>
      <c r="G42" s="8">
        <v>500</v>
      </c>
    </row>
    <row r="43" spans="4:31">
      <c r="D43" s="18" t="s">
        <v>86</v>
      </c>
      <c r="E43" s="2" t="s">
        <v>80</v>
      </c>
      <c r="F43" s="8" t="s">
        <v>167</v>
      </c>
      <c r="G43" s="2"/>
      <c r="H43" s="8">
        <v>2400</v>
      </c>
      <c r="I43" s="8">
        <v>2400</v>
      </c>
      <c r="J43" s="8">
        <v>2400</v>
      </c>
      <c r="K43" s="8">
        <v>2400</v>
      </c>
      <c r="L43" s="8">
        <v>2400</v>
      </c>
      <c r="M43" s="8">
        <v>2400</v>
      </c>
      <c r="N43" s="8">
        <v>2400</v>
      </c>
      <c r="O43" s="8">
        <v>2400</v>
      </c>
      <c r="P43" s="8">
        <v>2400</v>
      </c>
      <c r="Q43" s="8">
        <v>2400</v>
      </c>
      <c r="R43" s="8">
        <v>2400</v>
      </c>
      <c r="S43" s="8">
        <v>2400</v>
      </c>
      <c r="T43" s="8">
        <v>2400</v>
      </c>
      <c r="U43" s="8">
        <v>2400</v>
      </c>
      <c r="V43" s="8">
        <v>2400</v>
      </c>
      <c r="W43" s="8">
        <v>2400</v>
      </c>
      <c r="X43" s="8">
        <v>2400</v>
      </c>
      <c r="Y43" s="8">
        <v>2400</v>
      </c>
      <c r="Z43" s="8">
        <v>2400</v>
      </c>
      <c r="AA43" s="8">
        <v>2400</v>
      </c>
      <c r="AB43" s="8">
        <v>2400</v>
      </c>
      <c r="AC43" s="8">
        <v>2400</v>
      </c>
      <c r="AD43" s="8">
        <v>2400</v>
      </c>
      <c r="AE43" s="8">
        <v>2400</v>
      </c>
    </row>
    <row r="44" spans="4:31">
      <c r="D44" s="18" t="s">
        <v>87</v>
      </c>
      <c r="E44" s="2" t="s">
        <v>81</v>
      </c>
      <c r="F44" s="8" t="s">
        <v>167</v>
      </c>
      <c r="G44" s="2"/>
      <c r="H44" s="8">
        <v>25000</v>
      </c>
      <c r="I44" s="8">
        <v>25000</v>
      </c>
      <c r="J44" s="8">
        <v>25000</v>
      </c>
      <c r="K44" s="8">
        <v>25000</v>
      </c>
      <c r="L44" s="8">
        <v>25000</v>
      </c>
      <c r="M44" s="8">
        <v>25000</v>
      </c>
      <c r="N44" s="8">
        <v>25000</v>
      </c>
      <c r="O44" s="8">
        <v>25000</v>
      </c>
      <c r="P44" s="8">
        <v>25000</v>
      </c>
      <c r="Q44" s="8">
        <v>25000</v>
      </c>
      <c r="R44" s="8">
        <v>25000</v>
      </c>
      <c r="S44" s="8">
        <v>25000</v>
      </c>
      <c r="T44" s="8">
        <v>25000</v>
      </c>
      <c r="U44" s="8">
        <v>25000</v>
      </c>
      <c r="V44" s="8">
        <v>25000</v>
      </c>
      <c r="W44" s="8">
        <v>25000</v>
      </c>
      <c r="X44" s="8">
        <v>25000</v>
      </c>
      <c r="Y44" s="8">
        <v>25000</v>
      </c>
      <c r="Z44" s="8">
        <v>25000</v>
      </c>
      <c r="AA44" s="8">
        <v>25000</v>
      </c>
      <c r="AB44" s="8">
        <v>25000</v>
      </c>
      <c r="AC44" s="8">
        <v>25000</v>
      </c>
      <c r="AD44" s="8">
        <v>25000</v>
      </c>
      <c r="AE44" s="8">
        <v>25000</v>
      </c>
    </row>
    <row r="45" spans="4:31" ht="15.75" customHeight="1">
      <c r="D45" s="45" t="s">
        <v>108</v>
      </c>
      <c r="E45" s="2" t="s">
        <v>104</v>
      </c>
      <c r="F45" s="8" t="s">
        <v>167</v>
      </c>
      <c r="G45" s="4" t="b">
        <v>1</v>
      </c>
      <c r="H45" s="29" t="str">
        <f>IF(H73=AE73,"","Might cause infeasibility because Temperature delta between Glen Canyon and RM61 at H01 and H24 are not the same")</f>
        <v/>
      </c>
    </row>
    <row r="46" spans="4:31" ht="15.75" customHeight="1">
      <c r="D46" s="45" t="s">
        <v>159</v>
      </c>
      <c r="E46" s="2" t="s">
        <v>163</v>
      </c>
      <c r="F46" s="8" t="s">
        <v>167</v>
      </c>
      <c r="G46" s="8">
        <v>3</v>
      </c>
      <c r="H46" s="29"/>
    </row>
    <row r="47" spans="4:31" ht="15.75" customHeight="1" thickBot="1">
      <c r="D47" s="43" t="s">
        <v>160</v>
      </c>
      <c r="E47" s="2" t="s">
        <v>164</v>
      </c>
      <c r="F47" s="8" t="s">
        <v>167</v>
      </c>
      <c r="G47" s="8">
        <v>1</v>
      </c>
      <c r="H47" s="44"/>
    </row>
    <row r="48" spans="4:31" ht="15.75" customHeight="1" thickBot="1">
      <c r="D48" s="19" t="s">
        <v>150</v>
      </c>
      <c r="E48" s="2" t="s">
        <v>100</v>
      </c>
      <c r="F48" s="2"/>
      <c r="G48" s="4" t="b">
        <v>1</v>
      </c>
    </row>
    <row r="49" spans="4:31">
      <c r="D49" s="18" t="s">
        <v>77</v>
      </c>
      <c r="E49" s="2" t="s">
        <v>70</v>
      </c>
      <c r="F49" s="8" t="s">
        <v>167</v>
      </c>
      <c r="G49" s="8">
        <v>4000</v>
      </c>
    </row>
    <row r="50" spans="4:31">
      <c r="D50" s="18" t="s">
        <v>76</v>
      </c>
      <c r="E50" s="2" t="s">
        <v>71</v>
      </c>
      <c r="F50" s="8" t="s">
        <v>167</v>
      </c>
      <c r="G50" s="8">
        <v>2500</v>
      </c>
    </row>
    <row r="51" spans="4:31">
      <c r="D51" s="18" t="s">
        <v>88</v>
      </c>
      <c r="E51" s="2" t="s">
        <v>82</v>
      </c>
      <c r="F51" s="8" t="s">
        <v>167</v>
      </c>
      <c r="G51" s="2"/>
      <c r="H51" s="8">
        <v>7000</v>
      </c>
      <c r="I51" s="8">
        <v>7000</v>
      </c>
      <c r="J51" s="8">
        <v>7000</v>
      </c>
      <c r="K51" s="8">
        <v>7000</v>
      </c>
      <c r="L51" s="8">
        <v>7000</v>
      </c>
      <c r="M51" s="8">
        <v>7000</v>
      </c>
      <c r="N51" s="8">
        <v>7000</v>
      </c>
      <c r="O51" s="8">
        <v>7000</v>
      </c>
      <c r="P51" s="8">
        <v>7000</v>
      </c>
      <c r="Q51" s="8">
        <v>7000</v>
      </c>
      <c r="R51" s="8">
        <v>7000</v>
      </c>
      <c r="S51" s="8">
        <v>7000</v>
      </c>
      <c r="T51" s="8">
        <v>7000</v>
      </c>
      <c r="U51" s="8">
        <v>7000</v>
      </c>
      <c r="V51" s="8">
        <v>7000</v>
      </c>
      <c r="W51" s="8">
        <v>7000</v>
      </c>
      <c r="X51" s="8">
        <v>7000</v>
      </c>
      <c r="Y51" s="8">
        <v>7000</v>
      </c>
      <c r="Z51" s="8">
        <v>7000</v>
      </c>
      <c r="AA51" s="8">
        <v>7000</v>
      </c>
      <c r="AB51" s="8">
        <v>7000</v>
      </c>
      <c r="AC51" s="8">
        <v>7000</v>
      </c>
      <c r="AD51" s="8">
        <v>7000</v>
      </c>
      <c r="AE51" s="8">
        <v>7000</v>
      </c>
    </row>
    <row r="52" spans="4:31">
      <c r="D52" s="18" t="s">
        <v>89</v>
      </c>
      <c r="E52" s="2" t="s">
        <v>83</v>
      </c>
      <c r="F52" s="8" t="s">
        <v>167</v>
      </c>
      <c r="G52" s="2"/>
      <c r="H52" s="8">
        <v>12100</v>
      </c>
      <c r="I52" s="8">
        <v>12100</v>
      </c>
      <c r="J52" s="8">
        <v>12100</v>
      </c>
      <c r="K52" s="8">
        <v>12100</v>
      </c>
      <c r="L52" s="8">
        <v>12100</v>
      </c>
      <c r="M52" s="8">
        <v>12100</v>
      </c>
      <c r="N52" s="8">
        <v>12100</v>
      </c>
      <c r="O52" s="8">
        <v>12100</v>
      </c>
      <c r="P52" s="8">
        <v>12100</v>
      </c>
      <c r="Q52" s="8">
        <v>12100</v>
      </c>
      <c r="R52" s="8">
        <v>12100</v>
      </c>
      <c r="S52" s="8">
        <v>12100</v>
      </c>
      <c r="T52" s="8">
        <v>12100</v>
      </c>
      <c r="U52" s="8">
        <v>12100</v>
      </c>
      <c r="V52" s="8">
        <v>12100</v>
      </c>
      <c r="W52" s="8">
        <v>12100</v>
      </c>
      <c r="X52" s="8">
        <v>12100</v>
      </c>
      <c r="Y52" s="8">
        <v>12100</v>
      </c>
      <c r="Z52" s="8">
        <v>12100</v>
      </c>
      <c r="AA52" s="8">
        <v>12100</v>
      </c>
      <c r="AB52" s="8">
        <v>12100</v>
      </c>
      <c r="AC52" s="8">
        <v>12100</v>
      </c>
      <c r="AD52" s="8">
        <v>12100</v>
      </c>
      <c r="AE52" s="8">
        <v>12100</v>
      </c>
    </row>
    <row r="53" spans="4:31" ht="15.75" customHeight="1">
      <c r="D53" s="45" t="s">
        <v>109</v>
      </c>
      <c r="E53" s="2" t="s">
        <v>105</v>
      </c>
      <c r="F53" s="8" t="s">
        <v>167</v>
      </c>
      <c r="G53" s="4" t="b">
        <v>1</v>
      </c>
      <c r="H53" s="29" t="str">
        <f>IF(H73=AE73,"","Might cause infeasibility because Temperature delta between Glen Canyon and RM61 at H01 and H24 are not the same")</f>
        <v/>
      </c>
    </row>
    <row r="54" spans="4:31" ht="15.75" customHeight="1">
      <c r="D54" s="45" t="s">
        <v>155</v>
      </c>
      <c r="E54" s="2" t="s">
        <v>161</v>
      </c>
      <c r="F54" s="8" t="s">
        <v>167</v>
      </c>
      <c r="G54" s="8">
        <v>3</v>
      </c>
      <c r="H54" s="29"/>
    </row>
    <row r="55" spans="4:31" ht="15.75" customHeight="1" thickBot="1">
      <c r="D55" s="43" t="s">
        <v>156</v>
      </c>
      <c r="E55" s="2" t="s">
        <v>162</v>
      </c>
      <c r="F55" s="8" t="s">
        <v>167</v>
      </c>
      <c r="G55" s="8">
        <v>3</v>
      </c>
      <c r="H55" s="44"/>
    </row>
    <row r="56" spans="4:31" ht="15.75" customHeight="1" thickBot="1">
      <c r="D56" s="19" t="s">
        <v>208</v>
      </c>
      <c r="E56" s="2" t="s">
        <v>223</v>
      </c>
      <c r="F56" s="2"/>
      <c r="G56" s="4" t="b">
        <v>0</v>
      </c>
    </row>
    <row r="57" spans="4:31">
      <c r="D57" s="18" t="s">
        <v>209</v>
      </c>
      <c r="E57" s="2" t="s">
        <v>210</v>
      </c>
      <c r="F57" s="8" t="s">
        <v>169</v>
      </c>
      <c r="G57" s="8">
        <v>15000</v>
      </c>
    </row>
    <row r="58" spans="4:31">
      <c r="D58" s="18" t="s">
        <v>211</v>
      </c>
      <c r="E58" s="2" t="s">
        <v>212</v>
      </c>
      <c r="F58" s="8" t="s">
        <v>169</v>
      </c>
      <c r="G58" s="8">
        <v>15000</v>
      </c>
    </row>
    <row r="59" spans="4:31">
      <c r="D59" s="18" t="s">
        <v>213</v>
      </c>
      <c r="E59" s="2" t="s">
        <v>214</v>
      </c>
      <c r="F59" s="8" t="s">
        <v>169</v>
      </c>
      <c r="G59" s="2"/>
      <c r="H59" s="8">
        <v>6900</v>
      </c>
      <c r="I59" s="8">
        <v>6900</v>
      </c>
      <c r="J59" s="8">
        <v>6900</v>
      </c>
      <c r="K59" s="8">
        <v>6900</v>
      </c>
      <c r="L59" s="8">
        <v>6900</v>
      </c>
      <c r="M59" s="8">
        <v>6900</v>
      </c>
      <c r="N59" s="8">
        <v>6900</v>
      </c>
      <c r="O59" s="8">
        <v>6900</v>
      </c>
      <c r="P59" s="8">
        <v>6900</v>
      </c>
      <c r="Q59" s="8">
        <v>6900</v>
      </c>
      <c r="R59" s="8">
        <v>6900</v>
      </c>
      <c r="S59" s="8">
        <v>6900</v>
      </c>
      <c r="T59" s="8">
        <v>6900</v>
      </c>
      <c r="U59" s="8">
        <v>6900</v>
      </c>
      <c r="V59" s="8">
        <v>6900</v>
      </c>
      <c r="W59" s="8">
        <v>6900</v>
      </c>
      <c r="X59" s="8">
        <v>6900</v>
      </c>
      <c r="Y59" s="8">
        <v>6900</v>
      </c>
      <c r="Z59" s="8">
        <v>6900</v>
      </c>
      <c r="AA59" s="8">
        <v>6900</v>
      </c>
      <c r="AB59" s="8">
        <v>6900</v>
      </c>
      <c r="AC59" s="8">
        <v>6900</v>
      </c>
      <c r="AD59" s="8">
        <v>6900</v>
      </c>
      <c r="AE59" s="8">
        <v>6900</v>
      </c>
    </row>
    <row r="60" spans="4:31">
      <c r="D60" s="18" t="s">
        <v>215</v>
      </c>
      <c r="E60" s="2" t="s">
        <v>216</v>
      </c>
      <c r="F60" s="8" t="s">
        <v>169</v>
      </c>
      <c r="G60" s="2"/>
      <c r="H60" s="8">
        <v>12100</v>
      </c>
      <c r="I60" s="8">
        <v>12100</v>
      </c>
      <c r="J60" s="8">
        <v>12100</v>
      </c>
      <c r="K60" s="8">
        <v>12100</v>
      </c>
      <c r="L60" s="8">
        <v>12100</v>
      </c>
      <c r="M60" s="8">
        <v>12100</v>
      </c>
      <c r="N60" s="8">
        <v>12100</v>
      </c>
      <c r="O60" s="8">
        <v>12100</v>
      </c>
      <c r="P60" s="8">
        <v>12100</v>
      </c>
      <c r="Q60" s="8">
        <v>12100</v>
      </c>
      <c r="R60" s="8">
        <v>12100</v>
      </c>
      <c r="S60" s="8">
        <v>12100</v>
      </c>
      <c r="T60" s="8">
        <v>12100</v>
      </c>
      <c r="U60" s="8">
        <v>12100</v>
      </c>
      <c r="V60" s="8">
        <v>12100</v>
      </c>
      <c r="W60" s="8">
        <v>12100</v>
      </c>
      <c r="X60" s="8">
        <v>12100</v>
      </c>
      <c r="Y60" s="8">
        <v>12100</v>
      </c>
      <c r="Z60" s="8">
        <v>12100</v>
      </c>
      <c r="AA60" s="8">
        <v>12100</v>
      </c>
      <c r="AB60" s="8">
        <v>12100</v>
      </c>
      <c r="AC60" s="8">
        <v>12100</v>
      </c>
      <c r="AD60" s="8">
        <v>12100</v>
      </c>
      <c r="AE60" s="8">
        <v>12100</v>
      </c>
    </row>
    <row r="61" spans="4:31" ht="15.75" customHeight="1">
      <c r="D61" s="45" t="s">
        <v>217</v>
      </c>
      <c r="E61" s="2" t="s">
        <v>218</v>
      </c>
      <c r="F61" s="8" t="s">
        <v>169</v>
      </c>
      <c r="G61" s="4" t="b">
        <v>0</v>
      </c>
      <c r="H61" s="29"/>
    </row>
    <row r="62" spans="4:31" ht="15.75" customHeight="1">
      <c r="D62" s="45" t="s">
        <v>219</v>
      </c>
      <c r="E62" s="2" t="s">
        <v>220</v>
      </c>
      <c r="F62" s="8" t="s">
        <v>169</v>
      </c>
      <c r="G62" s="8">
        <v>3</v>
      </c>
      <c r="H62" s="29"/>
    </row>
    <row r="63" spans="4:31" ht="15.75" customHeight="1" thickBot="1">
      <c r="D63" s="43" t="s">
        <v>221</v>
      </c>
      <c r="E63" s="2" t="s">
        <v>222</v>
      </c>
      <c r="F63" s="8" t="s">
        <v>169</v>
      </c>
      <c r="G63" s="8">
        <v>3</v>
      </c>
      <c r="H63" s="44"/>
    </row>
    <row r="64" spans="4:31">
      <c r="D64" s="18" t="s">
        <v>213</v>
      </c>
      <c r="E64" s="2" t="s">
        <v>214</v>
      </c>
      <c r="F64" s="8" t="s">
        <v>243</v>
      </c>
      <c r="G64" s="2"/>
      <c r="H64" s="8">
        <v>100</v>
      </c>
      <c r="I64" s="8">
        <v>100</v>
      </c>
      <c r="J64" s="8">
        <v>100</v>
      </c>
      <c r="K64" s="8">
        <v>100</v>
      </c>
      <c r="L64" s="8">
        <v>100</v>
      </c>
      <c r="M64" s="8">
        <v>100</v>
      </c>
      <c r="N64" s="8">
        <v>100</v>
      </c>
      <c r="O64" s="8">
        <v>100</v>
      </c>
      <c r="P64" s="8">
        <v>100</v>
      </c>
      <c r="Q64" s="8">
        <v>100</v>
      </c>
      <c r="R64" s="8">
        <v>100</v>
      </c>
      <c r="S64" s="8">
        <v>100</v>
      </c>
      <c r="T64" s="8">
        <v>100</v>
      </c>
      <c r="U64" s="8">
        <v>100</v>
      </c>
      <c r="V64" s="8">
        <v>100</v>
      </c>
      <c r="W64" s="8">
        <v>100</v>
      </c>
      <c r="X64" s="8">
        <v>100</v>
      </c>
      <c r="Y64" s="8">
        <v>100</v>
      </c>
      <c r="Z64" s="8">
        <v>100</v>
      </c>
      <c r="AA64" s="8">
        <v>100</v>
      </c>
      <c r="AB64" s="8">
        <v>100</v>
      </c>
      <c r="AC64" s="8">
        <v>100</v>
      </c>
      <c r="AD64" s="8">
        <v>100</v>
      </c>
      <c r="AE64" s="8">
        <v>100</v>
      </c>
    </row>
    <row r="65" spans="4:31">
      <c r="D65" s="18" t="s">
        <v>215</v>
      </c>
      <c r="E65" s="2" t="s">
        <v>216</v>
      </c>
      <c r="F65" s="8" t="s">
        <v>243</v>
      </c>
      <c r="G65" s="2"/>
      <c r="H65" s="8">
        <v>12100</v>
      </c>
      <c r="I65" s="8">
        <v>12100</v>
      </c>
      <c r="J65" s="8">
        <v>12100</v>
      </c>
      <c r="K65" s="8">
        <v>12100</v>
      </c>
      <c r="L65" s="8">
        <v>12100</v>
      </c>
      <c r="M65" s="8">
        <v>12100</v>
      </c>
      <c r="N65" s="8">
        <v>12100</v>
      </c>
      <c r="O65" s="8">
        <v>12100</v>
      </c>
      <c r="P65" s="8">
        <v>12100</v>
      </c>
      <c r="Q65" s="8">
        <v>12100</v>
      </c>
      <c r="R65" s="8">
        <v>12100</v>
      </c>
      <c r="S65" s="8">
        <v>12100</v>
      </c>
      <c r="T65" s="8">
        <v>12100</v>
      </c>
      <c r="U65" s="8">
        <v>12100</v>
      </c>
      <c r="V65" s="8">
        <v>12100</v>
      </c>
      <c r="W65" s="8">
        <v>12100</v>
      </c>
      <c r="X65" s="8">
        <v>12100</v>
      </c>
      <c r="Y65" s="8">
        <v>12100</v>
      </c>
      <c r="Z65" s="8">
        <v>12100</v>
      </c>
      <c r="AA65" s="8">
        <v>12100</v>
      </c>
      <c r="AB65" s="8">
        <v>12100</v>
      </c>
      <c r="AC65" s="8">
        <v>12100</v>
      </c>
      <c r="AD65" s="8">
        <v>12100</v>
      </c>
      <c r="AE65" s="8">
        <v>12100</v>
      </c>
    </row>
    <row r="67" spans="4:31" ht="20.25" thickBot="1">
      <c r="D67" s="1" t="s">
        <v>1</v>
      </c>
      <c r="E67" s="7" t="s">
        <v>34</v>
      </c>
      <c r="F67" s="3" t="s">
        <v>166</v>
      </c>
      <c r="G67" s="7"/>
      <c r="H67" s="3" t="s">
        <v>9</v>
      </c>
      <c r="I67" s="3" t="s">
        <v>10</v>
      </c>
      <c r="J67" s="3" t="s">
        <v>11</v>
      </c>
      <c r="K67" s="3" t="s">
        <v>12</v>
      </c>
      <c r="L67" s="3" t="s">
        <v>13</v>
      </c>
      <c r="M67" s="3" t="s">
        <v>14</v>
      </c>
      <c r="N67" s="3" t="s">
        <v>15</v>
      </c>
      <c r="O67" s="3" t="s">
        <v>16</v>
      </c>
      <c r="P67" s="3" t="s">
        <v>17</v>
      </c>
      <c r="Q67" s="3" t="s">
        <v>18</v>
      </c>
      <c r="R67" s="3" t="s">
        <v>19</v>
      </c>
      <c r="S67" s="3" t="s">
        <v>20</v>
      </c>
      <c r="T67" s="3" t="s">
        <v>21</v>
      </c>
      <c r="U67" s="3" t="s">
        <v>22</v>
      </c>
      <c r="V67" s="3" t="s">
        <v>23</v>
      </c>
      <c r="W67" s="3" t="s">
        <v>24</v>
      </c>
      <c r="X67" s="3" t="s">
        <v>25</v>
      </c>
      <c r="Y67" s="3" t="s">
        <v>26</v>
      </c>
      <c r="Z67" s="3" t="s">
        <v>27</v>
      </c>
      <c r="AA67" s="3" t="s">
        <v>28</v>
      </c>
      <c r="AB67" s="3" t="s">
        <v>29</v>
      </c>
      <c r="AC67" s="3" t="s">
        <v>30</v>
      </c>
      <c r="AD67" s="3" t="s">
        <v>31</v>
      </c>
      <c r="AE67" s="3" t="s">
        <v>32</v>
      </c>
    </row>
    <row r="68" spans="4:31" ht="15.75" thickTop="1">
      <c r="D68" s="18" t="s">
        <v>37</v>
      </c>
      <c r="E68" s="2" t="s">
        <v>7</v>
      </c>
      <c r="F68" s="8" t="s">
        <v>167</v>
      </c>
      <c r="G68" s="2"/>
      <c r="H68" s="9">
        <v>7.5</v>
      </c>
      <c r="I68" s="9">
        <v>7.5</v>
      </c>
      <c r="J68" s="9">
        <v>7.5</v>
      </c>
      <c r="K68" s="9">
        <v>7.5</v>
      </c>
      <c r="L68" s="9">
        <v>7.5</v>
      </c>
      <c r="M68" s="9">
        <v>7.5</v>
      </c>
      <c r="N68" s="9">
        <v>7.5</v>
      </c>
      <c r="O68" s="9">
        <v>7.5</v>
      </c>
      <c r="P68" s="9">
        <v>7.5</v>
      </c>
      <c r="Q68" s="9">
        <v>7.5</v>
      </c>
      <c r="R68" s="9">
        <v>7.5</v>
      </c>
      <c r="S68" s="9">
        <v>7.5</v>
      </c>
      <c r="T68" s="9">
        <v>7.5</v>
      </c>
      <c r="U68" s="9">
        <v>7.5</v>
      </c>
      <c r="V68" s="9">
        <v>7.5</v>
      </c>
      <c r="W68" s="9">
        <v>7.5</v>
      </c>
      <c r="X68" s="9">
        <v>7.5</v>
      </c>
      <c r="Y68" s="9">
        <v>7.5</v>
      </c>
      <c r="Z68" s="9">
        <v>7.5</v>
      </c>
      <c r="AA68" s="9">
        <v>7.5</v>
      </c>
      <c r="AB68" s="9">
        <v>7.5</v>
      </c>
      <c r="AC68" s="9">
        <v>7.5</v>
      </c>
      <c r="AD68" s="9">
        <v>7.5</v>
      </c>
      <c r="AE68" s="9">
        <v>7.5</v>
      </c>
    </row>
    <row r="69" spans="4:31">
      <c r="D69" s="18" t="s">
        <v>38</v>
      </c>
      <c r="E69" s="2" t="s">
        <v>8</v>
      </c>
      <c r="F69" s="8" t="s">
        <v>167</v>
      </c>
      <c r="G69" s="2"/>
      <c r="H69" s="9">
        <v>14</v>
      </c>
      <c r="I69" s="9">
        <v>14</v>
      </c>
      <c r="J69" s="9">
        <v>14</v>
      </c>
      <c r="K69" s="9">
        <v>14</v>
      </c>
      <c r="L69" s="9">
        <v>14</v>
      </c>
      <c r="M69" s="9">
        <v>14</v>
      </c>
      <c r="N69" s="9">
        <v>14</v>
      </c>
      <c r="O69" s="9">
        <v>14</v>
      </c>
      <c r="P69" s="9">
        <v>14</v>
      </c>
      <c r="Q69" s="9">
        <v>14</v>
      </c>
      <c r="R69" s="9">
        <v>14</v>
      </c>
      <c r="S69" s="9">
        <v>14</v>
      </c>
      <c r="T69" s="9">
        <v>14</v>
      </c>
      <c r="U69" s="9">
        <v>14</v>
      </c>
      <c r="V69" s="9">
        <v>14</v>
      </c>
      <c r="W69" s="9">
        <v>14</v>
      </c>
      <c r="X69" s="9">
        <v>14</v>
      </c>
      <c r="Y69" s="9">
        <v>14</v>
      </c>
      <c r="Z69" s="9">
        <v>14</v>
      </c>
      <c r="AA69" s="9">
        <v>14</v>
      </c>
      <c r="AB69" s="9">
        <v>14</v>
      </c>
      <c r="AC69" s="9">
        <v>14</v>
      </c>
      <c r="AD69" s="9">
        <v>14</v>
      </c>
      <c r="AE69" s="9">
        <v>14</v>
      </c>
    </row>
    <row r="70" spans="4:31" ht="15.75" customHeight="1" thickBot="1">
      <c r="D70" s="19" t="s">
        <v>110</v>
      </c>
      <c r="E70" s="2" t="s">
        <v>106</v>
      </c>
      <c r="F70" s="2"/>
      <c r="G70" s="4" t="b">
        <v>1</v>
      </c>
      <c r="H70" s="29" t="str">
        <f>IF(H73=AE73,"","Might cause infeasibility because Temperature delta between Glen Canyon and RM61 at H01 and H24 are not the same")</f>
        <v/>
      </c>
    </row>
    <row r="71" spans="4:31">
      <c r="D71" s="18" t="s">
        <v>35</v>
      </c>
      <c r="E71" s="2" t="s">
        <v>203</v>
      </c>
      <c r="F71" s="8" t="s">
        <v>169</v>
      </c>
      <c r="G71" s="2"/>
      <c r="H71" s="9">
        <v>15.5</v>
      </c>
      <c r="I71" s="9">
        <v>15.5</v>
      </c>
      <c r="J71" s="9">
        <v>15.5</v>
      </c>
      <c r="K71" s="9">
        <v>15.5</v>
      </c>
      <c r="L71" s="9">
        <v>15.5</v>
      </c>
      <c r="M71" s="9">
        <v>18</v>
      </c>
      <c r="N71" s="9">
        <v>18</v>
      </c>
      <c r="O71" s="9">
        <v>15.5</v>
      </c>
      <c r="P71" s="9">
        <v>15.5</v>
      </c>
      <c r="Q71" s="9">
        <v>15.5</v>
      </c>
      <c r="R71" s="9">
        <v>15</v>
      </c>
      <c r="S71" s="9">
        <v>15.5</v>
      </c>
      <c r="T71" s="9">
        <v>15.5</v>
      </c>
      <c r="U71" s="9">
        <v>19</v>
      </c>
      <c r="V71" s="9">
        <v>18</v>
      </c>
      <c r="W71" s="9">
        <v>18</v>
      </c>
      <c r="X71" s="9">
        <v>15.5</v>
      </c>
      <c r="Y71" s="9">
        <v>15.5</v>
      </c>
      <c r="Z71" s="9">
        <v>15.5</v>
      </c>
      <c r="AA71" s="9">
        <v>15.5</v>
      </c>
      <c r="AB71" s="9">
        <v>15.5</v>
      </c>
      <c r="AC71" s="9">
        <v>15.5</v>
      </c>
      <c r="AD71" s="9">
        <v>15.5</v>
      </c>
      <c r="AE71" s="9">
        <v>15.5</v>
      </c>
    </row>
    <row r="72" spans="4:31">
      <c r="D72" s="18" t="s">
        <v>36</v>
      </c>
      <c r="E72" s="2" t="s">
        <v>204</v>
      </c>
      <c r="F72" s="8" t="s">
        <v>169</v>
      </c>
      <c r="G72" s="2"/>
      <c r="H72" s="9">
        <v>14</v>
      </c>
      <c r="I72" s="9">
        <v>14</v>
      </c>
      <c r="J72" s="9">
        <v>14</v>
      </c>
      <c r="K72" s="9">
        <v>14</v>
      </c>
      <c r="L72" s="9">
        <v>14</v>
      </c>
      <c r="M72" s="9">
        <v>14</v>
      </c>
      <c r="N72" s="9">
        <v>14</v>
      </c>
      <c r="O72" s="9">
        <v>14</v>
      </c>
      <c r="P72" s="9">
        <v>14</v>
      </c>
      <c r="Q72" s="9">
        <v>14</v>
      </c>
      <c r="R72" s="9">
        <v>14</v>
      </c>
      <c r="S72" s="9">
        <v>14</v>
      </c>
      <c r="T72" s="9">
        <v>14</v>
      </c>
      <c r="U72" s="9">
        <v>14</v>
      </c>
      <c r="V72" s="9">
        <v>14</v>
      </c>
      <c r="W72" s="9">
        <v>14</v>
      </c>
      <c r="X72" s="9">
        <v>14</v>
      </c>
      <c r="Y72" s="9">
        <v>14</v>
      </c>
      <c r="Z72" s="9">
        <v>14</v>
      </c>
      <c r="AA72" s="9">
        <v>14</v>
      </c>
      <c r="AB72" s="9">
        <v>14</v>
      </c>
      <c r="AC72" s="9">
        <v>14</v>
      </c>
      <c r="AD72" s="9">
        <v>14</v>
      </c>
      <c r="AE72" s="9">
        <v>14</v>
      </c>
    </row>
    <row r="73" spans="4:31">
      <c r="D73" s="18" t="s">
        <v>39</v>
      </c>
      <c r="E73" s="2" t="s">
        <v>3</v>
      </c>
      <c r="F73" s="8" t="s">
        <v>170</v>
      </c>
      <c r="G73" s="2"/>
      <c r="H73" s="9">
        <v>2.1</v>
      </c>
      <c r="I73" s="9">
        <v>3.3</v>
      </c>
      <c r="J73" s="9">
        <v>2.2000000000000002</v>
      </c>
      <c r="K73" s="9">
        <v>2.8</v>
      </c>
      <c r="L73" s="9">
        <v>2.8</v>
      </c>
      <c r="M73" s="9">
        <v>2.4</v>
      </c>
      <c r="N73" s="9">
        <v>2.5</v>
      </c>
      <c r="O73" s="9">
        <v>2.4</v>
      </c>
      <c r="P73" s="9">
        <v>2.1</v>
      </c>
      <c r="Q73" s="9">
        <v>2.1</v>
      </c>
      <c r="R73" s="9">
        <v>2</v>
      </c>
      <c r="S73" s="9">
        <v>3.5</v>
      </c>
      <c r="T73" s="9">
        <v>3.4</v>
      </c>
      <c r="U73" s="9">
        <v>2.2999999999999998</v>
      </c>
      <c r="V73" s="9">
        <v>3.5</v>
      </c>
      <c r="W73" s="9">
        <v>2.8</v>
      </c>
      <c r="X73" s="9">
        <v>2.1</v>
      </c>
      <c r="Y73" s="9">
        <v>2.5</v>
      </c>
      <c r="Z73" s="9">
        <v>3.3</v>
      </c>
      <c r="AA73" s="9">
        <v>2.6</v>
      </c>
      <c r="AB73" s="9">
        <v>2.4</v>
      </c>
      <c r="AC73" s="9">
        <v>2.7</v>
      </c>
      <c r="AD73" s="9">
        <v>3.3</v>
      </c>
      <c r="AE73" s="9">
        <v>2.1</v>
      </c>
    </row>
    <row r="74" spans="4:31">
      <c r="D74" s="18" t="s">
        <v>42</v>
      </c>
      <c r="E74" s="2" t="s">
        <v>205</v>
      </c>
      <c r="F74" s="8" t="s">
        <v>169</v>
      </c>
      <c r="G74" s="9">
        <v>15.5</v>
      </c>
      <c r="H74" s="29" t="str">
        <f>"Because of rounding might not be exactly " &amp; G74 &amp; ". Maximum expected deviation in the positive direction is 0.05°C"</f>
        <v>Because of rounding might not be exactly 15.5. Maximum expected deviation in the positive direction is 0.05°C</v>
      </c>
    </row>
    <row r="75" spans="4:31">
      <c r="D75" s="18" t="s">
        <v>43</v>
      </c>
      <c r="E75" s="2" t="s">
        <v>6</v>
      </c>
      <c r="F75" s="8" t="s">
        <v>170</v>
      </c>
      <c r="G75" s="12">
        <f>AVERAGE(H73:AE73)</f>
        <v>2.6333333333333333</v>
      </c>
    </row>
    <row r="76" spans="4:31" ht="15.75" thickBot="1">
      <c r="D76" s="20" t="s">
        <v>112</v>
      </c>
      <c r="E76" s="2" t="s">
        <v>111</v>
      </c>
      <c r="F76" s="2"/>
      <c r="G76" s="4" t="b">
        <v>0</v>
      </c>
    </row>
    <row r="77" spans="4:31">
      <c r="D77" s="21" t="s">
        <v>40</v>
      </c>
      <c r="E77" s="2" t="s">
        <v>4</v>
      </c>
      <c r="F77" s="8" t="s">
        <v>169</v>
      </c>
      <c r="G77" s="11">
        <v>2</v>
      </c>
    </row>
    <row r="78" spans="4:31">
      <c r="D78" s="21" t="s">
        <v>41</v>
      </c>
      <c r="E78" s="2" t="s">
        <v>5</v>
      </c>
      <c r="F78" s="8" t="s">
        <v>169</v>
      </c>
      <c r="G78" s="11">
        <v>2</v>
      </c>
    </row>
    <row r="80" spans="4:31" ht="20.25" thickBot="1">
      <c r="D80" s="1" t="s">
        <v>90</v>
      </c>
      <c r="E80" s="7" t="s">
        <v>34</v>
      </c>
      <c r="F80" s="3" t="s">
        <v>166</v>
      </c>
      <c r="G80" s="7"/>
      <c r="H80" s="3" t="s">
        <v>9</v>
      </c>
      <c r="I80" s="3" t="s">
        <v>10</v>
      </c>
      <c r="J80" s="3" t="s">
        <v>11</v>
      </c>
      <c r="K80" s="3" t="s">
        <v>12</v>
      </c>
      <c r="L80" s="3" t="s">
        <v>13</v>
      </c>
      <c r="M80" s="3" t="s">
        <v>14</v>
      </c>
      <c r="N80" s="3" t="s">
        <v>15</v>
      </c>
      <c r="O80" s="3" t="s">
        <v>16</v>
      </c>
      <c r="P80" s="3" t="s">
        <v>17</v>
      </c>
      <c r="Q80" s="3" t="s">
        <v>18</v>
      </c>
      <c r="R80" s="3" t="s">
        <v>19</v>
      </c>
      <c r="S80" s="3" t="s">
        <v>20</v>
      </c>
      <c r="T80" s="3" t="s">
        <v>21</v>
      </c>
      <c r="U80" s="3" t="s">
        <v>22</v>
      </c>
      <c r="V80" s="3" t="s">
        <v>23</v>
      </c>
      <c r="W80" s="3" t="s">
        <v>24</v>
      </c>
      <c r="X80" s="3" t="s">
        <v>25</v>
      </c>
      <c r="Y80" s="3" t="s">
        <v>26</v>
      </c>
      <c r="Z80" s="3" t="s">
        <v>27</v>
      </c>
      <c r="AA80" s="3" t="s">
        <v>28</v>
      </c>
      <c r="AB80" s="3" t="s">
        <v>29</v>
      </c>
      <c r="AC80" s="3" t="s">
        <v>30</v>
      </c>
      <c r="AD80" s="3" t="s">
        <v>31</v>
      </c>
      <c r="AE80" s="3" t="s">
        <v>32</v>
      </c>
    </row>
    <row r="81" spans="4:31" ht="15.75" thickTop="1">
      <c r="D81" t="s">
        <v>61</v>
      </c>
      <c r="E81" s="2" t="s">
        <v>60</v>
      </c>
      <c r="F81" s="8" t="s">
        <v>167</v>
      </c>
      <c r="G81" s="4">
        <v>3.5453800000000001E-2</v>
      </c>
    </row>
    <row r="82" spans="4:31">
      <c r="D82" t="s">
        <v>91</v>
      </c>
      <c r="E82" s="2" t="s">
        <v>93</v>
      </c>
      <c r="F82" s="8" t="s">
        <v>167</v>
      </c>
      <c r="G82" s="8">
        <v>200</v>
      </c>
      <c r="H82" s="10">
        <f>$G$82</f>
        <v>200</v>
      </c>
      <c r="I82" s="10">
        <f t="shared" ref="I82:AE82" si="0">$G$82</f>
        <v>200</v>
      </c>
      <c r="J82" s="10">
        <f t="shared" si="0"/>
        <v>200</v>
      </c>
      <c r="K82" s="10">
        <f t="shared" si="0"/>
        <v>200</v>
      </c>
      <c r="L82" s="10">
        <f t="shared" si="0"/>
        <v>200</v>
      </c>
      <c r="M82" s="10">
        <f t="shared" si="0"/>
        <v>200</v>
      </c>
      <c r="N82" s="10">
        <f t="shared" si="0"/>
        <v>200</v>
      </c>
      <c r="O82" s="10">
        <f t="shared" si="0"/>
        <v>200</v>
      </c>
      <c r="P82" s="10">
        <f t="shared" si="0"/>
        <v>200</v>
      </c>
      <c r="Q82" s="10">
        <f t="shared" si="0"/>
        <v>200</v>
      </c>
      <c r="R82" s="10">
        <f t="shared" si="0"/>
        <v>200</v>
      </c>
      <c r="S82" s="10">
        <f t="shared" si="0"/>
        <v>200</v>
      </c>
      <c r="T82" s="10">
        <f t="shared" si="0"/>
        <v>200</v>
      </c>
      <c r="U82" s="10">
        <f t="shared" si="0"/>
        <v>200</v>
      </c>
      <c r="V82" s="10">
        <f t="shared" si="0"/>
        <v>200</v>
      </c>
      <c r="W82" s="10">
        <f t="shared" si="0"/>
        <v>200</v>
      </c>
      <c r="X82" s="10">
        <f t="shared" si="0"/>
        <v>200</v>
      </c>
      <c r="Y82" s="10">
        <f t="shared" si="0"/>
        <v>200</v>
      </c>
      <c r="Z82" s="10">
        <f t="shared" si="0"/>
        <v>200</v>
      </c>
      <c r="AA82" s="10">
        <f t="shared" si="0"/>
        <v>200</v>
      </c>
      <c r="AB82" s="10">
        <f t="shared" si="0"/>
        <v>200</v>
      </c>
      <c r="AC82" s="10">
        <f t="shared" si="0"/>
        <v>200</v>
      </c>
      <c r="AD82" s="10">
        <f t="shared" si="0"/>
        <v>200</v>
      </c>
      <c r="AE82" s="10">
        <f t="shared" si="0"/>
        <v>200</v>
      </c>
    </row>
    <row r="83" spans="4:31">
      <c r="D83" t="s">
        <v>92</v>
      </c>
      <c r="E83" s="2" t="s">
        <v>94</v>
      </c>
      <c r="F83" s="8" t="s">
        <v>167</v>
      </c>
      <c r="G83" s="8">
        <v>1000</v>
      </c>
      <c r="H83" s="10">
        <f>$G$83</f>
        <v>1000</v>
      </c>
      <c r="I83" s="10">
        <f t="shared" ref="I83:AE83" si="1">$G$83</f>
        <v>1000</v>
      </c>
      <c r="J83" s="10">
        <f t="shared" si="1"/>
        <v>1000</v>
      </c>
      <c r="K83" s="10">
        <f t="shared" si="1"/>
        <v>1000</v>
      </c>
      <c r="L83" s="10">
        <f t="shared" si="1"/>
        <v>1000</v>
      </c>
      <c r="M83" s="10">
        <f t="shared" si="1"/>
        <v>1000</v>
      </c>
      <c r="N83" s="10">
        <f t="shared" si="1"/>
        <v>1000</v>
      </c>
      <c r="O83" s="10">
        <f t="shared" si="1"/>
        <v>1000</v>
      </c>
      <c r="P83" s="10">
        <f t="shared" si="1"/>
        <v>1000</v>
      </c>
      <c r="Q83" s="10">
        <f t="shared" si="1"/>
        <v>1000</v>
      </c>
      <c r="R83" s="10">
        <f t="shared" si="1"/>
        <v>1000</v>
      </c>
      <c r="S83" s="10">
        <f t="shared" si="1"/>
        <v>1000</v>
      </c>
      <c r="T83" s="10">
        <f t="shared" si="1"/>
        <v>1000</v>
      </c>
      <c r="U83" s="10">
        <f t="shared" si="1"/>
        <v>1000</v>
      </c>
      <c r="V83" s="10">
        <f t="shared" si="1"/>
        <v>1000</v>
      </c>
      <c r="W83" s="10">
        <f t="shared" si="1"/>
        <v>1000</v>
      </c>
      <c r="X83" s="10">
        <f t="shared" si="1"/>
        <v>1000</v>
      </c>
      <c r="Y83" s="10">
        <f t="shared" si="1"/>
        <v>1000</v>
      </c>
      <c r="Z83" s="10">
        <f t="shared" si="1"/>
        <v>1000</v>
      </c>
      <c r="AA83" s="10">
        <f t="shared" si="1"/>
        <v>1000</v>
      </c>
      <c r="AB83" s="10">
        <f t="shared" si="1"/>
        <v>1000</v>
      </c>
      <c r="AC83" s="10">
        <f t="shared" si="1"/>
        <v>1000</v>
      </c>
      <c r="AD83" s="10">
        <f t="shared" si="1"/>
        <v>1000</v>
      </c>
      <c r="AE83" s="10">
        <f t="shared" si="1"/>
        <v>1000</v>
      </c>
    </row>
    <row r="85" spans="4:31" ht="20.25" thickBot="1">
      <c r="D85" s="1" t="s">
        <v>146</v>
      </c>
      <c r="E85" s="7" t="s">
        <v>34</v>
      </c>
      <c r="F85" s="3" t="s">
        <v>166</v>
      </c>
      <c r="G85" s="7"/>
      <c r="H85" s="3" t="s">
        <v>9</v>
      </c>
      <c r="I85" s="3" t="s">
        <v>10</v>
      </c>
      <c r="J85" s="3" t="s">
        <v>11</v>
      </c>
      <c r="K85" s="3" t="s">
        <v>12</v>
      </c>
      <c r="L85" s="3" t="s">
        <v>13</v>
      </c>
      <c r="M85" s="3" t="s">
        <v>14</v>
      </c>
      <c r="N85" s="3" t="s">
        <v>15</v>
      </c>
      <c r="O85" s="3" t="s">
        <v>16</v>
      </c>
      <c r="P85" s="3" t="s">
        <v>17</v>
      </c>
      <c r="Q85" s="3" t="s">
        <v>18</v>
      </c>
      <c r="R85" s="3" t="s">
        <v>19</v>
      </c>
      <c r="S85" s="3" t="s">
        <v>20</v>
      </c>
      <c r="T85" s="3" t="s">
        <v>21</v>
      </c>
      <c r="U85" s="3" t="s">
        <v>22</v>
      </c>
      <c r="V85" s="3" t="s">
        <v>23</v>
      </c>
      <c r="W85" s="3" t="s">
        <v>24</v>
      </c>
      <c r="X85" s="3" t="s">
        <v>25</v>
      </c>
      <c r="Y85" s="3" t="s">
        <v>26</v>
      </c>
      <c r="Z85" s="3" t="s">
        <v>27</v>
      </c>
      <c r="AA85" s="3" t="s">
        <v>28</v>
      </c>
      <c r="AB85" s="3" t="s">
        <v>29</v>
      </c>
      <c r="AC85" s="3" t="s">
        <v>30</v>
      </c>
      <c r="AD85" s="3" t="s">
        <v>31</v>
      </c>
      <c r="AE85" s="3" t="s">
        <v>32</v>
      </c>
    </row>
    <row r="86" spans="4:31" ht="15.75" thickTop="1">
      <c r="D86" t="s">
        <v>59</v>
      </c>
      <c r="E86" s="2" t="s">
        <v>58</v>
      </c>
      <c r="F86" s="8" t="s">
        <v>168</v>
      </c>
      <c r="G86" s="2"/>
      <c r="H86" s="8">
        <v>1000</v>
      </c>
      <c r="I86" s="8">
        <v>1000</v>
      </c>
      <c r="J86" s="8">
        <v>1000</v>
      </c>
      <c r="K86" s="8">
        <v>1000</v>
      </c>
      <c r="L86" s="8">
        <v>1000</v>
      </c>
      <c r="M86" s="8">
        <v>1000</v>
      </c>
      <c r="N86" s="8">
        <v>1000</v>
      </c>
      <c r="O86" s="8">
        <v>1000</v>
      </c>
      <c r="P86" s="8">
        <v>1000</v>
      </c>
      <c r="Q86" s="8">
        <v>1000</v>
      </c>
      <c r="R86" s="8">
        <v>1000</v>
      </c>
      <c r="S86" s="8">
        <v>1000</v>
      </c>
      <c r="T86" s="8">
        <v>1000</v>
      </c>
      <c r="U86" s="8">
        <v>1000</v>
      </c>
      <c r="V86" s="8">
        <v>1000</v>
      </c>
      <c r="W86" s="8">
        <v>1000</v>
      </c>
      <c r="X86" s="8">
        <v>1000</v>
      </c>
      <c r="Y86" s="8">
        <v>1000</v>
      </c>
      <c r="Z86" s="8">
        <v>1000</v>
      </c>
      <c r="AA86" s="8">
        <v>1000</v>
      </c>
      <c r="AB86" s="8">
        <v>1000</v>
      </c>
      <c r="AC86" s="8">
        <v>1000</v>
      </c>
      <c r="AD86" s="8">
        <v>1000</v>
      </c>
      <c r="AE86" s="8">
        <v>1000</v>
      </c>
    </row>
    <row r="88" spans="4:31" ht="20.25" thickBot="1">
      <c r="D88" s="1" t="s">
        <v>44</v>
      </c>
      <c r="E88" s="7" t="s">
        <v>34</v>
      </c>
      <c r="F88" s="3" t="s">
        <v>166</v>
      </c>
      <c r="G88" s="7"/>
      <c r="H88" s="3" t="s">
        <v>9</v>
      </c>
      <c r="I88" s="3" t="s">
        <v>10</v>
      </c>
      <c r="J88" s="3" t="s">
        <v>11</v>
      </c>
      <c r="K88" s="3" t="s">
        <v>12</v>
      </c>
      <c r="L88" s="3" t="s">
        <v>13</v>
      </c>
      <c r="M88" s="3" t="s">
        <v>14</v>
      </c>
      <c r="N88" s="3" t="s">
        <v>15</v>
      </c>
      <c r="O88" s="3" t="s">
        <v>16</v>
      </c>
      <c r="P88" s="3" t="s">
        <v>17</v>
      </c>
      <c r="Q88" s="3" t="s">
        <v>18</v>
      </c>
      <c r="R88" s="3" t="s">
        <v>19</v>
      </c>
      <c r="S88" s="3" t="s">
        <v>20</v>
      </c>
      <c r="T88" s="3" t="s">
        <v>21</v>
      </c>
      <c r="U88" s="3" t="s">
        <v>22</v>
      </c>
      <c r="V88" s="3" t="s">
        <v>23</v>
      </c>
      <c r="W88" s="3" t="s">
        <v>24</v>
      </c>
      <c r="X88" s="3" t="s">
        <v>25</v>
      </c>
      <c r="Y88" s="3" t="s">
        <v>26</v>
      </c>
      <c r="Z88" s="3" t="s">
        <v>27</v>
      </c>
      <c r="AA88" s="3" t="s">
        <v>28</v>
      </c>
      <c r="AB88" s="3" t="s">
        <v>29</v>
      </c>
      <c r="AC88" s="3" t="s">
        <v>30</v>
      </c>
      <c r="AD88" s="3" t="s">
        <v>31</v>
      </c>
      <c r="AE88" s="3" t="s">
        <v>32</v>
      </c>
    </row>
    <row r="89" spans="4:31" ht="15.75" thickTop="1">
      <c r="D89" t="s">
        <v>33</v>
      </c>
      <c r="E89" s="2" t="s">
        <v>2</v>
      </c>
      <c r="F89" s="8" t="s">
        <v>168</v>
      </c>
      <c r="G89" s="2"/>
      <c r="H89" s="5">
        <v>46.85</v>
      </c>
      <c r="I89" s="5">
        <v>45.06</v>
      </c>
      <c r="J89" s="5">
        <v>43.83</v>
      </c>
      <c r="K89" s="5">
        <v>42.55</v>
      </c>
      <c r="L89" s="5">
        <v>42.62</v>
      </c>
      <c r="M89" s="5">
        <v>46.61</v>
      </c>
      <c r="N89" s="5">
        <v>76.48</v>
      </c>
      <c r="O89" s="5">
        <v>77.489999999999995</v>
      </c>
      <c r="P89" s="5">
        <v>73.64</v>
      </c>
      <c r="Q89" s="5">
        <v>68.510000000000005</v>
      </c>
      <c r="R89" s="5">
        <v>67.62</v>
      </c>
      <c r="S89" s="5">
        <v>69.34</v>
      </c>
      <c r="T89" s="5">
        <v>69.23</v>
      </c>
      <c r="U89" s="4">
        <v>74.680000000000007</v>
      </c>
      <c r="V89" s="4">
        <v>86.84</v>
      </c>
      <c r="W89" s="4">
        <v>97.79</v>
      </c>
      <c r="X89" s="4">
        <v>91.29</v>
      </c>
      <c r="Y89" s="4">
        <v>99.07</v>
      </c>
      <c r="Z89" s="4">
        <v>103.56</v>
      </c>
      <c r="AA89" s="4">
        <v>108.67</v>
      </c>
      <c r="AB89" s="4">
        <v>98.73</v>
      </c>
      <c r="AC89" s="4">
        <v>91.91</v>
      </c>
      <c r="AD89" s="4">
        <v>53.34</v>
      </c>
      <c r="AE89" s="4">
        <v>48.72</v>
      </c>
    </row>
    <row r="90" spans="4:31">
      <c r="D90" t="s">
        <v>51</v>
      </c>
      <c r="E90" s="2" t="s">
        <v>45</v>
      </c>
      <c r="F90" s="8" t="s">
        <v>167</v>
      </c>
      <c r="G90" s="5">
        <v>1</v>
      </c>
      <c r="H90" s="29" t="str">
        <f>IF(AND(G31=TRUE,G90&lt;0),"the penalty cost should be in range 0-25","")</f>
        <v/>
      </c>
    </row>
    <row r="91" spans="4:31">
      <c r="D91" t="s">
        <v>52</v>
      </c>
      <c r="E91" s="2" t="s">
        <v>46</v>
      </c>
      <c r="F91" s="8" t="s">
        <v>167</v>
      </c>
      <c r="G91" s="5">
        <v>1</v>
      </c>
      <c r="H91" s="29" t="str">
        <f>IF(AND(G31=TRUE,G91&lt;0),"the penalty cost should be in range 0-25","")</f>
        <v/>
      </c>
    </row>
    <row r="92" spans="4:31">
      <c r="D92" t="s">
        <v>53</v>
      </c>
      <c r="E92" s="2" t="s">
        <v>47</v>
      </c>
      <c r="F92" s="8" t="s">
        <v>167</v>
      </c>
      <c r="G92" s="5">
        <v>0.1</v>
      </c>
      <c r="H92" s="29" t="str">
        <f>IF(AND(G40=TRUE,G92&lt;0),"the penalty cost should be in range 0-25","")</f>
        <v/>
      </c>
    </row>
    <row r="93" spans="4:31">
      <c r="D93" t="s">
        <v>54</v>
      </c>
      <c r="E93" s="2" t="s">
        <v>48</v>
      </c>
      <c r="F93" s="8" t="s">
        <v>167</v>
      </c>
      <c r="G93" s="5">
        <v>0.1</v>
      </c>
      <c r="H93" s="29" t="str">
        <f>IF(AND(G40=TRUE,G93&lt;0),"the penalty cost should be in range 0-25","")</f>
        <v/>
      </c>
    </row>
    <row r="94" spans="4:31">
      <c r="D94" t="s">
        <v>55</v>
      </c>
      <c r="E94" s="2" t="s">
        <v>49</v>
      </c>
      <c r="F94" s="8" t="s">
        <v>167</v>
      </c>
      <c r="G94" s="5">
        <v>0.1</v>
      </c>
      <c r="H94" s="29" t="str">
        <f>IF(AND(G48=TRUE,G94&lt;0),"the penalty cost should be in range 0-25","")</f>
        <v/>
      </c>
    </row>
    <row r="95" spans="4:31">
      <c r="D95" t="s">
        <v>56</v>
      </c>
      <c r="E95" s="2" t="s">
        <v>50</v>
      </c>
      <c r="F95" s="8" t="s">
        <v>167</v>
      </c>
      <c r="G95" s="5">
        <v>0.1</v>
      </c>
      <c r="H95" s="29" t="str">
        <f>IF(AND(G48=TRUE,G95&lt;0),"the penalty cost should be in range 0-25","")</f>
        <v/>
      </c>
    </row>
    <row r="96" spans="4:31">
      <c r="D96" t="s">
        <v>226</v>
      </c>
      <c r="E96" s="2" t="s">
        <v>224</v>
      </c>
      <c r="F96" s="8" t="s">
        <v>169</v>
      </c>
      <c r="G96" s="5">
        <v>0.1</v>
      </c>
    </row>
    <row r="97" spans="4:7">
      <c r="D97" t="s">
        <v>227</v>
      </c>
      <c r="E97" s="2" t="s">
        <v>225</v>
      </c>
      <c r="F97" s="8" t="s">
        <v>169</v>
      </c>
      <c r="G97" s="5">
        <v>0.1</v>
      </c>
    </row>
  </sheetData>
  <phoneticPr fontId="7" type="noConversion"/>
  <conditionalFormatting sqref="G29">
    <cfRule type="cellIs" dxfId="46" priority="30" operator="equal">
      <formula>FALSE</formula>
    </cfRule>
    <cfRule type="cellIs" dxfId="45" priority="31" operator="equal">
      <formula>TRUE</formula>
    </cfRule>
  </conditionalFormatting>
  <conditionalFormatting sqref="G31 G45 G53 G70 G36 G40 G48">
    <cfRule type="cellIs" dxfId="44" priority="28" operator="equal">
      <formula>FALSE</formula>
    </cfRule>
    <cfRule type="cellIs" dxfId="43" priority="29" operator="equal">
      <formula>TRUE</formula>
    </cfRule>
  </conditionalFormatting>
  <conditionalFormatting sqref="G76">
    <cfRule type="cellIs" dxfId="42" priority="26" operator="equal">
      <formula>FALSE</formula>
    </cfRule>
    <cfRule type="cellIs" dxfId="41" priority="27" operator="equal">
      <formula>TRUE</formula>
    </cfRule>
  </conditionalFormatting>
  <conditionalFormatting sqref="G32:G33 G62:G63">
    <cfRule type="expression" dxfId="40" priority="25">
      <formula>$G$31=FALSE</formula>
    </cfRule>
  </conditionalFormatting>
  <conditionalFormatting sqref="G30">
    <cfRule type="expression" dxfId="39" priority="24">
      <formula>$G$29=FALSE</formula>
    </cfRule>
  </conditionalFormatting>
  <conditionalFormatting sqref="G41:G42">
    <cfRule type="expression" dxfId="38" priority="23">
      <formula>$G$40=FALSE</formula>
    </cfRule>
  </conditionalFormatting>
  <conditionalFormatting sqref="G49:G50">
    <cfRule type="expression" dxfId="37" priority="22">
      <formula>$G$48=FALSE</formula>
    </cfRule>
  </conditionalFormatting>
  <conditionalFormatting sqref="G9">
    <cfRule type="cellIs" dxfId="36" priority="20" operator="equal">
      <formula>FALSE</formula>
    </cfRule>
    <cfRule type="cellIs" dxfId="35" priority="21" operator="equal">
      <formula>TRUE</formula>
    </cfRule>
  </conditionalFormatting>
  <conditionalFormatting sqref="G10">
    <cfRule type="cellIs" dxfId="34" priority="18" operator="equal">
      <formula>FALSE</formula>
    </cfRule>
    <cfRule type="cellIs" dxfId="33" priority="19" operator="equal">
      <formula>TRUE</formula>
    </cfRule>
  </conditionalFormatting>
  <conditionalFormatting sqref="G37:G39">
    <cfRule type="expression" dxfId="32" priority="17">
      <formula>$G$31=FALSE</formula>
    </cfRule>
  </conditionalFormatting>
  <conditionalFormatting sqref="G46:G47">
    <cfRule type="expression" dxfId="31" priority="16">
      <formula>$G$31=FALSE</formula>
    </cfRule>
  </conditionalFormatting>
  <conditionalFormatting sqref="G54:G55">
    <cfRule type="expression" dxfId="30" priority="15">
      <formula>$G$31=FALSE</formula>
    </cfRule>
  </conditionalFormatting>
  <conditionalFormatting sqref="G46:G47 G54:G55 G62:G63 G37:G39">
    <cfRule type="expression" dxfId="29" priority="14">
      <formula>$G$10="LP"</formula>
    </cfRule>
  </conditionalFormatting>
  <conditionalFormatting sqref="G57:G58">
    <cfRule type="expression" dxfId="28" priority="11">
      <formula>$G$48=FALSE</formula>
    </cfRule>
  </conditionalFormatting>
  <conditionalFormatting sqref="G56">
    <cfRule type="cellIs" dxfId="27" priority="9" operator="equal">
      <formula>FALSE</formula>
    </cfRule>
    <cfRule type="cellIs" dxfId="26" priority="10" operator="equal">
      <formula>TRUE</formula>
    </cfRule>
  </conditionalFormatting>
  <conditionalFormatting sqref="G61">
    <cfRule type="cellIs" dxfId="25" priority="7" operator="equal">
      <formula>FALSE</formula>
    </cfRule>
    <cfRule type="cellIs" dxfId="24" priority="8" operator="equal">
      <formula>TRUE</formula>
    </cfRule>
  </conditionalFormatting>
  <conditionalFormatting sqref="G22">
    <cfRule type="cellIs" dxfId="23" priority="3" operator="equal">
      <formula>FALSE</formula>
    </cfRule>
    <cfRule type="cellIs" dxfId="22" priority="4" operator="equal">
      <formula>TRUE</formula>
    </cfRule>
  </conditionalFormatting>
  <dataValidations count="2">
    <dataValidation type="list" allowBlank="1" showInputMessage="1" showErrorMessage="1" sqref="G70 G53 G45 G36 G48 G31 G9 G40 G76 G29 G56 G61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Inputs!H43:AE43</xm:f>
              <xm:sqref>G43</xm:sqref>
            </x14:sparkline>
            <x14:sparkline>
              <xm:f>Inputs!H44:AE44</xm:f>
              <xm:sqref>G44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Inputs!H89:AE89</xm:f>
              <xm:sqref>G89</xm:sqref>
            </x14:sparkline>
            <x14:sparkline>
              <xm:f>Inputs!H86:AE86</xm:f>
              <xm:sqref>G86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topLeftCell="A3" workbookViewId="0">
      <selection activeCell="E6" sqref="E6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7" width="12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7.28515625" bestFit="1" customWidth="1"/>
    <col min="14" max="14" width="18.5703125" bestFit="1" customWidth="1"/>
    <col min="15" max="15" width="16" bestFit="1" customWidth="1"/>
    <col min="16" max="16" width="11.7109375" bestFit="1" customWidth="1"/>
    <col min="17" max="17" width="13" bestFit="1" customWidth="1"/>
    <col min="18" max="18" width="9" bestFit="1" customWidth="1"/>
    <col min="19" max="20" width="12" bestFit="1" customWidth="1"/>
    <col min="21" max="21" width="19.140625" bestFit="1" customWidth="1"/>
    <col min="22" max="22" width="16.5703125" bestFit="1" customWidth="1"/>
    <col min="23" max="23" width="12" bestFit="1" customWidth="1"/>
    <col min="24" max="24" width="19.140625" bestFit="1" customWidth="1"/>
    <col min="25" max="25" width="16.5703125" bestFit="1" customWidth="1"/>
    <col min="26" max="26" width="12" bestFit="1" customWidth="1"/>
    <col min="28" max="28" width="11.28515625" customWidth="1"/>
  </cols>
  <sheetData>
    <row r="1" spans="1:28" ht="24.75" thickBot="1">
      <c r="D1" s="26" t="s">
        <v>125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8" ht="18" thickBot="1">
      <c r="D2" s="27" t="s">
        <v>126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8" ht="15.75" thickTop="1">
      <c r="D3" t="s">
        <v>131</v>
      </c>
      <c r="E3" s="33" t="s">
        <v>149</v>
      </c>
      <c r="F3" t="s">
        <v>124</v>
      </c>
      <c r="G3" s="36" t="str" cm="1">
        <f t="array" aca="1" ref="G3" ca="1">LEFT(CELL("filename", A3), FIND("[", CELL("filename", A3)) - 1) &amp; "Results\" &amp; E3</f>
        <v>C:\Projects\GitHub\TempRegPy\Results\Test</v>
      </c>
      <c r="H3" s="24"/>
    </row>
    <row r="5" spans="1:28" s="35" customFormat="1" ht="18" thickBot="1">
      <c r="A5" s="34"/>
      <c r="B5" s="34"/>
      <c r="C5" s="34"/>
      <c r="D5" s="27" t="s">
        <v>137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</row>
    <row r="6" spans="1:28" s="35" customFormat="1" ht="53.25" thickTop="1" thickBot="1">
      <c r="A6" s="34"/>
      <c r="B6" s="34"/>
      <c r="C6" s="34"/>
      <c r="D6" s="49" t="s">
        <v>272</v>
      </c>
      <c r="E6" s="48" t="s">
        <v>167</v>
      </c>
      <c r="F6" s="47" t="s">
        <v>90</v>
      </c>
      <c r="G6" s="47" t="s">
        <v>277</v>
      </c>
      <c r="H6" s="47" t="s">
        <v>273</v>
      </c>
      <c r="I6" s="47" t="s">
        <v>129</v>
      </c>
      <c r="J6" s="47" t="s">
        <v>130</v>
      </c>
      <c r="K6" s="47" t="s">
        <v>274</v>
      </c>
      <c r="L6" s="47" t="s">
        <v>275</v>
      </c>
      <c r="M6" s="47" t="s">
        <v>276</v>
      </c>
      <c r="N6" s="47" t="s">
        <v>278</v>
      </c>
      <c r="O6" s="47" t="s">
        <v>279</v>
      </c>
      <c r="P6" s="47" t="s">
        <v>280</v>
      </c>
      <c r="Q6" s="47" t="s">
        <v>281</v>
      </c>
      <c r="R6" s="47" t="s">
        <v>282</v>
      </c>
      <c r="S6" s="47" t="s">
        <v>283</v>
      </c>
      <c r="T6" s="47" t="s">
        <v>284</v>
      </c>
      <c r="U6" s="47" t="s">
        <v>142</v>
      </c>
      <c r="V6" s="47" t="s">
        <v>143</v>
      </c>
      <c r="W6" s="47" t="s">
        <v>285</v>
      </c>
      <c r="X6" s="47" t="s">
        <v>144</v>
      </c>
      <c r="Y6" s="47" t="s">
        <v>145</v>
      </c>
      <c r="Z6" s="47" t="s">
        <v>286</v>
      </c>
      <c r="AA6" s="47" t="s">
        <v>138</v>
      </c>
      <c r="AB6" s="47" t="s">
        <v>140</v>
      </c>
    </row>
    <row r="7" spans="1:28" s="37" customFormat="1" ht="18" customHeight="1" thickTop="1" thickBot="1">
      <c r="F7" s="40" t="s">
        <v>127</v>
      </c>
      <c r="G7" s="40" t="s">
        <v>128</v>
      </c>
      <c r="H7" s="40" t="s">
        <v>287</v>
      </c>
      <c r="I7" s="40" t="s">
        <v>128</v>
      </c>
      <c r="J7" s="40" t="s">
        <v>128</v>
      </c>
      <c r="K7" s="40" t="s">
        <v>287</v>
      </c>
      <c r="L7" s="40" t="s">
        <v>287</v>
      </c>
      <c r="M7" s="40" t="s">
        <v>128</v>
      </c>
      <c r="N7" s="40" t="s">
        <v>128</v>
      </c>
      <c r="O7" s="40" t="s">
        <v>128</v>
      </c>
      <c r="P7" s="40" t="s">
        <v>128</v>
      </c>
      <c r="Q7" s="40" t="s">
        <v>128</v>
      </c>
      <c r="R7" s="40" t="s">
        <v>128</v>
      </c>
      <c r="S7" s="40" t="s">
        <v>128</v>
      </c>
      <c r="T7" s="40" t="s">
        <v>128</v>
      </c>
      <c r="U7" s="40" t="s">
        <v>128</v>
      </c>
      <c r="V7" s="40" t="s">
        <v>128</v>
      </c>
      <c r="W7" s="40" t="s">
        <v>128</v>
      </c>
      <c r="X7" s="40" t="s">
        <v>128</v>
      </c>
      <c r="Y7" s="40" t="s">
        <v>128</v>
      </c>
      <c r="Z7" s="40" t="s">
        <v>132</v>
      </c>
      <c r="AA7" s="40" t="s">
        <v>139</v>
      </c>
      <c r="AB7" s="40" t="s">
        <v>141</v>
      </c>
    </row>
    <row r="8" spans="1:28" s="37" customFormat="1" ht="18" customHeight="1" thickBot="1"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ht="15.75" thickBot="1">
      <c r="F9" s="41">
        <f>SUM(F11:F34)</f>
        <v>6636.0163221269631</v>
      </c>
      <c r="G9" s="41">
        <f>SUM(G11:G34)</f>
        <v>47829.373417603681</v>
      </c>
      <c r="H9" s="41">
        <f t="shared" ref="H9:W9" si="0">SUM(H11:H34)</f>
        <v>24</v>
      </c>
      <c r="I9" s="41">
        <f t="shared" ref="I9:J9" si="1">AVERAGE(I11:I34)</f>
        <v>62.49999999999995</v>
      </c>
      <c r="J9" s="41">
        <f t="shared" si="1"/>
        <v>62.499999999999858</v>
      </c>
      <c r="K9" s="41">
        <f t="shared" si="0"/>
        <v>1</v>
      </c>
      <c r="L9" s="41">
        <f t="shared" si="0"/>
        <v>3</v>
      </c>
      <c r="M9" s="41">
        <f t="shared" si="0"/>
        <v>0</v>
      </c>
      <c r="N9" s="41">
        <f t="shared" ref="N9:O9" si="2">AVERAGE(N11:N34)</f>
        <v>0</v>
      </c>
      <c r="O9" s="41">
        <f t="shared" si="2"/>
        <v>0</v>
      </c>
      <c r="P9" s="41">
        <f t="shared" si="0"/>
        <v>0</v>
      </c>
      <c r="Q9" s="41">
        <f t="shared" si="0"/>
        <v>235003.00000000006</v>
      </c>
      <c r="R9" s="41">
        <f t="shared" si="0"/>
        <v>0</v>
      </c>
      <c r="S9" s="41">
        <f t="shared" si="0"/>
        <v>235003.00000000006</v>
      </c>
      <c r="T9" s="41">
        <f t="shared" si="0"/>
        <v>235003.00000000006</v>
      </c>
      <c r="U9" s="41">
        <f t="shared" ref="U9:V9" si="3">AVERAGE(U11:U34)</f>
        <v>145.8333333333334</v>
      </c>
      <c r="V9" s="41">
        <f t="shared" si="3"/>
        <v>145.83333333333343</v>
      </c>
      <c r="W9" s="41">
        <f t="shared" si="0"/>
        <v>187173.62658239636</v>
      </c>
      <c r="X9" s="41">
        <f t="shared" ref="X9:Y9" si="4">AVERAGE(X11:X34)</f>
        <v>166.6666666666666</v>
      </c>
      <c r="Y9" s="41">
        <f t="shared" si="4"/>
        <v>166.66666666666654</v>
      </c>
      <c r="Z9" s="41">
        <f>AVERAGE(Z11:Z34)</f>
        <v>12.644865097911898</v>
      </c>
      <c r="AA9" s="41">
        <f>AVERAGE(AA11:AA34)</f>
        <v>71.851250000000007</v>
      </c>
      <c r="AB9" s="41">
        <f>SUM(AB11:AB34)</f>
        <v>498068.41165642394</v>
      </c>
    </row>
    <row r="10" spans="1:28">
      <c r="E10" t="s">
        <v>250</v>
      </c>
      <c r="F10" t="s">
        <v>251</v>
      </c>
      <c r="G10" t="s">
        <v>252</v>
      </c>
      <c r="H10" t="s">
        <v>253</v>
      </c>
      <c r="I10" t="s">
        <v>254</v>
      </c>
      <c r="J10" t="s">
        <v>255</v>
      </c>
      <c r="K10" t="s">
        <v>256</v>
      </c>
      <c r="L10" t="s">
        <v>257</v>
      </c>
      <c r="M10" t="s">
        <v>258</v>
      </c>
      <c r="N10" t="s">
        <v>259</v>
      </c>
      <c r="O10" t="s">
        <v>260</v>
      </c>
      <c r="P10" t="s">
        <v>261</v>
      </c>
      <c r="Q10" t="s">
        <v>262</v>
      </c>
      <c r="R10" t="s">
        <v>263</v>
      </c>
      <c r="S10" t="s">
        <v>264</v>
      </c>
      <c r="T10" t="s">
        <v>265</v>
      </c>
      <c r="U10" t="s">
        <v>266</v>
      </c>
      <c r="V10" t="s">
        <v>267</v>
      </c>
      <c r="W10" t="s">
        <v>268</v>
      </c>
      <c r="X10" t="s">
        <v>269</v>
      </c>
      <c r="Y10" t="s">
        <v>270</v>
      </c>
      <c r="Z10" t="s">
        <v>271</v>
      </c>
    </row>
    <row r="11" spans="1:28">
      <c r="E11">
        <v>1</v>
      </c>
      <c r="F11">
        <v>213.91036740783878</v>
      </c>
      <c r="G11">
        <v>2328.9009750433975</v>
      </c>
      <c r="H11" s="46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8362.3971703127008</v>
      </c>
      <c r="R11">
        <v>0</v>
      </c>
      <c r="S11">
        <v>8362.397170312699</v>
      </c>
      <c r="T11">
        <v>8362.3971703126972</v>
      </c>
      <c r="U11">
        <v>0</v>
      </c>
      <c r="V11">
        <v>0</v>
      </c>
      <c r="W11">
        <v>6033.496195269302</v>
      </c>
      <c r="X11">
        <v>0</v>
      </c>
      <c r="Y11">
        <v>0</v>
      </c>
      <c r="Z11">
        <v>12.189770704562692</v>
      </c>
      <c r="AA11" s="39" cm="1">
        <f t="array" ref="AA11:AA34">TRANSPOSE(Inputs!H89:AE89)</f>
        <v>46.85</v>
      </c>
      <c r="AB11" s="39">
        <f>AA11*Flows[[#This Row],[p_tur]]</f>
        <v>10021.700713057247</v>
      </c>
    </row>
    <row r="12" spans="1:28">
      <c r="E12">
        <v>2</v>
      </c>
      <c r="F12">
        <v>213.91036740783878</v>
      </c>
      <c r="G12">
        <v>2328.9009750433966</v>
      </c>
      <c r="H12" s="46">
        <v>1</v>
      </c>
      <c r="I12">
        <v>6.437445337388521E-13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8362.3971703126972</v>
      </c>
      <c r="R12">
        <v>0</v>
      </c>
      <c r="S12">
        <v>8362.397170312699</v>
      </c>
      <c r="T12">
        <v>8362.397170312699</v>
      </c>
      <c r="U12">
        <v>0</v>
      </c>
      <c r="V12">
        <v>0</v>
      </c>
      <c r="W12">
        <v>6033.496195269302</v>
      </c>
      <c r="X12">
        <v>0</v>
      </c>
      <c r="Y12">
        <v>0</v>
      </c>
      <c r="Z12">
        <v>12.189770704562692</v>
      </c>
      <c r="AA12" s="38">
        <v>45.06</v>
      </c>
      <c r="AB12" s="38">
        <f>AA12*Flows[[#This Row],[p_tur]]</f>
        <v>9638.8011553972156</v>
      </c>
    </row>
    <row r="13" spans="1:28">
      <c r="E13">
        <v>3</v>
      </c>
      <c r="F13">
        <v>213.91036740783881</v>
      </c>
      <c r="G13">
        <v>2328.9009750433979</v>
      </c>
      <c r="H13" s="46">
        <v>1</v>
      </c>
      <c r="I13">
        <v>-4.1325501048285696E-13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8362.3971703127008</v>
      </c>
      <c r="R13">
        <v>0</v>
      </c>
      <c r="S13">
        <v>8362.3971703127008</v>
      </c>
      <c r="T13">
        <v>8362.397170312699</v>
      </c>
      <c r="U13">
        <v>0</v>
      </c>
      <c r="V13">
        <v>0</v>
      </c>
      <c r="W13">
        <v>6033.496195269302</v>
      </c>
      <c r="X13">
        <v>0</v>
      </c>
      <c r="Y13">
        <v>0</v>
      </c>
      <c r="Z13">
        <v>12.189770704562694</v>
      </c>
      <c r="AA13" s="39">
        <v>43.83</v>
      </c>
      <c r="AB13" s="39">
        <f>AA13*Flows[[#This Row],[p_tur]]</f>
        <v>9375.6914034855745</v>
      </c>
    </row>
    <row r="14" spans="1:28">
      <c r="E14">
        <v>4</v>
      </c>
      <c r="F14">
        <v>213.91036740783875</v>
      </c>
      <c r="G14">
        <v>2328.9009750433979</v>
      </c>
      <c r="H14" s="46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8362.3971703126972</v>
      </c>
      <c r="R14">
        <v>0</v>
      </c>
      <c r="S14">
        <v>8362.397170312699</v>
      </c>
      <c r="T14">
        <v>8362.397170312699</v>
      </c>
      <c r="U14">
        <v>0</v>
      </c>
      <c r="V14">
        <v>0</v>
      </c>
      <c r="W14">
        <v>6033.4961952693011</v>
      </c>
      <c r="X14">
        <v>0</v>
      </c>
      <c r="Y14">
        <v>-1.8861321700853215E-12</v>
      </c>
      <c r="Z14">
        <v>12.189770704562694</v>
      </c>
      <c r="AA14" s="38">
        <v>42.55</v>
      </c>
      <c r="AB14" s="38">
        <f>AA14*Flows[[#This Row],[p_tur]]</f>
        <v>9101.8861332035376</v>
      </c>
    </row>
    <row r="15" spans="1:28">
      <c r="E15">
        <v>5</v>
      </c>
      <c r="F15">
        <v>213.91036740783872</v>
      </c>
      <c r="G15">
        <v>2328.9009750433979</v>
      </c>
      <c r="H15" s="46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8362.3971703126972</v>
      </c>
      <c r="R15">
        <v>0</v>
      </c>
      <c r="S15">
        <v>8362.3971703126972</v>
      </c>
      <c r="T15">
        <v>8362.3971703126972</v>
      </c>
      <c r="U15">
        <v>0</v>
      </c>
      <c r="V15">
        <v>0</v>
      </c>
      <c r="W15">
        <v>6033.4961952692993</v>
      </c>
      <c r="X15">
        <v>0</v>
      </c>
      <c r="Y15">
        <v>-1.2591066016388394E-12</v>
      </c>
      <c r="Z15">
        <v>12.189770704562694</v>
      </c>
      <c r="AA15" s="39">
        <v>42.62</v>
      </c>
      <c r="AB15" s="39">
        <f>AA15*Flows[[#This Row],[p_tur]]</f>
        <v>9116.8598589220856</v>
      </c>
    </row>
    <row r="16" spans="1:28">
      <c r="E16">
        <v>6</v>
      </c>
      <c r="F16">
        <v>231.63726740783864</v>
      </c>
      <c r="G16">
        <v>2328.9009750433975</v>
      </c>
      <c r="H16" s="4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8862.3971703126954</v>
      </c>
      <c r="R16">
        <v>0</v>
      </c>
      <c r="S16">
        <v>8862.3971703126954</v>
      </c>
      <c r="T16">
        <v>8862.3971703126954</v>
      </c>
      <c r="U16">
        <v>0</v>
      </c>
      <c r="V16">
        <v>499.9999999999975</v>
      </c>
      <c r="W16">
        <v>6533.4961952692975</v>
      </c>
      <c r="X16">
        <v>0</v>
      </c>
      <c r="Y16">
        <v>500</v>
      </c>
      <c r="Z16">
        <v>12.291900481678821</v>
      </c>
      <c r="AA16" s="38">
        <v>46.61</v>
      </c>
      <c r="AB16" s="38">
        <f>AA16*Flows[[#This Row],[p_tur]]</f>
        <v>10796.613033879359</v>
      </c>
    </row>
    <row r="17" spans="5:28">
      <c r="E17">
        <v>7</v>
      </c>
      <c r="F17">
        <v>249.36416740783869</v>
      </c>
      <c r="G17">
        <v>2328.9009750433979</v>
      </c>
      <c r="H17" s="46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9362.3971703126972</v>
      </c>
      <c r="R17">
        <v>0</v>
      </c>
      <c r="S17">
        <v>9362.3971703126972</v>
      </c>
      <c r="T17">
        <v>9362.3971703126972</v>
      </c>
      <c r="U17">
        <v>0</v>
      </c>
      <c r="V17">
        <v>499.99999999999932</v>
      </c>
      <c r="W17">
        <v>7033.4961952692993</v>
      </c>
      <c r="X17">
        <v>0</v>
      </c>
      <c r="Y17">
        <v>500</v>
      </c>
      <c r="Z17">
        <v>12.383121751576313</v>
      </c>
      <c r="AA17" s="39">
        <v>76.48</v>
      </c>
      <c r="AB17" s="39">
        <f>AA17*Flows[[#This Row],[p_tur]]</f>
        <v>19071.371523351503</v>
      </c>
    </row>
    <row r="18" spans="5:28">
      <c r="E18">
        <v>8</v>
      </c>
      <c r="F18">
        <v>267.09106740783869</v>
      </c>
      <c r="G18">
        <v>2328.9009750433979</v>
      </c>
      <c r="H18" s="46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9862.3971703126954</v>
      </c>
      <c r="R18">
        <v>0</v>
      </c>
      <c r="S18">
        <v>9862.3971703126972</v>
      </c>
      <c r="T18">
        <v>9862.3971703126972</v>
      </c>
      <c r="U18">
        <v>0</v>
      </c>
      <c r="V18">
        <v>500.00000000000125</v>
      </c>
      <c r="W18">
        <v>7533.4961952692993</v>
      </c>
      <c r="X18">
        <v>0</v>
      </c>
      <c r="Y18">
        <v>500</v>
      </c>
      <c r="Z18">
        <v>12.465093620103913</v>
      </c>
      <c r="AA18" s="38">
        <v>77.489999999999995</v>
      </c>
      <c r="AB18" s="38">
        <f>AA18*Flows[[#This Row],[p_tur]]</f>
        <v>20696.886813433419</v>
      </c>
    </row>
    <row r="19" spans="5:28">
      <c r="E19">
        <v>9</v>
      </c>
      <c r="F19">
        <v>284.81796740783869</v>
      </c>
      <c r="G19">
        <v>2328.9009750433979</v>
      </c>
      <c r="H19" s="46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10362.397170312695</v>
      </c>
      <c r="R19">
        <v>0</v>
      </c>
      <c r="S19">
        <v>10362.397170312697</v>
      </c>
      <c r="T19">
        <v>10362.397170312699</v>
      </c>
      <c r="U19">
        <v>0</v>
      </c>
      <c r="V19">
        <v>500.00000000000068</v>
      </c>
      <c r="W19">
        <v>8033.4961952692984</v>
      </c>
      <c r="X19">
        <v>0</v>
      </c>
      <c r="Y19">
        <v>500</v>
      </c>
      <c r="Z19">
        <v>12.539154976499972</v>
      </c>
      <c r="AA19" s="39">
        <v>73.64</v>
      </c>
      <c r="AB19" s="39">
        <f>AA19*Flows[[#This Row],[p_tur]]</f>
        <v>20973.995119913241</v>
      </c>
    </row>
    <row r="20" spans="5:28">
      <c r="E20">
        <v>10</v>
      </c>
      <c r="F20">
        <v>284.81796740783869</v>
      </c>
      <c r="G20">
        <v>2328.9009750433979</v>
      </c>
      <c r="H20" s="46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10362.397170312699</v>
      </c>
      <c r="R20">
        <v>0</v>
      </c>
      <c r="S20">
        <v>10362.397170312699</v>
      </c>
      <c r="T20">
        <v>10362.397170312695</v>
      </c>
      <c r="U20">
        <v>0</v>
      </c>
      <c r="V20">
        <v>0</v>
      </c>
      <c r="W20">
        <v>8033.4961952693002</v>
      </c>
      <c r="X20">
        <v>0</v>
      </c>
      <c r="Y20">
        <v>0</v>
      </c>
      <c r="Z20">
        <v>12.539154976499971</v>
      </c>
      <c r="AA20" s="38">
        <v>68.510000000000005</v>
      </c>
      <c r="AB20" s="38">
        <f>AA20*Flows[[#This Row],[p_tur]]</f>
        <v>19512.878947111032</v>
      </c>
    </row>
    <row r="21" spans="5:28">
      <c r="E21">
        <v>11</v>
      </c>
      <c r="F21">
        <v>284.81796740783875</v>
      </c>
      <c r="G21">
        <v>2328.9009750433984</v>
      </c>
      <c r="H21" s="46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10362.397170312695</v>
      </c>
      <c r="R21">
        <v>0</v>
      </c>
      <c r="S21">
        <v>10362.397170312699</v>
      </c>
      <c r="T21">
        <v>10362.397170312699</v>
      </c>
      <c r="U21">
        <v>0</v>
      </c>
      <c r="V21">
        <v>2.9036318390000335E-12</v>
      </c>
      <c r="W21">
        <v>8033.4961952693011</v>
      </c>
      <c r="X21">
        <v>0</v>
      </c>
      <c r="Y21">
        <v>0</v>
      </c>
      <c r="Z21">
        <v>12.539154976499972</v>
      </c>
      <c r="AA21" s="39">
        <v>67.62</v>
      </c>
      <c r="AB21" s="39">
        <f>AA21*Flows[[#This Row],[p_tur]]</f>
        <v>19259.390956118059</v>
      </c>
    </row>
    <row r="22" spans="5:28">
      <c r="E22">
        <v>12</v>
      </c>
      <c r="F22">
        <v>284.81796740783869</v>
      </c>
      <c r="G22">
        <v>2328.9009750433984</v>
      </c>
      <c r="H22" s="46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10362.397170312697</v>
      </c>
      <c r="R22">
        <v>0</v>
      </c>
      <c r="S22">
        <v>10362.397170312699</v>
      </c>
      <c r="T22">
        <v>10362.397170312699</v>
      </c>
      <c r="U22">
        <v>0</v>
      </c>
      <c r="V22">
        <v>0</v>
      </c>
      <c r="W22">
        <v>8033.4961952693002</v>
      </c>
      <c r="X22">
        <v>0</v>
      </c>
      <c r="Y22">
        <v>0</v>
      </c>
      <c r="Z22">
        <v>12.539154976499971</v>
      </c>
      <c r="AA22" s="38">
        <v>69.34</v>
      </c>
      <c r="AB22" s="38">
        <f>AA22*Flows[[#This Row],[p_tur]]</f>
        <v>19749.277860059537</v>
      </c>
    </row>
    <row r="23" spans="5:28">
      <c r="E23">
        <v>13</v>
      </c>
      <c r="F23">
        <v>302.54486740783875</v>
      </c>
      <c r="G23">
        <v>2328.9009750433984</v>
      </c>
      <c r="H23" s="46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10862.397170312701</v>
      </c>
      <c r="R23">
        <v>0</v>
      </c>
      <c r="S23">
        <v>10862.397170312699</v>
      </c>
      <c r="T23">
        <v>10862.397170312699</v>
      </c>
      <c r="U23">
        <v>0</v>
      </c>
      <c r="V23">
        <v>499.99999999999943</v>
      </c>
      <c r="W23">
        <v>8533.4961952693011</v>
      </c>
      <c r="X23">
        <v>0</v>
      </c>
      <c r="Y23">
        <v>500.00000000000011</v>
      </c>
      <c r="Z23">
        <v>12.606398191814019</v>
      </c>
      <c r="AA23" s="39">
        <v>69.23</v>
      </c>
      <c r="AB23" s="39">
        <f>AA23*Flows[[#This Row],[p_tur]]</f>
        <v>20945.181170644679</v>
      </c>
    </row>
    <row r="24" spans="5:28">
      <c r="E24">
        <v>14</v>
      </c>
      <c r="F24">
        <v>320.27176740783875</v>
      </c>
      <c r="G24">
        <v>828.90097504339974</v>
      </c>
      <c r="H24" s="46">
        <v>1.0000000000000002</v>
      </c>
      <c r="I24">
        <v>1499.9999999999986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9862.397170312699</v>
      </c>
      <c r="R24">
        <v>0</v>
      </c>
      <c r="S24">
        <v>9862.397170312699</v>
      </c>
      <c r="T24">
        <v>9862.3971703127008</v>
      </c>
      <c r="U24">
        <v>999.99999999999818</v>
      </c>
      <c r="V24">
        <v>0</v>
      </c>
      <c r="W24">
        <v>9033.4961952692993</v>
      </c>
      <c r="X24">
        <v>0</v>
      </c>
      <c r="Y24">
        <v>500</v>
      </c>
      <c r="Z24">
        <v>13.453697083504165</v>
      </c>
      <c r="AA24" s="38">
        <v>74.680000000000007</v>
      </c>
      <c r="AB24" s="38">
        <f>AA24*Flows[[#This Row],[p_tur]]</f>
        <v>23917.895590017401</v>
      </c>
    </row>
    <row r="25" spans="5:28">
      <c r="E25">
        <v>15</v>
      </c>
      <c r="F25">
        <v>337.9986674078387</v>
      </c>
      <c r="G25">
        <v>828.90097504339974</v>
      </c>
      <c r="H25" s="46">
        <v>1.0000000000000002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10362.397170312699</v>
      </c>
      <c r="R25">
        <v>0</v>
      </c>
      <c r="S25">
        <v>10362.397170312699</v>
      </c>
      <c r="T25">
        <v>10362.397170312701</v>
      </c>
      <c r="U25">
        <v>0</v>
      </c>
      <c r="V25">
        <v>499.9999999999996</v>
      </c>
      <c r="W25">
        <v>9533.4961952692993</v>
      </c>
      <c r="X25">
        <v>0</v>
      </c>
      <c r="Y25">
        <v>500</v>
      </c>
      <c r="Z25">
        <v>13.480056955043395</v>
      </c>
      <c r="AA25" s="39">
        <v>86.84</v>
      </c>
      <c r="AB25" s="39">
        <f>AA25*Flows[[#This Row],[p_tur]]</f>
        <v>29351.804277696712</v>
      </c>
    </row>
    <row r="26" spans="5:28">
      <c r="E26">
        <v>16</v>
      </c>
      <c r="F26">
        <v>355.7255674078387</v>
      </c>
      <c r="G26">
        <v>828.90097504339951</v>
      </c>
      <c r="H26" s="46">
        <v>1.0000000000000002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10862.397170312699</v>
      </c>
      <c r="R26">
        <v>0</v>
      </c>
      <c r="S26">
        <v>10862.397170312699</v>
      </c>
      <c r="T26">
        <v>10862.397170312699</v>
      </c>
      <c r="U26">
        <v>0</v>
      </c>
      <c r="V26">
        <v>499.99999999999875</v>
      </c>
      <c r="W26">
        <v>10033.496195269299</v>
      </c>
      <c r="X26">
        <v>0</v>
      </c>
      <c r="Y26">
        <v>500</v>
      </c>
      <c r="Z26">
        <v>13.503990118083024</v>
      </c>
      <c r="AA26" s="38">
        <v>97.79</v>
      </c>
      <c r="AB26" s="38">
        <f>AA26*Flows[[#This Row],[p_tur]]</f>
        <v>34786.403236812548</v>
      </c>
    </row>
    <row r="27" spans="5:28">
      <c r="E27">
        <v>17</v>
      </c>
      <c r="F27">
        <v>355.72556740783881</v>
      </c>
      <c r="G27">
        <v>828.90097504339951</v>
      </c>
      <c r="H27" s="46">
        <v>1.0000000000000002</v>
      </c>
      <c r="I27">
        <v>1.0291522693870346E-13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10862.397170312699</v>
      </c>
      <c r="R27">
        <v>0</v>
      </c>
      <c r="S27">
        <v>10862.397170312701</v>
      </c>
      <c r="T27">
        <v>10862.397170312699</v>
      </c>
      <c r="U27">
        <v>0</v>
      </c>
      <c r="V27">
        <v>1.5756238328608479E-12</v>
      </c>
      <c r="W27">
        <v>10033.496195269301</v>
      </c>
      <c r="X27">
        <v>0</v>
      </c>
      <c r="Y27">
        <v>0</v>
      </c>
      <c r="Z27">
        <v>13.503990118083024</v>
      </c>
      <c r="AA27" s="39">
        <v>91.29</v>
      </c>
      <c r="AB27" s="39">
        <f>AA27*Flows[[#This Row],[p_tur]]</f>
        <v>32474.187048661606</v>
      </c>
    </row>
    <row r="28" spans="5:28">
      <c r="E28">
        <v>18</v>
      </c>
      <c r="F28">
        <v>332.41038036655061</v>
      </c>
      <c r="G28">
        <v>1486.5226415865691</v>
      </c>
      <c r="H28" s="46">
        <v>1</v>
      </c>
      <c r="I28">
        <v>0</v>
      </c>
      <c r="J28">
        <v>657.62166654316934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10862.397170312699</v>
      </c>
      <c r="R28">
        <v>0</v>
      </c>
      <c r="S28">
        <v>10862.397170312701</v>
      </c>
      <c r="T28">
        <v>10862.397170312699</v>
      </c>
      <c r="U28">
        <v>0</v>
      </c>
      <c r="V28">
        <v>0</v>
      </c>
      <c r="W28">
        <v>9375.8745287261336</v>
      </c>
      <c r="X28">
        <v>657.62166654316775</v>
      </c>
      <c r="Y28">
        <v>0</v>
      </c>
      <c r="Z28">
        <v>13.11047285246388</v>
      </c>
      <c r="AA28" s="38">
        <v>99.07</v>
      </c>
      <c r="AB28" s="38">
        <f>AA28*Flows[[#This Row],[p_tur]]</f>
        <v>32931.896382914165</v>
      </c>
    </row>
    <row r="29" spans="5:28">
      <c r="E29">
        <v>19</v>
      </c>
      <c r="F29">
        <v>313.37486568386322</v>
      </c>
      <c r="G29">
        <v>2023.4330625481359</v>
      </c>
      <c r="H29" s="46">
        <v>1</v>
      </c>
      <c r="I29">
        <v>0</v>
      </c>
      <c r="J29">
        <v>536.91042096156684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10862.397170312694</v>
      </c>
      <c r="R29">
        <v>0</v>
      </c>
      <c r="S29">
        <v>10862.397170312697</v>
      </c>
      <c r="T29">
        <v>10862.397170312699</v>
      </c>
      <c r="U29">
        <v>1.5756238328608479E-12</v>
      </c>
      <c r="V29">
        <v>0</v>
      </c>
      <c r="W29">
        <v>8838.964107764561</v>
      </c>
      <c r="X29">
        <v>536.91042096157207</v>
      </c>
      <c r="Y29">
        <v>0</v>
      </c>
      <c r="Z29">
        <v>12.789188546474012</v>
      </c>
      <c r="AA29" s="39">
        <v>103.56</v>
      </c>
      <c r="AB29" s="39">
        <f>AA29*Flows[[#This Row],[p_tur]]</f>
        <v>32453.101090220876</v>
      </c>
    </row>
    <row r="30" spans="5:28">
      <c r="E30">
        <v>20</v>
      </c>
      <c r="F30">
        <v>313.37486568386322</v>
      </c>
      <c r="G30">
        <v>2023.4330625481359</v>
      </c>
      <c r="H30" s="46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10862.397170312699</v>
      </c>
      <c r="R30">
        <v>0</v>
      </c>
      <c r="S30">
        <v>10862.397170312697</v>
      </c>
      <c r="T30">
        <v>10862.397170312699</v>
      </c>
      <c r="U30">
        <v>0</v>
      </c>
      <c r="V30">
        <v>1.2243199805705242E-12</v>
      </c>
      <c r="W30">
        <v>8838.964107764561</v>
      </c>
      <c r="X30">
        <v>0</v>
      </c>
      <c r="Y30">
        <v>0</v>
      </c>
      <c r="Z30">
        <v>12.789188546474012</v>
      </c>
      <c r="AA30" s="38">
        <v>108.67</v>
      </c>
      <c r="AB30" s="38">
        <f>AA30*Flows[[#This Row],[p_tur]]</f>
        <v>34054.446653865416</v>
      </c>
    </row>
    <row r="31" spans="5:28">
      <c r="E31">
        <v>21</v>
      </c>
      <c r="F31">
        <v>313.37486568386322</v>
      </c>
      <c r="G31">
        <v>2023.4330625481361</v>
      </c>
      <c r="H31" s="46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10862.397170312697</v>
      </c>
      <c r="R31">
        <v>0</v>
      </c>
      <c r="S31">
        <v>10862.397170312697</v>
      </c>
      <c r="T31">
        <v>10862.397170312697</v>
      </c>
      <c r="U31">
        <v>3.6729599417115732E-12</v>
      </c>
      <c r="V31">
        <v>0</v>
      </c>
      <c r="W31">
        <v>8838.964107764561</v>
      </c>
      <c r="X31">
        <v>0</v>
      </c>
      <c r="Y31">
        <v>0</v>
      </c>
      <c r="Z31">
        <v>12.789188546474012</v>
      </c>
      <c r="AA31" s="39">
        <v>98.73</v>
      </c>
      <c r="AB31" s="39">
        <f>AA31*Flows[[#This Row],[p_tur]]</f>
        <v>30939.500488967817</v>
      </c>
    </row>
    <row r="32" spans="5:28">
      <c r="E32">
        <v>22</v>
      </c>
      <c r="F32">
        <v>277.92106568386316</v>
      </c>
      <c r="G32">
        <v>2023.4330625481366</v>
      </c>
      <c r="H32" s="46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9862.397170312699</v>
      </c>
      <c r="R32">
        <v>0</v>
      </c>
      <c r="S32">
        <v>9862.3971703126972</v>
      </c>
      <c r="T32">
        <v>9862.397170312699</v>
      </c>
      <c r="U32">
        <v>999.99999999999761</v>
      </c>
      <c r="V32">
        <v>0</v>
      </c>
      <c r="W32">
        <v>7838.9641077645601</v>
      </c>
      <c r="X32">
        <v>1000</v>
      </c>
      <c r="Y32">
        <v>0</v>
      </c>
      <c r="Z32">
        <v>12.666418044270886</v>
      </c>
      <c r="AA32" s="38">
        <v>91.91</v>
      </c>
      <c r="AB32" s="38">
        <f>AA32*Flows[[#This Row],[p_tur]]</f>
        <v>25543.725147003861</v>
      </c>
    </row>
    <row r="33" spans="5:28">
      <c r="E33">
        <v>23</v>
      </c>
      <c r="F33">
        <v>242.46726568386322</v>
      </c>
      <c r="G33">
        <v>2328.900975043397</v>
      </c>
      <c r="H33" s="46">
        <v>1</v>
      </c>
      <c r="I33">
        <v>0</v>
      </c>
      <c r="J33">
        <v>305.46791249526046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9167.8650828079572</v>
      </c>
      <c r="R33">
        <v>0</v>
      </c>
      <c r="S33">
        <v>9167.865082807959</v>
      </c>
      <c r="T33">
        <v>9167.865082807959</v>
      </c>
      <c r="U33">
        <v>694.53208750474084</v>
      </c>
      <c r="V33">
        <v>0</v>
      </c>
      <c r="W33">
        <v>6838.964107764561</v>
      </c>
      <c r="X33">
        <v>1000</v>
      </c>
      <c r="Y33">
        <v>0</v>
      </c>
      <c r="Z33">
        <v>12.348813360466073</v>
      </c>
      <c r="AA33" s="39">
        <v>53.34</v>
      </c>
      <c r="AB33" s="39">
        <f>AA33*Flows[[#This Row],[p_tur]]</f>
        <v>12933.203951577265</v>
      </c>
    </row>
    <row r="34" spans="5:28">
      <c r="E34">
        <v>24</v>
      </c>
      <c r="F34">
        <v>213.91036740783878</v>
      </c>
      <c r="G34">
        <v>2328.9009750433975</v>
      </c>
      <c r="H34" s="46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8362.3971703127008</v>
      </c>
      <c r="R34">
        <v>0</v>
      </c>
      <c r="S34">
        <v>8362.397170312699</v>
      </c>
      <c r="T34">
        <v>8362.3971703126972</v>
      </c>
      <c r="U34">
        <v>805.46791249525938</v>
      </c>
      <c r="V34">
        <v>0</v>
      </c>
      <c r="W34">
        <v>6033.496195269302</v>
      </c>
      <c r="X34">
        <v>805.46791249525802</v>
      </c>
      <c r="Y34">
        <v>0</v>
      </c>
      <c r="Z34">
        <v>12.189770704562692</v>
      </c>
      <c r="AA34" s="42">
        <v>48.72</v>
      </c>
      <c r="AB34" s="42">
        <f>AA34*Flows[[#This Row],[p_tur]]</f>
        <v>10421.713100109904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59FACD1E-4945-4CE9-AA63-B8BE6FD890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0A151E10-AE45-4E35-88CC-854F011696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2024-08-07T15:00:07Z</dcterms:modified>
</cp:coreProperties>
</file>