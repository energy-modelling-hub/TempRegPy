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67CBACFD-C479-4D1F-8D11-2C1EDB0F5257}" xr6:coauthVersionLast="47" xr6:coauthVersionMax="47" xr10:uidLastSave="{00000000-0000-0000-0000-000000000000}"/>
  <bookViews>
    <workbookView xWindow="14595" yWindow="-16320" windowWidth="29040" windowHeight="15840" xr2:uid="{EDE72A4E-5E83-4998-A3FD-57974B6FA13E}"/>
  </bookViews>
  <sheets>
    <sheet name="Inputs" sheetId="1" r:id="rId1"/>
    <sheet name="Power and Flow" sheetId="7" r:id="rId2"/>
  </sheets>
  <definedNames>
    <definedName name="ExternalData_1" localSheetId="1" hidden="1">'Power and Flow'!$E$4:$AC$14</definedName>
    <definedName name="FolderPath">'Power and Flow'!$F$3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1" l="1"/>
  <c r="G57" i="1"/>
  <c r="G55" i="1"/>
  <c r="G58" i="1"/>
  <c r="G56" i="1"/>
  <c r="G54" i="1"/>
  <c r="G25" i="1"/>
  <c r="G31" i="1"/>
  <c r="G36" i="1"/>
  <c r="G40" i="1"/>
  <c r="G11" i="1"/>
  <c r="G19" i="1"/>
  <c r="F3" i="7" a="1"/>
  <c r="F3" i="7" s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G49" i="1"/>
  <c r="G48" i="1"/>
  <c r="F4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B1CD3-1BFB-4C5D-96ED-E45AA34A2346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3E631FE1-A3DE-4CCF-9C03-6B59F0054B8E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2F22C7BF-3A44-4780-9C55-8D721CBEE717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4" xr16:uid="{E7803D36-A7C7-4D69-895F-47B1B4A41B17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16053428-49CB-460F-A3A2-B6460BDF58CB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F98802DC-6C75-48C1-A492-2178D4CBD851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7" xr16:uid="{37817FA3-9501-473F-B61C-6A6237D07F79}" keepAlive="1" name="Query - Test2" description="Connection to the 'Test2' query in the workbook." type="5" refreshedVersion="0" background="1">
    <dbPr connection="Provider=Microsoft.Mashup.OleDb.1;Data Source=$Workbook$;Location=Test2;Extended Properties=&quot;&quot;" command="SELECT * FROM [Test2]"/>
  </connection>
  <connection id="8" xr16:uid="{75FD620C-E26F-42F5-A7D5-4FA824849ABA}" keepAlive="1" name="Query - Test2 (2)" description="Connection to the 'Test2 (2)' query in the workbook." type="5" refreshedVersion="8" background="1" saveData="1">
    <dbPr connection="Provider=Microsoft.Mashup.OleDb.1;Data Source=$Workbook$;Location=&quot;Test2 (2)&quot;;Extended Properties=&quot;&quot;" command="SELECT * FROM [Test2 (2)]"/>
  </connection>
  <connection id="9" xr16:uid="{672D35CE-A44B-423F-B073-DFF840F8460B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0" xr16:uid="{D7B258D1-276E-4884-ADB2-858B8CF4884A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1" xr16:uid="{052078D4-BF52-490D-B3BD-D9A59A707C37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2" xr16:uid="{A85AC0D3-B385-4573-BFE0-870E82601DE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3" xr16:uid="{53BB30D5-8C50-4B56-9E47-81EBC32585DB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4" xr16:uid="{22FDD07A-9AE0-479C-8B0B-926AEB8F2C19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<sst xmlns="http://schemas.openxmlformats.org/spreadsheetml/2006/main" count="297" uniqueCount="185">
  <si>
    <t>Glen Canyon Dam Inputs</t>
  </si>
  <si>
    <t>Temperature</t>
  </si>
  <si>
    <t>LMP_values</t>
  </si>
  <si>
    <t>T_RM61_hourly_max_values</t>
  </si>
  <si>
    <t>T_RM61_hourly_min_values</t>
  </si>
  <si>
    <t>dT_hourly_values</t>
  </si>
  <si>
    <t>T_ramp_up_delta</t>
  </si>
  <si>
    <t>T_ramp_down_delta</t>
  </si>
  <si>
    <t>T_RM61_daily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</si>
  <si>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</si>
  <si>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</si>
  <si>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</si>
  <si>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</si>
  <si>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</si>
  <si>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</si>
  <si>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</si>
  <si>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</si>
  <si>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</si>
  <si>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</si>
  <si>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</si>
  <si>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</si>
  <si>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</si>
  <si>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</si>
  <si>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</si>
  <si>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</si>
  <si>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</si>
  <si>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</si>
  <si>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</si>
  <si>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</si>
  <si>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</si>
  <si>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</si>
  <si>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</si>
  <si>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</si>
  <si>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</si>
  <si>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</si>
  <si>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</si>
  <si>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</si>
  <si>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</si>
  <si>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</si>
  <si>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</si>
  <si>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</si>
  <si>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</si>
  <si>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</si>
  <si>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</si>
  <si>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</si>
  <si>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</si>
  <si>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</si>
  <si>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</si>
  <si>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</si>
  <si>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</si>
  <si>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</si>
  <si>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</si>
  <si>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</si>
  <si>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</si>
  <si>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</si>
  <si>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</si>
  <si>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</si>
  <si>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</si>
  <si>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</si>
  <si>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</si>
  <si>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</si>
  <si>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</si>
  <si>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</si>
  <si>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</si>
  <si>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</si>
  <si>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</si>
  <si>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Total release - daily (CFS)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</si>
  <si>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</si>
  <si>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</si>
  <si>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</si>
  <si>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</si>
  <si>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</si>
  <si>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</si>
  <si>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</si>
  <si>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</si>
  <si>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</si>
  <si>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</si>
  <si>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</si>
  <si>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</si>
  <si>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</si>
  <si>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</si>
  <si>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</si>
  <si>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</si>
  <si>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</si>
  <si>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</si>
  <si>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</si>
  <si>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</si>
  <si>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</si>
  <si>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</si>
  <si>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</si>
  <si>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</si>
  <si>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</si>
  <si>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</si>
  <si>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</si>
  <si>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</si>
  <si>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</si>
  <si>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</si>
  <si>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</si>
  <si>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</si>
  <si>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</si>
  <si>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</si>
  <si>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</si>
  <si>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Bypass Ramping Constraint</t>
  </si>
  <si>
    <t>Turbine Ramping Constraint</t>
  </si>
  <si>
    <t>cnstr_tur_ramp</t>
  </si>
  <si>
    <t>cnstr_bp_ramp</t>
  </si>
  <si>
    <t>Total Release Ramping Constraint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</si>
  <si>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</si>
  <si>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</si>
  <si>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</si>
  <si>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</si>
  <si>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</si>
  <si>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</si>
  <si>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</si>
  <si>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</si>
  <si>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</si>
  <si>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</si>
  <si>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</si>
  <si>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</si>
  <si>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</si>
  <si>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</si>
  <si>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</si>
  <si>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</si>
  <si>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</si>
  <si>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</si>
  <si>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</si>
  <si>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</si>
  <si>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</si>
  <si>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</si>
  <si>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p_tur.csv</t>
  </si>
  <si>
    <t>q_bp.csv</t>
  </si>
  <si>
    <t>q_bp_ramp_down.csv</t>
  </si>
  <si>
    <t>q_bp_ramp_up.csv</t>
  </si>
  <si>
    <t>q_tot.csv</t>
  </si>
  <si>
    <t>q_tot_ramp_down.csv</t>
  </si>
  <si>
    <t>q_tot_ramp_up.csv</t>
  </si>
  <si>
    <t>q_tur.csv</t>
  </si>
  <si>
    <t>q_tur_ramp_down.csv</t>
  </si>
  <si>
    <t>q_tur_ramp_up.csv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</si>
  <si>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</si>
  <si>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</si>
  <si>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</si>
  <si>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</si>
  <si>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</si>
  <si>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</si>
  <si>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</si>
  <si>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</si>
  <si>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</si>
  <si>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</si>
  <si>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</si>
  <si>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</si>
  <si>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</si>
  <si>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</si>
  <si>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</si>
  <si>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</si>
  <si>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</si>
  <si>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</si>
  <si>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</si>
  <si>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</si>
  <si>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</si>
  <si>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</si>
  <si>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</si>
  <si>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</si>
  <si>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</si>
  <si>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</si>
  <si>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Source.Name</t>
  </si>
  <si>
    <t>Path</t>
  </si>
  <si>
    <t>Test3</t>
  </si>
  <si>
    <t>Simulation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</si>
  <si>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</si>
  <si>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</si>
  <si>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</si>
  <si>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</si>
  <si>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</si>
  <si>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</si>
  <si>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</si>
  <si>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</si>
  <si>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</si>
  <si>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</si>
  <si>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Total Release Ramp Down</t>
  </si>
  <si>
    <t>Total Release Ramp Up</t>
  </si>
  <si>
    <t>Turbine Release</t>
  </si>
  <si>
    <t>Turbine Release Ramp Down</t>
  </si>
  <si>
    <t>Turbine Release Ramp Up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</si>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</sst>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32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164" fontId="0" fillId="0" borderId="0" xfId="0" applyNumberFormat="1"/>
    <xf numFmtId="0" fontId="1" fillId="0" borderId="4" xfId="1"/>
    <xf numFmtId="0" fontId="3" fillId="0" borderId="2" xfId="3"/>
    <xf numFmtId="0" fontId="8" fillId="4" borderId="3" xfId="6"/>
    <xf numFmtId="3" fontId="13" fillId="6" borderId="3" xfId="8" applyNumberFormat="1" applyBorder="1"/>
    <xf numFmtId="0" fontId="15" fillId="0" borderId="7" xfId="9" applyFill="1" applyBorder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37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28575</xdr:rowOff>
        </xdr:from>
        <xdr:to>
          <xdr:col>3</xdr:col>
          <xdr:colOff>4305300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0</xdr:row>
          <xdr:rowOff>142875</xdr:rowOff>
        </xdr:from>
        <xdr:to>
          <xdr:col>4</xdr:col>
          <xdr:colOff>1209675</xdr:colOff>
          <xdr:row>1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DF2F266-D835-4BAC-8257-D75624F19BAE}" autoFormatId="16" applyNumberFormats="0" applyBorderFormats="0" applyFontFormats="0" applyPatternFormats="0" applyAlignmentFormats="0" applyWidthHeightFormats="0">
  <queryTableRefresh nextId="26">
    <queryTableFields count="25">
      <queryTableField id="1" name="Source.Name" tableColumnId="1"/>
      <queryTableField id="2" name="t01" tableColumnId="2"/>
      <queryTableField id="3" name="t02" tableColumnId="3"/>
      <queryTableField id="4" name="t03" tableColumnId="4"/>
      <queryTableField id="5" name="t04" tableColumnId="5"/>
      <queryTableField id="6" name="t05" tableColumnId="6"/>
      <queryTableField id="7" name="t06" tableColumnId="7"/>
      <queryTableField id="8" name="t07" tableColumnId="8"/>
      <queryTableField id="9" name="t08" tableColumnId="9"/>
      <queryTableField id="10" name="t09" tableColumnId="10"/>
      <queryTableField id="11" name="t10" tableColumnId="11"/>
      <queryTableField id="12" name="t11" tableColumnId="12"/>
      <queryTableField id="13" name="t12" tableColumnId="13"/>
      <queryTableField id="14" name="t13" tableColumnId="14"/>
      <queryTableField id="15" name="t14" tableColumnId="15"/>
      <queryTableField id="16" name="t15" tableColumnId="16"/>
      <queryTableField id="17" name="t16" tableColumnId="17"/>
      <queryTableField id="18" name="t17" tableColumnId="18"/>
      <queryTableField id="19" name="t18" tableColumnId="19"/>
      <queryTableField id="20" name="t19" tableColumnId="20"/>
      <queryTableField id="21" name="t20" tableColumnId="21"/>
      <queryTableField id="22" name="t21" tableColumnId="22"/>
      <queryTableField id="23" name="t22" tableColumnId="23"/>
      <queryTableField id="24" name="t23" tableColumnId="24"/>
      <queryTableField id="25" name="t24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Test2__2" displayName="Test2__2" ref="E4:AC14" tableType="queryTable" totalsRowShown="0">
  <autoFilter ref="E4:AC14" xr:uid="{C5018A3B-9F4D-4A44-B817-5FC1E17FA47B}"/>
  <tableColumns count="25">
    <tableColumn id="1" xr3:uid="{FF54D593-8063-4CE1-9C52-EC34C0BD430C}" uniqueName="1" name="Source.Name" queryTableFieldId="1" dataDxfId="24"/>
    <tableColumn id="2" xr3:uid="{B1C85929-C846-4998-82CB-0D909D631D54}" uniqueName="2" name="t01" queryTableFieldId="2" dataDxfId="23"/>
    <tableColumn id="3" xr3:uid="{B67FD431-9B07-4AFA-A6EF-85C024D665C4}" uniqueName="3" name="t02" queryTableFieldId="3" dataDxfId="22"/>
    <tableColumn id="4" xr3:uid="{BEA9CD13-6866-4C23-9ABA-0B0E1D7A4BE5}" uniqueName="4" name="t03" queryTableFieldId="4" dataDxfId="21"/>
    <tableColumn id="5" xr3:uid="{B16A2770-9016-42CD-B968-40D7E65523A3}" uniqueName="5" name="t04" queryTableFieldId="5" dataDxfId="20"/>
    <tableColumn id="6" xr3:uid="{68393FC8-D137-42F9-ADBB-828D113760B3}" uniqueName="6" name="t05" queryTableFieldId="6" dataDxfId="19"/>
    <tableColumn id="7" xr3:uid="{8897B09F-EA75-4C7C-B397-4B09B7B6CB6C}" uniqueName="7" name="t06" queryTableFieldId="7" dataDxfId="18"/>
    <tableColumn id="8" xr3:uid="{4A96D110-C5B6-4F39-891E-8DEE2583ED57}" uniqueName="8" name="t07" queryTableFieldId="8" dataDxfId="17"/>
    <tableColumn id="9" xr3:uid="{27F371DD-9B60-490B-8896-178582C1EBB1}" uniqueName="9" name="t08" queryTableFieldId="9" dataDxfId="16"/>
    <tableColumn id="10" xr3:uid="{93BED942-1E7D-442D-A228-6DCC17557474}" uniqueName="10" name="t09" queryTableFieldId="10" dataDxfId="15"/>
    <tableColumn id="11" xr3:uid="{618965B6-7F06-444B-BFF7-99CB09A01E72}" uniqueName="11" name="t10" queryTableFieldId="11" dataDxfId="14"/>
    <tableColumn id="12" xr3:uid="{02C2494E-BDC9-41AE-ABEB-792ED95EFE75}" uniqueName="12" name="t11" queryTableFieldId="12" dataDxfId="13"/>
    <tableColumn id="13" xr3:uid="{0A34214F-D086-453D-8BF6-D2A0169B6C40}" uniqueName="13" name="t12" queryTableFieldId="13" dataDxfId="12"/>
    <tableColumn id="14" xr3:uid="{718C9A4E-1AD5-4A6D-BCA4-D095D82E8052}" uniqueName="14" name="t13" queryTableFieldId="14" dataDxfId="11"/>
    <tableColumn id="15" xr3:uid="{26F6629E-6D9C-406F-8F0A-A7ABC9A8E627}" uniqueName="15" name="t14" queryTableFieldId="15" dataDxfId="10"/>
    <tableColumn id="16" xr3:uid="{E203C623-C7E6-4CD3-8B47-CBD24AD4799E}" uniqueName="16" name="t15" queryTableFieldId="16" dataDxfId="9"/>
    <tableColumn id="17" xr3:uid="{3EBC9658-520D-4F90-88DC-DC78646BFBCC}" uniqueName="17" name="t16" queryTableFieldId="17" dataDxfId="8"/>
    <tableColumn id="18" xr3:uid="{EF67963C-52DD-46E8-A407-3C9A9716D004}" uniqueName="18" name="t17" queryTableFieldId="18" dataDxfId="7"/>
    <tableColumn id="19" xr3:uid="{C796B943-214D-46C5-B49C-DB352F53D289}" uniqueName="19" name="t18" queryTableFieldId="19" dataDxfId="6"/>
    <tableColumn id="20" xr3:uid="{383557AA-413F-4E3B-90C7-8C46C8B957D3}" uniqueName="20" name="t19" queryTableFieldId="20" dataDxfId="5"/>
    <tableColumn id="21" xr3:uid="{0B146AE2-56D2-4C1A-B418-5A129D76D3AB}" uniqueName="21" name="t20" queryTableFieldId="21" dataDxfId="4"/>
    <tableColumn id="22" xr3:uid="{897E12E3-D215-4482-B290-4046125A6CF1}" uniqueName="22" name="t21" queryTableFieldId="22" dataDxfId="3"/>
    <tableColumn id="23" xr3:uid="{1D8A7754-6ACD-4646-8ABE-AAED65EEA8DE}" uniqueName="23" name="t22" queryTableFieldId="23" dataDxfId="2"/>
    <tableColumn id="24" xr3:uid="{6D03B0CD-2E9E-4749-8F0E-E5F69127CE05}" uniqueName="24" name="t23" queryTableFieldId="24" dataDxfId="1"/>
    <tableColumn id="25" xr3:uid="{A2CEF44C-C75A-46DB-8558-73A5D472F16C}" uniqueName="25" name="t24" queryTableFieldId="2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D59"/>
  <sheetViews>
    <sheetView tabSelected="1" workbookViewId="0">
      <selection activeCell="F14" sqref="F14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3.140625" bestFit="1" customWidth="1"/>
  </cols>
  <sheetData>
    <row r="1" spans="4:30" ht="24.75" thickBot="1">
      <c r="D1" s="6" t="s">
        <v>0</v>
      </c>
      <c r="E1" s="13" t="s">
        <v>37</v>
      </c>
      <c r="F1" s="14" t="s">
        <v>65</v>
      </c>
      <c r="G1" s="14" t="s">
        <v>12</v>
      </c>
      <c r="H1" s="14" t="s">
        <v>13</v>
      </c>
      <c r="I1" s="14" t="s">
        <v>14</v>
      </c>
      <c r="J1" s="14" t="s">
        <v>15</v>
      </c>
      <c r="K1" s="14" t="s">
        <v>16</v>
      </c>
      <c r="L1" s="14" t="s">
        <v>17</v>
      </c>
      <c r="M1" s="14" t="s">
        <v>18</v>
      </c>
      <c r="N1" s="14" t="s">
        <v>19</v>
      </c>
      <c r="O1" s="14" t="s">
        <v>20</v>
      </c>
      <c r="P1" s="14" t="s">
        <v>21</v>
      </c>
      <c r="Q1" s="14" t="s">
        <v>22</v>
      </c>
      <c r="R1" s="14" t="s">
        <v>23</v>
      </c>
      <c r="S1" s="14" t="s">
        <v>24</v>
      </c>
      <c r="T1" s="14" t="s">
        <v>25</v>
      </c>
      <c r="U1" s="14" t="s">
        <v>26</v>
      </c>
      <c r="V1" s="14" t="s">
        <v>27</v>
      </c>
      <c r="W1" s="14" t="s">
        <v>28</v>
      </c>
      <c r="X1" s="14" t="s">
        <v>29</v>
      </c>
      <c r="Y1" s="14" t="s">
        <v>30</v>
      </c>
      <c r="Z1" s="14" t="s">
        <v>31</v>
      </c>
      <c r="AA1" s="14" t="s">
        <v>32</v>
      </c>
      <c r="AB1" s="14" t="s">
        <v>33</v>
      </c>
      <c r="AC1" s="14" t="s">
        <v>34</v>
      </c>
      <c r="AD1" s="14" t="s">
        <v>35</v>
      </c>
    </row>
    <row r="2" spans="4:30" ht="15.75" customHeight="1" thickTop="1" thickBot="1">
      <c r="D2" s="1" t="s">
        <v>124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4:30" ht="15.75" customHeight="1" thickTop="1">
      <c r="D3" t="s">
        <v>123</v>
      </c>
      <c r="F3" s="22" t="s">
        <v>125</v>
      </c>
      <c r="G3" s="23" t="s">
        <v>126</v>
      </c>
      <c r="H3" s="16" t="s">
        <v>127</v>
      </c>
      <c r="I3" s="2" t="s">
        <v>122</v>
      </c>
      <c r="AD3" s="16" t="b">
        <v>1</v>
      </c>
    </row>
    <row r="4" spans="4:30" ht="15.75" customHeight="1">
      <c r="F4" s="15"/>
      <c r="G4" s="24"/>
      <c r="H4" s="25"/>
      <c r="AD4" s="17" t="b">
        <v>0</v>
      </c>
    </row>
    <row r="5" spans="4:30" ht="15.75" customHeight="1" thickBot="1">
      <c r="D5" s="1" t="s">
        <v>101</v>
      </c>
      <c r="E5" s="7" t="s">
        <v>37</v>
      </c>
      <c r="F5" s="3" t="s">
        <v>65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4:30" ht="15.75" customHeight="1" thickTop="1">
      <c r="D6" t="s">
        <v>100</v>
      </c>
      <c r="E6" s="2" t="s">
        <v>99</v>
      </c>
      <c r="F6" s="30" t="s">
        <v>128</v>
      </c>
    </row>
    <row r="7" spans="4:30" ht="15.75" customHeight="1">
      <c r="D7" t="s">
        <v>121</v>
      </c>
      <c r="E7" s="2" t="s">
        <v>120</v>
      </c>
      <c r="F7" s="4" t="s">
        <v>184</v>
      </c>
    </row>
    <row r="8" spans="4:30" ht="15.75" customHeight="1">
      <c r="D8" t="s">
        <v>163</v>
      </c>
      <c r="E8" s="2" t="s">
        <v>164</v>
      </c>
      <c r="F8" s="4" t="b">
        <v>1</v>
      </c>
    </row>
    <row r="10" spans="4:30" ht="20.25" thickBot="1">
      <c r="D10" s="1" t="s">
        <v>60</v>
      </c>
      <c r="E10" s="7" t="s">
        <v>37</v>
      </c>
      <c r="F10" s="3" t="s">
        <v>65</v>
      </c>
      <c r="G10" s="3" t="s">
        <v>12</v>
      </c>
      <c r="H10" s="3" t="s">
        <v>13</v>
      </c>
      <c r="I10" s="3" t="s">
        <v>14</v>
      </c>
      <c r="J10" s="3" t="s">
        <v>15</v>
      </c>
      <c r="K10" s="3" t="s">
        <v>16</v>
      </c>
      <c r="L10" s="3" t="s">
        <v>17</v>
      </c>
      <c r="M10" s="3" t="s">
        <v>18</v>
      </c>
      <c r="N10" s="3" t="s">
        <v>19</v>
      </c>
      <c r="O10" s="3" t="s">
        <v>20</v>
      </c>
      <c r="P10" s="3" t="s">
        <v>21</v>
      </c>
      <c r="Q10" s="3" t="s">
        <v>22</v>
      </c>
      <c r="R10" s="3" t="s">
        <v>23</v>
      </c>
      <c r="S10" s="3" t="s">
        <v>24</v>
      </c>
      <c r="T10" s="3" t="s">
        <v>25</v>
      </c>
      <c r="U10" s="3" t="s">
        <v>26</v>
      </c>
      <c r="V10" s="3" t="s">
        <v>27</v>
      </c>
      <c r="W10" s="3" t="s">
        <v>28</v>
      </c>
      <c r="X10" s="3" t="s">
        <v>29</v>
      </c>
      <c r="Y10" s="3" t="s">
        <v>30</v>
      </c>
      <c r="Z10" s="3" t="s">
        <v>31</v>
      </c>
      <c r="AA10" s="3" t="s">
        <v>32</v>
      </c>
      <c r="AB10" s="3" t="s">
        <v>33</v>
      </c>
      <c r="AC10" s="3" t="s">
        <v>34</v>
      </c>
      <c r="AD10" s="3" t="s">
        <v>35</v>
      </c>
    </row>
    <row r="11" spans="4:30" ht="15.75" thickTop="1">
      <c r="D11" s="18" t="s">
        <v>66</v>
      </c>
      <c r="E11" s="2" t="s">
        <v>67</v>
      </c>
      <c r="F11" s="8">
        <v>235003</v>
      </c>
      <c r="G11" s="31" t="str">
        <f>IF(F11&gt;SUM(G30:AD30), "The total release of " &amp;F11&amp; " is higher than sum of maximum releases " &amp; SUM(G30:AD30),"")</f>
        <v/>
      </c>
    </row>
    <row r="12" spans="4:30" ht="15.75" customHeight="1" thickBot="1">
      <c r="D12" s="19" t="s">
        <v>108</v>
      </c>
      <c r="E12" s="2" t="s">
        <v>109</v>
      </c>
      <c r="F12" s="4" t="b">
        <v>1</v>
      </c>
    </row>
    <row r="13" spans="4:30">
      <c r="D13" s="18" t="s">
        <v>69</v>
      </c>
      <c r="E13" s="2" t="s">
        <v>68</v>
      </c>
      <c r="F13" s="8">
        <v>2500</v>
      </c>
    </row>
    <row r="14" spans="4:30" ht="15.75" customHeight="1" thickBot="1">
      <c r="D14" s="19" t="s">
        <v>102</v>
      </c>
      <c r="E14" s="2" t="s">
        <v>105</v>
      </c>
      <c r="F14" s="4" t="b">
        <v>1</v>
      </c>
    </row>
    <row r="15" spans="4:30">
      <c r="D15" s="18" t="s">
        <v>77</v>
      </c>
      <c r="E15" s="2" t="s">
        <v>70</v>
      </c>
      <c r="F15" s="8">
        <v>15000</v>
      </c>
    </row>
    <row r="16" spans="4:30">
      <c r="D16" s="18" t="s">
        <v>76</v>
      </c>
      <c r="E16" s="2" t="s">
        <v>71</v>
      </c>
      <c r="F16" s="8">
        <v>15000</v>
      </c>
    </row>
    <row r="17" spans="4:30">
      <c r="D17" s="18" t="s">
        <v>88</v>
      </c>
      <c r="E17" s="2" t="s">
        <v>82</v>
      </c>
      <c r="F17" s="2"/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5000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5000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</row>
    <row r="18" spans="4:30">
      <c r="D18" s="18" t="s">
        <v>89</v>
      </c>
      <c r="E18" s="2" t="s">
        <v>83</v>
      </c>
      <c r="F18" s="2"/>
      <c r="G18" s="8">
        <v>15000</v>
      </c>
      <c r="H18" s="8">
        <v>15000</v>
      </c>
      <c r="I18" s="8">
        <v>15000</v>
      </c>
      <c r="J18" s="8">
        <v>15000</v>
      </c>
      <c r="K18" s="8">
        <v>15000</v>
      </c>
      <c r="L18" s="8">
        <v>15000</v>
      </c>
      <c r="M18" s="8">
        <v>15000</v>
      </c>
      <c r="N18" s="8">
        <v>10000</v>
      </c>
      <c r="O18" s="8">
        <v>15000</v>
      </c>
      <c r="P18" s="8">
        <v>15000</v>
      </c>
      <c r="Q18" s="8">
        <v>15000</v>
      </c>
      <c r="R18" s="8">
        <v>15000</v>
      </c>
      <c r="S18" s="8">
        <v>15000</v>
      </c>
      <c r="T18" s="8">
        <v>15000</v>
      </c>
      <c r="U18" s="8">
        <v>15000</v>
      </c>
      <c r="V18" s="8">
        <v>15000</v>
      </c>
      <c r="W18" s="8">
        <v>15000</v>
      </c>
      <c r="X18" s="8">
        <v>15000</v>
      </c>
      <c r="Y18" s="8">
        <v>15000</v>
      </c>
      <c r="Z18" s="8">
        <v>15000</v>
      </c>
      <c r="AA18" s="8">
        <v>15000</v>
      </c>
      <c r="AB18" s="8">
        <v>15000</v>
      </c>
      <c r="AC18" s="8">
        <v>15000</v>
      </c>
      <c r="AD18" s="8">
        <v>15000</v>
      </c>
    </row>
    <row r="19" spans="4:30" ht="15.75" customHeight="1" thickBot="1">
      <c r="D19" s="19" t="s">
        <v>114</v>
      </c>
      <c r="E19" s="2" t="s">
        <v>110</v>
      </c>
      <c r="F19" s="4" t="b">
        <v>1</v>
      </c>
      <c r="G19" s="31" t="str">
        <f>IF(G39=AD39,"","Might cause infeasibility because Temperature delta between Glen Canyon and RM61 at H01 and H24 are not the same")</f>
        <v/>
      </c>
    </row>
    <row r="20" spans="4:30" ht="15.75" customHeight="1" thickBot="1">
      <c r="D20" s="19" t="s">
        <v>103</v>
      </c>
      <c r="E20" s="2" t="s">
        <v>104</v>
      </c>
      <c r="F20" s="4" t="b">
        <v>1</v>
      </c>
    </row>
    <row r="21" spans="4:30">
      <c r="D21" s="18" t="s">
        <v>79</v>
      </c>
      <c r="E21" s="2" t="s">
        <v>72</v>
      </c>
      <c r="F21" s="8">
        <v>4000</v>
      </c>
    </row>
    <row r="22" spans="4:30">
      <c r="D22" s="18" t="s">
        <v>78</v>
      </c>
      <c r="E22" s="2" t="s">
        <v>73</v>
      </c>
      <c r="F22" s="8">
        <v>25000</v>
      </c>
    </row>
    <row r="23" spans="4:30">
      <c r="D23" s="18" t="s">
        <v>90</v>
      </c>
      <c r="E23" s="2" t="s">
        <v>84</v>
      </c>
      <c r="F23" s="2"/>
      <c r="G23" s="8">
        <v>2400</v>
      </c>
      <c r="H23" s="8">
        <v>2400</v>
      </c>
      <c r="I23" s="8">
        <v>2400</v>
      </c>
      <c r="J23" s="8">
        <v>2400</v>
      </c>
      <c r="K23" s="8">
        <v>2400</v>
      </c>
      <c r="L23" s="8">
        <v>2400</v>
      </c>
      <c r="M23" s="8">
        <v>2400</v>
      </c>
      <c r="N23" s="8">
        <v>2400</v>
      </c>
      <c r="O23" s="8">
        <v>2400</v>
      </c>
      <c r="P23" s="8">
        <v>2400</v>
      </c>
      <c r="Q23" s="8">
        <v>2400</v>
      </c>
      <c r="R23" s="8">
        <v>2400</v>
      </c>
      <c r="S23" s="8">
        <v>2400</v>
      </c>
      <c r="T23" s="8">
        <v>2400</v>
      </c>
      <c r="U23" s="8">
        <v>2400</v>
      </c>
      <c r="V23" s="8">
        <v>2400</v>
      </c>
      <c r="W23" s="8">
        <v>2400</v>
      </c>
      <c r="X23" s="8">
        <v>2400</v>
      </c>
      <c r="Y23" s="8">
        <v>2400</v>
      </c>
      <c r="Z23" s="8">
        <v>2400</v>
      </c>
      <c r="AA23" s="8">
        <v>2400</v>
      </c>
      <c r="AB23" s="8">
        <v>2400</v>
      </c>
      <c r="AC23" s="8">
        <v>2400</v>
      </c>
      <c r="AD23" s="8">
        <v>2400</v>
      </c>
    </row>
    <row r="24" spans="4:30">
      <c r="D24" s="18" t="s">
        <v>91</v>
      </c>
      <c r="E24" s="2" t="s">
        <v>85</v>
      </c>
      <c r="F24" s="2"/>
      <c r="G24" s="8">
        <v>25000</v>
      </c>
      <c r="H24" s="8">
        <v>25000</v>
      </c>
      <c r="I24" s="8">
        <v>25000</v>
      </c>
      <c r="J24" s="8">
        <v>25000</v>
      </c>
      <c r="K24" s="8">
        <v>25000</v>
      </c>
      <c r="L24" s="8">
        <v>25000</v>
      </c>
      <c r="M24" s="8">
        <v>25000</v>
      </c>
      <c r="N24" s="8">
        <v>25000</v>
      </c>
      <c r="O24" s="8">
        <v>25000</v>
      </c>
      <c r="P24" s="8">
        <v>25000</v>
      </c>
      <c r="Q24" s="8">
        <v>25000</v>
      </c>
      <c r="R24" s="8">
        <v>25000</v>
      </c>
      <c r="S24" s="8">
        <v>25000</v>
      </c>
      <c r="T24" s="8">
        <v>25000</v>
      </c>
      <c r="U24" s="8">
        <v>25000</v>
      </c>
      <c r="V24" s="8">
        <v>25000</v>
      </c>
      <c r="W24" s="8">
        <v>25000</v>
      </c>
      <c r="X24" s="8">
        <v>25000</v>
      </c>
      <c r="Y24" s="8">
        <v>25000</v>
      </c>
      <c r="Z24" s="8">
        <v>25000</v>
      </c>
      <c r="AA24" s="8">
        <v>25000</v>
      </c>
      <c r="AB24" s="8">
        <v>25000</v>
      </c>
      <c r="AC24" s="8">
        <v>25000</v>
      </c>
      <c r="AD24" s="8">
        <v>25000</v>
      </c>
    </row>
    <row r="25" spans="4:30" ht="15.75" customHeight="1" thickBot="1">
      <c r="D25" s="19" t="s">
        <v>115</v>
      </c>
      <c r="E25" s="2" t="s">
        <v>111</v>
      </c>
      <c r="F25" s="4" t="b">
        <v>1</v>
      </c>
      <c r="G25" s="31" t="str">
        <f>IF(G39=AD39,"","Might cause infeasibility because Temperature delta between Glen Canyon and RM61 at H01 and H24 are not the same")</f>
        <v/>
      </c>
    </row>
    <row r="26" spans="4:30" ht="15.75" customHeight="1" thickBot="1">
      <c r="D26" s="19" t="s">
        <v>106</v>
      </c>
      <c r="E26" s="2" t="s">
        <v>107</v>
      </c>
      <c r="F26" s="4" t="b">
        <v>1</v>
      </c>
    </row>
    <row r="27" spans="4:30">
      <c r="D27" s="18" t="s">
        <v>81</v>
      </c>
      <c r="E27" s="2" t="s">
        <v>74</v>
      </c>
      <c r="F27" s="8">
        <v>4000</v>
      </c>
    </row>
    <row r="28" spans="4:30">
      <c r="D28" s="18" t="s">
        <v>80</v>
      </c>
      <c r="E28" s="2" t="s">
        <v>75</v>
      </c>
      <c r="F28" s="8">
        <v>2500</v>
      </c>
    </row>
    <row r="29" spans="4:30">
      <c r="D29" s="18" t="s">
        <v>92</v>
      </c>
      <c r="E29" s="2" t="s">
        <v>86</v>
      </c>
      <c r="F29" s="2"/>
      <c r="G29" s="8">
        <v>7000</v>
      </c>
      <c r="H29" s="8">
        <v>7000</v>
      </c>
      <c r="I29" s="8">
        <v>7000</v>
      </c>
      <c r="J29" s="8">
        <v>7000</v>
      </c>
      <c r="K29" s="8">
        <v>7000</v>
      </c>
      <c r="L29" s="8">
        <v>7000</v>
      </c>
      <c r="M29" s="8">
        <v>7000</v>
      </c>
      <c r="N29" s="8">
        <v>7000</v>
      </c>
      <c r="O29" s="8">
        <v>7000</v>
      </c>
      <c r="P29" s="8">
        <v>7000</v>
      </c>
      <c r="Q29" s="8">
        <v>7000</v>
      </c>
      <c r="R29" s="8">
        <v>7000</v>
      </c>
      <c r="S29" s="8">
        <v>7000</v>
      </c>
      <c r="T29" s="8">
        <v>7000</v>
      </c>
      <c r="U29" s="8">
        <v>7000</v>
      </c>
      <c r="V29" s="8">
        <v>7000</v>
      </c>
      <c r="W29" s="8">
        <v>7000</v>
      </c>
      <c r="X29" s="8">
        <v>7000</v>
      </c>
      <c r="Y29" s="8">
        <v>7000</v>
      </c>
      <c r="Z29" s="8">
        <v>7000</v>
      </c>
      <c r="AA29" s="8">
        <v>7000</v>
      </c>
      <c r="AB29" s="8">
        <v>7000</v>
      </c>
      <c r="AC29" s="8">
        <v>7000</v>
      </c>
      <c r="AD29" s="8">
        <v>7000</v>
      </c>
    </row>
    <row r="30" spans="4:30">
      <c r="D30" s="18" t="s">
        <v>93</v>
      </c>
      <c r="E30" s="2" t="s">
        <v>87</v>
      </c>
      <c r="F30" s="2"/>
      <c r="G30" s="8">
        <v>12100</v>
      </c>
      <c r="H30" s="8">
        <v>12100</v>
      </c>
      <c r="I30" s="8">
        <v>12100</v>
      </c>
      <c r="J30" s="8">
        <v>12100</v>
      </c>
      <c r="K30" s="8">
        <v>12100</v>
      </c>
      <c r="L30" s="8">
        <v>12100</v>
      </c>
      <c r="M30" s="8">
        <v>12100</v>
      </c>
      <c r="N30" s="8">
        <v>12100</v>
      </c>
      <c r="O30" s="8">
        <v>12100</v>
      </c>
      <c r="P30" s="8">
        <v>12100</v>
      </c>
      <c r="Q30" s="8">
        <v>12100</v>
      </c>
      <c r="R30" s="8">
        <v>12100</v>
      </c>
      <c r="S30" s="8">
        <v>12100</v>
      </c>
      <c r="T30" s="8">
        <v>12100</v>
      </c>
      <c r="U30" s="8">
        <v>12100</v>
      </c>
      <c r="V30" s="8">
        <v>12100</v>
      </c>
      <c r="W30" s="8">
        <v>12100</v>
      </c>
      <c r="X30" s="8">
        <v>12100</v>
      </c>
      <c r="Y30" s="8">
        <v>12100</v>
      </c>
      <c r="Z30" s="8">
        <v>12100</v>
      </c>
      <c r="AA30" s="8">
        <v>12100</v>
      </c>
      <c r="AB30" s="8">
        <v>12100</v>
      </c>
      <c r="AC30" s="8">
        <v>12100</v>
      </c>
      <c r="AD30" s="8">
        <v>12100</v>
      </c>
    </row>
    <row r="31" spans="4:30" ht="15.75" customHeight="1" thickBot="1">
      <c r="D31" s="19" t="s">
        <v>116</v>
      </c>
      <c r="E31" s="2" t="s">
        <v>112</v>
      </c>
      <c r="F31" s="4" t="b">
        <v>1</v>
      </c>
      <c r="G31" s="31" t="str">
        <f>IF(G39=AD39,"","Might cause infeasibility because Temperature delta between Glen Canyon and RM61 at H01 and H24 are not the same")</f>
        <v/>
      </c>
    </row>
    <row r="33" spans="4:30" ht="20.25" thickBot="1">
      <c r="D33" s="1" t="s">
        <v>1</v>
      </c>
      <c r="E33" s="7" t="s">
        <v>37</v>
      </c>
      <c r="F33" s="7"/>
      <c r="G33" s="3" t="s">
        <v>12</v>
      </c>
      <c r="H33" s="3" t="s">
        <v>13</v>
      </c>
      <c r="I33" s="3" t="s">
        <v>14</v>
      </c>
      <c r="J33" s="3" t="s">
        <v>15</v>
      </c>
      <c r="K33" s="3" t="s">
        <v>16</v>
      </c>
      <c r="L33" s="3" t="s">
        <v>17</v>
      </c>
      <c r="M33" s="3" t="s">
        <v>18</v>
      </c>
      <c r="N33" s="3" t="s">
        <v>19</v>
      </c>
      <c r="O33" s="3" t="s">
        <v>20</v>
      </c>
      <c r="P33" s="3" t="s">
        <v>21</v>
      </c>
      <c r="Q33" s="3" t="s">
        <v>22</v>
      </c>
      <c r="R33" s="3" t="s">
        <v>23</v>
      </c>
      <c r="S33" s="3" t="s">
        <v>24</v>
      </c>
      <c r="T33" s="3" t="s">
        <v>25</v>
      </c>
      <c r="U33" s="3" t="s">
        <v>26</v>
      </c>
      <c r="V33" s="3" t="s">
        <v>27</v>
      </c>
      <c r="W33" s="3" t="s">
        <v>28</v>
      </c>
      <c r="X33" s="3" t="s">
        <v>29</v>
      </c>
      <c r="Y33" s="3" t="s">
        <v>30</v>
      </c>
      <c r="Z33" s="3" t="s">
        <v>31</v>
      </c>
      <c r="AA33" s="3" t="s">
        <v>32</v>
      </c>
      <c r="AB33" s="3" t="s">
        <v>33</v>
      </c>
      <c r="AC33" s="3" t="s">
        <v>34</v>
      </c>
      <c r="AD33" s="3" t="s">
        <v>35</v>
      </c>
    </row>
    <row r="34" spans="4:30" ht="15.75" thickTop="1">
      <c r="D34" s="18" t="s">
        <v>40</v>
      </c>
      <c r="E34" s="2" t="s">
        <v>10</v>
      </c>
      <c r="F34" s="2"/>
      <c r="G34" s="9">
        <v>7.5</v>
      </c>
      <c r="H34" s="9">
        <v>7.5</v>
      </c>
      <c r="I34" s="9">
        <v>7.5</v>
      </c>
      <c r="J34" s="9">
        <v>7.5</v>
      </c>
      <c r="K34" s="9">
        <v>7.5</v>
      </c>
      <c r="L34" s="9">
        <v>7.5</v>
      </c>
      <c r="M34" s="9">
        <v>7.5</v>
      </c>
      <c r="N34" s="9">
        <v>7.5</v>
      </c>
      <c r="O34" s="9">
        <v>7.5</v>
      </c>
      <c r="P34" s="9">
        <v>7.5</v>
      </c>
      <c r="Q34" s="9">
        <v>7.5</v>
      </c>
      <c r="R34" s="9">
        <v>7.5</v>
      </c>
      <c r="S34" s="9">
        <v>7.5</v>
      </c>
      <c r="T34" s="9">
        <v>7.5</v>
      </c>
      <c r="U34" s="9">
        <v>7.5</v>
      </c>
      <c r="V34" s="9">
        <v>7.5</v>
      </c>
      <c r="W34" s="9">
        <v>7.5</v>
      </c>
      <c r="X34" s="9">
        <v>7.5</v>
      </c>
      <c r="Y34" s="9">
        <v>7.5</v>
      </c>
      <c r="Z34" s="9">
        <v>7.5</v>
      </c>
      <c r="AA34" s="9">
        <v>7.5</v>
      </c>
      <c r="AB34" s="9">
        <v>7.5</v>
      </c>
      <c r="AC34" s="9">
        <v>7.5</v>
      </c>
      <c r="AD34" s="9">
        <v>7.5</v>
      </c>
    </row>
    <row r="35" spans="4:30">
      <c r="D35" s="18" t="s">
        <v>41</v>
      </c>
      <c r="E35" s="2" t="s">
        <v>11</v>
      </c>
      <c r="F35" s="2"/>
      <c r="G35" s="9">
        <v>15.5</v>
      </c>
      <c r="H35" s="9">
        <v>15.5</v>
      </c>
      <c r="I35" s="9">
        <v>15.5</v>
      </c>
      <c r="J35" s="9">
        <v>15.5</v>
      </c>
      <c r="K35" s="9">
        <v>15.5</v>
      </c>
      <c r="L35" s="9">
        <v>15.5</v>
      </c>
      <c r="M35" s="9">
        <v>15.5</v>
      </c>
      <c r="N35" s="9">
        <v>15.5</v>
      </c>
      <c r="O35" s="9">
        <v>15.5</v>
      </c>
      <c r="P35" s="9">
        <v>15.5</v>
      </c>
      <c r="Q35" s="9">
        <v>15.5</v>
      </c>
      <c r="R35" s="9">
        <v>15.5</v>
      </c>
      <c r="S35" s="9">
        <v>15.5</v>
      </c>
      <c r="T35" s="9">
        <v>15.5</v>
      </c>
      <c r="U35" s="9">
        <v>15.5</v>
      </c>
      <c r="V35" s="9">
        <v>15.5</v>
      </c>
      <c r="W35" s="9">
        <v>15.5</v>
      </c>
      <c r="X35" s="9">
        <v>15.5</v>
      </c>
      <c r="Y35" s="9">
        <v>15.5</v>
      </c>
      <c r="Z35" s="9">
        <v>15.5</v>
      </c>
      <c r="AA35" s="9">
        <v>15.5</v>
      </c>
      <c r="AB35" s="9">
        <v>15.5</v>
      </c>
      <c r="AC35" s="9">
        <v>15.5</v>
      </c>
      <c r="AD35" s="9">
        <v>15.5</v>
      </c>
    </row>
    <row r="36" spans="4:30" ht="15.75" customHeight="1" thickBot="1">
      <c r="D36" s="19" t="s">
        <v>117</v>
      </c>
      <c r="E36" s="2" t="s">
        <v>113</v>
      </c>
      <c r="F36" s="4" t="b">
        <v>1</v>
      </c>
      <c r="G36" s="31" t="str">
        <f>IF(G39=AD39,"","Might cause infeasibility because Temperature delta between Glen Canyon and RM61 at H01 and H24 are not the same")</f>
        <v/>
      </c>
    </row>
    <row r="37" spans="4:30">
      <c r="D37" s="18" t="s">
        <v>38</v>
      </c>
      <c r="E37" s="2" t="s">
        <v>3</v>
      </c>
      <c r="F37" s="2"/>
      <c r="G37" s="9">
        <v>15.5</v>
      </c>
      <c r="H37" s="9">
        <v>15.5</v>
      </c>
      <c r="I37" s="9">
        <v>15.5</v>
      </c>
      <c r="J37" s="9">
        <v>15.5</v>
      </c>
      <c r="K37" s="9">
        <v>15.5</v>
      </c>
      <c r="L37" s="9">
        <v>18</v>
      </c>
      <c r="M37" s="9">
        <v>18</v>
      </c>
      <c r="N37" s="9">
        <v>15.5</v>
      </c>
      <c r="O37" s="9">
        <v>15.5</v>
      </c>
      <c r="P37" s="9">
        <v>15.5</v>
      </c>
      <c r="Q37" s="9">
        <v>14.1</v>
      </c>
      <c r="R37" s="9">
        <v>15.5</v>
      </c>
      <c r="S37" s="9">
        <v>15.5</v>
      </c>
      <c r="T37" s="9">
        <v>19</v>
      </c>
      <c r="U37" s="9">
        <v>18</v>
      </c>
      <c r="V37" s="9">
        <v>18</v>
      </c>
      <c r="W37" s="9">
        <v>15.5</v>
      </c>
      <c r="X37" s="9">
        <v>15.5</v>
      </c>
      <c r="Y37" s="9">
        <v>15.5</v>
      </c>
      <c r="Z37" s="9">
        <v>15.5</v>
      </c>
      <c r="AA37" s="9">
        <v>15.5</v>
      </c>
      <c r="AB37" s="9">
        <v>15.5</v>
      </c>
      <c r="AC37" s="9">
        <v>15.5</v>
      </c>
      <c r="AD37" s="9">
        <v>15.5</v>
      </c>
    </row>
    <row r="38" spans="4:30">
      <c r="D38" s="18" t="s">
        <v>39</v>
      </c>
      <c r="E38" s="2" t="s">
        <v>4</v>
      </c>
      <c r="F38" s="2"/>
      <c r="G38" s="9">
        <v>14</v>
      </c>
      <c r="H38" s="9">
        <v>14</v>
      </c>
      <c r="I38" s="9">
        <v>14</v>
      </c>
      <c r="J38" s="9">
        <v>14</v>
      </c>
      <c r="K38" s="9">
        <v>14</v>
      </c>
      <c r="L38" s="9">
        <v>14</v>
      </c>
      <c r="M38" s="9">
        <v>14</v>
      </c>
      <c r="N38" s="9">
        <v>14</v>
      </c>
      <c r="O38" s="9">
        <v>14</v>
      </c>
      <c r="P38" s="9">
        <v>14</v>
      </c>
      <c r="Q38" s="9">
        <v>14</v>
      </c>
      <c r="R38" s="9">
        <v>14</v>
      </c>
      <c r="S38" s="9">
        <v>14</v>
      </c>
      <c r="T38" s="9">
        <v>14</v>
      </c>
      <c r="U38" s="9">
        <v>14</v>
      </c>
      <c r="V38" s="9">
        <v>14</v>
      </c>
      <c r="W38" s="9">
        <v>14</v>
      </c>
      <c r="X38" s="9">
        <v>14</v>
      </c>
      <c r="Y38" s="9">
        <v>14</v>
      </c>
      <c r="Z38" s="9">
        <v>14</v>
      </c>
      <c r="AA38" s="9">
        <v>14</v>
      </c>
      <c r="AB38" s="9">
        <v>14</v>
      </c>
      <c r="AC38" s="9">
        <v>14</v>
      </c>
      <c r="AD38" s="9">
        <v>14</v>
      </c>
    </row>
    <row r="39" spans="4:30">
      <c r="D39" s="18" t="s">
        <v>42</v>
      </c>
      <c r="E39" s="2" t="s">
        <v>5</v>
      </c>
      <c r="F39" s="2"/>
      <c r="G39" s="9">
        <v>2.1</v>
      </c>
      <c r="H39" s="9">
        <v>3.3</v>
      </c>
      <c r="I39" s="9">
        <v>2.2000000000000002</v>
      </c>
      <c r="J39" s="9">
        <v>2.8</v>
      </c>
      <c r="K39" s="9">
        <v>2.8</v>
      </c>
      <c r="L39" s="9">
        <v>2.4</v>
      </c>
      <c r="M39" s="9">
        <v>2.5</v>
      </c>
      <c r="N39" s="9">
        <v>2.4</v>
      </c>
      <c r="O39" s="9">
        <v>2.1</v>
      </c>
      <c r="P39" s="9">
        <v>2.1</v>
      </c>
      <c r="Q39" s="9">
        <v>2</v>
      </c>
      <c r="R39" s="9">
        <v>3.5</v>
      </c>
      <c r="S39" s="9">
        <v>3.4</v>
      </c>
      <c r="T39" s="9">
        <v>2.2999999999999998</v>
      </c>
      <c r="U39" s="9">
        <v>3.5</v>
      </c>
      <c r="V39" s="9">
        <v>2.8</v>
      </c>
      <c r="W39" s="9">
        <v>2.1</v>
      </c>
      <c r="X39" s="9">
        <v>2.5</v>
      </c>
      <c r="Y39" s="9">
        <v>3.3</v>
      </c>
      <c r="Z39" s="9">
        <v>2.6</v>
      </c>
      <c r="AA39" s="9">
        <v>2.4</v>
      </c>
      <c r="AB39" s="9">
        <v>2.7</v>
      </c>
      <c r="AC39" s="9">
        <v>3.3</v>
      </c>
      <c r="AD39" s="9">
        <v>2.1</v>
      </c>
    </row>
    <row r="40" spans="4:30">
      <c r="D40" s="18" t="s">
        <v>45</v>
      </c>
      <c r="E40" s="2" t="s">
        <v>8</v>
      </c>
      <c r="F40" s="9">
        <v>15.5</v>
      </c>
      <c r="G40" s="31" t="str">
        <f>"Because of rounding might not be exactly " &amp; F40 &amp; ". Maximum expected deviation in the positive direction is 0.05°C"</f>
        <v>Because of rounding might not be exactly 15.5. Maximum expected deviation in the positive direction is 0.05°C</v>
      </c>
    </row>
    <row r="41" spans="4:30">
      <c r="D41" s="18" t="s">
        <v>46</v>
      </c>
      <c r="E41" s="2" t="s">
        <v>9</v>
      </c>
      <c r="F41" s="12">
        <f>AVERAGE(G39:AD39)</f>
        <v>2.6333333333333333</v>
      </c>
    </row>
    <row r="42" spans="4:30" ht="15.75" thickBot="1">
      <c r="D42" s="20" t="s">
        <v>119</v>
      </c>
      <c r="E42" s="2" t="s">
        <v>118</v>
      </c>
      <c r="F42" s="4" t="b">
        <v>0</v>
      </c>
    </row>
    <row r="43" spans="4:30">
      <c r="D43" s="21" t="s">
        <v>43</v>
      </c>
      <c r="E43" s="2" t="s">
        <v>6</v>
      </c>
      <c r="F43" s="11">
        <v>2</v>
      </c>
    </row>
    <row r="44" spans="4:30">
      <c r="D44" s="21" t="s">
        <v>44</v>
      </c>
      <c r="E44" s="2" t="s">
        <v>7</v>
      </c>
      <c r="F44" s="11">
        <v>2</v>
      </c>
    </row>
    <row r="46" spans="4:30" ht="20.25" thickBot="1">
      <c r="D46" s="1" t="s">
        <v>94</v>
      </c>
      <c r="E46" s="7" t="s">
        <v>37</v>
      </c>
      <c r="F46" s="7"/>
      <c r="G46" s="3" t="s">
        <v>12</v>
      </c>
      <c r="H46" s="3" t="s">
        <v>13</v>
      </c>
      <c r="I46" s="3" t="s">
        <v>14</v>
      </c>
      <c r="J46" s="3" t="s">
        <v>15</v>
      </c>
      <c r="K46" s="3" t="s">
        <v>16</v>
      </c>
      <c r="L46" s="3" t="s">
        <v>17</v>
      </c>
      <c r="M46" s="3" t="s">
        <v>18</v>
      </c>
      <c r="N46" s="3" t="s">
        <v>19</v>
      </c>
      <c r="O46" s="3" t="s">
        <v>20</v>
      </c>
      <c r="P46" s="3" t="s">
        <v>21</v>
      </c>
      <c r="Q46" s="3" t="s">
        <v>22</v>
      </c>
      <c r="R46" s="3" t="s">
        <v>23</v>
      </c>
      <c r="S46" s="3" t="s">
        <v>24</v>
      </c>
      <c r="T46" s="3" t="s">
        <v>25</v>
      </c>
      <c r="U46" s="3" t="s">
        <v>26</v>
      </c>
      <c r="V46" s="3" t="s">
        <v>27</v>
      </c>
      <c r="W46" s="3" t="s">
        <v>28</v>
      </c>
      <c r="X46" s="3" t="s">
        <v>29</v>
      </c>
      <c r="Y46" s="3" t="s">
        <v>30</v>
      </c>
      <c r="Z46" s="3" t="s">
        <v>31</v>
      </c>
      <c r="AA46" s="3" t="s">
        <v>32</v>
      </c>
      <c r="AB46" s="3" t="s">
        <v>33</v>
      </c>
      <c r="AC46" s="3" t="s">
        <v>34</v>
      </c>
      <c r="AD46" s="3" t="s">
        <v>35</v>
      </c>
    </row>
    <row r="47" spans="4:30" ht="15.75" thickTop="1">
      <c r="D47" t="s">
        <v>64</v>
      </c>
      <c r="E47" s="2" t="s">
        <v>63</v>
      </c>
      <c r="F47" s="4">
        <v>3.5453800000000001E-2</v>
      </c>
    </row>
    <row r="48" spans="4:30">
      <c r="D48" t="s">
        <v>95</v>
      </c>
      <c r="E48" s="2" t="s">
        <v>97</v>
      </c>
      <c r="F48" s="8">
        <v>200</v>
      </c>
      <c r="G48" s="10">
        <f>$F$48</f>
        <v>200</v>
      </c>
      <c r="H48" s="10">
        <f t="shared" ref="H48:AD48" si="0">$F$48</f>
        <v>200</v>
      </c>
      <c r="I48" s="10">
        <f t="shared" si="0"/>
        <v>200</v>
      </c>
      <c r="J48" s="10">
        <f t="shared" si="0"/>
        <v>200</v>
      </c>
      <c r="K48" s="10">
        <f t="shared" si="0"/>
        <v>200</v>
      </c>
      <c r="L48" s="10">
        <f t="shared" si="0"/>
        <v>200</v>
      </c>
      <c r="M48" s="10">
        <f t="shared" si="0"/>
        <v>200</v>
      </c>
      <c r="N48" s="10">
        <f t="shared" si="0"/>
        <v>200</v>
      </c>
      <c r="O48" s="10">
        <f t="shared" si="0"/>
        <v>200</v>
      </c>
      <c r="P48" s="10">
        <f t="shared" si="0"/>
        <v>200</v>
      </c>
      <c r="Q48" s="10">
        <f t="shared" si="0"/>
        <v>200</v>
      </c>
      <c r="R48" s="10">
        <f t="shared" si="0"/>
        <v>200</v>
      </c>
      <c r="S48" s="10">
        <f t="shared" si="0"/>
        <v>200</v>
      </c>
      <c r="T48" s="10">
        <f t="shared" si="0"/>
        <v>200</v>
      </c>
      <c r="U48" s="10">
        <f t="shared" si="0"/>
        <v>200</v>
      </c>
      <c r="V48" s="10">
        <f t="shared" si="0"/>
        <v>200</v>
      </c>
      <c r="W48" s="10">
        <f t="shared" si="0"/>
        <v>200</v>
      </c>
      <c r="X48" s="10">
        <f t="shared" si="0"/>
        <v>200</v>
      </c>
      <c r="Y48" s="10">
        <f t="shared" si="0"/>
        <v>200</v>
      </c>
      <c r="Z48" s="10">
        <f t="shared" si="0"/>
        <v>200</v>
      </c>
      <c r="AA48" s="10">
        <f t="shared" si="0"/>
        <v>200</v>
      </c>
      <c r="AB48" s="10">
        <f t="shared" si="0"/>
        <v>200</v>
      </c>
      <c r="AC48" s="10">
        <f t="shared" si="0"/>
        <v>200</v>
      </c>
      <c r="AD48" s="10">
        <f t="shared" si="0"/>
        <v>200</v>
      </c>
    </row>
    <row r="49" spans="4:30">
      <c r="D49" t="s">
        <v>96</v>
      </c>
      <c r="E49" s="2" t="s">
        <v>98</v>
      </c>
      <c r="F49" s="8">
        <v>1000</v>
      </c>
      <c r="G49" s="10">
        <f>$F$49</f>
        <v>1000</v>
      </c>
      <c r="H49" s="10">
        <f t="shared" ref="H49:AD49" si="1">$F$49</f>
        <v>1000</v>
      </c>
      <c r="I49" s="10">
        <f t="shared" si="1"/>
        <v>1000</v>
      </c>
      <c r="J49" s="10">
        <f t="shared" si="1"/>
        <v>1000</v>
      </c>
      <c r="K49" s="10">
        <f t="shared" si="1"/>
        <v>1000</v>
      </c>
      <c r="L49" s="10">
        <f t="shared" si="1"/>
        <v>1000</v>
      </c>
      <c r="M49" s="10">
        <f t="shared" si="1"/>
        <v>1000</v>
      </c>
      <c r="N49" s="10">
        <f t="shared" si="1"/>
        <v>1000</v>
      </c>
      <c r="O49" s="10">
        <f t="shared" si="1"/>
        <v>1000</v>
      </c>
      <c r="P49" s="10">
        <f t="shared" si="1"/>
        <v>1000</v>
      </c>
      <c r="Q49" s="10">
        <f t="shared" si="1"/>
        <v>1000</v>
      </c>
      <c r="R49" s="10">
        <f t="shared" si="1"/>
        <v>1000</v>
      </c>
      <c r="S49" s="10">
        <f t="shared" si="1"/>
        <v>1000</v>
      </c>
      <c r="T49" s="10">
        <f t="shared" si="1"/>
        <v>1000</v>
      </c>
      <c r="U49" s="10">
        <f t="shared" si="1"/>
        <v>1000</v>
      </c>
      <c r="V49" s="10">
        <f t="shared" si="1"/>
        <v>1000</v>
      </c>
      <c r="W49" s="10">
        <f t="shared" si="1"/>
        <v>1000</v>
      </c>
      <c r="X49" s="10">
        <f t="shared" si="1"/>
        <v>1000</v>
      </c>
      <c r="Y49" s="10">
        <f t="shared" si="1"/>
        <v>1000</v>
      </c>
      <c r="Z49" s="10">
        <f t="shared" si="1"/>
        <v>1000</v>
      </c>
      <c r="AA49" s="10">
        <f t="shared" si="1"/>
        <v>1000</v>
      </c>
      <c r="AB49" s="10">
        <f t="shared" si="1"/>
        <v>1000</v>
      </c>
      <c r="AC49" s="10">
        <f t="shared" si="1"/>
        <v>1000</v>
      </c>
      <c r="AD49" s="10">
        <f t="shared" si="1"/>
        <v>1000</v>
      </c>
    </row>
    <row r="50" spans="4:30">
      <c r="D50" t="s">
        <v>62</v>
      </c>
      <c r="E50" s="2" t="s">
        <v>61</v>
      </c>
      <c r="F50" s="2"/>
      <c r="G50" s="8">
        <v>1000</v>
      </c>
      <c r="H50" s="8">
        <v>1000</v>
      </c>
      <c r="I50" s="8">
        <v>1000</v>
      </c>
      <c r="J50" s="8">
        <v>1000</v>
      </c>
      <c r="K50" s="8">
        <v>1000</v>
      </c>
      <c r="L50" s="8">
        <v>1000</v>
      </c>
      <c r="M50" s="8">
        <v>1000</v>
      </c>
      <c r="N50" s="8">
        <v>1000</v>
      </c>
      <c r="O50" s="8">
        <v>1000</v>
      </c>
      <c r="P50" s="8">
        <v>1000</v>
      </c>
      <c r="Q50" s="8">
        <v>1000</v>
      </c>
      <c r="R50" s="8">
        <v>1000</v>
      </c>
      <c r="S50" s="8">
        <v>1000</v>
      </c>
      <c r="T50" s="8">
        <v>1000</v>
      </c>
      <c r="U50" s="8">
        <v>1000</v>
      </c>
      <c r="V50" s="8">
        <v>1000</v>
      </c>
      <c r="W50" s="8">
        <v>1000</v>
      </c>
      <c r="X50" s="8">
        <v>1000</v>
      </c>
      <c r="Y50" s="8">
        <v>1000</v>
      </c>
      <c r="Z50" s="8">
        <v>1000</v>
      </c>
      <c r="AA50" s="8">
        <v>1000</v>
      </c>
      <c r="AB50" s="8">
        <v>1000</v>
      </c>
      <c r="AC50" s="8">
        <v>1000</v>
      </c>
      <c r="AD50" s="8">
        <v>1000</v>
      </c>
    </row>
    <row r="52" spans="4:30" ht="20.25" thickBot="1">
      <c r="D52" s="1" t="s">
        <v>47</v>
      </c>
      <c r="E52" s="7" t="s">
        <v>37</v>
      </c>
      <c r="F52" s="7"/>
      <c r="G52" s="3" t="s">
        <v>12</v>
      </c>
      <c r="H52" s="3" t="s">
        <v>13</v>
      </c>
      <c r="I52" s="3" t="s">
        <v>14</v>
      </c>
      <c r="J52" s="3" t="s">
        <v>15</v>
      </c>
      <c r="K52" s="3" t="s">
        <v>16</v>
      </c>
      <c r="L52" s="3" t="s">
        <v>17</v>
      </c>
      <c r="M52" s="3" t="s">
        <v>18</v>
      </c>
      <c r="N52" s="3" t="s">
        <v>19</v>
      </c>
      <c r="O52" s="3" t="s">
        <v>20</v>
      </c>
      <c r="P52" s="3" t="s">
        <v>21</v>
      </c>
      <c r="Q52" s="3" t="s">
        <v>22</v>
      </c>
      <c r="R52" s="3" t="s">
        <v>23</v>
      </c>
      <c r="S52" s="3" t="s">
        <v>24</v>
      </c>
      <c r="T52" s="3" t="s">
        <v>25</v>
      </c>
      <c r="U52" s="3" t="s">
        <v>26</v>
      </c>
      <c r="V52" s="3" t="s">
        <v>27</v>
      </c>
      <c r="W52" s="3" t="s">
        <v>28</v>
      </c>
      <c r="X52" s="3" t="s">
        <v>29</v>
      </c>
      <c r="Y52" s="3" t="s">
        <v>30</v>
      </c>
      <c r="Z52" s="3" t="s">
        <v>31</v>
      </c>
      <c r="AA52" s="3" t="s">
        <v>32</v>
      </c>
      <c r="AB52" s="3" t="s">
        <v>33</v>
      </c>
      <c r="AC52" s="3" t="s">
        <v>34</v>
      </c>
      <c r="AD52" s="3" t="s">
        <v>35</v>
      </c>
    </row>
    <row r="53" spans="4:30" ht="15.75" thickTop="1">
      <c r="D53" t="s">
        <v>36</v>
      </c>
      <c r="E53" s="2" t="s">
        <v>2</v>
      </c>
      <c r="F53" s="2"/>
      <c r="G53" s="5">
        <v>46.85</v>
      </c>
      <c r="H53" s="5">
        <v>45.06</v>
      </c>
      <c r="I53" s="5">
        <v>43.83</v>
      </c>
      <c r="J53" s="5">
        <v>42.55</v>
      </c>
      <c r="K53" s="5">
        <v>42.62</v>
      </c>
      <c r="L53" s="5">
        <v>46.61</v>
      </c>
      <c r="M53" s="5">
        <v>76.48</v>
      </c>
      <c r="N53" s="5">
        <v>77.489999999999995</v>
      </c>
      <c r="O53" s="5">
        <v>73.64</v>
      </c>
      <c r="P53" s="5">
        <v>68.510000000000005</v>
      </c>
      <c r="Q53" s="5">
        <v>67.62</v>
      </c>
      <c r="R53" s="5">
        <v>69.34</v>
      </c>
      <c r="S53" s="5">
        <v>69.23</v>
      </c>
      <c r="T53" s="4">
        <v>74.680000000000007</v>
      </c>
      <c r="U53" s="4">
        <v>86.84</v>
      </c>
      <c r="V53" s="4">
        <v>97.79</v>
      </c>
      <c r="W53" s="4">
        <v>91.29</v>
      </c>
      <c r="X53" s="4">
        <v>99.07</v>
      </c>
      <c r="Y53" s="4">
        <v>103.56</v>
      </c>
      <c r="Z53" s="4">
        <v>108.67</v>
      </c>
      <c r="AA53" s="4">
        <v>98.73</v>
      </c>
      <c r="AB53" s="4">
        <v>91.91</v>
      </c>
      <c r="AC53" s="4">
        <v>53.34</v>
      </c>
      <c r="AD53" s="4">
        <v>48.72</v>
      </c>
    </row>
    <row r="54" spans="4:30">
      <c r="D54" t="s">
        <v>54</v>
      </c>
      <c r="E54" s="2" t="s">
        <v>48</v>
      </c>
      <c r="F54" s="5">
        <v>20</v>
      </c>
      <c r="G54" s="31" t="str">
        <f>IF(AND(F14=TRUE,F54&lt;1),"the penalty cost should be in range 1-25","")</f>
        <v/>
      </c>
    </row>
    <row r="55" spans="4:30">
      <c r="D55" t="s">
        <v>55</v>
      </c>
      <c r="E55" s="2" t="s">
        <v>49</v>
      </c>
      <c r="F55" s="5">
        <v>20</v>
      </c>
      <c r="G55" s="31" t="str">
        <f>IF(AND(F14=TRUE,F55&lt;1),"the penalty cost should be in range 1-25","")</f>
        <v/>
      </c>
    </row>
    <row r="56" spans="4:30">
      <c r="D56" t="s">
        <v>56</v>
      </c>
      <c r="E56" s="2" t="s">
        <v>50</v>
      </c>
      <c r="F56" s="5">
        <v>1</v>
      </c>
      <c r="G56" s="31" t="str">
        <f>IF(AND(F20=TRUE,F56&lt;1),"the penalty cost should be in range 1-25","")</f>
        <v/>
      </c>
    </row>
    <row r="57" spans="4:30">
      <c r="D57" t="s">
        <v>57</v>
      </c>
      <c r="E57" s="2" t="s">
        <v>51</v>
      </c>
      <c r="F57" s="5">
        <v>1</v>
      </c>
      <c r="G57" s="31" t="str">
        <f>IF(AND(F20=TRUE,F57&lt;1),"the penalty cost should be in range 1-25","")</f>
        <v/>
      </c>
    </row>
    <row r="58" spans="4:30">
      <c r="D58" t="s">
        <v>58</v>
      </c>
      <c r="E58" s="2" t="s">
        <v>52</v>
      </c>
      <c r="F58" s="5">
        <v>1</v>
      </c>
      <c r="G58" s="31" t="str">
        <f>IF(AND(F26=TRUE,F58&lt;1),"the penalty cost should be in range 1-25","")</f>
        <v/>
      </c>
    </row>
    <row r="59" spans="4:30">
      <c r="D59" t="s">
        <v>59</v>
      </c>
      <c r="E59" s="2" t="s">
        <v>53</v>
      </c>
      <c r="F59" s="5">
        <v>1</v>
      </c>
      <c r="G59" s="31" t="str">
        <f>IF(AND(F26=TRUE,F59&lt;1),"the penalty cost should be in range 1-25","")</f>
        <v/>
      </c>
    </row>
  </sheetData>
  <phoneticPr fontId="7" type="noConversion"/>
  <conditionalFormatting sqref="F12">
    <cfRule type="cellIs" dxfId="36" priority="11" operator="equal">
      <formula>FALSE</formula>
    </cfRule>
    <cfRule type="cellIs" dxfId="35" priority="12" operator="equal">
      <formula>TRUE</formula>
    </cfRule>
  </conditionalFormatting>
  <conditionalFormatting sqref="F14 F19:F20 F25:F26 F31 F36">
    <cfRule type="cellIs" dxfId="34" priority="9" operator="equal">
      <formula>FALSE</formula>
    </cfRule>
    <cfRule type="cellIs" dxfId="33" priority="10" operator="equal">
      <formula>TRUE</formula>
    </cfRule>
  </conditionalFormatting>
  <conditionalFormatting sqref="F42">
    <cfRule type="cellIs" dxfId="32" priority="7" operator="equal">
      <formula>FALSE</formula>
    </cfRule>
    <cfRule type="cellIs" dxfId="31" priority="8" operator="equal">
      <formula>TRUE</formula>
    </cfRule>
  </conditionalFormatting>
  <conditionalFormatting sqref="F15:F16">
    <cfRule type="expression" dxfId="30" priority="6">
      <formula>$F$14=FALSE</formula>
    </cfRule>
  </conditionalFormatting>
  <conditionalFormatting sqref="F13">
    <cfRule type="expression" dxfId="29" priority="5">
      <formula>$F$12=FALSE</formula>
    </cfRule>
  </conditionalFormatting>
  <conditionalFormatting sqref="F21:F22">
    <cfRule type="expression" dxfId="28" priority="4">
      <formula>$F$20=FALSE</formula>
    </cfRule>
  </conditionalFormatting>
  <conditionalFormatting sqref="F27:F28">
    <cfRule type="expression" dxfId="27" priority="3">
      <formula>$F$26=FALSE</formula>
    </cfRule>
  </conditionalFormatting>
  <conditionalFormatting sqref="F8">
    <cfRule type="cellIs" dxfId="26" priority="1" operator="equal">
      <formula>FALSE</formula>
    </cfRule>
    <cfRule type="cellIs" dxfId="25" priority="2" operator="equal">
      <formula>TRUE</formula>
    </cfRule>
  </conditionalFormatting>
  <dataValidations count="1">
    <dataValidation type="list" allowBlank="1" showInputMessage="1" showErrorMessage="1" sqref="F36 F12 F31 F14 F19:F20 F25:F26 F42 F8" xr:uid="{486E1DFA-3633-4FFB-A635-629E01A4702D}">
      <formula1>$AD$3:$AD$4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28575</xdr:rowOff>
                  </from>
                  <to>
                    <xdr:col>3</xdr:col>
                    <xdr:colOff>4305300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Inputs!G53:AD53</xm:f>
              <xm:sqref>F53</xm:sqref>
            </x14:sparkline>
            <x14:sparkline>
              <xm:f>Inputs!G50:AD50</xm:f>
              <xm:sqref>F50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Inputs!G17:AD17</xm:f>
              <xm:sqref>F17</xm:sqref>
            </x14:sparkline>
            <x14:sparkline>
              <xm:f>Inputs!G18:AD18</xm:f>
              <xm:sqref>F18</xm:sqref>
            </x14:sparkline>
            <x14:sparkline>
              <xm:f>Inputs!G23:AD23</xm:f>
              <xm:sqref>F23</xm:sqref>
            </x14:sparkline>
            <x14:sparkline>
              <xm:f>Inputs!G24:AD24</xm:f>
              <xm:sqref>F24</xm:sqref>
            </x14:sparkline>
            <x14:sparkline>
              <xm:f>Inputs!G29:AD29</xm:f>
              <xm:sqref>F29</xm:sqref>
            </x14:sparkline>
            <x14:sparkline>
              <xm:f>Inputs!G30:AD30</xm:f>
              <xm:sqref>F30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Inputs!G34:AD34</xm:f>
              <xm:sqref>F34</xm:sqref>
            </x14:sparkline>
            <x14:sparkline>
              <xm:f>Inputs!G35:AD35</xm:f>
              <xm:sqref>F35</xm:sqref>
            </x14:sparkline>
            <x14:sparkline>
              <xm:f>Inputs!G37:AD37</xm:f>
              <xm:sqref>F37</xm:sqref>
            </x14:sparkline>
            <x14:sparkline>
              <xm:f>Inputs!G38:AD38</xm:f>
              <xm:sqref>F38</xm:sqref>
            </x14:sparkline>
            <x14:sparkline>
              <xm:f>Inputs!G39:AD39</xm:f>
              <xm:sqref>F39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C1:AC21"/>
  <sheetViews>
    <sheetView workbookViewId="0">
      <selection activeCell="E21" sqref="E21"/>
    </sheetView>
  </sheetViews>
  <sheetFormatPr defaultRowHeight="15"/>
  <cols>
    <col min="1" max="2" width="1.7109375" customWidth="1"/>
    <col min="3" max="3" width="26.5703125" bestFit="1" customWidth="1"/>
    <col min="4" max="4" width="8.28515625" customWidth="1"/>
    <col min="5" max="5" width="20.42578125" bestFit="1" customWidth="1"/>
    <col min="6" max="13" width="6.5703125" bestFit="1" customWidth="1"/>
    <col min="14" max="21" width="7.5703125" bestFit="1" customWidth="1"/>
    <col min="22" max="29" width="6.5703125" bestFit="1" customWidth="1"/>
  </cols>
  <sheetData>
    <row r="1" spans="3:29" ht="24.75" thickBot="1">
      <c r="C1" s="27" t="s">
        <v>169</v>
      </c>
      <c r="D1" s="27"/>
    </row>
    <row r="2" spans="3:29" ht="18" thickBot="1">
      <c r="C2" s="28" t="s">
        <v>170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</row>
    <row r="3" spans="3:29" ht="15.75" thickTop="1">
      <c r="C3" t="s">
        <v>168</v>
      </c>
      <c r="D3" s="4" t="s">
        <v>167</v>
      </c>
      <c r="E3" t="s">
        <v>166</v>
      </c>
      <c r="F3" s="29" t="str" cm="1">
        <f t="array" aca="1" ref="F3" ca="1">LEFT(CELL("filename", A3), FIND("[", CELL("filename", A3)) - 1) &amp; "Results\" &amp; D3</f>
        <v>C:\Projects\GitHub\TempRegPy\Results\Test3</v>
      </c>
      <c r="G3" s="29"/>
      <c r="H3" s="29"/>
      <c r="I3" s="29"/>
      <c r="J3" s="29"/>
      <c r="K3" s="29"/>
      <c r="L3" s="29"/>
      <c r="M3" s="29"/>
      <c r="N3" s="29"/>
      <c r="O3" s="29"/>
      <c r="P3" s="29"/>
    </row>
    <row r="4" spans="3:29">
      <c r="C4" t="s">
        <v>172</v>
      </c>
      <c r="D4" t="s">
        <v>173</v>
      </c>
      <c r="E4" t="s">
        <v>165</v>
      </c>
      <c r="F4" t="s">
        <v>139</v>
      </c>
      <c r="G4" t="s">
        <v>140</v>
      </c>
      <c r="H4" t="s">
        <v>141</v>
      </c>
      <c r="I4" t="s">
        <v>142</v>
      </c>
      <c r="J4" t="s">
        <v>143</v>
      </c>
      <c r="K4" t="s">
        <v>144</v>
      </c>
      <c r="L4" t="s">
        <v>145</v>
      </c>
      <c r="M4" t="s">
        <v>146</v>
      </c>
      <c r="N4" t="s">
        <v>147</v>
      </c>
      <c r="O4" t="s">
        <v>148</v>
      </c>
      <c r="P4" t="s">
        <v>149</v>
      </c>
      <c r="Q4" t="s">
        <v>150</v>
      </c>
      <c r="R4" t="s">
        <v>151</v>
      </c>
      <c r="S4" t="s">
        <v>152</v>
      </c>
      <c r="T4" t="s">
        <v>153</v>
      </c>
      <c r="U4" t="s">
        <v>154</v>
      </c>
      <c r="V4" t="s">
        <v>155</v>
      </c>
      <c r="W4" t="s">
        <v>156</v>
      </c>
      <c r="X4" t="s">
        <v>157</v>
      </c>
      <c r="Y4" t="s">
        <v>158</v>
      </c>
      <c r="Z4" t="s">
        <v>159</v>
      </c>
      <c r="AA4" t="s">
        <v>160</v>
      </c>
      <c r="AB4" t="s">
        <v>161</v>
      </c>
      <c r="AC4" t="s">
        <v>162</v>
      </c>
    </row>
    <row r="5" spans="3:29">
      <c r="C5" t="s">
        <v>94</v>
      </c>
      <c r="D5" t="s">
        <v>171</v>
      </c>
      <c r="E5" t="s">
        <v>129</v>
      </c>
      <c r="F5" s="26">
        <v>200</v>
      </c>
      <c r="G5" s="26">
        <v>200</v>
      </c>
      <c r="H5" s="26">
        <v>200</v>
      </c>
      <c r="I5" s="26">
        <v>200</v>
      </c>
      <c r="J5" s="26">
        <v>200</v>
      </c>
      <c r="K5" s="26">
        <v>200</v>
      </c>
      <c r="L5" s="26">
        <v>200</v>
      </c>
      <c r="M5" s="26">
        <v>200</v>
      </c>
      <c r="N5" s="26">
        <v>216.66211111111119</v>
      </c>
      <c r="O5" s="26">
        <v>200</v>
      </c>
      <c r="P5" s="26">
        <v>200</v>
      </c>
      <c r="Q5" s="26">
        <v>200</v>
      </c>
      <c r="R5" s="26">
        <v>200</v>
      </c>
      <c r="S5" s="26">
        <v>200</v>
      </c>
      <c r="T5" s="26">
        <v>200</v>
      </c>
      <c r="U5" s="26">
        <v>200</v>
      </c>
      <c r="V5" s="26">
        <v>200</v>
      </c>
      <c r="W5" s="26">
        <v>200</v>
      </c>
      <c r="X5" s="26">
        <v>200</v>
      </c>
      <c r="Y5" s="26">
        <v>200</v>
      </c>
      <c r="Z5" s="26">
        <v>200</v>
      </c>
      <c r="AA5" s="26">
        <v>200</v>
      </c>
      <c r="AB5" s="26">
        <v>200</v>
      </c>
      <c r="AC5" s="26">
        <v>200</v>
      </c>
    </row>
    <row r="6" spans="3:29">
      <c r="C6" t="s">
        <v>174</v>
      </c>
      <c r="D6" t="s">
        <v>175</v>
      </c>
      <c r="E6" t="s">
        <v>130</v>
      </c>
      <c r="F6" s="26">
        <v>3960.803409363557</v>
      </c>
      <c r="G6" s="26">
        <v>3960.803409363557</v>
      </c>
      <c r="H6" s="26">
        <v>3868.6995367051431</v>
      </c>
      <c r="I6" s="26">
        <v>3868.6995367051431</v>
      </c>
      <c r="J6" s="26">
        <v>3868.6995367051431</v>
      </c>
      <c r="K6" s="26">
        <v>3868.6995367051431</v>
      </c>
      <c r="L6" s="26">
        <v>3868.6995367051431</v>
      </c>
      <c r="M6" s="26">
        <v>3868.6995367051431</v>
      </c>
      <c r="N6" s="26">
        <v>5000</v>
      </c>
      <c r="O6" s="26">
        <v>4387.5566386552518</v>
      </c>
      <c r="P6" s="26">
        <v>4387.5566386552518</v>
      </c>
      <c r="Q6" s="26">
        <v>4387.5566386552518</v>
      </c>
      <c r="R6" s="26">
        <v>4387.5566386552518</v>
      </c>
      <c r="S6" s="26">
        <v>4387.5566386552518</v>
      </c>
      <c r="T6" s="26">
        <v>4387.5566386552518</v>
      </c>
      <c r="U6" s="26">
        <v>5000</v>
      </c>
      <c r="V6" s="26">
        <v>3960.803409363557</v>
      </c>
      <c r="W6" s="26">
        <v>3960.803409363557</v>
      </c>
      <c r="X6" s="26">
        <v>3960.803409363557</v>
      </c>
      <c r="Y6" s="26">
        <v>3960.803409363557</v>
      </c>
      <c r="Z6" s="26">
        <v>3960.803409363557</v>
      </c>
      <c r="AA6" s="26">
        <v>3960.803409363557</v>
      </c>
      <c r="AB6" s="26">
        <v>3960.803409363557</v>
      </c>
      <c r="AC6" s="26">
        <v>3960.803409363557</v>
      </c>
    </row>
    <row r="7" spans="3:29">
      <c r="C7" t="s">
        <v>176</v>
      </c>
      <c r="D7" t="s">
        <v>175</v>
      </c>
      <c r="E7" t="s">
        <v>131</v>
      </c>
      <c r="F7" s="26">
        <v>0</v>
      </c>
      <c r="G7" s="26">
        <v>0</v>
      </c>
      <c r="H7" s="26">
        <v>92.103872658413621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  <c r="N7" s="26">
        <v>0</v>
      </c>
      <c r="O7" s="26">
        <v>612.44336134474793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  <c r="V7" s="26">
        <v>1039.1965906364433</v>
      </c>
      <c r="W7" s="26">
        <v>0</v>
      </c>
      <c r="X7" s="26">
        <v>0</v>
      </c>
      <c r="Y7" s="26">
        <v>0</v>
      </c>
      <c r="Z7" s="26">
        <v>0</v>
      </c>
      <c r="AA7" s="26">
        <v>0</v>
      </c>
      <c r="AB7" s="26">
        <v>0</v>
      </c>
      <c r="AC7" s="26">
        <v>0</v>
      </c>
    </row>
    <row r="8" spans="3:29">
      <c r="C8" t="s">
        <v>177</v>
      </c>
      <c r="D8" t="s">
        <v>175</v>
      </c>
      <c r="E8" t="s">
        <v>132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1131.3004632948569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612.44336134474793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</row>
    <row r="9" spans="3:29">
      <c r="C9" t="s">
        <v>178</v>
      </c>
      <c r="D9" t="s">
        <v>175</v>
      </c>
      <c r="E9" t="s">
        <v>133</v>
      </c>
      <c r="F9" s="26">
        <v>9601.9476590631657</v>
      </c>
      <c r="G9" s="26">
        <v>9601.9476590631657</v>
      </c>
      <c r="H9" s="26">
        <v>9509.8437864047519</v>
      </c>
      <c r="I9" s="26">
        <v>9509.8437864047519</v>
      </c>
      <c r="J9" s="26">
        <v>9509.8437864047519</v>
      </c>
      <c r="K9" s="26">
        <v>9509.8437864047519</v>
      </c>
      <c r="L9" s="26">
        <v>9509.8437864047519</v>
      </c>
      <c r="M9" s="26">
        <v>9509.8437864047519</v>
      </c>
      <c r="N9" s="26">
        <v>11111.111111111113</v>
      </c>
      <c r="O9" s="26">
        <v>10028.700888354861</v>
      </c>
      <c r="P9" s="26">
        <v>10028.700888354861</v>
      </c>
      <c r="Q9" s="26">
        <v>10028.700888354861</v>
      </c>
      <c r="R9" s="26">
        <v>10028.700888354861</v>
      </c>
      <c r="S9" s="26">
        <v>10028.700888354861</v>
      </c>
      <c r="T9" s="26">
        <v>10028.700888354861</v>
      </c>
      <c r="U9" s="26">
        <v>10641.144249699608</v>
      </c>
      <c r="V9" s="26">
        <v>9601.9476590631657</v>
      </c>
      <c r="W9" s="26">
        <v>9601.9476590631639</v>
      </c>
      <c r="X9" s="26">
        <v>9601.9476590631657</v>
      </c>
      <c r="Y9" s="26">
        <v>9601.9476590631657</v>
      </c>
      <c r="Z9" s="26">
        <v>9601.9476590631657</v>
      </c>
      <c r="AA9" s="26">
        <v>9601.9476590631657</v>
      </c>
      <c r="AB9" s="26">
        <v>9601.9476590631657</v>
      </c>
      <c r="AC9" s="26">
        <v>9601.9476590631657</v>
      </c>
    </row>
    <row r="10" spans="3:29">
      <c r="C10" t="s">
        <v>179</v>
      </c>
      <c r="D10" t="s">
        <v>175</v>
      </c>
      <c r="E10" t="s">
        <v>134</v>
      </c>
      <c r="F10" s="26">
        <v>0</v>
      </c>
      <c r="G10" s="26">
        <v>0</v>
      </c>
      <c r="H10" s="26">
        <v>92.10387265841365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1082.4102227562526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  <c r="V10" s="26">
        <v>1039.1965906364433</v>
      </c>
      <c r="W10" s="26">
        <v>5.3969595037468565E-13</v>
      </c>
      <c r="X10" s="26">
        <v>0</v>
      </c>
      <c r="Y10" s="26">
        <v>0</v>
      </c>
      <c r="Z10" s="26">
        <v>0</v>
      </c>
      <c r="AA10" s="26">
        <v>0</v>
      </c>
      <c r="AB10" s="26">
        <v>0</v>
      </c>
      <c r="AC10" s="26">
        <v>0</v>
      </c>
    </row>
    <row r="11" spans="3:29">
      <c r="C11" t="s">
        <v>180</v>
      </c>
      <c r="D11" t="s">
        <v>175</v>
      </c>
      <c r="E11" t="s">
        <v>135</v>
      </c>
      <c r="F11" s="26">
        <v>0</v>
      </c>
      <c r="G11" s="26">
        <v>0</v>
      </c>
      <c r="H11" s="26">
        <v>0</v>
      </c>
      <c r="I11" s="26">
        <v>0</v>
      </c>
      <c r="J11" s="26">
        <v>0</v>
      </c>
      <c r="K11" s="26">
        <v>0</v>
      </c>
      <c r="L11" s="26">
        <v>0</v>
      </c>
      <c r="M11" s="26">
        <v>0</v>
      </c>
      <c r="N11" s="26">
        <v>1601.2673247063615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6">
        <v>612.44336134474804</v>
      </c>
      <c r="V11" s="26">
        <v>0</v>
      </c>
      <c r="W11" s="26">
        <v>0</v>
      </c>
      <c r="X11" s="26">
        <v>0</v>
      </c>
      <c r="Y11" s="26">
        <v>0</v>
      </c>
      <c r="Z11" s="26">
        <v>0</v>
      </c>
      <c r="AA11" s="26">
        <v>0</v>
      </c>
      <c r="AB11" s="26">
        <v>0</v>
      </c>
      <c r="AC11" s="26">
        <v>5.5710995655571696E-13</v>
      </c>
    </row>
    <row r="12" spans="3:29">
      <c r="C12" t="s">
        <v>181</v>
      </c>
      <c r="D12" t="s">
        <v>175</v>
      </c>
      <c r="E12" t="s">
        <v>136</v>
      </c>
      <c r="F12" s="26">
        <v>5641.1442496996087</v>
      </c>
      <c r="G12" s="26">
        <v>5641.1442496996087</v>
      </c>
      <c r="H12" s="26">
        <v>5641.1442496996087</v>
      </c>
      <c r="I12" s="26">
        <v>5641.1442496996087</v>
      </c>
      <c r="J12" s="26">
        <v>5641.1442496996087</v>
      </c>
      <c r="K12" s="26">
        <v>5641.1442496996087</v>
      </c>
      <c r="L12" s="26">
        <v>5641.1442496996087</v>
      </c>
      <c r="M12" s="26">
        <v>5641.1442496996087</v>
      </c>
      <c r="N12" s="26">
        <v>6111.1111111111131</v>
      </c>
      <c r="O12" s="26">
        <v>5641.1442496996087</v>
      </c>
      <c r="P12" s="26">
        <v>5641.1442496996087</v>
      </c>
      <c r="Q12" s="26">
        <v>5641.1442496996087</v>
      </c>
      <c r="R12" s="26">
        <v>5641.1442496996087</v>
      </c>
      <c r="S12" s="26">
        <v>5641.1442496996087</v>
      </c>
      <c r="T12" s="26">
        <v>5641.1442496996087</v>
      </c>
      <c r="U12" s="26">
        <v>5641.1442496996087</v>
      </c>
      <c r="V12" s="26">
        <v>5641.1442496996087</v>
      </c>
      <c r="W12" s="26">
        <v>5641.1442496996087</v>
      </c>
      <c r="X12" s="26">
        <v>5641.1442496996087</v>
      </c>
      <c r="Y12" s="26">
        <v>5641.1442496996087</v>
      </c>
      <c r="Z12" s="26">
        <v>5641.1442496996087</v>
      </c>
      <c r="AA12" s="26">
        <v>5641.1442496996087</v>
      </c>
      <c r="AB12" s="26">
        <v>5641.1442496996087</v>
      </c>
      <c r="AC12" s="26">
        <v>5641.1442496996087</v>
      </c>
    </row>
    <row r="13" spans="3:29">
      <c r="C13" t="s">
        <v>182</v>
      </c>
      <c r="D13" t="s">
        <v>175</v>
      </c>
      <c r="E13" t="s">
        <v>137</v>
      </c>
      <c r="F13" s="26">
        <v>0</v>
      </c>
      <c r="G13" s="26">
        <v>0</v>
      </c>
      <c r="H13" s="26">
        <v>0</v>
      </c>
      <c r="I13" s="26">
        <v>0</v>
      </c>
      <c r="J13" s="26">
        <v>0</v>
      </c>
      <c r="K13" s="26">
        <v>0</v>
      </c>
      <c r="L13" s="26">
        <v>0</v>
      </c>
      <c r="M13" s="26">
        <v>0</v>
      </c>
      <c r="N13" s="26">
        <v>0</v>
      </c>
      <c r="O13" s="26">
        <v>469.96686141150417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6">
        <v>0</v>
      </c>
      <c r="V13" s="26">
        <v>0</v>
      </c>
      <c r="W13" s="26">
        <v>0</v>
      </c>
      <c r="X13" s="26">
        <v>0</v>
      </c>
      <c r="Y13" s="26">
        <v>0</v>
      </c>
      <c r="Z13" s="26">
        <v>0</v>
      </c>
      <c r="AA13" s="26">
        <v>0</v>
      </c>
      <c r="AB13" s="26">
        <v>0</v>
      </c>
      <c r="AC13" s="26">
        <v>0</v>
      </c>
    </row>
    <row r="14" spans="3:29">
      <c r="C14" t="s">
        <v>183</v>
      </c>
      <c r="D14" t="s">
        <v>175</v>
      </c>
      <c r="E14" t="s">
        <v>138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469.96686141150417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  <c r="V14" s="26">
        <v>0</v>
      </c>
      <c r="W14" s="26">
        <v>0</v>
      </c>
      <c r="X14" s="26">
        <v>0</v>
      </c>
      <c r="Y14" s="26">
        <v>0</v>
      </c>
      <c r="Z14" s="26">
        <v>0</v>
      </c>
      <c r="AA14" s="26">
        <v>0</v>
      </c>
      <c r="AB14" s="26">
        <v>0</v>
      </c>
      <c r="AC14" s="26">
        <v>4.9832777766471215E-13</v>
      </c>
    </row>
    <row r="20" spans="5:28"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</row>
    <row r="21" spans="5:28"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freshQuery">
                <anchor moveWithCells="1" sizeWithCells="1">
                  <from>
                    <xdr:col>4</xdr:col>
                    <xdr:colOff>171450</xdr:colOff>
                    <xdr:row>0</xdr:row>
                    <xdr:rowOff>142875</xdr:rowOff>
                  </from>
                  <to>
                    <xdr:col>4</xdr:col>
                    <xdr:colOff>1209675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Power and Flow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2024-06-28T14:05:16Z</dcterms:modified>
</cp:coreProperties>
</file>