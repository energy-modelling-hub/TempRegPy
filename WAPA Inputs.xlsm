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isusis/Documents/ANL/wapalib/weekly_model/TempRegPy/"/>
    </mc:Choice>
  </mc:AlternateContent>
  <xr:revisionPtr revIDLastSave="0" documentId="13_ncr:1_{54DA6BAE-6656-6541-885C-663DFA2B413E}" xr6:coauthVersionLast="47" xr6:coauthVersionMax="47" xr10:uidLastSave="{00000000-0000-0000-0000-000000000000}"/>
  <bookViews>
    <workbookView xWindow="0" yWindow="50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954" i="8" l="1"/>
  <c r="U2953" i="8"/>
  <c r="U2952" i="8"/>
  <c r="U2951" i="8"/>
  <c r="U2950" i="8"/>
  <c r="U2949" i="8"/>
  <c r="U2948" i="8"/>
  <c r="U2947" i="8"/>
  <c r="U2946" i="8"/>
  <c r="U2945" i="8"/>
  <c r="U2944" i="8"/>
  <c r="U2943" i="8"/>
  <c r="U2942" i="8"/>
  <c r="U2941" i="8"/>
  <c r="U2940" i="8"/>
  <c r="U2939" i="8"/>
  <c r="U2938" i="8"/>
  <c r="U2937" i="8"/>
  <c r="U2936" i="8"/>
  <c r="U2935" i="8"/>
  <c r="U2934" i="8"/>
  <c r="U2933" i="8"/>
  <c r="U2932" i="8"/>
  <c r="U2931" i="8"/>
  <c r="U2930" i="8"/>
  <c r="U2929" i="8"/>
  <c r="U2928" i="8"/>
  <c r="U2927" i="8"/>
  <c r="U2926" i="8"/>
  <c r="U2925" i="8"/>
  <c r="U2924" i="8"/>
  <c r="U2923" i="8"/>
  <c r="U2922" i="8"/>
  <c r="U2921" i="8"/>
  <c r="U2920" i="8"/>
  <c r="U2919" i="8"/>
  <c r="U2918" i="8"/>
  <c r="U2917" i="8"/>
  <c r="U2916" i="8"/>
  <c r="U2915" i="8"/>
  <c r="U2914" i="8"/>
  <c r="U2913" i="8"/>
  <c r="U2912" i="8"/>
  <c r="U2911" i="8"/>
  <c r="U2910" i="8"/>
  <c r="U2909" i="8"/>
  <c r="U2908" i="8"/>
  <c r="U2907" i="8"/>
  <c r="U2906" i="8"/>
  <c r="U2905" i="8"/>
  <c r="U2904" i="8"/>
  <c r="U2903" i="8"/>
  <c r="U2902" i="8"/>
  <c r="U2901" i="8"/>
  <c r="U2900" i="8"/>
  <c r="U2899" i="8"/>
  <c r="U2898" i="8"/>
  <c r="U2897" i="8"/>
  <c r="U2896" i="8"/>
  <c r="U2895" i="8"/>
  <c r="U2894" i="8"/>
  <c r="U2893" i="8"/>
  <c r="U2892" i="8"/>
  <c r="U2891" i="8"/>
  <c r="U2890" i="8"/>
  <c r="U2889" i="8"/>
  <c r="U2888" i="8"/>
  <c r="U2887" i="8"/>
  <c r="U2886" i="8"/>
  <c r="U2885" i="8"/>
  <c r="U2884" i="8"/>
  <c r="U2883" i="8"/>
  <c r="U2882" i="8"/>
  <c r="U2881" i="8"/>
  <c r="U2880" i="8"/>
  <c r="U2879" i="8"/>
  <c r="U2878" i="8"/>
  <c r="U2877" i="8"/>
  <c r="U2876" i="8"/>
  <c r="U2875" i="8"/>
  <c r="U2874" i="8"/>
  <c r="U2873" i="8"/>
  <c r="U2872" i="8"/>
  <c r="U2871" i="8"/>
  <c r="U2870" i="8"/>
  <c r="U2869" i="8"/>
  <c r="U2868" i="8"/>
  <c r="U2867" i="8"/>
  <c r="U2866" i="8"/>
  <c r="U2865" i="8"/>
  <c r="U2864" i="8"/>
  <c r="U2863" i="8"/>
  <c r="U2862" i="8"/>
  <c r="U2861" i="8"/>
  <c r="U2860" i="8"/>
  <c r="U2859" i="8"/>
  <c r="U2858" i="8"/>
  <c r="U2857" i="8"/>
  <c r="U2856" i="8"/>
  <c r="U2855" i="8"/>
  <c r="U2854" i="8"/>
  <c r="U2853" i="8"/>
  <c r="U2852" i="8"/>
  <c r="U2851" i="8"/>
  <c r="U2850" i="8"/>
  <c r="U2849" i="8"/>
  <c r="U2848" i="8"/>
  <c r="U2847" i="8"/>
  <c r="U2846" i="8"/>
  <c r="U2845" i="8"/>
  <c r="U2844" i="8"/>
  <c r="U2843" i="8"/>
  <c r="U2842" i="8"/>
  <c r="U2841" i="8"/>
  <c r="U2840" i="8"/>
  <c r="U2839" i="8"/>
  <c r="U2838" i="8"/>
  <c r="U2837" i="8"/>
  <c r="U2836" i="8"/>
  <c r="U2835" i="8"/>
  <c r="U2834" i="8"/>
  <c r="U2833" i="8"/>
  <c r="U2832" i="8"/>
  <c r="U2831" i="8"/>
  <c r="U2830" i="8"/>
  <c r="U2829" i="8"/>
  <c r="U2828" i="8"/>
  <c r="U2827" i="8"/>
  <c r="U2826" i="8"/>
  <c r="U2825" i="8"/>
  <c r="U2824" i="8"/>
  <c r="U2823" i="8"/>
  <c r="U2822" i="8"/>
  <c r="U2821" i="8"/>
  <c r="U2820" i="8"/>
  <c r="U2819" i="8"/>
  <c r="U2818" i="8"/>
  <c r="U2817" i="8"/>
  <c r="U2816" i="8"/>
  <c r="U2815" i="8"/>
  <c r="U2814" i="8"/>
  <c r="U2813" i="8"/>
  <c r="U2812" i="8"/>
  <c r="U2811" i="8"/>
  <c r="U2810" i="8"/>
  <c r="U2809" i="8"/>
  <c r="U2808" i="8"/>
  <c r="U2807" i="8"/>
  <c r="U2806" i="8"/>
  <c r="U2805" i="8"/>
  <c r="U2804" i="8"/>
  <c r="U2803" i="8"/>
  <c r="U2802" i="8"/>
  <c r="U2801" i="8"/>
  <c r="U2800" i="8"/>
  <c r="U2799" i="8"/>
  <c r="U2798" i="8"/>
  <c r="U2797" i="8"/>
  <c r="U2796" i="8"/>
  <c r="U2795" i="8"/>
  <c r="U2794" i="8"/>
  <c r="U2793" i="8"/>
  <c r="U2792" i="8"/>
  <c r="U2791" i="8"/>
  <c r="U2790" i="8"/>
  <c r="U2789" i="8"/>
  <c r="U2788" i="8"/>
  <c r="U2787" i="8"/>
  <c r="U2786" i="8"/>
  <c r="U2785" i="8"/>
  <c r="U2784" i="8"/>
  <c r="U2783" i="8"/>
  <c r="U2782" i="8"/>
  <c r="U2781" i="8"/>
  <c r="U2780" i="8"/>
  <c r="U2779" i="8"/>
  <c r="U2778" i="8"/>
  <c r="U2777" i="8"/>
  <c r="U2776" i="8"/>
  <c r="U2775" i="8"/>
  <c r="U2774" i="8"/>
  <c r="U2773" i="8"/>
  <c r="U2772" i="8"/>
  <c r="U2771" i="8"/>
  <c r="U2770" i="8"/>
  <c r="U2769" i="8"/>
  <c r="U2768" i="8"/>
  <c r="U2767" i="8"/>
  <c r="U2766" i="8"/>
  <c r="U2765" i="8"/>
  <c r="U2764" i="8"/>
  <c r="U2763" i="8"/>
  <c r="U2762" i="8"/>
  <c r="U2761" i="8"/>
  <c r="U2760" i="8"/>
  <c r="U2759" i="8"/>
  <c r="U2758" i="8"/>
  <c r="U2757" i="8"/>
  <c r="U2756" i="8"/>
  <c r="U2755" i="8"/>
  <c r="U2754" i="8"/>
  <c r="U2753" i="8"/>
  <c r="U2752" i="8"/>
  <c r="U2751" i="8"/>
  <c r="U2750" i="8"/>
  <c r="U2749" i="8"/>
  <c r="U2748" i="8"/>
  <c r="U2747" i="8"/>
  <c r="U2746" i="8"/>
  <c r="U2745" i="8"/>
  <c r="U2744" i="8"/>
  <c r="U2743" i="8"/>
  <c r="U2742" i="8"/>
  <c r="U2741" i="8"/>
  <c r="U2740" i="8"/>
  <c r="U2739" i="8"/>
  <c r="U2738" i="8"/>
  <c r="U2737" i="8"/>
  <c r="U2736" i="8"/>
  <c r="U2735" i="8"/>
  <c r="U2734" i="8"/>
  <c r="U2733" i="8"/>
  <c r="U2732" i="8"/>
  <c r="U2731" i="8"/>
  <c r="U2730" i="8"/>
  <c r="U2729" i="8"/>
  <c r="U2728" i="8"/>
  <c r="U2727" i="8"/>
  <c r="U2726" i="8"/>
  <c r="U2725" i="8"/>
  <c r="U2724" i="8"/>
  <c r="U2723" i="8"/>
  <c r="U2722" i="8"/>
  <c r="U2721" i="8"/>
  <c r="U2720" i="8"/>
  <c r="U2719" i="8"/>
  <c r="U2718" i="8"/>
  <c r="U2717" i="8"/>
  <c r="U2716" i="8"/>
  <c r="U2715" i="8"/>
  <c r="U2714" i="8"/>
  <c r="U2713" i="8"/>
  <c r="U2712" i="8"/>
  <c r="U2711" i="8"/>
  <c r="U2710" i="8"/>
  <c r="U2709" i="8"/>
  <c r="U2708" i="8"/>
  <c r="U2707" i="8"/>
  <c r="U2706" i="8"/>
  <c r="U2705" i="8"/>
  <c r="U2704" i="8"/>
  <c r="U2703" i="8"/>
  <c r="U2702" i="8"/>
  <c r="U2701" i="8"/>
  <c r="U2700" i="8"/>
  <c r="U2699" i="8"/>
  <c r="U2698" i="8"/>
  <c r="U2697" i="8"/>
  <c r="U2696" i="8"/>
  <c r="U2695" i="8"/>
  <c r="U2694" i="8"/>
  <c r="U2693" i="8"/>
  <c r="U2692" i="8"/>
  <c r="U2691" i="8"/>
  <c r="U2690" i="8"/>
  <c r="U2689" i="8"/>
  <c r="U2688" i="8"/>
  <c r="U2687" i="8"/>
  <c r="U2686" i="8"/>
  <c r="U2685" i="8"/>
  <c r="U2684" i="8"/>
  <c r="U2683" i="8"/>
  <c r="U2682" i="8"/>
  <c r="U2681" i="8"/>
  <c r="U2680" i="8"/>
  <c r="U2679" i="8"/>
  <c r="U2678" i="8"/>
  <c r="U2677" i="8"/>
  <c r="U2676" i="8"/>
  <c r="U2675" i="8"/>
  <c r="U2674" i="8"/>
  <c r="U2673" i="8"/>
  <c r="U2672" i="8"/>
  <c r="U2671" i="8"/>
  <c r="U2670" i="8"/>
  <c r="U2669" i="8"/>
  <c r="U2668" i="8"/>
  <c r="U2667" i="8"/>
  <c r="U2666" i="8"/>
  <c r="U2665" i="8"/>
  <c r="U2664" i="8"/>
  <c r="U2663" i="8"/>
  <c r="U2662" i="8"/>
  <c r="U2661" i="8"/>
  <c r="U2660" i="8"/>
  <c r="U2659" i="8"/>
  <c r="U2658" i="8"/>
  <c r="U2657" i="8"/>
  <c r="U2656" i="8"/>
  <c r="U2655" i="8"/>
  <c r="U2654" i="8"/>
  <c r="U2653" i="8"/>
  <c r="U2652" i="8"/>
  <c r="U2651" i="8"/>
  <c r="U2650" i="8"/>
  <c r="U2649" i="8"/>
  <c r="U2648" i="8"/>
  <c r="U2647" i="8"/>
  <c r="U2646" i="8"/>
  <c r="U2645" i="8"/>
  <c r="U2644" i="8"/>
  <c r="U2643" i="8"/>
  <c r="U2642" i="8"/>
  <c r="U2641" i="8"/>
  <c r="U2640" i="8"/>
  <c r="U2639" i="8"/>
  <c r="U2638" i="8"/>
  <c r="U2637" i="8"/>
  <c r="U2636" i="8"/>
  <c r="U2635" i="8"/>
  <c r="U2634" i="8"/>
  <c r="U2633" i="8"/>
  <c r="U2632" i="8"/>
  <c r="U2631" i="8"/>
  <c r="U2630" i="8"/>
  <c r="U2629" i="8"/>
  <c r="U2628" i="8"/>
  <c r="U2627" i="8"/>
  <c r="U2626" i="8"/>
  <c r="U2625" i="8"/>
  <c r="U2624" i="8"/>
  <c r="U2623" i="8"/>
  <c r="U2622" i="8"/>
  <c r="U2621" i="8"/>
  <c r="U2620" i="8"/>
  <c r="U2619" i="8"/>
  <c r="U2618" i="8"/>
  <c r="U2617" i="8"/>
  <c r="U2616" i="8"/>
  <c r="U2615" i="8"/>
  <c r="U2614" i="8"/>
  <c r="U2613" i="8"/>
  <c r="U2612" i="8"/>
  <c r="U2611" i="8"/>
  <c r="U2610" i="8"/>
  <c r="U2609" i="8"/>
  <c r="U2608" i="8"/>
  <c r="U2607" i="8"/>
  <c r="U2606" i="8"/>
  <c r="U2605" i="8"/>
  <c r="U2604" i="8"/>
  <c r="U2603" i="8"/>
  <c r="U2602" i="8"/>
  <c r="U2601" i="8"/>
  <c r="U2600" i="8"/>
  <c r="U2599" i="8"/>
  <c r="U2598" i="8"/>
  <c r="U2597" i="8"/>
  <c r="U2596" i="8"/>
  <c r="U2595" i="8"/>
  <c r="U2594" i="8"/>
  <c r="U2593" i="8"/>
  <c r="U2592" i="8"/>
  <c r="U2591" i="8"/>
  <c r="U2590" i="8"/>
  <c r="U2589" i="8"/>
  <c r="U2588" i="8"/>
  <c r="U2587" i="8"/>
  <c r="U2586" i="8"/>
  <c r="U2585" i="8"/>
  <c r="U2584" i="8"/>
  <c r="U2583" i="8"/>
  <c r="U2582" i="8"/>
  <c r="U2581" i="8"/>
  <c r="U2580" i="8"/>
  <c r="U2579" i="8"/>
  <c r="U2578" i="8"/>
  <c r="U2577" i="8"/>
  <c r="U2576" i="8"/>
  <c r="U2575" i="8"/>
  <c r="U2574" i="8"/>
  <c r="U2573" i="8"/>
  <c r="U2572" i="8"/>
  <c r="U2571" i="8"/>
  <c r="U2570" i="8"/>
  <c r="U2569" i="8"/>
  <c r="U2568" i="8"/>
  <c r="U2567" i="8"/>
  <c r="U2566" i="8"/>
  <c r="U2565" i="8"/>
  <c r="U2564" i="8"/>
  <c r="U2563" i="8"/>
  <c r="U2562" i="8"/>
  <c r="U2561" i="8"/>
  <c r="U2560" i="8"/>
  <c r="U2559" i="8"/>
  <c r="U2558" i="8"/>
  <c r="U2557" i="8"/>
  <c r="U2556" i="8"/>
  <c r="U2555" i="8"/>
  <c r="U2554" i="8"/>
  <c r="U2553" i="8"/>
  <c r="U2552" i="8"/>
  <c r="U2551" i="8"/>
  <c r="U2550" i="8"/>
  <c r="U2549" i="8"/>
  <c r="U2548" i="8"/>
  <c r="U2547" i="8"/>
  <c r="U2546" i="8"/>
  <c r="U2545" i="8"/>
  <c r="U2544" i="8"/>
  <c r="U2543" i="8"/>
  <c r="U2542" i="8"/>
  <c r="U2541" i="8"/>
  <c r="U2540" i="8"/>
  <c r="U2539" i="8"/>
  <c r="U2538" i="8"/>
  <c r="U2537" i="8"/>
  <c r="U2536" i="8"/>
  <c r="U2535" i="8"/>
  <c r="U2534" i="8"/>
  <c r="U2533" i="8"/>
  <c r="U2532" i="8"/>
  <c r="U2531" i="8"/>
  <c r="U2530" i="8"/>
  <c r="U2529" i="8"/>
  <c r="U2528" i="8"/>
  <c r="U2527" i="8"/>
  <c r="U2526" i="8"/>
  <c r="U2525" i="8"/>
  <c r="U2524" i="8"/>
  <c r="U2523" i="8"/>
  <c r="U2522" i="8"/>
  <c r="U2521" i="8"/>
  <c r="U2520" i="8"/>
  <c r="U2519" i="8"/>
  <c r="U2518" i="8"/>
  <c r="U2517" i="8"/>
  <c r="U2516" i="8"/>
  <c r="U2515" i="8"/>
  <c r="U2514" i="8"/>
  <c r="U2513" i="8"/>
  <c r="U2512" i="8"/>
  <c r="U2511" i="8"/>
  <c r="U2510" i="8"/>
  <c r="U2509" i="8"/>
  <c r="U2508" i="8"/>
  <c r="U2507" i="8"/>
  <c r="U2506" i="8"/>
  <c r="U2505" i="8"/>
  <c r="U2504" i="8"/>
  <c r="U2503" i="8"/>
  <c r="U2502" i="8"/>
  <c r="U2501" i="8"/>
  <c r="U2500" i="8"/>
  <c r="U2499" i="8"/>
  <c r="U2498" i="8"/>
  <c r="U2497" i="8"/>
  <c r="U2496" i="8"/>
  <c r="U2495" i="8"/>
  <c r="U2494" i="8"/>
  <c r="U2493" i="8"/>
  <c r="U2492" i="8"/>
  <c r="U2491" i="8"/>
  <c r="U2490" i="8"/>
  <c r="U2489" i="8"/>
  <c r="U2488" i="8"/>
  <c r="U2487" i="8"/>
  <c r="U2486" i="8"/>
  <c r="U2485" i="8"/>
  <c r="U2484" i="8"/>
  <c r="U2483" i="8"/>
  <c r="U2482" i="8"/>
  <c r="U2481" i="8"/>
  <c r="U2480" i="8"/>
  <c r="U2479" i="8"/>
  <c r="U2478" i="8"/>
  <c r="U2477" i="8"/>
  <c r="U2476" i="8"/>
  <c r="U2475" i="8"/>
  <c r="U2474" i="8"/>
  <c r="U2473" i="8"/>
  <c r="U2472" i="8"/>
  <c r="U2471" i="8"/>
  <c r="U2470" i="8"/>
  <c r="U2469" i="8"/>
  <c r="U2468" i="8"/>
  <c r="U2467" i="8"/>
  <c r="U2466" i="8"/>
  <c r="U2465" i="8"/>
  <c r="U2464" i="8"/>
  <c r="U2463" i="8"/>
  <c r="U2462" i="8"/>
  <c r="U2461" i="8"/>
  <c r="U2460" i="8"/>
  <c r="U2459" i="8"/>
  <c r="U2458" i="8"/>
  <c r="U2457" i="8"/>
  <c r="U2456" i="8"/>
  <c r="U2455" i="8"/>
  <c r="U2454" i="8"/>
  <c r="U2453" i="8"/>
  <c r="U2452" i="8"/>
  <c r="U2451" i="8"/>
  <c r="U2450" i="8"/>
  <c r="U2449" i="8"/>
  <c r="U2448" i="8"/>
  <c r="U2447" i="8"/>
  <c r="U2446" i="8"/>
  <c r="U2445" i="8"/>
  <c r="U2444" i="8"/>
  <c r="U2443" i="8"/>
  <c r="U2442" i="8"/>
  <c r="U2441" i="8"/>
  <c r="U2440" i="8"/>
  <c r="U2439" i="8"/>
  <c r="U2438" i="8"/>
  <c r="U2437" i="8"/>
  <c r="U2436" i="8"/>
  <c r="U2435" i="8"/>
  <c r="U2434" i="8"/>
  <c r="U2433" i="8"/>
  <c r="U2432" i="8"/>
  <c r="U2431" i="8"/>
  <c r="U2430" i="8"/>
  <c r="U2429" i="8"/>
  <c r="U2428" i="8"/>
  <c r="U2427" i="8"/>
  <c r="U2426" i="8"/>
  <c r="U2425" i="8"/>
  <c r="U2424" i="8"/>
  <c r="U2423" i="8"/>
  <c r="U2422" i="8"/>
  <c r="U2421" i="8"/>
  <c r="U2420" i="8"/>
  <c r="U2419" i="8"/>
  <c r="U2418" i="8"/>
  <c r="U2417" i="8"/>
  <c r="U2416" i="8"/>
  <c r="U2415" i="8"/>
  <c r="U2414" i="8"/>
  <c r="U2413" i="8"/>
  <c r="U2412" i="8"/>
  <c r="U2411" i="8"/>
  <c r="U2410" i="8"/>
  <c r="U2409" i="8"/>
  <c r="U2408" i="8"/>
  <c r="U2407" i="8"/>
  <c r="U2406" i="8"/>
  <c r="U2405" i="8"/>
  <c r="U2404" i="8"/>
  <c r="U2403" i="8"/>
  <c r="U2402" i="8"/>
  <c r="U2401" i="8"/>
  <c r="U2400" i="8"/>
  <c r="U2399" i="8"/>
  <c r="U2398" i="8"/>
  <c r="U2397" i="8"/>
  <c r="U2396" i="8"/>
  <c r="U2395" i="8"/>
  <c r="U2394" i="8"/>
  <c r="U2393" i="8"/>
  <c r="U2392" i="8"/>
  <c r="U2391" i="8"/>
  <c r="U2390" i="8"/>
  <c r="U2389" i="8"/>
  <c r="U2388" i="8"/>
  <c r="U2387" i="8"/>
  <c r="U2386" i="8"/>
  <c r="U2385" i="8"/>
  <c r="U2384" i="8"/>
  <c r="U2383" i="8"/>
  <c r="U2382" i="8"/>
  <c r="U2381" i="8"/>
  <c r="U2380" i="8"/>
  <c r="U2379" i="8"/>
  <c r="U2378" i="8"/>
  <c r="U2377" i="8"/>
  <c r="U2376" i="8"/>
  <c r="U2375" i="8"/>
  <c r="U2374" i="8"/>
  <c r="U2373" i="8"/>
  <c r="U2372" i="8"/>
  <c r="U2371" i="8"/>
  <c r="U2370" i="8"/>
  <c r="U2369" i="8"/>
  <c r="U2368" i="8"/>
  <c r="U2367" i="8"/>
  <c r="U2366" i="8"/>
  <c r="U2365" i="8"/>
  <c r="U2364" i="8"/>
  <c r="U2363" i="8"/>
  <c r="U2362" i="8"/>
  <c r="U2361" i="8"/>
  <c r="U2360" i="8"/>
  <c r="U2359" i="8"/>
  <c r="U2358" i="8"/>
  <c r="U2357" i="8"/>
  <c r="U2356" i="8"/>
  <c r="U2355" i="8"/>
  <c r="U2354" i="8"/>
  <c r="U2353" i="8"/>
  <c r="U2352" i="8"/>
  <c r="U2351" i="8"/>
  <c r="U2350" i="8"/>
  <c r="U2349" i="8"/>
  <c r="U2348" i="8"/>
  <c r="U2347" i="8"/>
  <c r="U2346" i="8"/>
  <c r="U2345" i="8"/>
  <c r="U2344" i="8"/>
  <c r="U2343" i="8"/>
  <c r="U2342" i="8"/>
  <c r="U2341" i="8"/>
  <c r="U2340" i="8"/>
  <c r="U2339" i="8"/>
  <c r="U2338" i="8"/>
  <c r="U2337" i="8"/>
  <c r="U2336" i="8"/>
  <c r="U2335" i="8"/>
  <c r="U2334" i="8"/>
  <c r="U2333" i="8"/>
  <c r="U2332" i="8"/>
  <c r="U2331" i="8"/>
  <c r="U2330" i="8"/>
  <c r="U2329" i="8"/>
  <c r="U2328" i="8"/>
  <c r="U2327" i="8"/>
  <c r="U2326" i="8"/>
  <c r="U2325" i="8"/>
  <c r="U2324" i="8"/>
  <c r="U2323" i="8"/>
  <c r="U2322" i="8"/>
  <c r="U2321" i="8"/>
  <c r="U2320" i="8"/>
  <c r="U2319" i="8"/>
  <c r="U2318" i="8"/>
  <c r="U2317" i="8"/>
  <c r="U2316" i="8"/>
  <c r="U2315" i="8"/>
  <c r="U2314" i="8"/>
  <c r="U2313" i="8"/>
  <c r="U2312" i="8"/>
  <c r="U2311" i="8"/>
  <c r="U2310" i="8"/>
  <c r="U2309" i="8"/>
  <c r="U2308" i="8"/>
  <c r="U2307" i="8"/>
  <c r="U2306" i="8"/>
  <c r="U2305" i="8"/>
  <c r="U2304" i="8"/>
  <c r="U2303" i="8"/>
  <c r="U2302" i="8"/>
  <c r="U2301" i="8"/>
  <c r="U2300" i="8"/>
  <c r="U2299" i="8"/>
  <c r="U2298" i="8"/>
  <c r="U2297" i="8"/>
  <c r="U2296" i="8"/>
  <c r="U2295" i="8"/>
  <c r="U2294" i="8"/>
  <c r="U2293" i="8"/>
  <c r="U2292" i="8"/>
  <c r="U2291" i="8"/>
  <c r="U2290" i="8"/>
  <c r="U2289" i="8"/>
  <c r="U2288" i="8"/>
  <c r="U2287" i="8"/>
  <c r="U2286" i="8"/>
  <c r="U2285" i="8"/>
  <c r="U2284" i="8"/>
  <c r="U2283" i="8"/>
  <c r="U2282" i="8"/>
  <c r="U2281" i="8"/>
  <c r="U2280" i="8"/>
  <c r="U2279" i="8"/>
  <c r="U2278" i="8"/>
  <c r="U2277" i="8"/>
  <c r="U2276" i="8"/>
  <c r="U2275" i="8"/>
  <c r="U2274" i="8"/>
  <c r="U2273" i="8"/>
  <c r="U2272" i="8"/>
  <c r="U2271" i="8"/>
  <c r="U2270" i="8"/>
  <c r="U2269" i="8"/>
  <c r="U2268" i="8"/>
  <c r="U2267" i="8"/>
  <c r="U2266" i="8"/>
  <c r="U2265" i="8"/>
  <c r="U2264" i="8"/>
  <c r="U2263" i="8"/>
  <c r="U2262" i="8"/>
  <c r="U2261" i="8"/>
  <c r="U2260" i="8"/>
  <c r="U2259" i="8"/>
  <c r="U2258" i="8"/>
  <c r="U2257" i="8"/>
  <c r="U2256" i="8"/>
  <c r="U2255" i="8"/>
  <c r="U2254" i="8"/>
  <c r="U2253" i="8"/>
  <c r="U2252" i="8"/>
  <c r="U2251" i="8"/>
  <c r="U2250" i="8"/>
  <c r="U2249" i="8"/>
  <c r="U2248" i="8"/>
  <c r="U2247" i="8"/>
  <c r="U2246" i="8"/>
  <c r="U2245" i="8"/>
  <c r="U2244" i="8"/>
  <c r="U2243" i="8"/>
  <c r="U2242" i="8"/>
  <c r="U2241" i="8"/>
  <c r="U2240" i="8"/>
  <c r="U2239" i="8"/>
  <c r="U2238" i="8"/>
  <c r="U2237" i="8"/>
  <c r="U2236" i="8"/>
  <c r="U2235" i="8"/>
  <c r="U2234" i="8"/>
  <c r="U2233" i="8"/>
  <c r="U2232" i="8"/>
  <c r="U2231" i="8"/>
  <c r="U2230" i="8"/>
  <c r="U2229" i="8"/>
  <c r="U2228" i="8"/>
  <c r="U2227" i="8"/>
  <c r="U2226" i="8"/>
  <c r="U2225" i="8"/>
  <c r="U2224" i="8"/>
  <c r="U2223" i="8"/>
  <c r="U2222" i="8"/>
  <c r="U2221" i="8"/>
  <c r="U2220" i="8"/>
  <c r="U2219" i="8"/>
  <c r="U2218" i="8"/>
  <c r="U2217" i="8"/>
  <c r="U2216" i="8"/>
  <c r="U2215" i="8"/>
  <c r="U2214" i="8"/>
  <c r="U2213" i="8"/>
  <c r="U2212" i="8"/>
  <c r="U2211" i="8"/>
  <c r="U2210" i="8"/>
  <c r="U2209" i="8"/>
  <c r="U2208" i="8"/>
  <c r="U2207" i="8"/>
  <c r="U2206" i="8"/>
  <c r="U2205" i="8"/>
  <c r="U2204" i="8"/>
  <c r="U2203" i="8"/>
  <c r="U2202" i="8"/>
  <c r="U2201" i="8"/>
  <c r="U2200" i="8"/>
  <c r="U2199" i="8"/>
  <c r="U2198" i="8"/>
  <c r="U2197" i="8"/>
  <c r="U2196" i="8"/>
  <c r="U2195" i="8"/>
  <c r="U2194" i="8"/>
  <c r="U2193" i="8"/>
  <c r="U2192" i="8"/>
  <c r="U2191" i="8"/>
  <c r="U2190" i="8"/>
  <c r="U2189" i="8"/>
  <c r="U2188" i="8"/>
  <c r="U2187" i="8"/>
  <c r="U2186" i="8"/>
  <c r="U2185" i="8"/>
  <c r="U2184" i="8"/>
  <c r="U2183" i="8"/>
  <c r="U2182" i="8"/>
  <c r="U2181" i="8"/>
  <c r="U2180" i="8"/>
  <c r="U2179" i="8"/>
  <c r="U2178" i="8"/>
  <c r="U2177" i="8"/>
  <c r="U2176" i="8"/>
  <c r="U2175" i="8"/>
  <c r="U2174" i="8"/>
  <c r="U2173" i="8"/>
  <c r="U2172" i="8"/>
  <c r="U2171" i="8"/>
  <c r="U2170" i="8"/>
  <c r="U2169" i="8"/>
  <c r="U2168" i="8"/>
  <c r="U2167" i="8"/>
  <c r="U2166" i="8"/>
  <c r="U2165" i="8"/>
  <c r="U2164" i="8"/>
  <c r="U2163" i="8"/>
  <c r="U2162" i="8"/>
  <c r="U2161" i="8"/>
  <c r="U2160" i="8"/>
  <c r="U2159" i="8"/>
  <c r="U2158" i="8"/>
  <c r="U2157" i="8"/>
  <c r="U2156" i="8"/>
  <c r="U2155" i="8"/>
  <c r="U2154" i="8"/>
  <c r="U2153" i="8"/>
  <c r="U2152" i="8"/>
  <c r="U2151" i="8"/>
  <c r="U2150" i="8"/>
  <c r="U2149" i="8"/>
  <c r="U2148" i="8"/>
  <c r="U2147" i="8"/>
  <c r="U2146" i="8"/>
  <c r="U2145" i="8"/>
  <c r="U2144" i="8"/>
  <c r="U2143" i="8"/>
  <c r="U2142" i="8"/>
  <c r="U2141" i="8"/>
  <c r="U2140" i="8"/>
  <c r="U2139" i="8"/>
  <c r="U2138" i="8"/>
  <c r="U2137" i="8"/>
  <c r="U2136" i="8"/>
  <c r="U2135" i="8"/>
  <c r="U2134" i="8"/>
  <c r="U2133" i="8"/>
  <c r="U2132" i="8"/>
  <c r="U2131" i="8"/>
  <c r="U2130" i="8"/>
  <c r="U2129" i="8"/>
  <c r="U2128" i="8"/>
  <c r="U2127" i="8"/>
  <c r="U2126" i="8"/>
  <c r="U2125" i="8"/>
  <c r="U2124" i="8"/>
  <c r="U2123" i="8"/>
  <c r="U2122" i="8"/>
  <c r="U2121" i="8"/>
  <c r="U2120" i="8"/>
  <c r="U2119" i="8"/>
  <c r="U2118" i="8"/>
  <c r="U2117" i="8"/>
  <c r="U2116" i="8"/>
  <c r="U2115" i="8"/>
  <c r="U2114" i="8"/>
  <c r="U2113" i="8"/>
  <c r="U2112" i="8"/>
  <c r="U2111" i="8"/>
  <c r="U2110" i="8"/>
  <c r="U2109" i="8"/>
  <c r="U2108" i="8"/>
  <c r="U2107" i="8"/>
  <c r="U2106" i="8"/>
  <c r="U2105" i="8"/>
  <c r="U2104" i="8"/>
  <c r="U2103" i="8"/>
  <c r="U2102" i="8"/>
  <c r="U2101" i="8"/>
  <c r="U2100" i="8"/>
  <c r="U2099" i="8"/>
  <c r="U2098" i="8"/>
  <c r="U2097" i="8"/>
  <c r="U2096" i="8"/>
  <c r="U2095" i="8"/>
  <c r="U2094" i="8"/>
  <c r="U2093" i="8"/>
  <c r="U2092" i="8"/>
  <c r="U2091" i="8"/>
  <c r="U2090" i="8"/>
  <c r="U2089" i="8"/>
  <c r="U2088" i="8"/>
  <c r="U2087" i="8"/>
  <c r="U2086" i="8"/>
  <c r="U2085" i="8"/>
  <c r="U2084" i="8"/>
  <c r="U2083" i="8"/>
  <c r="U2082" i="8"/>
  <c r="U2081" i="8"/>
  <c r="U2080" i="8"/>
  <c r="U2079" i="8"/>
  <c r="U2078" i="8"/>
  <c r="U2077" i="8"/>
  <c r="U2076" i="8"/>
  <c r="U2075" i="8"/>
  <c r="U2074" i="8"/>
  <c r="U2073" i="8"/>
  <c r="U2072" i="8"/>
  <c r="U2071" i="8"/>
  <c r="U2070" i="8"/>
  <c r="U2069" i="8"/>
  <c r="U2068" i="8"/>
  <c r="U2067" i="8"/>
  <c r="U2066" i="8"/>
  <c r="U2065" i="8"/>
  <c r="U2064" i="8"/>
  <c r="U2063" i="8"/>
  <c r="U2062" i="8"/>
  <c r="U2061" i="8"/>
  <c r="U2060" i="8"/>
  <c r="U2059" i="8"/>
  <c r="U2058" i="8"/>
  <c r="U2057" i="8"/>
  <c r="U2056" i="8"/>
  <c r="U2055" i="8"/>
  <c r="U2054" i="8"/>
  <c r="U2053" i="8"/>
  <c r="U2052" i="8"/>
  <c r="U2051" i="8"/>
  <c r="U2050" i="8"/>
  <c r="U2049" i="8"/>
  <c r="U2048" i="8"/>
  <c r="U2047" i="8"/>
  <c r="U2046" i="8"/>
  <c r="U2045" i="8"/>
  <c r="U2044" i="8"/>
  <c r="U2043" i="8"/>
  <c r="U2042" i="8"/>
  <c r="U2041" i="8"/>
  <c r="U2040" i="8"/>
  <c r="U2039" i="8"/>
  <c r="U2038" i="8"/>
  <c r="U2037" i="8"/>
  <c r="U2036" i="8"/>
  <c r="U2035" i="8"/>
  <c r="U2034" i="8"/>
  <c r="U2033" i="8"/>
  <c r="U2032" i="8"/>
  <c r="U2031" i="8"/>
  <c r="U2030" i="8"/>
  <c r="U2029" i="8"/>
  <c r="U2028" i="8"/>
  <c r="U2027" i="8"/>
  <c r="U2026" i="8"/>
  <c r="U2025" i="8"/>
  <c r="U2024" i="8"/>
  <c r="U2023" i="8"/>
  <c r="U2022" i="8"/>
  <c r="U2021" i="8"/>
  <c r="U2020" i="8"/>
  <c r="U2019" i="8"/>
  <c r="U2018" i="8"/>
  <c r="U2017" i="8"/>
  <c r="U2016" i="8"/>
  <c r="U2015" i="8"/>
  <c r="U2014" i="8"/>
  <c r="U2013" i="8"/>
  <c r="U2012" i="8"/>
  <c r="U2011" i="8"/>
  <c r="U2010" i="8"/>
  <c r="U2009" i="8"/>
  <c r="U2008" i="8"/>
  <c r="U2007" i="8"/>
  <c r="U2006" i="8"/>
  <c r="U2005" i="8"/>
  <c r="U2004" i="8"/>
  <c r="U2003" i="8"/>
  <c r="U2002" i="8"/>
  <c r="U2001" i="8"/>
  <c r="U2000" i="8"/>
  <c r="U1999" i="8"/>
  <c r="U1998" i="8"/>
  <c r="U1997" i="8"/>
  <c r="U1996" i="8"/>
  <c r="U1995" i="8"/>
  <c r="U1994" i="8"/>
  <c r="U1993" i="8"/>
  <c r="U1992" i="8"/>
  <c r="U1991" i="8"/>
  <c r="U1990" i="8"/>
  <c r="U1989" i="8"/>
  <c r="U1988" i="8"/>
  <c r="U1987" i="8"/>
  <c r="U1986" i="8"/>
  <c r="U1985" i="8"/>
  <c r="U1984" i="8"/>
  <c r="U1983" i="8"/>
  <c r="U1982" i="8"/>
  <c r="U1981" i="8"/>
  <c r="U1980" i="8"/>
  <c r="U1979" i="8"/>
  <c r="U1978" i="8"/>
  <c r="U1977" i="8"/>
  <c r="U1976" i="8"/>
  <c r="U1975" i="8"/>
  <c r="U1974" i="8"/>
  <c r="U1973" i="8"/>
  <c r="U1972" i="8"/>
  <c r="U1971" i="8"/>
  <c r="U1970" i="8"/>
  <c r="U1969" i="8"/>
  <c r="U1968" i="8"/>
  <c r="U1967" i="8"/>
  <c r="U1966" i="8"/>
  <c r="U1965" i="8"/>
  <c r="U1964" i="8"/>
  <c r="U1963" i="8"/>
  <c r="U1962" i="8"/>
  <c r="U1961" i="8"/>
  <c r="U1960" i="8"/>
  <c r="U1959" i="8"/>
  <c r="U1958" i="8"/>
  <c r="U1957" i="8"/>
  <c r="U1956" i="8"/>
  <c r="U1955" i="8"/>
  <c r="U1954" i="8"/>
  <c r="U1953" i="8"/>
  <c r="U1952" i="8"/>
  <c r="U1951" i="8"/>
  <c r="U1950" i="8"/>
  <c r="U1949" i="8"/>
  <c r="U1948" i="8"/>
  <c r="U1947" i="8"/>
  <c r="U1946" i="8"/>
  <c r="U1945" i="8"/>
  <c r="U1944" i="8"/>
  <c r="U1943" i="8"/>
  <c r="U1942" i="8"/>
  <c r="U1941" i="8"/>
  <c r="U1940" i="8"/>
  <c r="U1939" i="8"/>
  <c r="U1938" i="8"/>
  <c r="U1937" i="8"/>
  <c r="U1936" i="8"/>
  <c r="U1935" i="8"/>
  <c r="U1934" i="8"/>
  <c r="U1933" i="8"/>
  <c r="U1932" i="8"/>
  <c r="U1931" i="8"/>
  <c r="U1930" i="8"/>
  <c r="U1929" i="8"/>
  <c r="U1928" i="8"/>
  <c r="U1927" i="8"/>
  <c r="U1926" i="8"/>
  <c r="U1925" i="8"/>
  <c r="U1924" i="8"/>
  <c r="U1923" i="8"/>
  <c r="U1922" i="8"/>
  <c r="U1921" i="8"/>
  <c r="U1920" i="8"/>
  <c r="U1919" i="8"/>
  <c r="U1918" i="8"/>
  <c r="U1917" i="8"/>
  <c r="U1916" i="8"/>
  <c r="U1915" i="8"/>
  <c r="U1914" i="8"/>
  <c r="U1913" i="8"/>
  <c r="U1912" i="8"/>
  <c r="U1911" i="8"/>
  <c r="U1910" i="8"/>
  <c r="U1909" i="8"/>
  <c r="U1908" i="8"/>
  <c r="U1907" i="8"/>
  <c r="U1906" i="8"/>
  <c r="U1905" i="8"/>
  <c r="U1904" i="8"/>
  <c r="U1903" i="8"/>
  <c r="U1902" i="8"/>
  <c r="U1901" i="8"/>
  <c r="U1900" i="8"/>
  <c r="U1899" i="8"/>
  <c r="U1898" i="8"/>
  <c r="U1897" i="8"/>
  <c r="U1896" i="8"/>
  <c r="U1895" i="8"/>
  <c r="U1894" i="8"/>
  <c r="U1893" i="8"/>
  <c r="U1892" i="8"/>
  <c r="U1891" i="8"/>
  <c r="U1890" i="8"/>
  <c r="U1889" i="8"/>
  <c r="U1888" i="8"/>
  <c r="U1887" i="8"/>
  <c r="U1886" i="8"/>
  <c r="U1885" i="8"/>
  <c r="U1884" i="8"/>
  <c r="U1883" i="8"/>
  <c r="U1882" i="8"/>
  <c r="U1881" i="8"/>
  <c r="U1880" i="8"/>
  <c r="U1879" i="8"/>
  <c r="U1878" i="8"/>
  <c r="U1877" i="8"/>
  <c r="U1876" i="8"/>
  <c r="U1875" i="8"/>
  <c r="U1874" i="8"/>
  <c r="U1873" i="8"/>
  <c r="U1872" i="8"/>
  <c r="U1871" i="8"/>
  <c r="U1870" i="8"/>
  <c r="U1869" i="8"/>
  <c r="U1868" i="8"/>
  <c r="U1867" i="8"/>
  <c r="U1866" i="8"/>
  <c r="U1865" i="8"/>
  <c r="U1864" i="8"/>
  <c r="U1863" i="8"/>
  <c r="U1862" i="8"/>
  <c r="U1861" i="8"/>
  <c r="U1860" i="8"/>
  <c r="U1859" i="8"/>
  <c r="U1858" i="8"/>
  <c r="U1857" i="8"/>
  <c r="U1856" i="8"/>
  <c r="U1855" i="8"/>
  <c r="U1854" i="8"/>
  <c r="U1853" i="8"/>
  <c r="U1852" i="8"/>
  <c r="U1851" i="8"/>
  <c r="U1850" i="8"/>
  <c r="U1849" i="8"/>
  <c r="U1848" i="8"/>
  <c r="U1847" i="8"/>
  <c r="U1846" i="8"/>
  <c r="U1845" i="8"/>
  <c r="U1844" i="8"/>
  <c r="U1843" i="8"/>
  <c r="U1842" i="8"/>
  <c r="U1841" i="8"/>
  <c r="U1840" i="8"/>
  <c r="U1839" i="8"/>
  <c r="U1838" i="8"/>
  <c r="U1837" i="8"/>
  <c r="U1836" i="8"/>
  <c r="U1835" i="8"/>
  <c r="U1834" i="8"/>
  <c r="U1833" i="8"/>
  <c r="U1832" i="8"/>
  <c r="U1831" i="8"/>
  <c r="U1830" i="8"/>
  <c r="U1829" i="8"/>
  <c r="U1828" i="8"/>
  <c r="U1827" i="8"/>
  <c r="U1826" i="8"/>
  <c r="U1825" i="8"/>
  <c r="U1824" i="8"/>
  <c r="U1823" i="8"/>
  <c r="U1822" i="8"/>
  <c r="U1821" i="8"/>
  <c r="U1820" i="8"/>
  <c r="U1819" i="8"/>
  <c r="U1818" i="8"/>
  <c r="U1817" i="8"/>
  <c r="U1816" i="8"/>
  <c r="U1815" i="8"/>
  <c r="U1814" i="8"/>
  <c r="U1813" i="8"/>
  <c r="U1812" i="8"/>
  <c r="U1811" i="8"/>
  <c r="U1810" i="8"/>
  <c r="U1809" i="8"/>
  <c r="U1808" i="8"/>
  <c r="U1807" i="8"/>
  <c r="U1806" i="8"/>
  <c r="U1805" i="8"/>
  <c r="U1804" i="8"/>
  <c r="U1803" i="8"/>
  <c r="U1802" i="8"/>
  <c r="U1801" i="8"/>
  <c r="U1800" i="8"/>
  <c r="U1799" i="8"/>
  <c r="U1798" i="8"/>
  <c r="U1797" i="8"/>
  <c r="U1796" i="8"/>
  <c r="U1795" i="8"/>
  <c r="U1794" i="8"/>
  <c r="U1793" i="8"/>
  <c r="U1792" i="8"/>
  <c r="U1791" i="8"/>
  <c r="U1790" i="8"/>
  <c r="U1789" i="8"/>
  <c r="U1788" i="8"/>
  <c r="U1787" i="8"/>
  <c r="U1786" i="8"/>
  <c r="U1785" i="8"/>
  <c r="U1784" i="8"/>
  <c r="U1783" i="8"/>
  <c r="U1782" i="8"/>
  <c r="U1781" i="8"/>
  <c r="U1780" i="8"/>
  <c r="U1779" i="8"/>
  <c r="U1778" i="8"/>
  <c r="U1777" i="8"/>
  <c r="U1776" i="8"/>
  <c r="U1775" i="8"/>
  <c r="U1774" i="8"/>
  <c r="U1773" i="8"/>
  <c r="U1772" i="8"/>
  <c r="U1771" i="8"/>
  <c r="U1770" i="8"/>
  <c r="U1769" i="8"/>
  <c r="U1768" i="8"/>
  <c r="U1767" i="8"/>
  <c r="U1766" i="8"/>
  <c r="U1765" i="8"/>
  <c r="U1764" i="8"/>
  <c r="U1763" i="8"/>
  <c r="U1762" i="8"/>
  <c r="U1761" i="8"/>
  <c r="U1760" i="8"/>
  <c r="U1759" i="8"/>
  <c r="U1758" i="8"/>
  <c r="U1757" i="8"/>
  <c r="U1756" i="8"/>
  <c r="U1755" i="8"/>
  <c r="U1754" i="8"/>
  <c r="U1753" i="8"/>
  <c r="U1752" i="8"/>
  <c r="U1751" i="8"/>
  <c r="U1750" i="8"/>
  <c r="U1749" i="8"/>
  <c r="U1748" i="8"/>
  <c r="U1747" i="8"/>
  <c r="U1746" i="8"/>
  <c r="U1745" i="8"/>
  <c r="U1744" i="8"/>
  <c r="U1743" i="8"/>
  <c r="U1742" i="8"/>
  <c r="U1741" i="8"/>
  <c r="U1740" i="8"/>
  <c r="U1739" i="8"/>
  <c r="U1738" i="8"/>
  <c r="U1737" i="8"/>
  <c r="U1736" i="8"/>
  <c r="U1735" i="8"/>
  <c r="U1734" i="8"/>
  <c r="U1733" i="8"/>
  <c r="U1732" i="8"/>
  <c r="U1731" i="8"/>
  <c r="U1730" i="8"/>
  <c r="U1729" i="8"/>
  <c r="U1728" i="8"/>
  <c r="U1727" i="8"/>
  <c r="U1726" i="8"/>
  <c r="U1725" i="8"/>
  <c r="U1724" i="8"/>
  <c r="U1723" i="8"/>
  <c r="U1722" i="8"/>
  <c r="U1721" i="8"/>
  <c r="U1720" i="8"/>
  <c r="U1719" i="8"/>
  <c r="U1718" i="8"/>
  <c r="U1717" i="8"/>
  <c r="U1716" i="8"/>
  <c r="U1715" i="8"/>
  <c r="U1714" i="8"/>
  <c r="U1713" i="8"/>
  <c r="U1712" i="8"/>
  <c r="U1711" i="8"/>
  <c r="U1710" i="8"/>
  <c r="U1709" i="8"/>
  <c r="U1708" i="8"/>
  <c r="U1707" i="8"/>
  <c r="U1706" i="8"/>
  <c r="U1705" i="8"/>
  <c r="U1704" i="8"/>
  <c r="U1703" i="8"/>
  <c r="U1702" i="8"/>
  <c r="U1701" i="8"/>
  <c r="U1700" i="8"/>
  <c r="U1699" i="8"/>
  <c r="U1698" i="8"/>
  <c r="U1697" i="8"/>
  <c r="U1696" i="8"/>
  <c r="U1695" i="8"/>
  <c r="U1694" i="8"/>
  <c r="U1693" i="8"/>
  <c r="U1692" i="8"/>
  <c r="U1691" i="8"/>
  <c r="U1690" i="8"/>
  <c r="U1689" i="8"/>
  <c r="U1688" i="8"/>
  <c r="U1687" i="8"/>
  <c r="U1686" i="8"/>
  <c r="U1685" i="8"/>
  <c r="U1684" i="8"/>
  <c r="U1683" i="8"/>
  <c r="U1682" i="8"/>
  <c r="U1681" i="8"/>
  <c r="U1680" i="8"/>
  <c r="U1679" i="8"/>
  <c r="U1678" i="8"/>
  <c r="U1677" i="8"/>
  <c r="U1676" i="8"/>
  <c r="U1675" i="8"/>
  <c r="U1674" i="8"/>
  <c r="U1673" i="8"/>
  <c r="U1672" i="8"/>
  <c r="U1671" i="8"/>
  <c r="U1670" i="8"/>
  <c r="U1669" i="8"/>
  <c r="U1668" i="8"/>
  <c r="U1667" i="8"/>
  <c r="U1666" i="8"/>
  <c r="U1665" i="8"/>
  <c r="U1664" i="8"/>
  <c r="U1663" i="8"/>
  <c r="U1662" i="8"/>
  <c r="U1661" i="8"/>
  <c r="U1660" i="8"/>
  <c r="U1659" i="8"/>
  <c r="U1658" i="8"/>
  <c r="U1657" i="8"/>
  <c r="U1656" i="8"/>
  <c r="U1655" i="8"/>
  <c r="U1654" i="8"/>
  <c r="U1653" i="8"/>
  <c r="U1652" i="8"/>
  <c r="U1651" i="8"/>
  <c r="U1650" i="8"/>
  <c r="U1649" i="8"/>
  <c r="U1648" i="8"/>
  <c r="U1647" i="8"/>
  <c r="U1646" i="8"/>
  <c r="U1645" i="8"/>
  <c r="U1644" i="8"/>
  <c r="U1643" i="8"/>
  <c r="U1642" i="8"/>
  <c r="U1641" i="8"/>
  <c r="U1640" i="8"/>
  <c r="U1639" i="8"/>
  <c r="U1638" i="8"/>
  <c r="U1637" i="8"/>
  <c r="U1636" i="8"/>
  <c r="U1635" i="8"/>
  <c r="U1634" i="8"/>
  <c r="U1633" i="8"/>
  <c r="U1632" i="8"/>
  <c r="U1631" i="8"/>
  <c r="U1630" i="8"/>
  <c r="U1629" i="8"/>
  <c r="U1628" i="8"/>
  <c r="U1627" i="8"/>
  <c r="U1626" i="8"/>
  <c r="U1625" i="8"/>
  <c r="U1624" i="8"/>
  <c r="U1623" i="8"/>
  <c r="U1622" i="8"/>
  <c r="U1621" i="8"/>
  <c r="U1620" i="8"/>
  <c r="U1619" i="8"/>
  <c r="U1618" i="8"/>
  <c r="U1617" i="8"/>
  <c r="U1616" i="8"/>
  <c r="U1615" i="8"/>
  <c r="U1614" i="8"/>
  <c r="U1613" i="8"/>
  <c r="U1612" i="8"/>
  <c r="U1611" i="8"/>
  <c r="U1610" i="8"/>
  <c r="U1609" i="8"/>
  <c r="U1608" i="8"/>
  <c r="U1607" i="8"/>
  <c r="U1606" i="8"/>
  <c r="U1605" i="8"/>
  <c r="U1604" i="8"/>
  <c r="U1603" i="8"/>
  <c r="U1602" i="8"/>
  <c r="U1601" i="8"/>
  <c r="U1600" i="8"/>
  <c r="U1599" i="8"/>
  <c r="U1598" i="8"/>
  <c r="U1597" i="8"/>
  <c r="U1596" i="8"/>
  <c r="U1595" i="8"/>
  <c r="U1594" i="8"/>
  <c r="U1593" i="8"/>
  <c r="U1592" i="8"/>
  <c r="U1591" i="8"/>
  <c r="U1590" i="8"/>
  <c r="U1589" i="8"/>
  <c r="U1588" i="8"/>
  <c r="U1587" i="8"/>
  <c r="U1586" i="8"/>
  <c r="U1585" i="8"/>
  <c r="U1584" i="8"/>
  <c r="U1583" i="8"/>
  <c r="U1582" i="8"/>
  <c r="U1581" i="8"/>
  <c r="U1580" i="8"/>
  <c r="U1579" i="8"/>
  <c r="U1578" i="8"/>
  <c r="U1577" i="8"/>
  <c r="U1576" i="8"/>
  <c r="U1575" i="8"/>
  <c r="U1574" i="8"/>
  <c r="U1573" i="8"/>
  <c r="U1572" i="8"/>
  <c r="U1571" i="8"/>
  <c r="U1570" i="8"/>
  <c r="U1569" i="8"/>
  <c r="U1568" i="8"/>
  <c r="U1567" i="8"/>
  <c r="U1566" i="8"/>
  <c r="U1565" i="8"/>
  <c r="U1564" i="8"/>
  <c r="U1563" i="8"/>
  <c r="U1562" i="8"/>
  <c r="U1561" i="8"/>
  <c r="U1560" i="8"/>
  <c r="U1559" i="8"/>
  <c r="U1558" i="8"/>
  <c r="U1557" i="8"/>
  <c r="U1556" i="8"/>
  <c r="U1555" i="8"/>
  <c r="U1554" i="8"/>
  <c r="U1553" i="8"/>
  <c r="U1552" i="8"/>
  <c r="U1551" i="8"/>
  <c r="U1550" i="8"/>
  <c r="U1549" i="8"/>
  <c r="U1548" i="8"/>
  <c r="U1547" i="8"/>
  <c r="U1546" i="8"/>
  <c r="U1545" i="8"/>
  <c r="U1544" i="8"/>
  <c r="U1543" i="8"/>
  <c r="U1542" i="8"/>
  <c r="U1541" i="8"/>
  <c r="U1540" i="8"/>
  <c r="U1539" i="8"/>
  <c r="U1538" i="8"/>
  <c r="U1537" i="8"/>
  <c r="U1536" i="8"/>
  <c r="U1535" i="8"/>
  <c r="U1534" i="8"/>
  <c r="U1533" i="8"/>
  <c r="U1532" i="8"/>
  <c r="U1531" i="8"/>
  <c r="U1530" i="8"/>
  <c r="U1529" i="8"/>
  <c r="U1528" i="8"/>
  <c r="U1527" i="8"/>
  <c r="U1526" i="8"/>
  <c r="U1525" i="8"/>
  <c r="U1524" i="8"/>
  <c r="U1523" i="8"/>
  <c r="U1522" i="8"/>
  <c r="U1521" i="8"/>
  <c r="U1520" i="8"/>
  <c r="U1519" i="8"/>
  <c r="U1518" i="8"/>
  <c r="U1517" i="8"/>
  <c r="U1516" i="8"/>
  <c r="U1515" i="8"/>
  <c r="U1514" i="8"/>
  <c r="U1513" i="8"/>
  <c r="U1512" i="8"/>
  <c r="U1511" i="8"/>
  <c r="U1510" i="8"/>
  <c r="U1509" i="8"/>
  <c r="U1508" i="8"/>
  <c r="U1507" i="8"/>
  <c r="U1506" i="8"/>
  <c r="U1505" i="8"/>
  <c r="U1504" i="8"/>
  <c r="U1503" i="8"/>
  <c r="U1502" i="8"/>
  <c r="U1501" i="8"/>
  <c r="U1500" i="8"/>
  <c r="U1499" i="8"/>
  <c r="U1498" i="8"/>
  <c r="U1497" i="8"/>
  <c r="U1496" i="8"/>
  <c r="U1495" i="8"/>
  <c r="U1494" i="8"/>
  <c r="U1493" i="8"/>
  <c r="U1492" i="8"/>
  <c r="U1491" i="8"/>
  <c r="U1490" i="8"/>
  <c r="U1489" i="8"/>
  <c r="U1488" i="8"/>
  <c r="U1487" i="8"/>
  <c r="U1486" i="8"/>
  <c r="U1485" i="8"/>
  <c r="U1484" i="8"/>
  <c r="U1483" i="8"/>
  <c r="U1482" i="8"/>
  <c r="U1481" i="8"/>
  <c r="U1480" i="8"/>
  <c r="U1479" i="8"/>
  <c r="U1478" i="8"/>
  <c r="U1477" i="8"/>
  <c r="U1476" i="8"/>
  <c r="U1475" i="8"/>
  <c r="U1474" i="8"/>
  <c r="U1473" i="8"/>
  <c r="U1472" i="8"/>
  <c r="U1471" i="8"/>
  <c r="U1470" i="8"/>
  <c r="U1469" i="8"/>
  <c r="U1468" i="8"/>
  <c r="U1467" i="8"/>
  <c r="U1466" i="8"/>
  <c r="U1465" i="8"/>
  <c r="U1464" i="8"/>
  <c r="U1463" i="8"/>
  <c r="U1462" i="8"/>
  <c r="U1461" i="8"/>
  <c r="U1460" i="8"/>
  <c r="U1459" i="8"/>
  <c r="U1458" i="8"/>
  <c r="U1457" i="8"/>
  <c r="U1456" i="8"/>
  <c r="U1455" i="8"/>
  <c r="U1454" i="8"/>
  <c r="U1453" i="8"/>
  <c r="U1452" i="8"/>
  <c r="U1451" i="8"/>
  <c r="U1450" i="8"/>
  <c r="U1449" i="8"/>
  <c r="U1448" i="8"/>
  <c r="U1447" i="8"/>
  <c r="U1446" i="8"/>
  <c r="U1445" i="8"/>
  <c r="U1444" i="8"/>
  <c r="U1443" i="8"/>
  <c r="U1442" i="8"/>
  <c r="U1441" i="8"/>
  <c r="U1440" i="8"/>
  <c r="U1439" i="8"/>
  <c r="U1438" i="8"/>
  <c r="U1437" i="8"/>
  <c r="U1436" i="8"/>
  <c r="U1435" i="8"/>
  <c r="U1434" i="8"/>
  <c r="U1433" i="8"/>
  <c r="U1432" i="8"/>
  <c r="U1431" i="8"/>
  <c r="U1430" i="8"/>
  <c r="U1429" i="8"/>
  <c r="U1428" i="8"/>
  <c r="U1427" i="8"/>
  <c r="U1426" i="8"/>
  <c r="U1425" i="8"/>
  <c r="U1424" i="8"/>
  <c r="U1423" i="8"/>
  <c r="U1422" i="8"/>
  <c r="U1421" i="8"/>
  <c r="U1420" i="8"/>
  <c r="U1419" i="8"/>
  <c r="U1418" i="8"/>
  <c r="U1417" i="8"/>
  <c r="U1416" i="8"/>
  <c r="U1415" i="8"/>
  <c r="U1414" i="8"/>
  <c r="U1413" i="8"/>
  <c r="U1412" i="8"/>
  <c r="U1411" i="8"/>
  <c r="U1410" i="8"/>
  <c r="U1409" i="8"/>
  <c r="U1408" i="8"/>
  <c r="U1407" i="8"/>
  <c r="U1406" i="8"/>
  <c r="U1405" i="8"/>
  <c r="U1404" i="8"/>
  <c r="U1403" i="8"/>
  <c r="U1402" i="8"/>
  <c r="U1401" i="8"/>
  <c r="U1400" i="8"/>
  <c r="U1399" i="8"/>
  <c r="U1398" i="8"/>
  <c r="U1397" i="8"/>
  <c r="U1396" i="8"/>
  <c r="U1395" i="8"/>
  <c r="U1394" i="8"/>
  <c r="U1393" i="8"/>
  <c r="U1392" i="8"/>
  <c r="U1391" i="8"/>
  <c r="U1390" i="8"/>
  <c r="U1389" i="8"/>
  <c r="U1388" i="8"/>
  <c r="U1387" i="8"/>
  <c r="U1386" i="8"/>
  <c r="U1385" i="8"/>
  <c r="U1384" i="8"/>
  <c r="U1383" i="8"/>
  <c r="U1382" i="8"/>
  <c r="U1381" i="8"/>
  <c r="U1380" i="8"/>
  <c r="U1379" i="8"/>
  <c r="U1378" i="8"/>
  <c r="U1377" i="8"/>
  <c r="U1376" i="8"/>
  <c r="U1375" i="8"/>
  <c r="U1374" i="8"/>
  <c r="U1373" i="8"/>
  <c r="U1372" i="8"/>
  <c r="U1371" i="8"/>
  <c r="U1370" i="8"/>
  <c r="U1369" i="8"/>
  <c r="U1368" i="8"/>
  <c r="U1367" i="8"/>
  <c r="U1366" i="8"/>
  <c r="U1365" i="8"/>
  <c r="U1364" i="8"/>
  <c r="U1363" i="8"/>
  <c r="U1362" i="8"/>
  <c r="U1361" i="8"/>
  <c r="U1360" i="8"/>
  <c r="U1359" i="8"/>
  <c r="U1358" i="8"/>
  <c r="U1357" i="8"/>
  <c r="U1356" i="8"/>
  <c r="U1355" i="8"/>
  <c r="U1354" i="8"/>
  <c r="U1353" i="8"/>
  <c r="U1352" i="8"/>
  <c r="U1351" i="8"/>
  <c r="U1350" i="8"/>
  <c r="U1349" i="8"/>
  <c r="U1348" i="8"/>
  <c r="U1347" i="8"/>
  <c r="U1346" i="8"/>
  <c r="U1345" i="8"/>
  <c r="U1344" i="8"/>
  <c r="U1343" i="8"/>
  <c r="U1342" i="8"/>
  <c r="U1341" i="8"/>
  <c r="U1340" i="8"/>
  <c r="U1339" i="8"/>
  <c r="U1338" i="8"/>
  <c r="U1337" i="8"/>
  <c r="U1336" i="8"/>
  <c r="U1335" i="8"/>
  <c r="U1334" i="8"/>
  <c r="U1333" i="8"/>
  <c r="U1332" i="8"/>
  <c r="U1331" i="8"/>
  <c r="U1330" i="8"/>
  <c r="U1329" i="8"/>
  <c r="U1328" i="8"/>
  <c r="U1327" i="8"/>
  <c r="U1326" i="8"/>
  <c r="U1325" i="8"/>
  <c r="U1324" i="8"/>
  <c r="U1323" i="8"/>
  <c r="U1322" i="8"/>
  <c r="U1321" i="8"/>
  <c r="U1320" i="8"/>
  <c r="U1319" i="8"/>
  <c r="U1318" i="8"/>
  <c r="U1317" i="8"/>
  <c r="U1316" i="8"/>
  <c r="U1315" i="8"/>
  <c r="U1314" i="8"/>
  <c r="U1313" i="8"/>
  <c r="U1312" i="8"/>
  <c r="U1311" i="8"/>
  <c r="U1310" i="8"/>
  <c r="U1309" i="8"/>
  <c r="U1308" i="8"/>
  <c r="U1307" i="8"/>
  <c r="U1306" i="8"/>
  <c r="U1305" i="8"/>
  <c r="U1304" i="8"/>
  <c r="U1303" i="8"/>
  <c r="U1302" i="8"/>
  <c r="U1301" i="8"/>
  <c r="U1300" i="8"/>
  <c r="U1299" i="8"/>
  <c r="U1298" i="8"/>
  <c r="U1297" i="8"/>
  <c r="U1296" i="8"/>
  <c r="U1295" i="8"/>
  <c r="U1294" i="8"/>
  <c r="U1293" i="8"/>
  <c r="U1292" i="8"/>
  <c r="U1291" i="8"/>
  <c r="U1290" i="8"/>
  <c r="U1289" i="8"/>
  <c r="U1288" i="8"/>
  <c r="U1287" i="8"/>
  <c r="U1286" i="8"/>
  <c r="U1285" i="8"/>
  <c r="U1284" i="8"/>
  <c r="U1283" i="8"/>
  <c r="U1282" i="8"/>
  <c r="U1281" i="8"/>
  <c r="U1280" i="8"/>
  <c r="U1279" i="8"/>
  <c r="U1278" i="8"/>
  <c r="U1277" i="8"/>
  <c r="U1276" i="8"/>
  <c r="U1275" i="8"/>
  <c r="U1274" i="8"/>
  <c r="U1273" i="8"/>
  <c r="U1272" i="8"/>
  <c r="U1271" i="8"/>
  <c r="U1270" i="8"/>
  <c r="U1269" i="8"/>
  <c r="U1268" i="8"/>
  <c r="U1267" i="8"/>
  <c r="U1266" i="8"/>
  <c r="U1265" i="8"/>
  <c r="U1264" i="8"/>
  <c r="U1263" i="8"/>
  <c r="U1262" i="8"/>
  <c r="U1261" i="8"/>
  <c r="U1260" i="8"/>
  <c r="U1259" i="8"/>
  <c r="U1258" i="8"/>
  <c r="U1257" i="8"/>
  <c r="U1256" i="8"/>
  <c r="U1255" i="8"/>
  <c r="U1254" i="8"/>
  <c r="U1253" i="8"/>
  <c r="U1252" i="8"/>
  <c r="U1251" i="8"/>
  <c r="U1250" i="8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U676" i="8"/>
  <c r="U675" i="8"/>
  <c r="U674" i="8"/>
  <c r="U673" i="8"/>
  <c r="U672" i="8"/>
  <c r="U671" i="8"/>
  <c r="U670" i="8"/>
  <c r="U669" i="8"/>
  <c r="U668" i="8"/>
  <c r="U667" i="8"/>
  <c r="U666" i="8"/>
  <c r="U665" i="8"/>
  <c r="U664" i="8"/>
  <c r="U663" i="8"/>
  <c r="U662" i="8"/>
  <c r="U661" i="8"/>
  <c r="U660" i="8"/>
  <c r="U659" i="8"/>
  <c r="U658" i="8"/>
  <c r="U657" i="8"/>
  <c r="U656" i="8"/>
  <c r="U655" i="8"/>
  <c r="U654" i="8"/>
  <c r="U653" i="8"/>
  <c r="U652" i="8"/>
  <c r="U651" i="8"/>
  <c r="U650" i="8"/>
  <c r="U649" i="8"/>
  <c r="U648" i="8"/>
  <c r="U647" i="8"/>
  <c r="U646" i="8"/>
  <c r="U645" i="8"/>
  <c r="U644" i="8"/>
  <c r="U643" i="8"/>
  <c r="U642" i="8"/>
  <c r="U641" i="8"/>
  <c r="U640" i="8"/>
  <c r="U639" i="8"/>
  <c r="U638" i="8"/>
  <c r="U637" i="8"/>
  <c r="U636" i="8"/>
  <c r="U635" i="8"/>
  <c r="U634" i="8"/>
  <c r="U633" i="8"/>
  <c r="U632" i="8"/>
  <c r="U631" i="8"/>
  <c r="U630" i="8"/>
  <c r="U629" i="8"/>
  <c r="U628" i="8"/>
  <c r="U627" i="8"/>
  <c r="U626" i="8"/>
  <c r="U625" i="8"/>
  <c r="U624" i="8"/>
  <c r="U623" i="8"/>
  <c r="U622" i="8"/>
  <c r="U621" i="8"/>
  <c r="U620" i="8"/>
  <c r="U619" i="8"/>
  <c r="U618" i="8"/>
  <c r="U617" i="8"/>
  <c r="U616" i="8"/>
  <c r="U615" i="8"/>
  <c r="U614" i="8"/>
  <c r="U613" i="8"/>
  <c r="U612" i="8"/>
  <c r="U611" i="8"/>
  <c r="U610" i="8"/>
  <c r="U609" i="8"/>
  <c r="U608" i="8"/>
  <c r="U607" i="8"/>
  <c r="U606" i="8"/>
  <c r="U605" i="8"/>
  <c r="U604" i="8"/>
  <c r="U603" i="8"/>
  <c r="U602" i="8"/>
  <c r="U601" i="8"/>
  <c r="U600" i="8"/>
  <c r="U599" i="8"/>
  <c r="U598" i="8"/>
  <c r="U597" i="8"/>
  <c r="U596" i="8"/>
  <c r="U595" i="8"/>
  <c r="U594" i="8"/>
  <c r="U593" i="8"/>
  <c r="U592" i="8"/>
  <c r="U591" i="8"/>
  <c r="U590" i="8"/>
  <c r="U589" i="8"/>
  <c r="U588" i="8"/>
  <c r="U587" i="8"/>
  <c r="U586" i="8"/>
  <c r="U585" i="8"/>
  <c r="U584" i="8"/>
  <c r="U583" i="8"/>
  <c r="U582" i="8"/>
  <c r="U581" i="8"/>
  <c r="U580" i="8"/>
  <c r="U579" i="8"/>
  <c r="U578" i="8"/>
  <c r="U577" i="8"/>
  <c r="U576" i="8"/>
  <c r="U575" i="8"/>
  <c r="U574" i="8"/>
  <c r="U573" i="8"/>
  <c r="U572" i="8"/>
  <c r="U571" i="8"/>
  <c r="U570" i="8"/>
  <c r="U569" i="8"/>
  <c r="U568" i="8"/>
  <c r="U567" i="8"/>
  <c r="U566" i="8"/>
  <c r="U565" i="8"/>
  <c r="U564" i="8"/>
  <c r="U563" i="8"/>
  <c r="U562" i="8"/>
  <c r="U561" i="8"/>
  <c r="U560" i="8"/>
  <c r="U559" i="8"/>
  <c r="U558" i="8"/>
  <c r="U557" i="8"/>
  <c r="U556" i="8"/>
  <c r="U555" i="8"/>
  <c r="U554" i="8"/>
  <c r="U553" i="8"/>
  <c r="U552" i="8"/>
  <c r="U551" i="8"/>
  <c r="U550" i="8"/>
  <c r="U549" i="8"/>
  <c r="U548" i="8"/>
  <c r="U547" i="8"/>
  <c r="U546" i="8"/>
  <c r="U545" i="8"/>
  <c r="U544" i="8"/>
  <c r="U543" i="8"/>
  <c r="U542" i="8"/>
  <c r="U541" i="8"/>
  <c r="U540" i="8"/>
  <c r="U539" i="8"/>
  <c r="U538" i="8"/>
  <c r="U537" i="8"/>
  <c r="U536" i="8"/>
  <c r="U535" i="8"/>
  <c r="U534" i="8"/>
  <c r="U533" i="8"/>
  <c r="U532" i="8"/>
  <c r="U531" i="8"/>
  <c r="U530" i="8"/>
  <c r="U529" i="8"/>
  <c r="U528" i="8"/>
  <c r="U527" i="8"/>
  <c r="U526" i="8"/>
  <c r="U525" i="8"/>
  <c r="U524" i="8"/>
  <c r="U523" i="8"/>
  <c r="U522" i="8"/>
  <c r="U521" i="8"/>
  <c r="U520" i="8"/>
  <c r="U519" i="8"/>
  <c r="U518" i="8"/>
  <c r="U517" i="8"/>
  <c r="U516" i="8"/>
  <c r="U515" i="8"/>
  <c r="U514" i="8"/>
  <c r="U513" i="8"/>
  <c r="U512" i="8"/>
  <c r="U511" i="8"/>
  <c r="U510" i="8"/>
  <c r="U509" i="8"/>
  <c r="U508" i="8"/>
  <c r="U507" i="8"/>
  <c r="U506" i="8"/>
  <c r="U505" i="8"/>
  <c r="U504" i="8"/>
  <c r="U503" i="8"/>
  <c r="U502" i="8"/>
  <c r="U501" i="8"/>
  <c r="U500" i="8"/>
  <c r="U499" i="8"/>
  <c r="U498" i="8"/>
  <c r="U497" i="8"/>
  <c r="U496" i="8"/>
  <c r="U495" i="8"/>
  <c r="U494" i="8"/>
  <c r="U493" i="8"/>
  <c r="U492" i="8"/>
  <c r="U491" i="8"/>
  <c r="U490" i="8"/>
  <c r="U489" i="8"/>
  <c r="U488" i="8"/>
  <c r="U487" i="8"/>
  <c r="U486" i="8"/>
  <c r="U485" i="8"/>
  <c r="U484" i="8"/>
  <c r="U483" i="8"/>
  <c r="U482" i="8"/>
  <c r="U481" i="8"/>
  <c r="U480" i="8"/>
  <c r="U479" i="8"/>
  <c r="U478" i="8"/>
  <c r="U477" i="8"/>
  <c r="U476" i="8"/>
  <c r="U475" i="8"/>
  <c r="U474" i="8"/>
  <c r="U473" i="8"/>
  <c r="U472" i="8"/>
  <c r="U471" i="8"/>
  <c r="U470" i="8"/>
  <c r="U469" i="8"/>
  <c r="U468" i="8"/>
  <c r="U467" i="8"/>
  <c r="U466" i="8"/>
  <c r="U465" i="8"/>
  <c r="U464" i="8"/>
  <c r="U463" i="8"/>
  <c r="U462" i="8"/>
  <c r="U461" i="8"/>
  <c r="U460" i="8"/>
  <c r="U459" i="8"/>
  <c r="U458" i="8"/>
  <c r="U457" i="8"/>
  <c r="U456" i="8"/>
  <c r="U455" i="8"/>
  <c r="U454" i="8"/>
  <c r="U453" i="8"/>
  <c r="U452" i="8"/>
  <c r="U451" i="8"/>
  <c r="U450" i="8"/>
  <c r="U449" i="8"/>
  <c r="U448" i="8"/>
  <c r="U447" i="8"/>
  <c r="U446" i="8"/>
  <c r="U445" i="8"/>
  <c r="U444" i="8"/>
  <c r="U443" i="8"/>
  <c r="U442" i="8"/>
  <c r="U441" i="8"/>
  <c r="U440" i="8"/>
  <c r="U439" i="8"/>
  <c r="U438" i="8"/>
  <c r="U437" i="8"/>
  <c r="U436" i="8"/>
  <c r="U435" i="8"/>
  <c r="U434" i="8"/>
  <c r="U433" i="8"/>
  <c r="U432" i="8"/>
  <c r="U431" i="8"/>
  <c r="U430" i="8"/>
  <c r="U429" i="8"/>
  <c r="U428" i="8"/>
  <c r="U427" i="8"/>
  <c r="U426" i="8"/>
  <c r="U425" i="8"/>
  <c r="U424" i="8"/>
  <c r="U423" i="8"/>
  <c r="U422" i="8"/>
  <c r="U421" i="8"/>
  <c r="U420" i="8"/>
  <c r="U419" i="8"/>
  <c r="U418" i="8"/>
  <c r="U417" i="8"/>
  <c r="U416" i="8"/>
  <c r="U415" i="8"/>
  <c r="U414" i="8"/>
  <c r="U413" i="8"/>
  <c r="U412" i="8"/>
  <c r="U411" i="8"/>
  <c r="U410" i="8"/>
  <c r="U409" i="8"/>
  <c r="U408" i="8"/>
  <c r="U407" i="8"/>
  <c r="U406" i="8"/>
  <c r="U405" i="8"/>
  <c r="U404" i="8"/>
  <c r="U403" i="8"/>
  <c r="U402" i="8"/>
  <c r="U401" i="8"/>
  <c r="U400" i="8"/>
  <c r="U399" i="8"/>
  <c r="U398" i="8"/>
  <c r="U397" i="8"/>
  <c r="U396" i="8"/>
  <c r="U395" i="8"/>
  <c r="U394" i="8"/>
  <c r="U393" i="8"/>
  <c r="U392" i="8"/>
  <c r="U391" i="8"/>
  <c r="U390" i="8"/>
  <c r="U389" i="8"/>
  <c r="U388" i="8"/>
  <c r="U387" i="8"/>
  <c r="U386" i="8"/>
  <c r="U385" i="8"/>
  <c r="U384" i="8"/>
  <c r="U383" i="8"/>
  <c r="U382" i="8"/>
  <c r="U381" i="8"/>
  <c r="U380" i="8"/>
  <c r="U379" i="8"/>
  <c r="U378" i="8"/>
  <c r="U377" i="8"/>
  <c r="U376" i="8"/>
  <c r="U375" i="8"/>
  <c r="U374" i="8"/>
  <c r="U373" i="8"/>
  <c r="U372" i="8"/>
  <c r="U371" i="8"/>
  <c r="U370" i="8"/>
  <c r="U369" i="8"/>
  <c r="U368" i="8"/>
  <c r="U367" i="8"/>
  <c r="U366" i="8"/>
  <c r="U365" i="8"/>
  <c r="U364" i="8"/>
  <c r="U363" i="8"/>
  <c r="U362" i="8"/>
  <c r="U361" i="8"/>
  <c r="U360" i="8"/>
  <c r="U359" i="8"/>
  <c r="U358" i="8"/>
  <c r="U357" i="8"/>
  <c r="U356" i="8"/>
  <c r="U355" i="8"/>
  <c r="U354" i="8"/>
  <c r="U353" i="8"/>
  <c r="U352" i="8"/>
  <c r="U351" i="8"/>
  <c r="U350" i="8"/>
  <c r="U349" i="8"/>
  <c r="U348" i="8"/>
  <c r="U347" i="8"/>
  <c r="U346" i="8"/>
  <c r="U345" i="8"/>
  <c r="U344" i="8"/>
  <c r="U343" i="8"/>
  <c r="U342" i="8"/>
  <c r="U341" i="8"/>
  <c r="U340" i="8"/>
  <c r="U339" i="8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Q2954" i="8"/>
  <c r="Q2953" i="8"/>
  <c r="Q2952" i="8"/>
  <c r="Q2951" i="8"/>
  <c r="Q2950" i="8"/>
  <c r="Q2949" i="8"/>
  <c r="Q2948" i="8"/>
  <c r="Q2947" i="8"/>
  <c r="Q2946" i="8"/>
  <c r="Q2945" i="8"/>
  <c r="Q2944" i="8"/>
  <c r="Q2943" i="8"/>
  <c r="Q2942" i="8"/>
  <c r="Q2941" i="8"/>
  <c r="Q2940" i="8"/>
  <c r="Q2939" i="8"/>
  <c r="Q2938" i="8"/>
  <c r="Q2937" i="8"/>
  <c r="Q2936" i="8"/>
  <c r="Q2935" i="8"/>
  <c r="Q2934" i="8"/>
  <c r="Q2933" i="8"/>
  <c r="Q2932" i="8"/>
  <c r="Q2931" i="8"/>
  <c r="Q2930" i="8"/>
  <c r="Q2929" i="8"/>
  <c r="Q2928" i="8"/>
  <c r="Q2927" i="8"/>
  <c r="Q2926" i="8"/>
  <c r="Q2925" i="8"/>
  <c r="Q2924" i="8"/>
  <c r="Q2923" i="8"/>
  <c r="Q2922" i="8"/>
  <c r="Q2921" i="8"/>
  <c r="Q2920" i="8"/>
  <c r="Q2919" i="8"/>
  <c r="Q2918" i="8"/>
  <c r="Q2917" i="8"/>
  <c r="Q2916" i="8"/>
  <c r="Q2915" i="8"/>
  <c r="Q2914" i="8"/>
  <c r="Q2913" i="8"/>
  <c r="Q2912" i="8"/>
  <c r="Q2911" i="8"/>
  <c r="Q2910" i="8"/>
  <c r="Q2909" i="8"/>
  <c r="Q2908" i="8"/>
  <c r="Q2907" i="8"/>
  <c r="Q2906" i="8"/>
  <c r="Q2905" i="8"/>
  <c r="Q2904" i="8"/>
  <c r="Q2903" i="8"/>
  <c r="Q2902" i="8"/>
  <c r="Q2901" i="8"/>
  <c r="Q2900" i="8"/>
  <c r="Q2899" i="8"/>
  <c r="Q2898" i="8"/>
  <c r="Q2897" i="8"/>
  <c r="Q2896" i="8"/>
  <c r="Q2895" i="8"/>
  <c r="Q2894" i="8"/>
  <c r="Q2893" i="8"/>
  <c r="Q2892" i="8"/>
  <c r="Q2891" i="8"/>
  <c r="Q2890" i="8"/>
  <c r="Q2889" i="8"/>
  <c r="Q2888" i="8"/>
  <c r="Q2887" i="8"/>
  <c r="Q2886" i="8"/>
  <c r="Q2885" i="8"/>
  <c r="Q2884" i="8"/>
  <c r="Q2883" i="8"/>
  <c r="Q2882" i="8"/>
  <c r="Q2881" i="8"/>
  <c r="Q2880" i="8"/>
  <c r="Q2879" i="8"/>
  <c r="Q2878" i="8"/>
  <c r="Q2877" i="8"/>
  <c r="Q2876" i="8"/>
  <c r="Q2875" i="8"/>
  <c r="Q2874" i="8"/>
  <c r="Q2873" i="8"/>
  <c r="Q2872" i="8"/>
  <c r="Q2871" i="8"/>
  <c r="Q2870" i="8"/>
  <c r="Q2869" i="8"/>
  <c r="Q2868" i="8"/>
  <c r="Q2867" i="8"/>
  <c r="Q2866" i="8"/>
  <c r="Q2865" i="8"/>
  <c r="Q2864" i="8"/>
  <c r="Q2863" i="8"/>
  <c r="Q2862" i="8"/>
  <c r="Q2861" i="8"/>
  <c r="Q2860" i="8"/>
  <c r="Q2859" i="8"/>
  <c r="Q2858" i="8"/>
  <c r="Q2857" i="8"/>
  <c r="Q2856" i="8"/>
  <c r="Q2855" i="8"/>
  <c r="Q2854" i="8"/>
  <c r="Q2853" i="8"/>
  <c r="Q2852" i="8"/>
  <c r="Q2851" i="8"/>
  <c r="Q2850" i="8"/>
  <c r="Q2849" i="8"/>
  <c r="Q2848" i="8"/>
  <c r="Q2847" i="8"/>
  <c r="Q2846" i="8"/>
  <c r="Q2845" i="8"/>
  <c r="Q2844" i="8"/>
  <c r="Q2843" i="8"/>
  <c r="Q2842" i="8"/>
  <c r="Q2841" i="8"/>
  <c r="Q2840" i="8"/>
  <c r="Q2839" i="8"/>
  <c r="Q2838" i="8"/>
  <c r="Q2837" i="8"/>
  <c r="Q2836" i="8"/>
  <c r="Q2835" i="8"/>
  <c r="Q2834" i="8"/>
  <c r="Q2833" i="8"/>
  <c r="Q2832" i="8"/>
  <c r="Q2831" i="8"/>
  <c r="Q2830" i="8"/>
  <c r="Q2829" i="8"/>
  <c r="Q2828" i="8"/>
  <c r="Q2827" i="8"/>
  <c r="Q2826" i="8"/>
  <c r="Q2825" i="8"/>
  <c r="Q2824" i="8"/>
  <c r="Q2823" i="8"/>
  <c r="Q2822" i="8"/>
  <c r="Q2821" i="8"/>
  <c r="Q2820" i="8"/>
  <c r="Q2819" i="8"/>
  <c r="Q2818" i="8"/>
  <c r="Q2817" i="8"/>
  <c r="Q2816" i="8"/>
  <c r="Q2815" i="8"/>
  <c r="Q2814" i="8"/>
  <c r="Q2813" i="8"/>
  <c r="Q2812" i="8"/>
  <c r="Q2811" i="8"/>
  <c r="Q2810" i="8"/>
  <c r="Q2809" i="8"/>
  <c r="Q2808" i="8"/>
  <c r="Q2807" i="8"/>
  <c r="Q2806" i="8"/>
  <c r="Q2805" i="8"/>
  <c r="Q2804" i="8"/>
  <c r="Q2803" i="8"/>
  <c r="Q2802" i="8"/>
  <c r="Q2801" i="8"/>
  <c r="Q2800" i="8"/>
  <c r="Q2799" i="8"/>
  <c r="Q2798" i="8"/>
  <c r="Q2797" i="8"/>
  <c r="Q2796" i="8"/>
  <c r="Q2795" i="8"/>
  <c r="Q2794" i="8"/>
  <c r="Q2793" i="8"/>
  <c r="Q2792" i="8"/>
  <c r="Q2791" i="8"/>
  <c r="Q2790" i="8"/>
  <c r="Q2789" i="8"/>
  <c r="Q2788" i="8"/>
  <c r="Q2787" i="8"/>
  <c r="Q2786" i="8"/>
  <c r="Q2785" i="8"/>
  <c r="Q2784" i="8"/>
  <c r="Q2783" i="8"/>
  <c r="Q2782" i="8"/>
  <c r="Q2781" i="8"/>
  <c r="Q2780" i="8"/>
  <c r="Q2779" i="8"/>
  <c r="Q2778" i="8"/>
  <c r="Q2777" i="8"/>
  <c r="Q2776" i="8"/>
  <c r="Q2775" i="8"/>
  <c r="Q2774" i="8"/>
  <c r="Q2773" i="8"/>
  <c r="Q2772" i="8"/>
  <c r="Q2771" i="8"/>
  <c r="Q2770" i="8"/>
  <c r="Q2769" i="8"/>
  <c r="Q2768" i="8"/>
  <c r="Q2767" i="8"/>
  <c r="Q2766" i="8"/>
  <c r="Q2765" i="8"/>
  <c r="Q2764" i="8"/>
  <c r="Q2763" i="8"/>
  <c r="Q2762" i="8"/>
  <c r="Q2761" i="8"/>
  <c r="Q2760" i="8"/>
  <c r="Q2759" i="8"/>
  <c r="Q2758" i="8"/>
  <c r="Q2757" i="8"/>
  <c r="Q2756" i="8"/>
  <c r="Q2755" i="8"/>
  <c r="Q2754" i="8"/>
  <c r="Q2753" i="8"/>
  <c r="Q2752" i="8"/>
  <c r="Q2751" i="8"/>
  <c r="Q2750" i="8"/>
  <c r="Q2749" i="8"/>
  <c r="Q2748" i="8"/>
  <c r="Q2747" i="8"/>
  <c r="Q2746" i="8"/>
  <c r="Q2745" i="8"/>
  <c r="Q2744" i="8"/>
  <c r="Q2743" i="8"/>
  <c r="Q2742" i="8"/>
  <c r="Q2741" i="8"/>
  <c r="Q2740" i="8"/>
  <c r="Q2739" i="8"/>
  <c r="Q2738" i="8"/>
  <c r="Q2737" i="8"/>
  <c r="Q2736" i="8"/>
  <c r="Q2735" i="8"/>
  <c r="Q2734" i="8"/>
  <c r="Q2733" i="8"/>
  <c r="Q2732" i="8"/>
  <c r="Q2731" i="8"/>
  <c r="Q2730" i="8"/>
  <c r="Q2729" i="8"/>
  <c r="Q2728" i="8"/>
  <c r="Q2727" i="8"/>
  <c r="Q2726" i="8"/>
  <c r="Q2725" i="8"/>
  <c r="Q2724" i="8"/>
  <c r="Q2723" i="8"/>
  <c r="Q2722" i="8"/>
  <c r="Q2721" i="8"/>
  <c r="Q2720" i="8"/>
  <c r="Q2719" i="8"/>
  <c r="Q2718" i="8"/>
  <c r="Q2717" i="8"/>
  <c r="Q2716" i="8"/>
  <c r="Q2715" i="8"/>
  <c r="Q2714" i="8"/>
  <c r="Q2713" i="8"/>
  <c r="Q2712" i="8"/>
  <c r="Q2711" i="8"/>
  <c r="Q2710" i="8"/>
  <c r="Q2709" i="8"/>
  <c r="Q2708" i="8"/>
  <c r="Q2707" i="8"/>
  <c r="Q2706" i="8"/>
  <c r="Q2705" i="8"/>
  <c r="Q2704" i="8"/>
  <c r="Q2703" i="8"/>
  <c r="Q2702" i="8"/>
  <c r="Q2701" i="8"/>
  <c r="Q2700" i="8"/>
  <c r="Q2699" i="8"/>
  <c r="Q2698" i="8"/>
  <c r="Q2697" i="8"/>
  <c r="Q2696" i="8"/>
  <c r="Q2695" i="8"/>
  <c r="Q2694" i="8"/>
  <c r="Q2693" i="8"/>
  <c r="Q2692" i="8"/>
  <c r="Q2691" i="8"/>
  <c r="Q2690" i="8"/>
  <c r="Q2689" i="8"/>
  <c r="Q2688" i="8"/>
  <c r="Q2687" i="8"/>
  <c r="Q2686" i="8"/>
  <c r="Q2685" i="8"/>
  <c r="Q2684" i="8"/>
  <c r="Q2683" i="8"/>
  <c r="Q2682" i="8"/>
  <c r="Q2681" i="8"/>
  <c r="Q2680" i="8"/>
  <c r="Q2679" i="8"/>
  <c r="Q2678" i="8"/>
  <c r="Q2677" i="8"/>
  <c r="Q2676" i="8"/>
  <c r="Q2675" i="8"/>
  <c r="Q2674" i="8"/>
  <c r="Q2673" i="8"/>
  <c r="Q2672" i="8"/>
  <c r="Q2671" i="8"/>
  <c r="Q2670" i="8"/>
  <c r="Q2669" i="8"/>
  <c r="Q2668" i="8"/>
  <c r="Q2667" i="8"/>
  <c r="Q2666" i="8"/>
  <c r="Q2665" i="8"/>
  <c r="Q2664" i="8"/>
  <c r="Q2663" i="8"/>
  <c r="Q2662" i="8"/>
  <c r="Q2661" i="8"/>
  <c r="Q2660" i="8"/>
  <c r="Q2659" i="8"/>
  <c r="Q2658" i="8"/>
  <c r="Q2657" i="8"/>
  <c r="Q2656" i="8"/>
  <c r="Q2655" i="8"/>
  <c r="Q2654" i="8"/>
  <c r="Q2653" i="8"/>
  <c r="Q2652" i="8"/>
  <c r="Q2651" i="8"/>
  <c r="Q2650" i="8"/>
  <c r="Q2649" i="8"/>
  <c r="Q2648" i="8"/>
  <c r="Q2647" i="8"/>
  <c r="Q2646" i="8"/>
  <c r="Q2645" i="8"/>
  <c r="Q2644" i="8"/>
  <c r="Q2643" i="8"/>
  <c r="Q2642" i="8"/>
  <c r="Q2641" i="8"/>
  <c r="Q2640" i="8"/>
  <c r="Q2639" i="8"/>
  <c r="Q2638" i="8"/>
  <c r="Q2637" i="8"/>
  <c r="Q2636" i="8"/>
  <c r="Q2635" i="8"/>
  <c r="Q2634" i="8"/>
  <c r="Q2633" i="8"/>
  <c r="Q2632" i="8"/>
  <c r="Q2631" i="8"/>
  <c r="Q2630" i="8"/>
  <c r="Q2629" i="8"/>
  <c r="Q2628" i="8"/>
  <c r="Q2627" i="8"/>
  <c r="Q2626" i="8"/>
  <c r="Q2625" i="8"/>
  <c r="Q2624" i="8"/>
  <c r="Q2623" i="8"/>
  <c r="Q2622" i="8"/>
  <c r="Q2621" i="8"/>
  <c r="Q2620" i="8"/>
  <c r="Q2619" i="8"/>
  <c r="Q2618" i="8"/>
  <c r="Q2617" i="8"/>
  <c r="Q2616" i="8"/>
  <c r="Q2615" i="8"/>
  <c r="Q2614" i="8"/>
  <c r="Q2613" i="8"/>
  <c r="Q2612" i="8"/>
  <c r="Q2611" i="8"/>
  <c r="Q2610" i="8"/>
  <c r="Q2609" i="8"/>
  <c r="Q2608" i="8"/>
  <c r="Q2607" i="8"/>
  <c r="Q2606" i="8"/>
  <c r="Q2605" i="8"/>
  <c r="Q2604" i="8"/>
  <c r="Q2603" i="8"/>
  <c r="Q2602" i="8"/>
  <c r="Q2601" i="8"/>
  <c r="Q2600" i="8"/>
  <c r="Q2599" i="8"/>
  <c r="Q2598" i="8"/>
  <c r="Q2597" i="8"/>
  <c r="Q2596" i="8"/>
  <c r="Q2595" i="8"/>
  <c r="Q2594" i="8"/>
  <c r="Q2593" i="8"/>
  <c r="Q2592" i="8"/>
  <c r="Q2591" i="8"/>
  <c r="Q2590" i="8"/>
  <c r="Q2589" i="8"/>
  <c r="Q2588" i="8"/>
  <c r="Q2587" i="8"/>
  <c r="Q2586" i="8"/>
  <c r="Q2585" i="8"/>
  <c r="Q2584" i="8"/>
  <c r="Q2583" i="8"/>
  <c r="Q2582" i="8"/>
  <c r="Q2581" i="8"/>
  <c r="Q2580" i="8"/>
  <c r="Q2579" i="8"/>
  <c r="Q2578" i="8"/>
  <c r="Q2577" i="8"/>
  <c r="Q2576" i="8"/>
  <c r="Q2575" i="8"/>
  <c r="Q2574" i="8"/>
  <c r="Q2573" i="8"/>
  <c r="Q2572" i="8"/>
  <c r="Q2571" i="8"/>
  <c r="Q2570" i="8"/>
  <c r="Q2569" i="8"/>
  <c r="Q2568" i="8"/>
  <c r="Q2567" i="8"/>
  <c r="Q2566" i="8"/>
  <c r="Q2565" i="8"/>
  <c r="Q2564" i="8"/>
  <c r="Q2563" i="8"/>
  <c r="Q2562" i="8"/>
  <c r="Q2561" i="8"/>
  <c r="Q2560" i="8"/>
  <c r="Q2559" i="8"/>
  <c r="Q2558" i="8"/>
  <c r="Q2557" i="8"/>
  <c r="Q2556" i="8"/>
  <c r="Q2555" i="8"/>
  <c r="Q2554" i="8"/>
  <c r="Q2553" i="8"/>
  <c r="Q2552" i="8"/>
  <c r="Q2551" i="8"/>
  <c r="Q2550" i="8"/>
  <c r="Q2549" i="8"/>
  <c r="Q2548" i="8"/>
  <c r="Q2547" i="8"/>
  <c r="Q2546" i="8"/>
  <c r="Q2545" i="8"/>
  <c r="Q2544" i="8"/>
  <c r="Q2543" i="8"/>
  <c r="Q2542" i="8"/>
  <c r="Q2541" i="8"/>
  <c r="Q2540" i="8"/>
  <c r="Q2539" i="8"/>
  <c r="Q2538" i="8"/>
  <c r="Q2537" i="8"/>
  <c r="Q2536" i="8"/>
  <c r="Q2535" i="8"/>
  <c r="Q2534" i="8"/>
  <c r="Q2533" i="8"/>
  <c r="Q2532" i="8"/>
  <c r="Q2531" i="8"/>
  <c r="Q2530" i="8"/>
  <c r="Q2529" i="8"/>
  <c r="Q2528" i="8"/>
  <c r="Q2527" i="8"/>
  <c r="Q2526" i="8"/>
  <c r="Q2525" i="8"/>
  <c r="Q2524" i="8"/>
  <c r="Q2523" i="8"/>
  <c r="Q2522" i="8"/>
  <c r="Q2521" i="8"/>
  <c r="Q2520" i="8"/>
  <c r="Q2519" i="8"/>
  <c r="Q2518" i="8"/>
  <c r="Q2517" i="8"/>
  <c r="Q2516" i="8"/>
  <c r="Q2515" i="8"/>
  <c r="Q2514" i="8"/>
  <c r="Q2513" i="8"/>
  <c r="Q2512" i="8"/>
  <c r="Q2511" i="8"/>
  <c r="Q2510" i="8"/>
  <c r="Q2509" i="8"/>
  <c r="Q2508" i="8"/>
  <c r="Q2507" i="8"/>
  <c r="Q2506" i="8"/>
  <c r="Q2505" i="8"/>
  <c r="Q2504" i="8"/>
  <c r="Q2503" i="8"/>
  <c r="Q2502" i="8"/>
  <c r="Q2501" i="8"/>
  <c r="Q2500" i="8"/>
  <c r="Q2499" i="8"/>
  <c r="Q2498" i="8"/>
  <c r="Q2497" i="8"/>
  <c r="Q2496" i="8"/>
  <c r="Q2495" i="8"/>
  <c r="Q2494" i="8"/>
  <c r="Q2493" i="8"/>
  <c r="Q2492" i="8"/>
  <c r="Q2491" i="8"/>
  <c r="Q2490" i="8"/>
  <c r="Q2489" i="8"/>
  <c r="Q2488" i="8"/>
  <c r="Q2487" i="8"/>
  <c r="Q2486" i="8"/>
  <c r="Q2485" i="8"/>
  <c r="Q2484" i="8"/>
  <c r="Q2483" i="8"/>
  <c r="Q2482" i="8"/>
  <c r="Q2481" i="8"/>
  <c r="Q2480" i="8"/>
  <c r="Q2479" i="8"/>
  <c r="Q2478" i="8"/>
  <c r="Q2477" i="8"/>
  <c r="Q2476" i="8"/>
  <c r="Q2475" i="8"/>
  <c r="Q2474" i="8"/>
  <c r="Q2473" i="8"/>
  <c r="Q2472" i="8"/>
  <c r="Q2471" i="8"/>
  <c r="Q2470" i="8"/>
  <c r="Q2469" i="8"/>
  <c r="Q2468" i="8"/>
  <c r="Q2467" i="8"/>
  <c r="Q2466" i="8"/>
  <c r="Q2465" i="8"/>
  <c r="Q2464" i="8"/>
  <c r="Q2463" i="8"/>
  <c r="Q2462" i="8"/>
  <c r="Q2461" i="8"/>
  <c r="Q2460" i="8"/>
  <c r="Q2459" i="8"/>
  <c r="Q2458" i="8"/>
  <c r="Q2457" i="8"/>
  <c r="Q2456" i="8"/>
  <c r="Q2455" i="8"/>
  <c r="Q2454" i="8"/>
  <c r="Q2453" i="8"/>
  <c r="Q2452" i="8"/>
  <c r="Q2451" i="8"/>
  <c r="Q2450" i="8"/>
  <c r="Q2449" i="8"/>
  <c r="Q2448" i="8"/>
  <c r="Q2447" i="8"/>
  <c r="Q2446" i="8"/>
  <c r="Q2445" i="8"/>
  <c r="Q2444" i="8"/>
  <c r="Q2443" i="8"/>
  <c r="Q2442" i="8"/>
  <c r="Q2441" i="8"/>
  <c r="Q2440" i="8"/>
  <c r="Q2439" i="8"/>
  <c r="Q2438" i="8"/>
  <c r="Q2437" i="8"/>
  <c r="Q2436" i="8"/>
  <c r="Q2435" i="8"/>
  <c r="Q2434" i="8"/>
  <c r="Q2433" i="8"/>
  <c r="Q2432" i="8"/>
  <c r="Q2431" i="8"/>
  <c r="Q2430" i="8"/>
  <c r="Q2429" i="8"/>
  <c r="Q2428" i="8"/>
  <c r="Q2427" i="8"/>
  <c r="Q2426" i="8"/>
  <c r="Q2425" i="8"/>
  <c r="Q2424" i="8"/>
  <c r="Q2423" i="8"/>
  <c r="Q2422" i="8"/>
  <c r="Q2421" i="8"/>
  <c r="Q2420" i="8"/>
  <c r="Q2419" i="8"/>
  <c r="Q2418" i="8"/>
  <c r="Q2417" i="8"/>
  <c r="Q2416" i="8"/>
  <c r="Q2415" i="8"/>
  <c r="Q2414" i="8"/>
  <c r="Q2413" i="8"/>
  <c r="Q2412" i="8"/>
  <c r="Q2411" i="8"/>
  <c r="Q2410" i="8"/>
  <c r="Q2409" i="8"/>
  <c r="Q2408" i="8"/>
  <c r="Q2407" i="8"/>
  <c r="Q2406" i="8"/>
  <c r="Q2405" i="8"/>
  <c r="Q2404" i="8"/>
  <c r="Q2403" i="8"/>
  <c r="Q2402" i="8"/>
  <c r="Q2401" i="8"/>
  <c r="Q2400" i="8"/>
  <c r="Q2399" i="8"/>
  <c r="Q2398" i="8"/>
  <c r="Q2397" i="8"/>
  <c r="Q2396" i="8"/>
  <c r="Q2395" i="8"/>
  <c r="Q2394" i="8"/>
  <c r="Q2393" i="8"/>
  <c r="Q2392" i="8"/>
  <c r="Q2391" i="8"/>
  <c r="Q2390" i="8"/>
  <c r="Q2389" i="8"/>
  <c r="Q2388" i="8"/>
  <c r="Q2387" i="8"/>
  <c r="Q2386" i="8"/>
  <c r="Q2385" i="8"/>
  <c r="Q2384" i="8"/>
  <c r="Q2383" i="8"/>
  <c r="Q2382" i="8"/>
  <c r="Q2381" i="8"/>
  <c r="Q2380" i="8"/>
  <c r="Q2379" i="8"/>
  <c r="Q2378" i="8"/>
  <c r="Q2377" i="8"/>
  <c r="Q2376" i="8"/>
  <c r="Q2375" i="8"/>
  <c r="Q2374" i="8"/>
  <c r="Q2373" i="8"/>
  <c r="Q2372" i="8"/>
  <c r="Q2371" i="8"/>
  <c r="Q2370" i="8"/>
  <c r="Q2369" i="8"/>
  <c r="Q2368" i="8"/>
  <c r="Q2367" i="8"/>
  <c r="Q2366" i="8"/>
  <c r="Q2365" i="8"/>
  <c r="Q2364" i="8"/>
  <c r="Q2363" i="8"/>
  <c r="Q2362" i="8"/>
  <c r="Q2361" i="8"/>
  <c r="Q2360" i="8"/>
  <c r="Q2359" i="8"/>
  <c r="Q2358" i="8"/>
  <c r="Q2357" i="8"/>
  <c r="Q2356" i="8"/>
  <c r="Q2355" i="8"/>
  <c r="Q2354" i="8"/>
  <c r="Q2353" i="8"/>
  <c r="Q2352" i="8"/>
  <c r="Q2351" i="8"/>
  <c r="Q2350" i="8"/>
  <c r="Q2349" i="8"/>
  <c r="Q2348" i="8"/>
  <c r="Q2347" i="8"/>
  <c r="Q2346" i="8"/>
  <c r="Q2345" i="8"/>
  <c r="Q2344" i="8"/>
  <c r="Q2343" i="8"/>
  <c r="Q2342" i="8"/>
  <c r="Q2341" i="8"/>
  <c r="Q2340" i="8"/>
  <c r="Q2339" i="8"/>
  <c r="Q2338" i="8"/>
  <c r="Q2337" i="8"/>
  <c r="Q2336" i="8"/>
  <c r="Q2335" i="8"/>
  <c r="Q2334" i="8"/>
  <c r="Q2333" i="8"/>
  <c r="Q2332" i="8"/>
  <c r="Q2331" i="8"/>
  <c r="Q2330" i="8"/>
  <c r="Q2329" i="8"/>
  <c r="Q2328" i="8"/>
  <c r="Q2327" i="8"/>
  <c r="Q2326" i="8"/>
  <c r="Q2325" i="8"/>
  <c r="Q2324" i="8"/>
  <c r="Q2323" i="8"/>
  <c r="Q2322" i="8"/>
  <c r="Q2321" i="8"/>
  <c r="Q2320" i="8"/>
  <c r="Q2319" i="8"/>
  <c r="Q2318" i="8"/>
  <c r="Q2317" i="8"/>
  <c r="Q2316" i="8"/>
  <c r="Q2315" i="8"/>
  <c r="Q2314" i="8"/>
  <c r="Q2313" i="8"/>
  <c r="Q2312" i="8"/>
  <c r="Q2311" i="8"/>
  <c r="Q2310" i="8"/>
  <c r="Q2309" i="8"/>
  <c r="Q2308" i="8"/>
  <c r="Q2307" i="8"/>
  <c r="Q2306" i="8"/>
  <c r="Q2305" i="8"/>
  <c r="Q2304" i="8"/>
  <c r="Q2303" i="8"/>
  <c r="Q2302" i="8"/>
  <c r="Q2301" i="8"/>
  <c r="Q2300" i="8"/>
  <c r="Q2299" i="8"/>
  <c r="Q2298" i="8"/>
  <c r="Q2297" i="8"/>
  <c r="Q2296" i="8"/>
  <c r="Q2295" i="8"/>
  <c r="Q2294" i="8"/>
  <c r="Q2293" i="8"/>
  <c r="Q2292" i="8"/>
  <c r="Q2291" i="8"/>
  <c r="Q2290" i="8"/>
  <c r="Q2289" i="8"/>
  <c r="Q2288" i="8"/>
  <c r="Q2287" i="8"/>
  <c r="Q2286" i="8"/>
  <c r="Q2285" i="8"/>
  <c r="Q2284" i="8"/>
  <c r="Q2283" i="8"/>
  <c r="Q2282" i="8"/>
  <c r="Q2281" i="8"/>
  <c r="Q2280" i="8"/>
  <c r="Q2279" i="8"/>
  <c r="Q2278" i="8"/>
  <c r="Q2277" i="8"/>
  <c r="Q2276" i="8"/>
  <c r="Q2275" i="8"/>
  <c r="Q2274" i="8"/>
  <c r="Q2273" i="8"/>
  <c r="Q2272" i="8"/>
  <c r="Q2271" i="8"/>
  <c r="Q2270" i="8"/>
  <c r="Q2269" i="8"/>
  <c r="Q2268" i="8"/>
  <c r="Q2267" i="8"/>
  <c r="Q2266" i="8"/>
  <c r="Q2265" i="8"/>
  <c r="Q2264" i="8"/>
  <c r="Q2263" i="8"/>
  <c r="Q2262" i="8"/>
  <c r="Q2261" i="8"/>
  <c r="Q2260" i="8"/>
  <c r="Q2259" i="8"/>
  <c r="Q2258" i="8"/>
  <c r="Q2257" i="8"/>
  <c r="Q2256" i="8"/>
  <c r="Q2255" i="8"/>
  <c r="Q2254" i="8"/>
  <c r="Q2253" i="8"/>
  <c r="Q2252" i="8"/>
  <c r="Q2251" i="8"/>
  <c r="Q2250" i="8"/>
  <c r="Q2249" i="8"/>
  <c r="Q2248" i="8"/>
  <c r="Q2247" i="8"/>
  <c r="Q2246" i="8"/>
  <c r="Q2245" i="8"/>
  <c r="Q2244" i="8"/>
  <c r="Q2243" i="8"/>
  <c r="Q2242" i="8"/>
  <c r="Q2241" i="8"/>
  <c r="Q2240" i="8"/>
  <c r="Q2239" i="8"/>
  <c r="Q2238" i="8"/>
  <c r="Q2237" i="8"/>
  <c r="Q2236" i="8"/>
  <c r="Q2235" i="8"/>
  <c r="Q2234" i="8"/>
  <c r="Q2233" i="8"/>
  <c r="Q2232" i="8"/>
  <c r="Q2231" i="8"/>
  <c r="Q2230" i="8"/>
  <c r="Q2229" i="8"/>
  <c r="Q2228" i="8"/>
  <c r="Q2227" i="8"/>
  <c r="Q2226" i="8"/>
  <c r="Q2225" i="8"/>
  <c r="Q2224" i="8"/>
  <c r="Q2223" i="8"/>
  <c r="Q2222" i="8"/>
  <c r="Q2221" i="8"/>
  <c r="Q2220" i="8"/>
  <c r="Q2219" i="8"/>
  <c r="Q2218" i="8"/>
  <c r="Q2217" i="8"/>
  <c r="Q2216" i="8"/>
  <c r="Q2215" i="8"/>
  <c r="Q2214" i="8"/>
  <c r="Q2213" i="8"/>
  <c r="Q2212" i="8"/>
  <c r="Q2211" i="8"/>
  <c r="Q2210" i="8"/>
  <c r="Q2209" i="8"/>
  <c r="Q2208" i="8"/>
  <c r="Q2207" i="8"/>
  <c r="Q2206" i="8"/>
  <c r="Q2205" i="8"/>
  <c r="Q2204" i="8"/>
  <c r="Q2203" i="8"/>
  <c r="Q2202" i="8"/>
  <c r="Q2201" i="8"/>
  <c r="Q2200" i="8"/>
  <c r="Q2199" i="8"/>
  <c r="Q2198" i="8"/>
  <c r="Q2197" i="8"/>
  <c r="Q2196" i="8"/>
  <c r="Q2195" i="8"/>
  <c r="Q2194" i="8"/>
  <c r="Q2193" i="8"/>
  <c r="Q2192" i="8"/>
  <c r="Q2191" i="8"/>
  <c r="Q2190" i="8"/>
  <c r="Q2189" i="8"/>
  <c r="Q2188" i="8"/>
  <c r="Q2187" i="8"/>
  <c r="Q2186" i="8"/>
  <c r="Q2185" i="8"/>
  <c r="Q2184" i="8"/>
  <c r="Q2183" i="8"/>
  <c r="Q2182" i="8"/>
  <c r="Q2181" i="8"/>
  <c r="Q2180" i="8"/>
  <c r="Q2179" i="8"/>
  <c r="Q2178" i="8"/>
  <c r="Q2177" i="8"/>
  <c r="Q2176" i="8"/>
  <c r="Q2175" i="8"/>
  <c r="Q2174" i="8"/>
  <c r="Q2173" i="8"/>
  <c r="Q2172" i="8"/>
  <c r="Q2171" i="8"/>
  <c r="Q2170" i="8"/>
  <c r="Q2169" i="8"/>
  <c r="Q2168" i="8"/>
  <c r="Q2167" i="8"/>
  <c r="Q2166" i="8"/>
  <c r="Q2165" i="8"/>
  <c r="Q2164" i="8"/>
  <c r="Q2163" i="8"/>
  <c r="Q2162" i="8"/>
  <c r="Q2161" i="8"/>
  <c r="Q2160" i="8"/>
  <c r="Q2159" i="8"/>
  <c r="Q2158" i="8"/>
  <c r="Q2157" i="8"/>
  <c r="Q2156" i="8"/>
  <c r="Q2155" i="8"/>
  <c r="Q2154" i="8"/>
  <c r="Q2153" i="8"/>
  <c r="Q2152" i="8"/>
  <c r="Q2151" i="8"/>
  <c r="Q2150" i="8"/>
  <c r="Q2149" i="8"/>
  <c r="Q2148" i="8"/>
  <c r="Q2147" i="8"/>
  <c r="Q2146" i="8"/>
  <c r="Q2145" i="8"/>
  <c r="Q2144" i="8"/>
  <c r="Q2143" i="8"/>
  <c r="Q2142" i="8"/>
  <c r="Q2141" i="8"/>
  <c r="Q2140" i="8"/>
  <c r="Q2139" i="8"/>
  <c r="Q2138" i="8"/>
  <c r="Q2137" i="8"/>
  <c r="Q2136" i="8"/>
  <c r="Q2135" i="8"/>
  <c r="Q2134" i="8"/>
  <c r="Q2133" i="8"/>
  <c r="Q2132" i="8"/>
  <c r="Q2131" i="8"/>
  <c r="Q2130" i="8"/>
  <c r="Q2129" i="8"/>
  <c r="Q2128" i="8"/>
  <c r="Q2127" i="8"/>
  <c r="Q2126" i="8"/>
  <c r="Q2125" i="8"/>
  <c r="Q2124" i="8"/>
  <c r="Q2123" i="8"/>
  <c r="Q2122" i="8"/>
  <c r="Q2121" i="8"/>
  <c r="Q2120" i="8"/>
  <c r="Q2119" i="8"/>
  <c r="Q2118" i="8"/>
  <c r="Q2117" i="8"/>
  <c r="Q2116" i="8"/>
  <c r="Q2115" i="8"/>
  <c r="Q2114" i="8"/>
  <c r="Q2113" i="8"/>
  <c r="Q2112" i="8"/>
  <c r="Q2111" i="8"/>
  <c r="Q2110" i="8"/>
  <c r="Q2109" i="8"/>
  <c r="Q2108" i="8"/>
  <c r="Q2107" i="8"/>
  <c r="Q2106" i="8"/>
  <c r="Q2105" i="8"/>
  <c r="Q2104" i="8"/>
  <c r="Q2103" i="8"/>
  <c r="Q2102" i="8"/>
  <c r="Q2101" i="8"/>
  <c r="Q2100" i="8"/>
  <c r="Q2099" i="8"/>
  <c r="Q2098" i="8"/>
  <c r="Q2097" i="8"/>
  <c r="Q2096" i="8"/>
  <c r="Q2095" i="8"/>
  <c r="Q2094" i="8"/>
  <c r="Q2093" i="8"/>
  <c r="Q2092" i="8"/>
  <c r="Q2091" i="8"/>
  <c r="Q2090" i="8"/>
  <c r="Q2089" i="8"/>
  <c r="Q2088" i="8"/>
  <c r="Q2087" i="8"/>
  <c r="Q2086" i="8"/>
  <c r="Q2085" i="8"/>
  <c r="Q2084" i="8"/>
  <c r="Q2083" i="8"/>
  <c r="Q2082" i="8"/>
  <c r="Q2081" i="8"/>
  <c r="Q2080" i="8"/>
  <c r="Q2079" i="8"/>
  <c r="Q2078" i="8"/>
  <c r="Q2077" i="8"/>
  <c r="Q2076" i="8"/>
  <c r="Q2075" i="8"/>
  <c r="Q2074" i="8"/>
  <c r="Q2073" i="8"/>
  <c r="Q2072" i="8"/>
  <c r="Q2071" i="8"/>
  <c r="Q2070" i="8"/>
  <c r="Q2069" i="8"/>
  <c r="Q2068" i="8"/>
  <c r="Q2067" i="8"/>
  <c r="Q2066" i="8"/>
  <c r="Q2065" i="8"/>
  <c r="Q2064" i="8"/>
  <c r="Q2063" i="8"/>
  <c r="Q2062" i="8"/>
  <c r="Q2061" i="8"/>
  <c r="Q2060" i="8"/>
  <c r="Q2059" i="8"/>
  <c r="Q2058" i="8"/>
  <c r="Q2057" i="8"/>
  <c r="Q2056" i="8"/>
  <c r="Q2055" i="8"/>
  <c r="Q2054" i="8"/>
  <c r="Q2053" i="8"/>
  <c r="Q2052" i="8"/>
  <c r="Q2051" i="8"/>
  <c r="Q2050" i="8"/>
  <c r="Q2049" i="8"/>
  <c r="Q2048" i="8"/>
  <c r="Q2047" i="8"/>
  <c r="Q2046" i="8"/>
  <c r="Q2045" i="8"/>
  <c r="Q2044" i="8"/>
  <c r="Q2043" i="8"/>
  <c r="Q2042" i="8"/>
  <c r="Q2041" i="8"/>
  <c r="Q2040" i="8"/>
  <c r="Q2039" i="8"/>
  <c r="Q2038" i="8"/>
  <c r="Q2037" i="8"/>
  <c r="Q2036" i="8"/>
  <c r="Q2035" i="8"/>
  <c r="Q2034" i="8"/>
  <c r="Q2033" i="8"/>
  <c r="Q2032" i="8"/>
  <c r="Q2031" i="8"/>
  <c r="Q2030" i="8"/>
  <c r="Q2029" i="8"/>
  <c r="Q2028" i="8"/>
  <c r="Q2027" i="8"/>
  <c r="Q2026" i="8"/>
  <c r="Q2025" i="8"/>
  <c r="Q2024" i="8"/>
  <c r="Q2023" i="8"/>
  <c r="Q2022" i="8"/>
  <c r="Q2021" i="8"/>
  <c r="Q2020" i="8"/>
  <c r="Q2019" i="8"/>
  <c r="Q2018" i="8"/>
  <c r="Q2017" i="8"/>
  <c r="Q2016" i="8"/>
  <c r="Q2015" i="8"/>
  <c r="Q2014" i="8"/>
  <c r="Q2013" i="8"/>
  <c r="Q2012" i="8"/>
  <c r="Q2011" i="8"/>
  <c r="Q2010" i="8"/>
  <c r="Q2009" i="8"/>
  <c r="Q2008" i="8"/>
  <c r="Q2007" i="8"/>
  <c r="Q2006" i="8"/>
  <c r="Q2005" i="8"/>
  <c r="Q2004" i="8"/>
  <c r="Q2003" i="8"/>
  <c r="Q2002" i="8"/>
  <c r="Q2001" i="8"/>
  <c r="Q2000" i="8"/>
  <c r="Q1999" i="8"/>
  <c r="Q1998" i="8"/>
  <c r="Q1997" i="8"/>
  <c r="Q1996" i="8"/>
  <c r="Q1995" i="8"/>
  <c r="Q1994" i="8"/>
  <c r="Q1993" i="8"/>
  <c r="Q1992" i="8"/>
  <c r="Q1991" i="8"/>
  <c r="Q1990" i="8"/>
  <c r="Q1989" i="8"/>
  <c r="Q1988" i="8"/>
  <c r="Q1987" i="8"/>
  <c r="Q1986" i="8"/>
  <c r="Q1985" i="8"/>
  <c r="Q1984" i="8"/>
  <c r="Q1983" i="8"/>
  <c r="Q1982" i="8"/>
  <c r="Q1981" i="8"/>
  <c r="Q1980" i="8"/>
  <c r="Q1979" i="8"/>
  <c r="Q1978" i="8"/>
  <c r="Q1977" i="8"/>
  <c r="Q1976" i="8"/>
  <c r="Q1975" i="8"/>
  <c r="Q1974" i="8"/>
  <c r="Q1973" i="8"/>
  <c r="Q1972" i="8"/>
  <c r="Q1971" i="8"/>
  <c r="Q1970" i="8"/>
  <c r="Q1969" i="8"/>
  <c r="Q1968" i="8"/>
  <c r="Q1967" i="8"/>
  <c r="Q1966" i="8"/>
  <c r="Q1965" i="8"/>
  <c r="Q1964" i="8"/>
  <c r="Q1963" i="8"/>
  <c r="Q1962" i="8"/>
  <c r="Q1961" i="8"/>
  <c r="Q1960" i="8"/>
  <c r="Q1959" i="8"/>
  <c r="Q1958" i="8"/>
  <c r="Q1957" i="8"/>
  <c r="Q1956" i="8"/>
  <c r="Q1955" i="8"/>
  <c r="Q1954" i="8"/>
  <c r="Q1953" i="8"/>
  <c r="Q1952" i="8"/>
  <c r="Q1951" i="8"/>
  <c r="Q1950" i="8"/>
  <c r="Q1949" i="8"/>
  <c r="Q1948" i="8"/>
  <c r="Q1947" i="8"/>
  <c r="Q1946" i="8"/>
  <c r="Q1945" i="8"/>
  <c r="Q1944" i="8"/>
  <c r="Q1943" i="8"/>
  <c r="Q1942" i="8"/>
  <c r="Q1941" i="8"/>
  <c r="Q1940" i="8"/>
  <c r="Q1939" i="8"/>
  <c r="Q1938" i="8"/>
  <c r="Q1937" i="8"/>
  <c r="Q1936" i="8"/>
  <c r="Q1935" i="8"/>
  <c r="Q1934" i="8"/>
  <c r="Q1933" i="8"/>
  <c r="Q1932" i="8"/>
  <c r="Q1931" i="8"/>
  <c r="Q1930" i="8"/>
  <c r="Q1929" i="8"/>
  <c r="Q1928" i="8"/>
  <c r="Q1927" i="8"/>
  <c r="Q1926" i="8"/>
  <c r="Q1925" i="8"/>
  <c r="Q1924" i="8"/>
  <c r="Q1923" i="8"/>
  <c r="Q1922" i="8"/>
  <c r="Q1921" i="8"/>
  <c r="Q1920" i="8"/>
  <c r="Q1919" i="8"/>
  <c r="Q1918" i="8"/>
  <c r="Q1917" i="8"/>
  <c r="Q1916" i="8"/>
  <c r="Q1915" i="8"/>
  <c r="Q1914" i="8"/>
  <c r="Q1913" i="8"/>
  <c r="Q1912" i="8"/>
  <c r="Q1911" i="8"/>
  <c r="Q1910" i="8"/>
  <c r="Q1909" i="8"/>
  <c r="Q1908" i="8"/>
  <c r="Q1907" i="8"/>
  <c r="Q1906" i="8"/>
  <c r="Q1905" i="8"/>
  <c r="Q1904" i="8"/>
  <c r="Q1903" i="8"/>
  <c r="Q1902" i="8"/>
  <c r="Q1901" i="8"/>
  <c r="Q1900" i="8"/>
  <c r="Q1899" i="8"/>
  <c r="Q1898" i="8"/>
  <c r="Q1897" i="8"/>
  <c r="Q1896" i="8"/>
  <c r="Q1895" i="8"/>
  <c r="Q1894" i="8"/>
  <c r="Q1893" i="8"/>
  <c r="Q1892" i="8"/>
  <c r="Q1891" i="8"/>
  <c r="Q1890" i="8"/>
  <c r="Q1889" i="8"/>
  <c r="Q1888" i="8"/>
  <c r="Q1887" i="8"/>
  <c r="Q1886" i="8"/>
  <c r="Q1885" i="8"/>
  <c r="Q1884" i="8"/>
  <c r="Q1883" i="8"/>
  <c r="Q1882" i="8"/>
  <c r="Q1881" i="8"/>
  <c r="Q1880" i="8"/>
  <c r="Q1879" i="8"/>
  <c r="Q1878" i="8"/>
  <c r="Q1877" i="8"/>
  <c r="Q1876" i="8"/>
  <c r="Q1875" i="8"/>
  <c r="Q1874" i="8"/>
  <c r="Q1873" i="8"/>
  <c r="Q1872" i="8"/>
  <c r="Q1871" i="8"/>
  <c r="Q1870" i="8"/>
  <c r="Q1869" i="8"/>
  <c r="Q1868" i="8"/>
  <c r="Q1867" i="8"/>
  <c r="Q1866" i="8"/>
  <c r="Q1865" i="8"/>
  <c r="Q1864" i="8"/>
  <c r="Q1863" i="8"/>
  <c r="Q1862" i="8"/>
  <c r="Q1861" i="8"/>
  <c r="Q1860" i="8"/>
  <c r="Q1859" i="8"/>
  <c r="Q1858" i="8"/>
  <c r="Q1857" i="8"/>
  <c r="Q1856" i="8"/>
  <c r="Q1855" i="8"/>
  <c r="Q1854" i="8"/>
  <c r="Q1853" i="8"/>
  <c r="Q1852" i="8"/>
  <c r="Q1851" i="8"/>
  <c r="Q1850" i="8"/>
  <c r="Q1849" i="8"/>
  <c r="Q1848" i="8"/>
  <c r="Q1847" i="8"/>
  <c r="Q1846" i="8"/>
  <c r="Q1845" i="8"/>
  <c r="Q1844" i="8"/>
  <c r="Q1843" i="8"/>
  <c r="Q1842" i="8"/>
  <c r="Q1841" i="8"/>
  <c r="Q1840" i="8"/>
  <c r="Q1839" i="8"/>
  <c r="Q1838" i="8"/>
  <c r="Q1837" i="8"/>
  <c r="Q1836" i="8"/>
  <c r="Q1835" i="8"/>
  <c r="Q1834" i="8"/>
  <c r="Q1833" i="8"/>
  <c r="Q1832" i="8"/>
  <c r="Q1831" i="8"/>
  <c r="Q1830" i="8"/>
  <c r="Q1829" i="8"/>
  <c r="Q1828" i="8"/>
  <c r="Q1827" i="8"/>
  <c r="Q1826" i="8"/>
  <c r="Q1825" i="8"/>
  <c r="Q1824" i="8"/>
  <c r="Q1823" i="8"/>
  <c r="Q1822" i="8"/>
  <c r="Q1821" i="8"/>
  <c r="Q1820" i="8"/>
  <c r="Q1819" i="8"/>
  <c r="Q1818" i="8"/>
  <c r="Q1817" i="8"/>
  <c r="Q1816" i="8"/>
  <c r="Q1815" i="8"/>
  <c r="Q1814" i="8"/>
  <c r="Q1813" i="8"/>
  <c r="Q1812" i="8"/>
  <c r="Q1811" i="8"/>
  <c r="Q1810" i="8"/>
  <c r="Q1809" i="8"/>
  <c r="Q1808" i="8"/>
  <c r="Q1807" i="8"/>
  <c r="Q1806" i="8"/>
  <c r="Q1805" i="8"/>
  <c r="Q1804" i="8"/>
  <c r="Q1803" i="8"/>
  <c r="Q1802" i="8"/>
  <c r="Q1801" i="8"/>
  <c r="Q1800" i="8"/>
  <c r="Q1799" i="8"/>
  <c r="Q1798" i="8"/>
  <c r="Q1797" i="8"/>
  <c r="Q1796" i="8"/>
  <c r="Q1795" i="8"/>
  <c r="Q1794" i="8"/>
  <c r="Q1793" i="8"/>
  <c r="Q1792" i="8"/>
  <c r="Q1791" i="8"/>
  <c r="Q1790" i="8"/>
  <c r="Q1789" i="8"/>
  <c r="Q1788" i="8"/>
  <c r="Q1787" i="8"/>
  <c r="Q1786" i="8"/>
  <c r="Q1785" i="8"/>
  <c r="Q1784" i="8"/>
  <c r="Q1783" i="8"/>
  <c r="Q1782" i="8"/>
  <c r="Q1781" i="8"/>
  <c r="Q1780" i="8"/>
  <c r="Q1779" i="8"/>
  <c r="Q1778" i="8"/>
  <c r="Q1777" i="8"/>
  <c r="Q1776" i="8"/>
  <c r="Q1775" i="8"/>
  <c r="Q1774" i="8"/>
  <c r="Q1773" i="8"/>
  <c r="Q1772" i="8"/>
  <c r="Q1771" i="8"/>
  <c r="Q1770" i="8"/>
  <c r="Q1769" i="8"/>
  <c r="Q1768" i="8"/>
  <c r="Q1767" i="8"/>
  <c r="Q1766" i="8"/>
  <c r="Q1765" i="8"/>
  <c r="Q1764" i="8"/>
  <c r="Q1763" i="8"/>
  <c r="Q1762" i="8"/>
  <c r="Q1761" i="8"/>
  <c r="Q1760" i="8"/>
  <c r="Q1759" i="8"/>
  <c r="Q1758" i="8"/>
  <c r="Q1757" i="8"/>
  <c r="Q1756" i="8"/>
  <c r="Q1755" i="8"/>
  <c r="Q1754" i="8"/>
  <c r="Q1753" i="8"/>
  <c r="Q1752" i="8"/>
  <c r="Q1751" i="8"/>
  <c r="Q1750" i="8"/>
  <c r="Q1749" i="8"/>
  <c r="Q1748" i="8"/>
  <c r="Q1747" i="8"/>
  <c r="Q1746" i="8"/>
  <c r="Q1745" i="8"/>
  <c r="Q1744" i="8"/>
  <c r="Q1743" i="8"/>
  <c r="Q1742" i="8"/>
  <c r="Q1741" i="8"/>
  <c r="Q1740" i="8"/>
  <c r="Q1739" i="8"/>
  <c r="Q1738" i="8"/>
  <c r="Q1737" i="8"/>
  <c r="Q1736" i="8"/>
  <c r="Q1735" i="8"/>
  <c r="Q1734" i="8"/>
  <c r="Q1733" i="8"/>
  <c r="Q1732" i="8"/>
  <c r="Q1731" i="8"/>
  <c r="Q1730" i="8"/>
  <c r="Q1729" i="8"/>
  <c r="Q1728" i="8"/>
  <c r="Q1727" i="8"/>
  <c r="Q1726" i="8"/>
  <c r="Q1725" i="8"/>
  <c r="Q1724" i="8"/>
  <c r="Q1723" i="8"/>
  <c r="Q1722" i="8"/>
  <c r="Q1721" i="8"/>
  <c r="Q1720" i="8"/>
  <c r="Q1719" i="8"/>
  <c r="Q1718" i="8"/>
  <c r="Q1717" i="8"/>
  <c r="Q1716" i="8"/>
  <c r="Q1715" i="8"/>
  <c r="Q1714" i="8"/>
  <c r="Q1713" i="8"/>
  <c r="Q1712" i="8"/>
  <c r="Q1711" i="8"/>
  <c r="Q1710" i="8"/>
  <c r="Q1709" i="8"/>
  <c r="Q1708" i="8"/>
  <c r="Q1707" i="8"/>
  <c r="Q1706" i="8"/>
  <c r="Q1705" i="8"/>
  <c r="Q1704" i="8"/>
  <c r="Q1703" i="8"/>
  <c r="Q1702" i="8"/>
  <c r="Q1701" i="8"/>
  <c r="Q1700" i="8"/>
  <c r="Q1699" i="8"/>
  <c r="Q1698" i="8"/>
  <c r="Q1697" i="8"/>
  <c r="Q1696" i="8"/>
  <c r="Q1695" i="8"/>
  <c r="Q1694" i="8"/>
  <c r="Q1693" i="8"/>
  <c r="Q1692" i="8"/>
  <c r="Q1691" i="8"/>
  <c r="Q1690" i="8"/>
  <c r="Q1689" i="8"/>
  <c r="Q1688" i="8"/>
  <c r="Q1687" i="8"/>
  <c r="Q1686" i="8"/>
  <c r="Q1685" i="8"/>
  <c r="Q1684" i="8"/>
  <c r="Q1683" i="8"/>
  <c r="Q1682" i="8"/>
  <c r="Q1681" i="8"/>
  <c r="Q1680" i="8"/>
  <c r="Q1679" i="8"/>
  <c r="Q1678" i="8"/>
  <c r="Q1677" i="8"/>
  <c r="Q1676" i="8"/>
  <c r="Q1675" i="8"/>
  <c r="Q1674" i="8"/>
  <c r="Q1673" i="8"/>
  <c r="Q1672" i="8"/>
  <c r="Q1671" i="8"/>
  <c r="Q1670" i="8"/>
  <c r="Q1669" i="8"/>
  <c r="Q1668" i="8"/>
  <c r="Q1667" i="8"/>
  <c r="Q1666" i="8"/>
  <c r="Q1665" i="8"/>
  <c r="Q1664" i="8"/>
  <c r="Q1663" i="8"/>
  <c r="Q1662" i="8"/>
  <c r="Q1661" i="8"/>
  <c r="Q1660" i="8"/>
  <c r="Q1659" i="8"/>
  <c r="Q1658" i="8"/>
  <c r="Q1657" i="8"/>
  <c r="Q1656" i="8"/>
  <c r="Q1655" i="8"/>
  <c r="Q1654" i="8"/>
  <c r="Q1653" i="8"/>
  <c r="Q1652" i="8"/>
  <c r="Q1651" i="8"/>
  <c r="Q1650" i="8"/>
  <c r="Q1649" i="8"/>
  <c r="Q1648" i="8"/>
  <c r="Q1647" i="8"/>
  <c r="Q1646" i="8"/>
  <c r="Q1645" i="8"/>
  <c r="Q1644" i="8"/>
  <c r="Q1643" i="8"/>
  <c r="Q1642" i="8"/>
  <c r="Q1641" i="8"/>
  <c r="Q1640" i="8"/>
  <c r="Q1639" i="8"/>
  <c r="Q1638" i="8"/>
  <c r="Q1637" i="8"/>
  <c r="Q1636" i="8"/>
  <c r="Q1635" i="8"/>
  <c r="Q1634" i="8"/>
  <c r="Q1633" i="8"/>
  <c r="Q1632" i="8"/>
  <c r="Q1631" i="8"/>
  <c r="Q1630" i="8"/>
  <c r="Q1629" i="8"/>
  <c r="Q1628" i="8"/>
  <c r="Q1627" i="8"/>
  <c r="Q1626" i="8"/>
  <c r="Q1625" i="8"/>
  <c r="Q1624" i="8"/>
  <c r="Q1623" i="8"/>
  <c r="Q1622" i="8"/>
  <c r="Q1621" i="8"/>
  <c r="Q1620" i="8"/>
  <c r="Q1619" i="8"/>
  <c r="Q1618" i="8"/>
  <c r="Q1617" i="8"/>
  <c r="Q1616" i="8"/>
  <c r="Q1615" i="8"/>
  <c r="Q1614" i="8"/>
  <c r="Q1613" i="8"/>
  <c r="Q1612" i="8"/>
  <c r="Q1611" i="8"/>
  <c r="Q1610" i="8"/>
  <c r="Q1609" i="8"/>
  <c r="Q1608" i="8"/>
  <c r="Q1607" i="8"/>
  <c r="Q1606" i="8"/>
  <c r="Q1605" i="8"/>
  <c r="Q1604" i="8"/>
  <c r="Q1603" i="8"/>
  <c r="Q1602" i="8"/>
  <c r="Q1601" i="8"/>
  <c r="Q1600" i="8"/>
  <c r="Q1599" i="8"/>
  <c r="Q1598" i="8"/>
  <c r="Q1597" i="8"/>
  <c r="Q1596" i="8"/>
  <c r="Q1595" i="8"/>
  <c r="Q1594" i="8"/>
  <c r="Q1593" i="8"/>
  <c r="Q1592" i="8"/>
  <c r="Q1591" i="8"/>
  <c r="Q1590" i="8"/>
  <c r="Q1589" i="8"/>
  <c r="Q1588" i="8"/>
  <c r="Q1587" i="8"/>
  <c r="Q1586" i="8"/>
  <c r="Q1585" i="8"/>
  <c r="Q1584" i="8"/>
  <c r="Q1583" i="8"/>
  <c r="Q1582" i="8"/>
  <c r="Q1581" i="8"/>
  <c r="Q1580" i="8"/>
  <c r="Q1579" i="8"/>
  <c r="Q1578" i="8"/>
  <c r="Q1577" i="8"/>
  <c r="Q1576" i="8"/>
  <c r="Q1575" i="8"/>
  <c r="Q1574" i="8"/>
  <c r="Q1573" i="8"/>
  <c r="Q1572" i="8"/>
  <c r="Q1571" i="8"/>
  <c r="Q1570" i="8"/>
  <c r="Q1569" i="8"/>
  <c r="Q1568" i="8"/>
  <c r="Q1567" i="8"/>
  <c r="Q1566" i="8"/>
  <c r="Q1565" i="8"/>
  <c r="Q1564" i="8"/>
  <c r="Q1563" i="8"/>
  <c r="Q1562" i="8"/>
  <c r="Q1561" i="8"/>
  <c r="Q1560" i="8"/>
  <c r="Q1559" i="8"/>
  <c r="Q1558" i="8"/>
  <c r="Q1557" i="8"/>
  <c r="Q1556" i="8"/>
  <c r="Q1555" i="8"/>
  <c r="Q1554" i="8"/>
  <c r="Q1553" i="8"/>
  <c r="Q1552" i="8"/>
  <c r="Q1551" i="8"/>
  <c r="Q1550" i="8"/>
  <c r="Q1549" i="8"/>
  <c r="Q1548" i="8"/>
  <c r="Q1547" i="8"/>
  <c r="Q1546" i="8"/>
  <c r="Q1545" i="8"/>
  <c r="Q1544" i="8"/>
  <c r="Q1543" i="8"/>
  <c r="Q1542" i="8"/>
  <c r="Q1541" i="8"/>
  <c r="Q1540" i="8"/>
  <c r="Q1539" i="8"/>
  <c r="Q1538" i="8"/>
  <c r="Q1537" i="8"/>
  <c r="Q1536" i="8"/>
  <c r="Q1535" i="8"/>
  <c r="Q1534" i="8"/>
  <c r="Q1533" i="8"/>
  <c r="Q1532" i="8"/>
  <c r="Q1531" i="8"/>
  <c r="Q1530" i="8"/>
  <c r="Q1529" i="8"/>
  <c r="Q1528" i="8"/>
  <c r="Q1527" i="8"/>
  <c r="Q1526" i="8"/>
  <c r="Q1525" i="8"/>
  <c r="Q1524" i="8"/>
  <c r="Q1523" i="8"/>
  <c r="Q1522" i="8"/>
  <c r="Q1521" i="8"/>
  <c r="Q1520" i="8"/>
  <c r="Q1519" i="8"/>
  <c r="Q1518" i="8"/>
  <c r="Q1517" i="8"/>
  <c r="Q1516" i="8"/>
  <c r="Q1515" i="8"/>
  <c r="Q1514" i="8"/>
  <c r="Q1513" i="8"/>
  <c r="Q1512" i="8"/>
  <c r="Q1511" i="8"/>
  <c r="Q1510" i="8"/>
  <c r="Q1509" i="8"/>
  <c r="Q1508" i="8"/>
  <c r="Q1507" i="8"/>
  <c r="Q1506" i="8"/>
  <c r="Q1505" i="8"/>
  <c r="Q1504" i="8"/>
  <c r="Q1503" i="8"/>
  <c r="Q1502" i="8"/>
  <c r="Q1501" i="8"/>
  <c r="Q1500" i="8"/>
  <c r="Q1499" i="8"/>
  <c r="Q1498" i="8"/>
  <c r="Q1497" i="8"/>
  <c r="Q1496" i="8"/>
  <c r="Q1495" i="8"/>
  <c r="Q1494" i="8"/>
  <c r="Q1493" i="8"/>
  <c r="Q1492" i="8"/>
  <c r="Q1491" i="8"/>
  <c r="Q1490" i="8"/>
  <c r="Q1489" i="8"/>
  <c r="Q1488" i="8"/>
  <c r="Q1487" i="8"/>
  <c r="Q1486" i="8"/>
  <c r="Q1485" i="8"/>
  <c r="Q1484" i="8"/>
  <c r="Q1483" i="8"/>
  <c r="Q1482" i="8"/>
  <c r="Q1481" i="8"/>
  <c r="Q1480" i="8"/>
  <c r="Q1479" i="8"/>
  <c r="Q1478" i="8"/>
  <c r="Q1477" i="8"/>
  <c r="Q1476" i="8"/>
  <c r="Q1475" i="8"/>
  <c r="Q1474" i="8"/>
  <c r="Q1473" i="8"/>
  <c r="Q1472" i="8"/>
  <c r="Q1471" i="8"/>
  <c r="Q1470" i="8"/>
  <c r="Q1469" i="8"/>
  <c r="Q1468" i="8"/>
  <c r="Q1467" i="8"/>
  <c r="Q1466" i="8"/>
  <c r="Q1465" i="8"/>
  <c r="Q1464" i="8"/>
  <c r="Q1463" i="8"/>
  <c r="Q1462" i="8"/>
  <c r="Q1461" i="8"/>
  <c r="Q1460" i="8"/>
  <c r="Q1459" i="8"/>
  <c r="Q1458" i="8"/>
  <c r="Q1457" i="8"/>
  <c r="Q1456" i="8"/>
  <c r="Q1455" i="8"/>
  <c r="Q1454" i="8"/>
  <c r="Q1453" i="8"/>
  <c r="Q1452" i="8"/>
  <c r="Q1451" i="8"/>
  <c r="Q1450" i="8"/>
  <c r="Q1449" i="8"/>
  <c r="Q1448" i="8"/>
  <c r="Q1447" i="8"/>
  <c r="Q1446" i="8"/>
  <c r="Q1445" i="8"/>
  <c r="Q1444" i="8"/>
  <c r="Q1443" i="8"/>
  <c r="Q1442" i="8"/>
  <c r="Q1441" i="8"/>
  <c r="Q1440" i="8"/>
  <c r="Q1439" i="8"/>
  <c r="Q1438" i="8"/>
  <c r="Q1437" i="8"/>
  <c r="Q1436" i="8"/>
  <c r="Q1435" i="8"/>
  <c r="Q1434" i="8"/>
  <c r="Q1433" i="8"/>
  <c r="Q1432" i="8"/>
  <c r="Q1431" i="8"/>
  <c r="Q1430" i="8"/>
  <c r="Q1429" i="8"/>
  <c r="Q1428" i="8"/>
  <c r="Q1427" i="8"/>
  <c r="Q1426" i="8"/>
  <c r="Q1425" i="8"/>
  <c r="Q1424" i="8"/>
  <c r="Q1423" i="8"/>
  <c r="Q1422" i="8"/>
  <c r="Q1421" i="8"/>
  <c r="Q1420" i="8"/>
  <c r="Q1419" i="8"/>
  <c r="Q1418" i="8"/>
  <c r="Q1417" i="8"/>
  <c r="Q1416" i="8"/>
  <c r="Q1415" i="8"/>
  <c r="Q1414" i="8"/>
  <c r="Q1413" i="8"/>
  <c r="Q1412" i="8"/>
  <c r="Q1411" i="8"/>
  <c r="Q1410" i="8"/>
  <c r="Q1409" i="8"/>
  <c r="Q1408" i="8"/>
  <c r="Q1407" i="8"/>
  <c r="Q1406" i="8"/>
  <c r="Q1405" i="8"/>
  <c r="Q1404" i="8"/>
  <c r="Q1403" i="8"/>
  <c r="Q1402" i="8"/>
  <c r="Q1401" i="8"/>
  <c r="Q1400" i="8"/>
  <c r="Q1399" i="8"/>
  <c r="Q1398" i="8"/>
  <c r="Q1397" i="8"/>
  <c r="Q1396" i="8"/>
  <c r="Q1395" i="8"/>
  <c r="Q1394" i="8"/>
  <c r="Q1393" i="8"/>
  <c r="Q1392" i="8"/>
  <c r="Q1391" i="8"/>
  <c r="Q1390" i="8"/>
  <c r="Q1389" i="8"/>
  <c r="Q1388" i="8"/>
  <c r="Q1387" i="8"/>
  <c r="Q1386" i="8"/>
  <c r="Q1385" i="8"/>
  <c r="Q1384" i="8"/>
  <c r="Q1383" i="8"/>
  <c r="Q1382" i="8"/>
  <c r="Q1381" i="8"/>
  <c r="Q1380" i="8"/>
  <c r="Q1379" i="8"/>
  <c r="Q1378" i="8"/>
  <c r="Q1377" i="8"/>
  <c r="Q1376" i="8"/>
  <c r="Q1375" i="8"/>
  <c r="Q1374" i="8"/>
  <c r="Q1373" i="8"/>
  <c r="Q1372" i="8"/>
  <c r="Q1371" i="8"/>
  <c r="Q1370" i="8"/>
  <c r="Q1369" i="8"/>
  <c r="Q1368" i="8"/>
  <c r="Q1367" i="8"/>
  <c r="Q1366" i="8"/>
  <c r="Q1365" i="8"/>
  <c r="Q1364" i="8"/>
  <c r="Q1363" i="8"/>
  <c r="Q1362" i="8"/>
  <c r="Q1361" i="8"/>
  <c r="Q1360" i="8"/>
  <c r="Q1359" i="8"/>
  <c r="Q1358" i="8"/>
  <c r="Q1357" i="8"/>
  <c r="Q1356" i="8"/>
  <c r="Q1355" i="8"/>
  <c r="Q1354" i="8"/>
  <c r="Q1353" i="8"/>
  <c r="Q1352" i="8"/>
  <c r="Q1351" i="8"/>
  <c r="Q1350" i="8"/>
  <c r="Q1349" i="8"/>
  <c r="Q1348" i="8"/>
  <c r="Q1347" i="8"/>
  <c r="Q1346" i="8"/>
  <c r="Q1345" i="8"/>
  <c r="Q1344" i="8"/>
  <c r="Q1343" i="8"/>
  <c r="Q1342" i="8"/>
  <c r="Q1341" i="8"/>
  <c r="Q1340" i="8"/>
  <c r="Q1339" i="8"/>
  <c r="Q1338" i="8"/>
  <c r="Q1337" i="8"/>
  <c r="Q1336" i="8"/>
  <c r="Q1335" i="8"/>
  <c r="Q1334" i="8"/>
  <c r="Q1333" i="8"/>
  <c r="Q1332" i="8"/>
  <c r="Q1331" i="8"/>
  <c r="Q1330" i="8"/>
  <c r="Q1329" i="8"/>
  <c r="Q1328" i="8"/>
  <c r="Q1327" i="8"/>
  <c r="Q1326" i="8"/>
  <c r="Q1325" i="8"/>
  <c r="Q1324" i="8"/>
  <c r="Q1323" i="8"/>
  <c r="Q1322" i="8"/>
  <c r="Q1321" i="8"/>
  <c r="Q1320" i="8"/>
  <c r="Q1319" i="8"/>
  <c r="Q1318" i="8"/>
  <c r="Q1317" i="8"/>
  <c r="Q1316" i="8"/>
  <c r="Q1315" i="8"/>
  <c r="Q1314" i="8"/>
  <c r="Q1313" i="8"/>
  <c r="Q1312" i="8"/>
  <c r="Q1311" i="8"/>
  <c r="Q1310" i="8"/>
  <c r="Q1309" i="8"/>
  <c r="Q1308" i="8"/>
  <c r="Q1307" i="8"/>
  <c r="Q1306" i="8"/>
  <c r="Q1305" i="8"/>
  <c r="Q1304" i="8"/>
  <c r="Q1303" i="8"/>
  <c r="Q1302" i="8"/>
  <c r="Q1301" i="8"/>
  <c r="Q1300" i="8"/>
  <c r="Q1299" i="8"/>
  <c r="Q1298" i="8"/>
  <c r="Q1297" i="8"/>
  <c r="Q1296" i="8"/>
  <c r="Q1295" i="8"/>
  <c r="Q1294" i="8"/>
  <c r="Q1293" i="8"/>
  <c r="Q1292" i="8"/>
  <c r="Q1291" i="8"/>
  <c r="Q1290" i="8"/>
  <c r="Q1289" i="8"/>
  <c r="Q1288" i="8"/>
  <c r="Q1287" i="8"/>
  <c r="Q1286" i="8"/>
  <c r="Q1285" i="8"/>
  <c r="Q1284" i="8"/>
  <c r="Q1283" i="8"/>
  <c r="Q1282" i="8"/>
  <c r="Q1281" i="8"/>
  <c r="Q1280" i="8"/>
  <c r="Q1279" i="8"/>
  <c r="Q1278" i="8"/>
  <c r="Q1277" i="8"/>
  <c r="Q1276" i="8"/>
  <c r="Q1275" i="8"/>
  <c r="Q1274" i="8"/>
  <c r="Q1273" i="8"/>
  <c r="Q1272" i="8"/>
  <c r="Q1271" i="8"/>
  <c r="Q1270" i="8"/>
  <c r="Q1269" i="8"/>
  <c r="Q1268" i="8"/>
  <c r="Q1267" i="8"/>
  <c r="Q1266" i="8"/>
  <c r="Q1265" i="8"/>
  <c r="Q1264" i="8"/>
  <c r="Q1263" i="8"/>
  <c r="Q1262" i="8"/>
  <c r="Q1261" i="8"/>
  <c r="Q1260" i="8"/>
  <c r="Q1259" i="8"/>
  <c r="Q1258" i="8"/>
  <c r="Q1257" i="8"/>
  <c r="Q1256" i="8"/>
  <c r="Q1255" i="8"/>
  <c r="Q1254" i="8"/>
  <c r="Q1253" i="8"/>
  <c r="Q1252" i="8"/>
  <c r="Q1251" i="8"/>
  <c r="Q1250" i="8"/>
  <c r="Q1249" i="8"/>
  <c r="Q1248" i="8"/>
  <c r="Q1247" i="8"/>
  <c r="Q1246" i="8"/>
  <c r="Q1245" i="8"/>
  <c r="Q1244" i="8"/>
  <c r="Q1243" i="8"/>
  <c r="Q1242" i="8"/>
  <c r="Q1241" i="8"/>
  <c r="Q1240" i="8"/>
  <c r="Q1239" i="8"/>
  <c r="Q1238" i="8"/>
  <c r="Q1237" i="8"/>
  <c r="Q1236" i="8"/>
  <c r="Q1235" i="8"/>
  <c r="Q1234" i="8"/>
  <c r="Q1233" i="8"/>
  <c r="Q1232" i="8"/>
  <c r="Q1231" i="8"/>
  <c r="Q1230" i="8"/>
  <c r="Q1229" i="8"/>
  <c r="Q1228" i="8"/>
  <c r="Q1227" i="8"/>
  <c r="Q1226" i="8"/>
  <c r="Q1225" i="8"/>
  <c r="Q1224" i="8"/>
  <c r="Q1223" i="8"/>
  <c r="Q1222" i="8"/>
  <c r="Q1221" i="8"/>
  <c r="Q1220" i="8"/>
  <c r="Q1219" i="8"/>
  <c r="Q1218" i="8"/>
  <c r="Q1217" i="8"/>
  <c r="Q1216" i="8"/>
  <c r="Q1215" i="8"/>
  <c r="Q1214" i="8"/>
  <c r="Q1213" i="8"/>
  <c r="Q1212" i="8"/>
  <c r="Q1211" i="8"/>
  <c r="Q1210" i="8"/>
  <c r="Q1209" i="8"/>
  <c r="Q1208" i="8"/>
  <c r="Q1207" i="8"/>
  <c r="Q1206" i="8"/>
  <c r="Q1205" i="8"/>
  <c r="Q1204" i="8"/>
  <c r="Q1203" i="8"/>
  <c r="Q1202" i="8"/>
  <c r="Q1201" i="8"/>
  <c r="Q1200" i="8"/>
  <c r="Q1199" i="8"/>
  <c r="Q1198" i="8"/>
  <c r="Q1197" i="8"/>
  <c r="Q1196" i="8"/>
  <c r="Q1195" i="8"/>
  <c r="Q1194" i="8"/>
  <c r="Q1193" i="8"/>
  <c r="Q1192" i="8"/>
  <c r="Q1191" i="8"/>
  <c r="Q1190" i="8"/>
  <c r="Q1189" i="8"/>
  <c r="Q1188" i="8"/>
  <c r="Q1187" i="8"/>
  <c r="Q1186" i="8"/>
  <c r="Q1185" i="8"/>
  <c r="Q1184" i="8"/>
  <c r="Q1183" i="8"/>
  <c r="Q1182" i="8"/>
  <c r="Q1181" i="8"/>
  <c r="Q1180" i="8"/>
  <c r="Q1179" i="8"/>
  <c r="Q1178" i="8"/>
  <c r="Q1177" i="8"/>
  <c r="Q1176" i="8"/>
  <c r="Q1175" i="8"/>
  <c r="Q1174" i="8"/>
  <c r="Q1173" i="8"/>
  <c r="Q1172" i="8"/>
  <c r="Q1171" i="8"/>
  <c r="Q1170" i="8"/>
  <c r="Q1169" i="8"/>
  <c r="Q1168" i="8"/>
  <c r="Q1167" i="8"/>
  <c r="Q1166" i="8"/>
  <c r="Q1165" i="8"/>
  <c r="Q1164" i="8"/>
  <c r="Q1163" i="8"/>
  <c r="Q1162" i="8"/>
  <c r="Q1161" i="8"/>
  <c r="Q1160" i="8"/>
  <c r="Q1159" i="8"/>
  <c r="Q1158" i="8"/>
  <c r="Q1157" i="8"/>
  <c r="Q1156" i="8"/>
  <c r="Q1155" i="8"/>
  <c r="Q1154" i="8"/>
  <c r="Q1153" i="8"/>
  <c r="Q1152" i="8"/>
  <c r="Q1151" i="8"/>
  <c r="Q1150" i="8"/>
  <c r="Q1149" i="8"/>
  <c r="Q1148" i="8"/>
  <c r="Q1147" i="8"/>
  <c r="Q1146" i="8"/>
  <c r="Q1145" i="8"/>
  <c r="Q1144" i="8"/>
  <c r="Q1143" i="8"/>
  <c r="Q1142" i="8"/>
  <c r="Q1141" i="8"/>
  <c r="Q1140" i="8"/>
  <c r="Q1139" i="8"/>
  <c r="Q1138" i="8"/>
  <c r="Q1137" i="8"/>
  <c r="Q1136" i="8"/>
  <c r="Q1135" i="8"/>
  <c r="Q1134" i="8"/>
  <c r="Q1133" i="8"/>
  <c r="Q1132" i="8"/>
  <c r="Q1131" i="8"/>
  <c r="Q1130" i="8"/>
  <c r="Q1129" i="8"/>
  <c r="Q1128" i="8"/>
  <c r="Q1127" i="8"/>
  <c r="Q1126" i="8"/>
  <c r="Q1125" i="8"/>
  <c r="Q1124" i="8"/>
  <c r="Q1123" i="8"/>
  <c r="Q1122" i="8"/>
  <c r="Q1121" i="8"/>
  <c r="Q1120" i="8"/>
  <c r="Q1119" i="8"/>
  <c r="Q1118" i="8"/>
  <c r="Q1117" i="8"/>
  <c r="Q1116" i="8"/>
  <c r="Q1115" i="8"/>
  <c r="Q1114" i="8"/>
  <c r="Q1113" i="8"/>
  <c r="Q1112" i="8"/>
  <c r="Q1111" i="8"/>
  <c r="Q1110" i="8"/>
  <c r="Q1109" i="8"/>
  <c r="Q1108" i="8"/>
  <c r="Q1107" i="8"/>
  <c r="Q1106" i="8"/>
  <c r="Q1105" i="8"/>
  <c r="Q1104" i="8"/>
  <c r="Q1103" i="8"/>
  <c r="Q1102" i="8"/>
  <c r="Q1101" i="8"/>
  <c r="Q1100" i="8"/>
  <c r="Q1099" i="8"/>
  <c r="Q1098" i="8"/>
  <c r="Q1097" i="8"/>
  <c r="Q1096" i="8"/>
  <c r="Q1095" i="8"/>
  <c r="Q1094" i="8"/>
  <c r="Q1093" i="8"/>
  <c r="Q1092" i="8"/>
  <c r="Q1091" i="8"/>
  <c r="Q1090" i="8"/>
  <c r="Q1089" i="8"/>
  <c r="Q1088" i="8"/>
  <c r="Q1087" i="8"/>
  <c r="Q1086" i="8"/>
  <c r="Q1085" i="8"/>
  <c r="Q1084" i="8"/>
  <c r="Q1083" i="8"/>
  <c r="Q1082" i="8"/>
  <c r="Q1081" i="8"/>
  <c r="Q1080" i="8"/>
  <c r="Q1079" i="8"/>
  <c r="Q1078" i="8"/>
  <c r="Q1077" i="8"/>
  <c r="Q1076" i="8"/>
  <c r="Q1075" i="8"/>
  <c r="Q1074" i="8"/>
  <c r="Q1073" i="8"/>
  <c r="Q1072" i="8"/>
  <c r="Q1071" i="8"/>
  <c r="Q1070" i="8"/>
  <c r="Q1069" i="8"/>
  <c r="Q1068" i="8"/>
  <c r="Q1067" i="8"/>
  <c r="Q1066" i="8"/>
  <c r="Q1065" i="8"/>
  <c r="Q1064" i="8"/>
  <c r="Q1063" i="8"/>
  <c r="Q1062" i="8"/>
  <c r="Q1061" i="8"/>
  <c r="Q1060" i="8"/>
  <c r="Q1059" i="8"/>
  <c r="Q1058" i="8"/>
  <c r="Q1057" i="8"/>
  <c r="Q1056" i="8"/>
  <c r="Q1055" i="8"/>
  <c r="Q1054" i="8"/>
  <c r="Q1053" i="8"/>
  <c r="Q1052" i="8"/>
  <c r="Q1051" i="8"/>
  <c r="Q1050" i="8"/>
  <c r="Q1049" i="8"/>
  <c r="Q1048" i="8"/>
  <c r="Q1047" i="8"/>
  <c r="Q1046" i="8"/>
  <c r="Q1045" i="8"/>
  <c r="Q1044" i="8"/>
  <c r="Q1043" i="8"/>
  <c r="Q1042" i="8"/>
  <c r="Q1041" i="8"/>
  <c r="Q1040" i="8"/>
  <c r="Q1039" i="8"/>
  <c r="Q1038" i="8"/>
  <c r="Q1037" i="8"/>
  <c r="Q1036" i="8"/>
  <c r="Q1035" i="8"/>
  <c r="Q1034" i="8"/>
  <c r="Q1033" i="8"/>
  <c r="Q1032" i="8"/>
  <c r="Q1031" i="8"/>
  <c r="Q1030" i="8"/>
  <c r="Q1029" i="8"/>
  <c r="Q1028" i="8"/>
  <c r="Q1027" i="8"/>
  <c r="Q1026" i="8"/>
  <c r="Q1025" i="8"/>
  <c r="Q1024" i="8"/>
  <c r="Q1023" i="8"/>
  <c r="Q1022" i="8"/>
  <c r="Q1021" i="8"/>
  <c r="Q1020" i="8"/>
  <c r="Q1019" i="8"/>
  <c r="Q1018" i="8"/>
  <c r="Q1017" i="8"/>
  <c r="Q1016" i="8"/>
  <c r="Q1015" i="8"/>
  <c r="Q1014" i="8"/>
  <c r="Q1013" i="8"/>
  <c r="Q1012" i="8"/>
  <c r="Q1011" i="8"/>
  <c r="Q1010" i="8"/>
  <c r="Q1009" i="8"/>
  <c r="Q1008" i="8"/>
  <c r="Q1007" i="8"/>
  <c r="Q1006" i="8"/>
  <c r="Q1005" i="8"/>
  <c r="Q1004" i="8"/>
  <c r="Q1003" i="8"/>
  <c r="Q1002" i="8"/>
  <c r="Q1001" i="8"/>
  <c r="Q1000" i="8"/>
  <c r="Q999" i="8"/>
  <c r="Q998" i="8"/>
  <c r="Q997" i="8"/>
  <c r="Q996" i="8"/>
  <c r="Q995" i="8"/>
  <c r="Q994" i="8"/>
  <c r="Q993" i="8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W5" i="11" l="1"/>
  <c r="W22" i="11"/>
  <c r="C6" i="9"/>
  <c r="E6" i="9"/>
  <c r="C7" i="9"/>
  <c r="E7" i="9"/>
  <c r="C8" i="9"/>
  <c r="E8" i="9"/>
  <c r="C9" i="9"/>
  <c r="E9" i="9"/>
  <c r="C10" i="9"/>
  <c r="E10" i="9"/>
  <c r="C11" i="9"/>
  <c r="E11" i="9"/>
  <c r="C12" i="9"/>
  <c r="E12" i="9"/>
  <c r="C13" i="9"/>
  <c r="E13" i="9"/>
  <c r="C14" i="9"/>
  <c r="E14" i="9"/>
  <c r="C15" i="9"/>
  <c r="E15" i="9"/>
  <c r="C16" i="9"/>
  <c r="E16" i="9"/>
  <c r="C17" i="9"/>
  <c r="E17" i="9"/>
  <c r="C18" i="9"/>
  <c r="E18" i="9"/>
  <c r="C19" i="9"/>
  <c r="E19" i="9"/>
  <c r="C20" i="9"/>
  <c r="E20" i="9"/>
  <c r="C21" i="9"/>
  <c r="E21" i="9"/>
  <c r="C22" i="9"/>
  <c r="E22" i="9"/>
  <c r="C23" i="9"/>
  <c r="E23" i="9"/>
  <c r="C24" i="9"/>
  <c r="E24" i="9"/>
  <c r="C25" i="9"/>
  <c r="E25" i="9"/>
  <c r="C26" i="9"/>
  <c r="E26" i="9"/>
  <c r="C27" i="9"/>
  <c r="E27" i="9"/>
  <c r="C28" i="9"/>
  <c r="E28" i="9"/>
  <c r="C29" i="9"/>
  <c r="E29" i="9"/>
  <c r="C30" i="9"/>
  <c r="E30" i="9"/>
  <c r="C31" i="9"/>
  <c r="E31" i="9"/>
  <c r="C32" i="9"/>
  <c r="E32" i="9"/>
  <c r="C33" i="9"/>
  <c r="E33" i="9"/>
  <c r="C34" i="9"/>
  <c r="E34" i="9"/>
  <c r="C35" i="9"/>
  <c r="E35" i="9"/>
  <c r="C36" i="9"/>
  <c r="E36" i="9"/>
  <c r="C37" i="9"/>
  <c r="E37" i="9"/>
  <c r="C38" i="9"/>
  <c r="E38" i="9"/>
  <c r="C39" i="9"/>
  <c r="E39" i="9"/>
  <c r="C40" i="9"/>
  <c r="E40" i="9"/>
  <c r="C41" i="9"/>
  <c r="E41" i="9"/>
  <c r="C42" i="9"/>
  <c r="E42" i="9"/>
  <c r="C43" i="9"/>
  <c r="E43" i="9"/>
  <c r="C44" i="9"/>
  <c r="E44" i="9"/>
  <c r="C45" i="9"/>
  <c r="E45" i="9"/>
  <c r="C46" i="9"/>
  <c r="E46" i="9"/>
  <c r="C47" i="9"/>
  <c r="E47" i="9"/>
  <c r="C48" i="9"/>
  <c r="E48" i="9"/>
  <c r="C49" i="9"/>
  <c r="E49" i="9"/>
  <c r="C50" i="9"/>
  <c r="E50" i="9"/>
  <c r="C51" i="9"/>
  <c r="E51" i="9"/>
  <c r="C52" i="9"/>
  <c r="E52" i="9"/>
  <c r="C53" i="9"/>
  <c r="E53" i="9"/>
  <c r="C54" i="9"/>
  <c r="E54" i="9"/>
  <c r="C55" i="9"/>
  <c r="E55" i="9"/>
  <c r="C56" i="9"/>
  <c r="E56" i="9"/>
  <c r="C57" i="9"/>
  <c r="E57" i="9"/>
  <c r="C58" i="9"/>
  <c r="E58" i="9"/>
  <c r="C59" i="9"/>
  <c r="E59" i="9"/>
  <c r="C60" i="9"/>
  <c r="E60" i="9"/>
  <c r="C61" i="9"/>
  <c r="E61" i="9"/>
  <c r="C62" i="9"/>
  <c r="E62" i="9"/>
  <c r="C63" i="9"/>
  <c r="E63" i="9"/>
  <c r="C64" i="9"/>
  <c r="E64" i="9"/>
  <c r="C65" i="9"/>
  <c r="E65" i="9"/>
  <c r="C66" i="9"/>
  <c r="E66" i="9"/>
  <c r="C67" i="9"/>
  <c r="E67" i="9"/>
  <c r="C68" i="9"/>
  <c r="E68" i="9"/>
  <c r="C69" i="9"/>
  <c r="E69" i="9"/>
  <c r="C70" i="9"/>
  <c r="E70" i="9"/>
  <c r="C71" i="9"/>
  <c r="E71" i="9"/>
  <c r="C72" i="9"/>
  <c r="E72" i="9"/>
  <c r="C73" i="9"/>
  <c r="E73" i="9"/>
  <c r="C74" i="9"/>
  <c r="E74" i="9"/>
  <c r="C75" i="9"/>
  <c r="E75" i="9"/>
  <c r="C76" i="9"/>
  <c r="E76" i="9"/>
  <c r="C77" i="9"/>
  <c r="E77" i="9"/>
  <c r="C78" i="9"/>
  <c r="E78" i="9"/>
  <c r="C79" i="9"/>
  <c r="E79" i="9"/>
  <c r="C80" i="9"/>
  <c r="E80" i="9"/>
  <c r="C81" i="9"/>
  <c r="E81" i="9"/>
  <c r="C82" i="9"/>
  <c r="E82" i="9"/>
  <c r="C83" i="9"/>
  <c r="E83" i="9"/>
  <c r="C84" i="9"/>
  <c r="E84" i="9"/>
  <c r="C85" i="9"/>
  <c r="E85" i="9"/>
  <c r="C86" i="9"/>
  <c r="E86" i="9"/>
  <c r="C87" i="9"/>
  <c r="E87" i="9"/>
  <c r="C88" i="9"/>
  <c r="E88" i="9"/>
  <c r="C89" i="9"/>
  <c r="E89" i="9"/>
  <c r="C90" i="9"/>
  <c r="E90" i="9"/>
  <c r="C91" i="9"/>
  <c r="E91" i="9"/>
  <c r="C92" i="9"/>
  <c r="E92" i="9"/>
  <c r="C93" i="9"/>
  <c r="E93" i="9"/>
  <c r="C94" i="9"/>
  <c r="E94" i="9"/>
  <c r="C95" i="9"/>
  <c r="E95" i="9"/>
  <c r="C96" i="9"/>
  <c r="E96" i="9"/>
  <c r="C97" i="9"/>
  <c r="E97" i="9"/>
  <c r="C98" i="9"/>
  <c r="E98" i="9"/>
  <c r="C99" i="9"/>
  <c r="E99" i="9"/>
  <c r="C100" i="9"/>
  <c r="E100" i="9"/>
  <c r="C101" i="9"/>
  <c r="E101" i="9"/>
  <c r="C102" i="9"/>
  <c r="E102" i="9"/>
  <c r="C103" i="9"/>
  <c r="E103" i="9"/>
  <c r="C104" i="9"/>
  <c r="E104" i="9"/>
  <c r="C105" i="9"/>
  <c r="E105" i="9"/>
  <c r="C106" i="9"/>
  <c r="E106" i="9"/>
  <c r="C107" i="9"/>
  <c r="E107" i="9"/>
  <c r="C108" i="9"/>
  <c r="E108" i="9"/>
  <c r="C109" i="9"/>
  <c r="E109" i="9"/>
  <c r="C110" i="9"/>
  <c r="E110" i="9"/>
  <c r="C111" i="9"/>
  <c r="E111" i="9"/>
  <c r="C112" i="9"/>
  <c r="E112" i="9"/>
  <c r="C113" i="9"/>
  <c r="E113" i="9"/>
  <c r="C114" i="9"/>
  <c r="E114" i="9"/>
  <c r="C115" i="9"/>
  <c r="E115" i="9"/>
  <c r="C116" i="9"/>
  <c r="E116" i="9"/>
  <c r="C117" i="9"/>
  <c r="E117" i="9"/>
  <c r="C118" i="9"/>
  <c r="E118" i="9"/>
  <c r="C119" i="9"/>
  <c r="E119" i="9"/>
  <c r="C120" i="9"/>
  <c r="E120" i="9"/>
  <c r="C121" i="9"/>
  <c r="E121" i="9"/>
  <c r="C122" i="9"/>
  <c r="E122" i="9"/>
  <c r="C123" i="9"/>
  <c r="E123" i="9"/>
  <c r="C124" i="9"/>
  <c r="E124" i="9"/>
  <c r="C125" i="9"/>
  <c r="E125" i="9"/>
  <c r="C126" i="9"/>
  <c r="E126" i="9"/>
  <c r="C127" i="9"/>
  <c r="E127" i="9"/>
  <c r="C128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N3" i="8"/>
  <c r="M3" i="8"/>
  <c r="Y6" i="11"/>
  <c r="Y7" i="11" s="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W21" i="11" s="1"/>
  <c r="O38" i="11"/>
  <c r="O45" i="11" s="1"/>
  <c r="O52" i="11" s="1"/>
  <c r="O59" i="11" s="1"/>
  <c r="O66" i="11" s="1"/>
  <c r="O73" i="11" s="1"/>
  <c r="O80" i="11" s="1"/>
  <c r="O87" i="11" s="1"/>
  <c r="O94" i="11" s="1"/>
  <c r="O101" i="11" s="1"/>
  <c r="O108" i="11" s="1"/>
  <c r="O115" i="11" s="1"/>
  <c r="O122" i="11" s="1"/>
  <c r="O129" i="11" s="1"/>
  <c r="O136" i="11" s="1"/>
  <c r="O143" i="11" s="1"/>
  <c r="O150" i="11" s="1"/>
  <c r="O37" i="11"/>
  <c r="O44" i="11" s="1"/>
  <c r="O51" i="11" s="1"/>
  <c r="O58" i="11" s="1"/>
  <c r="O65" i="11" s="1"/>
  <c r="O72" i="11" s="1"/>
  <c r="O79" i="11" s="1"/>
  <c r="O86" i="11" s="1"/>
  <c r="O93" i="11" s="1"/>
  <c r="O100" i="11" s="1"/>
  <c r="O107" i="11" s="1"/>
  <c r="O114" i="11" s="1"/>
  <c r="O121" i="11" s="1"/>
  <c r="O128" i="11" s="1"/>
  <c r="O135" i="11" s="1"/>
  <c r="O142" i="11" s="1"/>
  <c r="O149" i="11" s="1"/>
  <c r="O36" i="11"/>
  <c r="O43" i="11" s="1"/>
  <c r="O50" i="11" s="1"/>
  <c r="O57" i="11" s="1"/>
  <c r="O64" i="11" s="1"/>
  <c r="O71" i="11" s="1"/>
  <c r="O78" i="11" s="1"/>
  <c r="O85" i="11" s="1"/>
  <c r="O92" i="11" s="1"/>
  <c r="O99" i="11" s="1"/>
  <c r="O106" i="11" s="1"/>
  <c r="O113" i="11" s="1"/>
  <c r="O120" i="11" s="1"/>
  <c r="O127" i="11" s="1"/>
  <c r="O134" i="11" s="1"/>
  <c r="O141" i="11" s="1"/>
  <c r="O148" i="11" s="1"/>
  <c r="O35" i="11"/>
  <c r="O42" i="11" s="1"/>
  <c r="O49" i="11" s="1"/>
  <c r="O56" i="11" s="1"/>
  <c r="O63" i="11" s="1"/>
  <c r="O70" i="11" s="1"/>
  <c r="O77" i="11" s="1"/>
  <c r="O84" i="11" s="1"/>
  <c r="O91" i="11" s="1"/>
  <c r="O98" i="11" s="1"/>
  <c r="O105" i="11" s="1"/>
  <c r="O112" i="11" s="1"/>
  <c r="O119" i="11" s="1"/>
  <c r="O126" i="11" s="1"/>
  <c r="O133" i="11" s="1"/>
  <c r="O140" i="11" s="1"/>
  <c r="O147" i="11" s="1"/>
  <c r="O34" i="11"/>
  <c r="O41" i="11" s="1"/>
  <c r="O48" i="11" s="1"/>
  <c r="O55" i="11" s="1"/>
  <c r="O62" i="11" s="1"/>
  <c r="O69" i="11" s="1"/>
  <c r="O76" i="11" s="1"/>
  <c r="O83" i="11" s="1"/>
  <c r="O90" i="11" s="1"/>
  <c r="O97" i="11" s="1"/>
  <c r="O104" i="11" s="1"/>
  <c r="O111" i="11" s="1"/>
  <c r="O118" i="11" s="1"/>
  <c r="O125" i="11" s="1"/>
  <c r="O132" i="11" s="1"/>
  <c r="O139" i="11" s="1"/>
  <c r="O146" i="11" s="1"/>
  <c r="O33" i="11"/>
  <c r="O40" i="11" s="1"/>
  <c r="O47" i="11" s="1"/>
  <c r="O54" i="11" s="1"/>
  <c r="O61" i="11" s="1"/>
  <c r="O68" i="11" s="1"/>
  <c r="O75" i="11" s="1"/>
  <c r="O82" i="11" s="1"/>
  <c r="O89" i="11" s="1"/>
  <c r="O96" i="11" s="1"/>
  <c r="O103" i="11" s="1"/>
  <c r="O110" i="11" s="1"/>
  <c r="O117" i="11" s="1"/>
  <c r="O124" i="11" s="1"/>
  <c r="O131" i="11" s="1"/>
  <c r="O138" i="11" s="1"/>
  <c r="O145" i="11" s="1"/>
  <c r="O32" i="11"/>
  <c r="O39" i="11" s="1"/>
  <c r="O46" i="11" s="1"/>
  <c r="O53" i="11" s="1"/>
  <c r="O60" i="11" s="1"/>
  <c r="O67" i="11" s="1"/>
  <c r="O74" i="11" s="1"/>
  <c r="O81" i="11" s="1"/>
  <c r="O88" i="11" s="1"/>
  <c r="O95" i="11" s="1"/>
  <c r="O102" i="11" s="1"/>
  <c r="O109" i="11" s="1"/>
  <c r="O116" i="11" s="1"/>
  <c r="O123" i="11" s="1"/>
  <c r="O130" i="11" s="1"/>
  <c r="O137" i="11" s="1"/>
  <c r="O144" i="11" s="1"/>
  <c r="Q4" i="11"/>
  <c r="Q5" i="11"/>
  <c r="S4" i="11"/>
  <c r="S5" i="11"/>
  <c r="K7" i="1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W20" i="11"/>
  <c r="W14" i="11"/>
  <c r="W19" i="11"/>
  <c r="W17" i="11"/>
  <c r="W15" i="11"/>
  <c r="W13" i="11"/>
  <c r="W12" i="11"/>
  <c r="W6" i="11"/>
  <c r="W11" i="11"/>
  <c r="W10" i="11"/>
  <c r="W9" i="11"/>
  <c r="W8" i="11"/>
  <c r="W7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W18" i="11"/>
  <c r="A333" i="11"/>
  <c r="A332" i="11"/>
  <c r="A302" i="11"/>
  <c r="A330" i="11"/>
  <c r="A300" i="11"/>
  <c r="A361" i="11"/>
  <c r="A360" i="11"/>
  <c r="A353" i="11"/>
  <c r="A320" i="11"/>
  <c r="A352" i="11"/>
  <c r="A319" i="11"/>
  <c r="W16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Q17" i="11"/>
  <c r="K18" i="11"/>
  <c r="K19" i="11" l="1"/>
  <c r="Q18" i="11"/>
  <c r="Q16" i="11"/>
  <c r="K20" i="11" l="1"/>
  <c r="Q19" i="11"/>
  <c r="Q15" i="11"/>
  <c r="K21" i="11" l="1"/>
  <c r="Q20" i="11"/>
  <c r="Q14" i="11"/>
  <c r="K22" i="11" l="1"/>
  <c r="Q21" i="11"/>
  <c r="Q13" i="11"/>
  <c r="K23" i="11" l="1"/>
  <c r="Q22" i="11"/>
  <c r="Q12" i="11"/>
  <c r="K24" i="11" l="1"/>
  <c r="Q23" i="11"/>
  <c r="Q11" i="11"/>
  <c r="W78" i="11"/>
  <c r="W79" i="11"/>
  <c r="W80" i="11"/>
  <c r="W81" i="11"/>
  <c r="W77" i="11"/>
  <c r="K25" i="11" l="1"/>
  <c r="Q24" i="11"/>
  <c r="Q10" i="11"/>
  <c r="K26" i="11" l="1"/>
  <c r="Q25" i="11"/>
  <c r="Q9" i="11"/>
  <c r="K27" i="11" l="1"/>
  <c r="Q26" i="11"/>
  <c r="Q8" i="11"/>
  <c r="E4" i="9"/>
  <c r="E5" i="9"/>
  <c r="E3" i="9"/>
  <c r="K28" i="11" l="1"/>
  <c r="Q27" i="11"/>
  <c r="Q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K29" i="11" l="1"/>
  <c r="Q28" i="11"/>
  <c r="Q6" i="11"/>
  <c r="K30" i="11" l="1"/>
  <c r="Q29" i="11"/>
  <c r="K31" i="11" l="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5" i="9"/>
  <c r="P5" i="9" s="1"/>
  <c r="O6" i="9"/>
  <c r="P6" i="9" s="1"/>
  <c r="O7" i="9"/>
  <c r="P7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V766" i="8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28" i="8"/>
  <c r="V52" i="8" s="1"/>
  <c r="V76" i="8" s="1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W28" i="8"/>
  <c r="W52" i="8" s="1"/>
  <c r="W76" i="8" s="1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V29" i="8"/>
  <c r="V53" i="8" s="1"/>
  <c r="V77" i="8" s="1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W29" i="8"/>
  <c r="W53" i="8" s="1"/>
  <c r="W77" i="8" s="1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V30" i="8"/>
  <c r="V54" i="8" s="1"/>
  <c r="V78" i="8" s="1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W30" i="8"/>
  <c r="W54" i="8" s="1"/>
  <c r="W78" i="8" s="1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V31" i="8"/>
  <c r="V55" i="8" s="1"/>
  <c r="V79" i="8" s="1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W31" i="8"/>
  <c r="W55" i="8" s="1"/>
  <c r="W79" i="8" s="1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V32" i="8"/>
  <c r="V56" i="8" s="1"/>
  <c r="V80" i="8" s="1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V33" i="8"/>
  <c r="V57" i="8" s="1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W35" i="8"/>
  <c r="W59" i="8" s="1"/>
  <c r="W83" i="8" s="1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V39" i="8"/>
  <c r="V63" i="8" s="1"/>
  <c r="V87" i="8" s="1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W39" i="8"/>
  <c r="W63" i="8" s="1"/>
  <c r="W87" i="8" s="1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V40" i="8"/>
  <c r="V64" i="8" s="1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W40" i="8"/>
  <c r="W64" i="8" s="1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V41" i="8"/>
  <c r="V65" i="8" s="1"/>
  <c r="V89" i="8" s="1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W41" i="8"/>
  <c r="W65" i="8" s="1"/>
  <c r="W89" i="8" s="1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V42" i="8"/>
  <c r="V66" i="8" s="1"/>
  <c r="V90" i="8" s="1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W42" i="8"/>
  <c r="W66" i="8" s="1"/>
  <c r="W90" i="8" s="1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V43" i="8"/>
  <c r="V67" i="8" s="1"/>
  <c r="V91" i="8" s="1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W43" i="8"/>
  <c r="W67" i="8" s="1"/>
  <c r="W91" i="8" s="1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V44" i="8"/>
  <c r="V68" i="8" s="1"/>
  <c r="V92" i="8" s="1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W44" i="8"/>
  <c r="W68" i="8" s="1"/>
  <c r="W92" i="8" s="1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W45" i="8"/>
  <c r="W69" i="8" s="1"/>
  <c r="W93" i="8" s="1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W70" i="8" s="1"/>
  <c r="W94" i="8" s="1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V47" i="8"/>
  <c r="V71" i="8" s="1"/>
  <c r="V95" i="8" s="1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W47" i="8"/>
  <c r="W71" i="8" s="1"/>
  <c r="W95" i="8" s="1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V49" i="8"/>
  <c r="V73" i="8" s="1"/>
  <c r="V97" i="8" s="1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W49" i="8"/>
  <c r="W73" i="8" s="1"/>
  <c r="W97" i="8" s="1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V50" i="8"/>
  <c r="V74" i="8" s="1"/>
  <c r="V98" i="8" s="1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W50" i="8"/>
  <c r="W74" i="8" s="1"/>
  <c r="W98" i="8" s="1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7" i="8"/>
  <c r="W51" i="8" s="1"/>
  <c r="W75" i="8" s="1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V27" i="8"/>
  <c r="V51" i="8" s="1"/>
  <c r="V75" i="8" s="1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K42" i="11" l="1"/>
  <c r="Q41" i="11"/>
  <c r="T3" i="8"/>
  <c r="C4" i="9"/>
  <c r="C5" i="9"/>
  <c r="C3" i="9"/>
  <c r="V2" i="8"/>
  <c r="W2" i="8"/>
  <c r="D12" i="1" l="1"/>
  <c r="D13" i="1" s="1"/>
  <c r="E13" i="1" s="1"/>
  <c r="K43" i="11"/>
  <c r="Q42" i="1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" i="8"/>
  <c r="K53" i="8" s="1"/>
  <c r="K77" i="8" s="1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30" i="8"/>
  <c r="I54" i="8" s="1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759" i="8" s="1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2213" i="8" s="1"/>
  <c r="G2237" i="8" s="1"/>
  <c r="G2261" i="8" s="1"/>
  <c r="G2285" i="8" s="1"/>
  <c r="G2309" i="8" s="1"/>
  <c r="G2333" i="8" s="1"/>
  <c r="G2357" i="8" s="1"/>
  <c r="G2381" i="8" s="1"/>
  <c r="G2405" i="8" s="1"/>
  <c r="G2429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2214" i="8" s="1"/>
  <c r="G2238" i="8" s="1"/>
  <c r="G2262" i="8" s="1"/>
  <c r="G2286" i="8" s="1"/>
  <c r="G2310" i="8" s="1"/>
  <c r="G2334" i="8" s="1"/>
  <c r="G2358" i="8" s="1"/>
  <c r="G2382" i="8" s="1"/>
  <c r="G2406" i="8" s="1"/>
  <c r="G2430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2215" i="8" s="1"/>
  <c r="G2239" i="8" s="1"/>
  <c r="G2263" i="8" s="1"/>
  <c r="G2287" i="8" s="1"/>
  <c r="G2311" i="8" s="1"/>
  <c r="G2335" i="8" s="1"/>
  <c r="G2359" i="8" s="1"/>
  <c r="G2383" i="8" s="1"/>
  <c r="G2407" i="8" s="1"/>
  <c r="G2431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2216" i="8" s="1"/>
  <c r="G2240" i="8" s="1"/>
  <c r="G2264" i="8" s="1"/>
  <c r="G2288" i="8" s="1"/>
  <c r="G2312" i="8" s="1"/>
  <c r="G2336" i="8" s="1"/>
  <c r="G2360" i="8" s="1"/>
  <c r="G2384" i="8" s="1"/>
  <c r="G2408" i="8" s="1"/>
  <c r="G2432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2217" i="8" s="1"/>
  <c r="G2241" i="8" s="1"/>
  <c r="G2265" i="8" s="1"/>
  <c r="G2289" i="8" s="1"/>
  <c r="G2313" i="8" s="1"/>
  <c r="G2337" i="8" s="1"/>
  <c r="G2361" i="8" s="1"/>
  <c r="G2385" i="8" s="1"/>
  <c r="G2409" i="8" s="1"/>
  <c r="G2433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2218" i="8" s="1"/>
  <c r="G2242" i="8" s="1"/>
  <c r="G2266" i="8" s="1"/>
  <c r="G2290" i="8" s="1"/>
  <c r="G2314" i="8" s="1"/>
  <c r="G2338" i="8" s="1"/>
  <c r="G2362" i="8" s="1"/>
  <c r="G2386" i="8" s="1"/>
  <c r="G2410" i="8" s="1"/>
  <c r="G2434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2219" i="8" s="1"/>
  <c r="G2243" i="8" s="1"/>
  <c r="G2267" i="8" s="1"/>
  <c r="G2291" i="8" s="1"/>
  <c r="G2315" i="8" s="1"/>
  <c r="G2339" i="8" s="1"/>
  <c r="G2363" i="8" s="1"/>
  <c r="G2387" i="8" s="1"/>
  <c r="G241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2220" i="8" s="1"/>
  <c r="G2244" i="8" s="1"/>
  <c r="G2268" i="8" s="1"/>
  <c r="G2292" i="8" s="1"/>
  <c r="G2316" i="8" s="1"/>
  <c r="G2340" i="8" s="1"/>
  <c r="G2364" i="8" s="1"/>
  <c r="G2388" i="8" s="1"/>
  <c r="G241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2221" i="8" s="1"/>
  <c r="G2245" i="8" s="1"/>
  <c r="G2269" i="8" s="1"/>
  <c r="G2293" i="8" s="1"/>
  <c r="G2317" i="8" s="1"/>
  <c r="G2341" i="8" s="1"/>
  <c r="G2365" i="8" s="1"/>
  <c r="G2389" i="8" s="1"/>
  <c r="G241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2222" i="8" s="1"/>
  <c r="G2246" i="8" s="1"/>
  <c r="G2270" i="8" s="1"/>
  <c r="G2294" i="8" s="1"/>
  <c r="G2318" i="8" s="1"/>
  <c r="G2342" i="8" s="1"/>
  <c r="G2366" i="8" s="1"/>
  <c r="G2390" i="8" s="1"/>
  <c r="G241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2223" i="8" s="1"/>
  <c r="G2247" i="8" s="1"/>
  <c r="G2271" i="8" s="1"/>
  <c r="G2295" i="8" s="1"/>
  <c r="G2319" i="8" s="1"/>
  <c r="G2343" i="8" s="1"/>
  <c r="G2367" i="8" s="1"/>
  <c r="G2391" i="8" s="1"/>
  <c r="G241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2224" i="8" s="1"/>
  <c r="G2248" i="8" s="1"/>
  <c r="G2272" i="8" s="1"/>
  <c r="G2296" i="8" s="1"/>
  <c r="G2320" i="8" s="1"/>
  <c r="G2344" i="8" s="1"/>
  <c r="G2368" i="8" s="1"/>
  <c r="G2392" i="8" s="1"/>
  <c r="G241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2225" i="8" s="1"/>
  <c r="G2249" i="8" s="1"/>
  <c r="G2273" i="8" s="1"/>
  <c r="G2297" i="8" s="1"/>
  <c r="G2321" i="8" s="1"/>
  <c r="G2345" i="8" s="1"/>
  <c r="G2369" i="8" s="1"/>
  <c r="G2393" i="8" s="1"/>
  <c r="G241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2226" i="8" s="1"/>
  <c r="G2250" i="8" s="1"/>
  <c r="G2274" i="8" s="1"/>
  <c r="G2298" i="8" s="1"/>
  <c r="G2322" i="8" s="1"/>
  <c r="G2346" i="8" s="1"/>
  <c r="G2370" i="8" s="1"/>
  <c r="G2394" i="8" s="1"/>
  <c r="G241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2227" i="8" s="1"/>
  <c r="G2251" i="8" s="1"/>
  <c r="G2275" i="8" s="1"/>
  <c r="G2299" i="8" s="1"/>
  <c r="G2323" i="8" s="1"/>
  <c r="G2347" i="8" s="1"/>
  <c r="G2371" i="8" s="1"/>
  <c r="G2395" i="8" s="1"/>
  <c r="G241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2228" i="8" s="1"/>
  <c r="G2252" i="8" s="1"/>
  <c r="G2276" i="8" s="1"/>
  <c r="G2300" i="8" s="1"/>
  <c r="G2324" i="8" s="1"/>
  <c r="G2348" i="8" s="1"/>
  <c r="G2372" i="8" s="1"/>
  <c r="G2396" i="8" s="1"/>
  <c r="G242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2229" i="8" s="1"/>
  <c r="G2253" i="8" s="1"/>
  <c r="G2277" i="8" s="1"/>
  <c r="G2301" i="8" s="1"/>
  <c r="G2325" i="8" s="1"/>
  <c r="G2349" i="8" s="1"/>
  <c r="G2373" i="8" s="1"/>
  <c r="G2397" i="8" s="1"/>
  <c r="G242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2230" i="8" s="1"/>
  <c r="G2254" i="8" s="1"/>
  <c r="G2278" i="8" s="1"/>
  <c r="G2302" i="8" s="1"/>
  <c r="G2326" i="8" s="1"/>
  <c r="G2350" i="8" s="1"/>
  <c r="G2374" i="8" s="1"/>
  <c r="G2398" i="8" s="1"/>
  <c r="G242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2231" i="8" s="1"/>
  <c r="G2255" i="8" s="1"/>
  <c r="G2279" i="8" s="1"/>
  <c r="G2303" i="8" s="1"/>
  <c r="G2327" i="8" s="1"/>
  <c r="G2351" i="8" s="1"/>
  <c r="G2375" i="8" s="1"/>
  <c r="G2399" i="8" s="1"/>
  <c r="G242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2232" i="8" s="1"/>
  <c r="G2256" i="8" s="1"/>
  <c r="G2280" i="8" s="1"/>
  <c r="G2304" i="8" s="1"/>
  <c r="G2328" i="8" s="1"/>
  <c r="G2352" i="8" s="1"/>
  <c r="G2376" i="8" s="1"/>
  <c r="G2400" i="8" s="1"/>
  <c r="G242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2233" i="8" s="1"/>
  <c r="G2257" i="8" s="1"/>
  <c r="G2281" i="8" s="1"/>
  <c r="G2305" i="8" s="1"/>
  <c r="G2329" i="8" s="1"/>
  <c r="G2353" i="8" s="1"/>
  <c r="G2377" i="8" s="1"/>
  <c r="G2401" i="8" s="1"/>
  <c r="G242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2234" i="8" s="1"/>
  <c r="G2258" i="8" s="1"/>
  <c r="G2282" i="8" s="1"/>
  <c r="G2306" i="8" s="1"/>
  <c r="G2330" i="8" s="1"/>
  <c r="G2354" i="8" s="1"/>
  <c r="G2378" i="8" s="1"/>
  <c r="G2402" i="8" s="1"/>
  <c r="G2426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G2211" i="8" s="1"/>
  <c r="G2235" i="8" s="1"/>
  <c r="G2259" i="8" s="1"/>
  <c r="G2283" i="8" s="1"/>
  <c r="G2307" i="8" s="1"/>
  <c r="G2331" i="8" s="1"/>
  <c r="G2355" i="8" s="1"/>
  <c r="G2379" i="8" s="1"/>
  <c r="G2403" i="8" s="1"/>
  <c r="G2427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B27" i="8"/>
  <c r="B51" i="8" s="1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31" i="8"/>
  <c r="B55" i="8" s="1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32" i="8"/>
  <c r="B56" i="8" s="1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A4" i="8"/>
  <c r="E88" i="1"/>
  <c r="E89" i="1"/>
  <c r="E90" i="1"/>
  <c r="E91" i="1"/>
  <c r="E92" i="1"/>
  <c r="E93" i="1"/>
  <c r="A5" i="8" l="1"/>
  <c r="M4" i="8"/>
  <c r="N4" i="8"/>
  <c r="T4" i="8"/>
  <c r="E12" i="1"/>
  <c r="E15" i="1"/>
  <c r="E16" i="1" s="1"/>
  <c r="E17" i="1"/>
  <c r="E74" i="1" s="1"/>
  <c r="K44" i="11"/>
  <c r="Q43" i="1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G2212" i="8" s="1"/>
  <c r="G2236" i="8" s="1"/>
  <c r="G2260" i="8" s="1"/>
  <c r="G2284" i="8" s="1"/>
  <c r="G2308" i="8" s="1"/>
  <c r="G2332" i="8" s="1"/>
  <c r="G2356" i="8" s="1"/>
  <c r="G2380" i="8" s="1"/>
  <c r="G2404" i="8" s="1"/>
  <c r="G2428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754" i="8" s="1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E34" i="1" l="1"/>
  <c r="E36" i="1"/>
  <c r="F17" i="1"/>
  <c r="F36" i="1" s="1"/>
  <c r="E18" i="1"/>
  <c r="F15" i="1"/>
  <c r="G15" i="1" s="1"/>
  <c r="A6" i="8"/>
  <c r="M5" i="8"/>
  <c r="N5" i="8"/>
  <c r="T5" i="8"/>
  <c r="E81" i="1"/>
  <c r="K45" i="11"/>
  <c r="Q44" i="11"/>
  <c r="F34" i="1" l="1"/>
  <c r="G17" i="1"/>
  <c r="G34" i="1" s="1"/>
  <c r="F18" i="1"/>
  <c r="F74" i="1"/>
  <c r="F16" i="1"/>
  <c r="F81" i="1"/>
  <c r="A7" i="8"/>
  <c r="M6" i="8"/>
  <c r="N6" i="8"/>
  <c r="T6" i="8"/>
  <c r="K46" i="11"/>
  <c r="Q45" i="11"/>
  <c r="G18" i="1"/>
  <c r="H15" i="1"/>
  <c r="G16" i="1"/>
  <c r="G74" i="1" l="1"/>
  <c r="G81" i="1"/>
  <c r="H17" i="1"/>
  <c r="H36" i="1" s="1"/>
  <c r="G36" i="1"/>
  <c r="A8" i="8"/>
  <c r="M7" i="8"/>
  <c r="N7" i="8"/>
  <c r="T7" i="8"/>
  <c r="K47" i="11"/>
  <c r="Q46" i="11"/>
  <c r="H81" i="1"/>
  <c r="H18" i="1"/>
  <c r="H34" i="1"/>
  <c r="I17" i="1"/>
  <c r="I18" i="1" s="1"/>
  <c r="H74" i="1"/>
  <c r="I15" i="1"/>
  <c r="H16" i="1"/>
  <c r="A9" i="8" l="1"/>
  <c r="M8" i="8"/>
  <c r="N8" i="8"/>
  <c r="T8" i="8"/>
  <c r="K48" i="11"/>
  <c r="Q47" i="11"/>
  <c r="I34" i="1"/>
  <c r="I81" i="1"/>
  <c r="I74" i="1"/>
  <c r="I36" i="1"/>
  <c r="J17" i="1"/>
  <c r="J74" i="1" s="1"/>
  <c r="J15" i="1"/>
  <c r="I16" i="1"/>
  <c r="A10" i="8" l="1"/>
  <c r="M9" i="8"/>
  <c r="N9" i="8"/>
  <c r="T9" i="8"/>
  <c r="K49" i="11"/>
  <c r="Q48" i="11"/>
  <c r="J81" i="1"/>
  <c r="J18" i="1"/>
  <c r="K17" i="1"/>
  <c r="K81" i="1" s="1"/>
  <c r="J36" i="1"/>
  <c r="J34" i="1"/>
  <c r="K15" i="1"/>
  <c r="J16" i="1"/>
  <c r="A11" i="8" l="1"/>
  <c r="M10" i="8"/>
  <c r="N10" i="8"/>
  <c r="T10" i="8"/>
  <c r="K50" i="11"/>
  <c r="Q49" i="11"/>
  <c r="K18" i="1"/>
  <c r="L17" i="1"/>
  <c r="M17" i="1" s="1"/>
  <c r="K34" i="1"/>
  <c r="K36" i="1"/>
  <c r="K74" i="1"/>
  <c r="L15" i="1"/>
  <c r="K16" i="1"/>
  <c r="A12" i="8" l="1"/>
  <c r="M11" i="8"/>
  <c r="N11" i="8"/>
  <c r="T11" i="8"/>
  <c r="K51" i="11"/>
  <c r="Q50" i="11"/>
  <c r="M15" i="1"/>
  <c r="L16" i="1"/>
  <c r="A13" i="8" l="1"/>
  <c r="M12" i="8"/>
  <c r="N12" i="8"/>
  <c r="T12" i="8"/>
  <c r="K52" i="11"/>
  <c r="Q51" i="11"/>
  <c r="N15" i="1"/>
  <c r="M16" i="1"/>
  <c r="A14" i="8" l="1"/>
  <c r="M13" i="8"/>
  <c r="N13" i="8"/>
  <c r="T13" i="8"/>
  <c r="K53" i="11"/>
  <c r="Q52" i="11"/>
  <c r="O15" i="1"/>
  <c r="N16" i="1"/>
  <c r="A15" i="8" l="1"/>
  <c r="N14" i="8"/>
  <c r="M14" i="8"/>
  <c r="T14" i="8"/>
  <c r="K54" i="11"/>
  <c r="Q53" i="11"/>
  <c r="P15" i="1"/>
  <c r="O16" i="1"/>
  <c r="A16" i="8" l="1"/>
  <c r="N15" i="8"/>
  <c r="M15" i="8"/>
  <c r="T15" i="8"/>
  <c r="K55" i="11"/>
  <c r="Q54" i="11"/>
  <c r="Q15" i="1"/>
  <c r="P16" i="1"/>
  <c r="A17" i="8" l="1"/>
  <c r="N16" i="8"/>
  <c r="M16" i="8"/>
  <c r="T16" i="8"/>
  <c r="K56" i="11"/>
  <c r="Q55" i="11"/>
  <c r="R15" i="1"/>
  <c r="Q16" i="1"/>
  <c r="A18" i="8" l="1"/>
  <c r="N17" i="8"/>
  <c r="M17" i="8"/>
  <c r="T17" i="8"/>
  <c r="K57" i="11"/>
  <c r="Q56" i="11"/>
  <c r="S15" i="1"/>
  <c r="R16" i="1"/>
  <c r="A19" i="8" l="1"/>
  <c r="N18" i="8"/>
  <c r="M18" i="8"/>
  <c r="T18" i="8"/>
  <c r="K58" i="11"/>
  <c r="Q57" i="11"/>
  <c r="T15" i="1"/>
  <c r="S16" i="1"/>
  <c r="A20" i="8" l="1"/>
  <c r="N19" i="8"/>
  <c r="M19" i="8"/>
  <c r="T19" i="8"/>
  <c r="K59" i="11"/>
  <c r="Q58" i="11"/>
  <c r="U15" i="1"/>
  <c r="T16" i="1"/>
  <c r="A21" i="8" l="1"/>
  <c r="N20" i="8"/>
  <c r="M20" i="8"/>
  <c r="T20" i="8"/>
  <c r="K60" i="11"/>
  <c r="Q59" i="11"/>
  <c r="V15" i="1"/>
  <c r="U16" i="1"/>
  <c r="A22" i="8" l="1"/>
  <c r="N21" i="8"/>
  <c r="M21" i="8"/>
  <c r="T21" i="8"/>
  <c r="K61" i="11"/>
  <c r="Q60" i="11"/>
  <c r="W15" i="1"/>
  <c r="V16" i="1"/>
  <c r="A23" i="8" l="1"/>
  <c r="N22" i="8"/>
  <c r="M22" i="8"/>
  <c r="T22" i="8"/>
  <c r="K62" i="11"/>
  <c r="Q61" i="11"/>
  <c r="X15" i="1"/>
  <c r="W16" i="1"/>
  <c r="A24" i="8" l="1"/>
  <c r="N23" i="8"/>
  <c r="M23" i="8"/>
  <c r="T23" i="8"/>
  <c r="K63" i="11"/>
  <c r="Q62" i="11"/>
  <c r="Y15" i="1"/>
  <c r="X16" i="1"/>
  <c r="A25" i="8" l="1"/>
  <c r="N24" i="8"/>
  <c r="M24" i="8"/>
  <c r="T24" i="8"/>
  <c r="K64" i="11"/>
  <c r="Q63" i="11"/>
  <c r="Z15" i="1"/>
  <c r="Y16" i="1"/>
  <c r="A26" i="8" l="1"/>
  <c r="N25" i="8"/>
  <c r="M25" i="8"/>
  <c r="T25" i="8"/>
  <c r="K65" i="11"/>
  <c r="Q64" i="11"/>
  <c r="AA15" i="1"/>
  <c r="Z16" i="1"/>
  <c r="A27" i="8" l="1"/>
  <c r="N26" i="8"/>
  <c r="M26" i="8"/>
  <c r="T26" i="8"/>
  <c r="K66" i="11"/>
  <c r="Q65" i="11"/>
  <c r="AB15" i="1"/>
  <c r="AA16" i="1"/>
  <c r="A28" i="8" l="1"/>
  <c r="N27" i="8"/>
  <c r="M27" i="8"/>
  <c r="T27" i="8"/>
  <c r="K67" i="11"/>
  <c r="Q66" i="11"/>
  <c r="AC15" i="1"/>
  <c r="AB16" i="1"/>
  <c r="A29" i="8" l="1"/>
  <c r="N28" i="8"/>
  <c r="M28" i="8"/>
  <c r="T28" i="8"/>
  <c r="K68" i="11"/>
  <c r="Q67" i="11"/>
  <c r="AD15" i="1"/>
  <c r="AC16" i="1"/>
  <c r="A30" i="8" l="1"/>
  <c r="N29" i="8"/>
  <c r="M29" i="8"/>
  <c r="T29" i="8"/>
  <c r="K69" i="11"/>
  <c r="Q68" i="11"/>
  <c r="AE15" i="1"/>
  <c r="AD16" i="1"/>
  <c r="A31" i="8" l="1"/>
  <c r="N30" i="8"/>
  <c r="M30" i="8"/>
  <c r="T30" i="8"/>
  <c r="K70" i="11"/>
  <c r="Q69" i="11"/>
  <c r="AF15" i="1"/>
  <c r="AE16" i="1"/>
  <c r="A32" i="8" l="1"/>
  <c r="N31" i="8"/>
  <c r="M31" i="8"/>
  <c r="T31" i="8"/>
  <c r="K71" i="11"/>
  <c r="Q70" i="11"/>
  <c r="AG15" i="1"/>
  <c r="AF16" i="1"/>
  <c r="A33" i="8" l="1"/>
  <c r="N32" i="8"/>
  <c r="M32" i="8"/>
  <c r="T32" i="8"/>
  <c r="K72" i="11"/>
  <c r="Q71" i="11"/>
  <c r="AH15" i="1"/>
  <c r="AG16" i="1"/>
  <c r="A34" i="8" l="1"/>
  <c r="N33" i="8"/>
  <c r="M33" i="8"/>
  <c r="T33" i="8"/>
  <c r="K73" i="11"/>
  <c r="Q72" i="11"/>
  <c r="AI15" i="1"/>
  <c r="AH16" i="1"/>
  <c r="A35" i="8" l="1"/>
  <c r="N34" i="8"/>
  <c r="M34" i="8"/>
  <c r="T34" i="8"/>
  <c r="K74" i="11"/>
  <c r="Q73" i="11"/>
  <c r="AJ15" i="1"/>
  <c r="AI16" i="1"/>
  <c r="A36" i="8" l="1"/>
  <c r="M35" i="8"/>
  <c r="N35" i="8"/>
  <c r="T35" i="8"/>
  <c r="K75" i="11"/>
  <c r="Q74" i="11"/>
  <c r="AK15" i="1"/>
  <c r="AJ16" i="1"/>
  <c r="A37" i="8" l="1"/>
  <c r="N36" i="8"/>
  <c r="M36" i="8"/>
  <c r="T36" i="8"/>
  <c r="K76" i="11"/>
  <c r="Q75" i="11"/>
  <c r="AL15" i="1"/>
  <c r="AK16" i="1"/>
  <c r="A38" i="8" l="1"/>
  <c r="M37" i="8"/>
  <c r="N37" i="8"/>
  <c r="T37" i="8"/>
  <c r="K77" i="11"/>
  <c r="Q76" i="11"/>
  <c r="AM15" i="1"/>
  <c r="AL16" i="1"/>
  <c r="A39" i="8" l="1"/>
  <c r="N38" i="8"/>
  <c r="M38" i="8"/>
  <c r="T38" i="8"/>
  <c r="K78" i="11"/>
  <c r="Q77" i="11"/>
  <c r="AN15" i="1"/>
  <c r="AM16" i="1"/>
  <c r="A40" i="8" l="1"/>
  <c r="M39" i="8"/>
  <c r="N39" i="8"/>
  <c r="T39" i="8"/>
  <c r="K79" i="11"/>
  <c r="Q78" i="11"/>
  <c r="AO15" i="1"/>
  <c r="AN16" i="1"/>
  <c r="A41" i="8" l="1"/>
  <c r="N40" i="8"/>
  <c r="M40" i="8"/>
  <c r="T40" i="8"/>
  <c r="K80" i="11"/>
  <c r="Q79" i="11"/>
  <c r="AP15" i="1"/>
  <c r="AO16" i="1"/>
  <c r="A42" i="8" l="1"/>
  <c r="N41" i="8"/>
  <c r="M41" i="8"/>
  <c r="T41" i="8"/>
  <c r="K81" i="11"/>
  <c r="Q80" i="11"/>
  <c r="AQ15" i="1"/>
  <c r="AP16" i="1"/>
  <c r="A43" i="8" l="1"/>
  <c r="N42" i="8"/>
  <c r="M42" i="8"/>
  <c r="T42" i="8"/>
  <c r="K82" i="11"/>
  <c r="Q81" i="11"/>
  <c r="AR15" i="1"/>
  <c r="AQ16" i="1"/>
  <c r="A44" i="8" l="1"/>
  <c r="N43" i="8"/>
  <c r="M43" i="8"/>
  <c r="T43" i="8"/>
  <c r="K83" i="11"/>
  <c r="Q82" i="11"/>
  <c r="AS15" i="1"/>
  <c r="AR16" i="1"/>
  <c r="A45" i="8" l="1"/>
  <c r="N44" i="8"/>
  <c r="M44" i="8"/>
  <c r="T44" i="8"/>
  <c r="K84" i="11"/>
  <c r="Q83" i="11"/>
  <c r="AT15" i="1"/>
  <c r="AS16" i="1"/>
  <c r="A46" i="8" l="1"/>
  <c r="N45" i="8"/>
  <c r="M45" i="8"/>
  <c r="T45" i="8"/>
  <c r="K85" i="11"/>
  <c r="Q84" i="11"/>
  <c r="AU15" i="1"/>
  <c r="AT16" i="1"/>
  <c r="A47" i="8" l="1"/>
  <c r="N46" i="8"/>
  <c r="M46" i="8"/>
  <c r="T46" i="8"/>
  <c r="K86" i="11"/>
  <c r="Q85" i="11"/>
  <c r="AV15" i="1"/>
  <c r="AU16" i="1"/>
  <c r="A48" i="8" l="1"/>
  <c r="N47" i="8"/>
  <c r="M47" i="8"/>
  <c r="T47" i="8"/>
  <c r="K87" i="11"/>
  <c r="Q86" i="11"/>
  <c r="AW15" i="1"/>
  <c r="AV16" i="1"/>
  <c r="A49" i="8" l="1"/>
  <c r="N48" i="8"/>
  <c r="M48" i="8"/>
  <c r="T48" i="8"/>
  <c r="K88" i="11"/>
  <c r="Q87" i="11"/>
  <c r="AX15" i="1"/>
  <c r="AW16" i="1"/>
  <c r="A50" i="8" l="1"/>
  <c r="N49" i="8"/>
  <c r="M49" i="8"/>
  <c r="T49" i="8"/>
  <c r="K89" i="11"/>
  <c r="Q88" i="11"/>
  <c r="AY15" i="1"/>
  <c r="AX16" i="1"/>
  <c r="A51" i="8" l="1"/>
  <c r="N50" i="8"/>
  <c r="M50" i="8"/>
  <c r="T50" i="8"/>
  <c r="K90" i="11"/>
  <c r="Q89" i="11"/>
  <c r="AZ15" i="1"/>
  <c r="AY16" i="1"/>
  <c r="A52" i="8" l="1"/>
  <c r="N51" i="8"/>
  <c r="M51" i="8"/>
  <c r="T51" i="8"/>
  <c r="K91" i="11"/>
  <c r="Q90" i="11"/>
  <c r="BA15" i="1"/>
  <c r="AZ16" i="1"/>
  <c r="A53" i="8" l="1"/>
  <c r="N52" i="8"/>
  <c r="M52" i="8"/>
  <c r="T52" i="8"/>
  <c r="K92" i="11"/>
  <c r="Q91" i="11"/>
  <c r="BB15" i="1"/>
  <c r="BA16" i="1"/>
  <c r="A54" i="8" l="1"/>
  <c r="N53" i="8"/>
  <c r="M53" i="8"/>
  <c r="T53" i="8"/>
  <c r="K93" i="11"/>
  <c r="Q92" i="11"/>
  <c r="BC15" i="1"/>
  <c r="BB16" i="1"/>
  <c r="A55" i="8" l="1"/>
  <c r="N54" i="8"/>
  <c r="M54" i="8"/>
  <c r="T54" i="8"/>
  <c r="K94" i="11"/>
  <c r="Q93" i="11"/>
  <c r="BD15" i="1"/>
  <c r="BC16" i="1"/>
  <c r="A56" i="8" l="1"/>
  <c r="N55" i="8"/>
  <c r="M55" i="8"/>
  <c r="T55" i="8"/>
  <c r="K95" i="11"/>
  <c r="Q94" i="11"/>
  <c r="BE15" i="1"/>
  <c r="BD16" i="1"/>
  <c r="A57" i="8" l="1"/>
  <c r="N56" i="8"/>
  <c r="M56" i="8"/>
  <c r="T56" i="8"/>
  <c r="K96" i="11"/>
  <c r="Q95" i="11"/>
  <c r="BF15" i="1"/>
  <c r="BE16" i="1"/>
  <c r="A58" i="8" l="1"/>
  <c r="N57" i="8"/>
  <c r="M57" i="8"/>
  <c r="T57" i="8"/>
  <c r="K97" i="11"/>
  <c r="Q96" i="11"/>
  <c r="BG15" i="1"/>
  <c r="BF16" i="1"/>
  <c r="A59" i="8" l="1"/>
  <c r="N58" i="8"/>
  <c r="M58" i="8"/>
  <c r="T58" i="8"/>
  <c r="K98" i="11"/>
  <c r="Q97" i="11"/>
  <c r="BH15" i="1"/>
  <c r="BG16" i="1"/>
  <c r="A60" i="8" l="1"/>
  <c r="N59" i="8"/>
  <c r="M59" i="8"/>
  <c r="T59" i="8"/>
  <c r="K99" i="11"/>
  <c r="Q98" i="11"/>
  <c r="BI15" i="1"/>
  <c r="BH16" i="1"/>
  <c r="A61" i="8" l="1"/>
  <c r="N60" i="8"/>
  <c r="M60" i="8"/>
  <c r="T60" i="8"/>
  <c r="K100" i="11"/>
  <c r="Q99" i="11"/>
  <c r="BJ15" i="1"/>
  <c r="BI16" i="1"/>
  <c r="A62" i="8" l="1"/>
  <c r="M61" i="8"/>
  <c r="N61" i="8"/>
  <c r="T61" i="8"/>
  <c r="K101" i="11"/>
  <c r="Q100" i="11"/>
  <c r="BK15" i="1"/>
  <c r="BJ16" i="1"/>
  <c r="A63" i="8" l="1"/>
  <c r="N62" i="8"/>
  <c r="M62" i="8"/>
  <c r="T62" i="8"/>
  <c r="K102" i="11"/>
  <c r="Q101" i="11"/>
  <c r="BL15" i="1"/>
  <c r="BK16" i="1"/>
  <c r="A64" i="8" l="1"/>
  <c r="M63" i="8"/>
  <c r="N63" i="8"/>
  <c r="T63" i="8"/>
  <c r="K103" i="11"/>
  <c r="Q102" i="11"/>
  <c r="BM15" i="1"/>
  <c r="BL16" i="1"/>
  <c r="A65" i="8" l="1"/>
  <c r="M64" i="8"/>
  <c r="N64" i="8"/>
  <c r="T64" i="8"/>
  <c r="K104" i="11"/>
  <c r="Q103" i="11"/>
  <c r="BN15" i="1"/>
  <c r="BM16" i="1"/>
  <c r="A66" i="8" l="1"/>
  <c r="N65" i="8"/>
  <c r="M65" i="8"/>
  <c r="T65" i="8"/>
  <c r="K105" i="11"/>
  <c r="Q104" i="11"/>
  <c r="BO15" i="1"/>
  <c r="BN16" i="1"/>
  <c r="A67" i="8" l="1"/>
  <c r="N66" i="8"/>
  <c r="M66" i="8"/>
  <c r="T66" i="8"/>
  <c r="K106" i="11"/>
  <c r="Q105" i="11"/>
  <c r="BP15" i="1"/>
  <c r="BO16" i="1"/>
  <c r="A68" i="8" l="1"/>
  <c r="M67" i="8"/>
  <c r="N67" i="8"/>
  <c r="T67" i="8"/>
  <c r="K107" i="11"/>
  <c r="Q106" i="11"/>
  <c r="BQ15" i="1"/>
  <c r="BP16" i="1"/>
  <c r="A69" i="8" l="1"/>
  <c r="M68" i="8"/>
  <c r="N68" i="8"/>
  <c r="T68" i="8"/>
  <c r="K108" i="11"/>
  <c r="Q107" i="11"/>
  <c r="BR15" i="1"/>
  <c r="BQ16" i="1"/>
  <c r="A70" i="8" l="1"/>
  <c r="N69" i="8"/>
  <c r="M69" i="8"/>
  <c r="T69" i="8"/>
  <c r="K109" i="11"/>
  <c r="Q108" i="11"/>
  <c r="BS15" i="1"/>
  <c r="BR16" i="1"/>
  <c r="A71" i="8" l="1"/>
  <c r="N70" i="8"/>
  <c r="M70" i="8"/>
  <c r="T70" i="8"/>
  <c r="K110" i="11"/>
  <c r="Q109" i="11"/>
  <c r="BT15" i="1"/>
  <c r="BS16" i="1"/>
  <c r="A72" i="8" l="1"/>
  <c r="N71" i="8"/>
  <c r="M71" i="8"/>
  <c r="T71" i="8"/>
  <c r="K111" i="11"/>
  <c r="Q110" i="11"/>
  <c r="BU15" i="1"/>
  <c r="BT16" i="1"/>
  <c r="A73" i="8" l="1"/>
  <c r="N72" i="8"/>
  <c r="M72" i="8"/>
  <c r="T72" i="8"/>
  <c r="K112" i="11"/>
  <c r="Q111" i="11"/>
  <c r="BV15" i="1"/>
  <c r="BU16" i="1"/>
  <c r="A74" i="8" l="1"/>
  <c r="N73" i="8"/>
  <c r="M73" i="8"/>
  <c r="T73" i="8"/>
  <c r="K113" i="11"/>
  <c r="Q112" i="11"/>
  <c r="BW15" i="1"/>
  <c r="BV16" i="1"/>
  <c r="A75" i="8" l="1"/>
  <c r="N74" i="8"/>
  <c r="M74" i="8"/>
  <c r="T74" i="8"/>
  <c r="K114" i="11"/>
  <c r="Q113" i="11"/>
  <c r="BX15" i="1"/>
  <c r="BW16" i="1"/>
  <c r="A76" i="8" l="1"/>
  <c r="M75" i="8"/>
  <c r="N75" i="8"/>
  <c r="T75" i="8"/>
  <c r="K115" i="11"/>
  <c r="Q114" i="11"/>
  <c r="BY15" i="1"/>
  <c r="BX16" i="1"/>
  <c r="A77" i="8" l="1"/>
  <c r="N76" i="8"/>
  <c r="M76" i="8"/>
  <c r="T76" i="8"/>
  <c r="K116" i="11"/>
  <c r="Q115" i="11"/>
  <c r="BZ15" i="1"/>
  <c r="BY16" i="1"/>
  <c r="A78" i="8" l="1"/>
  <c r="N77" i="8"/>
  <c r="M77" i="8"/>
  <c r="T77" i="8"/>
  <c r="K117" i="11"/>
  <c r="Q116" i="11"/>
  <c r="CA15" i="1"/>
  <c r="BZ16" i="1"/>
  <c r="A79" i="8" l="1"/>
  <c r="N78" i="8"/>
  <c r="M78" i="8"/>
  <c r="T78" i="8"/>
  <c r="K118" i="11"/>
  <c r="Q117" i="11"/>
  <c r="CB15" i="1"/>
  <c r="CA16" i="1"/>
  <c r="A80" i="8" l="1"/>
  <c r="N79" i="8"/>
  <c r="M79" i="8"/>
  <c r="T79" i="8"/>
  <c r="K119" i="11"/>
  <c r="Q118" i="11"/>
  <c r="CC15" i="1"/>
  <c r="CB16" i="1"/>
  <c r="A81" i="8" l="1"/>
  <c r="N80" i="8"/>
  <c r="M80" i="8"/>
  <c r="T80" i="8"/>
  <c r="K120" i="11"/>
  <c r="Q119" i="11"/>
  <c r="CD15" i="1"/>
  <c r="CC16" i="1"/>
  <c r="A82" i="8" l="1"/>
  <c r="N81" i="8"/>
  <c r="M81" i="8"/>
  <c r="T81" i="8"/>
  <c r="K121" i="11"/>
  <c r="Q120" i="11"/>
  <c r="CE15" i="1"/>
  <c r="CD16" i="1"/>
  <c r="A83" i="8" l="1"/>
  <c r="N82" i="8"/>
  <c r="M82" i="8"/>
  <c r="T82" i="8"/>
  <c r="K122" i="11"/>
  <c r="Q121" i="11"/>
  <c r="CF15" i="1"/>
  <c r="CE16" i="1"/>
  <c r="A84" i="8" l="1"/>
  <c r="N83" i="8"/>
  <c r="M83" i="8"/>
  <c r="T83" i="8"/>
  <c r="K123" i="11"/>
  <c r="Q122" i="11"/>
  <c r="CG15" i="1"/>
  <c r="CF16" i="1"/>
  <c r="A85" i="8" l="1"/>
  <c r="N84" i="8"/>
  <c r="M84" i="8"/>
  <c r="T84" i="8"/>
  <c r="K124" i="11"/>
  <c r="Q123" i="11"/>
  <c r="CG16" i="1"/>
  <c r="CH15" i="1"/>
  <c r="A86" i="8" l="1"/>
  <c r="N85" i="8"/>
  <c r="M85" i="8"/>
  <c r="T85" i="8"/>
  <c r="K125" i="11"/>
  <c r="Q124" i="11"/>
  <c r="CH16" i="1"/>
  <c r="CI15" i="1"/>
  <c r="A87" i="8" l="1"/>
  <c r="N86" i="8"/>
  <c r="M86" i="8"/>
  <c r="T86" i="8"/>
  <c r="K126" i="11"/>
  <c r="Q125" i="11"/>
  <c r="CI16" i="1"/>
  <c r="CJ15" i="1"/>
  <c r="A88" i="8" l="1"/>
  <c r="N87" i="8"/>
  <c r="M87" i="8"/>
  <c r="T87" i="8"/>
  <c r="K127" i="11"/>
  <c r="Q126" i="11"/>
  <c r="CJ16" i="1"/>
  <c r="CK15" i="1"/>
  <c r="A89" i="8" l="1"/>
  <c r="N88" i="8"/>
  <c r="M88" i="8"/>
  <c r="T88" i="8"/>
  <c r="K128" i="11"/>
  <c r="Q127" i="11"/>
  <c r="CK16" i="1"/>
  <c r="CL15" i="1"/>
  <c r="A90" i="8" l="1"/>
  <c r="N89" i="8"/>
  <c r="M89" i="8"/>
  <c r="T89" i="8"/>
  <c r="K129" i="11"/>
  <c r="Q128" i="11"/>
  <c r="CL16" i="1"/>
  <c r="CM15" i="1"/>
  <c r="A91" i="8" l="1"/>
  <c r="N90" i="8"/>
  <c r="M90" i="8"/>
  <c r="T90" i="8"/>
  <c r="K130" i="11"/>
  <c r="Q129" i="11"/>
  <c r="CM16" i="1"/>
  <c r="CN15" i="1"/>
  <c r="A92" i="8" l="1"/>
  <c r="M91" i="8"/>
  <c r="N91" i="8"/>
  <c r="T91" i="8"/>
  <c r="K131" i="11"/>
  <c r="Q130" i="11"/>
  <c r="CN16" i="1"/>
  <c r="CO15" i="1"/>
  <c r="A93" i="8" l="1"/>
  <c r="N92" i="8"/>
  <c r="M92" i="8"/>
  <c r="T92" i="8"/>
  <c r="K132" i="11"/>
  <c r="Q131" i="11"/>
  <c r="CO16" i="1"/>
  <c r="CP15" i="1"/>
  <c r="A94" i="8" l="1"/>
  <c r="N93" i="8"/>
  <c r="M93" i="8"/>
  <c r="T93" i="8"/>
  <c r="K133" i="11"/>
  <c r="Q132" i="11"/>
  <c r="CP16" i="1"/>
  <c r="CQ15" i="1"/>
  <c r="A95" i="8" l="1"/>
  <c r="N94" i="8"/>
  <c r="M94" i="8"/>
  <c r="T94" i="8"/>
  <c r="K134" i="11"/>
  <c r="Q133" i="11"/>
  <c r="CQ16" i="1"/>
  <c r="CR15" i="1"/>
  <c r="A96" i="8" l="1"/>
  <c r="N95" i="8"/>
  <c r="M95" i="8"/>
  <c r="T95" i="8"/>
  <c r="K135" i="11"/>
  <c r="Q134" i="11"/>
  <c r="CR16" i="1"/>
  <c r="CS15" i="1"/>
  <c r="A97" i="8" l="1"/>
  <c r="N96" i="8"/>
  <c r="M96" i="8"/>
  <c r="T96" i="8"/>
  <c r="K136" i="11"/>
  <c r="Q135" i="11"/>
  <c r="CS16" i="1"/>
  <c r="CT15" i="1"/>
  <c r="A98" i="8" l="1"/>
  <c r="M97" i="8"/>
  <c r="N97" i="8"/>
  <c r="T97" i="8"/>
  <c r="K137" i="11"/>
  <c r="Q136" i="11"/>
  <c r="CT16" i="1"/>
  <c r="CU15" i="1"/>
  <c r="A99" i="8" l="1"/>
  <c r="N98" i="8"/>
  <c r="M98" i="8"/>
  <c r="T98" i="8"/>
  <c r="K138" i="11"/>
  <c r="Q137" i="11"/>
  <c r="CU16" i="1"/>
  <c r="CV15" i="1"/>
  <c r="A100" i="8" l="1"/>
  <c r="N99" i="8"/>
  <c r="M99" i="8"/>
  <c r="T99" i="8"/>
  <c r="K139" i="11"/>
  <c r="Q138" i="11"/>
  <c r="CV16" i="1"/>
  <c r="CW15" i="1"/>
  <c r="A101" i="8" l="1"/>
  <c r="M100" i="8"/>
  <c r="N100" i="8"/>
  <c r="T100" i="8"/>
  <c r="K140" i="11"/>
  <c r="Q139" i="11"/>
  <c r="CW16" i="1"/>
  <c r="CX15" i="1"/>
  <c r="A102" i="8" l="1"/>
  <c r="N101" i="8"/>
  <c r="M101" i="8"/>
  <c r="T101" i="8"/>
  <c r="K141" i="11"/>
  <c r="Q140" i="11"/>
  <c r="CX16" i="1"/>
  <c r="CY15" i="1"/>
  <c r="A103" i="8" l="1"/>
  <c r="N102" i="8"/>
  <c r="M102" i="8"/>
  <c r="T102" i="8"/>
  <c r="K142" i="11"/>
  <c r="Q141" i="11"/>
  <c r="CY16" i="1"/>
  <c r="CZ15" i="1"/>
  <c r="A104" i="8" l="1"/>
  <c r="N103" i="8"/>
  <c r="M103" i="8"/>
  <c r="T103" i="8"/>
  <c r="K143" i="11"/>
  <c r="Q142" i="11"/>
  <c r="CZ16" i="1"/>
  <c r="DA15" i="1"/>
  <c r="A105" i="8" l="1"/>
  <c r="M104" i="8"/>
  <c r="N104" i="8"/>
  <c r="T104" i="8"/>
  <c r="K144" i="11"/>
  <c r="Q143" i="11"/>
  <c r="DA16" i="1"/>
  <c r="DB15" i="1"/>
  <c r="A106" i="8" l="1"/>
  <c r="N105" i="8"/>
  <c r="M105" i="8"/>
  <c r="T105" i="8"/>
  <c r="K145" i="11"/>
  <c r="Q144" i="11"/>
  <c r="DB16" i="1"/>
  <c r="DC15" i="1"/>
  <c r="A107" i="8" l="1"/>
  <c r="M106" i="8"/>
  <c r="N106" i="8"/>
  <c r="T106" i="8"/>
  <c r="K146" i="11"/>
  <c r="Q145" i="11"/>
  <c r="DC16" i="1"/>
  <c r="DD15" i="1"/>
  <c r="A108" i="8" l="1"/>
  <c r="N107" i="8"/>
  <c r="M107" i="8"/>
  <c r="T107" i="8"/>
  <c r="K147" i="11"/>
  <c r="Q146" i="11"/>
  <c r="DD16" i="1"/>
  <c r="DE15" i="1"/>
  <c r="A109" i="8" l="1"/>
  <c r="N108" i="8"/>
  <c r="M108" i="8"/>
  <c r="T108" i="8"/>
  <c r="K148" i="11"/>
  <c r="Q147" i="11"/>
  <c r="DE16" i="1"/>
  <c r="DF15" i="1"/>
  <c r="A110" i="8" l="1"/>
  <c r="N109" i="8"/>
  <c r="M109" i="8"/>
  <c r="T109" i="8"/>
  <c r="K149" i="11"/>
  <c r="Q148" i="11"/>
  <c r="DF16" i="1"/>
  <c r="DG15" i="1"/>
  <c r="A111" i="8" l="1"/>
  <c r="N110" i="8"/>
  <c r="M110" i="8"/>
  <c r="T110" i="8"/>
  <c r="K150" i="11"/>
  <c r="Q149" i="11"/>
  <c r="DG16" i="1"/>
  <c r="DH15" i="1"/>
  <c r="A112" i="8" l="1"/>
  <c r="N111" i="8"/>
  <c r="M111" i="8"/>
  <c r="T111" i="8"/>
  <c r="Q150" i="11"/>
  <c r="DH16" i="1"/>
  <c r="DI15" i="1"/>
  <c r="A113" i="8" l="1"/>
  <c r="N112" i="8"/>
  <c r="M112" i="8"/>
  <c r="T112" i="8"/>
  <c r="DI16" i="1"/>
  <c r="DJ15" i="1"/>
  <c r="A114" i="8" l="1"/>
  <c r="N113" i="8"/>
  <c r="M113" i="8"/>
  <c r="T113" i="8"/>
  <c r="DJ16" i="1"/>
  <c r="DK15" i="1"/>
  <c r="A115" i="8" l="1"/>
  <c r="N114" i="8"/>
  <c r="M114" i="8"/>
  <c r="T114" i="8"/>
  <c r="DK16" i="1"/>
  <c r="DL15" i="1"/>
  <c r="A116" i="8" l="1"/>
  <c r="N115" i="8"/>
  <c r="M115" i="8"/>
  <c r="T115" i="8"/>
  <c r="DL16" i="1"/>
  <c r="DM15" i="1"/>
  <c r="A117" i="8" l="1"/>
  <c r="N116" i="8"/>
  <c r="M116" i="8"/>
  <c r="T116" i="8"/>
  <c r="DM16" i="1"/>
  <c r="DN15" i="1"/>
  <c r="A118" i="8" l="1"/>
  <c r="N117" i="8"/>
  <c r="M117" i="8"/>
  <c r="T117" i="8"/>
  <c r="DN16" i="1"/>
  <c r="DO15" i="1"/>
  <c r="A119" i="8" l="1"/>
  <c r="N118" i="8"/>
  <c r="M118" i="8"/>
  <c r="T118" i="8"/>
  <c r="DO16" i="1"/>
  <c r="DP15" i="1"/>
  <c r="A120" i="8" l="1"/>
  <c r="M119" i="8"/>
  <c r="N119" i="8"/>
  <c r="T119" i="8"/>
  <c r="DP16" i="1"/>
  <c r="DQ15" i="1"/>
  <c r="A121" i="8" l="1"/>
  <c r="N120" i="8"/>
  <c r="M120" i="8"/>
  <c r="T120" i="8"/>
  <c r="DQ16" i="1"/>
  <c r="DR15" i="1"/>
  <c r="A122" i="8" l="1"/>
  <c r="N121" i="8"/>
  <c r="M121" i="8"/>
  <c r="T121" i="8"/>
  <c r="DR16" i="1"/>
  <c r="DS15" i="1"/>
  <c r="A123" i="8" l="1"/>
  <c r="N122" i="8"/>
  <c r="M122" i="8"/>
  <c r="T122" i="8"/>
  <c r="DS16" i="1"/>
  <c r="DT15" i="1"/>
  <c r="A124" i="8" l="1"/>
  <c r="N123" i="8"/>
  <c r="M123" i="8"/>
  <c r="T123" i="8"/>
  <c r="DT16" i="1"/>
  <c r="DU15" i="1"/>
  <c r="A125" i="8" l="1"/>
  <c r="N124" i="8"/>
  <c r="M124" i="8"/>
  <c r="T124" i="8"/>
  <c r="DU16" i="1"/>
  <c r="DV15" i="1"/>
  <c r="A126" i="8" l="1"/>
  <c r="N125" i="8"/>
  <c r="M125" i="8"/>
  <c r="T125" i="8"/>
  <c r="DV16" i="1"/>
  <c r="DW15" i="1"/>
  <c r="A127" i="8" l="1"/>
  <c r="N126" i="8"/>
  <c r="M126" i="8"/>
  <c r="T126" i="8"/>
  <c r="DW16" i="1"/>
  <c r="DX15" i="1"/>
  <c r="A128" i="8" l="1"/>
  <c r="N127" i="8"/>
  <c r="M127" i="8"/>
  <c r="T127" i="8"/>
  <c r="DX16" i="1"/>
  <c r="DY15" i="1"/>
  <c r="A129" i="8" l="1"/>
  <c r="N128" i="8"/>
  <c r="M128" i="8"/>
  <c r="T128" i="8"/>
  <c r="DY16" i="1"/>
  <c r="DZ15" i="1"/>
  <c r="A130" i="8" l="1"/>
  <c r="N129" i="8"/>
  <c r="M129" i="8"/>
  <c r="T129" i="8"/>
  <c r="DZ16" i="1"/>
  <c r="EA15" i="1"/>
  <c r="A131" i="8" l="1"/>
  <c r="M130" i="8"/>
  <c r="N130" i="8"/>
  <c r="T130" i="8"/>
  <c r="EA16" i="1"/>
  <c r="EB15" i="1"/>
  <c r="A132" i="8" l="1"/>
  <c r="M131" i="8"/>
  <c r="N131" i="8"/>
  <c r="T131" i="8"/>
  <c r="EB16" i="1"/>
  <c r="EC15" i="1"/>
  <c r="A133" i="8" l="1"/>
  <c r="M132" i="8"/>
  <c r="N132" i="8"/>
  <c r="T132" i="8"/>
  <c r="EC16" i="1"/>
  <c r="ED15" i="1"/>
  <c r="A134" i="8" l="1"/>
  <c r="N133" i="8"/>
  <c r="M133" i="8"/>
  <c r="T133" i="8"/>
  <c r="ED16" i="1"/>
  <c r="EE15" i="1"/>
  <c r="A135" i="8" l="1"/>
  <c r="N134" i="8"/>
  <c r="M134" i="8"/>
  <c r="T134" i="8"/>
  <c r="EE16" i="1"/>
  <c r="EF15" i="1"/>
  <c r="A136" i="8" l="1"/>
  <c r="N135" i="8"/>
  <c r="M135" i="8"/>
  <c r="T135" i="8"/>
  <c r="EF16" i="1"/>
  <c r="EG15" i="1"/>
  <c r="A137" i="8" l="1"/>
  <c r="M136" i="8"/>
  <c r="N136" i="8"/>
  <c r="T136" i="8"/>
  <c r="EG16" i="1"/>
  <c r="EH15" i="1"/>
  <c r="A138" i="8" l="1"/>
  <c r="M137" i="8"/>
  <c r="N137" i="8"/>
  <c r="T137" i="8"/>
  <c r="EH16" i="1"/>
  <c r="EI15" i="1"/>
  <c r="A139" i="8" l="1"/>
  <c r="M138" i="8"/>
  <c r="N138" i="8"/>
  <c r="T138" i="8"/>
  <c r="EI16" i="1"/>
  <c r="EJ15" i="1"/>
  <c r="A140" i="8" l="1"/>
  <c r="N139" i="8"/>
  <c r="M139" i="8"/>
  <c r="T139" i="8"/>
  <c r="EJ16" i="1"/>
  <c r="EK15" i="1"/>
  <c r="A141" i="8" l="1"/>
  <c r="N140" i="8"/>
  <c r="M140" i="8"/>
  <c r="T140" i="8"/>
  <c r="EK16" i="1"/>
  <c r="EL15" i="1"/>
  <c r="A142" i="8" l="1"/>
  <c r="N141" i="8"/>
  <c r="M141" i="8"/>
  <c r="T141" i="8"/>
  <c r="EL16" i="1"/>
  <c r="EM15" i="1"/>
  <c r="A143" i="8" l="1"/>
  <c r="N142" i="8"/>
  <c r="M142" i="8"/>
  <c r="T142" i="8"/>
  <c r="EM16" i="1"/>
  <c r="EN15" i="1"/>
  <c r="A144" i="8" l="1"/>
  <c r="N143" i="8"/>
  <c r="M143" i="8"/>
  <c r="T143" i="8"/>
  <c r="EN16" i="1"/>
  <c r="EO15" i="1"/>
  <c r="A145" i="8" l="1"/>
  <c r="N144" i="8"/>
  <c r="M144" i="8"/>
  <c r="T144" i="8"/>
  <c r="EO16" i="1"/>
  <c r="EP15" i="1"/>
  <c r="A146" i="8" l="1"/>
  <c r="N145" i="8"/>
  <c r="M145" i="8"/>
  <c r="T145" i="8"/>
  <c r="EP16" i="1"/>
  <c r="EQ15" i="1"/>
  <c r="A147" i="8" l="1"/>
  <c r="N146" i="8"/>
  <c r="M146" i="8"/>
  <c r="T146" i="8"/>
  <c r="EQ16" i="1"/>
  <c r="ER15" i="1"/>
  <c r="A148" i="8" l="1"/>
  <c r="M147" i="8"/>
  <c r="N147" i="8"/>
  <c r="T147" i="8"/>
  <c r="ER16" i="1"/>
  <c r="ES15" i="1"/>
  <c r="A149" i="8" l="1"/>
  <c r="N148" i="8"/>
  <c r="M148" i="8"/>
  <c r="T148" i="8"/>
  <c r="ES16" i="1"/>
  <c r="ET15" i="1"/>
  <c r="A150" i="8" l="1"/>
  <c r="N149" i="8"/>
  <c r="M149" i="8"/>
  <c r="T149" i="8"/>
  <c r="ET16" i="1"/>
  <c r="EU15" i="1"/>
  <c r="A151" i="8" l="1"/>
  <c r="N150" i="8"/>
  <c r="M150" i="8"/>
  <c r="T150" i="8"/>
  <c r="EU16" i="1"/>
  <c r="EV15" i="1"/>
  <c r="A152" i="8" l="1"/>
  <c r="N151" i="8"/>
  <c r="M151" i="8"/>
  <c r="T151" i="8"/>
  <c r="EV16" i="1"/>
  <c r="EW15" i="1"/>
  <c r="A153" i="8" l="1"/>
  <c r="N152" i="8"/>
  <c r="M152" i="8"/>
  <c r="T152" i="8"/>
  <c r="EW16" i="1"/>
  <c r="EX15" i="1"/>
  <c r="A154" i="8" l="1"/>
  <c r="N153" i="8"/>
  <c r="M153" i="8"/>
  <c r="T153" i="8"/>
  <c r="EX16" i="1"/>
  <c r="EY15" i="1"/>
  <c r="A155" i="8" l="1"/>
  <c r="N154" i="8"/>
  <c r="M154" i="8"/>
  <c r="T154" i="8"/>
  <c r="EY16" i="1"/>
  <c r="EZ15" i="1"/>
  <c r="A156" i="8" l="1"/>
  <c r="N155" i="8"/>
  <c r="M155" i="8"/>
  <c r="T155" i="8"/>
  <c r="EZ16" i="1"/>
  <c r="FA15" i="1"/>
  <c r="A157" i="8" l="1"/>
  <c r="N156" i="8"/>
  <c r="M156" i="8"/>
  <c r="T156" i="8"/>
  <c r="FA16" i="1"/>
  <c r="FB15" i="1"/>
  <c r="A158" i="8" l="1"/>
  <c r="N157" i="8"/>
  <c r="M157" i="8"/>
  <c r="T157" i="8"/>
  <c r="FB16" i="1"/>
  <c r="FC15" i="1"/>
  <c r="A159" i="8" l="1"/>
  <c r="N158" i="8"/>
  <c r="M158" i="8"/>
  <c r="T158" i="8"/>
  <c r="FC16" i="1"/>
  <c r="FD15" i="1"/>
  <c r="A160" i="8" l="1"/>
  <c r="N159" i="8"/>
  <c r="M159" i="8"/>
  <c r="T159" i="8"/>
  <c r="FD16" i="1"/>
  <c r="FE15" i="1"/>
  <c r="A161" i="8" l="1"/>
  <c r="N160" i="8"/>
  <c r="M160" i="8"/>
  <c r="T160" i="8"/>
  <c r="FE16" i="1"/>
  <c r="FF15" i="1"/>
  <c r="A162" i="8" l="1"/>
  <c r="N161" i="8"/>
  <c r="M161" i="8"/>
  <c r="T161" i="8"/>
  <c r="FF16" i="1"/>
  <c r="FG15" i="1"/>
  <c r="A163" i="8" l="1"/>
  <c r="M162" i="8"/>
  <c r="N162" i="8"/>
  <c r="T162" i="8"/>
  <c r="FG16" i="1"/>
  <c r="FH15" i="1"/>
  <c r="A164" i="8" l="1"/>
  <c r="N163" i="8"/>
  <c r="M163" i="8"/>
  <c r="T163" i="8"/>
  <c r="FH16" i="1"/>
  <c r="FI15" i="1"/>
  <c r="A165" i="8" l="1"/>
  <c r="N164" i="8"/>
  <c r="M164" i="8"/>
  <c r="T164" i="8"/>
  <c r="FI16" i="1"/>
  <c r="FJ15" i="1"/>
  <c r="A166" i="8" l="1"/>
  <c r="N165" i="8"/>
  <c r="M165" i="8"/>
  <c r="T165" i="8"/>
  <c r="FJ16" i="1"/>
  <c r="FK15" i="1"/>
  <c r="A167" i="8" l="1"/>
  <c r="N166" i="8"/>
  <c r="M166" i="8"/>
  <c r="T166" i="8"/>
  <c r="FK16" i="1"/>
  <c r="FL15" i="1"/>
  <c r="A168" i="8" l="1"/>
  <c r="N167" i="8"/>
  <c r="M167" i="8"/>
  <c r="T167" i="8"/>
  <c r="FL16" i="1"/>
  <c r="FM15" i="1"/>
  <c r="A169" i="8" l="1"/>
  <c r="M168" i="8"/>
  <c r="N168" i="8"/>
  <c r="T168" i="8"/>
  <c r="FM16" i="1"/>
  <c r="FN15" i="1"/>
  <c r="A170" i="8" l="1"/>
  <c r="N169" i="8"/>
  <c r="M169" i="8"/>
  <c r="T169" i="8"/>
  <c r="FN16" i="1"/>
  <c r="FO15" i="1"/>
  <c r="A171" i="8" l="1"/>
  <c r="N170" i="8"/>
  <c r="M170" i="8"/>
  <c r="T170" i="8"/>
  <c r="FO16" i="1"/>
  <c r="FP15" i="1"/>
  <c r="A172" i="8" l="1"/>
  <c r="M171" i="8"/>
  <c r="N171" i="8"/>
  <c r="T171" i="8"/>
  <c r="FP16" i="1"/>
  <c r="A173" i="8" l="1"/>
  <c r="M172" i="8"/>
  <c r="N172" i="8"/>
  <c r="T172" i="8"/>
  <c r="A174" i="8" l="1"/>
  <c r="M173" i="8"/>
  <c r="N173" i="8"/>
  <c r="T173" i="8"/>
  <c r="A175" i="8" l="1"/>
  <c r="N174" i="8"/>
  <c r="M174" i="8"/>
  <c r="T174" i="8"/>
  <c r="A176" i="8" l="1"/>
  <c r="M175" i="8"/>
  <c r="N175" i="8"/>
  <c r="T175" i="8"/>
  <c r="A177" i="8" l="1"/>
  <c r="N176" i="8"/>
  <c r="M176" i="8"/>
  <c r="T176" i="8"/>
  <c r="A178" i="8" l="1"/>
  <c r="M177" i="8"/>
  <c r="N177" i="8"/>
  <c r="T177" i="8"/>
  <c r="A179" i="8" l="1"/>
  <c r="N178" i="8"/>
  <c r="M178" i="8"/>
  <c r="T178" i="8"/>
  <c r="A180" i="8" l="1"/>
  <c r="M179" i="8"/>
  <c r="N179" i="8"/>
  <c r="T179" i="8"/>
  <c r="A181" i="8" l="1"/>
  <c r="M180" i="8"/>
  <c r="N180" i="8"/>
  <c r="T180" i="8"/>
  <c r="A182" i="8" l="1"/>
  <c r="M181" i="8"/>
  <c r="N181" i="8"/>
  <c r="T181" i="8"/>
  <c r="A183" i="8" l="1"/>
  <c r="N182" i="8"/>
  <c r="M182" i="8"/>
  <c r="T182" i="8"/>
  <c r="A184" i="8" l="1"/>
  <c r="N183" i="8"/>
  <c r="M183" i="8"/>
  <c r="T183" i="8"/>
  <c r="A185" i="8" l="1"/>
  <c r="M184" i="8"/>
  <c r="N184" i="8"/>
  <c r="T184" i="8"/>
  <c r="A186" i="8" l="1"/>
  <c r="N185" i="8"/>
  <c r="M185" i="8"/>
  <c r="T185" i="8"/>
  <c r="A187" i="8" l="1"/>
  <c r="N186" i="8"/>
  <c r="M186" i="8"/>
  <c r="T186" i="8"/>
  <c r="A188" i="8" l="1"/>
  <c r="N187" i="8"/>
  <c r="M187" i="8"/>
  <c r="T187" i="8"/>
  <c r="A189" i="8" l="1"/>
  <c r="N188" i="8"/>
  <c r="M188" i="8"/>
  <c r="T188" i="8"/>
  <c r="A190" i="8" l="1"/>
  <c r="N189" i="8"/>
  <c r="M189" i="8"/>
  <c r="T189" i="8"/>
  <c r="A191" i="8" l="1"/>
  <c r="N190" i="8"/>
  <c r="M190" i="8"/>
  <c r="T190" i="8"/>
  <c r="A192" i="8" l="1"/>
  <c r="N191" i="8"/>
  <c r="M191" i="8"/>
  <c r="T191" i="8"/>
  <c r="A193" i="8" l="1"/>
  <c r="N192" i="8"/>
  <c r="M192" i="8"/>
  <c r="T192" i="8"/>
  <c r="A194" i="8" l="1"/>
  <c r="N193" i="8"/>
  <c r="M193" i="8"/>
  <c r="T193" i="8"/>
  <c r="A195" i="8" l="1"/>
  <c r="N194" i="8"/>
  <c r="M194" i="8"/>
  <c r="T194" i="8"/>
  <c r="A196" i="8" l="1"/>
  <c r="N195" i="8"/>
  <c r="M195" i="8"/>
  <c r="T195" i="8"/>
  <c r="A197" i="8" l="1"/>
  <c r="N196" i="8"/>
  <c r="M196" i="8"/>
  <c r="T196" i="8"/>
  <c r="A198" i="8" l="1"/>
  <c r="N197" i="8"/>
  <c r="M197" i="8"/>
  <c r="T197" i="8"/>
  <c r="A199" i="8" l="1"/>
  <c r="N198" i="8"/>
  <c r="M198" i="8"/>
  <c r="T198" i="8"/>
  <c r="A200" i="8" l="1"/>
  <c r="N199" i="8"/>
  <c r="M199" i="8"/>
  <c r="T199" i="8"/>
  <c r="A201" i="8" l="1"/>
  <c r="N200" i="8"/>
  <c r="M200" i="8"/>
  <c r="T200" i="8"/>
  <c r="A202" i="8" l="1"/>
  <c r="N201" i="8"/>
  <c r="M201" i="8"/>
  <c r="T201" i="8"/>
  <c r="A203" i="8" l="1"/>
  <c r="N202" i="8"/>
  <c r="M202" i="8"/>
  <c r="T202" i="8"/>
  <c r="A204" i="8" l="1"/>
  <c r="M203" i="8"/>
  <c r="N203" i="8"/>
  <c r="T203" i="8"/>
  <c r="A205" i="8" l="1"/>
  <c r="N204" i="8"/>
  <c r="M204" i="8"/>
  <c r="T204" i="8"/>
  <c r="A206" i="8" l="1"/>
  <c r="N205" i="8"/>
  <c r="M205" i="8"/>
  <c r="T205" i="8"/>
  <c r="A207" i="8" l="1"/>
  <c r="N206" i="8"/>
  <c r="M206" i="8"/>
  <c r="T206" i="8"/>
  <c r="A208" i="8" l="1"/>
  <c r="N207" i="8"/>
  <c r="M207" i="8"/>
  <c r="T207" i="8"/>
  <c r="A209" i="8" l="1"/>
  <c r="N208" i="8"/>
  <c r="M208" i="8"/>
  <c r="T208" i="8"/>
  <c r="A210" i="8" l="1"/>
  <c r="N209" i="8"/>
  <c r="M209" i="8"/>
  <c r="T209" i="8"/>
  <c r="A211" i="8" l="1"/>
  <c r="N210" i="8"/>
  <c r="M210" i="8"/>
  <c r="T210" i="8"/>
  <c r="A212" i="8" l="1"/>
  <c r="N211" i="8"/>
  <c r="M211" i="8"/>
  <c r="T211" i="8"/>
  <c r="A213" i="8" l="1"/>
  <c r="N212" i="8"/>
  <c r="M212" i="8"/>
  <c r="T212" i="8"/>
  <c r="A214" i="8" l="1"/>
  <c r="N213" i="8"/>
  <c r="M213" i="8"/>
  <c r="T213" i="8"/>
  <c r="A215" i="8" l="1"/>
  <c r="N214" i="8"/>
  <c r="M214" i="8"/>
  <c r="T214" i="8"/>
  <c r="A216" i="8" l="1"/>
  <c r="N215" i="8"/>
  <c r="M215" i="8"/>
  <c r="T215" i="8"/>
  <c r="A217" i="8" l="1"/>
  <c r="N216" i="8"/>
  <c r="M216" i="8"/>
  <c r="T216" i="8"/>
  <c r="A218" i="8" l="1"/>
  <c r="M217" i="8"/>
  <c r="N217" i="8"/>
  <c r="T217" i="8"/>
  <c r="A219" i="8" l="1"/>
  <c r="M218" i="8"/>
  <c r="N218" i="8"/>
  <c r="T218" i="8"/>
  <c r="A220" i="8" l="1"/>
  <c r="N219" i="8"/>
  <c r="M219" i="8"/>
  <c r="T219" i="8"/>
  <c r="A221" i="8" l="1"/>
  <c r="N220" i="8"/>
  <c r="M220" i="8"/>
  <c r="T220" i="8"/>
  <c r="A222" i="8" l="1"/>
  <c r="N221" i="8"/>
  <c r="M221" i="8"/>
  <c r="T221" i="8"/>
  <c r="A223" i="8" l="1"/>
  <c r="N222" i="8"/>
  <c r="M222" i="8"/>
  <c r="T222" i="8"/>
  <c r="A224" i="8" l="1"/>
  <c r="N223" i="8"/>
  <c r="M223" i="8"/>
  <c r="T223" i="8"/>
  <c r="A225" i="8" l="1"/>
  <c r="N224" i="8"/>
  <c r="M224" i="8"/>
  <c r="T224" i="8"/>
  <c r="A226" i="8" l="1"/>
  <c r="N225" i="8"/>
  <c r="M225" i="8"/>
  <c r="T225" i="8"/>
  <c r="A227" i="8" l="1"/>
  <c r="N226" i="8"/>
  <c r="M226" i="8"/>
  <c r="T226" i="8"/>
  <c r="A228" i="8" l="1"/>
  <c r="N227" i="8"/>
  <c r="M227" i="8"/>
  <c r="T227" i="8"/>
  <c r="A229" i="8" l="1"/>
  <c r="N228" i="8"/>
  <c r="M228" i="8"/>
  <c r="T228" i="8"/>
  <c r="A230" i="8" l="1"/>
  <c r="N229" i="8"/>
  <c r="M229" i="8"/>
  <c r="T229" i="8"/>
  <c r="A231" i="8" l="1"/>
  <c r="M230" i="8"/>
  <c r="N230" i="8"/>
  <c r="T230" i="8"/>
  <c r="A232" i="8" l="1"/>
  <c r="M231" i="8"/>
  <c r="N231" i="8"/>
  <c r="T231" i="8"/>
  <c r="A233" i="8" l="1"/>
  <c r="M232" i="8"/>
  <c r="N232" i="8"/>
  <c r="T232" i="8"/>
  <c r="A234" i="8" l="1"/>
  <c r="N233" i="8"/>
  <c r="M233" i="8"/>
  <c r="T233" i="8"/>
  <c r="A235" i="8" l="1"/>
  <c r="N234" i="8"/>
  <c r="M234" i="8"/>
  <c r="T234" i="8"/>
  <c r="A236" i="8" l="1"/>
  <c r="N235" i="8"/>
  <c r="M235" i="8"/>
  <c r="T235" i="8"/>
  <c r="A237" i="8" l="1"/>
  <c r="N236" i="8"/>
  <c r="M236" i="8"/>
  <c r="T236" i="8"/>
  <c r="A238" i="8" l="1"/>
  <c r="N237" i="8"/>
  <c r="M237" i="8"/>
  <c r="T237" i="8"/>
  <c r="A239" i="8" l="1"/>
  <c r="N238" i="8"/>
  <c r="M238" i="8"/>
  <c r="T238" i="8"/>
  <c r="A240" i="8" l="1"/>
  <c r="N239" i="8"/>
  <c r="M239" i="8"/>
  <c r="T239" i="8"/>
  <c r="A241" i="8" l="1"/>
  <c r="M240" i="8"/>
  <c r="N240" i="8"/>
  <c r="T240" i="8"/>
  <c r="A242" i="8" l="1"/>
  <c r="N241" i="8"/>
  <c r="M241" i="8"/>
  <c r="T241" i="8"/>
  <c r="A243" i="8" l="1"/>
  <c r="M242" i="8"/>
  <c r="N242" i="8"/>
  <c r="T242" i="8"/>
  <c r="A244" i="8" l="1"/>
  <c r="M243" i="8"/>
  <c r="N243" i="8"/>
  <c r="T243" i="8"/>
  <c r="A245" i="8" l="1"/>
  <c r="M244" i="8"/>
  <c r="N244" i="8"/>
  <c r="T244" i="8"/>
  <c r="A246" i="8" l="1"/>
  <c r="N245" i="8"/>
  <c r="M245" i="8"/>
  <c r="T245" i="8"/>
  <c r="A247" i="8" l="1"/>
  <c r="N246" i="8"/>
  <c r="M246" i="8"/>
  <c r="T246" i="8"/>
  <c r="A248" i="8" l="1"/>
  <c r="N247" i="8"/>
  <c r="M247" i="8"/>
  <c r="T247" i="8"/>
  <c r="A249" i="8" l="1"/>
  <c r="M248" i="8"/>
  <c r="N248" i="8"/>
  <c r="T248" i="8"/>
  <c r="A250" i="8" l="1"/>
  <c r="N249" i="8"/>
  <c r="M249" i="8"/>
  <c r="T249" i="8"/>
  <c r="A251" i="8" l="1"/>
  <c r="N250" i="8"/>
  <c r="M250" i="8"/>
  <c r="T250" i="8"/>
  <c r="A252" i="8" l="1"/>
  <c r="N251" i="8"/>
  <c r="M251" i="8"/>
  <c r="T251" i="8"/>
  <c r="A253" i="8" l="1"/>
  <c r="N252" i="8"/>
  <c r="M252" i="8"/>
  <c r="T252" i="8"/>
  <c r="A254" i="8" l="1"/>
  <c r="N253" i="8"/>
  <c r="M253" i="8"/>
  <c r="T253" i="8"/>
  <c r="A255" i="8" l="1"/>
  <c r="N254" i="8"/>
  <c r="M254" i="8"/>
  <c r="T254" i="8"/>
  <c r="A256" i="8" l="1"/>
  <c r="N255" i="8"/>
  <c r="M255" i="8"/>
  <c r="T255" i="8"/>
  <c r="A257" i="8" l="1"/>
  <c r="N256" i="8"/>
  <c r="M256" i="8"/>
  <c r="T256" i="8"/>
  <c r="A258" i="8" l="1"/>
  <c r="N257" i="8"/>
  <c r="M257" i="8"/>
  <c r="T257" i="8"/>
  <c r="A259" i="8" l="1"/>
  <c r="N258" i="8"/>
  <c r="M258" i="8"/>
  <c r="T258" i="8"/>
  <c r="A260" i="8" l="1"/>
  <c r="M259" i="8"/>
  <c r="N259" i="8"/>
  <c r="T259" i="8"/>
  <c r="A261" i="8" l="1"/>
  <c r="N260" i="8"/>
  <c r="M260" i="8"/>
  <c r="T260" i="8"/>
  <c r="A262" i="8" l="1"/>
  <c r="N261" i="8"/>
  <c r="M261" i="8"/>
  <c r="T261" i="8"/>
  <c r="A263" i="8" l="1"/>
  <c r="N262" i="8"/>
  <c r="M262" i="8"/>
  <c r="T262" i="8"/>
  <c r="A264" i="8" l="1"/>
  <c r="N263" i="8"/>
  <c r="M263" i="8"/>
  <c r="T263" i="8"/>
  <c r="A265" i="8" l="1"/>
  <c r="N264" i="8"/>
  <c r="M264" i="8"/>
  <c r="T264" i="8"/>
  <c r="A266" i="8" l="1"/>
  <c r="N265" i="8"/>
  <c r="M265" i="8"/>
  <c r="T265" i="8"/>
  <c r="A267" i="8" l="1"/>
  <c r="N266" i="8"/>
  <c r="M266" i="8"/>
  <c r="T266" i="8"/>
  <c r="A268" i="8" l="1"/>
  <c r="N267" i="8"/>
  <c r="M267" i="8"/>
  <c r="T267" i="8"/>
  <c r="A269" i="8" l="1"/>
  <c r="N268" i="8"/>
  <c r="M268" i="8"/>
  <c r="T268" i="8"/>
  <c r="A270" i="8" l="1"/>
  <c r="N269" i="8"/>
  <c r="M269" i="8"/>
  <c r="T269" i="8"/>
  <c r="A271" i="8" l="1"/>
  <c r="N270" i="8"/>
  <c r="M270" i="8"/>
  <c r="T270" i="8"/>
  <c r="A272" i="8" l="1"/>
  <c r="M271" i="8"/>
  <c r="N271" i="8"/>
  <c r="T271" i="8"/>
  <c r="A273" i="8" l="1"/>
  <c r="M272" i="8"/>
  <c r="N272" i="8"/>
  <c r="T272" i="8"/>
  <c r="A274" i="8" l="1"/>
  <c r="N273" i="8"/>
  <c r="M273" i="8"/>
  <c r="T273" i="8"/>
  <c r="A275" i="8" l="1"/>
  <c r="N274" i="8"/>
  <c r="M274" i="8"/>
  <c r="T274" i="8"/>
  <c r="A276" i="8" l="1"/>
  <c r="N275" i="8"/>
  <c r="M275" i="8"/>
  <c r="T275" i="8"/>
  <c r="A277" i="8" l="1"/>
  <c r="N276" i="8"/>
  <c r="M276" i="8"/>
  <c r="T276" i="8"/>
  <c r="A278" i="8" l="1"/>
  <c r="N277" i="8"/>
  <c r="M277" i="8"/>
  <c r="T277" i="8"/>
  <c r="A279" i="8" l="1"/>
  <c r="M278" i="8"/>
  <c r="N278" i="8"/>
  <c r="T278" i="8"/>
  <c r="A280" i="8" l="1"/>
  <c r="N279" i="8"/>
  <c r="M279" i="8"/>
  <c r="T279" i="8"/>
  <c r="A281" i="8" l="1"/>
  <c r="M280" i="8"/>
  <c r="N280" i="8"/>
  <c r="T280" i="8"/>
  <c r="A282" i="8" l="1"/>
  <c r="N281" i="8"/>
  <c r="M281" i="8"/>
  <c r="T281" i="8"/>
  <c r="A283" i="8" l="1"/>
  <c r="N282" i="8"/>
  <c r="M282" i="8"/>
  <c r="T282" i="8"/>
  <c r="A284" i="8" l="1"/>
  <c r="M283" i="8"/>
  <c r="N283" i="8"/>
  <c r="T283" i="8"/>
  <c r="A285" i="8" l="1"/>
  <c r="N284" i="8"/>
  <c r="M284" i="8"/>
  <c r="T284" i="8"/>
  <c r="A286" i="8" l="1"/>
  <c r="N285" i="8"/>
  <c r="M285" i="8"/>
  <c r="T285" i="8"/>
  <c r="A287" i="8" l="1"/>
  <c r="N286" i="8"/>
  <c r="M286" i="8"/>
  <c r="T286" i="8"/>
  <c r="A288" i="8" l="1"/>
  <c r="M287" i="8"/>
  <c r="N287" i="8"/>
  <c r="T287" i="8"/>
  <c r="A289" i="8" l="1"/>
  <c r="N288" i="8"/>
  <c r="M288" i="8"/>
  <c r="T288" i="8"/>
  <c r="A290" i="8" l="1"/>
  <c r="N289" i="8"/>
  <c r="M289" i="8"/>
  <c r="T289" i="8"/>
  <c r="A291" i="8" l="1"/>
  <c r="N290" i="8"/>
  <c r="M290" i="8"/>
  <c r="T290" i="8"/>
  <c r="A292" i="8" l="1"/>
  <c r="N291" i="8"/>
  <c r="M291" i="8"/>
  <c r="T291" i="8"/>
  <c r="A293" i="8" l="1"/>
  <c r="N292" i="8"/>
  <c r="M292" i="8"/>
  <c r="T292" i="8"/>
  <c r="A294" i="8" l="1"/>
  <c r="N293" i="8"/>
  <c r="M293" i="8"/>
  <c r="T293" i="8"/>
  <c r="A295" i="8" l="1"/>
  <c r="N294" i="8"/>
  <c r="M294" i="8"/>
  <c r="T294" i="8"/>
  <c r="A296" i="8" l="1"/>
  <c r="N295" i="8"/>
  <c r="M295" i="8"/>
  <c r="T295" i="8"/>
  <c r="A297" i="8" l="1"/>
  <c r="N296" i="8"/>
  <c r="M296" i="8"/>
  <c r="T296" i="8"/>
  <c r="A298" i="8" l="1"/>
  <c r="N297" i="8"/>
  <c r="M297" i="8"/>
  <c r="T297" i="8"/>
  <c r="A299" i="8" l="1"/>
  <c r="N298" i="8"/>
  <c r="M298" i="8"/>
  <c r="T298" i="8"/>
  <c r="A300" i="8" l="1"/>
  <c r="N299" i="8"/>
  <c r="M299" i="8"/>
  <c r="T299" i="8"/>
  <c r="A301" i="8" l="1"/>
  <c r="M300" i="8"/>
  <c r="N300" i="8"/>
  <c r="T300" i="8"/>
  <c r="A302" i="8" l="1"/>
  <c r="N301" i="8"/>
  <c r="M301" i="8"/>
  <c r="T301" i="8"/>
  <c r="A303" i="8" l="1"/>
  <c r="N302" i="8"/>
  <c r="M302" i="8"/>
  <c r="T302" i="8"/>
  <c r="A304" i="8" l="1"/>
  <c r="N303" i="8"/>
  <c r="M303" i="8"/>
  <c r="T303" i="8"/>
  <c r="A305" i="8" l="1"/>
  <c r="M304" i="8"/>
  <c r="N304" i="8"/>
  <c r="T304" i="8"/>
  <c r="A306" i="8" l="1"/>
  <c r="M305" i="8"/>
  <c r="N305" i="8"/>
  <c r="T305" i="8"/>
  <c r="A307" i="8" l="1"/>
  <c r="N306" i="8"/>
  <c r="M306" i="8"/>
  <c r="T306" i="8"/>
  <c r="A308" i="8" l="1"/>
  <c r="N307" i="8"/>
  <c r="M307" i="8"/>
  <c r="T307" i="8"/>
  <c r="A309" i="8" l="1"/>
  <c r="M308" i="8"/>
  <c r="N308" i="8"/>
  <c r="T308" i="8"/>
  <c r="A310" i="8" l="1"/>
  <c r="N309" i="8"/>
  <c r="M309" i="8"/>
  <c r="T309" i="8"/>
  <c r="A311" i="8" l="1"/>
  <c r="N310" i="8"/>
  <c r="M310" i="8"/>
  <c r="T310" i="8"/>
  <c r="A312" i="8" l="1"/>
  <c r="N311" i="8"/>
  <c r="M311" i="8"/>
  <c r="T311" i="8"/>
  <c r="A313" i="8" l="1"/>
  <c r="N312" i="8"/>
  <c r="M312" i="8"/>
  <c r="T312" i="8"/>
  <c r="A314" i="8" l="1"/>
  <c r="N313" i="8"/>
  <c r="M313" i="8"/>
  <c r="T313" i="8"/>
  <c r="A315" i="8" l="1"/>
  <c r="N314" i="8"/>
  <c r="M314" i="8"/>
  <c r="T314" i="8"/>
  <c r="M315" i="8" l="1"/>
  <c r="N315" i="8"/>
  <c r="T315" i="8"/>
  <c r="A316" i="8"/>
  <c r="M316" i="8" l="1"/>
  <c r="N316" i="8"/>
  <c r="T316" i="8"/>
  <c r="A317" i="8"/>
  <c r="N317" i="8" l="1"/>
  <c r="M317" i="8"/>
  <c r="T317" i="8"/>
  <c r="A318" i="8"/>
  <c r="N318" i="8" l="1"/>
  <c r="M318" i="8"/>
  <c r="T318" i="8"/>
  <c r="A319" i="8"/>
  <c r="N319" i="8" l="1"/>
  <c r="M319" i="8"/>
  <c r="T319" i="8"/>
  <c r="A320" i="8"/>
  <c r="N320" i="8" l="1"/>
  <c r="M320" i="8"/>
  <c r="T320" i="8"/>
  <c r="A321" i="8"/>
  <c r="N321" i="8" l="1"/>
  <c r="M321" i="8"/>
  <c r="T321" i="8"/>
  <c r="A322" i="8"/>
  <c r="N322" i="8" l="1"/>
  <c r="M322" i="8"/>
  <c r="T322" i="8"/>
  <c r="A323" i="8"/>
  <c r="N323" i="8" l="1"/>
  <c r="M323" i="8"/>
  <c r="T323" i="8"/>
  <c r="A324" i="8"/>
  <c r="N324" i="8" l="1"/>
  <c r="M324" i="8"/>
  <c r="T324" i="8"/>
  <c r="A325" i="8"/>
  <c r="N325" i="8" l="1"/>
  <c r="M325" i="8"/>
  <c r="T325" i="8"/>
  <c r="A326" i="8"/>
  <c r="N326" i="8" l="1"/>
  <c r="M326" i="8"/>
  <c r="T326" i="8"/>
  <c r="A327" i="8"/>
  <c r="N327" i="8" l="1"/>
  <c r="M327" i="8"/>
  <c r="T327" i="8"/>
  <c r="A328" i="8"/>
  <c r="M328" i="8" l="1"/>
  <c r="N328" i="8"/>
  <c r="T328" i="8"/>
  <c r="A329" i="8"/>
  <c r="M329" i="8" l="1"/>
  <c r="N329" i="8"/>
  <c r="T329" i="8"/>
  <c r="A330" i="8"/>
  <c r="N330" i="8" l="1"/>
  <c r="M330" i="8"/>
  <c r="T330" i="8"/>
  <c r="A331" i="8"/>
  <c r="M331" i="8" l="1"/>
  <c r="N331" i="8"/>
  <c r="T331" i="8"/>
  <c r="A332" i="8"/>
  <c r="N332" i="8" l="1"/>
  <c r="M332" i="8"/>
  <c r="T332" i="8"/>
  <c r="A333" i="8"/>
  <c r="N333" i="8" l="1"/>
  <c r="M333" i="8"/>
  <c r="T333" i="8"/>
  <c r="A334" i="8"/>
  <c r="N334" i="8" l="1"/>
  <c r="M334" i="8"/>
  <c r="T334" i="8"/>
  <c r="A335" i="8"/>
  <c r="N335" i="8" l="1"/>
  <c r="M335" i="8"/>
  <c r="T335" i="8"/>
  <c r="A336" i="8"/>
  <c r="N336" i="8" l="1"/>
  <c r="M336" i="8"/>
  <c r="T336" i="8"/>
  <c r="A337" i="8"/>
  <c r="N337" i="8" l="1"/>
  <c r="M337" i="8"/>
  <c r="T337" i="8"/>
  <c r="A338" i="8"/>
  <c r="N338" i="8" l="1"/>
  <c r="M338" i="8"/>
  <c r="T338" i="8"/>
  <c r="A339" i="8"/>
  <c r="N339" i="8" l="1"/>
  <c r="M339" i="8"/>
  <c r="T339" i="8"/>
  <c r="A340" i="8"/>
  <c r="M340" i="8" l="1"/>
  <c r="N340" i="8"/>
  <c r="T340" i="8"/>
  <c r="A341" i="8"/>
  <c r="N341" i="8" l="1"/>
  <c r="M341" i="8"/>
  <c r="T341" i="8"/>
  <c r="A342" i="8"/>
  <c r="N342" i="8" l="1"/>
  <c r="M342" i="8"/>
  <c r="T342" i="8"/>
  <c r="A343" i="8"/>
  <c r="N343" i="8" l="1"/>
  <c r="M343" i="8"/>
  <c r="T343" i="8"/>
  <c r="A344" i="8"/>
  <c r="N344" i="8" l="1"/>
  <c r="M344" i="8"/>
  <c r="T344" i="8"/>
  <c r="A345" i="8"/>
  <c r="N345" i="8" l="1"/>
  <c r="M345" i="8"/>
  <c r="T345" i="8"/>
  <c r="A346" i="8"/>
  <c r="M346" i="8" l="1"/>
  <c r="N346" i="8"/>
  <c r="T346" i="8"/>
  <c r="A347" i="8"/>
  <c r="N347" i="8" l="1"/>
  <c r="M347" i="8"/>
  <c r="T347" i="8"/>
  <c r="A348" i="8"/>
  <c r="N348" i="8" l="1"/>
  <c r="M348" i="8"/>
  <c r="T348" i="8"/>
  <c r="A349" i="8"/>
  <c r="N349" i="8" l="1"/>
  <c r="M349" i="8"/>
  <c r="T349" i="8"/>
  <c r="A350" i="8"/>
  <c r="N350" i="8" l="1"/>
  <c r="M350" i="8"/>
  <c r="T350" i="8"/>
  <c r="A351" i="8"/>
  <c r="N351" i="8" l="1"/>
  <c r="M351" i="8"/>
  <c r="T351" i="8"/>
  <c r="A352" i="8"/>
  <c r="N352" i="8" l="1"/>
  <c r="M352" i="8"/>
  <c r="T352" i="8"/>
  <c r="A353" i="8"/>
  <c r="N353" i="8" l="1"/>
  <c r="M353" i="8"/>
  <c r="T353" i="8"/>
  <c r="A354" i="8"/>
  <c r="N354" i="8" l="1"/>
  <c r="M354" i="8"/>
  <c r="T354" i="8"/>
  <c r="A355" i="8"/>
  <c r="N355" i="8" l="1"/>
  <c r="M355" i="8"/>
  <c r="T355" i="8"/>
  <c r="A356" i="8"/>
  <c r="N356" i="8" l="1"/>
  <c r="M356" i="8"/>
  <c r="T356" i="8"/>
  <c r="A357" i="8"/>
  <c r="M357" i="8" l="1"/>
  <c r="N357" i="8"/>
  <c r="T357" i="8"/>
  <c r="A358" i="8"/>
  <c r="N358" i="8" l="1"/>
  <c r="M358" i="8"/>
  <c r="T358" i="8"/>
  <c r="A359" i="8"/>
  <c r="N359" i="8" l="1"/>
  <c r="M359" i="8"/>
  <c r="T359" i="8"/>
  <c r="A360" i="8"/>
  <c r="N360" i="8" l="1"/>
  <c r="M360" i="8"/>
  <c r="T360" i="8"/>
  <c r="A361" i="8"/>
  <c r="M361" i="8" l="1"/>
  <c r="N361" i="8"/>
  <c r="T361" i="8"/>
  <c r="A362" i="8"/>
  <c r="N362" i="8" l="1"/>
  <c r="M362" i="8"/>
  <c r="T362" i="8"/>
  <c r="A363" i="8"/>
  <c r="N363" i="8" l="1"/>
  <c r="M363" i="8"/>
  <c r="T363" i="8"/>
  <c r="A364" i="8"/>
  <c r="N364" i="8" l="1"/>
  <c r="M364" i="8"/>
  <c r="T364" i="8"/>
  <c r="A365" i="8"/>
  <c r="N365" i="8" l="1"/>
  <c r="M365" i="8"/>
  <c r="T365" i="8"/>
  <c r="A366" i="8"/>
  <c r="N366" i="8" l="1"/>
  <c r="M366" i="8"/>
  <c r="T366" i="8"/>
  <c r="A367" i="8"/>
  <c r="N367" i="8" l="1"/>
  <c r="M367" i="8"/>
  <c r="T367" i="8"/>
  <c r="A368" i="8"/>
  <c r="N368" i="8" l="1"/>
  <c r="M368" i="8"/>
  <c r="T368" i="8"/>
  <c r="A369" i="8"/>
  <c r="M369" i="8" l="1"/>
  <c r="N369" i="8"/>
  <c r="T369" i="8"/>
  <c r="A370" i="8"/>
  <c r="N370" i="8" l="1"/>
  <c r="M370" i="8"/>
  <c r="T370" i="8"/>
  <c r="A371" i="8"/>
  <c r="N371" i="8" l="1"/>
  <c r="M371" i="8"/>
  <c r="T371" i="8"/>
  <c r="A372" i="8"/>
  <c r="N372" i="8" l="1"/>
  <c r="M372" i="8"/>
  <c r="T372" i="8"/>
  <c r="A373" i="8"/>
  <c r="N373" i="8" l="1"/>
  <c r="M373" i="8"/>
  <c r="T373" i="8"/>
  <c r="A374" i="8"/>
  <c r="M374" i="8" l="1"/>
  <c r="N374" i="8"/>
  <c r="T374" i="8"/>
  <c r="A375" i="8"/>
  <c r="N375" i="8" l="1"/>
  <c r="M375" i="8"/>
  <c r="T375" i="8"/>
  <c r="A376" i="8"/>
  <c r="N376" i="8" l="1"/>
  <c r="M376" i="8"/>
  <c r="T376" i="8"/>
  <c r="A377" i="8"/>
  <c r="N377" i="8" l="1"/>
  <c r="M377" i="8"/>
  <c r="T377" i="8"/>
  <c r="A378" i="8"/>
  <c r="N378" i="8" l="1"/>
  <c r="M378" i="8"/>
  <c r="T378" i="8"/>
  <c r="A379" i="8"/>
  <c r="N379" i="8" l="1"/>
  <c r="M379" i="8"/>
  <c r="T379" i="8"/>
  <c r="A380" i="8"/>
  <c r="M380" i="8" l="1"/>
  <c r="N380" i="8"/>
  <c r="T380" i="8"/>
  <c r="A381" i="8"/>
  <c r="N381" i="8" l="1"/>
  <c r="M381" i="8"/>
  <c r="T381" i="8"/>
  <c r="A382" i="8"/>
  <c r="N382" i="8" l="1"/>
  <c r="M382" i="8"/>
  <c r="T382" i="8"/>
  <c r="A383" i="8"/>
  <c r="N383" i="8" l="1"/>
  <c r="M383" i="8"/>
  <c r="T383" i="8"/>
  <c r="A384" i="8"/>
  <c r="N384" i="8" l="1"/>
  <c r="M384" i="8"/>
  <c r="T384" i="8"/>
  <c r="A385" i="8"/>
  <c r="N385" i="8" l="1"/>
  <c r="M385" i="8"/>
  <c r="T385" i="8"/>
  <c r="A386" i="8"/>
  <c r="N386" i="8" l="1"/>
  <c r="M386" i="8"/>
  <c r="T386" i="8"/>
  <c r="A387" i="8"/>
  <c r="N387" i="8" l="1"/>
  <c r="M387" i="8"/>
  <c r="T387" i="8"/>
  <c r="A388" i="8"/>
  <c r="N388" i="8" l="1"/>
  <c r="M388" i="8"/>
  <c r="T388" i="8"/>
  <c r="A389" i="8"/>
  <c r="N389" i="8" l="1"/>
  <c r="M389" i="8"/>
  <c r="T389" i="8"/>
  <c r="A390" i="8"/>
  <c r="N390" i="8" l="1"/>
  <c r="M390" i="8"/>
  <c r="T390" i="8"/>
  <c r="A391" i="8"/>
  <c r="N391" i="8" l="1"/>
  <c r="M391" i="8"/>
  <c r="T391" i="8"/>
  <c r="A392" i="8"/>
  <c r="M392" i="8" l="1"/>
  <c r="N392" i="8"/>
  <c r="T392" i="8"/>
  <c r="A393" i="8"/>
  <c r="N393" i="8" l="1"/>
  <c r="M393" i="8"/>
  <c r="T393" i="8"/>
  <c r="A394" i="8"/>
  <c r="M394" i="8" l="1"/>
  <c r="N394" i="8"/>
  <c r="T394" i="8"/>
  <c r="A395" i="8"/>
  <c r="N395" i="8" l="1"/>
  <c r="M395" i="8"/>
  <c r="T395" i="8"/>
  <c r="A396" i="8"/>
  <c r="N396" i="8" l="1"/>
  <c r="M396" i="8"/>
  <c r="T396" i="8"/>
  <c r="A397" i="8"/>
  <c r="N397" i="8" l="1"/>
  <c r="M397" i="8"/>
  <c r="T397" i="8"/>
  <c r="A398" i="8"/>
  <c r="M398" i="8" l="1"/>
  <c r="N398" i="8"/>
  <c r="T398" i="8"/>
  <c r="A399" i="8"/>
  <c r="N399" i="8" l="1"/>
  <c r="M399" i="8"/>
  <c r="T399" i="8"/>
  <c r="A400" i="8"/>
  <c r="N400" i="8" l="1"/>
  <c r="M400" i="8"/>
  <c r="T400" i="8"/>
  <c r="A401" i="8"/>
  <c r="N401" i="8" l="1"/>
  <c r="M401" i="8"/>
  <c r="T401" i="8"/>
  <c r="A402" i="8"/>
  <c r="M402" i="8" l="1"/>
  <c r="N402" i="8"/>
  <c r="T402" i="8"/>
  <c r="A403" i="8"/>
  <c r="N403" i="8" l="1"/>
  <c r="M403" i="8"/>
  <c r="T403" i="8"/>
  <c r="A404" i="8"/>
  <c r="N404" i="8" l="1"/>
  <c r="M404" i="8"/>
  <c r="T404" i="8"/>
  <c r="A405" i="8"/>
  <c r="N405" i="8" l="1"/>
  <c r="M405" i="8"/>
  <c r="T405" i="8"/>
  <c r="A406" i="8"/>
  <c r="N406" i="8" l="1"/>
  <c r="M406" i="8"/>
  <c r="T406" i="8"/>
  <c r="A407" i="8"/>
  <c r="N407" i="8" l="1"/>
  <c r="M407" i="8"/>
  <c r="T407" i="8"/>
  <c r="A408" i="8"/>
  <c r="N408" i="8" l="1"/>
  <c r="M408" i="8"/>
  <c r="T408" i="8"/>
  <c r="A409" i="8"/>
  <c r="N409" i="8" l="1"/>
  <c r="M409" i="8"/>
  <c r="T409" i="8"/>
  <c r="A410" i="8"/>
  <c r="N410" i="8" l="1"/>
  <c r="M410" i="8"/>
  <c r="T410" i="8"/>
  <c r="A411" i="8"/>
  <c r="N411" i="8" l="1"/>
  <c r="M411" i="8"/>
  <c r="T411" i="8"/>
  <c r="A412" i="8"/>
  <c r="N412" i="8" l="1"/>
  <c r="M412" i="8"/>
  <c r="T412" i="8"/>
  <c r="A413" i="8"/>
  <c r="N413" i="8" l="1"/>
  <c r="M413" i="8"/>
  <c r="T413" i="8"/>
  <c r="A414" i="8"/>
  <c r="N414" i="8" l="1"/>
  <c r="M414" i="8"/>
  <c r="T414" i="8"/>
  <c r="A415" i="8"/>
  <c r="N415" i="8" l="1"/>
  <c r="M415" i="8"/>
  <c r="T415" i="8"/>
  <c r="A416" i="8"/>
  <c r="N416" i="8" l="1"/>
  <c r="M416" i="8"/>
  <c r="T416" i="8"/>
  <c r="A417" i="8"/>
  <c r="N417" i="8" l="1"/>
  <c r="M417" i="8"/>
  <c r="T417" i="8"/>
  <c r="A418" i="8"/>
  <c r="N418" i="8" l="1"/>
  <c r="M418" i="8"/>
  <c r="T418" i="8"/>
  <c r="A419" i="8"/>
  <c r="N419" i="8" l="1"/>
  <c r="M419" i="8"/>
  <c r="T419" i="8"/>
  <c r="A420" i="8"/>
  <c r="N420" i="8" l="1"/>
  <c r="M420" i="8"/>
  <c r="T420" i="8"/>
  <c r="A421" i="8"/>
  <c r="N421" i="8" l="1"/>
  <c r="M421" i="8"/>
  <c r="T421" i="8"/>
  <c r="A422" i="8"/>
  <c r="N422" i="8" l="1"/>
  <c r="M422" i="8"/>
  <c r="T422" i="8"/>
  <c r="A423" i="8"/>
  <c r="N423" i="8" l="1"/>
  <c r="M423" i="8"/>
  <c r="T423" i="8"/>
  <c r="A424" i="8"/>
  <c r="N424" i="8" l="1"/>
  <c r="M424" i="8"/>
  <c r="T424" i="8"/>
  <c r="A425" i="8"/>
  <c r="N425" i="8" l="1"/>
  <c r="M425" i="8"/>
  <c r="T425" i="8"/>
  <c r="A426" i="8"/>
  <c r="N426" i="8" l="1"/>
  <c r="M426" i="8"/>
  <c r="T426" i="8"/>
  <c r="A427" i="8"/>
  <c r="N427" i="8" l="1"/>
  <c r="M427" i="8"/>
  <c r="T427" i="8"/>
  <c r="A428" i="8"/>
  <c r="N428" i="8" l="1"/>
  <c r="M428" i="8"/>
  <c r="T428" i="8"/>
  <c r="A429" i="8"/>
  <c r="M429" i="8" l="1"/>
  <c r="N429" i="8"/>
  <c r="T429" i="8"/>
  <c r="A430" i="8"/>
  <c r="M430" i="8" l="1"/>
  <c r="N430" i="8"/>
  <c r="T430" i="8"/>
  <c r="A431" i="8"/>
  <c r="N431" i="8" l="1"/>
  <c r="M431" i="8"/>
  <c r="T431" i="8"/>
  <c r="A432" i="8"/>
  <c r="M432" i="8" l="1"/>
  <c r="N432" i="8"/>
  <c r="T432" i="8"/>
  <c r="A433" i="8"/>
  <c r="N433" i="8" l="1"/>
  <c r="M433" i="8"/>
  <c r="T433" i="8"/>
  <c r="A434" i="8"/>
  <c r="N434" i="8" l="1"/>
  <c r="M434" i="8"/>
  <c r="T434" i="8"/>
  <c r="A435" i="8"/>
  <c r="N435" i="8" l="1"/>
  <c r="M435" i="8"/>
  <c r="T435" i="8"/>
  <c r="A436" i="8"/>
  <c r="M436" i="8" l="1"/>
  <c r="N436" i="8"/>
  <c r="T436" i="8"/>
  <c r="A437" i="8"/>
  <c r="N437" i="8" l="1"/>
  <c r="M437" i="8"/>
  <c r="T437" i="8"/>
  <c r="A438" i="8"/>
  <c r="M438" i="8" l="1"/>
  <c r="N438" i="8"/>
  <c r="T438" i="8"/>
  <c r="A439" i="8"/>
  <c r="M439" i="8" l="1"/>
  <c r="N439" i="8"/>
  <c r="T439" i="8"/>
  <c r="A440" i="8"/>
  <c r="N440" i="8" l="1"/>
  <c r="M440" i="8"/>
  <c r="T440" i="8"/>
  <c r="A441" i="8"/>
  <c r="M441" i="8" l="1"/>
  <c r="N441" i="8"/>
  <c r="T441" i="8"/>
  <c r="A442" i="8"/>
  <c r="N442" i="8" l="1"/>
  <c r="M442" i="8"/>
  <c r="T442" i="8"/>
  <c r="A443" i="8"/>
  <c r="N443" i="8" l="1"/>
  <c r="M443" i="8"/>
  <c r="T443" i="8"/>
  <c r="A444" i="8"/>
  <c r="N444" i="8" l="1"/>
  <c r="M444" i="8"/>
  <c r="T444" i="8"/>
  <c r="A445" i="8"/>
  <c r="N445" i="8" l="1"/>
  <c r="M445" i="8"/>
  <c r="T445" i="8"/>
  <c r="A446" i="8"/>
  <c r="N446" i="8" l="1"/>
  <c r="M446" i="8"/>
  <c r="T446" i="8"/>
  <c r="A447" i="8"/>
  <c r="N447" i="8" l="1"/>
  <c r="M447" i="8"/>
  <c r="T447" i="8"/>
  <c r="A448" i="8"/>
  <c r="N448" i="8" l="1"/>
  <c r="M448" i="8"/>
  <c r="T448" i="8"/>
  <c r="A449" i="8"/>
  <c r="N449" i="8" l="1"/>
  <c r="M449" i="8"/>
  <c r="T449" i="8"/>
  <c r="A450" i="8"/>
  <c r="N450" i="8" l="1"/>
  <c r="M450" i="8"/>
  <c r="T450" i="8"/>
  <c r="A451" i="8"/>
  <c r="N451" i="8" l="1"/>
  <c r="M451" i="8"/>
  <c r="T451" i="8"/>
  <c r="A452" i="8"/>
  <c r="M452" i="8" l="1"/>
  <c r="N452" i="8"/>
  <c r="T452" i="8"/>
  <c r="A453" i="8"/>
  <c r="N453" i="8" l="1"/>
  <c r="M453" i="8"/>
  <c r="T453" i="8"/>
  <c r="A454" i="8"/>
  <c r="N454" i="8" l="1"/>
  <c r="M454" i="8"/>
  <c r="T454" i="8"/>
  <c r="A455" i="8"/>
  <c r="N455" i="8" l="1"/>
  <c r="M455" i="8"/>
  <c r="T455" i="8"/>
  <c r="A456" i="8"/>
  <c r="M456" i="8" l="1"/>
  <c r="N456" i="8"/>
  <c r="T456" i="8"/>
  <c r="A457" i="8"/>
  <c r="N457" i="8" l="1"/>
  <c r="M457" i="8"/>
  <c r="T457" i="8"/>
  <c r="A458" i="8"/>
  <c r="N458" i="8" l="1"/>
  <c r="M458" i="8"/>
  <c r="T458" i="8"/>
  <c r="A459" i="8"/>
  <c r="N459" i="8" l="1"/>
  <c r="M459" i="8"/>
  <c r="T459" i="8"/>
  <c r="A460" i="8"/>
  <c r="N460" i="8" l="1"/>
  <c r="M460" i="8"/>
  <c r="T460" i="8"/>
  <c r="A461" i="8"/>
  <c r="N461" i="8" l="1"/>
  <c r="M461" i="8"/>
  <c r="T461" i="8"/>
  <c r="A462" i="8"/>
  <c r="N462" i="8" l="1"/>
  <c r="M462" i="8"/>
  <c r="T462" i="8"/>
  <c r="A463" i="8"/>
  <c r="N463" i="8" l="1"/>
  <c r="M463" i="8"/>
  <c r="T463" i="8"/>
  <c r="A464" i="8"/>
  <c r="N464" i="8" l="1"/>
  <c r="M464" i="8"/>
  <c r="T464" i="8"/>
  <c r="A465" i="8"/>
  <c r="N465" i="8" l="1"/>
  <c r="M465" i="8"/>
  <c r="T465" i="8"/>
  <c r="A466" i="8"/>
  <c r="M466" i="8" l="1"/>
  <c r="N466" i="8"/>
  <c r="T466" i="8"/>
  <c r="A467" i="8"/>
  <c r="N467" i="8" l="1"/>
  <c r="M467" i="8"/>
  <c r="T467" i="8"/>
  <c r="A468" i="8"/>
  <c r="N468" i="8" l="1"/>
  <c r="M468" i="8"/>
  <c r="T468" i="8"/>
  <c r="A469" i="8"/>
  <c r="M469" i="8" l="1"/>
  <c r="N469" i="8"/>
  <c r="T469" i="8"/>
  <c r="A470" i="8"/>
  <c r="N470" i="8" l="1"/>
  <c r="M470" i="8"/>
  <c r="T470" i="8"/>
  <c r="A471" i="8"/>
  <c r="N471" i="8" l="1"/>
  <c r="M471" i="8"/>
  <c r="T471" i="8"/>
  <c r="A472" i="8"/>
  <c r="N472" i="8" l="1"/>
  <c r="M472" i="8"/>
  <c r="T472" i="8"/>
  <c r="A473" i="8"/>
  <c r="N473" i="8" l="1"/>
  <c r="M473" i="8"/>
  <c r="T473" i="8"/>
  <c r="A474" i="8"/>
  <c r="N474" i="8" l="1"/>
  <c r="M474" i="8"/>
  <c r="T474" i="8"/>
  <c r="A475" i="8"/>
  <c r="N475" i="8" l="1"/>
  <c r="M475" i="8"/>
  <c r="T475" i="8"/>
  <c r="A476" i="8"/>
  <c r="N476" i="8" l="1"/>
  <c r="M476" i="8"/>
  <c r="T476" i="8"/>
  <c r="A477" i="8"/>
  <c r="N477" i="8" l="1"/>
  <c r="M477" i="8"/>
  <c r="T477" i="8"/>
  <c r="A478" i="8"/>
  <c r="N478" i="8" l="1"/>
  <c r="M478" i="8"/>
  <c r="T478" i="8"/>
  <c r="A479" i="8"/>
  <c r="N479" i="8" l="1"/>
  <c r="M479" i="8"/>
  <c r="T479" i="8"/>
  <c r="A480" i="8"/>
  <c r="N480" i="8" l="1"/>
  <c r="M480" i="8"/>
  <c r="T480" i="8"/>
  <c r="A481" i="8"/>
  <c r="N481" i="8" l="1"/>
  <c r="M481" i="8"/>
  <c r="T481" i="8"/>
  <c r="A482" i="8"/>
  <c r="N482" i="8" l="1"/>
  <c r="M482" i="8"/>
  <c r="T482" i="8"/>
  <c r="A483" i="8"/>
  <c r="N483" i="8" l="1"/>
  <c r="M483" i="8"/>
  <c r="T483" i="8"/>
  <c r="A484" i="8"/>
  <c r="N484" i="8" l="1"/>
  <c r="M484" i="8"/>
  <c r="T484" i="8"/>
  <c r="A485" i="8"/>
  <c r="N485" i="8" l="1"/>
  <c r="M485" i="8"/>
  <c r="T485" i="8"/>
  <c r="A486" i="8"/>
  <c r="N486" i="8" l="1"/>
  <c r="M486" i="8"/>
  <c r="T486" i="8"/>
  <c r="A487" i="8"/>
  <c r="N487" i="8" l="1"/>
  <c r="M487" i="8"/>
  <c r="T487" i="8"/>
  <c r="A488" i="8"/>
  <c r="N488" i="8" l="1"/>
  <c r="M488" i="8"/>
  <c r="T488" i="8"/>
  <c r="A489" i="8"/>
  <c r="N489" i="8" l="1"/>
  <c r="M489" i="8"/>
  <c r="T489" i="8"/>
  <c r="A490" i="8"/>
  <c r="N490" i="8" l="1"/>
  <c r="M490" i="8"/>
  <c r="T490" i="8"/>
  <c r="A491" i="8"/>
  <c r="N491" i="8" l="1"/>
  <c r="M491" i="8"/>
  <c r="T491" i="8"/>
  <c r="A492" i="8"/>
  <c r="N492" i="8" l="1"/>
  <c r="M492" i="8"/>
  <c r="T492" i="8"/>
  <c r="A493" i="8"/>
  <c r="N493" i="8" l="1"/>
  <c r="M493" i="8"/>
  <c r="T493" i="8"/>
  <c r="A494" i="8"/>
  <c r="M494" i="8" l="1"/>
  <c r="N494" i="8"/>
  <c r="T494" i="8"/>
  <c r="A495" i="8"/>
  <c r="N495" i="8" l="1"/>
  <c r="M495" i="8"/>
  <c r="T495" i="8"/>
  <c r="A496" i="8"/>
  <c r="N496" i="8" l="1"/>
  <c r="M496" i="8"/>
  <c r="T496" i="8"/>
  <c r="A497" i="8"/>
  <c r="M497" i="8" l="1"/>
  <c r="N497" i="8"/>
  <c r="T497" i="8"/>
  <c r="A498" i="8"/>
  <c r="N498" i="8" l="1"/>
  <c r="M498" i="8"/>
  <c r="T498" i="8"/>
  <c r="A499" i="8"/>
  <c r="N499" i="8" l="1"/>
  <c r="M499" i="8"/>
  <c r="T499" i="8"/>
  <c r="A500" i="8"/>
  <c r="N500" i="8" l="1"/>
  <c r="M500" i="8"/>
  <c r="T500" i="8"/>
  <c r="A501" i="8"/>
  <c r="N501" i="8" l="1"/>
  <c r="M501" i="8"/>
  <c r="T501" i="8"/>
  <c r="A502" i="8"/>
  <c r="N502" i="8" l="1"/>
  <c r="M502" i="8"/>
  <c r="T502" i="8"/>
  <c r="A503" i="8"/>
  <c r="N503" i="8" l="1"/>
  <c r="M503" i="8"/>
  <c r="T503" i="8"/>
  <c r="A504" i="8"/>
  <c r="N504" i="8" l="1"/>
  <c r="M504" i="8"/>
  <c r="T504" i="8"/>
  <c r="A505" i="8"/>
  <c r="N505" i="8" l="1"/>
  <c r="M505" i="8"/>
  <c r="T505" i="8"/>
  <c r="A506" i="8"/>
  <c r="N506" i="8" l="1"/>
  <c r="M506" i="8"/>
  <c r="T506" i="8"/>
  <c r="A507" i="8"/>
  <c r="N507" i="8" l="1"/>
  <c r="M507" i="8"/>
  <c r="T507" i="8"/>
  <c r="A508" i="8"/>
  <c r="N508" i="8" l="1"/>
  <c r="M508" i="8"/>
  <c r="T508" i="8"/>
  <c r="A509" i="8"/>
  <c r="N509" i="8" l="1"/>
  <c r="M509" i="8"/>
  <c r="T509" i="8"/>
  <c r="A510" i="8"/>
  <c r="N510" i="8" l="1"/>
  <c r="M510" i="8"/>
  <c r="T510" i="8"/>
  <c r="A511" i="8"/>
  <c r="N511" i="8" l="1"/>
  <c r="M511" i="8"/>
  <c r="T511" i="8"/>
  <c r="A512" i="8"/>
  <c r="N512" i="8" l="1"/>
  <c r="M512" i="8"/>
  <c r="T512" i="8"/>
  <c r="A513" i="8"/>
  <c r="N513" i="8" l="1"/>
  <c r="M513" i="8"/>
  <c r="T513" i="8"/>
  <c r="A514" i="8"/>
  <c r="N514" i="8" l="1"/>
  <c r="M514" i="8"/>
  <c r="T514" i="8"/>
  <c r="A515" i="8"/>
  <c r="N515" i="8" l="1"/>
  <c r="M515" i="8"/>
  <c r="T515" i="8"/>
  <c r="A516" i="8"/>
  <c r="N516" i="8" l="1"/>
  <c r="M516" i="8"/>
  <c r="T516" i="8"/>
  <c r="A517" i="8"/>
  <c r="M517" i="8" l="1"/>
  <c r="N517" i="8"/>
  <c r="T517" i="8"/>
  <c r="A518" i="8"/>
  <c r="N518" i="8" l="1"/>
  <c r="M518" i="8"/>
  <c r="T518" i="8"/>
  <c r="A519" i="8"/>
  <c r="N519" i="8" l="1"/>
  <c r="M519" i="8"/>
  <c r="T519" i="8"/>
  <c r="A520" i="8"/>
  <c r="M520" i="8" l="1"/>
  <c r="N520" i="8"/>
  <c r="T520" i="8"/>
  <c r="A521" i="8"/>
  <c r="N521" i="8" l="1"/>
  <c r="M521" i="8"/>
  <c r="T521" i="8"/>
  <c r="A522" i="8"/>
  <c r="M522" i="8" l="1"/>
  <c r="N522" i="8"/>
  <c r="T522" i="8"/>
  <c r="A523" i="8"/>
  <c r="M523" i="8" l="1"/>
  <c r="N523" i="8"/>
  <c r="T523" i="8"/>
  <c r="A524" i="8"/>
  <c r="N524" i="8" l="1"/>
  <c r="M524" i="8"/>
  <c r="T524" i="8"/>
  <c r="A525" i="8"/>
  <c r="M525" i="8" l="1"/>
  <c r="N525" i="8"/>
  <c r="T525" i="8"/>
  <c r="A526" i="8"/>
  <c r="N526" i="8" l="1"/>
  <c r="M526" i="8"/>
  <c r="T526" i="8"/>
  <c r="A527" i="8"/>
  <c r="N527" i="8" l="1"/>
  <c r="M527" i="8"/>
  <c r="T527" i="8"/>
  <c r="A528" i="8"/>
  <c r="N528" i="8" l="1"/>
  <c r="M528" i="8"/>
  <c r="T528" i="8"/>
  <c r="A529" i="8"/>
  <c r="N529" i="8" l="1"/>
  <c r="M529" i="8"/>
  <c r="T529" i="8"/>
  <c r="A530" i="8"/>
  <c r="M530" i="8" l="1"/>
  <c r="N530" i="8"/>
  <c r="T530" i="8"/>
  <c r="A531" i="8"/>
  <c r="N531" i="8" l="1"/>
  <c r="M531" i="8"/>
  <c r="T531" i="8"/>
  <c r="A532" i="8"/>
  <c r="N532" i="8" l="1"/>
  <c r="M532" i="8"/>
  <c r="T532" i="8"/>
  <c r="A533" i="8"/>
  <c r="N533" i="8" l="1"/>
  <c r="M533" i="8"/>
  <c r="T533" i="8"/>
  <c r="A534" i="8"/>
  <c r="N534" i="8" l="1"/>
  <c r="M534" i="8"/>
  <c r="T534" i="8"/>
  <c r="A535" i="8"/>
  <c r="N535" i="8" l="1"/>
  <c r="M535" i="8"/>
  <c r="T535" i="8"/>
  <c r="A536" i="8"/>
  <c r="M536" i="8" l="1"/>
  <c r="N536" i="8"/>
  <c r="T536" i="8"/>
  <c r="A537" i="8"/>
  <c r="N537" i="8" l="1"/>
  <c r="M537" i="8"/>
  <c r="T537" i="8"/>
  <c r="A538" i="8"/>
  <c r="N538" i="8" l="1"/>
  <c r="M538" i="8"/>
  <c r="T538" i="8"/>
  <c r="A539" i="8"/>
  <c r="N539" i="8" l="1"/>
  <c r="M539" i="8"/>
  <c r="T539" i="8"/>
  <c r="A540" i="8"/>
  <c r="N540" i="8" l="1"/>
  <c r="M540" i="8"/>
  <c r="T540" i="8"/>
  <c r="A541" i="8"/>
  <c r="N541" i="8" l="1"/>
  <c r="M541" i="8"/>
  <c r="T541" i="8"/>
  <c r="A542" i="8"/>
  <c r="N542" i="8" l="1"/>
  <c r="M542" i="8"/>
  <c r="T542" i="8"/>
  <c r="A543" i="8"/>
  <c r="N543" i="8" l="1"/>
  <c r="M543" i="8"/>
  <c r="T543" i="8"/>
  <c r="A544" i="8"/>
  <c r="N544" i="8" l="1"/>
  <c r="M544" i="8"/>
  <c r="T544" i="8"/>
  <c r="A545" i="8"/>
  <c r="M545" i="8" l="1"/>
  <c r="N545" i="8"/>
  <c r="T545" i="8"/>
  <c r="A546" i="8"/>
  <c r="N546" i="8" l="1"/>
  <c r="M546" i="8"/>
  <c r="T546" i="8"/>
  <c r="A547" i="8"/>
  <c r="N547" i="8" l="1"/>
  <c r="M547" i="8"/>
  <c r="T547" i="8"/>
  <c r="A548" i="8"/>
  <c r="N548" i="8" l="1"/>
  <c r="M548" i="8"/>
  <c r="T548" i="8"/>
  <c r="A549" i="8"/>
  <c r="N549" i="8" l="1"/>
  <c r="M549" i="8"/>
  <c r="T549" i="8"/>
  <c r="A550" i="8"/>
  <c r="N550" i="8" l="1"/>
  <c r="M550" i="8"/>
  <c r="T550" i="8"/>
  <c r="A551" i="8"/>
  <c r="N551" i="8" l="1"/>
  <c r="M551" i="8"/>
  <c r="T551" i="8"/>
  <c r="A552" i="8"/>
  <c r="M552" i="8" l="1"/>
  <c r="N552" i="8"/>
  <c r="T552" i="8"/>
  <c r="A553" i="8"/>
  <c r="M553" i="8" l="1"/>
  <c r="N553" i="8"/>
  <c r="T553" i="8"/>
  <c r="A554" i="8"/>
  <c r="N554" i="8" l="1"/>
  <c r="M554" i="8"/>
  <c r="T554" i="8"/>
  <c r="A555" i="8"/>
  <c r="N555" i="8" l="1"/>
  <c r="M555" i="8"/>
  <c r="T555" i="8"/>
  <c r="A556" i="8"/>
  <c r="N556" i="8" l="1"/>
  <c r="M556" i="8"/>
  <c r="T556" i="8"/>
  <c r="A557" i="8"/>
  <c r="N557" i="8" l="1"/>
  <c r="M557" i="8"/>
  <c r="T557" i="8"/>
  <c r="A558" i="8"/>
  <c r="N558" i="8" l="1"/>
  <c r="M558" i="8"/>
  <c r="T558" i="8"/>
  <c r="A559" i="8"/>
  <c r="N559" i="8" l="1"/>
  <c r="M559" i="8"/>
  <c r="T559" i="8"/>
  <c r="A560" i="8"/>
  <c r="N560" i="8" l="1"/>
  <c r="M560" i="8"/>
  <c r="T560" i="8"/>
  <c r="A561" i="8"/>
  <c r="N561" i="8" l="1"/>
  <c r="M561" i="8"/>
  <c r="T561" i="8"/>
  <c r="A562" i="8"/>
  <c r="N562" i="8" l="1"/>
  <c r="M562" i="8"/>
  <c r="T562" i="8"/>
  <c r="A563" i="8"/>
  <c r="N563" i="8" l="1"/>
  <c r="M563" i="8"/>
  <c r="T563" i="8"/>
  <c r="A564" i="8"/>
  <c r="N564" i="8" l="1"/>
  <c r="M564" i="8"/>
  <c r="T564" i="8"/>
  <c r="A565" i="8"/>
  <c r="N565" i="8" l="1"/>
  <c r="M565" i="8"/>
  <c r="T565" i="8"/>
  <c r="A566" i="8"/>
  <c r="N566" i="8" l="1"/>
  <c r="M566" i="8"/>
  <c r="T566" i="8"/>
  <c r="A567" i="8"/>
  <c r="M567" i="8" l="1"/>
  <c r="N567" i="8"/>
  <c r="T567" i="8"/>
  <c r="A568" i="8"/>
  <c r="N568" i="8" l="1"/>
  <c r="M568" i="8"/>
  <c r="T568" i="8"/>
  <c r="A569" i="8"/>
  <c r="N569" i="8" l="1"/>
  <c r="M569" i="8"/>
  <c r="T569" i="8"/>
  <c r="A570" i="8"/>
  <c r="N570" i="8" l="1"/>
  <c r="M570" i="8"/>
  <c r="T570" i="8"/>
  <c r="A571" i="8"/>
  <c r="N571" i="8" l="1"/>
  <c r="M571" i="8"/>
  <c r="T571" i="8"/>
  <c r="A572" i="8"/>
  <c r="N572" i="8" l="1"/>
  <c r="M572" i="8"/>
  <c r="T572" i="8"/>
  <c r="A573" i="8"/>
  <c r="N573" i="8" l="1"/>
  <c r="M573" i="8"/>
  <c r="T573" i="8"/>
  <c r="A574" i="8"/>
  <c r="N574" i="8" l="1"/>
  <c r="M574" i="8"/>
  <c r="T574" i="8"/>
  <c r="A575" i="8"/>
  <c r="N575" i="8" l="1"/>
  <c r="M575" i="8"/>
  <c r="T575" i="8"/>
  <c r="A576" i="8"/>
  <c r="N576" i="8" l="1"/>
  <c r="M576" i="8"/>
  <c r="T576" i="8"/>
  <c r="A577" i="8"/>
  <c r="M577" i="8" l="1"/>
  <c r="N577" i="8"/>
  <c r="T577" i="8"/>
  <c r="A578" i="8"/>
  <c r="N578" i="8" l="1"/>
  <c r="M578" i="8"/>
  <c r="T578" i="8"/>
  <c r="A579" i="8"/>
  <c r="N579" i="8" l="1"/>
  <c r="M579" i="8"/>
  <c r="T579" i="8"/>
  <c r="A580" i="8"/>
  <c r="N580" i="8" l="1"/>
  <c r="M580" i="8"/>
  <c r="T580" i="8"/>
  <c r="A581" i="8"/>
  <c r="M581" i="8" l="1"/>
  <c r="N581" i="8"/>
  <c r="T581" i="8"/>
  <c r="A582" i="8"/>
  <c r="N582" i="8" l="1"/>
  <c r="M582" i="8"/>
  <c r="T582" i="8"/>
  <c r="A583" i="8"/>
  <c r="N583" i="8" l="1"/>
  <c r="M583" i="8"/>
  <c r="T583" i="8"/>
  <c r="A584" i="8"/>
  <c r="N584" i="8" l="1"/>
  <c r="M584" i="8"/>
  <c r="T584" i="8"/>
  <c r="A585" i="8"/>
  <c r="M585" i="8" l="1"/>
  <c r="N585" i="8"/>
  <c r="T585" i="8"/>
  <c r="A586" i="8"/>
  <c r="N586" i="8" l="1"/>
  <c r="M586" i="8"/>
  <c r="T586" i="8"/>
  <c r="A587" i="8"/>
  <c r="N587" i="8" l="1"/>
  <c r="M587" i="8"/>
  <c r="T587" i="8"/>
  <c r="A588" i="8"/>
  <c r="N588" i="8" l="1"/>
  <c r="M588" i="8"/>
  <c r="T588" i="8"/>
  <c r="A589" i="8"/>
  <c r="N589" i="8" l="1"/>
  <c r="M589" i="8"/>
  <c r="T589" i="8"/>
  <c r="A590" i="8"/>
  <c r="N590" i="8" l="1"/>
  <c r="M590" i="8"/>
  <c r="T590" i="8"/>
  <c r="A591" i="8"/>
  <c r="N591" i="8" l="1"/>
  <c r="M591" i="8"/>
  <c r="T591" i="8"/>
  <c r="A592" i="8"/>
  <c r="N592" i="8" l="1"/>
  <c r="M592" i="8"/>
  <c r="T592" i="8"/>
  <c r="A593" i="8"/>
  <c r="N593" i="8" l="1"/>
  <c r="M593" i="8"/>
  <c r="T593" i="8"/>
  <c r="A594" i="8"/>
  <c r="N594" i="8" l="1"/>
  <c r="M594" i="8"/>
  <c r="T594" i="8"/>
  <c r="A595" i="8"/>
  <c r="N595" i="8" l="1"/>
  <c r="M595" i="8"/>
  <c r="T595" i="8"/>
  <c r="A596" i="8"/>
  <c r="M596" i="8" l="1"/>
  <c r="N596" i="8"/>
  <c r="T596" i="8"/>
  <c r="A597" i="8"/>
  <c r="N597" i="8" l="1"/>
  <c r="M597" i="8"/>
  <c r="T597" i="8"/>
  <c r="A598" i="8"/>
  <c r="N598" i="8" l="1"/>
  <c r="M598" i="8"/>
  <c r="T598" i="8"/>
  <c r="A599" i="8"/>
  <c r="N599" i="8" l="1"/>
  <c r="M599" i="8"/>
  <c r="T599" i="8"/>
  <c r="A600" i="8"/>
  <c r="N600" i="8" l="1"/>
  <c r="M600" i="8"/>
  <c r="T600" i="8"/>
  <c r="A601" i="8"/>
  <c r="N601" i="8" l="1"/>
  <c r="M601" i="8"/>
  <c r="T601" i="8"/>
  <c r="A602" i="8"/>
  <c r="N602" i="8" l="1"/>
  <c r="M602" i="8"/>
  <c r="T602" i="8"/>
  <c r="A603" i="8"/>
  <c r="N603" i="8" l="1"/>
  <c r="M603" i="8"/>
  <c r="T603" i="8"/>
  <c r="A604" i="8"/>
  <c r="N604" i="8" l="1"/>
  <c r="M604" i="8"/>
  <c r="T604" i="8"/>
  <c r="A605" i="8"/>
  <c r="N605" i="8" l="1"/>
  <c r="M605" i="8"/>
  <c r="T605" i="8"/>
  <c r="A606" i="8"/>
  <c r="N606" i="8" l="1"/>
  <c r="M606" i="8"/>
  <c r="T606" i="8"/>
  <c r="A607" i="8"/>
  <c r="N607" i="8" l="1"/>
  <c r="M607" i="8"/>
  <c r="T607" i="8"/>
  <c r="A608" i="8"/>
  <c r="M608" i="8" l="1"/>
  <c r="N608" i="8"/>
  <c r="T608" i="8"/>
  <c r="A609" i="8"/>
  <c r="N609" i="8" l="1"/>
  <c r="M609" i="8"/>
  <c r="T609" i="8"/>
  <c r="A610" i="8"/>
  <c r="N610" i="8" l="1"/>
  <c r="M610" i="8"/>
  <c r="T610" i="8"/>
  <c r="A611" i="8"/>
  <c r="M611" i="8" l="1"/>
  <c r="N611" i="8"/>
  <c r="T611" i="8"/>
  <c r="A612" i="8"/>
  <c r="M612" i="8" l="1"/>
  <c r="N612" i="8"/>
  <c r="T612" i="8"/>
  <c r="A613" i="8"/>
  <c r="N613" i="8" l="1"/>
  <c r="M613" i="8"/>
  <c r="T613" i="8"/>
  <c r="A614" i="8"/>
  <c r="M614" i="8" l="1"/>
  <c r="N614" i="8"/>
  <c r="T614" i="8"/>
  <c r="A615" i="8"/>
  <c r="N615" i="8" l="1"/>
  <c r="M615" i="8"/>
  <c r="T615" i="8"/>
  <c r="A616" i="8"/>
  <c r="M616" i="8" l="1"/>
  <c r="N616" i="8"/>
  <c r="T616" i="8"/>
  <c r="A617" i="8"/>
  <c r="M617" i="8" l="1"/>
  <c r="N617" i="8"/>
  <c r="T617" i="8"/>
  <c r="A618" i="8"/>
  <c r="N618" i="8" l="1"/>
  <c r="M618" i="8"/>
  <c r="T618" i="8"/>
  <c r="A619" i="8"/>
  <c r="N619" i="8" l="1"/>
  <c r="M619" i="8"/>
  <c r="T619" i="8"/>
  <c r="A620" i="8"/>
  <c r="N620" i="8" l="1"/>
  <c r="M620" i="8"/>
  <c r="T620" i="8"/>
  <c r="A621" i="8"/>
  <c r="N621" i="8" l="1"/>
  <c r="M621" i="8"/>
  <c r="T621" i="8"/>
  <c r="A622" i="8"/>
  <c r="N622" i="8" l="1"/>
  <c r="M622" i="8"/>
  <c r="T622" i="8"/>
  <c r="A623" i="8"/>
  <c r="N623" i="8" l="1"/>
  <c r="M623" i="8"/>
  <c r="T623" i="8"/>
  <c r="A624" i="8"/>
  <c r="N624" i="8" l="1"/>
  <c r="M624" i="8"/>
  <c r="T624" i="8"/>
  <c r="A625" i="8"/>
  <c r="N625" i="8" l="1"/>
  <c r="M625" i="8"/>
  <c r="T625" i="8"/>
  <c r="A626" i="8"/>
  <c r="N626" i="8" l="1"/>
  <c r="M626" i="8"/>
  <c r="T626" i="8"/>
  <c r="A627" i="8"/>
  <c r="N627" i="8" l="1"/>
  <c r="M627" i="8"/>
  <c r="T627" i="8"/>
  <c r="A628" i="8"/>
  <c r="N628" i="8" l="1"/>
  <c r="M628" i="8"/>
  <c r="T628" i="8"/>
  <c r="A629" i="8"/>
  <c r="N629" i="8" l="1"/>
  <c r="M629" i="8"/>
  <c r="T629" i="8"/>
  <c r="A630" i="8"/>
  <c r="N630" i="8" l="1"/>
  <c r="M630" i="8"/>
  <c r="T630" i="8"/>
  <c r="A631" i="8"/>
  <c r="N631" i="8" l="1"/>
  <c r="M631" i="8"/>
  <c r="T631" i="8"/>
  <c r="A632" i="8"/>
  <c r="N632" i="8" l="1"/>
  <c r="M632" i="8"/>
  <c r="T632" i="8"/>
  <c r="A633" i="8"/>
  <c r="N633" i="8" l="1"/>
  <c r="M633" i="8"/>
  <c r="T633" i="8"/>
  <c r="A634" i="8"/>
  <c r="N634" i="8" l="1"/>
  <c r="M634" i="8"/>
  <c r="T634" i="8"/>
  <c r="A635" i="8"/>
  <c r="N635" i="8" l="1"/>
  <c r="M635" i="8"/>
  <c r="T635" i="8"/>
  <c r="A636" i="8"/>
  <c r="N636" i="8" l="1"/>
  <c r="M636" i="8"/>
  <c r="T636" i="8"/>
  <c r="A637" i="8"/>
  <c r="N637" i="8" l="1"/>
  <c r="M637" i="8"/>
  <c r="T637" i="8"/>
  <c r="A638" i="8"/>
  <c r="N638" i="8" l="1"/>
  <c r="M638" i="8"/>
  <c r="T638" i="8"/>
  <c r="A639" i="8"/>
  <c r="N639" i="8" l="1"/>
  <c r="M639" i="8"/>
  <c r="T639" i="8"/>
  <c r="A640" i="8"/>
  <c r="N640" i="8" l="1"/>
  <c r="M640" i="8"/>
  <c r="T640" i="8"/>
  <c r="A641" i="8"/>
  <c r="N641" i="8" l="1"/>
  <c r="M641" i="8"/>
  <c r="T641" i="8"/>
  <c r="A642" i="8"/>
  <c r="N642" i="8" l="1"/>
  <c r="M642" i="8"/>
  <c r="T642" i="8"/>
  <c r="A643" i="8"/>
  <c r="N643" i="8" l="1"/>
  <c r="M643" i="8"/>
  <c r="T643" i="8"/>
  <c r="A644" i="8"/>
  <c r="M644" i="8" l="1"/>
  <c r="N644" i="8"/>
  <c r="T644" i="8"/>
  <c r="A645" i="8"/>
  <c r="M645" i="8" l="1"/>
  <c r="N645" i="8"/>
  <c r="T645" i="8"/>
  <c r="A646" i="8"/>
  <c r="N646" i="8" l="1"/>
  <c r="M646" i="8"/>
  <c r="T646" i="8"/>
  <c r="A647" i="8"/>
  <c r="N647" i="8" l="1"/>
  <c r="M647" i="8"/>
  <c r="T647" i="8"/>
  <c r="A648" i="8"/>
  <c r="N648" i="8" l="1"/>
  <c r="M648" i="8"/>
  <c r="T648" i="8"/>
  <c r="A649" i="8"/>
  <c r="N649" i="8" l="1"/>
  <c r="M649" i="8"/>
  <c r="T649" i="8"/>
  <c r="A650" i="8"/>
  <c r="N650" i="8" l="1"/>
  <c r="M650" i="8"/>
  <c r="T650" i="8"/>
  <c r="A651" i="8"/>
  <c r="M651" i="8" l="1"/>
  <c r="N651" i="8"/>
  <c r="T651" i="8"/>
  <c r="A652" i="8"/>
  <c r="N652" i="8" l="1"/>
  <c r="M652" i="8"/>
  <c r="T652" i="8"/>
  <c r="A653" i="8"/>
  <c r="N653" i="8" l="1"/>
  <c r="M653" i="8"/>
  <c r="T653" i="8"/>
  <c r="A654" i="8"/>
  <c r="N654" i="8" l="1"/>
  <c r="M654" i="8"/>
  <c r="T654" i="8"/>
  <c r="A655" i="8"/>
  <c r="N655" i="8" l="1"/>
  <c r="M655" i="8"/>
  <c r="T655" i="8"/>
  <c r="A656" i="8"/>
  <c r="N656" i="8" l="1"/>
  <c r="M656" i="8"/>
  <c r="T656" i="8"/>
  <c r="A657" i="8"/>
  <c r="N657" i="8" l="1"/>
  <c r="M657" i="8"/>
  <c r="T657" i="8"/>
  <c r="A658" i="8"/>
  <c r="N658" i="8" l="1"/>
  <c r="M658" i="8"/>
  <c r="T658" i="8"/>
  <c r="A659" i="8"/>
  <c r="N659" i="8" l="1"/>
  <c r="M659" i="8"/>
  <c r="T659" i="8"/>
  <c r="A660" i="8"/>
  <c r="N660" i="8" l="1"/>
  <c r="M660" i="8"/>
  <c r="T660" i="8"/>
  <c r="A661" i="8"/>
  <c r="N661" i="8" l="1"/>
  <c r="M661" i="8"/>
  <c r="T661" i="8"/>
  <c r="A662" i="8"/>
  <c r="M662" i="8" l="1"/>
  <c r="N662" i="8"/>
  <c r="T662" i="8"/>
  <c r="A663" i="8"/>
  <c r="N663" i="8" l="1"/>
  <c r="M663" i="8"/>
  <c r="T663" i="8"/>
  <c r="A664" i="8"/>
  <c r="N664" i="8" l="1"/>
  <c r="M664" i="8"/>
  <c r="T664" i="8"/>
  <c r="A665" i="8"/>
  <c r="N665" i="8" l="1"/>
  <c r="M665" i="8"/>
  <c r="T665" i="8"/>
  <c r="A666" i="8"/>
  <c r="N666" i="8" l="1"/>
  <c r="M666" i="8"/>
  <c r="T666" i="8"/>
  <c r="A667" i="8"/>
  <c r="N667" i="8" l="1"/>
  <c r="M667" i="8"/>
  <c r="T667" i="8"/>
  <c r="A668" i="8"/>
  <c r="N668" i="8" l="1"/>
  <c r="M668" i="8"/>
  <c r="T668" i="8"/>
  <c r="A669" i="8"/>
  <c r="N669" i="8" l="1"/>
  <c r="M669" i="8"/>
  <c r="T669" i="8"/>
  <c r="A670" i="8"/>
  <c r="N670" i="8" l="1"/>
  <c r="M670" i="8"/>
  <c r="T670" i="8"/>
  <c r="A671" i="8"/>
  <c r="N671" i="8" l="1"/>
  <c r="M671" i="8"/>
  <c r="T671" i="8"/>
  <c r="A672" i="8"/>
  <c r="M672" i="8" l="1"/>
  <c r="N672" i="8"/>
  <c r="T672" i="8"/>
  <c r="A673" i="8"/>
  <c r="N673" i="8" l="1"/>
  <c r="M673" i="8"/>
  <c r="T673" i="8"/>
  <c r="A674" i="8"/>
  <c r="N674" i="8" l="1"/>
  <c r="M674" i="8"/>
  <c r="T674" i="8"/>
  <c r="A675" i="8"/>
  <c r="N675" i="8" l="1"/>
  <c r="M675" i="8"/>
  <c r="T675" i="8"/>
  <c r="A676" i="8"/>
  <c r="N676" i="8" l="1"/>
  <c r="M676" i="8"/>
  <c r="T676" i="8"/>
  <c r="A677" i="8"/>
  <c r="N677" i="8" l="1"/>
  <c r="M677" i="8"/>
  <c r="T677" i="8"/>
  <c r="A678" i="8"/>
  <c r="N678" i="8" l="1"/>
  <c r="M678" i="8"/>
  <c r="T678" i="8"/>
  <c r="A679" i="8"/>
  <c r="M679" i="8" l="1"/>
  <c r="N679" i="8"/>
  <c r="T679" i="8"/>
  <c r="A680" i="8"/>
  <c r="N680" i="8" l="1"/>
  <c r="M680" i="8"/>
  <c r="T680" i="8"/>
  <c r="A681" i="8"/>
  <c r="M681" i="8" l="1"/>
  <c r="N681" i="8"/>
  <c r="T681" i="8"/>
  <c r="A682" i="8"/>
  <c r="N682" i="8" l="1"/>
  <c r="M682" i="8"/>
  <c r="T682" i="8"/>
  <c r="A683" i="8"/>
  <c r="N683" i="8" l="1"/>
  <c r="M683" i="8"/>
  <c r="T683" i="8"/>
  <c r="A684" i="8"/>
  <c r="N684" i="8" l="1"/>
  <c r="M684" i="8"/>
  <c r="T684" i="8"/>
  <c r="A685" i="8"/>
  <c r="N685" i="8" l="1"/>
  <c r="M685" i="8"/>
  <c r="T685" i="8"/>
  <c r="A686" i="8"/>
  <c r="N686" i="8" l="1"/>
  <c r="M686" i="8"/>
  <c r="T686" i="8"/>
  <c r="A687" i="8"/>
  <c r="N687" i="8" l="1"/>
  <c r="M687" i="8"/>
  <c r="T687" i="8"/>
  <c r="A688" i="8"/>
  <c r="N688" i="8" l="1"/>
  <c r="M688" i="8"/>
  <c r="T688" i="8"/>
  <c r="A689" i="8"/>
  <c r="N689" i="8" l="1"/>
  <c r="M689" i="8"/>
  <c r="T689" i="8"/>
  <c r="A690" i="8"/>
  <c r="N690" i="8" l="1"/>
  <c r="M690" i="8"/>
  <c r="T690" i="8"/>
  <c r="A691" i="8"/>
  <c r="M691" i="8" l="1"/>
  <c r="N691" i="8"/>
  <c r="T691" i="8"/>
  <c r="A692" i="8"/>
  <c r="M692" i="8" l="1"/>
  <c r="N692" i="8"/>
  <c r="T692" i="8"/>
  <c r="A693" i="8"/>
  <c r="N693" i="8" l="1"/>
  <c r="M693" i="8"/>
  <c r="T693" i="8"/>
  <c r="A694" i="8"/>
  <c r="N694" i="8" l="1"/>
  <c r="M694" i="8"/>
  <c r="T694" i="8"/>
  <c r="A695" i="8"/>
  <c r="N695" i="8" l="1"/>
  <c r="M695" i="8"/>
  <c r="T695" i="8"/>
  <c r="A696" i="8"/>
  <c r="N696" i="8" l="1"/>
  <c r="M696" i="8"/>
  <c r="T696" i="8"/>
  <c r="A697" i="8"/>
  <c r="N697" i="8" l="1"/>
  <c r="M697" i="8"/>
  <c r="T697" i="8"/>
  <c r="A698" i="8"/>
  <c r="N698" i="8" l="1"/>
  <c r="M698" i="8"/>
  <c r="T698" i="8"/>
  <c r="A699" i="8"/>
  <c r="N699" i="8" l="1"/>
  <c r="M699" i="8"/>
  <c r="T699" i="8"/>
  <c r="A700" i="8"/>
  <c r="N700" i="8" l="1"/>
  <c r="M700" i="8"/>
  <c r="T700" i="8"/>
  <c r="A701" i="8"/>
  <c r="N701" i="8" l="1"/>
  <c r="M701" i="8"/>
  <c r="T701" i="8"/>
  <c r="A702" i="8"/>
  <c r="N702" i="8" l="1"/>
  <c r="M702" i="8"/>
  <c r="T702" i="8"/>
  <c r="A703" i="8"/>
  <c r="N703" i="8" l="1"/>
  <c r="M703" i="8"/>
  <c r="T703" i="8"/>
  <c r="A704" i="8"/>
  <c r="N704" i="8" l="1"/>
  <c r="M704" i="8"/>
  <c r="T704" i="8"/>
  <c r="A705" i="8"/>
  <c r="N705" i="8" l="1"/>
  <c r="M705" i="8"/>
  <c r="T705" i="8"/>
  <c r="A706" i="8"/>
  <c r="N706" i="8" l="1"/>
  <c r="M706" i="8"/>
  <c r="T706" i="8"/>
  <c r="A707" i="8"/>
  <c r="N707" i="8" l="1"/>
  <c r="M707" i="8"/>
  <c r="T707" i="8"/>
  <c r="A708" i="8"/>
  <c r="N708" i="8" l="1"/>
  <c r="M708" i="8"/>
  <c r="T708" i="8"/>
  <c r="A709" i="8"/>
  <c r="N709" i="8" l="1"/>
  <c r="M709" i="8"/>
  <c r="T709" i="8"/>
  <c r="A710" i="8"/>
  <c r="N710" i="8" l="1"/>
  <c r="M710" i="8"/>
  <c r="T710" i="8"/>
  <c r="A711" i="8"/>
  <c r="M711" i="8" l="1"/>
  <c r="N711" i="8"/>
  <c r="T711" i="8"/>
  <c r="A712" i="8"/>
  <c r="N712" i="8" l="1"/>
  <c r="M712" i="8"/>
  <c r="T712" i="8"/>
  <c r="A713" i="8"/>
  <c r="N713" i="8" l="1"/>
  <c r="M713" i="8"/>
  <c r="T713" i="8"/>
  <c r="A714" i="8"/>
  <c r="N714" i="8" l="1"/>
  <c r="M714" i="8"/>
  <c r="T714" i="8"/>
  <c r="A715" i="8"/>
  <c r="N715" i="8" l="1"/>
  <c r="M715" i="8"/>
  <c r="T715" i="8"/>
  <c r="A716" i="8"/>
  <c r="N716" i="8" l="1"/>
  <c r="M716" i="8"/>
  <c r="T716" i="8"/>
  <c r="A717" i="8"/>
  <c r="N717" i="8" l="1"/>
  <c r="M717" i="8"/>
  <c r="T717" i="8"/>
  <c r="A718" i="8"/>
  <c r="N718" i="8" l="1"/>
  <c r="M718" i="8"/>
  <c r="T718" i="8"/>
  <c r="A719" i="8"/>
  <c r="M719" i="8" l="1"/>
  <c r="N719" i="8"/>
  <c r="T719" i="8"/>
  <c r="A720" i="8"/>
  <c r="N720" i="8" l="1"/>
  <c r="M720" i="8"/>
  <c r="T720" i="8"/>
  <c r="A721" i="8"/>
  <c r="N721" i="8" l="1"/>
  <c r="M721" i="8"/>
  <c r="T721" i="8"/>
  <c r="A722" i="8"/>
  <c r="M722" i="8" l="1"/>
  <c r="N722" i="8"/>
  <c r="T722" i="8"/>
  <c r="A723" i="8"/>
  <c r="M723" i="8" l="1"/>
  <c r="N723" i="8"/>
  <c r="T723" i="8"/>
  <c r="A724" i="8"/>
  <c r="N724" i="8" l="1"/>
  <c r="M724" i="8"/>
  <c r="T724" i="8"/>
  <c r="A725" i="8"/>
  <c r="N725" i="8" l="1"/>
  <c r="M725" i="8"/>
  <c r="T725" i="8"/>
  <c r="A726" i="8"/>
  <c r="N726" i="8" l="1"/>
  <c r="M726" i="8"/>
  <c r="T726" i="8"/>
  <c r="A727" i="8"/>
  <c r="N727" i="8" l="1"/>
  <c r="M727" i="8"/>
  <c r="T727" i="8"/>
  <c r="A728" i="8"/>
  <c r="N728" i="8" l="1"/>
  <c r="M728" i="8"/>
  <c r="T728" i="8"/>
  <c r="A729" i="8"/>
  <c r="N729" i="8" l="1"/>
  <c r="M729" i="8"/>
  <c r="T729" i="8"/>
  <c r="A730" i="8"/>
  <c r="N730" i="8" l="1"/>
  <c r="M730" i="8"/>
  <c r="T730" i="8"/>
  <c r="A731" i="8"/>
  <c r="N731" i="8" l="1"/>
  <c r="M731" i="8"/>
  <c r="T731" i="8"/>
  <c r="A732" i="8"/>
  <c r="N732" i="8" l="1"/>
  <c r="M732" i="8"/>
  <c r="T732" i="8"/>
  <c r="A733" i="8"/>
  <c r="N733" i="8" l="1"/>
  <c r="M733" i="8"/>
  <c r="T733" i="8"/>
  <c r="A734" i="8"/>
  <c r="N734" i="8" l="1"/>
  <c r="M734" i="8"/>
  <c r="T734" i="8"/>
  <c r="A735" i="8"/>
  <c r="N735" i="8" l="1"/>
  <c r="M735" i="8"/>
  <c r="T735" i="8"/>
  <c r="A736" i="8"/>
  <c r="N736" i="8" l="1"/>
  <c r="M736" i="8"/>
  <c r="T736" i="8"/>
  <c r="A737" i="8"/>
  <c r="N737" i="8" l="1"/>
  <c r="M737" i="8"/>
  <c r="T737" i="8"/>
  <c r="A738" i="8"/>
  <c r="N738" i="8" l="1"/>
  <c r="M738" i="8"/>
  <c r="T738" i="8"/>
  <c r="A739" i="8"/>
  <c r="N739" i="8" l="1"/>
  <c r="M739" i="8"/>
  <c r="T739" i="8"/>
  <c r="A740" i="8"/>
  <c r="N740" i="8" l="1"/>
  <c r="M740" i="8"/>
  <c r="T740" i="8"/>
  <c r="A741" i="8"/>
  <c r="N741" i="8" l="1"/>
  <c r="M741" i="8"/>
  <c r="T741" i="8"/>
  <c r="A742" i="8"/>
  <c r="N742" i="8" l="1"/>
  <c r="M742" i="8"/>
  <c r="T742" i="8"/>
  <c r="A743" i="8"/>
  <c r="N743" i="8" l="1"/>
  <c r="M743" i="8"/>
  <c r="T743" i="8"/>
  <c r="A744" i="8"/>
  <c r="M744" i="8" l="1"/>
  <c r="N744" i="8"/>
  <c r="T744" i="8"/>
  <c r="A745" i="8"/>
  <c r="M745" i="8" l="1"/>
  <c r="N745" i="8"/>
  <c r="T745" i="8"/>
  <c r="A746" i="8"/>
  <c r="M746" i="8" l="1"/>
  <c r="N746" i="8"/>
  <c r="T746" i="8"/>
  <c r="A747" i="8"/>
  <c r="N747" i="8" l="1"/>
  <c r="M747" i="8"/>
  <c r="T747" i="8"/>
  <c r="A748" i="8"/>
  <c r="N748" i="8" l="1"/>
  <c r="M748" i="8"/>
  <c r="T748" i="8"/>
  <c r="A749" i="8"/>
  <c r="N749" i="8" l="1"/>
  <c r="M749" i="8"/>
  <c r="T749" i="8"/>
  <c r="A750" i="8"/>
  <c r="M750" i="8" l="1"/>
  <c r="N750" i="8"/>
  <c r="T750" i="8"/>
  <c r="A751" i="8"/>
  <c r="N751" i="8" l="1"/>
  <c r="M751" i="8"/>
  <c r="T751" i="8"/>
  <c r="A752" i="8"/>
  <c r="N752" i="8" l="1"/>
  <c r="M752" i="8"/>
  <c r="T752" i="8"/>
  <c r="A753" i="8"/>
  <c r="M753" i="8" l="1"/>
  <c r="N753" i="8"/>
  <c r="T753" i="8"/>
  <c r="A754" i="8"/>
  <c r="N754" i="8" l="1"/>
  <c r="M754" i="8"/>
  <c r="T754" i="8"/>
  <c r="A755" i="8"/>
  <c r="N755" i="8" l="1"/>
  <c r="M755" i="8"/>
  <c r="T755" i="8"/>
  <c r="A756" i="8"/>
  <c r="N756" i="8" l="1"/>
  <c r="M756" i="8"/>
  <c r="T756" i="8"/>
  <c r="A757" i="8"/>
  <c r="N757" i="8" l="1"/>
  <c r="M757" i="8"/>
  <c r="T757" i="8"/>
  <c r="A758" i="8"/>
  <c r="N758" i="8" l="1"/>
  <c r="M758" i="8"/>
  <c r="T758" i="8"/>
  <c r="A759" i="8"/>
  <c r="N759" i="8" l="1"/>
  <c r="M759" i="8"/>
  <c r="T759" i="8"/>
  <c r="A760" i="8"/>
  <c r="N760" i="8" l="1"/>
  <c r="M760" i="8"/>
  <c r="T760" i="8"/>
  <c r="A761" i="8"/>
  <c r="N761" i="8" l="1"/>
  <c r="M761" i="8"/>
  <c r="T761" i="8"/>
  <c r="A762" i="8"/>
  <c r="N762" i="8" l="1"/>
  <c r="M762" i="8"/>
  <c r="T762" i="8"/>
  <c r="A763" i="8"/>
  <c r="N763" i="8" l="1"/>
  <c r="M763" i="8"/>
  <c r="T763" i="8"/>
  <c r="A764" i="8"/>
  <c r="N764" i="8" l="1"/>
  <c r="M764" i="8"/>
  <c r="T764" i="8"/>
  <c r="A765" i="8"/>
  <c r="N765" i="8" l="1"/>
  <c r="M765" i="8"/>
  <c r="T765" i="8"/>
  <c r="A766" i="8"/>
  <c r="N766" i="8" l="1"/>
  <c r="M766" i="8"/>
  <c r="T766" i="8"/>
  <c r="A767" i="8"/>
  <c r="N767" i="8" l="1"/>
  <c r="M767" i="8"/>
  <c r="T767" i="8"/>
  <c r="A768" i="8"/>
  <c r="N768" i="8" l="1"/>
  <c r="M768" i="8"/>
  <c r="T768" i="8"/>
  <c r="A769" i="8"/>
  <c r="M769" i="8" l="1"/>
  <c r="N769" i="8"/>
  <c r="T769" i="8"/>
  <c r="A770" i="8"/>
  <c r="N770" i="8" l="1"/>
  <c r="M770" i="8"/>
  <c r="T770" i="8"/>
  <c r="A771" i="8"/>
  <c r="N771" i="8" l="1"/>
  <c r="M771" i="8"/>
  <c r="T771" i="8"/>
  <c r="A772" i="8"/>
  <c r="N772" i="8" l="1"/>
  <c r="M772" i="8"/>
  <c r="T772" i="8"/>
  <c r="A773" i="8"/>
  <c r="M773" i="8" l="1"/>
  <c r="N773" i="8"/>
  <c r="T773" i="8"/>
  <c r="A774" i="8"/>
  <c r="N774" i="8" l="1"/>
  <c r="M774" i="8"/>
  <c r="T774" i="8"/>
  <c r="A775" i="8"/>
  <c r="N775" i="8" l="1"/>
  <c r="M775" i="8"/>
  <c r="T775" i="8"/>
  <c r="A776" i="8"/>
  <c r="N776" i="8" l="1"/>
  <c r="M776" i="8"/>
  <c r="T776" i="8"/>
  <c r="A777" i="8"/>
  <c r="N777" i="8" l="1"/>
  <c r="M777" i="8"/>
  <c r="T777" i="8"/>
  <c r="A778" i="8"/>
  <c r="M778" i="8" l="1"/>
  <c r="N778" i="8"/>
  <c r="T778" i="8"/>
  <c r="A779" i="8"/>
  <c r="M779" i="8" l="1"/>
  <c r="N779" i="8"/>
  <c r="T779" i="8"/>
  <c r="A780" i="8"/>
  <c r="N780" i="8" l="1"/>
  <c r="M780" i="8"/>
  <c r="T780" i="8"/>
  <c r="A781" i="8"/>
  <c r="N781" i="8" l="1"/>
  <c r="M781" i="8"/>
  <c r="T781" i="8"/>
  <c r="A782" i="8"/>
  <c r="N782" i="8" l="1"/>
  <c r="M782" i="8"/>
  <c r="T782" i="8"/>
  <c r="A783" i="8"/>
  <c r="N783" i="8" l="1"/>
  <c r="M783" i="8"/>
  <c r="T783" i="8"/>
  <c r="A784" i="8"/>
  <c r="N784" i="8" l="1"/>
  <c r="M784" i="8"/>
  <c r="T784" i="8"/>
  <c r="A785" i="8"/>
  <c r="N785" i="8" l="1"/>
  <c r="M785" i="8"/>
  <c r="T785" i="8"/>
  <c r="A786" i="8"/>
  <c r="N786" i="8" l="1"/>
  <c r="M786" i="8"/>
  <c r="T786" i="8"/>
  <c r="A787" i="8"/>
  <c r="N787" i="8" l="1"/>
  <c r="M787" i="8"/>
  <c r="T787" i="8"/>
  <c r="A788" i="8"/>
  <c r="N788" i="8" l="1"/>
  <c r="M788" i="8"/>
  <c r="T788" i="8"/>
  <c r="A789" i="8"/>
  <c r="N789" i="8" l="1"/>
  <c r="M789" i="8"/>
  <c r="T789" i="8"/>
  <c r="A790" i="8"/>
  <c r="N790" i="8" l="1"/>
  <c r="M790" i="8"/>
  <c r="T790" i="8"/>
  <c r="A791" i="8"/>
  <c r="N791" i="8" l="1"/>
  <c r="M791" i="8"/>
  <c r="T791" i="8"/>
  <c r="A792" i="8"/>
  <c r="N792" i="8" l="1"/>
  <c r="M792" i="8"/>
  <c r="T792" i="8"/>
  <c r="A793" i="8"/>
  <c r="N793" i="8" l="1"/>
  <c r="M793" i="8"/>
  <c r="T793" i="8"/>
  <c r="A794" i="8"/>
  <c r="N794" i="8" l="1"/>
  <c r="M794" i="8"/>
  <c r="T794" i="8"/>
  <c r="A795" i="8"/>
  <c r="N795" i="8" l="1"/>
  <c r="M795" i="8"/>
  <c r="T795" i="8"/>
  <c r="A796" i="8"/>
  <c r="N796" i="8" l="1"/>
  <c r="M796" i="8"/>
  <c r="T796" i="8"/>
  <c r="A797" i="8"/>
  <c r="N797" i="8" l="1"/>
  <c r="M797" i="8"/>
  <c r="T797" i="8"/>
  <c r="A798" i="8"/>
  <c r="N798" i="8" l="1"/>
  <c r="M798" i="8"/>
  <c r="T798" i="8"/>
  <c r="A799" i="8"/>
  <c r="N799" i="8" l="1"/>
  <c r="M799" i="8"/>
  <c r="T799" i="8"/>
  <c r="A800" i="8"/>
  <c r="N800" i="8" l="1"/>
  <c r="M800" i="8"/>
  <c r="T800" i="8"/>
  <c r="A801" i="8"/>
  <c r="M801" i="8" l="1"/>
  <c r="N801" i="8"/>
  <c r="T801" i="8"/>
  <c r="A802" i="8"/>
  <c r="N802" i="8" l="1"/>
  <c r="M802" i="8"/>
  <c r="T802" i="8"/>
  <c r="A803" i="8"/>
  <c r="M803" i="8" l="1"/>
  <c r="N803" i="8"/>
  <c r="T803" i="8"/>
  <c r="A804" i="8"/>
  <c r="N804" i="8" l="1"/>
  <c r="M804" i="8"/>
  <c r="T804" i="8"/>
  <c r="A805" i="8"/>
  <c r="M805" i="8" l="1"/>
  <c r="N805" i="8"/>
  <c r="T805" i="8"/>
  <c r="A806" i="8"/>
  <c r="M806" i="8" l="1"/>
  <c r="N806" i="8"/>
  <c r="T806" i="8"/>
  <c r="A807" i="8"/>
  <c r="N807" i="8" l="1"/>
  <c r="M807" i="8"/>
  <c r="T807" i="8"/>
  <c r="A808" i="8"/>
  <c r="N808" i="8" l="1"/>
  <c r="M808" i="8"/>
  <c r="T808" i="8"/>
  <c r="A809" i="8"/>
  <c r="N809" i="8" l="1"/>
  <c r="M809" i="8"/>
  <c r="T809" i="8"/>
  <c r="A810" i="8"/>
  <c r="N810" i="8" l="1"/>
  <c r="M810" i="8"/>
  <c r="T810" i="8"/>
  <c r="A811" i="8"/>
  <c r="N811" i="8" l="1"/>
  <c r="M811" i="8"/>
  <c r="T811" i="8"/>
  <c r="A812" i="8"/>
  <c r="M812" i="8" l="1"/>
  <c r="N812" i="8"/>
  <c r="T812" i="8"/>
  <c r="A813" i="8"/>
  <c r="N813" i="8" l="1"/>
  <c r="M813" i="8"/>
  <c r="T813" i="8"/>
  <c r="A814" i="8"/>
  <c r="N814" i="8" l="1"/>
  <c r="M814" i="8"/>
  <c r="T814" i="8"/>
  <c r="A815" i="8"/>
  <c r="N815" i="8" l="1"/>
  <c r="M815" i="8"/>
  <c r="T815" i="8"/>
  <c r="A816" i="8"/>
  <c r="N816" i="8" l="1"/>
  <c r="M816" i="8"/>
  <c r="T816" i="8"/>
  <c r="A817" i="8"/>
  <c r="N817" i="8" l="1"/>
  <c r="M817" i="8"/>
  <c r="T817" i="8"/>
  <c r="A818" i="8"/>
  <c r="N818" i="8" l="1"/>
  <c r="M818" i="8"/>
  <c r="T818" i="8"/>
  <c r="A819" i="8"/>
  <c r="N819" i="8" l="1"/>
  <c r="M819" i="8"/>
  <c r="T819" i="8"/>
  <c r="A820" i="8"/>
  <c r="N820" i="8" l="1"/>
  <c r="M820" i="8"/>
  <c r="T820" i="8"/>
  <c r="A821" i="8"/>
  <c r="N821" i="8" l="1"/>
  <c r="M821" i="8"/>
  <c r="T821" i="8"/>
  <c r="A822" i="8"/>
  <c r="N822" i="8" l="1"/>
  <c r="M822" i="8"/>
  <c r="T822" i="8"/>
  <c r="A823" i="8"/>
  <c r="N823" i="8" l="1"/>
  <c r="M823" i="8"/>
  <c r="T823" i="8"/>
  <c r="A824" i="8"/>
  <c r="N824" i="8" l="1"/>
  <c r="M824" i="8"/>
  <c r="T824" i="8"/>
  <c r="A825" i="8"/>
  <c r="N825" i="8" l="1"/>
  <c r="M825" i="8"/>
  <c r="T825" i="8"/>
  <c r="A826" i="8"/>
  <c r="N826" i="8" l="1"/>
  <c r="M826" i="8"/>
  <c r="T826" i="8"/>
  <c r="A827" i="8"/>
  <c r="N827" i="8" l="1"/>
  <c r="M827" i="8"/>
  <c r="T827" i="8"/>
  <c r="A828" i="8"/>
  <c r="N828" i="8" l="1"/>
  <c r="M828" i="8"/>
  <c r="T828" i="8"/>
  <c r="A829" i="8"/>
  <c r="N829" i="8" l="1"/>
  <c r="M829" i="8"/>
  <c r="T829" i="8"/>
  <c r="A830" i="8"/>
  <c r="N830" i="8" l="1"/>
  <c r="M830" i="8"/>
  <c r="T830" i="8"/>
  <c r="A831" i="8"/>
  <c r="N831" i="8" l="1"/>
  <c r="M831" i="8"/>
  <c r="T831" i="8"/>
  <c r="A832" i="8"/>
  <c r="M832" i="8" l="1"/>
  <c r="N832" i="8"/>
  <c r="T832" i="8"/>
  <c r="A833" i="8"/>
  <c r="N833" i="8" l="1"/>
  <c r="M833" i="8"/>
  <c r="T833" i="8"/>
  <c r="A834" i="8"/>
  <c r="N834" i="8" l="1"/>
  <c r="M834" i="8"/>
  <c r="T834" i="8"/>
  <c r="A835" i="8"/>
  <c r="N835" i="8" l="1"/>
  <c r="M835" i="8"/>
  <c r="T835" i="8"/>
  <c r="A836" i="8"/>
  <c r="N836" i="8" l="1"/>
  <c r="M836" i="8"/>
  <c r="T836" i="8"/>
  <c r="A837" i="8"/>
  <c r="N837" i="8" l="1"/>
  <c r="M837" i="8"/>
  <c r="T837" i="8"/>
  <c r="A838" i="8"/>
  <c r="N838" i="8" l="1"/>
  <c r="M838" i="8"/>
  <c r="T838" i="8"/>
  <c r="A839" i="8"/>
  <c r="N839" i="8" l="1"/>
  <c r="M839" i="8"/>
  <c r="T839" i="8"/>
  <c r="A840" i="8"/>
  <c r="N840" i="8" l="1"/>
  <c r="M840" i="8"/>
  <c r="T840" i="8"/>
  <c r="A841" i="8"/>
  <c r="N841" i="8" l="1"/>
  <c r="M841" i="8"/>
  <c r="T841" i="8"/>
  <c r="A842" i="8"/>
  <c r="N842" i="8" l="1"/>
  <c r="M842" i="8"/>
  <c r="T842" i="8"/>
  <c r="A843" i="8"/>
  <c r="N843" i="8" l="1"/>
  <c r="M843" i="8"/>
  <c r="T843" i="8"/>
  <c r="A844" i="8"/>
  <c r="N844" i="8" l="1"/>
  <c r="M844" i="8"/>
  <c r="T844" i="8"/>
  <c r="A845" i="8"/>
  <c r="N845" i="8" l="1"/>
  <c r="M845" i="8"/>
  <c r="T845" i="8"/>
  <c r="A846" i="8"/>
  <c r="M846" i="8" l="1"/>
  <c r="N846" i="8"/>
  <c r="T846" i="8"/>
  <c r="A847" i="8"/>
  <c r="N847" i="8" l="1"/>
  <c r="M847" i="8"/>
  <c r="T847" i="8"/>
  <c r="A848" i="8"/>
  <c r="N848" i="8" l="1"/>
  <c r="M848" i="8"/>
  <c r="T848" i="8"/>
  <c r="A849" i="8"/>
  <c r="N849" i="8" l="1"/>
  <c r="M849" i="8"/>
  <c r="T849" i="8"/>
  <c r="A850" i="8"/>
  <c r="N850" i="8" l="1"/>
  <c r="M850" i="8"/>
  <c r="T850" i="8"/>
  <c r="A851" i="8"/>
  <c r="N851" i="8" l="1"/>
  <c r="M851" i="8"/>
  <c r="T851" i="8"/>
  <c r="A852" i="8"/>
  <c r="N852" i="8" l="1"/>
  <c r="M852" i="8"/>
  <c r="T852" i="8"/>
  <c r="A853" i="8"/>
  <c r="N853" i="8" l="1"/>
  <c r="M853" i="8"/>
  <c r="T853" i="8"/>
  <c r="A854" i="8"/>
  <c r="N854" i="8" l="1"/>
  <c r="M854" i="8"/>
  <c r="T854" i="8"/>
  <c r="A855" i="8"/>
  <c r="N855" i="8" l="1"/>
  <c r="M855" i="8"/>
  <c r="T855" i="8"/>
  <c r="A856" i="8"/>
  <c r="N856" i="8" l="1"/>
  <c r="M856" i="8"/>
  <c r="T856" i="8"/>
  <c r="A857" i="8"/>
  <c r="N857" i="8" l="1"/>
  <c r="M857" i="8"/>
  <c r="T857" i="8"/>
  <c r="A858" i="8"/>
  <c r="N858" i="8" l="1"/>
  <c r="M858" i="8"/>
  <c r="T858" i="8"/>
  <c r="A859" i="8"/>
  <c r="N859" i="8" l="1"/>
  <c r="M859" i="8"/>
  <c r="T859" i="8"/>
  <c r="A860" i="8"/>
  <c r="N860" i="8" l="1"/>
  <c r="M860" i="8"/>
  <c r="T860" i="8"/>
  <c r="A861" i="8"/>
  <c r="M861" i="8" l="1"/>
  <c r="N861" i="8"/>
  <c r="T861" i="8"/>
  <c r="A862" i="8"/>
  <c r="M862" i="8" l="1"/>
  <c r="N862" i="8"/>
  <c r="T862" i="8"/>
  <c r="A863" i="8"/>
  <c r="M863" i="8" l="1"/>
  <c r="N863" i="8"/>
  <c r="T863" i="8"/>
  <c r="A864" i="8"/>
  <c r="N864" i="8" l="1"/>
  <c r="M864" i="8"/>
  <c r="T864" i="8"/>
  <c r="A865" i="8"/>
  <c r="N865" i="8" l="1"/>
  <c r="M865" i="8"/>
  <c r="T865" i="8"/>
  <c r="A866" i="8"/>
  <c r="N866" i="8" l="1"/>
  <c r="M866" i="8"/>
  <c r="T866" i="8"/>
  <c r="A867" i="8"/>
  <c r="N867" i="8" l="1"/>
  <c r="M867" i="8"/>
  <c r="T867" i="8"/>
  <c r="A868" i="8"/>
  <c r="M868" i="8" l="1"/>
  <c r="N868" i="8"/>
  <c r="T868" i="8"/>
  <c r="A869" i="8"/>
  <c r="N869" i="8" l="1"/>
  <c r="M869" i="8"/>
  <c r="T869" i="8"/>
  <c r="A870" i="8"/>
  <c r="M870" i="8" l="1"/>
  <c r="N870" i="8"/>
  <c r="T870" i="8"/>
  <c r="A871" i="8"/>
  <c r="M871" i="8" l="1"/>
  <c r="N871" i="8"/>
  <c r="T871" i="8"/>
  <c r="A872" i="8"/>
  <c r="N872" i="8" l="1"/>
  <c r="M872" i="8"/>
  <c r="T872" i="8"/>
  <c r="A873" i="8"/>
  <c r="N873" i="8" l="1"/>
  <c r="M873" i="8"/>
  <c r="T873" i="8"/>
  <c r="A874" i="8"/>
  <c r="M874" i="8" l="1"/>
  <c r="N874" i="8"/>
  <c r="T874" i="8"/>
  <c r="A875" i="8"/>
  <c r="M875" i="8" l="1"/>
  <c r="N875" i="8"/>
  <c r="T875" i="8"/>
  <c r="A876" i="8"/>
  <c r="N876" i="8" l="1"/>
  <c r="M876" i="8"/>
  <c r="T876" i="8"/>
  <c r="A877" i="8"/>
  <c r="N877" i="8" l="1"/>
  <c r="M877" i="8"/>
  <c r="T877" i="8"/>
  <c r="A878" i="8"/>
  <c r="N878" i="8" l="1"/>
  <c r="M878" i="8"/>
  <c r="T878" i="8"/>
  <c r="A879" i="8"/>
  <c r="N879" i="8" l="1"/>
  <c r="M879" i="8"/>
  <c r="T879" i="8"/>
  <c r="A880" i="8"/>
  <c r="N880" i="8" l="1"/>
  <c r="M880" i="8"/>
  <c r="T880" i="8"/>
  <c r="A881" i="8"/>
  <c r="N881" i="8" l="1"/>
  <c r="M881" i="8"/>
  <c r="T881" i="8"/>
  <c r="A882" i="8"/>
  <c r="N882" i="8" l="1"/>
  <c r="M882" i="8"/>
  <c r="T882" i="8"/>
  <c r="A883" i="8"/>
  <c r="N883" i="8" l="1"/>
  <c r="M883" i="8"/>
  <c r="T883" i="8"/>
  <c r="A884" i="8"/>
  <c r="N884" i="8" l="1"/>
  <c r="M884" i="8"/>
  <c r="T884" i="8"/>
  <c r="A885" i="8"/>
  <c r="N885" i="8" l="1"/>
  <c r="M885" i="8"/>
  <c r="T885" i="8"/>
  <c r="A886" i="8"/>
  <c r="N886" i="8" l="1"/>
  <c r="M886" i="8"/>
  <c r="T886" i="8"/>
  <c r="A887" i="8"/>
  <c r="N887" i="8" l="1"/>
  <c r="M887" i="8"/>
  <c r="T887" i="8"/>
  <c r="A888" i="8"/>
  <c r="N888" i="8" l="1"/>
  <c r="M888" i="8"/>
  <c r="T888" i="8"/>
  <c r="A889" i="8"/>
  <c r="N889" i="8" l="1"/>
  <c r="M889" i="8"/>
  <c r="T889" i="8"/>
  <c r="A890" i="8"/>
  <c r="N890" i="8" l="1"/>
  <c r="M890" i="8"/>
  <c r="T890" i="8"/>
  <c r="A891" i="8"/>
  <c r="N891" i="8" l="1"/>
  <c r="M891" i="8"/>
  <c r="T891" i="8"/>
  <c r="A892" i="8"/>
  <c r="N892" i="8" l="1"/>
  <c r="M892" i="8"/>
  <c r="T892" i="8"/>
  <c r="A893" i="8"/>
  <c r="N893" i="8" l="1"/>
  <c r="M893" i="8"/>
  <c r="T893" i="8"/>
  <c r="A894" i="8"/>
  <c r="N894" i="8" l="1"/>
  <c r="M894" i="8"/>
  <c r="T894" i="8"/>
  <c r="A895" i="8"/>
  <c r="N895" i="8" l="1"/>
  <c r="M895" i="8"/>
  <c r="T895" i="8"/>
  <c r="A896" i="8"/>
  <c r="N896" i="8" l="1"/>
  <c r="M896" i="8"/>
  <c r="T896" i="8"/>
  <c r="A897" i="8"/>
  <c r="N897" i="8" l="1"/>
  <c r="M897" i="8"/>
  <c r="T897" i="8"/>
  <c r="A898" i="8"/>
  <c r="N898" i="8" l="1"/>
  <c r="M898" i="8"/>
  <c r="T898" i="8"/>
  <c r="A899" i="8"/>
  <c r="N899" i="8" l="1"/>
  <c r="M899" i="8"/>
  <c r="T899" i="8"/>
  <c r="A900" i="8"/>
  <c r="N900" i="8" l="1"/>
  <c r="M900" i="8"/>
  <c r="T900" i="8"/>
  <c r="A901" i="8"/>
  <c r="M901" i="8" l="1"/>
  <c r="N901" i="8"/>
  <c r="T901" i="8"/>
  <c r="A902" i="8"/>
  <c r="N902" i="8" l="1"/>
  <c r="M902" i="8"/>
  <c r="T902" i="8"/>
  <c r="A903" i="8"/>
  <c r="N903" i="8" l="1"/>
  <c r="M903" i="8"/>
  <c r="T903" i="8"/>
  <c r="A904" i="8"/>
  <c r="N904" i="8" l="1"/>
  <c r="M904" i="8"/>
  <c r="T904" i="8"/>
  <c r="A905" i="8"/>
  <c r="N905" i="8" l="1"/>
  <c r="M905" i="8"/>
  <c r="T905" i="8"/>
  <c r="A906" i="8"/>
  <c r="N906" i="8" l="1"/>
  <c r="M906" i="8"/>
  <c r="T906" i="8"/>
  <c r="A907" i="8"/>
  <c r="N907" i="8" l="1"/>
  <c r="M907" i="8"/>
  <c r="T907" i="8"/>
  <c r="A908" i="8"/>
  <c r="N908" i="8" l="1"/>
  <c r="M908" i="8"/>
  <c r="T908" i="8"/>
  <c r="A909" i="8"/>
  <c r="N909" i="8" l="1"/>
  <c r="M909" i="8"/>
  <c r="T909" i="8"/>
  <c r="A910" i="8"/>
  <c r="N910" i="8" l="1"/>
  <c r="M910" i="8"/>
  <c r="T910" i="8"/>
  <c r="A911" i="8"/>
  <c r="N911" i="8" l="1"/>
  <c r="M911" i="8"/>
  <c r="T911" i="8"/>
  <c r="A912" i="8"/>
  <c r="N912" i="8" l="1"/>
  <c r="M912" i="8"/>
  <c r="T912" i="8"/>
  <c r="A913" i="8"/>
  <c r="M913" i="8" l="1"/>
  <c r="N913" i="8"/>
  <c r="T913" i="8"/>
  <c r="A914" i="8"/>
  <c r="N914" i="8" l="1"/>
  <c r="M914" i="8"/>
  <c r="T914" i="8"/>
  <c r="A915" i="8"/>
  <c r="N915" i="8" l="1"/>
  <c r="M915" i="8"/>
  <c r="T915" i="8"/>
  <c r="A916" i="8"/>
  <c r="N916" i="8" l="1"/>
  <c r="M916" i="8"/>
  <c r="T916" i="8"/>
  <c r="A917" i="8"/>
  <c r="N917" i="8" l="1"/>
  <c r="M917" i="8"/>
  <c r="T917" i="8"/>
  <c r="A918" i="8"/>
  <c r="N918" i="8" l="1"/>
  <c r="M918" i="8"/>
  <c r="T918" i="8"/>
  <c r="A919" i="8"/>
  <c r="N919" i="8" l="1"/>
  <c r="M919" i="8"/>
  <c r="T919" i="8"/>
  <c r="A920" i="8"/>
  <c r="N920" i="8" l="1"/>
  <c r="M920" i="8"/>
  <c r="T920" i="8"/>
  <c r="A921" i="8"/>
  <c r="N921" i="8" l="1"/>
  <c r="M921" i="8"/>
  <c r="T921" i="8"/>
  <c r="A922" i="8"/>
  <c r="M922" i="8" l="1"/>
  <c r="N922" i="8"/>
  <c r="T922" i="8"/>
  <c r="A923" i="8"/>
  <c r="N923" i="8" l="1"/>
  <c r="M923" i="8"/>
  <c r="T923" i="8"/>
  <c r="A924" i="8"/>
  <c r="N924" i="8" l="1"/>
  <c r="M924" i="8"/>
  <c r="T924" i="8"/>
  <c r="A925" i="8"/>
  <c r="N925" i="8" l="1"/>
  <c r="M925" i="8"/>
  <c r="T925" i="8"/>
  <c r="A926" i="8"/>
  <c r="N926" i="8" l="1"/>
  <c r="M926" i="8"/>
  <c r="T926" i="8"/>
  <c r="A927" i="8"/>
  <c r="N927" i="8" l="1"/>
  <c r="M927" i="8"/>
  <c r="T927" i="8"/>
  <c r="A928" i="8"/>
  <c r="N928" i="8" l="1"/>
  <c r="M928" i="8"/>
  <c r="T928" i="8"/>
  <c r="A929" i="8"/>
  <c r="N929" i="8" l="1"/>
  <c r="M929" i="8"/>
  <c r="T929" i="8"/>
  <c r="A930" i="8"/>
  <c r="N930" i="8" l="1"/>
  <c r="M930" i="8"/>
  <c r="T930" i="8"/>
  <c r="A931" i="8"/>
  <c r="M931" i="8" l="1"/>
  <c r="N931" i="8"/>
  <c r="T931" i="8"/>
  <c r="A932" i="8"/>
  <c r="N932" i="8" l="1"/>
  <c r="M932" i="8"/>
  <c r="T932" i="8"/>
  <c r="A933" i="8"/>
  <c r="N933" i="8" l="1"/>
  <c r="M933" i="8"/>
  <c r="T933" i="8"/>
  <c r="A934" i="8"/>
  <c r="N934" i="8" l="1"/>
  <c r="M934" i="8"/>
  <c r="T934" i="8"/>
  <c r="A935" i="8"/>
  <c r="N935" i="8" l="1"/>
  <c r="M935" i="8"/>
  <c r="T935" i="8"/>
  <c r="A936" i="8"/>
  <c r="N936" i="8" l="1"/>
  <c r="M936" i="8"/>
  <c r="T936" i="8"/>
  <c r="A937" i="8"/>
  <c r="N937" i="8" l="1"/>
  <c r="M937" i="8"/>
  <c r="T937" i="8"/>
  <c r="A938" i="8"/>
  <c r="N938" i="8" l="1"/>
  <c r="M938" i="8"/>
  <c r="T938" i="8"/>
  <c r="A939" i="8"/>
  <c r="N939" i="8" l="1"/>
  <c r="M939" i="8"/>
  <c r="T939" i="8"/>
  <c r="A940" i="8"/>
  <c r="N940" i="8" l="1"/>
  <c r="M940" i="8"/>
  <c r="T940" i="8"/>
  <c r="A941" i="8"/>
  <c r="N941" i="8" l="1"/>
  <c r="M941" i="8"/>
  <c r="T941" i="8"/>
  <c r="A942" i="8"/>
  <c r="N942" i="8" l="1"/>
  <c r="M942" i="8"/>
  <c r="T942" i="8"/>
  <c r="A943" i="8"/>
  <c r="N943" i="8" l="1"/>
  <c r="M943" i="8"/>
  <c r="T943" i="8"/>
  <c r="A944" i="8"/>
  <c r="N944" i="8" l="1"/>
  <c r="M944" i="8"/>
  <c r="T944" i="8"/>
  <c r="A945" i="8"/>
  <c r="N945" i="8" l="1"/>
  <c r="M945" i="8"/>
  <c r="T945" i="8"/>
  <c r="A946" i="8"/>
  <c r="M946" i="8" l="1"/>
  <c r="N946" i="8"/>
  <c r="T946" i="8"/>
  <c r="A947" i="8"/>
  <c r="N947" i="8" l="1"/>
  <c r="M947" i="8"/>
  <c r="T947" i="8"/>
  <c r="A948" i="8"/>
  <c r="N948" i="8" l="1"/>
  <c r="M948" i="8"/>
  <c r="T948" i="8"/>
  <c r="A949" i="8"/>
  <c r="N949" i="8" l="1"/>
  <c r="M949" i="8"/>
  <c r="T949" i="8"/>
  <c r="A950" i="8"/>
  <c r="N950" i="8" l="1"/>
  <c r="M950" i="8"/>
  <c r="T950" i="8"/>
  <c r="A951" i="8"/>
  <c r="N951" i="8" l="1"/>
  <c r="M951" i="8"/>
  <c r="T951" i="8"/>
  <c r="A952" i="8"/>
  <c r="N952" i="8" l="1"/>
  <c r="M952" i="8"/>
  <c r="T952" i="8"/>
  <c r="A953" i="8"/>
  <c r="N953" i="8" l="1"/>
  <c r="M953" i="8"/>
  <c r="T953" i="8"/>
  <c r="A954" i="8"/>
  <c r="N954" i="8" l="1"/>
  <c r="M954" i="8"/>
  <c r="T954" i="8"/>
  <c r="A955" i="8"/>
  <c r="N955" i="8" l="1"/>
  <c r="M955" i="8"/>
  <c r="T955" i="8"/>
  <c r="A956" i="8"/>
  <c r="N956" i="8" l="1"/>
  <c r="M956" i="8"/>
  <c r="T956" i="8"/>
  <c r="A957" i="8"/>
  <c r="N957" i="8" l="1"/>
  <c r="M957" i="8"/>
  <c r="T957" i="8"/>
  <c r="A958" i="8"/>
  <c r="N958" i="8" l="1"/>
  <c r="M958" i="8"/>
  <c r="T958" i="8"/>
  <c r="A959" i="8"/>
  <c r="N959" i="8" l="1"/>
  <c r="M959" i="8"/>
  <c r="T959" i="8"/>
  <c r="A960" i="8"/>
  <c r="N960" i="8" l="1"/>
  <c r="M960" i="8"/>
  <c r="T960" i="8"/>
  <c r="A961" i="8"/>
  <c r="N961" i="8" l="1"/>
  <c r="M961" i="8"/>
  <c r="T961" i="8"/>
  <c r="A962" i="8"/>
  <c r="N962" i="8" l="1"/>
  <c r="M962" i="8"/>
  <c r="T962" i="8"/>
  <c r="A963" i="8"/>
  <c r="N963" i="8" l="1"/>
  <c r="M963" i="8"/>
  <c r="T963" i="8"/>
  <c r="A964" i="8"/>
  <c r="N964" i="8" l="1"/>
  <c r="M964" i="8"/>
  <c r="T964" i="8"/>
  <c r="A965" i="8"/>
  <c r="N965" i="8" l="1"/>
  <c r="M965" i="8"/>
  <c r="T965" i="8"/>
  <c r="A966" i="8"/>
  <c r="N966" i="8" l="1"/>
  <c r="M966" i="8"/>
  <c r="T966" i="8"/>
  <c r="A967" i="8"/>
  <c r="N967" i="8" l="1"/>
  <c r="M967" i="8"/>
  <c r="T967" i="8"/>
  <c r="A968" i="8"/>
  <c r="N968" i="8" l="1"/>
  <c r="M968" i="8"/>
  <c r="T968" i="8"/>
  <c r="A969" i="8"/>
  <c r="N969" i="8" l="1"/>
  <c r="M969" i="8"/>
  <c r="T969" i="8"/>
  <c r="A970" i="8"/>
  <c r="N970" i="8" l="1"/>
  <c r="M970" i="8"/>
  <c r="T970" i="8"/>
  <c r="A971" i="8"/>
  <c r="N971" i="8" l="1"/>
  <c r="M971" i="8"/>
  <c r="T971" i="8"/>
  <c r="A972" i="8"/>
  <c r="N972" i="8" l="1"/>
  <c r="M972" i="8"/>
  <c r="T972" i="8"/>
  <c r="A973" i="8"/>
  <c r="N973" i="8" l="1"/>
  <c r="M973" i="8"/>
  <c r="T973" i="8"/>
  <c r="A974" i="8"/>
  <c r="M974" i="8" l="1"/>
  <c r="N974" i="8"/>
  <c r="T974" i="8"/>
  <c r="A975" i="8"/>
  <c r="N975" i="8" l="1"/>
  <c r="M975" i="8"/>
  <c r="T975" i="8"/>
  <c r="A976" i="8"/>
  <c r="N976" i="8" l="1"/>
  <c r="M976" i="8"/>
  <c r="T976" i="8"/>
  <c r="A977" i="8"/>
  <c r="N977" i="8" l="1"/>
  <c r="M977" i="8"/>
  <c r="T977" i="8"/>
  <c r="A978" i="8"/>
  <c r="N978" i="8" l="1"/>
  <c r="M978" i="8"/>
  <c r="T978" i="8"/>
  <c r="A979" i="8"/>
  <c r="N979" i="8" l="1"/>
  <c r="M979" i="8"/>
  <c r="T979" i="8"/>
  <c r="A980" i="8"/>
  <c r="N980" i="8" l="1"/>
  <c r="M980" i="8"/>
  <c r="T980" i="8"/>
  <c r="A981" i="8"/>
  <c r="N981" i="8" l="1"/>
  <c r="M981" i="8"/>
  <c r="T981" i="8"/>
  <c r="A982" i="8"/>
  <c r="N982" i="8" l="1"/>
  <c r="M982" i="8"/>
  <c r="T982" i="8"/>
  <c r="A983" i="8"/>
  <c r="N983" i="8" l="1"/>
  <c r="M983" i="8"/>
  <c r="T983" i="8"/>
  <c r="A984" i="8"/>
  <c r="N984" i="8" l="1"/>
  <c r="M984" i="8"/>
  <c r="T984" i="8"/>
  <c r="A985" i="8"/>
  <c r="N985" i="8" l="1"/>
  <c r="M985" i="8"/>
  <c r="T985" i="8"/>
  <c r="A986" i="8"/>
  <c r="N986" i="8" l="1"/>
  <c r="M986" i="8"/>
  <c r="T986" i="8"/>
  <c r="A987" i="8"/>
  <c r="N987" i="8" l="1"/>
  <c r="M987" i="8"/>
  <c r="T987" i="8"/>
  <c r="A988" i="8"/>
  <c r="N988" i="8" l="1"/>
  <c r="M988" i="8"/>
  <c r="T988" i="8"/>
  <c r="A989" i="8"/>
  <c r="N989" i="8" l="1"/>
  <c r="M989" i="8"/>
  <c r="T989" i="8"/>
  <c r="A990" i="8"/>
  <c r="N990" i="8" l="1"/>
  <c r="M990" i="8"/>
  <c r="T990" i="8"/>
  <c r="A991" i="8"/>
  <c r="N991" i="8" l="1"/>
  <c r="M991" i="8"/>
  <c r="T991" i="8"/>
  <c r="A992" i="8"/>
  <c r="N992" i="8" l="1"/>
  <c r="M992" i="8"/>
  <c r="T992" i="8"/>
  <c r="A993" i="8"/>
  <c r="N993" i="8" l="1"/>
  <c r="M993" i="8"/>
  <c r="T993" i="8"/>
  <c r="A994" i="8"/>
  <c r="N994" i="8" l="1"/>
  <c r="M994" i="8"/>
  <c r="T994" i="8"/>
  <c r="A995" i="8"/>
  <c r="N995" i="8" l="1"/>
  <c r="M995" i="8"/>
  <c r="T995" i="8"/>
  <c r="A996" i="8"/>
  <c r="M996" i="8" l="1"/>
  <c r="N996" i="8"/>
  <c r="T996" i="8"/>
  <c r="A997" i="8"/>
  <c r="N997" i="8" l="1"/>
  <c r="M997" i="8"/>
  <c r="T997" i="8"/>
  <c r="A998" i="8"/>
  <c r="N998" i="8" l="1"/>
  <c r="M998" i="8"/>
  <c r="T998" i="8"/>
  <c r="A999" i="8"/>
  <c r="N999" i="8" l="1"/>
  <c r="M999" i="8"/>
  <c r="T999" i="8"/>
  <c r="A1000" i="8"/>
  <c r="N1000" i="8" l="1"/>
  <c r="M1000" i="8"/>
  <c r="T1000" i="8"/>
  <c r="A1001" i="8"/>
  <c r="N1001" i="8" l="1"/>
  <c r="M1001" i="8"/>
  <c r="T1001" i="8"/>
  <c r="A1002" i="8"/>
  <c r="N1002" i="8" l="1"/>
  <c r="M1002" i="8"/>
  <c r="T1002" i="8"/>
  <c r="A1003" i="8"/>
  <c r="M1003" i="8" l="1"/>
  <c r="N1003" i="8"/>
  <c r="T1003" i="8"/>
  <c r="A1004" i="8"/>
  <c r="N1004" i="8" l="1"/>
  <c r="M1004" i="8"/>
  <c r="T1004" i="8"/>
  <c r="A1005" i="8"/>
  <c r="N1005" i="8" l="1"/>
  <c r="M1005" i="8"/>
  <c r="T1005" i="8"/>
  <c r="A1006" i="8"/>
  <c r="N1006" i="8" l="1"/>
  <c r="M1006" i="8"/>
  <c r="T1006" i="8"/>
  <c r="A1007" i="8"/>
  <c r="N1007" i="8" l="1"/>
  <c r="M1007" i="8"/>
  <c r="T1007" i="8"/>
  <c r="A1008" i="8"/>
  <c r="N1008" i="8" l="1"/>
  <c r="M1008" i="8"/>
  <c r="T1008" i="8"/>
  <c r="A1009" i="8"/>
  <c r="N1009" i="8" l="1"/>
  <c r="M1009" i="8"/>
  <c r="T1009" i="8"/>
  <c r="A1010" i="8"/>
  <c r="N1010" i="8" l="1"/>
  <c r="M1010" i="8"/>
  <c r="T1010" i="8"/>
  <c r="A1011" i="8"/>
  <c r="N1011" i="8" l="1"/>
  <c r="M1011" i="8"/>
  <c r="T1011" i="8"/>
  <c r="A1012" i="8"/>
  <c r="N1012" i="8" l="1"/>
  <c r="M1012" i="8"/>
  <c r="T1012" i="8"/>
  <c r="A1013" i="8"/>
  <c r="N1013" i="8" l="1"/>
  <c r="M1013" i="8"/>
  <c r="T1013" i="8"/>
  <c r="A1014" i="8"/>
  <c r="N1014" i="8" l="1"/>
  <c r="M1014" i="8"/>
  <c r="T1014" i="8"/>
  <c r="A1015" i="8"/>
  <c r="N1015" i="8" l="1"/>
  <c r="M1015" i="8"/>
  <c r="T1015" i="8"/>
  <c r="A1016" i="8"/>
  <c r="N1016" i="8" l="1"/>
  <c r="M1016" i="8"/>
  <c r="T1016" i="8"/>
  <c r="A1017" i="8"/>
  <c r="N1017" i="8" l="1"/>
  <c r="M1017" i="8"/>
  <c r="T1017" i="8"/>
  <c r="A1018" i="8"/>
  <c r="N1018" i="8" l="1"/>
  <c r="M1018" i="8"/>
  <c r="T1018" i="8"/>
  <c r="A1019" i="8"/>
  <c r="M1019" i="8" l="1"/>
  <c r="N1019" i="8"/>
  <c r="T1019" i="8"/>
  <c r="A1020" i="8"/>
  <c r="N1020" i="8" l="1"/>
  <c r="M1020" i="8"/>
  <c r="T1020" i="8"/>
  <c r="A1021" i="8"/>
  <c r="N1021" i="8" l="1"/>
  <c r="M1021" i="8"/>
  <c r="T1021" i="8"/>
  <c r="A1022" i="8"/>
  <c r="N1022" i="8" l="1"/>
  <c r="M1022" i="8"/>
  <c r="T1022" i="8"/>
  <c r="A1023" i="8"/>
  <c r="N1023" i="8" l="1"/>
  <c r="M1023" i="8"/>
  <c r="T1023" i="8"/>
  <c r="A1024" i="8"/>
  <c r="N1024" i="8" l="1"/>
  <c r="M1024" i="8"/>
  <c r="T1024" i="8"/>
  <c r="A1025" i="8"/>
  <c r="N1025" i="8" l="1"/>
  <c r="M1025" i="8"/>
  <c r="T1025" i="8"/>
  <c r="A1026" i="8"/>
  <c r="N1026" i="8" l="1"/>
  <c r="M1026" i="8"/>
  <c r="T1026" i="8"/>
  <c r="A1027" i="8"/>
  <c r="N1027" i="8" l="1"/>
  <c r="M1027" i="8"/>
  <c r="T1027" i="8"/>
  <c r="A1028" i="8"/>
  <c r="N1028" i="8" l="1"/>
  <c r="M1028" i="8"/>
  <c r="T1028" i="8"/>
  <c r="A1029" i="8"/>
  <c r="N1029" i="8" l="1"/>
  <c r="M1029" i="8"/>
  <c r="T1029" i="8"/>
  <c r="A1030" i="8"/>
  <c r="N1030" i="8" l="1"/>
  <c r="M1030" i="8"/>
  <c r="T1030" i="8"/>
  <c r="A1031" i="8"/>
  <c r="N1031" i="8" l="1"/>
  <c r="M1031" i="8"/>
  <c r="T1031" i="8"/>
  <c r="A1032" i="8"/>
  <c r="N1032" i="8" l="1"/>
  <c r="M1032" i="8"/>
  <c r="T1032" i="8"/>
  <c r="A1033" i="8"/>
  <c r="N1033" i="8" l="1"/>
  <c r="M1033" i="8"/>
  <c r="T1033" i="8"/>
  <c r="A1034" i="8"/>
  <c r="N1034" i="8" l="1"/>
  <c r="M1034" i="8"/>
  <c r="T1034" i="8"/>
  <c r="A1035" i="8"/>
  <c r="N1035" i="8" l="1"/>
  <c r="M1035" i="8"/>
  <c r="T1035" i="8"/>
  <c r="A1036" i="8"/>
  <c r="N1036" i="8" l="1"/>
  <c r="M1036" i="8"/>
  <c r="T1036" i="8"/>
  <c r="A1037" i="8"/>
  <c r="N1037" i="8" l="1"/>
  <c r="M1037" i="8"/>
  <c r="T1037" i="8"/>
  <c r="A1038" i="8"/>
  <c r="N1038" i="8" l="1"/>
  <c r="M1038" i="8"/>
  <c r="T1038" i="8"/>
  <c r="A1039" i="8"/>
  <c r="N1039" i="8" l="1"/>
  <c r="M1039" i="8"/>
  <c r="T1039" i="8"/>
  <c r="A1040" i="8"/>
  <c r="N1040" i="8" l="1"/>
  <c r="M1040" i="8"/>
  <c r="T1040" i="8"/>
  <c r="A1041" i="8"/>
  <c r="N1041" i="8" l="1"/>
  <c r="M1041" i="8"/>
  <c r="T1041" i="8"/>
  <c r="A1042" i="8"/>
  <c r="N1042" i="8" l="1"/>
  <c r="M1042" i="8"/>
  <c r="T1042" i="8"/>
  <c r="A1043" i="8"/>
  <c r="N1043" i="8" l="1"/>
  <c r="M1043" i="8"/>
  <c r="T1043" i="8"/>
  <c r="A1044" i="8"/>
  <c r="N1044" i="8" l="1"/>
  <c r="M1044" i="8"/>
  <c r="T1044" i="8"/>
  <c r="A1045" i="8"/>
  <c r="N1045" i="8" l="1"/>
  <c r="M1045" i="8"/>
  <c r="T1045" i="8"/>
  <c r="A1046" i="8"/>
  <c r="N1046" i="8" l="1"/>
  <c r="M1046" i="8"/>
  <c r="T1046" i="8"/>
  <c r="A1047" i="8"/>
  <c r="N1047" i="8" l="1"/>
  <c r="M1047" i="8"/>
  <c r="T1047" i="8"/>
  <c r="A1048" i="8"/>
  <c r="N1048" i="8" l="1"/>
  <c r="M1048" i="8"/>
  <c r="T1048" i="8"/>
  <c r="A1049" i="8"/>
  <c r="N1049" i="8" l="1"/>
  <c r="M1049" i="8"/>
  <c r="T1049" i="8"/>
  <c r="A1050" i="8"/>
  <c r="N1050" i="8" l="1"/>
  <c r="M1050" i="8"/>
  <c r="T1050" i="8"/>
  <c r="A1051" i="8"/>
  <c r="N1051" i="8" l="1"/>
  <c r="M1051" i="8"/>
  <c r="T1051" i="8"/>
  <c r="A1052" i="8"/>
  <c r="M1052" i="8" l="1"/>
  <c r="N1052" i="8"/>
  <c r="T1052" i="8"/>
  <c r="A1053" i="8"/>
  <c r="N1053" i="8" l="1"/>
  <c r="M1053" i="8"/>
  <c r="T1053" i="8"/>
  <c r="A1054" i="8"/>
  <c r="N1054" i="8" l="1"/>
  <c r="M1054" i="8"/>
  <c r="T1054" i="8"/>
  <c r="A1055" i="8"/>
  <c r="N1055" i="8" l="1"/>
  <c r="M1055" i="8"/>
  <c r="T1055" i="8"/>
  <c r="A1056" i="8"/>
  <c r="N1056" i="8" l="1"/>
  <c r="M1056" i="8"/>
  <c r="T1056" i="8"/>
  <c r="A1057" i="8"/>
  <c r="N1057" i="8" l="1"/>
  <c r="M1057" i="8"/>
  <c r="T1057" i="8"/>
  <c r="A1058" i="8"/>
  <c r="M1058" i="8" l="1"/>
  <c r="N1058" i="8"/>
  <c r="T1058" i="8"/>
  <c r="A1059" i="8"/>
  <c r="N1059" i="8" l="1"/>
  <c r="M1059" i="8"/>
  <c r="T1059" i="8"/>
  <c r="A1060" i="8"/>
  <c r="N1060" i="8" l="1"/>
  <c r="M1060" i="8"/>
  <c r="T1060" i="8"/>
  <c r="A1061" i="8"/>
  <c r="N1061" i="8" l="1"/>
  <c r="M1061" i="8"/>
  <c r="T1061" i="8"/>
  <c r="A1062" i="8"/>
  <c r="N1062" i="8" l="1"/>
  <c r="M1062" i="8"/>
  <c r="T1062" i="8"/>
  <c r="A1063" i="8"/>
  <c r="N1063" i="8" l="1"/>
  <c r="M1063" i="8"/>
  <c r="T1063" i="8"/>
  <c r="A1064" i="8"/>
  <c r="M1064" i="8" l="1"/>
  <c r="N1064" i="8"/>
  <c r="T1064" i="8"/>
  <c r="A1065" i="8"/>
  <c r="N1065" i="8" l="1"/>
  <c r="M1065" i="8"/>
  <c r="T1065" i="8"/>
  <c r="A1066" i="8"/>
  <c r="N1066" i="8" l="1"/>
  <c r="M1066" i="8"/>
  <c r="T1066" i="8"/>
  <c r="A1067" i="8"/>
  <c r="N1067" i="8" l="1"/>
  <c r="M1067" i="8"/>
  <c r="T1067" i="8"/>
  <c r="A1068" i="8"/>
  <c r="N1068" i="8" l="1"/>
  <c r="M1068" i="8"/>
  <c r="T1068" i="8"/>
  <c r="A1069" i="8"/>
  <c r="N1069" i="8" l="1"/>
  <c r="M1069" i="8"/>
  <c r="T1069" i="8"/>
  <c r="A1070" i="8"/>
  <c r="N1070" i="8" l="1"/>
  <c r="M1070" i="8"/>
  <c r="T1070" i="8"/>
  <c r="A1071" i="8"/>
  <c r="N1071" i="8" l="1"/>
  <c r="M1071" i="8"/>
  <c r="T1071" i="8"/>
  <c r="A1072" i="8"/>
  <c r="N1072" i="8" l="1"/>
  <c r="M1072" i="8"/>
  <c r="T1072" i="8"/>
  <c r="A1073" i="8"/>
  <c r="N1073" i="8" l="1"/>
  <c r="M1073" i="8"/>
  <c r="T1073" i="8"/>
  <c r="A1074" i="8"/>
  <c r="N1074" i="8" l="1"/>
  <c r="M1074" i="8"/>
  <c r="T1074" i="8"/>
  <c r="A1075" i="8"/>
  <c r="N1075" i="8" l="1"/>
  <c r="M1075" i="8"/>
  <c r="T1075" i="8"/>
  <c r="A1076" i="8"/>
  <c r="N1076" i="8" l="1"/>
  <c r="M1076" i="8"/>
  <c r="T1076" i="8"/>
  <c r="A1077" i="8"/>
  <c r="M1077" i="8" l="1"/>
  <c r="N1077" i="8"/>
  <c r="T1077" i="8"/>
  <c r="A1078" i="8"/>
  <c r="N1078" i="8" l="1"/>
  <c r="M1078" i="8"/>
  <c r="T1078" i="8"/>
  <c r="A1079" i="8"/>
  <c r="N1079" i="8" l="1"/>
  <c r="M1079" i="8"/>
  <c r="T1079" i="8"/>
  <c r="A1080" i="8"/>
  <c r="N1080" i="8" l="1"/>
  <c r="M1080" i="8"/>
  <c r="T1080" i="8"/>
  <c r="A1081" i="8"/>
  <c r="N1081" i="8" l="1"/>
  <c r="M1081" i="8"/>
  <c r="T1081" i="8"/>
  <c r="A1082" i="8"/>
  <c r="N1082" i="8" l="1"/>
  <c r="M1082" i="8"/>
  <c r="T1082" i="8"/>
  <c r="A1083" i="8"/>
  <c r="N1083" i="8" l="1"/>
  <c r="M1083" i="8"/>
  <c r="T1083" i="8"/>
  <c r="A1084" i="8"/>
  <c r="N1084" i="8" l="1"/>
  <c r="M1084" i="8"/>
  <c r="T1084" i="8"/>
  <c r="A1085" i="8"/>
  <c r="N1085" i="8" l="1"/>
  <c r="M1085" i="8"/>
  <c r="T1085" i="8"/>
  <c r="A1086" i="8"/>
  <c r="N1086" i="8" l="1"/>
  <c r="M1086" i="8"/>
  <c r="T1086" i="8"/>
  <c r="A1087" i="8"/>
  <c r="N1087" i="8" l="1"/>
  <c r="M1087" i="8"/>
  <c r="T1087" i="8"/>
  <c r="A1088" i="8"/>
  <c r="N1088" i="8" l="1"/>
  <c r="M1088" i="8"/>
  <c r="T1088" i="8"/>
  <c r="A1089" i="8"/>
  <c r="M1089" i="8" l="1"/>
  <c r="N1089" i="8"/>
  <c r="T1089" i="8"/>
  <c r="A1090" i="8"/>
  <c r="N1090" i="8" l="1"/>
  <c r="M1090" i="8"/>
  <c r="T1090" i="8"/>
  <c r="A1091" i="8"/>
  <c r="N1091" i="8" l="1"/>
  <c r="M1091" i="8"/>
  <c r="T1091" i="8"/>
  <c r="A1092" i="8"/>
  <c r="N1092" i="8" l="1"/>
  <c r="M1092" i="8"/>
  <c r="T1092" i="8"/>
  <c r="A1093" i="8"/>
  <c r="N1093" i="8" l="1"/>
  <c r="M1093" i="8"/>
  <c r="T1093" i="8"/>
  <c r="A1094" i="8"/>
  <c r="M1094" i="8" l="1"/>
  <c r="N1094" i="8"/>
  <c r="T1094" i="8"/>
  <c r="A1095" i="8"/>
  <c r="M1095" i="8" l="1"/>
  <c r="N1095" i="8"/>
  <c r="T1095" i="8"/>
  <c r="A1096" i="8"/>
  <c r="N1096" i="8" l="1"/>
  <c r="M1096" i="8"/>
  <c r="T1096" i="8"/>
  <c r="A1097" i="8"/>
  <c r="N1097" i="8" l="1"/>
  <c r="M1097" i="8"/>
  <c r="T1097" i="8"/>
  <c r="A1098" i="8"/>
  <c r="N1098" i="8" l="1"/>
  <c r="M1098" i="8"/>
  <c r="T1098" i="8"/>
  <c r="A1099" i="8"/>
  <c r="N1099" i="8" l="1"/>
  <c r="M1099" i="8"/>
  <c r="T1099" i="8"/>
  <c r="A1100" i="8"/>
  <c r="M1100" i="8" l="1"/>
  <c r="N1100" i="8"/>
  <c r="T1100" i="8"/>
  <c r="A1101" i="8"/>
  <c r="N1101" i="8" l="1"/>
  <c r="M1101" i="8"/>
  <c r="T1101" i="8"/>
  <c r="A1102" i="8"/>
  <c r="N1102" i="8" l="1"/>
  <c r="M1102" i="8"/>
  <c r="T1102" i="8"/>
  <c r="A1103" i="8"/>
  <c r="N1103" i="8" l="1"/>
  <c r="M1103" i="8"/>
  <c r="T1103" i="8"/>
  <c r="A1104" i="8"/>
  <c r="N1104" i="8" l="1"/>
  <c r="M1104" i="8"/>
  <c r="T1104" i="8"/>
  <c r="A1105" i="8"/>
  <c r="N1105" i="8" l="1"/>
  <c r="M1105" i="8"/>
  <c r="T1105" i="8"/>
  <c r="A1106" i="8"/>
  <c r="N1106" i="8" l="1"/>
  <c r="M1106" i="8"/>
  <c r="T1106" i="8"/>
  <c r="A1107" i="8"/>
  <c r="N1107" i="8" l="1"/>
  <c r="M1107" i="8"/>
  <c r="T1107" i="8"/>
  <c r="A1108" i="8"/>
  <c r="N1108" i="8" l="1"/>
  <c r="M1108" i="8"/>
  <c r="T1108" i="8"/>
  <c r="A1109" i="8"/>
  <c r="N1109" i="8" l="1"/>
  <c r="M1109" i="8"/>
  <c r="T1109" i="8"/>
  <c r="A1110" i="8"/>
  <c r="N1110" i="8" l="1"/>
  <c r="M1110" i="8"/>
  <c r="T1110" i="8"/>
  <c r="A1111" i="8"/>
  <c r="N1111" i="8" l="1"/>
  <c r="M1111" i="8"/>
  <c r="T1111" i="8"/>
  <c r="A1112" i="8"/>
  <c r="N1112" i="8" l="1"/>
  <c r="M1112" i="8"/>
  <c r="T1112" i="8"/>
  <c r="A1113" i="8"/>
  <c r="N1113" i="8" l="1"/>
  <c r="M1113" i="8"/>
  <c r="T1113" i="8"/>
  <c r="A1114" i="8"/>
  <c r="M1114" i="8" l="1"/>
  <c r="N1114" i="8"/>
  <c r="T1114" i="8"/>
  <c r="A1115" i="8"/>
  <c r="N1115" i="8" l="1"/>
  <c r="M1115" i="8"/>
  <c r="T1115" i="8"/>
  <c r="A1116" i="8"/>
  <c r="N1116" i="8" l="1"/>
  <c r="M1116" i="8"/>
  <c r="T1116" i="8"/>
  <c r="A1117" i="8"/>
  <c r="M1117" i="8" l="1"/>
  <c r="N1117" i="8"/>
  <c r="T1117" i="8"/>
  <c r="A1118" i="8"/>
  <c r="N1118" i="8" l="1"/>
  <c r="M1118" i="8"/>
  <c r="T1118" i="8"/>
  <c r="A1119" i="8"/>
  <c r="N1119" i="8" l="1"/>
  <c r="M1119" i="8"/>
  <c r="T1119" i="8"/>
  <c r="A1120" i="8"/>
  <c r="N1120" i="8" l="1"/>
  <c r="M1120" i="8"/>
  <c r="T1120" i="8"/>
  <c r="A1121" i="8"/>
  <c r="N1121" i="8" l="1"/>
  <c r="M1121" i="8"/>
  <c r="T1121" i="8"/>
  <c r="A1122" i="8"/>
  <c r="M1122" i="8" l="1"/>
  <c r="N1122" i="8"/>
  <c r="T1122" i="8"/>
  <c r="A1123" i="8"/>
  <c r="N1123" i="8" l="1"/>
  <c r="M1123" i="8"/>
  <c r="T1123" i="8"/>
  <c r="A1124" i="8"/>
  <c r="N1124" i="8" l="1"/>
  <c r="M1124" i="8"/>
  <c r="T1124" i="8"/>
  <c r="A1125" i="8"/>
  <c r="N1125" i="8" l="1"/>
  <c r="M1125" i="8"/>
  <c r="T1125" i="8"/>
  <c r="A1126" i="8"/>
  <c r="N1126" i="8" l="1"/>
  <c r="M1126" i="8"/>
  <c r="T1126" i="8"/>
  <c r="A1127" i="8"/>
  <c r="N1127" i="8" l="1"/>
  <c r="M1127" i="8"/>
  <c r="T1127" i="8"/>
  <c r="A1128" i="8"/>
  <c r="N1128" i="8" l="1"/>
  <c r="M1128" i="8"/>
  <c r="T1128" i="8"/>
  <c r="A1129" i="8"/>
  <c r="N1129" i="8" l="1"/>
  <c r="M1129" i="8"/>
  <c r="T1129" i="8"/>
  <c r="A1130" i="8"/>
  <c r="N1130" i="8" l="1"/>
  <c r="M1130" i="8"/>
  <c r="T1130" i="8"/>
  <c r="A1131" i="8"/>
  <c r="N1131" i="8" l="1"/>
  <c r="M1131" i="8"/>
  <c r="T1131" i="8"/>
  <c r="A1132" i="8"/>
  <c r="N1132" i="8" l="1"/>
  <c r="M1132" i="8"/>
  <c r="T1132" i="8"/>
  <c r="A1133" i="8"/>
  <c r="N1133" i="8" l="1"/>
  <c r="M1133" i="8"/>
  <c r="T1133" i="8"/>
  <c r="A1134" i="8"/>
  <c r="N1134" i="8" l="1"/>
  <c r="M1134" i="8"/>
  <c r="T1134" i="8"/>
  <c r="A1135" i="8"/>
  <c r="N1135" i="8" l="1"/>
  <c r="M1135" i="8"/>
  <c r="T1135" i="8"/>
  <c r="A1136" i="8"/>
  <c r="N1136" i="8" l="1"/>
  <c r="M1136" i="8"/>
  <c r="T1136" i="8"/>
  <c r="A1137" i="8"/>
  <c r="N1137" i="8" l="1"/>
  <c r="M1137" i="8"/>
  <c r="T1137" i="8"/>
  <c r="A1138" i="8"/>
  <c r="N1138" i="8" l="1"/>
  <c r="M1138" i="8"/>
  <c r="T1138" i="8"/>
  <c r="A1139" i="8"/>
  <c r="N1139" i="8" l="1"/>
  <c r="M1139" i="8"/>
  <c r="T1139" i="8"/>
  <c r="A1140" i="8"/>
  <c r="N1140" i="8" l="1"/>
  <c r="M1140" i="8"/>
  <c r="T1140" i="8"/>
  <c r="A1141" i="8"/>
  <c r="N1141" i="8" l="1"/>
  <c r="M1141" i="8"/>
  <c r="T1141" i="8"/>
  <c r="A1142" i="8"/>
  <c r="N1142" i="8" l="1"/>
  <c r="M1142" i="8"/>
  <c r="T1142" i="8"/>
  <c r="A1143" i="8"/>
  <c r="N1143" i="8" l="1"/>
  <c r="M1143" i="8"/>
  <c r="T1143" i="8"/>
  <c r="A1144" i="8"/>
  <c r="N1144" i="8" l="1"/>
  <c r="M1144" i="8"/>
  <c r="T1144" i="8"/>
  <c r="A1145" i="8"/>
  <c r="N1145" i="8" l="1"/>
  <c r="M1145" i="8"/>
  <c r="T1145" i="8"/>
  <c r="A1146" i="8"/>
  <c r="N1146" i="8" l="1"/>
  <c r="M1146" i="8"/>
  <c r="T1146" i="8"/>
  <c r="A1147" i="8"/>
  <c r="N1147" i="8" l="1"/>
  <c r="M1147" i="8"/>
  <c r="T1147" i="8"/>
  <c r="A1148" i="8"/>
  <c r="N1148" i="8" l="1"/>
  <c r="M1148" i="8"/>
  <c r="T1148" i="8"/>
  <c r="A1149" i="8"/>
  <c r="N1149" i="8" l="1"/>
  <c r="M1149" i="8"/>
  <c r="T1149" i="8"/>
  <c r="A1150" i="8"/>
  <c r="N1150" i="8" l="1"/>
  <c r="M1150" i="8"/>
  <c r="T1150" i="8"/>
  <c r="A1151" i="8"/>
  <c r="M1151" i="8" l="1"/>
  <c r="N1151" i="8"/>
  <c r="T1151" i="8"/>
  <c r="A1152" i="8"/>
  <c r="N1152" i="8" l="1"/>
  <c r="M1152" i="8"/>
  <c r="T1152" i="8"/>
  <c r="A1153" i="8"/>
  <c r="N1153" i="8" l="1"/>
  <c r="M1153" i="8"/>
  <c r="T1153" i="8"/>
  <c r="A1154" i="8"/>
  <c r="N1154" i="8" l="1"/>
  <c r="M1154" i="8"/>
  <c r="T1154" i="8"/>
  <c r="A1155" i="8"/>
  <c r="M1155" i="8" l="1"/>
  <c r="N1155" i="8"/>
  <c r="T1155" i="8"/>
  <c r="A1156" i="8"/>
  <c r="N1156" i="8" l="1"/>
  <c r="M1156" i="8"/>
  <c r="T1156" i="8"/>
  <c r="A1157" i="8"/>
  <c r="N1157" i="8" l="1"/>
  <c r="M1157" i="8"/>
  <c r="T1157" i="8"/>
  <c r="A1158" i="8"/>
  <c r="N1158" i="8" l="1"/>
  <c r="M1158" i="8"/>
  <c r="T1158" i="8"/>
  <c r="A1159" i="8"/>
  <c r="N1159" i="8" l="1"/>
  <c r="M1159" i="8"/>
  <c r="T1159" i="8"/>
  <c r="A1160" i="8"/>
  <c r="N1160" i="8" l="1"/>
  <c r="M1160" i="8"/>
  <c r="T1160" i="8"/>
  <c r="A1161" i="8"/>
  <c r="N1161" i="8" l="1"/>
  <c r="M1161" i="8"/>
  <c r="T1161" i="8"/>
  <c r="A1162" i="8"/>
  <c r="N1162" i="8" l="1"/>
  <c r="M1162" i="8"/>
  <c r="T1162" i="8"/>
  <c r="A1163" i="8"/>
  <c r="N1163" i="8" l="1"/>
  <c r="M1163" i="8"/>
  <c r="T1163" i="8"/>
  <c r="A1164" i="8"/>
  <c r="N1164" i="8" l="1"/>
  <c r="M1164" i="8"/>
  <c r="T1164" i="8"/>
  <c r="A1165" i="8"/>
  <c r="N1165" i="8" l="1"/>
  <c r="M1165" i="8"/>
  <c r="T1165" i="8"/>
  <c r="A1166" i="8"/>
  <c r="N1166" i="8" l="1"/>
  <c r="M1166" i="8"/>
  <c r="T1166" i="8"/>
  <c r="A1167" i="8"/>
  <c r="N1167" i="8" l="1"/>
  <c r="M1167" i="8"/>
  <c r="T1167" i="8"/>
  <c r="A1168" i="8"/>
  <c r="N1168" i="8" l="1"/>
  <c r="M1168" i="8"/>
  <c r="T1168" i="8"/>
  <c r="A1169" i="8"/>
  <c r="N1169" i="8" l="1"/>
  <c r="M1169" i="8"/>
  <c r="T1169" i="8"/>
  <c r="A1170" i="8"/>
  <c r="N1170" i="8" l="1"/>
  <c r="M1170" i="8"/>
  <c r="T1170" i="8"/>
  <c r="A1171" i="8"/>
  <c r="N1171" i="8" l="1"/>
  <c r="M1171" i="8"/>
  <c r="T1171" i="8"/>
  <c r="A1172" i="8"/>
  <c r="M1172" i="8" l="1"/>
  <c r="N1172" i="8"/>
  <c r="T1172" i="8"/>
  <c r="A1173" i="8"/>
  <c r="N1173" i="8" l="1"/>
  <c r="M1173" i="8"/>
  <c r="T1173" i="8"/>
  <c r="A1174" i="8"/>
  <c r="N1174" i="8" l="1"/>
  <c r="M1174" i="8"/>
  <c r="T1174" i="8"/>
  <c r="A1175" i="8"/>
  <c r="N1175" i="8" l="1"/>
  <c r="M1175" i="8"/>
  <c r="T1175" i="8"/>
  <c r="A1176" i="8"/>
  <c r="N1176" i="8" l="1"/>
  <c r="M1176" i="8"/>
  <c r="T1176" i="8"/>
  <c r="A1177" i="8"/>
  <c r="N1177" i="8" l="1"/>
  <c r="M1177" i="8"/>
  <c r="T1177" i="8"/>
  <c r="A1178" i="8"/>
  <c r="N1178" i="8" l="1"/>
  <c r="M1178" i="8"/>
  <c r="T1178" i="8"/>
  <c r="A1179" i="8"/>
  <c r="N1179" i="8" l="1"/>
  <c r="M1179" i="8"/>
  <c r="T1179" i="8"/>
  <c r="A1180" i="8"/>
  <c r="N1180" i="8" l="1"/>
  <c r="M1180" i="8"/>
  <c r="T1180" i="8"/>
  <c r="A1181" i="8"/>
  <c r="N1181" i="8" l="1"/>
  <c r="M1181" i="8"/>
  <c r="T1181" i="8"/>
  <c r="A1182" i="8"/>
  <c r="N1182" i="8" l="1"/>
  <c r="M1182" i="8"/>
  <c r="T1182" i="8"/>
  <c r="A1183" i="8"/>
  <c r="N1183" i="8" l="1"/>
  <c r="M1183" i="8"/>
  <c r="T1183" i="8"/>
  <c r="A1184" i="8"/>
  <c r="N1184" i="8" l="1"/>
  <c r="M1184" i="8"/>
  <c r="T1184" i="8"/>
  <c r="A1185" i="8"/>
  <c r="M1185" i="8" l="1"/>
  <c r="N1185" i="8"/>
  <c r="T1185" i="8"/>
  <c r="A1186" i="8"/>
  <c r="N1186" i="8" l="1"/>
  <c r="M1186" i="8"/>
  <c r="T1186" i="8"/>
  <c r="A1187" i="8"/>
  <c r="N1187" i="8" l="1"/>
  <c r="M1187" i="8"/>
  <c r="T1187" i="8"/>
  <c r="A1188" i="8"/>
  <c r="M1188" i="8" l="1"/>
  <c r="N1188" i="8"/>
  <c r="T1188" i="8"/>
  <c r="A1189" i="8"/>
  <c r="N1189" i="8" l="1"/>
  <c r="M1189" i="8"/>
  <c r="T1189" i="8"/>
  <c r="A1190" i="8"/>
  <c r="N1190" i="8" l="1"/>
  <c r="M1190" i="8"/>
  <c r="T1190" i="8"/>
  <c r="A1191" i="8"/>
  <c r="N1191" i="8" l="1"/>
  <c r="M1191" i="8"/>
  <c r="T1191" i="8"/>
  <c r="A1192" i="8"/>
  <c r="N1192" i="8" l="1"/>
  <c r="M1192" i="8"/>
  <c r="T1192" i="8"/>
  <c r="A1193" i="8"/>
  <c r="M1193" i="8" l="1"/>
  <c r="N1193" i="8"/>
  <c r="T1193" i="8"/>
  <c r="A1194" i="8"/>
  <c r="N1194" i="8" l="1"/>
  <c r="M1194" i="8"/>
  <c r="T1194" i="8"/>
  <c r="A1195" i="8"/>
  <c r="N1195" i="8" l="1"/>
  <c r="M1195" i="8"/>
  <c r="T1195" i="8"/>
  <c r="A1196" i="8"/>
  <c r="N1196" i="8" l="1"/>
  <c r="M1196" i="8"/>
  <c r="T1196" i="8"/>
  <c r="A1197" i="8"/>
  <c r="N1197" i="8" l="1"/>
  <c r="M1197" i="8"/>
  <c r="T1197" i="8"/>
  <c r="A1198" i="8"/>
  <c r="N1198" i="8" l="1"/>
  <c r="M1198" i="8"/>
  <c r="T1198" i="8"/>
  <c r="A1199" i="8"/>
  <c r="N1199" i="8" l="1"/>
  <c r="M1199" i="8"/>
  <c r="T1199" i="8"/>
  <c r="A1200" i="8"/>
  <c r="N1200" i="8" l="1"/>
  <c r="M1200" i="8"/>
  <c r="T1200" i="8"/>
  <c r="A1201" i="8"/>
  <c r="N1201" i="8" l="1"/>
  <c r="M1201" i="8"/>
  <c r="T1201" i="8"/>
  <c r="A1202" i="8"/>
  <c r="N1202" i="8" l="1"/>
  <c r="M1202" i="8"/>
  <c r="T1202" i="8"/>
  <c r="A1203" i="8"/>
  <c r="N1203" i="8" l="1"/>
  <c r="M1203" i="8"/>
  <c r="T1203" i="8"/>
  <c r="A1204" i="8"/>
  <c r="N1204" i="8" l="1"/>
  <c r="M1204" i="8"/>
  <c r="T1204" i="8"/>
  <c r="A1205" i="8"/>
  <c r="N1205" i="8" l="1"/>
  <c r="M1205" i="8"/>
  <c r="T1205" i="8"/>
  <c r="A1206" i="8"/>
  <c r="N1206" i="8" l="1"/>
  <c r="M1206" i="8"/>
  <c r="T1206" i="8"/>
  <c r="A1207" i="8"/>
  <c r="N1207" i="8" l="1"/>
  <c r="M1207" i="8"/>
  <c r="T1207" i="8"/>
  <c r="A1208" i="8"/>
  <c r="N1208" i="8" l="1"/>
  <c r="M1208" i="8"/>
  <c r="T1208" i="8"/>
  <c r="A1209" i="8"/>
  <c r="M1209" i="8" l="1"/>
  <c r="N1209" i="8"/>
  <c r="T1209" i="8"/>
  <c r="A1210" i="8"/>
  <c r="N1210" i="8" l="1"/>
  <c r="M1210" i="8"/>
  <c r="T1210" i="8"/>
  <c r="A1211" i="8"/>
  <c r="N1211" i="8" l="1"/>
  <c r="M1211" i="8"/>
  <c r="T1211" i="8"/>
  <c r="A1212" i="8"/>
  <c r="N1212" i="8" l="1"/>
  <c r="M1212" i="8"/>
  <c r="T1212" i="8"/>
  <c r="A1213" i="8"/>
  <c r="N1213" i="8" l="1"/>
  <c r="M1213" i="8"/>
  <c r="T1213" i="8"/>
  <c r="A1214" i="8"/>
  <c r="N1214" i="8" l="1"/>
  <c r="M1214" i="8"/>
  <c r="T1214" i="8"/>
  <c r="A1215" i="8"/>
  <c r="N1215" i="8" l="1"/>
  <c r="M1215" i="8"/>
  <c r="T1215" i="8"/>
  <c r="A1216" i="8"/>
  <c r="M1216" i="8" l="1"/>
  <c r="N1216" i="8"/>
  <c r="T1216" i="8"/>
  <c r="A1217" i="8"/>
  <c r="N1217" i="8" l="1"/>
  <c r="M1217" i="8"/>
  <c r="T1217" i="8"/>
  <c r="A1218" i="8"/>
  <c r="N1218" i="8" l="1"/>
  <c r="M1218" i="8"/>
  <c r="T1218" i="8"/>
  <c r="A1219" i="8"/>
  <c r="N1219" i="8" l="1"/>
  <c r="M1219" i="8"/>
  <c r="T1219" i="8"/>
  <c r="A1220" i="8"/>
  <c r="M1220" i="8" l="1"/>
  <c r="N1220" i="8"/>
  <c r="T1220" i="8"/>
  <c r="A1221" i="8"/>
  <c r="M1221" i="8" l="1"/>
  <c r="N1221" i="8"/>
  <c r="T1221" i="8"/>
  <c r="A1222" i="8"/>
  <c r="N1222" i="8" l="1"/>
  <c r="M1222" i="8"/>
  <c r="T1222" i="8"/>
  <c r="A1223" i="8"/>
  <c r="N1223" i="8" l="1"/>
  <c r="M1223" i="8"/>
  <c r="T1223" i="8"/>
  <c r="A1224" i="8"/>
  <c r="N1224" i="8" l="1"/>
  <c r="M1224" i="8"/>
  <c r="T1224" i="8"/>
  <c r="A1225" i="8"/>
  <c r="N1225" i="8" l="1"/>
  <c r="M1225" i="8"/>
  <c r="T1225" i="8"/>
  <c r="A1226" i="8"/>
  <c r="N1226" i="8" l="1"/>
  <c r="M1226" i="8"/>
  <c r="T1226" i="8"/>
  <c r="A1227" i="8"/>
  <c r="N1227" i="8" l="1"/>
  <c r="M1227" i="8"/>
  <c r="T1227" i="8"/>
  <c r="A1228" i="8"/>
  <c r="N1228" i="8" l="1"/>
  <c r="M1228" i="8"/>
  <c r="T1228" i="8"/>
  <c r="A1229" i="8"/>
  <c r="N1229" i="8" l="1"/>
  <c r="M1229" i="8"/>
  <c r="T1229" i="8"/>
  <c r="A1230" i="8"/>
  <c r="N1230" i="8" l="1"/>
  <c r="M1230" i="8"/>
  <c r="T1230" i="8"/>
  <c r="A1231" i="8"/>
  <c r="N1231" i="8" l="1"/>
  <c r="M1231" i="8"/>
  <c r="T1231" i="8"/>
  <c r="A1232" i="8"/>
  <c r="N1232" i="8" l="1"/>
  <c r="M1232" i="8"/>
  <c r="T1232" i="8"/>
  <c r="A1233" i="8"/>
  <c r="N1233" i="8" l="1"/>
  <c r="M1233" i="8"/>
  <c r="T1233" i="8"/>
  <c r="A1234" i="8"/>
  <c r="N1234" i="8" l="1"/>
  <c r="M1234" i="8"/>
  <c r="T1234" i="8"/>
  <c r="A1235" i="8"/>
  <c r="M1235" i="8" l="1"/>
  <c r="N1235" i="8"/>
  <c r="T1235" i="8"/>
  <c r="A1236" i="8"/>
  <c r="N1236" i="8" l="1"/>
  <c r="M1236" i="8"/>
  <c r="T1236" i="8"/>
  <c r="A1237" i="8"/>
  <c r="M1237" i="8" l="1"/>
  <c r="N1237" i="8"/>
  <c r="T1237" i="8"/>
  <c r="A1238" i="8"/>
  <c r="N1238" i="8" l="1"/>
  <c r="M1238" i="8"/>
  <c r="T1238" i="8"/>
  <c r="A1239" i="8"/>
  <c r="N1239" i="8" l="1"/>
  <c r="M1239" i="8"/>
  <c r="T1239" i="8"/>
  <c r="A1240" i="8"/>
  <c r="N1240" i="8" l="1"/>
  <c r="M1240" i="8"/>
  <c r="T1240" i="8"/>
  <c r="A1241" i="8"/>
  <c r="N1241" i="8" l="1"/>
  <c r="M1241" i="8"/>
  <c r="T1241" i="8"/>
  <c r="A1242" i="8"/>
  <c r="N1242" i="8" l="1"/>
  <c r="M1242" i="8"/>
  <c r="T1242" i="8"/>
  <c r="A1243" i="8"/>
  <c r="N1243" i="8" l="1"/>
  <c r="M1243" i="8"/>
  <c r="T1243" i="8"/>
  <c r="A1244" i="8"/>
  <c r="N1244" i="8" l="1"/>
  <c r="M1244" i="8"/>
  <c r="T1244" i="8"/>
  <c r="A1245" i="8"/>
  <c r="N1245" i="8" l="1"/>
  <c r="M1245" i="8"/>
  <c r="T1245" i="8"/>
  <c r="A1246" i="8"/>
  <c r="N1246" i="8" l="1"/>
  <c r="M1246" i="8"/>
  <c r="T1246" i="8"/>
  <c r="A1247" i="8"/>
  <c r="N1247" i="8" l="1"/>
  <c r="M1247" i="8"/>
  <c r="T1247" i="8"/>
  <c r="A1248" i="8"/>
  <c r="M1248" i="8" l="1"/>
  <c r="N1248" i="8"/>
  <c r="T1248" i="8"/>
  <c r="A1249" i="8"/>
  <c r="N1249" i="8" l="1"/>
  <c r="M1249" i="8"/>
  <c r="T1249" i="8"/>
  <c r="A1250" i="8"/>
  <c r="N1250" i="8" l="1"/>
  <c r="M1250" i="8"/>
  <c r="T1250" i="8"/>
  <c r="A1251" i="8"/>
  <c r="N1251" i="8" l="1"/>
  <c r="M1251" i="8"/>
  <c r="T1251" i="8"/>
  <c r="A1252" i="8"/>
  <c r="N1252" i="8" l="1"/>
  <c r="M1252" i="8"/>
  <c r="T1252" i="8"/>
  <c r="A1253" i="8"/>
  <c r="N1253" i="8" l="1"/>
  <c r="M1253" i="8"/>
  <c r="T1253" i="8"/>
  <c r="A1254" i="8"/>
  <c r="M1254" i="8" l="1"/>
  <c r="N1254" i="8"/>
  <c r="T1254" i="8"/>
  <c r="A1255" i="8"/>
  <c r="N1255" i="8" l="1"/>
  <c r="M1255" i="8"/>
  <c r="T1255" i="8"/>
  <c r="A1256" i="8"/>
  <c r="N1256" i="8" l="1"/>
  <c r="M1256" i="8"/>
  <c r="T1256" i="8"/>
  <c r="A1257" i="8"/>
  <c r="N1257" i="8" l="1"/>
  <c r="M1257" i="8"/>
  <c r="T1257" i="8"/>
  <c r="A1258" i="8"/>
  <c r="N1258" i="8" l="1"/>
  <c r="M1258" i="8"/>
  <c r="T1258" i="8"/>
  <c r="A1259" i="8"/>
  <c r="N1259" i="8" l="1"/>
  <c r="M1259" i="8"/>
  <c r="T1259" i="8"/>
  <c r="A1260" i="8"/>
  <c r="N1260" i="8" l="1"/>
  <c r="M1260" i="8"/>
  <c r="T1260" i="8"/>
  <c r="A1261" i="8"/>
  <c r="N1261" i="8" l="1"/>
  <c r="M1261" i="8"/>
  <c r="T1261" i="8"/>
  <c r="A1262" i="8"/>
  <c r="N1262" i="8" l="1"/>
  <c r="M1262" i="8"/>
  <c r="T1262" i="8"/>
  <c r="A1263" i="8"/>
  <c r="N1263" i="8" l="1"/>
  <c r="M1263" i="8"/>
  <c r="T1263" i="8"/>
  <c r="A1264" i="8"/>
  <c r="N1264" i="8" l="1"/>
  <c r="M1264" i="8"/>
  <c r="T1264" i="8"/>
  <c r="A1265" i="8"/>
  <c r="N1265" i="8" l="1"/>
  <c r="M1265" i="8"/>
  <c r="T1265" i="8"/>
  <c r="A1266" i="8"/>
  <c r="M1266" i="8" l="1"/>
  <c r="N1266" i="8"/>
  <c r="T1266" i="8"/>
  <c r="A1267" i="8"/>
  <c r="M1267" i="8" l="1"/>
  <c r="N1267" i="8"/>
  <c r="T1267" i="8"/>
  <c r="A1268" i="8"/>
  <c r="N1268" i="8" l="1"/>
  <c r="M1268" i="8"/>
  <c r="T1268" i="8"/>
  <c r="A1269" i="8"/>
  <c r="N1269" i="8" l="1"/>
  <c r="M1269" i="8"/>
  <c r="T1269" i="8"/>
  <c r="A1270" i="8"/>
  <c r="N1270" i="8" l="1"/>
  <c r="M1270" i="8"/>
  <c r="T1270" i="8"/>
  <c r="A1271" i="8"/>
  <c r="N1271" i="8" l="1"/>
  <c r="M1271" i="8"/>
  <c r="T1271" i="8"/>
  <c r="A1272" i="8"/>
  <c r="N1272" i="8" l="1"/>
  <c r="M1272" i="8"/>
  <c r="T1272" i="8"/>
  <c r="A1273" i="8"/>
  <c r="N1273" i="8" l="1"/>
  <c r="M1273" i="8"/>
  <c r="T1273" i="8"/>
  <c r="A1274" i="8"/>
  <c r="N1274" i="8" l="1"/>
  <c r="M1274" i="8"/>
  <c r="T1274" i="8"/>
  <c r="A1275" i="8"/>
  <c r="N1275" i="8" l="1"/>
  <c r="M1275" i="8"/>
  <c r="T1275" i="8"/>
  <c r="A1276" i="8"/>
  <c r="N1276" i="8" l="1"/>
  <c r="M1276" i="8"/>
  <c r="T1276" i="8"/>
  <c r="A1277" i="8"/>
  <c r="N1277" i="8" l="1"/>
  <c r="M1277" i="8"/>
  <c r="T1277" i="8"/>
  <c r="A1278" i="8"/>
  <c r="N1278" i="8" l="1"/>
  <c r="M1278" i="8"/>
  <c r="T1278" i="8"/>
  <c r="A1279" i="8"/>
  <c r="N1279" i="8" l="1"/>
  <c r="M1279" i="8"/>
  <c r="T1279" i="8"/>
  <c r="A1280" i="8"/>
  <c r="N1280" i="8" l="1"/>
  <c r="M1280" i="8"/>
  <c r="T1280" i="8"/>
  <c r="A1281" i="8"/>
  <c r="N1281" i="8" l="1"/>
  <c r="M1281" i="8"/>
  <c r="T1281" i="8"/>
  <c r="A1282" i="8"/>
  <c r="N1282" i="8" l="1"/>
  <c r="M1282" i="8"/>
  <c r="T1282" i="8"/>
  <c r="A1283" i="8"/>
  <c r="N1283" i="8" l="1"/>
  <c r="M1283" i="8"/>
  <c r="T1283" i="8"/>
  <c r="A1284" i="8"/>
  <c r="N1284" i="8" l="1"/>
  <c r="M1284" i="8"/>
  <c r="T1284" i="8"/>
  <c r="A1285" i="8"/>
  <c r="N1285" i="8" l="1"/>
  <c r="M1285" i="8"/>
  <c r="T1285" i="8"/>
  <c r="A1286" i="8"/>
  <c r="N1286" i="8" l="1"/>
  <c r="M1286" i="8"/>
  <c r="T1286" i="8"/>
  <c r="A1287" i="8"/>
  <c r="N1287" i="8" l="1"/>
  <c r="M1287" i="8"/>
  <c r="T1287" i="8"/>
  <c r="A1288" i="8"/>
  <c r="M1288" i="8" l="1"/>
  <c r="N1288" i="8"/>
  <c r="T1288" i="8"/>
  <c r="A1289" i="8"/>
  <c r="N1289" i="8" l="1"/>
  <c r="M1289" i="8"/>
  <c r="T1289" i="8"/>
  <c r="A1290" i="8"/>
  <c r="N1290" i="8" l="1"/>
  <c r="M1290" i="8"/>
  <c r="T1290" i="8"/>
  <c r="A1291" i="8"/>
  <c r="M1291" i="8" l="1"/>
  <c r="N1291" i="8"/>
  <c r="T1291" i="8"/>
  <c r="A1292" i="8"/>
  <c r="N1292" i="8" l="1"/>
  <c r="M1292" i="8"/>
  <c r="T1292" i="8"/>
  <c r="A1293" i="8"/>
  <c r="N1293" i="8" l="1"/>
  <c r="M1293" i="8"/>
  <c r="T1293" i="8"/>
  <c r="A1294" i="8"/>
  <c r="N1294" i="8" l="1"/>
  <c r="M1294" i="8"/>
  <c r="T1294" i="8"/>
  <c r="A1295" i="8"/>
  <c r="N1295" i="8" l="1"/>
  <c r="M1295" i="8"/>
  <c r="T1295" i="8"/>
  <c r="A1296" i="8"/>
  <c r="N1296" i="8" l="1"/>
  <c r="M1296" i="8"/>
  <c r="T1296" i="8"/>
  <c r="A1297" i="8"/>
  <c r="M1297" i="8" l="1"/>
  <c r="N1297" i="8"/>
  <c r="T1297" i="8"/>
  <c r="A1298" i="8"/>
  <c r="M1298" i="8" l="1"/>
  <c r="N1298" i="8"/>
  <c r="T1298" i="8"/>
  <c r="A1299" i="8"/>
  <c r="N1299" i="8" l="1"/>
  <c r="M1299" i="8"/>
  <c r="T1299" i="8"/>
  <c r="A1300" i="8"/>
  <c r="N1300" i="8" l="1"/>
  <c r="M1300" i="8"/>
  <c r="T1300" i="8"/>
  <c r="A1301" i="8"/>
  <c r="N1301" i="8" l="1"/>
  <c r="M1301" i="8"/>
  <c r="T1301" i="8"/>
  <c r="A1302" i="8"/>
  <c r="N1302" i="8" l="1"/>
  <c r="M1302" i="8"/>
  <c r="T1302" i="8"/>
  <c r="A1303" i="8"/>
  <c r="N1303" i="8" l="1"/>
  <c r="M1303" i="8"/>
  <c r="T1303" i="8"/>
  <c r="A1304" i="8"/>
  <c r="N1304" i="8" l="1"/>
  <c r="M1304" i="8"/>
  <c r="T1304" i="8"/>
  <c r="A1305" i="8"/>
  <c r="N1305" i="8" l="1"/>
  <c r="M1305" i="8"/>
  <c r="T1305" i="8"/>
  <c r="A1306" i="8"/>
  <c r="M1306" i="8" l="1"/>
  <c r="N1306" i="8"/>
  <c r="T1306" i="8"/>
  <c r="A1307" i="8"/>
  <c r="M1307" i="8" l="1"/>
  <c r="N1307" i="8"/>
  <c r="T1307" i="8"/>
  <c r="A1308" i="8"/>
  <c r="M1308" i="8" l="1"/>
  <c r="N1308" i="8"/>
  <c r="T1308" i="8"/>
  <c r="A1309" i="8"/>
  <c r="M1309" i="8" l="1"/>
  <c r="N1309" i="8"/>
  <c r="T1309" i="8"/>
  <c r="A1310" i="8"/>
  <c r="M1310" i="8" l="1"/>
  <c r="N1310" i="8"/>
  <c r="T1310" i="8"/>
  <c r="A1311" i="8"/>
  <c r="M1311" i="8" l="1"/>
  <c r="N1311" i="8"/>
  <c r="T1311" i="8"/>
  <c r="A1312" i="8"/>
  <c r="N1312" i="8" l="1"/>
  <c r="M1312" i="8"/>
  <c r="T1312" i="8"/>
  <c r="A1313" i="8"/>
  <c r="N1313" i="8" l="1"/>
  <c r="M1313" i="8"/>
  <c r="T1313" i="8"/>
  <c r="A1314" i="8"/>
  <c r="N1314" i="8" l="1"/>
  <c r="M1314" i="8"/>
  <c r="T1314" i="8"/>
  <c r="A1315" i="8"/>
  <c r="N1315" i="8" l="1"/>
  <c r="M1315" i="8"/>
  <c r="T1315" i="8"/>
  <c r="A1316" i="8"/>
  <c r="N1316" i="8" l="1"/>
  <c r="M1316" i="8"/>
  <c r="T1316" i="8"/>
  <c r="A1317" i="8"/>
  <c r="N1317" i="8" l="1"/>
  <c r="M1317" i="8"/>
  <c r="T1317" i="8"/>
  <c r="A1318" i="8"/>
  <c r="N1318" i="8" l="1"/>
  <c r="M1318" i="8"/>
  <c r="T1318" i="8"/>
  <c r="A1319" i="8"/>
  <c r="N1319" i="8" l="1"/>
  <c r="M1319" i="8"/>
  <c r="T1319" i="8"/>
  <c r="A1320" i="8"/>
  <c r="N1320" i="8" l="1"/>
  <c r="M1320" i="8"/>
  <c r="T1320" i="8"/>
  <c r="A1321" i="8"/>
  <c r="N1321" i="8" l="1"/>
  <c r="M1321" i="8"/>
  <c r="T1321" i="8"/>
  <c r="A1322" i="8"/>
  <c r="N1322" i="8" l="1"/>
  <c r="M1322" i="8"/>
  <c r="T1322" i="8"/>
  <c r="A1323" i="8"/>
  <c r="N1323" i="8" l="1"/>
  <c r="M1323" i="8"/>
  <c r="T1323" i="8"/>
  <c r="A1324" i="8"/>
  <c r="N1324" i="8" l="1"/>
  <c r="M1324" i="8"/>
  <c r="T1324" i="8"/>
  <c r="A1325" i="8"/>
  <c r="N1325" i="8" l="1"/>
  <c r="M1325" i="8"/>
  <c r="T1325" i="8"/>
  <c r="A1326" i="8"/>
  <c r="N1326" i="8" l="1"/>
  <c r="M1326" i="8"/>
  <c r="T1326" i="8"/>
  <c r="A1327" i="8"/>
  <c r="N1327" i="8" l="1"/>
  <c r="M1327" i="8"/>
  <c r="T1327" i="8"/>
  <c r="A1328" i="8"/>
  <c r="N1328" i="8" l="1"/>
  <c r="M1328" i="8"/>
  <c r="T1328" i="8"/>
  <c r="A1329" i="8"/>
  <c r="N1329" i="8" l="1"/>
  <c r="M1329" i="8"/>
  <c r="T1329" i="8"/>
  <c r="A1330" i="8"/>
  <c r="N1330" i="8" l="1"/>
  <c r="M1330" i="8"/>
  <c r="T1330" i="8"/>
  <c r="A1331" i="8"/>
  <c r="N1331" i="8" l="1"/>
  <c r="M1331" i="8"/>
  <c r="T1331" i="8"/>
  <c r="A1332" i="8"/>
  <c r="N1332" i="8" l="1"/>
  <c r="M1332" i="8"/>
  <c r="T1332" i="8"/>
  <c r="A1333" i="8"/>
  <c r="N1333" i="8" l="1"/>
  <c r="M1333" i="8"/>
  <c r="T1333" i="8"/>
  <c r="A1334" i="8"/>
  <c r="M1334" i="8" l="1"/>
  <c r="N1334" i="8"/>
  <c r="T1334" i="8"/>
  <c r="A1335" i="8"/>
  <c r="N1335" i="8" l="1"/>
  <c r="M1335" i="8"/>
  <c r="T1335" i="8"/>
  <c r="A1336" i="8"/>
  <c r="N1336" i="8" l="1"/>
  <c r="M1336" i="8"/>
  <c r="T1336" i="8"/>
  <c r="A1337" i="8"/>
  <c r="N1337" i="8" l="1"/>
  <c r="M1337" i="8"/>
  <c r="T1337" i="8"/>
  <c r="A1338" i="8"/>
  <c r="M1338" i="8" l="1"/>
  <c r="N1338" i="8"/>
  <c r="T1338" i="8"/>
  <c r="A1339" i="8"/>
  <c r="N1339" i="8" l="1"/>
  <c r="M1339" i="8"/>
  <c r="T1339" i="8"/>
  <c r="A1340" i="8"/>
  <c r="N1340" i="8" l="1"/>
  <c r="M1340" i="8"/>
  <c r="T1340" i="8"/>
  <c r="A1341" i="8"/>
  <c r="N1341" i="8" l="1"/>
  <c r="M1341" i="8"/>
  <c r="T1341" i="8"/>
  <c r="A1342" i="8"/>
  <c r="N1342" i="8" l="1"/>
  <c r="M1342" i="8"/>
  <c r="T1342" i="8"/>
  <c r="A1343" i="8"/>
  <c r="N1343" i="8" l="1"/>
  <c r="M1343" i="8"/>
  <c r="T1343" i="8"/>
  <c r="A1344" i="8"/>
  <c r="N1344" i="8" l="1"/>
  <c r="M1344" i="8"/>
  <c r="T1344" i="8"/>
  <c r="A1345" i="8"/>
  <c r="M1345" i="8" l="1"/>
  <c r="N1345" i="8"/>
  <c r="T1345" i="8"/>
  <c r="A1346" i="8"/>
  <c r="N1346" i="8" l="1"/>
  <c r="M1346" i="8"/>
  <c r="T1346" i="8"/>
  <c r="A1347" i="8"/>
  <c r="N1347" i="8" l="1"/>
  <c r="M1347" i="8"/>
  <c r="T1347" i="8"/>
  <c r="A1348" i="8"/>
  <c r="N1348" i="8" l="1"/>
  <c r="M1348" i="8"/>
  <c r="T1348" i="8"/>
  <c r="A1349" i="8"/>
  <c r="N1349" i="8" l="1"/>
  <c r="M1349" i="8"/>
  <c r="T1349" i="8"/>
  <c r="A1350" i="8"/>
  <c r="N1350" i="8" l="1"/>
  <c r="M1350" i="8"/>
  <c r="T1350" i="8"/>
  <c r="A1351" i="8"/>
  <c r="N1351" i="8" l="1"/>
  <c r="M1351" i="8"/>
  <c r="T1351" i="8"/>
  <c r="A1352" i="8"/>
  <c r="N1352" i="8" l="1"/>
  <c r="M1352" i="8"/>
  <c r="T1352" i="8"/>
  <c r="A1353" i="8"/>
  <c r="N1353" i="8" l="1"/>
  <c r="M1353" i="8"/>
  <c r="T1353" i="8"/>
  <c r="A1354" i="8"/>
  <c r="N1354" i="8" l="1"/>
  <c r="M1354" i="8"/>
  <c r="T1354" i="8"/>
  <c r="A1355" i="8"/>
  <c r="N1355" i="8" l="1"/>
  <c r="M1355" i="8"/>
  <c r="T1355" i="8"/>
  <c r="A1356" i="8"/>
  <c r="N1356" i="8" l="1"/>
  <c r="M1356" i="8"/>
  <c r="T1356" i="8"/>
  <c r="A1357" i="8"/>
  <c r="N1357" i="8" l="1"/>
  <c r="M1357" i="8"/>
  <c r="T1357" i="8"/>
  <c r="A1358" i="8"/>
  <c r="N1358" i="8" l="1"/>
  <c r="M1358" i="8"/>
  <c r="T1358" i="8"/>
  <c r="A1359" i="8"/>
  <c r="N1359" i="8" l="1"/>
  <c r="M1359" i="8"/>
  <c r="T1359" i="8"/>
  <c r="A1360" i="8"/>
  <c r="N1360" i="8" l="1"/>
  <c r="M1360" i="8"/>
  <c r="T1360" i="8"/>
  <c r="A1361" i="8"/>
  <c r="N1361" i="8" l="1"/>
  <c r="M1361" i="8"/>
  <c r="T1361" i="8"/>
  <c r="A1362" i="8"/>
  <c r="N1362" i="8" l="1"/>
  <c r="M1362" i="8"/>
  <c r="T1362" i="8"/>
  <c r="A1363" i="8"/>
  <c r="M1363" i="8" l="1"/>
  <c r="N1363" i="8"/>
  <c r="T1363" i="8"/>
  <c r="A1364" i="8"/>
  <c r="N1364" i="8" l="1"/>
  <c r="M1364" i="8"/>
  <c r="T1364" i="8"/>
  <c r="A1365" i="8"/>
  <c r="N1365" i="8" l="1"/>
  <c r="M1365" i="8"/>
  <c r="T1365" i="8"/>
  <c r="A1366" i="8"/>
  <c r="N1366" i="8" l="1"/>
  <c r="M1366" i="8"/>
  <c r="T1366" i="8"/>
  <c r="A1367" i="8"/>
  <c r="N1367" i="8" l="1"/>
  <c r="M1367" i="8"/>
  <c r="T1367" i="8"/>
  <c r="A1368" i="8"/>
  <c r="N1368" i="8" l="1"/>
  <c r="M1368" i="8"/>
  <c r="T1368" i="8"/>
  <c r="A1369" i="8"/>
  <c r="N1369" i="8" l="1"/>
  <c r="M1369" i="8"/>
  <c r="T1369" i="8"/>
  <c r="A1370" i="8"/>
  <c r="N1370" i="8" l="1"/>
  <c r="M1370" i="8"/>
  <c r="T1370" i="8"/>
  <c r="A1371" i="8"/>
  <c r="N1371" i="8" l="1"/>
  <c r="M1371" i="8"/>
  <c r="T1371" i="8"/>
  <c r="A1372" i="8"/>
  <c r="N1372" i="8" l="1"/>
  <c r="M1372" i="8"/>
  <c r="T1372" i="8"/>
  <c r="A1373" i="8"/>
  <c r="N1373" i="8" l="1"/>
  <c r="M1373" i="8"/>
  <c r="T1373" i="8"/>
  <c r="A1374" i="8"/>
  <c r="N1374" i="8" l="1"/>
  <c r="M1374" i="8"/>
  <c r="T1374" i="8"/>
  <c r="A1375" i="8"/>
  <c r="N1375" i="8" l="1"/>
  <c r="M1375" i="8"/>
  <c r="T1375" i="8"/>
  <c r="A1376" i="8"/>
  <c r="M1376" i="8" l="1"/>
  <c r="N1376" i="8"/>
  <c r="T1376" i="8"/>
  <c r="A1377" i="8"/>
  <c r="N1377" i="8" l="1"/>
  <c r="M1377" i="8"/>
  <c r="T1377" i="8"/>
  <c r="A1378" i="8"/>
  <c r="N1378" i="8" l="1"/>
  <c r="M1378" i="8"/>
  <c r="T1378" i="8"/>
  <c r="A1379" i="8"/>
  <c r="N1379" i="8" l="1"/>
  <c r="M1379" i="8"/>
  <c r="T1379" i="8"/>
  <c r="A1380" i="8"/>
  <c r="N1380" i="8" l="1"/>
  <c r="M1380" i="8"/>
  <c r="T1380" i="8"/>
  <c r="A1381" i="8"/>
  <c r="N1381" i="8" l="1"/>
  <c r="M1381" i="8"/>
  <c r="T1381" i="8"/>
  <c r="A1382" i="8"/>
  <c r="M1382" i="8" l="1"/>
  <c r="N1382" i="8"/>
  <c r="T1382" i="8"/>
  <c r="A1383" i="8"/>
  <c r="N1383" i="8" l="1"/>
  <c r="M1383" i="8"/>
  <c r="T1383" i="8"/>
  <c r="A1384" i="8"/>
  <c r="N1384" i="8" l="1"/>
  <c r="M1384" i="8"/>
  <c r="T1384" i="8"/>
  <c r="A1385" i="8"/>
  <c r="M1385" i="8" l="1"/>
  <c r="N1385" i="8"/>
  <c r="T1385" i="8"/>
  <c r="A1386" i="8"/>
  <c r="N1386" i="8" l="1"/>
  <c r="M1386" i="8"/>
  <c r="T1386" i="8"/>
  <c r="A1387" i="8"/>
  <c r="N1387" i="8" l="1"/>
  <c r="M1387" i="8"/>
  <c r="T1387" i="8"/>
  <c r="A1388" i="8"/>
  <c r="N1388" i="8" l="1"/>
  <c r="M1388" i="8"/>
  <c r="T1388" i="8"/>
  <c r="A1389" i="8"/>
  <c r="N1389" i="8" l="1"/>
  <c r="M1389" i="8"/>
  <c r="T1389" i="8"/>
  <c r="A1390" i="8"/>
  <c r="N1390" i="8" l="1"/>
  <c r="M1390" i="8"/>
  <c r="T1390" i="8"/>
  <c r="A1391" i="8"/>
  <c r="N1391" i="8" l="1"/>
  <c r="M1391" i="8"/>
  <c r="T1391" i="8"/>
  <c r="A1392" i="8"/>
  <c r="N1392" i="8" l="1"/>
  <c r="M1392" i="8"/>
  <c r="T1392" i="8"/>
  <c r="A1393" i="8"/>
  <c r="M1393" i="8" l="1"/>
  <c r="N1393" i="8"/>
  <c r="T1393" i="8"/>
  <c r="A1394" i="8"/>
  <c r="N1394" i="8" l="1"/>
  <c r="M1394" i="8"/>
  <c r="T1394" i="8"/>
  <c r="A1395" i="8"/>
  <c r="M1395" i="8" l="1"/>
  <c r="N1395" i="8"/>
  <c r="T1395" i="8"/>
  <c r="A1396" i="8"/>
  <c r="N1396" i="8" l="1"/>
  <c r="M1396" i="8"/>
  <c r="T1396" i="8"/>
  <c r="A1397" i="8"/>
  <c r="N1397" i="8" l="1"/>
  <c r="M1397" i="8"/>
  <c r="T1397" i="8"/>
  <c r="A1398" i="8"/>
  <c r="N1398" i="8" l="1"/>
  <c r="M1398" i="8"/>
  <c r="T1398" i="8"/>
  <c r="A1399" i="8"/>
  <c r="N1399" i="8" l="1"/>
  <c r="M1399" i="8"/>
  <c r="T1399" i="8"/>
  <c r="A1400" i="8"/>
  <c r="N1400" i="8" l="1"/>
  <c r="M1400" i="8"/>
  <c r="T1400" i="8"/>
  <c r="A1401" i="8"/>
  <c r="N1401" i="8" l="1"/>
  <c r="M1401" i="8"/>
  <c r="T1401" i="8"/>
  <c r="A1402" i="8"/>
  <c r="M1402" i="8" l="1"/>
  <c r="N1402" i="8"/>
  <c r="T1402" i="8"/>
  <c r="A1403" i="8"/>
  <c r="N1403" i="8" l="1"/>
  <c r="M1403" i="8"/>
  <c r="T1403" i="8"/>
  <c r="A1404" i="8"/>
  <c r="N1404" i="8" l="1"/>
  <c r="M1404" i="8"/>
  <c r="T1404" i="8"/>
  <c r="A1405" i="8"/>
  <c r="N1405" i="8" l="1"/>
  <c r="M1405" i="8"/>
  <c r="T1405" i="8"/>
  <c r="A1406" i="8"/>
  <c r="N1406" i="8" l="1"/>
  <c r="M1406" i="8"/>
  <c r="T1406" i="8"/>
  <c r="A1407" i="8"/>
  <c r="N1407" i="8" l="1"/>
  <c r="M1407" i="8"/>
  <c r="T1407" i="8"/>
  <c r="A1408" i="8"/>
  <c r="N1408" i="8" l="1"/>
  <c r="M1408" i="8"/>
  <c r="T1408" i="8"/>
  <c r="A1409" i="8"/>
  <c r="N1409" i="8" l="1"/>
  <c r="M1409" i="8"/>
  <c r="T1409" i="8"/>
  <c r="A1410" i="8"/>
  <c r="N1410" i="8" l="1"/>
  <c r="M1410" i="8"/>
  <c r="T1410" i="8"/>
  <c r="A1411" i="8"/>
  <c r="N1411" i="8" l="1"/>
  <c r="M1411" i="8"/>
  <c r="T1411" i="8"/>
  <c r="A1412" i="8"/>
  <c r="N1412" i="8" l="1"/>
  <c r="M1412" i="8"/>
  <c r="T1412" i="8"/>
  <c r="A1413" i="8"/>
  <c r="N1413" i="8" l="1"/>
  <c r="M1413" i="8"/>
  <c r="T1413" i="8"/>
  <c r="A1414" i="8"/>
  <c r="N1414" i="8" l="1"/>
  <c r="M1414" i="8"/>
  <c r="T1414" i="8"/>
  <c r="A1415" i="8"/>
  <c r="N1415" i="8" l="1"/>
  <c r="M1415" i="8"/>
  <c r="T1415" i="8"/>
  <c r="A1416" i="8"/>
  <c r="N1416" i="8" l="1"/>
  <c r="M1416" i="8"/>
  <c r="T1416" i="8"/>
  <c r="A1417" i="8"/>
  <c r="N1417" i="8" l="1"/>
  <c r="M1417" i="8"/>
  <c r="T1417" i="8"/>
  <c r="A1418" i="8"/>
  <c r="N1418" i="8" l="1"/>
  <c r="M1418" i="8"/>
  <c r="T1418" i="8"/>
  <c r="A1419" i="8"/>
  <c r="N1419" i="8" l="1"/>
  <c r="M1419" i="8"/>
  <c r="T1419" i="8"/>
  <c r="A1420" i="8"/>
  <c r="N1420" i="8" l="1"/>
  <c r="M1420" i="8"/>
  <c r="T1420" i="8"/>
  <c r="A1421" i="8"/>
  <c r="N1421" i="8" l="1"/>
  <c r="M1421" i="8"/>
  <c r="T1421" i="8"/>
  <c r="A1422" i="8"/>
  <c r="M1422" i="8" l="1"/>
  <c r="N1422" i="8"/>
  <c r="T1422" i="8"/>
  <c r="A1423" i="8"/>
  <c r="N1423" i="8" l="1"/>
  <c r="M1423" i="8"/>
  <c r="T1423" i="8"/>
  <c r="A1424" i="8"/>
  <c r="N1424" i="8" l="1"/>
  <c r="M1424" i="8"/>
  <c r="T1424" i="8"/>
  <c r="A1425" i="8"/>
  <c r="M1425" i="8" l="1"/>
  <c r="N1425" i="8"/>
  <c r="T1425" i="8"/>
  <c r="A1426" i="8"/>
  <c r="N1426" i="8" l="1"/>
  <c r="M1426" i="8"/>
  <c r="T1426" i="8"/>
  <c r="A1427" i="8"/>
  <c r="N1427" i="8" l="1"/>
  <c r="M1427" i="8"/>
  <c r="T1427" i="8"/>
  <c r="A1428" i="8"/>
  <c r="N1428" i="8" l="1"/>
  <c r="M1428" i="8"/>
  <c r="T1428" i="8"/>
  <c r="A1429" i="8"/>
  <c r="N1429" i="8" l="1"/>
  <c r="M1429" i="8"/>
  <c r="T1429" i="8"/>
  <c r="A1430" i="8"/>
  <c r="N1430" i="8" l="1"/>
  <c r="M1430" i="8"/>
  <c r="T1430" i="8"/>
  <c r="A1431" i="8"/>
  <c r="N1431" i="8" l="1"/>
  <c r="M1431" i="8"/>
  <c r="T1431" i="8"/>
  <c r="A1432" i="8"/>
  <c r="N1432" i="8" l="1"/>
  <c r="M1432" i="8"/>
  <c r="T1432" i="8"/>
  <c r="A1433" i="8"/>
  <c r="M1433" i="8" l="1"/>
  <c r="N1433" i="8"/>
  <c r="T1433" i="8"/>
  <c r="A1434" i="8"/>
  <c r="N1434" i="8" l="1"/>
  <c r="M1434" i="8"/>
  <c r="T1434" i="8"/>
  <c r="A1435" i="8"/>
  <c r="N1435" i="8" l="1"/>
  <c r="M1435" i="8"/>
  <c r="T1435" i="8"/>
  <c r="A1436" i="8"/>
  <c r="N1436" i="8" l="1"/>
  <c r="M1436" i="8"/>
  <c r="T1436" i="8"/>
  <c r="A1437" i="8"/>
  <c r="N1437" i="8" l="1"/>
  <c r="M1437" i="8"/>
  <c r="T1437" i="8"/>
  <c r="A1438" i="8"/>
  <c r="N1438" i="8" l="1"/>
  <c r="M1438" i="8"/>
  <c r="T1438" i="8"/>
  <c r="A1439" i="8"/>
  <c r="M1439" i="8" l="1"/>
  <c r="N1439" i="8"/>
  <c r="T1439" i="8"/>
  <c r="A1440" i="8"/>
  <c r="M1440" i="8" l="1"/>
  <c r="N1440" i="8"/>
  <c r="T1440" i="8"/>
  <c r="A1441" i="8"/>
  <c r="N1441" i="8" l="1"/>
  <c r="M1441" i="8"/>
  <c r="T1441" i="8"/>
  <c r="A1442" i="8"/>
  <c r="N1442" i="8" l="1"/>
  <c r="M1442" i="8"/>
  <c r="T1442" i="8"/>
  <c r="A1443" i="8"/>
  <c r="N1443" i="8" l="1"/>
  <c r="M1443" i="8"/>
  <c r="T1443" i="8"/>
  <c r="A1444" i="8"/>
  <c r="N1444" i="8" l="1"/>
  <c r="M1444" i="8"/>
  <c r="T1444" i="8"/>
  <c r="A1445" i="8"/>
  <c r="N1445" i="8" l="1"/>
  <c r="M1445" i="8"/>
  <c r="T1445" i="8"/>
  <c r="A1446" i="8"/>
  <c r="N1446" i="8" l="1"/>
  <c r="M1446" i="8"/>
  <c r="T1446" i="8"/>
  <c r="A1447" i="8"/>
  <c r="N1447" i="8" l="1"/>
  <c r="M1447" i="8"/>
  <c r="T1447" i="8"/>
  <c r="A1448" i="8"/>
  <c r="N1448" i="8" l="1"/>
  <c r="M1448" i="8"/>
  <c r="T1448" i="8"/>
  <c r="A1449" i="8"/>
  <c r="N1449" i="8" l="1"/>
  <c r="M1449" i="8"/>
  <c r="T1449" i="8"/>
  <c r="A1450" i="8"/>
  <c r="M1450" i="8" l="1"/>
  <c r="N1450" i="8"/>
  <c r="T1450" i="8"/>
  <c r="A1451" i="8"/>
  <c r="N1451" i="8" l="1"/>
  <c r="M1451" i="8"/>
  <c r="T1451" i="8"/>
  <c r="A1452" i="8"/>
  <c r="M1452" i="8" l="1"/>
  <c r="N1452" i="8"/>
  <c r="T1452" i="8"/>
  <c r="A1453" i="8"/>
  <c r="N1453" i="8" l="1"/>
  <c r="M1453" i="8"/>
  <c r="T1453" i="8"/>
  <c r="A1454" i="8"/>
  <c r="N1454" i="8" l="1"/>
  <c r="M1454" i="8"/>
  <c r="T1454" i="8"/>
  <c r="A1455" i="8"/>
  <c r="N1455" i="8" l="1"/>
  <c r="M1455" i="8"/>
  <c r="T1455" i="8"/>
  <c r="A1456" i="8"/>
  <c r="N1456" i="8" l="1"/>
  <c r="M1456" i="8"/>
  <c r="T1456" i="8"/>
  <c r="A1457" i="8"/>
  <c r="N1457" i="8" l="1"/>
  <c r="M1457" i="8"/>
  <c r="T1457" i="8"/>
  <c r="A1458" i="8"/>
  <c r="N1458" i="8" l="1"/>
  <c r="M1458" i="8"/>
  <c r="T1458" i="8"/>
  <c r="A1459" i="8"/>
  <c r="N1459" i="8" l="1"/>
  <c r="M1459" i="8"/>
  <c r="T1459" i="8"/>
  <c r="A1460" i="8"/>
  <c r="N1460" i="8" l="1"/>
  <c r="M1460" i="8"/>
  <c r="T1460" i="8"/>
  <c r="A1461" i="8"/>
  <c r="N1461" i="8" l="1"/>
  <c r="M1461" i="8"/>
  <c r="T1461" i="8"/>
  <c r="A1462" i="8"/>
  <c r="N1462" i="8" l="1"/>
  <c r="M1462" i="8"/>
  <c r="T1462" i="8"/>
  <c r="A1463" i="8"/>
  <c r="M1463" i="8" l="1"/>
  <c r="N1463" i="8"/>
  <c r="T1463" i="8"/>
  <c r="A1464" i="8"/>
  <c r="N1464" i="8" l="1"/>
  <c r="M1464" i="8"/>
  <c r="T1464" i="8"/>
  <c r="A1465" i="8"/>
  <c r="M1465" i="8" l="1"/>
  <c r="N1465" i="8"/>
  <c r="T1465" i="8"/>
  <c r="A1466" i="8"/>
  <c r="N1466" i="8" l="1"/>
  <c r="M1466" i="8"/>
  <c r="T1466" i="8"/>
  <c r="A1467" i="8"/>
  <c r="N1467" i="8" l="1"/>
  <c r="M1467" i="8"/>
  <c r="T1467" i="8"/>
  <c r="A1468" i="8"/>
  <c r="N1468" i="8" l="1"/>
  <c r="M1468" i="8"/>
  <c r="T1468" i="8"/>
  <c r="A1469" i="8"/>
  <c r="N1469" i="8" l="1"/>
  <c r="M1469" i="8"/>
  <c r="T1469" i="8"/>
  <c r="A1470" i="8"/>
  <c r="N1470" i="8" l="1"/>
  <c r="M1470" i="8"/>
  <c r="T1470" i="8"/>
  <c r="A1471" i="8"/>
  <c r="N1471" i="8" l="1"/>
  <c r="M1471" i="8"/>
  <c r="T1471" i="8"/>
  <c r="A1472" i="8"/>
  <c r="N1472" i="8" l="1"/>
  <c r="M1472" i="8"/>
  <c r="T1472" i="8"/>
  <c r="A1473" i="8"/>
  <c r="M1473" i="8" l="1"/>
  <c r="N1473" i="8"/>
  <c r="T1473" i="8"/>
  <c r="A1474" i="8"/>
  <c r="N1474" i="8" l="1"/>
  <c r="M1474" i="8"/>
  <c r="T1474" i="8"/>
  <c r="A1475" i="8"/>
  <c r="M1475" i="8" l="1"/>
  <c r="N1475" i="8"/>
  <c r="T1475" i="8"/>
  <c r="A1476" i="8"/>
  <c r="N1476" i="8" l="1"/>
  <c r="M1476" i="8"/>
  <c r="T1476" i="8"/>
  <c r="A1477" i="8"/>
  <c r="N1477" i="8" l="1"/>
  <c r="M1477" i="8"/>
  <c r="T1477" i="8"/>
  <c r="A1478" i="8"/>
  <c r="M1478" i="8" l="1"/>
  <c r="N1478" i="8"/>
  <c r="T1478" i="8"/>
  <c r="A1479" i="8"/>
  <c r="M1479" i="8" l="1"/>
  <c r="N1479" i="8"/>
  <c r="T1479" i="8"/>
  <c r="A1480" i="8"/>
  <c r="M1480" i="8" l="1"/>
  <c r="N1480" i="8"/>
  <c r="T1480" i="8"/>
  <c r="A1481" i="8"/>
  <c r="N1481" i="8" l="1"/>
  <c r="M1481" i="8"/>
  <c r="T1481" i="8"/>
  <c r="A1482" i="8"/>
  <c r="N1482" i="8" l="1"/>
  <c r="M1482" i="8"/>
  <c r="T1482" i="8"/>
  <c r="A1483" i="8"/>
  <c r="N1483" i="8" l="1"/>
  <c r="M1483" i="8"/>
  <c r="T1483" i="8"/>
  <c r="A1484" i="8"/>
  <c r="N1484" i="8" l="1"/>
  <c r="M1484" i="8"/>
  <c r="T1484" i="8"/>
  <c r="A1485" i="8"/>
  <c r="N1485" i="8" l="1"/>
  <c r="M1485" i="8"/>
  <c r="T1485" i="8"/>
  <c r="A1486" i="8"/>
  <c r="N1486" i="8" l="1"/>
  <c r="M1486" i="8"/>
  <c r="T1486" i="8"/>
  <c r="A1487" i="8"/>
  <c r="N1487" i="8" l="1"/>
  <c r="M1487" i="8"/>
  <c r="T1487" i="8"/>
  <c r="A1488" i="8"/>
  <c r="N1488" i="8" l="1"/>
  <c r="M1488" i="8"/>
  <c r="T1488" i="8"/>
  <c r="A1489" i="8"/>
  <c r="N1489" i="8" l="1"/>
  <c r="M1489" i="8"/>
  <c r="T1489" i="8"/>
  <c r="A1490" i="8"/>
  <c r="N1490" i="8" l="1"/>
  <c r="M1490" i="8"/>
  <c r="T1490" i="8"/>
  <c r="A1491" i="8"/>
  <c r="N1491" i="8" l="1"/>
  <c r="M1491" i="8"/>
  <c r="T1491" i="8"/>
  <c r="A1492" i="8"/>
  <c r="N1492" i="8" l="1"/>
  <c r="M1492" i="8"/>
  <c r="T1492" i="8"/>
  <c r="A1493" i="8"/>
  <c r="N1493" i="8" l="1"/>
  <c r="M1493" i="8"/>
  <c r="T1493" i="8"/>
  <c r="A1494" i="8"/>
  <c r="N1494" i="8" l="1"/>
  <c r="M1494" i="8"/>
  <c r="T1494" i="8"/>
  <c r="A1495" i="8"/>
  <c r="N1495" i="8" l="1"/>
  <c r="M1495" i="8"/>
  <c r="T1495" i="8"/>
  <c r="A1496" i="8"/>
  <c r="N1496" i="8" l="1"/>
  <c r="M1496" i="8"/>
  <c r="T1496" i="8"/>
  <c r="A1497" i="8"/>
  <c r="N1497" i="8" l="1"/>
  <c r="M1497" i="8"/>
  <c r="T1497" i="8"/>
  <c r="A1498" i="8"/>
  <c r="N1498" i="8" l="1"/>
  <c r="M1498" i="8"/>
  <c r="T1498" i="8"/>
  <c r="A1499" i="8"/>
  <c r="N1499" i="8" l="1"/>
  <c r="M1499" i="8"/>
  <c r="T1499" i="8"/>
  <c r="A1500" i="8"/>
  <c r="N1500" i="8" l="1"/>
  <c r="M1500" i="8"/>
  <c r="T1500" i="8"/>
  <c r="A1501" i="8"/>
  <c r="N1501" i="8" l="1"/>
  <c r="M1501" i="8"/>
  <c r="T1501" i="8"/>
  <c r="A1502" i="8"/>
  <c r="N1502" i="8" l="1"/>
  <c r="M1502" i="8"/>
  <c r="T1502" i="8"/>
  <c r="A1503" i="8"/>
  <c r="N1503" i="8" l="1"/>
  <c r="M1503" i="8"/>
  <c r="T1503" i="8"/>
  <c r="A1504" i="8"/>
  <c r="M1504" i="8" l="1"/>
  <c r="N1504" i="8"/>
  <c r="T1504" i="8"/>
  <c r="A1505" i="8"/>
  <c r="N1505" i="8" l="1"/>
  <c r="M1505" i="8"/>
  <c r="T1505" i="8"/>
  <c r="A1506" i="8"/>
  <c r="N1506" i="8" l="1"/>
  <c r="M1506" i="8"/>
  <c r="T1506" i="8"/>
  <c r="A1507" i="8"/>
  <c r="N1507" i="8" l="1"/>
  <c r="M1507" i="8"/>
  <c r="T1507" i="8"/>
  <c r="A1508" i="8"/>
  <c r="N1508" i="8" l="1"/>
  <c r="M1508" i="8"/>
  <c r="T1508" i="8"/>
  <c r="A1509" i="8"/>
  <c r="M1509" i="8" l="1"/>
  <c r="N1509" i="8"/>
  <c r="T1509" i="8"/>
  <c r="A1510" i="8"/>
  <c r="N1510" i="8" l="1"/>
  <c r="M1510" i="8"/>
  <c r="T1510" i="8"/>
  <c r="A1511" i="8"/>
  <c r="N1511" i="8" l="1"/>
  <c r="M1511" i="8"/>
  <c r="T1511" i="8"/>
  <c r="A1512" i="8"/>
  <c r="M1512" i="8" l="1"/>
  <c r="N1512" i="8"/>
  <c r="T1512" i="8"/>
  <c r="A1513" i="8"/>
  <c r="M1513" i="8" l="1"/>
  <c r="N1513" i="8"/>
  <c r="T1513" i="8"/>
  <c r="A1514" i="8"/>
  <c r="N1514" i="8" l="1"/>
  <c r="M1514" i="8"/>
  <c r="T1514" i="8"/>
  <c r="A1515" i="8"/>
  <c r="M1515" i="8" l="1"/>
  <c r="N1515" i="8"/>
  <c r="T1515" i="8"/>
  <c r="A1516" i="8"/>
  <c r="N1516" i="8" l="1"/>
  <c r="M1516" i="8"/>
  <c r="T1516" i="8"/>
  <c r="A1517" i="8"/>
  <c r="N1517" i="8" l="1"/>
  <c r="M1517" i="8"/>
  <c r="T1517" i="8"/>
  <c r="A1518" i="8"/>
  <c r="N1518" i="8" l="1"/>
  <c r="M1518" i="8"/>
  <c r="T1518" i="8"/>
  <c r="A1519" i="8"/>
  <c r="M1519" i="8" l="1"/>
  <c r="N1519" i="8"/>
  <c r="T1519" i="8"/>
  <c r="A1520" i="8"/>
  <c r="N1520" i="8" l="1"/>
  <c r="M1520" i="8"/>
  <c r="T1520" i="8"/>
  <c r="A1521" i="8"/>
  <c r="N1521" i="8" l="1"/>
  <c r="M1521" i="8"/>
  <c r="T1521" i="8"/>
  <c r="A1522" i="8"/>
  <c r="N1522" i="8" l="1"/>
  <c r="M1522" i="8"/>
  <c r="T1522" i="8"/>
  <c r="A1523" i="8"/>
  <c r="N1523" i="8" l="1"/>
  <c r="M1523" i="8"/>
  <c r="T1523" i="8"/>
  <c r="A1524" i="8"/>
  <c r="N1524" i="8" l="1"/>
  <c r="M1524" i="8"/>
  <c r="T1524" i="8"/>
  <c r="A1525" i="8"/>
  <c r="N1525" i="8" l="1"/>
  <c r="M1525" i="8"/>
  <c r="T1525" i="8"/>
  <c r="A1526" i="8"/>
  <c r="N1526" i="8" l="1"/>
  <c r="M1526" i="8"/>
  <c r="T1526" i="8"/>
  <c r="A1527" i="8"/>
  <c r="N1527" i="8" l="1"/>
  <c r="M1527" i="8"/>
  <c r="T1527" i="8"/>
  <c r="A1528" i="8"/>
  <c r="N1528" i="8" l="1"/>
  <c r="M1528" i="8"/>
  <c r="T1528" i="8"/>
  <c r="A1529" i="8"/>
  <c r="N1529" i="8" l="1"/>
  <c r="M1529" i="8"/>
  <c r="T1529" i="8"/>
  <c r="A1530" i="8"/>
  <c r="N1530" i="8" l="1"/>
  <c r="M1530" i="8"/>
  <c r="T1530" i="8"/>
  <c r="A1531" i="8"/>
  <c r="N1531" i="8" l="1"/>
  <c r="M1531" i="8"/>
  <c r="T1531" i="8"/>
  <c r="A1532" i="8"/>
  <c r="N1532" i="8" l="1"/>
  <c r="M1532" i="8"/>
  <c r="T1532" i="8"/>
  <c r="A1533" i="8"/>
  <c r="N1533" i="8" l="1"/>
  <c r="M1533" i="8"/>
  <c r="T1533" i="8"/>
  <c r="A1534" i="8"/>
  <c r="N1534" i="8" l="1"/>
  <c r="M1534" i="8"/>
  <c r="T1534" i="8"/>
  <c r="A1535" i="8"/>
  <c r="N1535" i="8" l="1"/>
  <c r="M1535" i="8"/>
  <c r="T1535" i="8"/>
  <c r="A1536" i="8"/>
  <c r="N1536" i="8" l="1"/>
  <c r="M1536" i="8"/>
  <c r="T1536" i="8"/>
  <c r="A1537" i="8"/>
  <c r="N1537" i="8" l="1"/>
  <c r="M1537" i="8"/>
  <c r="T1537" i="8"/>
  <c r="A1538" i="8"/>
  <c r="N1538" i="8" l="1"/>
  <c r="M1538" i="8"/>
  <c r="T1538" i="8"/>
  <c r="A1539" i="8"/>
  <c r="N1539" i="8" l="1"/>
  <c r="M1539" i="8"/>
  <c r="T1539" i="8"/>
  <c r="A1540" i="8"/>
  <c r="N1540" i="8" l="1"/>
  <c r="M1540" i="8"/>
  <c r="T1540" i="8"/>
  <c r="A1541" i="8"/>
  <c r="N1541" i="8" l="1"/>
  <c r="M1541" i="8"/>
  <c r="T1541" i="8"/>
  <c r="A1542" i="8"/>
  <c r="N1542" i="8" l="1"/>
  <c r="M1542" i="8"/>
  <c r="T1542" i="8"/>
  <c r="A1543" i="8"/>
  <c r="N1543" i="8" l="1"/>
  <c r="M1543" i="8"/>
  <c r="T1543" i="8"/>
  <c r="A1544" i="8"/>
  <c r="N1544" i="8" l="1"/>
  <c r="M1544" i="8"/>
  <c r="T1544" i="8"/>
  <c r="A1545" i="8"/>
  <c r="N1545" i="8" l="1"/>
  <c r="M1545" i="8"/>
  <c r="T1545" i="8"/>
  <c r="A1546" i="8"/>
  <c r="N1546" i="8" l="1"/>
  <c r="M1546" i="8"/>
  <c r="T1546" i="8"/>
  <c r="A1547" i="8"/>
  <c r="M1547" i="8" l="1"/>
  <c r="N1547" i="8"/>
  <c r="T1547" i="8"/>
  <c r="A1548" i="8"/>
  <c r="N1548" i="8" l="1"/>
  <c r="M1548" i="8"/>
  <c r="T1548" i="8"/>
  <c r="A1549" i="8"/>
  <c r="N1549" i="8" l="1"/>
  <c r="M1549" i="8"/>
  <c r="T1549" i="8"/>
  <c r="A1550" i="8"/>
  <c r="N1550" i="8" l="1"/>
  <c r="M1550" i="8"/>
  <c r="T1550" i="8"/>
  <c r="A1551" i="8"/>
  <c r="N1551" i="8" l="1"/>
  <c r="M1551" i="8"/>
  <c r="T1551" i="8"/>
  <c r="A1552" i="8"/>
  <c r="N1552" i="8" l="1"/>
  <c r="M1552" i="8"/>
  <c r="T1552" i="8"/>
  <c r="A1553" i="8"/>
  <c r="N1553" i="8" l="1"/>
  <c r="M1553" i="8"/>
  <c r="T1553" i="8"/>
  <c r="A1554" i="8"/>
  <c r="N1554" i="8" l="1"/>
  <c r="M1554" i="8"/>
  <c r="T1554" i="8"/>
  <c r="A1555" i="8"/>
  <c r="N1555" i="8" l="1"/>
  <c r="M1555" i="8"/>
  <c r="T1555" i="8"/>
  <c r="A1556" i="8"/>
  <c r="N1556" i="8" l="1"/>
  <c r="M1556" i="8"/>
  <c r="T1556" i="8"/>
  <c r="A1557" i="8"/>
  <c r="N1557" i="8" l="1"/>
  <c r="M1557" i="8"/>
  <c r="T1557" i="8"/>
  <c r="A1558" i="8"/>
  <c r="N1558" i="8" l="1"/>
  <c r="M1558" i="8"/>
  <c r="T1558" i="8"/>
  <c r="A1559" i="8"/>
  <c r="N1559" i="8" l="1"/>
  <c r="M1559" i="8"/>
  <c r="T1559" i="8"/>
  <c r="A1560" i="8"/>
  <c r="N1560" i="8" l="1"/>
  <c r="M1560" i="8"/>
  <c r="T1560" i="8"/>
  <c r="A1561" i="8"/>
  <c r="N1561" i="8" l="1"/>
  <c r="M1561" i="8"/>
  <c r="T1561" i="8"/>
  <c r="A1562" i="8"/>
  <c r="N1562" i="8" l="1"/>
  <c r="M1562" i="8"/>
  <c r="T1562" i="8"/>
  <c r="A1563" i="8"/>
  <c r="N1563" i="8" l="1"/>
  <c r="M1563" i="8"/>
  <c r="T1563" i="8"/>
  <c r="A1564" i="8"/>
  <c r="N1564" i="8" l="1"/>
  <c r="M1564" i="8"/>
  <c r="T1564" i="8"/>
  <c r="A1565" i="8"/>
  <c r="N1565" i="8" l="1"/>
  <c r="M1565" i="8"/>
  <c r="T1565" i="8"/>
  <c r="A1566" i="8"/>
  <c r="N1566" i="8" l="1"/>
  <c r="M1566" i="8"/>
  <c r="T1566" i="8"/>
  <c r="A1567" i="8"/>
  <c r="N1567" i="8" l="1"/>
  <c r="M1567" i="8"/>
  <c r="T1567" i="8"/>
  <c r="A1568" i="8"/>
  <c r="M1568" i="8" l="1"/>
  <c r="N1568" i="8"/>
  <c r="T1568" i="8"/>
  <c r="A1569" i="8"/>
  <c r="N1569" i="8" l="1"/>
  <c r="M1569" i="8"/>
  <c r="T1569" i="8"/>
  <c r="A1570" i="8"/>
  <c r="M1570" i="8" l="1"/>
  <c r="N1570" i="8"/>
  <c r="T1570" i="8"/>
  <c r="A1571" i="8"/>
  <c r="M1571" i="8" l="1"/>
  <c r="N1571" i="8"/>
  <c r="T1571" i="8"/>
  <c r="A1572" i="8"/>
  <c r="N1572" i="8" l="1"/>
  <c r="M1572" i="8"/>
  <c r="T1572" i="8"/>
  <c r="A1573" i="8"/>
  <c r="M1573" i="8" l="1"/>
  <c r="N1573" i="8"/>
  <c r="T1573" i="8"/>
  <c r="A1574" i="8"/>
  <c r="N1574" i="8" l="1"/>
  <c r="M1574" i="8"/>
  <c r="T1574" i="8"/>
  <c r="A1575" i="8"/>
  <c r="N1575" i="8" l="1"/>
  <c r="M1575" i="8"/>
  <c r="T1575" i="8"/>
  <c r="A1576" i="8"/>
  <c r="N1576" i="8" l="1"/>
  <c r="M1576" i="8"/>
  <c r="T1576" i="8"/>
  <c r="A1577" i="8"/>
  <c r="N1577" i="8" l="1"/>
  <c r="M1577" i="8"/>
  <c r="T1577" i="8"/>
  <c r="A1578" i="8"/>
  <c r="N1578" i="8" l="1"/>
  <c r="M1578" i="8"/>
  <c r="T1578" i="8"/>
  <c r="A1579" i="8"/>
  <c r="N1579" i="8" l="1"/>
  <c r="M1579" i="8"/>
  <c r="T1579" i="8"/>
  <c r="A1580" i="8"/>
  <c r="M1580" i="8" l="1"/>
  <c r="N1580" i="8"/>
  <c r="T1580" i="8"/>
  <c r="A1581" i="8"/>
  <c r="N1581" i="8" l="1"/>
  <c r="M1581" i="8"/>
  <c r="T1581" i="8"/>
  <c r="A1582" i="8"/>
  <c r="N1582" i="8" l="1"/>
  <c r="M1582" i="8"/>
  <c r="T1582" i="8"/>
  <c r="A1583" i="8"/>
  <c r="M1583" i="8" l="1"/>
  <c r="N1583" i="8"/>
  <c r="T1583" i="8"/>
  <c r="A1584" i="8"/>
  <c r="M1584" i="8" l="1"/>
  <c r="N1584" i="8"/>
  <c r="T1584" i="8"/>
  <c r="A1585" i="8"/>
  <c r="N1585" i="8" l="1"/>
  <c r="M1585" i="8"/>
  <c r="T1585" i="8"/>
  <c r="A1586" i="8"/>
  <c r="N1586" i="8" l="1"/>
  <c r="M1586" i="8"/>
  <c r="T1586" i="8"/>
  <c r="A1587" i="8"/>
  <c r="N1587" i="8" l="1"/>
  <c r="M1587" i="8"/>
  <c r="T1587" i="8"/>
  <c r="A1588" i="8"/>
  <c r="N1588" i="8" l="1"/>
  <c r="M1588" i="8"/>
  <c r="T1588" i="8"/>
  <c r="A1589" i="8"/>
  <c r="N1589" i="8" l="1"/>
  <c r="M1589" i="8"/>
  <c r="T1589" i="8"/>
  <c r="A1590" i="8"/>
  <c r="N1590" i="8" l="1"/>
  <c r="M1590" i="8"/>
  <c r="T1590" i="8"/>
  <c r="A1591" i="8"/>
  <c r="N1591" i="8" l="1"/>
  <c r="M1591" i="8"/>
  <c r="T1591" i="8"/>
  <c r="A1592" i="8"/>
  <c r="N1592" i="8" l="1"/>
  <c r="M1592" i="8"/>
  <c r="T1592" i="8"/>
  <c r="A1593" i="8"/>
  <c r="N1593" i="8" l="1"/>
  <c r="M1593" i="8"/>
  <c r="T1593" i="8"/>
  <c r="A1594" i="8"/>
  <c r="N1594" i="8" l="1"/>
  <c r="M1594" i="8"/>
  <c r="T1594" i="8"/>
  <c r="A1595" i="8"/>
  <c r="N1595" i="8" l="1"/>
  <c r="M1595" i="8"/>
  <c r="T1595" i="8"/>
  <c r="A1596" i="8"/>
  <c r="N1596" i="8" l="1"/>
  <c r="M1596" i="8"/>
  <c r="T1596" i="8"/>
  <c r="A1597" i="8"/>
  <c r="M1597" i="8" l="1"/>
  <c r="N1597" i="8"/>
  <c r="T1597" i="8"/>
  <c r="A1598" i="8"/>
  <c r="N1598" i="8" l="1"/>
  <c r="M1598" i="8"/>
  <c r="T1598" i="8"/>
  <c r="A1599" i="8"/>
  <c r="N1599" i="8" l="1"/>
  <c r="M1599" i="8"/>
  <c r="T1599" i="8"/>
  <c r="A1600" i="8"/>
  <c r="N1600" i="8" l="1"/>
  <c r="M1600" i="8"/>
  <c r="T1600" i="8"/>
  <c r="A1601" i="8"/>
  <c r="M1601" i="8" l="1"/>
  <c r="N1601" i="8"/>
  <c r="T1601" i="8"/>
  <c r="A1602" i="8"/>
  <c r="N1602" i="8" l="1"/>
  <c r="M1602" i="8"/>
  <c r="T1602" i="8"/>
  <c r="A1603" i="8"/>
  <c r="M1603" i="8" l="1"/>
  <c r="N1603" i="8"/>
  <c r="T1603" i="8"/>
  <c r="A1604" i="8"/>
  <c r="N1604" i="8" l="1"/>
  <c r="M1604" i="8"/>
  <c r="T1604" i="8"/>
  <c r="A1605" i="8"/>
  <c r="N1605" i="8" l="1"/>
  <c r="M1605" i="8"/>
  <c r="T1605" i="8"/>
  <c r="A1606" i="8"/>
  <c r="N1606" i="8" l="1"/>
  <c r="M1606" i="8"/>
  <c r="T1606" i="8"/>
  <c r="A1607" i="8"/>
  <c r="N1607" i="8" l="1"/>
  <c r="M1607" i="8"/>
  <c r="T1607" i="8"/>
  <c r="A1608" i="8"/>
  <c r="M1608" i="8" l="1"/>
  <c r="N1608" i="8"/>
  <c r="T1608" i="8"/>
  <c r="A1609" i="8"/>
  <c r="N1609" i="8" l="1"/>
  <c r="M1609" i="8"/>
  <c r="T1609" i="8"/>
  <c r="A1610" i="8"/>
  <c r="N1610" i="8" l="1"/>
  <c r="M1610" i="8"/>
  <c r="T1610" i="8"/>
  <c r="A1611" i="8"/>
  <c r="N1611" i="8" l="1"/>
  <c r="M1611" i="8"/>
  <c r="T1611" i="8"/>
  <c r="A1612" i="8"/>
  <c r="N1612" i="8" l="1"/>
  <c r="M1612" i="8"/>
  <c r="T1612" i="8"/>
  <c r="A1613" i="8"/>
  <c r="N1613" i="8" l="1"/>
  <c r="M1613" i="8"/>
  <c r="T1613" i="8"/>
  <c r="A1614" i="8"/>
  <c r="N1614" i="8" l="1"/>
  <c r="M1614" i="8"/>
  <c r="T1614" i="8"/>
  <c r="A1615" i="8"/>
  <c r="N1615" i="8" l="1"/>
  <c r="M1615" i="8"/>
  <c r="T1615" i="8"/>
  <c r="A1616" i="8"/>
  <c r="N1616" i="8" l="1"/>
  <c r="M1616" i="8"/>
  <c r="T1616" i="8"/>
  <c r="A1617" i="8"/>
  <c r="N1617" i="8" l="1"/>
  <c r="M1617" i="8"/>
  <c r="T1617" i="8"/>
  <c r="A1618" i="8"/>
  <c r="N1618" i="8" l="1"/>
  <c r="M1618" i="8"/>
  <c r="T1618" i="8"/>
  <c r="A1619" i="8"/>
  <c r="N1619" i="8" l="1"/>
  <c r="M1619" i="8"/>
  <c r="T1619" i="8"/>
  <c r="A1620" i="8"/>
  <c r="N1620" i="8" l="1"/>
  <c r="M1620" i="8"/>
  <c r="T1620" i="8"/>
  <c r="A1621" i="8"/>
  <c r="N1621" i="8" l="1"/>
  <c r="M1621" i="8"/>
  <c r="T1621" i="8"/>
  <c r="A1622" i="8"/>
  <c r="N1622" i="8" l="1"/>
  <c r="M1622" i="8"/>
  <c r="T1622" i="8"/>
  <c r="A1623" i="8"/>
  <c r="N1623" i="8" l="1"/>
  <c r="M1623" i="8"/>
  <c r="T1623" i="8"/>
  <c r="A1624" i="8"/>
  <c r="N1624" i="8" l="1"/>
  <c r="M1624" i="8"/>
  <c r="T1624" i="8"/>
  <c r="A1625" i="8"/>
  <c r="N1625" i="8" l="1"/>
  <c r="M1625" i="8"/>
  <c r="T1625" i="8"/>
  <c r="A1626" i="8"/>
  <c r="N1626" i="8" l="1"/>
  <c r="M1626" i="8"/>
  <c r="T1626" i="8"/>
  <c r="A1627" i="8"/>
  <c r="N1627" i="8" l="1"/>
  <c r="M1627" i="8"/>
  <c r="T1627" i="8"/>
  <c r="A1628" i="8"/>
  <c r="N1628" i="8" l="1"/>
  <c r="M1628" i="8"/>
  <c r="T1628" i="8"/>
  <c r="A1629" i="8"/>
  <c r="M1629" i="8" l="1"/>
  <c r="N1629" i="8"/>
  <c r="T1629" i="8"/>
  <c r="A1630" i="8"/>
  <c r="N1630" i="8" l="1"/>
  <c r="M1630" i="8"/>
  <c r="T1630" i="8"/>
  <c r="A1631" i="8"/>
  <c r="M1631" i="8" l="1"/>
  <c r="N1631" i="8"/>
  <c r="T1631" i="8"/>
  <c r="A1632" i="8"/>
  <c r="N1632" i="8" l="1"/>
  <c r="M1632" i="8"/>
  <c r="T1632" i="8"/>
  <c r="A1633" i="8"/>
  <c r="N1633" i="8" l="1"/>
  <c r="M1633" i="8"/>
  <c r="T1633" i="8"/>
  <c r="A1634" i="8"/>
  <c r="N1634" i="8" l="1"/>
  <c r="M1634" i="8"/>
  <c r="T1634" i="8"/>
  <c r="A1635" i="8"/>
  <c r="N1635" i="8" l="1"/>
  <c r="M1635" i="8"/>
  <c r="T1635" i="8"/>
  <c r="A1636" i="8"/>
  <c r="N1636" i="8" l="1"/>
  <c r="M1636" i="8"/>
  <c r="T1636" i="8"/>
  <c r="A1637" i="8"/>
  <c r="N1637" i="8" l="1"/>
  <c r="M1637" i="8"/>
  <c r="T1637" i="8"/>
  <c r="A1638" i="8"/>
  <c r="N1638" i="8" l="1"/>
  <c r="M1638" i="8"/>
  <c r="T1638" i="8"/>
  <c r="A1639" i="8"/>
  <c r="N1639" i="8" l="1"/>
  <c r="M1639" i="8"/>
  <c r="T1639" i="8"/>
  <c r="A1640" i="8"/>
  <c r="N1640" i="8" l="1"/>
  <c r="M1640" i="8"/>
  <c r="T1640" i="8"/>
  <c r="A1641" i="8"/>
  <c r="N1641" i="8" l="1"/>
  <c r="M1641" i="8"/>
  <c r="T1641" i="8"/>
  <c r="A1642" i="8"/>
  <c r="N1642" i="8" l="1"/>
  <c r="M1642" i="8"/>
  <c r="T1642" i="8"/>
  <c r="A1643" i="8"/>
  <c r="N1643" i="8" l="1"/>
  <c r="M1643" i="8"/>
  <c r="T1643" i="8"/>
  <c r="A1644" i="8"/>
  <c r="N1644" i="8" l="1"/>
  <c r="M1644" i="8"/>
  <c r="T1644" i="8"/>
  <c r="A1645" i="8"/>
  <c r="N1645" i="8" l="1"/>
  <c r="M1645" i="8"/>
  <c r="T1645" i="8"/>
  <c r="A1646" i="8"/>
  <c r="N1646" i="8" l="1"/>
  <c r="M1646" i="8"/>
  <c r="T1646" i="8"/>
  <c r="A1647" i="8"/>
  <c r="N1647" i="8" l="1"/>
  <c r="M1647" i="8"/>
  <c r="T1647" i="8"/>
  <c r="A1648" i="8"/>
  <c r="N1648" i="8" l="1"/>
  <c r="M1648" i="8"/>
  <c r="T1648" i="8"/>
  <c r="A1649" i="8"/>
  <c r="N1649" i="8" l="1"/>
  <c r="M1649" i="8"/>
  <c r="T1649" i="8"/>
  <c r="A1650" i="8"/>
  <c r="N1650" i="8" l="1"/>
  <c r="M1650" i="8"/>
  <c r="T1650" i="8"/>
  <c r="A1651" i="8"/>
  <c r="N1651" i="8" l="1"/>
  <c r="M1651" i="8"/>
  <c r="T1651" i="8"/>
  <c r="A1652" i="8"/>
  <c r="N1652" i="8" l="1"/>
  <c r="M1652" i="8"/>
  <c r="T1652" i="8"/>
  <c r="A1653" i="8"/>
  <c r="N1653" i="8" l="1"/>
  <c r="M1653" i="8"/>
  <c r="T1653" i="8"/>
  <c r="A1654" i="8"/>
  <c r="N1654" i="8" l="1"/>
  <c r="M1654" i="8"/>
  <c r="T1654" i="8"/>
  <c r="A1655" i="8"/>
  <c r="N1655" i="8" l="1"/>
  <c r="M1655" i="8"/>
  <c r="T1655" i="8"/>
  <c r="A1656" i="8"/>
  <c r="N1656" i="8" l="1"/>
  <c r="M1656" i="8"/>
  <c r="T1656" i="8"/>
  <c r="A1657" i="8"/>
  <c r="N1657" i="8" l="1"/>
  <c r="M1657" i="8"/>
  <c r="T1657" i="8"/>
  <c r="A1658" i="8"/>
  <c r="N1658" i="8" l="1"/>
  <c r="M1658" i="8"/>
  <c r="T1658" i="8"/>
  <c r="A1659" i="8"/>
  <c r="N1659" i="8" l="1"/>
  <c r="M1659" i="8"/>
  <c r="T1659" i="8"/>
  <c r="A1660" i="8"/>
  <c r="N1660" i="8" l="1"/>
  <c r="M1660" i="8"/>
  <c r="T1660" i="8"/>
  <c r="A1661" i="8"/>
  <c r="M1661" i="8" l="1"/>
  <c r="N1661" i="8"/>
  <c r="T1661" i="8"/>
  <c r="A1662" i="8"/>
  <c r="N1662" i="8" l="1"/>
  <c r="M1662" i="8"/>
  <c r="T1662" i="8"/>
  <c r="A1663" i="8"/>
  <c r="N1663" i="8" l="1"/>
  <c r="M1663" i="8"/>
  <c r="T1663" i="8"/>
  <c r="A1664" i="8"/>
  <c r="N1664" i="8" l="1"/>
  <c r="M1664" i="8"/>
  <c r="T1664" i="8"/>
  <c r="A1665" i="8"/>
  <c r="N1665" i="8" l="1"/>
  <c r="M1665" i="8"/>
  <c r="T1665" i="8"/>
  <c r="A1666" i="8"/>
  <c r="N1666" i="8" l="1"/>
  <c r="M1666" i="8"/>
  <c r="T1666" i="8"/>
  <c r="A1667" i="8"/>
  <c r="N1667" i="8" l="1"/>
  <c r="M1667" i="8"/>
  <c r="T1667" i="8"/>
  <c r="A1668" i="8"/>
  <c r="N1668" i="8" l="1"/>
  <c r="M1668" i="8"/>
  <c r="T1668" i="8"/>
  <c r="A1669" i="8"/>
  <c r="N1669" i="8" l="1"/>
  <c r="M1669" i="8"/>
  <c r="T1669" i="8"/>
  <c r="A1670" i="8"/>
  <c r="N1670" i="8" l="1"/>
  <c r="M1670" i="8"/>
  <c r="T1670" i="8"/>
  <c r="A1671" i="8"/>
  <c r="N1671" i="8" l="1"/>
  <c r="M1671" i="8"/>
  <c r="T1671" i="8"/>
  <c r="A1672" i="8"/>
  <c r="N1672" i="8" l="1"/>
  <c r="M1672" i="8"/>
  <c r="T1672" i="8"/>
  <c r="A1673" i="8"/>
  <c r="N1673" i="8" l="1"/>
  <c r="M1673" i="8"/>
  <c r="T1673" i="8"/>
  <c r="A1674" i="8"/>
  <c r="N1674" i="8" l="1"/>
  <c r="M1674" i="8"/>
  <c r="T1674" i="8"/>
  <c r="A1675" i="8"/>
  <c r="M1675" i="8" l="1"/>
  <c r="N1675" i="8"/>
  <c r="T1675" i="8"/>
  <c r="A1676" i="8"/>
  <c r="M1676" i="8" l="1"/>
  <c r="N1676" i="8"/>
  <c r="T1676" i="8"/>
  <c r="A1677" i="8"/>
  <c r="M1677" i="8" l="1"/>
  <c r="N1677" i="8"/>
  <c r="T1677" i="8"/>
  <c r="A1678" i="8"/>
  <c r="N1678" i="8" l="1"/>
  <c r="M1678" i="8"/>
  <c r="T1678" i="8"/>
  <c r="A1679" i="8"/>
  <c r="N1679" i="8" l="1"/>
  <c r="M1679" i="8"/>
  <c r="T1679" i="8"/>
  <c r="A1680" i="8"/>
  <c r="N1680" i="8" l="1"/>
  <c r="M1680" i="8"/>
  <c r="T1680" i="8"/>
  <c r="A1681" i="8"/>
  <c r="N1681" i="8" l="1"/>
  <c r="M1681" i="8"/>
  <c r="T1681" i="8"/>
  <c r="A1682" i="8"/>
  <c r="N1682" i="8" l="1"/>
  <c r="M1682" i="8"/>
  <c r="T1682" i="8"/>
  <c r="A1683" i="8"/>
  <c r="N1683" i="8" l="1"/>
  <c r="M1683" i="8"/>
  <c r="T1683" i="8"/>
  <c r="A1684" i="8"/>
  <c r="N1684" i="8" l="1"/>
  <c r="M1684" i="8"/>
  <c r="T1684" i="8"/>
  <c r="A1685" i="8"/>
  <c r="N1685" i="8" l="1"/>
  <c r="M1685" i="8"/>
  <c r="T1685" i="8"/>
  <c r="A1686" i="8"/>
  <c r="N1686" i="8" l="1"/>
  <c r="M1686" i="8"/>
  <c r="T1686" i="8"/>
  <c r="A1687" i="8"/>
  <c r="N1687" i="8" l="1"/>
  <c r="M1687" i="8"/>
  <c r="T1687" i="8"/>
  <c r="A1688" i="8"/>
  <c r="N1688" i="8" l="1"/>
  <c r="M1688" i="8"/>
  <c r="T1688" i="8"/>
  <c r="A1689" i="8"/>
  <c r="M1689" i="8" l="1"/>
  <c r="N1689" i="8"/>
  <c r="T1689" i="8"/>
  <c r="A1690" i="8"/>
  <c r="N1690" i="8" l="1"/>
  <c r="M1690" i="8"/>
  <c r="T1690" i="8"/>
  <c r="A1691" i="8"/>
  <c r="N1691" i="8" l="1"/>
  <c r="M1691" i="8"/>
  <c r="T1691" i="8"/>
  <c r="A1692" i="8"/>
  <c r="N1692" i="8" l="1"/>
  <c r="M1692" i="8"/>
  <c r="T1692" i="8"/>
  <c r="A1693" i="8"/>
  <c r="N1693" i="8" l="1"/>
  <c r="M1693" i="8"/>
  <c r="T1693" i="8"/>
  <c r="A1694" i="8"/>
  <c r="N1694" i="8" l="1"/>
  <c r="M1694" i="8"/>
  <c r="T1694" i="8"/>
  <c r="A1695" i="8"/>
  <c r="N1695" i="8" l="1"/>
  <c r="M1695" i="8"/>
  <c r="T1695" i="8"/>
  <c r="A1696" i="8"/>
  <c r="N1696" i="8" l="1"/>
  <c r="M1696" i="8"/>
  <c r="T1696" i="8"/>
  <c r="A1697" i="8"/>
  <c r="N1697" i="8" l="1"/>
  <c r="M1697" i="8"/>
  <c r="T1697" i="8"/>
  <c r="A1698" i="8"/>
  <c r="N1698" i="8" l="1"/>
  <c r="M1698" i="8"/>
  <c r="T1698" i="8"/>
  <c r="A1699" i="8"/>
  <c r="N1699" i="8" l="1"/>
  <c r="M1699" i="8"/>
  <c r="T1699" i="8"/>
  <c r="A1700" i="8"/>
  <c r="N1700" i="8" l="1"/>
  <c r="M1700" i="8"/>
  <c r="T1700" i="8"/>
  <c r="A1701" i="8"/>
  <c r="N1701" i="8" l="1"/>
  <c r="M1701" i="8"/>
  <c r="T1701" i="8"/>
  <c r="A1702" i="8"/>
  <c r="N1702" i="8" l="1"/>
  <c r="M1702" i="8"/>
  <c r="T1702" i="8"/>
  <c r="A1703" i="8"/>
  <c r="N1703" i="8" l="1"/>
  <c r="M1703" i="8"/>
  <c r="T1703" i="8"/>
  <c r="A1704" i="8"/>
  <c r="M1704" i="8" l="1"/>
  <c r="N1704" i="8"/>
  <c r="T1704" i="8"/>
  <c r="A1705" i="8"/>
  <c r="N1705" i="8" l="1"/>
  <c r="M1705" i="8"/>
  <c r="T1705" i="8"/>
  <c r="A1706" i="8"/>
  <c r="N1706" i="8" l="1"/>
  <c r="M1706" i="8"/>
  <c r="T1706" i="8"/>
  <c r="A1707" i="8"/>
  <c r="N1707" i="8" l="1"/>
  <c r="M1707" i="8"/>
  <c r="T1707" i="8"/>
  <c r="A1708" i="8"/>
  <c r="N1708" i="8" l="1"/>
  <c r="M1708" i="8"/>
  <c r="T1708" i="8"/>
  <c r="A1709" i="8"/>
  <c r="N1709" i="8" l="1"/>
  <c r="M1709" i="8"/>
  <c r="T1709" i="8"/>
  <c r="A1710" i="8"/>
  <c r="N1710" i="8" l="1"/>
  <c r="M1710" i="8"/>
  <c r="T1710" i="8"/>
  <c r="A1711" i="8"/>
  <c r="N1711" i="8" l="1"/>
  <c r="M1711" i="8"/>
  <c r="T1711" i="8"/>
  <c r="A1712" i="8"/>
  <c r="M1712" i="8" l="1"/>
  <c r="N1712" i="8"/>
  <c r="T1712" i="8"/>
  <c r="A1713" i="8"/>
  <c r="N1713" i="8" l="1"/>
  <c r="M1713" i="8"/>
  <c r="T1713" i="8"/>
  <c r="A1714" i="8"/>
  <c r="N1714" i="8" l="1"/>
  <c r="M1714" i="8"/>
  <c r="T1714" i="8"/>
  <c r="A1715" i="8"/>
  <c r="N1715" i="8" l="1"/>
  <c r="M1715" i="8"/>
  <c r="T1715" i="8"/>
  <c r="A1716" i="8"/>
  <c r="N1716" i="8" l="1"/>
  <c r="M1716" i="8"/>
  <c r="T1716" i="8"/>
  <c r="A1717" i="8"/>
  <c r="N1717" i="8" l="1"/>
  <c r="M1717" i="8"/>
  <c r="T1717" i="8"/>
  <c r="A1718" i="8"/>
  <c r="N1718" i="8" l="1"/>
  <c r="M1718" i="8"/>
  <c r="T1718" i="8"/>
  <c r="A1719" i="8"/>
  <c r="N1719" i="8" l="1"/>
  <c r="M1719" i="8"/>
  <c r="T1719" i="8"/>
  <c r="A1720" i="8"/>
  <c r="M1720" i="8" l="1"/>
  <c r="N1720" i="8"/>
  <c r="T1720" i="8"/>
  <c r="A1721" i="8"/>
  <c r="M1721" i="8" l="1"/>
  <c r="N1721" i="8"/>
  <c r="T1721" i="8"/>
  <c r="A1722" i="8"/>
  <c r="N1722" i="8" l="1"/>
  <c r="M1722" i="8"/>
  <c r="T1722" i="8"/>
  <c r="A1723" i="8"/>
  <c r="N1723" i="8" l="1"/>
  <c r="M1723" i="8"/>
  <c r="T1723" i="8"/>
  <c r="A1724" i="8"/>
  <c r="M1724" i="8" l="1"/>
  <c r="N1724" i="8"/>
  <c r="T1724" i="8"/>
  <c r="A1725" i="8"/>
  <c r="N1725" i="8" l="1"/>
  <c r="M1725" i="8"/>
  <c r="T1725" i="8"/>
  <c r="A1726" i="8"/>
  <c r="M1726" i="8" l="1"/>
  <c r="N1726" i="8"/>
  <c r="T1726" i="8"/>
  <c r="A1727" i="8"/>
  <c r="M1727" i="8" l="1"/>
  <c r="N1727" i="8"/>
  <c r="T1727" i="8"/>
  <c r="A1728" i="8"/>
  <c r="N1728" i="8" l="1"/>
  <c r="M1728" i="8"/>
  <c r="T1728" i="8"/>
  <c r="A1729" i="8"/>
  <c r="N1729" i="8" l="1"/>
  <c r="M1729" i="8"/>
  <c r="T1729" i="8"/>
  <c r="A1730" i="8"/>
  <c r="N1730" i="8" l="1"/>
  <c r="M1730" i="8"/>
  <c r="T1730" i="8"/>
  <c r="A1731" i="8"/>
  <c r="N1731" i="8" l="1"/>
  <c r="M1731" i="8"/>
  <c r="T1731" i="8"/>
  <c r="A1732" i="8"/>
  <c r="N1732" i="8" l="1"/>
  <c r="M1732" i="8"/>
  <c r="T1732" i="8"/>
  <c r="A1733" i="8"/>
  <c r="N1733" i="8" l="1"/>
  <c r="M1733" i="8"/>
  <c r="T1733" i="8"/>
  <c r="A1734" i="8"/>
  <c r="N1734" i="8" l="1"/>
  <c r="M1734" i="8"/>
  <c r="T1734" i="8"/>
  <c r="A1735" i="8"/>
  <c r="N1735" i="8" l="1"/>
  <c r="M1735" i="8"/>
  <c r="T1735" i="8"/>
  <c r="A1736" i="8"/>
  <c r="N1736" i="8" l="1"/>
  <c r="M1736" i="8"/>
  <c r="T1736" i="8"/>
  <c r="A1737" i="8"/>
  <c r="N1737" i="8" l="1"/>
  <c r="M1737" i="8"/>
  <c r="T1737" i="8"/>
  <c r="A1738" i="8"/>
  <c r="N1738" i="8" l="1"/>
  <c r="M1738" i="8"/>
  <c r="T1738" i="8"/>
  <c r="A1739" i="8"/>
  <c r="M1739" i="8" l="1"/>
  <c r="N1739" i="8"/>
  <c r="T1739" i="8"/>
  <c r="A1740" i="8"/>
  <c r="N1740" i="8" l="1"/>
  <c r="M1740" i="8"/>
  <c r="T1740" i="8"/>
  <c r="A1741" i="8"/>
  <c r="N1741" i="8" l="1"/>
  <c r="M1741" i="8"/>
  <c r="T1741" i="8"/>
  <c r="A1742" i="8"/>
  <c r="N1742" i="8" l="1"/>
  <c r="M1742" i="8"/>
  <c r="T1742" i="8"/>
  <c r="A1743" i="8"/>
  <c r="N1743" i="8" l="1"/>
  <c r="M1743" i="8"/>
  <c r="T1743" i="8"/>
  <c r="A1744" i="8"/>
  <c r="M1744" i="8" l="1"/>
  <c r="N1744" i="8"/>
  <c r="T1744" i="8"/>
  <c r="A1745" i="8"/>
  <c r="M1745" i="8" l="1"/>
  <c r="N1745" i="8"/>
  <c r="T1745" i="8"/>
  <c r="A1746" i="8"/>
  <c r="N1746" i="8" l="1"/>
  <c r="M1746" i="8"/>
  <c r="T1746" i="8"/>
  <c r="A1747" i="8"/>
  <c r="N1747" i="8" l="1"/>
  <c r="M1747" i="8"/>
  <c r="T1747" i="8"/>
  <c r="A1748" i="8"/>
  <c r="N1748" i="8" l="1"/>
  <c r="M1748" i="8"/>
  <c r="T1748" i="8"/>
  <c r="A1749" i="8"/>
  <c r="N1749" i="8" l="1"/>
  <c r="M1749" i="8"/>
  <c r="T1749" i="8"/>
  <c r="A1750" i="8"/>
  <c r="N1750" i="8" l="1"/>
  <c r="M1750" i="8"/>
  <c r="T1750" i="8"/>
  <c r="A1751" i="8"/>
  <c r="N1751" i="8" l="1"/>
  <c r="M1751" i="8"/>
  <c r="T1751" i="8"/>
  <c r="A1752" i="8"/>
  <c r="N1752" i="8" l="1"/>
  <c r="M1752" i="8"/>
  <c r="T1752" i="8"/>
  <c r="A1753" i="8"/>
  <c r="N1753" i="8" l="1"/>
  <c r="M1753" i="8"/>
  <c r="T1753" i="8"/>
  <c r="A1754" i="8"/>
  <c r="N1754" i="8" l="1"/>
  <c r="M1754" i="8"/>
  <c r="T1754" i="8"/>
  <c r="A1755" i="8"/>
  <c r="N1755" i="8" l="1"/>
  <c r="M1755" i="8"/>
  <c r="T1755" i="8"/>
  <c r="A1756" i="8"/>
  <c r="N1756" i="8" l="1"/>
  <c r="M1756" i="8"/>
  <c r="T1756" i="8"/>
  <c r="A1757" i="8"/>
  <c r="N1757" i="8" l="1"/>
  <c r="M1757" i="8"/>
  <c r="T1757" i="8"/>
  <c r="A1758" i="8"/>
  <c r="M1758" i="8" l="1"/>
  <c r="N1758" i="8"/>
  <c r="T1758" i="8"/>
  <c r="A1759" i="8"/>
  <c r="N1759" i="8" l="1"/>
  <c r="M1759" i="8"/>
  <c r="T1759" i="8"/>
  <c r="A1760" i="8"/>
  <c r="N1760" i="8" l="1"/>
  <c r="M1760" i="8"/>
  <c r="T1760" i="8"/>
  <c r="A1761" i="8"/>
  <c r="N1761" i="8" l="1"/>
  <c r="M1761" i="8"/>
  <c r="T1761" i="8"/>
  <c r="A1762" i="8"/>
  <c r="N1762" i="8" l="1"/>
  <c r="M1762" i="8"/>
  <c r="T1762" i="8"/>
  <c r="A1763" i="8"/>
  <c r="N1763" i="8" l="1"/>
  <c r="M1763" i="8"/>
  <c r="T1763" i="8"/>
  <c r="A1764" i="8"/>
  <c r="N1764" i="8" l="1"/>
  <c r="M1764" i="8"/>
  <c r="T1764" i="8"/>
  <c r="A1765" i="8"/>
  <c r="N1765" i="8" l="1"/>
  <c r="M1765" i="8"/>
  <c r="T1765" i="8"/>
  <c r="A1766" i="8"/>
  <c r="N1766" i="8" l="1"/>
  <c r="M1766" i="8"/>
  <c r="T1766" i="8"/>
  <c r="A1767" i="8"/>
  <c r="N1767" i="8" l="1"/>
  <c r="M1767" i="8"/>
  <c r="T1767" i="8"/>
  <c r="A1768" i="8"/>
  <c r="N1768" i="8" l="1"/>
  <c r="M1768" i="8"/>
  <c r="T1768" i="8"/>
  <c r="A1769" i="8"/>
  <c r="N1769" i="8" l="1"/>
  <c r="M1769" i="8"/>
  <c r="T1769" i="8"/>
  <c r="A1770" i="8"/>
  <c r="N1770" i="8" l="1"/>
  <c r="M1770" i="8"/>
  <c r="T1770" i="8"/>
  <c r="A1771" i="8"/>
  <c r="N1771" i="8" l="1"/>
  <c r="M1771" i="8"/>
  <c r="T1771" i="8"/>
  <c r="A1772" i="8"/>
  <c r="N1772" i="8" l="1"/>
  <c r="M1772" i="8"/>
  <c r="T1772" i="8"/>
  <c r="A1773" i="8"/>
  <c r="N1773" i="8" l="1"/>
  <c r="M1773" i="8"/>
  <c r="T1773" i="8"/>
  <c r="A1774" i="8"/>
  <c r="N1774" i="8" l="1"/>
  <c r="M1774" i="8"/>
  <c r="T1774" i="8"/>
  <c r="A1775" i="8"/>
  <c r="M1775" i="8" l="1"/>
  <c r="N1775" i="8"/>
  <c r="T1775" i="8"/>
  <c r="A1776" i="8"/>
  <c r="M1776" i="8" l="1"/>
  <c r="N1776" i="8"/>
  <c r="T1776" i="8"/>
  <c r="A1777" i="8"/>
  <c r="M1777" i="8" l="1"/>
  <c r="N1777" i="8"/>
  <c r="T1777" i="8"/>
  <c r="A1778" i="8"/>
  <c r="N1778" i="8" l="1"/>
  <c r="M1778" i="8"/>
  <c r="T1778" i="8"/>
  <c r="A1779" i="8"/>
  <c r="N1779" i="8" l="1"/>
  <c r="M1779" i="8"/>
  <c r="T1779" i="8"/>
  <c r="A1780" i="8"/>
  <c r="M1780" i="8" l="1"/>
  <c r="N1780" i="8"/>
  <c r="T1780" i="8"/>
  <c r="A1781" i="8"/>
  <c r="N1781" i="8" l="1"/>
  <c r="M1781" i="8"/>
  <c r="T1781" i="8"/>
  <c r="A1782" i="8"/>
  <c r="N1782" i="8" l="1"/>
  <c r="M1782" i="8"/>
  <c r="T1782" i="8"/>
  <c r="A1783" i="8"/>
  <c r="N1783" i="8" l="1"/>
  <c r="M1783" i="8"/>
  <c r="T1783" i="8"/>
  <c r="A1784" i="8"/>
  <c r="N1784" i="8" l="1"/>
  <c r="M1784" i="8"/>
  <c r="T1784" i="8"/>
  <c r="A1785" i="8"/>
  <c r="N1785" i="8" l="1"/>
  <c r="M1785" i="8"/>
  <c r="T1785" i="8"/>
  <c r="A1786" i="8"/>
  <c r="N1786" i="8" l="1"/>
  <c r="M1786" i="8"/>
  <c r="T1786" i="8"/>
  <c r="A1787" i="8"/>
  <c r="N1787" i="8" l="1"/>
  <c r="M1787" i="8"/>
  <c r="T1787" i="8"/>
  <c r="A1788" i="8"/>
  <c r="N1788" i="8" l="1"/>
  <c r="M1788" i="8"/>
  <c r="T1788" i="8"/>
  <c r="A1789" i="8"/>
  <c r="N1789" i="8" l="1"/>
  <c r="M1789" i="8"/>
  <c r="T1789" i="8"/>
  <c r="A1790" i="8"/>
  <c r="N1790" i="8" l="1"/>
  <c r="M1790" i="8"/>
  <c r="T1790" i="8"/>
  <c r="A1791" i="8"/>
  <c r="N1791" i="8" l="1"/>
  <c r="M1791" i="8"/>
  <c r="T1791" i="8"/>
  <c r="A1792" i="8"/>
  <c r="N1792" i="8" l="1"/>
  <c r="M1792" i="8"/>
  <c r="T1792" i="8"/>
  <c r="A1793" i="8"/>
  <c r="N1793" i="8" l="1"/>
  <c r="M1793" i="8"/>
  <c r="T1793" i="8"/>
  <c r="A1794" i="8"/>
  <c r="N1794" i="8" l="1"/>
  <c r="M1794" i="8"/>
  <c r="T1794" i="8"/>
  <c r="A1795" i="8"/>
  <c r="N1795" i="8" l="1"/>
  <c r="M1795" i="8"/>
  <c r="T1795" i="8"/>
  <c r="A1796" i="8"/>
  <c r="N1796" i="8" l="1"/>
  <c r="M1796" i="8"/>
  <c r="T1796" i="8"/>
  <c r="A1797" i="8"/>
  <c r="N1797" i="8" l="1"/>
  <c r="M1797" i="8"/>
  <c r="T1797" i="8"/>
  <c r="A1798" i="8"/>
  <c r="N1798" i="8" l="1"/>
  <c r="M1798" i="8"/>
  <c r="T1798" i="8"/>
  <c r="A1799" i="8"/>
  <c r="M1799" i="8" l="1"/>
  <c r="N1799" i="8"/>
  <c r="T1799" i="8"/>
  <c r="A1800" i="8"/>
  <c r="N1800" i="8" l="1"/>
  <c r="M1800" i="8"/>
  <c r="T1800" i="8"/>
  <c r="A1801" i="8"/>
  <c r="N1801" i="8" l="1"/>
  <c r="M1801" i="8"/>
  <c r="T1801" i="8"/>
  <c r="A1802" i="8"/>
  <c r="N1802" i="8" l="1"/>
  <c r="M1802" i="8"/>
  <c r="T1802" i="8"/>
  <c r="A1803" i="8"/>
  <c r="N1803" i="8" l="1"/>
  <c r="M1803" i="8"/>
  <c r="T1803" i="8"/>
  <c r="A1804" i="8"/>
  <c r="N1804" i="8" l="1"/>
  <c r="M1804" i="8"/>
  <c r="T1804" i="8"/>
  <c r="A1805" i="8"/>
  <c r="N1805" i="8" l="1"/>
  <c r="M1805" i="8"/>
  <c r="T1805" i="8"/>
  <c r="A1806" i="8"/>
  <c r="N1806" i="8" l="1"/>
  <c r="M1806" i="8"/>
  <c r="T1806" i="8"/>
  <c r="A1807" i="8"/>
  <c r="N1807" i="8" l="1"/>
  <c r="M1807" i="8"/>
  <c r="T1807" i="8"/>
  <c r="A1808" i="8"/>
  <c r="N1808" i="8" l="1"/>
  <c r="M1808" i="8"/>
  <c r="T1808" i="8"/>
  <c r="A1809" i="8"/>
  <c r="N1809" i="8" l="1"/>
  <c r="M1809" i="8"/>
  <c r="T1809" i="8"/>
  <c r="A1810" i="8"/>
  <c r="N1810" i="8" l="1"/>
  <c r="M1810" i="8"/>
  <c r="T1810" i="8"/>
  <c r="A1811" i="8"/>
  <c r="N1811" i="8" l="1"/>
  <c r="M1811" i="8"/>
  <c r="T1811" i="8"/>
  <c r="A1812" i="8"/>
  <c r="N1812" i="8" l="1"/>
  <c r="M1812" i="8"/>
  <c r="T1812" i="8"/>
  <c r="A1813" i="8"/>
  <c r="M1813" i="8" l="1"/>
  <c r="N1813" i="8"/>
  <c r="T1813" i="8"/>
  <c r="A1814" i="8"/>
  <c r="M1814" i="8" l="1"/>
  <c r="N1814" i="8"/>
  <c r="T1814" i="8"/>
  <c r="A1815" i="8"/>
  <c r="N1815" i="8" l="1"/>
  <c r="M1815" i="8"/>
  <c r="T1815" i="8"/>
  <c r="A1816" i="8"/>
  <c r="N1816" i="8" l="1"/>
  <c r="M1816" i="8"/>
  <c r="T1816" i="8"/>
  <c r="A1817" i="8"/>
  <c r="N1817" i="8" l="1"/>
  <c r="M1817" i="8"/>
  <c r="T1817" i="8"/>
  <c r="A1818" i="8"/>
  <c r="N1818" i="8" l="1"/>
  <c r="M1818" i="8"/>
  <c r="T1818" i="8"/>
  <c r="A1819" i="8"/>
  <c r="N1819" i="8" l="1"/>
  <c r="M1819" i="8"/>
  <c r="T1819" i="8"/>
  <c r="A1820" i="8"/>
  <c r="N1820" i="8" l="1"/>
  <c r="M1820" i="8"/>
  <c r="T1820" i="8"/>
  <c r="A1821" i="8"/>
  <c r="N1821" i="8" l="1"/>
  <c r="M1821" i="8"/>
  <c r="T1821" i="8"/>
  <c r="A1822" i="8"/>
  <c r="N1822" i="8" l="1"/>
  <c r="M1822" i="8"/>
  <c r="T1822" i="8"/>
  <c r="A1823" i="8"/>
  <c r="N1823" i="8" l="1"/>
  <c r="M1823" i="8"/>
  <c r="T1823" i="8"/>
  <c r="A1824" i="8"/>
  <c r="N1824" i="8" l="1"/>
  <c r="M1824" i="8"/>
  <c r="T1824" i="8"/>
  <c r="A1825" i="8"/>
  <c r="N1825" i="8" l="1"/>
  <c r="M1825" i="8"/>
  <c r="T1825" i="8"/>
  <c r="A1826" i="8"/>
  <c r="M1826" i="8" l="1"/>
  <c r="N1826" i="8"/>
  <c r="T1826" i="8"/>
  <c r="A1827" i="8"/>
  <c r="N1827" i="8" l="1"/>
  <c r="M1827" i="8"/>
  <c r="T1827" i="8"/>
  <c r="A1828" i="8"/>
  <c r="M1828" i="8" l="1"/>
  <c r="N1828" i="8"/>
  <c r="T1828" i="8"/>
  <c r="A1829" i="8"/>
  <c r="N1829" i="8" l="1"/>
  <c r="M1829" i="8"/>
  <c r="T1829" i="8"/>
  <c r="A1830" i="8"/>
  <c r="N1830" i="8" l="1"/>
  <c r="M1830" i="8"/>
  <c r="T1830" i="8"/>
  <c r="A1831" i="8"/>
  <c r="N1831" i="8" l="1"/>
  <c r="M1831" i="8"/>
  <c r="T1831" i="8"/>
  <c r="A1832" i="8"/>
  <c r="N1832" i="8" l="1"/>
  <c r="M1832" i="8"/>
  <c r="T1832" i="8"/>
  <c r="A1833" i="8"/>
  <c r="N1833" i="8" l="1"/>
  <c r="M1833" i="8"/>
  <c r="T1833" i="8"/>
  <c r="A1834" i="8"/>
  <c r="N1834" i="8" l="1"/>
  <c r="M1834" i="8"/>
  <c r="T1834" i="8"/>
  <c r="A1835" i="8"/>
  <c r="N1835" i="8" l="1"/>
  <c r="M1835" i="8"/>
  <c r="T1835" i="8"/>
  <c r="A1836" i="8"/>
  <c r="N1836" i="8" l="1"/>
  <c r="M1836" i="8"/>
  <c r="T1836" i="8"/>
  <c r="A1837" i="8"/>
  <c r="N1837" i="8" l="1"/>
  <c r="M1837" i="8"/>
  <c r="T1837" i="8"/>
  <c r="A1838" i="8"/>
  <c r="N1838" i="8" l="1"/>
  <c r="M1838" i="8"/>
  <c r="T1838" i="8"/>
  <c r="A1839" i="8"/>
  <c r="N1839" i="8" l="1"/>
  <c r="M1839" i="8"/>
  <c r="T1839" i="8"/>
  <c r="A1840" i="8"/>
  <c r="N1840" i="8" l="1"/>
  <c r="M1840" i="8"/>
  <c r="T1840" i="8"/>
  <c r="A1841" i="8"/>
  <c r="M1841" i="8" l="1"/>
  <c r="N1841" i="8"/>
  <c r="T1841" i="8"/>
  <c r="A1842" i="8"/>
  <c r="N1842" i="8" l="1"/>
  <c r="M1842" i="8"/>
  <c r="T1842" i="8"/>
  <c r="A1843" i="8"/>
  <c r="N1843" i="8" l="1"/>
  <c r="M1843" i="8"/>
  <c r="T1843" i="8"/>
  <c r="A1844" i="8"/>
  <c r="N1844" i="8" l="1"/>
  <c r="M1844" i="8"/>
  <c r="T1844" i="8"/>
  <c r="A1845" i="8"/>
  <c r="N1845" i="8" l="1"/>
  <c r="M1845" i="8"/>
  <c r="T1845" i="8"/>
  <c r="A1846" i="8"/>
  <c r="N1846" i="8" l="1"/>
  <c r="M1846" i="8"/>
  <c r="T1846" i="8"/>
  <c r="A1847" i="8"/>
  <c r="N1847" i="8" l="1"/>
  <c r="M1847" i="8"/>
  <c r="T1847" i="8"/>
  <c r="A1848" i="8"/>
  <c r="N1848" i="8" l="1"/>
  <c r="M1848" i="8"/>
  <c r="T1848" i="8"/>
  <c r="A1849" i="8"/>
  <c r="N1849" i="8" l="1"/>
  <c r="M1849" i="8"/>
  <c r="T1849" i="8"/>
  <c r="A1850" i="8"/>
  <c r="N1850" i="8" l="1"/>
  <c r="M1850" i="8"/>
  <c r="T1850" i="8"/>
  <c r="A1851" i="8"/>
  <c r="M1851" i="8" l="1"/>
  <c r="N1851" i="8"/>
  <c r="T1851" i="8"/>
  <c r="A1852" i="8"/>
  <c r="N1852" i="8" l="1"/>
  <c r="M1852" i="8"/>
  <c r="T1852" i="8"/>
  <c r="A1853" i="8"/>
  <c r="N1853" i="8" l="1"/>
  <c r="M1853" i="8"/>
  <c r="T1853" i="8"/>
  <c r="A1854" i="8"/>
  <c r="N1854" i="8" l="1"/>
  <c r="M1854" i="8"/>
  <c r="T1854" i="8"/>
  <c r="A1855" i="8"/>
  <c r="M1855" i="8" l="1"/>
  <c r="N1855" i="8"/>
  <c r="T1855" i="8"/>
  <c r="A1856" i="8"/>
  <c r="N1856" i="8" l="1"/>
  <c r="M1856" i="8"/>
  <c r="T1856" i="8"/>
  <c r="A1857" i="8"/>
  <c r="N1857" i="8" l="1"/>
  <c r="M1857" i="8"/>
  <c r="T1857" i="8"/>
  <c r="A1858" i="8"/>
  <c r="M1858" i="8" l="1"/>
  <c r="N1858" i="8"/>
  <c r="T1858" i="8"/>
  <c r="A1859" i="8"/>
  <c r="N1859" i="8" l="1"/>
  <c r="M1859" i="8"/>
  <c r="T1859" i="8"/>
  <c r="A1860" i="8"/>
  <c r="N1860" i="8" l="1"/>
  <c r="M1860" i="8"/>
  <c r="T1860" i="8"/>
  <c r="A1861" i="8"/>
  <c r="N1861" i="8" l="1"/>
  <c r="M1861" i="8"/>
  <c r="T1861" i="8"/>
  <c r="A1862" i="8"/>
  <c r="N1862" i="8" l="1"/>
  <c r="M1862" i="8"/>
  <c r="T1862" i="8"/>
  <c r="A1863" i="8"/>
  <c r="N1863" i="8" l="1"/>
  <c r="M1863" i="8"/>
  <c r="T1863" i="8"/>
  <c r="A1864" i="8"/>
  <c r="N1864" i="8" l="1"/>
  <c r="M1864" i="8"/>
  <c r="T1864" i="8"/>
  <c r="A1865" i="8"/>
  <c r="N1865" i="8" l="1"/>
  <c r="M1865" i="8"/>
  <c r="T1865" i="8"/>
  <c r="A1866" i="8"/>
  <c r="N1866" i="8" l="1"/>
  <c r="M1866" i="8"/>
  <c r="T1866" i="8"/>
  <c r="A1867" i="8"/>
  <c r="N1867" i="8" l="1"/>
  <c r="M1867" i="8"/>
  <c r="T1867" i="8"/>
  <c r="A1868" i="8"/>
  <c r="N1868" i="8" l="1"/>
  <c r="M1868" i="8"/>
  <c r="T1868" i="8"/>
  <c r="A1869" i="8"/>
  <c r="N1869" i="8" l="1"/>
  <c r="M1869" i="8"/>
  <c r="T1869" i="8"/>
  <c r="A1870" i="8"/>
  <c r="M1870" i="8" l="1"/>
  <c r="N1870" i="8"/>
  <c r="T1870" i="8"/>
  <c r="A1871" i="8"/>
  <c r="M1871" i="8" l="1"/>
  <c r="N1871" i="8"/>
  <c r="T1871" i="8"/>
  <c r="A1872" i="8"/>
  <c r="N1872" i="8" l="1"/>
  <c r="M1872" i="8"/>
  <c r="T1872" i="8"/>
  <c r="A1873" i="8"/>
  <c r="N1873" i="8" l="1"/>
  <c r="M1873" i="8"/>
  <c r="T1873" i="8"/>
  <c r="A1874" i="8"/>
  <c r="N1874" i="8" l="1"/>
  <c r="M1874" i="8"/>
  <c r="T1874" i="8"/>
  <c r="A1875" i="8"/>
  <c r="N1875" i="8" l="1"/>
  <c r="M1875" i="8"/>
  <c r="T1875" i="8"/>
  <c r="A1876" i="8"/>
  <c r="N1876" i="8" l="1"/>
  <c r="M1876" i="8"/>
  <c r="T1876" i="8"/>
  <c r="A1877" i="8"/>
  <c r="N1877" i="8" l="1"/>
  <c r="M1877" i="8"/>
  <c r="T1877" i="8"/>
  <c r="A1878" i="8"/>
  <c r="N1878" i="8" l="1"/>
  <c r="M1878" i="8"/>
  <c r="T1878" i="8"/>
  <c r="A1879" i="8"/>
  <c r="N1879" i="8" l="1"/>
  <c r="M1879" i="8"/>
  <c r="T1879" i="8"/>
  <c r="A1880" i="8"/>
  <c r="N1880" i="8" l="1"/>
  <c r="M1880" i="8"/>
  <c r="T1880" i="8"/>
  <c r="A1881" i="8"/>
  <c r="N1881" i="8" l="1"/>
  <c r="M1881" i="8"/>
  <c r="T1881" i="8"/>
  <c r="A1882" i="8"/>
  <c r="N1882" i="8" l="1"/>
  <c r="M1882" i="8"/>
  <c r="T1882" i="8"/>
  <c r="A1883" i="8"/>
  <c r="N1883" i="8" l="1"/>
  <c r="M1883" i="8"/>
  <c r="T1883" i="8"/>
  <c r="A1884" i="8"/>
  <c r="N1884" i="8" l="1"/>
  <c r="M1884" i="8"/>
  <c r="T1884" i="8"/>
  <c r="A1885" i="8"/>
  <c r="N1885" i="8" l="1"/>
  <c r="M1885" i="8"/>
  <c r="T1885" i="8"/>
  <c r="A1886" i="8"/>
  <c r="N1886" i="8" l="1"/>
  <c r="M1886" i="8"/>
  <c r="T1886" i="8"/>
  <c r="A1887" i="8"/>
  <c r="N1887" i="8" l="1"/>
  <c r="M1887" i="8"/>
  <c r="T1887" i="8"/>
  <c r="A1888" i="8"/>
  <c r="N1888" i="8" l="1"/>
  <c r="M1888" i="8"/>
  <c r="T1888" i="8"/>
  <c r="A1889" i="8"/>
  <c r="N1889" i="8" l="1"/>
  <c r="M1889" i="8"/>
  <c r="T1889" i="8"/>
  <c r="A1890" i="8"/>
  <c r="N1890" i="8" l="1"/>
  <c r="M1890" i="8"/>
  <c r="T1890" i="8"/>
  <c r="A1891" i="8"/>
  <c r="N1891" i="8" l="1"/>
  <c r="M1891" i="8"/>
  <c r="T1891" i="8"/>
  <c r="A1892" i="8"/>
  <c r="N1892" i="8" l="1"/>
  <c r="M1892" i="8"/>
  <c r="T1892" i="8"/>
  <c r="A1893" i="8"/>
  <c r="N1893" i="8" l="1"/>
  <c r="M1893" i="8"/>
  <c r="T1893" i="8"/>
  <c r="A1894" i="8"/>
  <c r="N1894" i="8" l="1"/>
  <c r="M1894" i="8"/>
  <c r="T1894" i="8"/>
  <c r="A1895" i="8"/>
  <c r="N1895" i="8" l="1"/>
  <c r="M1895" i="8"/>
  <c r="T1895" i="8"/>
  <c r="A1896" i="8"/>
  <c r="N1896" i="8" l="1"/>
  <c r="M1896" i="8"/>
  <c r="T1896" i="8"/>
  <c r="A1897" i="8"/>
  <c r="N1897" i="8" l="1"/>
  <c r="M1897" i="8"/>
  <c r="T1897" i="8"/>
  <c r="A1898" i="8"/>
  <c r="M1898" i="8" l="1"/>
  <c r="N1898" i="8"/>
  <c r="T1898" i="8"/>
  <c r="A1899" i="8"/>
  <c r="N1899" i="8" l="1"/>
  <c r="M1899" i="8"/>
  <c r="T1899" i="8"/>
  <c r="A1900" i="8"/>
  <c r="N1900" i="8" l="1"/>
  <c r="M1900" i="8"/>
  <c r="T1900" i="8"/>
  <c r="A1901" i="8"/>
  <c r="N1901" i="8" l="1"/>
  <c r="M1901" i="8"/>
  <c r="T1901" i="8"/>
  <c r="A1902" i="8"/>
  <c r="M1902" i="8" l="1"/>
  <c r="N1902" i="8"/>
  <c r="T1902" i="8"/>
  <c r="A1903" i="8"/>
  <c r="N1903" i="8" l="1"/>
  <c r="M1903" i="8"/>
  <c r="T1903" i="8"/>
  <c r="A1904" i="8"/>
  <c r="N1904" i="8" l="1"/>
  <c r="M1904" i="8"/>
  <c r="T1904" i="8"/>
  <c r="A1905" i="8"/>
  <c r="N1905" i="8" l="1"/>
  <c r="M1905" i="8"/>
  <c r="T1905" i="8"/>
  <c r="A1906" i="8"/>
  <c r="N1906" i="8" l="1"/>
  <c r="M1906" i="8"/>
  <c r="T1906" i="8"/>
  <c r="A1907" i="8"/>
  <c r="N1907" i="8" l="1"/>
  <c r="M1907" i="8"/>
  <c r="T1907" i="8"/>
  <c r="A1908" i="8"/>
  <c r="M1908" i="8" l="1"/>
  <c r="N1908" i="8"/>
  <c r="T1908" i="8"/>
  <c r="A1909" i="8"/>
  <c r="M1909" i="8" l="1"/>
  <c r="N1909" i="8"/>
  <c r="T1909" i="8"/>
  <c r="A1910" i="8"/>
  <c r="M1910" i="8" l="1"/>
  <c r="N1910" i="8"/>
  <c r="T1910" i="8"/>
  <c r="A1911" i="8"/>
  <c r="N1911" i="8" l="1"/>
  <c r="M1911" i="8"/>
  <c r="T1911" i="8"/>
  <c r="A1912" i="8"/>
  <c r="N1912" i="8" l="1"/>
  <c r="M1912" i="8"/>
  <c r="T1912" i="8"/>
  <c r="A1913" i="8"/>
  <c r="M1913" i="8" l="1"/>
  <c r="N1913" i="8"/>
  <c r="T1913" i="8"/>
  <c r="A1914" i="8"/>
  <c r="M1914" i="8" l="1"/>
  <c r="N1914" i="8"/>
  <c r="T1914" i="8"/>
  <c r="A1915" i="8"/>
  <c r="N1915" i="8" l="1"/>
  <c r="M1915" i="8"/>
  <c r="T1915" i="8"/>
  <c r="A1916" i="8"/>
  <c r="M1916" i="8" l="1"/>
  <c r="N1916" i="8"/>
  <c r="T1916" i="8"/>
  <c r="A1917" i="8"/>
  <c r="M1917" i="8" l="1"/>
  <c r="N1917" i="8"/>
  <c r="T1917" i="8"/>
  <c r="A1918" i="8"/>
  <c r="N1918" i="8" l="1"/>
  <c r="M1918" i="8"/>
  <c r="T1918" i="8"/>
  <c r="A1919" i="8"/>
  <c r="N1919" i="8" l="1"/>
  <c r="M1919" i="8"/>
  <c r="T1919" i="8"/>
  <c r="A1920" i="8"/>
  <c r="N1920" i="8" l="1"/>
  <c r="M1920" i="8"/>
  <c r="T1920" i="8"/>
  <c r="A1921" i="8"/>
  <c r="N1921" i="8" l="1"/>
  <c r="M1921" i="8"/>
  <c r="T1921" i="8"/>
  <c r="A1922" i="8"/>
  <c r="N1922" i="8" l="1"/>
  <c r="M1922" i="8"/>
  <c r="T1922" i="8"/>
  <c r="A1923" i="8"/>
  <c r="N1923" i="8" l="1"/>
  <c r="M1923" i="8"/>
  <c r="T1923" i="8"/>
  <c r="A1924" i="8"/>
  <c r="N1924" i="8" l="1"/>
  <c r="M1924" i="8"/>
  <c r="T1924" i="8"/>
  <c r="A1925" i="8"/>
  <c r="N1925" i="8" l="1"/>
  <c r="M1925" i="8"/>
  <c r="T1925" i="8"/>
  <c r="A1926" i="8"/>
  <c r="N1926" i="8" l="1"/>
  <c r="M1926" i="8"/>
  <c r="T1926" i="8"/>
  <c r="A1927" i="8"/>
  <c r="M1927" i="8" l="1"/>
  <c r="N1927" i="8"/>
  <c r="T1927" i="8"/>
  <c r="A1928" i="8"/>
  <c r="M1928" i="8" l="1"/>
  <c r="N1928" i="8"/>
  <c r="T1928" i="8"/>
  <c r="A1929" i="8"/>
  <c r="N1929" i="8" l="1"/>
  <c r="M1929" i="8"/>
  <c r="T1929" i="8"/>
  <c r="A1930" i="8"/>
  <c r="M1930" i="8" l="1"/>
  <c r="N1930" i="8"/>
  <c r="T1930" i="8"/>
  <c r="A1931" i="8"/>
  <c r="N1931" i="8" l="1"/>
  <c r="M1931" i="8"/>
  <c r="T1931" i="8"/>
  <c r="A1932" i="8"/>
  <c r="N1932" i="8" l="1"/>
  <c r="M1932" i="8"/>
  <c r="T1932" i="8"/>
  <c r="A1933" i="8"/>
  <c r="N1933" i="8" l="1"/>
  <c r="M1933" i="8"/>
  <c r="T1933" i="8"/>
  <c r="A1934" i="8"/>
  <c r="N1934" i="8" l="1"/>
  <c r="M1934" i="8"/>
  <c r="T1934" i="8"/>
  <c r="A1935" i="8"/>
  <c r="N1935" i="8" l="1"/>
  <c r="M1935" i="8"/>
  <c r="T1935" i="8"/>
  <c r="A1936" i="8"/>
  <c r="N1936" i="8" l="1"/>
  <c r="M1936" i="8"/>
  <c r="T1936" i="8"/>
  <c r="A1937" i="8"/>
  <c r="N1937" i="8" l="1"/>
  <c r="M1937" i="8"/>
  <c r="T1937" i="8"/>
  <c r="A1938" i="8"/>
  <c r="N1938" i="8" l="1"/>
  <c r="M1938" i="8"/>
  <c r="T1938" i="8"/>
  <c r="A1939" i="8"/>
  <c r="N1939" i="8" l="1"/>
  <c r="M1939" i="8"/>
  <c r="T1939" i="8"/>
  <c r="A1940" i="8"/>
  <c r="N1940" i="8" l="1"/>
  <c r="M1940" i="8"/>
  <c r="T1940" i="8"/>
  <c r="A1941" i="8"/>
  <c r="N1941" i="8" l="1"/>
  <c r="M1941" i="8"/>
  <c r="T1941" i="8"/>
  <c r="A1942" i="8"/>
  <c r="N1942" i="8" l="1"/>
  <c r="M1942" i="8"/>
  <c r="T1942" i="8"/>
  <c r="A1943" i="8"/>
  <c r="N1943" i="8" l="1"/>
  <c r="M1943" i="8"/>
  <c r="T1943" i="8"/>
  <c r="A1944" i="8"/>
  <c r="N1944" i="8" l="1"/>
  <c r="M1944" i="8"/>
  <c r="T1944" i="8"/>
  <c r="A1945" i="8"/>
  <c r="N1945" i="8" l="1"/>
  <c r="M1945" i="8"/>
  <c r="T1945" i="8"/>
  <c r="A1946" i="8"/>
  <c r="N1946" i="8" l="1"/>
  <c r="M1946" i="8"/>
  <c r="T1946" i="8"/>
  <c r="A1947" i="8"/>
  <c r="N1947" i="8" l="1"/>
  <c r="M1947" i="8"/>
  <c r="T1947" i="8"/>
  <c r="A1948" i="8"/>
  <c r="N1948" i="8" l="1"/>
  <c r="M1948" i="8"/>
  <c r="T1948" i="8"/>
  <c r="A1949" i="8"/>
  <c r="N1949" i="8" l="1"/>
  <c r="M1949" i="8"/>
  <c r="T1949" i="8"/>
  <c r="A1950" i="8"/>
  <c r="N1950" i="8" l="1"/>
  <c r="M1950" i="8"/>
  <c r="T1950" i="8"/>
  <c r="A1951" i="8"/>
  <c r="N1951" i="8" l="1"/>
  <c r="M1951" i="8"/>
  <c r="T1951" i="8"/>
  <c r="A1952" i="8"/>
  <c r="N1952" i="8" l="1"/>
  <c r="M1952" i="8"/>
  <c r="T1952" i="8"/>
  <c r="A1953" i="8"/>
  <c r="N1953" i="8" l="1"/>
  <c r="M1953" i="8"/>
  <c r="T1953" i="8"/>
  <c r="A1954" i="8"/>
  <c r="M1954" i="8" l="1"/>
  <c r="N1954" i="8"/>
  <c r="T1954" i="8"/>
  <c r="A1955" i="8"/>
  <c r="N1955" i="8" l="1"/>
  <c r="M1955" i="8"/>
  <c r="T1955" i="8"/>
  <c r="A1956" i="8"/>
  <c r="N1956" i="8" l="1"/>
  <c r="M1956" i="8"/>
  <c r="T1956" i="8"/>
  <c r="A1957" i="8"/>
  <c r="N1957" i="8" l="1"/>
  <c r="M1957" i="8"/>
  <c r="T1957" i="8"/>
  <c r="A1958" i="8"/>
  <c r="N1958" i="8" l="1"/>
  <c r="M1958" i="8"/>
  <c r="T1958" i="8"/>
  <c r="A1959" i="8"/>
  <c r="N1959" i="8" l="1"/>
  <c r="M1959" i="8"/>
  <c r="T1959" i="8"/>
  <c r="A1960" i="8"/>
  <c r="N1960" i="8" l="1"/>
  <c r="M1960" i="8"/>
  <c r="T1960" i="8"/>
  <c r="A1961" i="8"/>
  <c r="N1961" i="8" l="1"/>
  <c r="M1961" i="8"/>
  <c r="T1961" i="8"/>
  <c r="A1962" i="8"/>
  <c r="N1962" i="8" l="1"/>
  <c r="M1962" i="8"/>
  <c r="T1962" i="8"/>
  <c r="A1963" i="8"/>
  <c r="N1963" i="8" l="1"/>
  <c r="M1963" i="8"/>
  <c r="T1963" i="8"/>
  <c r="A1964" i="8"/>
  <c r="N1964" i="8" l="1"/>
  <c r="M1964" i="8"/>
  <c r="T1964" i="8"/>
  <c r="A1965" i="8"/>
  <c r="N1965" i="8" l="1"/>
  <c r="M1965" i="8"/>
  <c r="T1965" i="8"/>
  <c r="A1966" i="8"/>
  <c r="N1966" i="8" l="1"/>
  <c r="M1966" i="8"/>
  <c r="T1966" i="8"/>
  <c r="A1967" i="8"/>
  <c r="M1967" i="8" l="1"/>
  <c r="N1967" i="8"/>
  <c r="T1967" i="8"/>
  <c r="A1968" i="8"/>
  <c r="N1968" i="8" l="1"/>
  <c r="M1968" i="8"/>
  <c r="T1968" i="8"/>
  <c r="A1969" i="8"/>
  <c r="N1969" i="8" l="1"/>
  <c r="M1969" i="8"/>
  <c r="T1969" i="8"/>
  <c r="A1970" i="8"/>
  <c r="N1970" i="8" l="1"/>
  <c r="M1970" i="8"/>
  <c r="T1970" i="8"/>
  <c r="A1971" i="8"/>
  <c r="M1971" i="8" l="1"/>
  <c r="N1971" i="8"/>
  <c r="T1971" i="8"/>
  <c r="A1972" i="8"/>
  <c r="N1972" i="8" l="1"/>
  <c r="M1972" i="8"/>
  <c r="T1972" i="8"/>
  <c r="A1973" i="8"/>
  <c r="N1973" i="8" l="1"/>
  <c r="M1973" i="8"/>
  <c r="T1973" i="8"/>
  <c r="A1974" i="8"/>
  <c r="N1974" i="8" l="1"/>
  <c r="M1974" i="8"/>
  <c r="T1974" i="8"/>
  <c r="A1975" i="8"/>
  <c r="M1975" i="8" l="1"/>
  <c r="N1975" i="8"/>
  <c r="T1975" i="8"/>
  <c r="A1976" i="8"/>
  <c r="N1976" i="8" l="1"/>
  <c r="M1976" i="8"/>
  <c r="T1976" i="8"/>
  <c r="A1977" i="8"/>
  <c r="N1977" i="8" l="1"/>
  <c r="M1977" i="8"/>
  <c r="T1977" i="8"/>
  <c r="A1978" i="8"/>
  <c r="N1978" i="8" l="1"/>
  <c r="M1978" i="8"/>
  <c r="T1978" i="8"/>
  <c r="A1979" i="8"/>
  <c r="N1979" i="8" l="1"/>
  <c r="M1979" i="8"/>
  <c r="T1979" i="8"/>
  <c r="A1980" i="8"/>
  <c r="N1980" i="8" l="1"/>
  <c r="M1980" i="8"/>
  <c r="T1980" i="8"/>
  <c r="A1981" i="8"/>
  <c r="N1981" i="8" l="1"/>
  <c r="M1981" i="8"/>
  <c r="T1981" i="8"/>
  <c r="A1982" i="8"/>
  <c r="M1982" i="8" l="1"/>
  <c r="N1982" i="8"/>
  <c r="T1982" i="8"/>
  <c r="A1983" i="8"/>
  <c r="N1983" i="8" l="1"/>
  <c r="M1983" i="8"/>
  <c r="T1983" i="8"/>
  <c r="A1984" i="8"/>
  <c r="M1984" i="8" l="1"/>
  <c r="N1984" i="8"/>
  <c r="T1984" i="8"/>
  <c r="A1985" i="8"/>
  <c r="N1985" i="8" l="1"/>
  <c r="M1985" i="8"/>
  <c r="T1985" i="8"/>
  <c r="A1986" i="8"/>
  <c r="N1986" i="8" l="1"/>
  <c r="M1986" i="8"/>
  <c r="T1986" i="8"/>
  <c r="A1987" i="8"/>
  <c r="N1987" i="8" l="1"/>
  <c r="M1987" i="8"/>
  <c r="T1987" i="8"/>
  <c r="A1988" i="8"/>
  <c r="N1988" i="8" l="1"/>
  <c r="M1988" i="8"/>
  <c r="T1988" i="8"/>
  <c r="A1989" i="8"/>
  <c r="N1989" i="8" l="1"/>
  <c r="M1989" i="8"/>
  <c r="T1989" i="8"/>
  <c r="A1990" i="8"/>
  <c r="N1990" i="8" l="1"/>
  <c r="M1990" i="8"/>
  <c r="T1990" i="8"/>
  <c r="A1991" i="8"/>
  <c r="M1991" i="8" l="1"/>
  <c r="N1991" i="8"/>
  <c r="T1991" i="8"/>
  <c r="A1992" i="8"/>
  <c r="N1992" i="8" l="1"/>
  <c r="M1992" i="8"/>
  <c r="T1992" i="8"/>
  <c r="A1993" i="8"/>
  <c r="N1993" i="8" l="1"/>
  <c r="M1993" i="8"/>
  <c r="T1993" i="8"/>
  <c r="A1994" i="8"/>
  <c r="N1994" i="8" l="1"/>
  <c r="M1994" i="8"/>
  <c r="T1994" i="8"/>
  <c r="A1995" i="8"/>
  <c r="N1995" i="8" l="1"/>
  <c r="M1995" i="8"/>
  <c r="T1995" i="8"/>
  <c r="A1996" i="8"/>
  <c r="N1996" i="8" l="1"/>
  <c r="M1996" i="8"/>
  <c r="T1996" i="8"/>
  <c r="A1997" i="8"/>
  <c r="N1997" i="8" l="1"/>
  <c r="M1997" i="8"/>
  <c r="T1997" i="8"/>
  <c r="A1998" i="8"/>
  <c r="N1998" i="8" l="1"/>
  <c r="M1998" i="8"/>
  <c r="T1998" i="8"/>
  <c r="A1999" i="8"/>
  <c r="N1999" i="8" l="1"/>
  <c r="M1999" i="8"/>
  <c r="T1999" i="8"/>
  <c r="A2000" i="8"/>
  <c r="N2000" i="8" l="1"/>
  <c r="M2000" i="8"/>
  <c r="T2000" i="8"/>
  <c r="A2001" i="8"/>
  <c r="N2001" i="8" l="1"/>
  <c r="M2001" i="8"/>
  <c r="T2001" i="8"/>
  <c r="A2002" i="8"/>
  <c r="N2002" i="8" l="1"/>
  <c r="M2002" i="8"/>
  <c r="T2002" i="8"/>
  <c r="A2003" i="8"/>
  <c r="N2003" i="8" l="1"/>
  <c r="M2003" i="8"/>
  <c r="T2003" i="8"/>
  <c r="A2004" i="8"/>
  <c r="M2004" i="8" l="1"/>
  <c r="N2004" i="8"/>
  <c r="T2004" i="8"/>
  <c r="A2005" i="8"/>
  <c r="M2005" i="8" l="1"/>
  <c r="N2005" i="8"/>
  <c r="T2005" i="8"/>
  <c r="A2006" i="8"/>
  <c r="N2006" i="8" l="1"/>
  <c r="M2006" i="8"/>
  <c r="T2006" i="8"/>
  <c r="A2007" i="8"/>
  <c r="M2007" i="8" l="1"/>
  <c r="N2007" i="8"/>
  <c r="T2007" i="8"/>
  <c r="A2008" i="8"/>
  <c r="N2008" i="8" l="1"/>
  <c r="M2008" i="8"/>
  <c r="T2008" i="8"/>
  <c r="A2009" i="8"/>
  <c r="N2009" i="8" l="1"/>
  <c r="M2009" i="8"/>
  <c r="T2009" i="8"/>
  <c r="A2010" i="8"/>
  <c r="M2010" i="8" l="1"/>
  <c r="N2010" i="8"/>
  <c r="T2010" i="8"/>
  <c r="A2011" i="8"/>
  <c r="N2011" i="8" l="1"/>
  <c r="M2011" i="8"/>
  <c r="T2011" i="8"/>
  <c r="A2012" i="8"/>
  <c r="N2012" i="8" l="1"/>
  <c r="M2012" i="8"/>
  <c r="T2012" i="8"/>
  <c r="A2013" i="8"/>
  <c r="M2013" i="8" l="1"/>
  <c r="N2013" i="8"/>
  <c r="T2013" i="8"/>
  <c r="A2014" i="8"/>
  <c r="N2014" i="8" l="1"/>
  <c r="M2014" i="8"/>
  <c r="T2014" i="8"/>
  <c r="A2015" i="8"/>
  <c r="N2015" i="8" l="1"/>
  <c r="M2015" i="8"/>
  <c r="T2015" i="8"/>
  <c r="A2016" i="8"/>
  <c r="N2016" i="8" l="1"/>
  <c r="M2016" i="8"/>
  <c r="T2016" i="8"/>
  <c r="A2017" i="8"/>
  <c r="N2017" i="8" l="1"/>
  <c r="M2017" i="8"/>
  <c r="T2017" i="8"/>
  <c r="A2018" i="8"/>
  <c r="N2018" i="8" l="1"/>
  <c r="M2018" i="8"/>
  <c r="T2018" i="8"/>
  <c r="A2019" i="8"/>
  <c r="N2019" i="8" l="1"/>
  <c r="M2019" i="8"/>
  <c r="T2019" i="8"/>
  <c r="A2020" i="8"/>
  <c r="M2020" i="8" l="1"/>
  <c r="N2020" i="8"/>
  <c r="T2020" i="8"/>
  <c r="A2021" i="8"/>
  <c r="N2021" i="8" l="1"/>
  <c r="M2021" i="8"/>
  <c r="T2021" i="8"/>
  <c r="A2022" i="8"/>
  <c r="N2022" i="8" l="1"/>
  <c r="M2022" i="8"/>
  <c r="T2022" i="8"/>
  <c r="A2023" i="8"/>
  <c r="N2023" i="8" l="1"/>
  <c r="M2023" i="8"/>
  <c r="T2023" i="8"/>
  <c r="A2024" i="8"/>
  <c r="N2024" i="8" l="1"/>
  <c r="M2024" i="8"/>
  <c r="T2024" i="8"/>
  <c r="A2025" i="8"/>
  <c r="N2025" i="8" l="1"/>
  <c r="M2025" i="8"/>
  <c r="T2025" i="8"/>
  <c r="A2026" i="8"/>
  <c r="N2026" i="8" l="1"/>
  <c r="M2026" i="8"/>
  <c r="T2026" i="8"/>
  <c r="A2027" i="8"/>
  <c r="N2027" i="8" l="1"/>
  <c r="M2027" i="8"/>
  <c r="T2027" i="8"/>
  <c r="A2028" i="8"/>
  <c r="N2028" i="8" l="1"/>
  <c r="M2028" i="8"/>
  <c r="T2028" i="8"/>
  <c r="A2029" i="8"/>
  <c r="N2029" i="8" l="1"/>
  <c r="M2029" i="8"/>
  <c r="T2029" i="8"/>
  <c r="A2030" i="8"/>
  <c r="N2030" i="8" l="1"/>
  <c r="M2030" i="8"/>
  <c r="T2030" i="8"/>
  <c r="A2031" i="8"/>
  <c r="N2031" i="8" l="1"/>
  <c r="M2031" i="8"/>
  <c r="T2031" i="8"/>
  <c r="A2032" i="8"/>
  <c r="N2032" i="8" l="1"/>
  <c r="M2032" i="8"/>
  <c r="T2032" i="8"/>
  <c r="A2033" i="8"/>
  <c r="N2033" i="8" l="1"/>
  <c r="M2033" i="8"/>
  <c r="T2033" i="8"/>
  <c r="A2034" i="8"/>
  <c r="N2034" i="8" l="1"/>
  <c r="M2034" i="8"/>
  <c r="T2034" i="8"/>
  <c r="A2035" i="8"/>
  <c r="N2035" i="8" l="1"/>
  <c r="M2035" i="8"/>
  <c r="T2035" i="8"/>
  <c r="A2036" i="8"/>
  <c r="M2036" i="8" l="1"/>
  <c r="N2036" i="8"/>
  <c r="T2036" i="8"/>
  <c r="A2037" i="8"/>
  <c r="N2037" i="8" l="1"/>
  <c r="M2037" i="8"/>
  <c r="T2037" i="8"/>
  <c r="A2038" i="8"/>
  <c r="N2038" i="8" l="1"/>
  <c r="M2038" i="8"/>
  <c r="T2038" i="8"/>
  <c r="A2039" i="8"/>
  <c r="N2039" i="8" l="1"/>
  <c r="M2039" i="8"/>
  <c r="T2039" i="8"/>
  <c r="A2040" i="8"/>
  <c r="N2040" i="8" l="1"/>
  <c r="M2040" i="8"/>
  <c r="T2040" i="8"/>
  <c r="A2041" i="8"/>
  <c r="N2041" i="8" l="1"/>
  <c r="M2041" i="8"/>
  <c r="T2041" i="8"/>
  <c r="A2042" i="8"/>
  <c r="N2042" i="8" l="1"/>
  <c r="M2042" i="8"/>
  <c r="T2042" i="8"/>
  <c r="A2043" i="8"/>
  <c r="N2043" i="8" l="1"/>
  <c r="M2043" i="8"/>
  <c r="T2043" i="8"/>
  <c r="A2044" i="8"/>
  <c r="N2044" i="8" l="1"/>
  <c r="M2044" i="8"/>
  <c r="T2044" i="8"/>
  <c r="A2045" i="8"/>
  <c r="M2045" i="8" l="1"/>
  <c r="N2045" i="8"/>
  <c r="T2045" i="8"/>
  <c r="A2046" i="8"/>
  <c r="M2046" i="8" l="1"/>
  <c r="N2046" i="8"/>
  <c r="T2046" i="8"/>
  <c r="A2047" i="8"/>
  <c r="N2047" i="8" l="1"/>
  <c r="M2047" i="8"/>
  <c r="T2047" i="8"/>
  <c r="A2048" i="8"/>
  <c r="M2048" i="8" l="1"/>
  <c r="N2048" i="8"/>
  <c r="T2048" i="8"/>
  <c r="DH51" i="1"/>
  <c r="DZ42" i="1"/>
  <c r="DM84" i="1"/>
  <c r="AI41" i="1"/>
  <c r="Y67" i="1"/>
  <c r="AF50" i="1"/>
  <c r="DM56" i="1"/>
  <c r="ET32" i="1"/>
  <c r="EL40" i="1"/>
  <c r="CA87" i="1"/>
  <c r="DC72" i="1"/>
  <c r="CR72" i="1"/>
  <c r="AO41" i="1"/>
  <c r="BB40" i="1"/>
  <c r="AQ62" i="1"/>
  <c r="AP42" i="1"/>
  <c r="BD87" i="1"/>
  <c r="AS63" i="1"/>
  <c r="S62" i="1"/>
  <c r="W62" i="1"/>
  <c r="I67" i="1"/>
  <c r="CY79" i="1"/>
  <c r="AB57" i="1"/>
  <c r="BR72" i="1"/>
  <c r="FH63" i="1"/>
  <c r="FE42" i="1"/>
  <c r="Y70" i="1"/>
  <c r="AX31" i="1"/>
  <c r="AF42" i="1"/>
  <c r="EQ32" i="1"/>
  <c r="V31" i="1"/>
  <c r="M68" i="1"/>
  <c r="DI87" i="1"/>
  <c r="FL68" i="1"/>
  <c r="AC57" i="1"/>
  <c r="CM87" i="1"/>
  <c r="EJ40" i="1"/>
  <c r="AF67" i="1"/>
  <c r="AG50" i="1"/>
  <c r="FM68" i="1"/>
  <c r="DR72" i="1"/>
  <c r="BW68" i="1"/>
  <c r="CB63" i="1"/>
  <c r="EG72" i="1"/>
  <c r="AK32" i="1"/>
  <c r="AA87" i="1"/>
  <c r="AJ71" i="1"/>
  <c r="DN42" i="1"/>
  <c r="EU41" i="1"/>
  <c r="EM41" i="1"/>
  <c r="CB51" i="1"/>
  <c r="DE70" i="1"/>
  <c r="CT32" i="1"/>
  <c r="CD62" i="1"/>
  <c r="DG67" i="1"/>
  <c r="CV70" i="1"/>
  <c r="BF87" i="1"/>
  <c r="BZ42" i="1"/>
  <c r="BO87" i="1"/>
  <c r="W41" i="1"/>
  <c r="CI84" i="1"/>
  <c r="EF40" i="1"/>
  <c r="DF56" i="1"/>
  <c r="CD31" i="1"/>
  <c r="N32" i="1"/>
  <c r="DO62" i="1"/>
  <c r="CA63" i="1"/>
  <c r="BB32" i="1"/>
  <c r="FG50" i="1"/>
  <c r="CS84" i="1"/>
  <c r="Q87" i="1"/>
  <c r="AJ56" i="1"/>
  <c r="CN31" i="1"/>
  <c r="Z79" i="1"/>
  <c r="AC50" i="1"/>
  <c r="EU56" i="1"/>
  <c r="N62" i="1"/>
  <c r="DN56" i="1"/>
  <c r="CJ32" i="1"/>
  <c r="FG42" i="1"/>
  <c r="FJ79" i="1"/>
  <c r="CL70" i="1"/>
  <c r="EG62" i="1"/>
  <c r="CA79" i="1"/>
  <c r="AD79" i="1"/>
  <c r="DB40" i="1"/>
  <c r="CS40" i="1"/>
  <c r="DZ50" i="1"/>
  <c r="DJ87" i="1"/>
  <c r="DR41" i="1"/>
  <c r="K78" i="1"/>
  <c r="EL71" i="1"/>
  <c r="DF79" i="1"/>
  <c r="EP78" i="1"/>
  <c r="FF51" i="1"/>
  <c r="BT42" i="1"/>
  <c r="EI41" i="1"/>
  <c r="EV41" i="1"/>
  <c r="CX87" i="1"/>
  <c r="Q56" i="1"/>
  <c r="Z72" i="1"/>
  <c r="FA51" i="1"/>
  <c r="EN31" i="1"/>
  <c r="I84" i="1"/>
  <c r="V41" i="1"/>
  <c r="DD40" i="1"/>
  <c r="EZ40" i="1"/>
  <c r="BK68" i="1"/>
  <c r="AS57" i="1"/>
  <c r="BR78" i="1"/>
  <c r="CK67" i="1"/>
  <c r="CP84" i="1"/>
  <c r="BF31" i="1"/>
  <c r="AY56" i="1"/>
  <c r="DZ68" i="1"/>
  <c r="EX67" i="1"/>
  <c r="FP68" i="1"/>
  <c r="BS56" i="1"/>
  <c r="AN51" i="1"/>
  <c r="DY71" i="1"/>
  <c r="CM72" i="1"/>
  <c r="CZ42" i="1"/>
  <c r="BT67" i="1"/>
  <c r="BA32" i="1"/>
  <c r="AN72" i="1"/>
  <c r="DJ84" i="1"/>
  <c r="EA71" i="1"/>
  <c r="EQ79" i="1"/>
  <c r="BX32" i="1"/>
  <c r="CD78" i="1"/>
  <c r="EJ51" i="1"/>
  <c r="AL40" i="1"/>
  <c r="AC62" i="1"/>
  <c r="AN68" i="1"/>
  <c r="DO41" i="1"/>
  <c r="EV63" i="1"/>
  <c r="EO72" i="1"/>
  <c r="DQ31" i="1"/>
  <c r="EX40" i="1"/>
  <c r="EP70" i="1"/>
  <c r="CS68" i="1"/>
  <c r="DZ51" i="1"/>
  <c r="DR63" i="1"/>
  <c r="BJ51" i="1"/>
  <c r="T78" i="1"/>
  <c r="W51" i="1"/>
  <c r="CE32" i="1"/>
  <c r="FM87" i="1"/>
  <c r="BH42" i="1"/>
  <c r="H50" i="1"/>
  <c r="V70" i="1"/>
  <c r="EV84" i="1"/>
  <c r="DL68" i="1"/>
  <c r="EY63" i="1"/>
  <c r="CH62" i="1"/>
  <c r="FN41" i="1"/>
  <c r="EN56" i="1"/>
  <c r="CF84" i="1"/>
  <c r="DE72" i="1"/>
  <c r="DL63" i="1"/>
  <c r="DU72" i="1"/>
  <c r="BF63" i="1"/>
  <c r="EY71" i="1"/>
  <c r="DH32" i="1"/>
  <c r="DE31" i="1"/>
  <c r="Q62" i="1"/>
  <c r="AA40" i="1"/>
  <c r="ES62" i="1"/>
  <c r="EE71" i="1"/>
  <c r="DK78" i="1"/>
  <c r="AD68" i="1"/>
  <c r="AI84" i="1"/>
  <c r="BE56" i="1"/>
  <c r="DC31" i="1"/>
  <c r="CO84" i="1"/>
  <c r="FJ57" i="1"/>
  <c r="AW62" i="1"/>
  <c r="BP84" i="1"/>
  <c r="CQ78" i="1"/>
  <c r="FP40" i="1"/>
  <c r="FD56" i="1"/>
  <c r="EH78" i="1"/>
  <c r="CQ62" i="1"/>
  <c r="DS41" i="1"/>
  <c r="DM68" i="1"/>
  <c r="AV51" i="1"/>
  <c r="BX42" i="1"/>
  <c r="Z32" i="1"/>
  <c r="CS67" i="1"/>
  <c r="BR67" i="1"/>
  <c r="O57" i="1"/>
  <c r="DE67" i="1"/>
  <c r="FD87" i="1"/>
  <c r="FP31" i="1"/>
  <c r="BN32" i="1"/>
  <c r="CO41" i="1"/>
  <c r="U84" i="1"/>
  <c r="EX84" i="1"/>
  <c r="CL42" i="1"/>
  <c r="CQ70" i="1"/>
  <c r="DV72" i="1"/>
  <c r="EV78" i="1"/>
  <c r="AA62" i="1"/>
  <c r="X57" i="1"/>
  <c r="BP79" i="1"/>
  <c r="CD32" i="1"/>
  <c r="DG50" i="1"/>
  <c r="DC57" i="1"/>
  <c r="EL87" i="1"/>
  <c r="AH32" i="1"/>
  <c r="FO67" i="1"/>
  <c r="EI40" i="1"/>
  <c r="DK67" i="1"/>
  <c r="EC70" i="1"/>
  <c r="FO79" i="1"/>
  <c r="BY68" i="1"/>
  <c r="CF51" i="1"/>
  <c r="EL50" i="1"/>
  <c r="AN63" i="1"/>
  <c r="AE40" i="1"/>
  <c r="AR68" i="1"/>
  <c r="AO31" i="1"/>
  <c r="AG32" i="1"/>
  <c r="AV62" i="1"/>
  <c r="Q41" i="1"/>
  <c r="FM57" i="1"/>
  <c r="FE41" i="1"/>
  <c r="CW56" i="1"/>
  <c r="BT31" i="1"/>
  <c r="CY72" i="1"/>
  <c r="CZ40" i="1"/>
  <c r="DJ67" i="1"/>
  <c r="DJ78" i="1"/>
  <c r="CD70" i="1"/>
  <c r="EO56" i="1"/>
  <c r="AR42" i="1"/>
  <c r="AB72" i="1"/>
  <c r="BB63" i="1"/>
  <c r="EX31" i="1"/>
  <c r="EY79" i="1"/>
  <c r="K70" i="1"/>
  <c r="P62" i="1"/>
  <c r="Y62" i="1"/>
  <c r="BN63" i="1"/>
  <c r="AU62" i="1"/>
  <c r="DG71" i="1"/>
  <c r="AW78" i="1"/>
  <c r="BN67" i="1"/>
  <c r="BF79" i="1"/>
  <c r="BX78" i="1"/>
  <c r="DC87" i="1"/>
  <c r="CE87" i="1"/>
  <c r="AZ71" i="1"/>
  <c r="EH72" i="1"/>
  <c r="CK56" i="1"/>
  <c r="DL78" i="1"/>
  <c r="EX51" i="1"/>
  <c r="AI32" i="1"/>
  <c r="EV56" i="1"/>
  <c r="EJ70" i="1"/>
  <c r="CY32" i="1"/>
  <c r="ED32" i="1"/>
  <c r="J40" i="1"/>
  <c r="DI57" i="1"/>
  <c r="BO72" i="1"/>
  <c r="DE32" i="1"/>
  <c r="I42" i="1"/>
  <c r="BX63" i="1"/>
  <c r="BB31" i="1"/>
  <c r="AE50" i="1"/>
  <c r="FL87" i="1"/>
  <c r="FJ51" i="1"/>
  <c r="AB87" i="1"/>
  <c r="AZ50" i="1"/>
  <c r="FL41" i="1"/>
  <c r="AI79" i="1"/>
  <c r="DD62" i="1"/>
  <c r="DW68" i="1"/>
  <c r="CA71" i="1"/>
  <c r="F72" i="1"/>
  <c r="DG72" i="1"/>
  <c r="FF78" i="1"/>
  <c r="BS31" i="1"/>
  <c r="DW50" i="1"/>
  <c r="BJ42" i="1"/>
  <c r="FG63" i="1"/>
  <c r="EN84" i="1"/>
  <c r="Q31" i="1"/>
  <c r="EU63" i="1"/>
  <c r="M67" i="1"/>
  <c r="BU87" i="1"/>
  <c r="BB70" i="1"/>
  <c r="AR70" i="1"/>
  <c r="AI70" i="1"/>
  <c r="FP32" i="1"/>
  <c r="FI62" i="1"/>
  <c r="DM63" i="1"/>
  <c r="ED63" i="1"/>
  <c r="V51" i="1"/>
  <c r="CA56" i="1"/>
  <c r="CH42" i="1"/>
  <c r="EO32" i="1"/>
  <c r="CB50" i="1"/>
  <c r="CJ31" i="1"/>
  <c r="ER32" i="1"/>
  <c r="BD70" i="1"/>
  <c r="BB57" i="1"/>
  <c r="CM51" i="1"/>
  <c r="U68" i="1"/>
  <c r="L31" i="1"/>
  <c r="S70" i="1"/>
  <c r="FJ62" i="1"/>
  <c r="AJ68" i="1"/>
  <c r="BA84" i="1"/>
  <c r="EM40" i="1"/>
  <c r="CV87" i="1"/>
  <c r="CS51" i="1"/>
  <c r="R62" i="1"/>
  <c r="EC62" i="1"/>
  <c r="BU41" i="1"/>
  <c r="R51" i="1"/>
  <c r="BA57" i="1"/>
  <c r="BQ70" i="1"/>
  <c r="CP57" i="1"/>
  <c r="AN84" i="1"/>
  <c r="FI41" i="1"/>
  <c r="AW31" i="1"/>
  <c r="DO67" i="1"/>
  <c r="BO32" i="1"/>
  <c r="AL63" i="1"/>
  <c r="BJ71" i="1"/>
  <c r="FE67" i="1"/>
  <c r="Z50" i="1"/>
  <c r="DI79" i="1"/>
  <c r="V78" i="1"/>
  <c r="I78" i="1"/>
  <c r="V32" i="1"/>
  <c r="EL42" i="1"/>
  <c r="CP31" i="1"/>
  <c r="AS78" i="1"/>
  <c r="ET42" i="1"/>
  <c r="AP57" i="1"/>
  <c r="BA71" i="1"/>
  <c r="BQ62" i="1"/>
  <c r="BJ57" i="1"/>
  <c r="BQ63" i="1"/>
  <c r="AT50" i="1"/>
  <c r="ET71" i="1"/>
  <c r="Q40" i="1"/>
  <c r="FO63" i="1"/>
  <c r="AN31" i="1"/>
  <c r="EH56" i="1"/>
  <c r="EF70" i="1"/>
  <c r="CQ63" i="1"/>
  <c r="X56" i="1"/>
  <c r="DS79" i="1"/>
  <c r="FM70" i="1"/>
  <c r="ET63" i="1"/>
  <c r="AW50" i="1"/>
  <c r="EH68" i="1"/>
  <c r="AI31" i="1"/>
  <c r="CO50" i="1"/>
  <c r="DC79" i="1"/>
  <c r="FM63" i="1"/>
  <c r="EW71" i="1"/>
  <c r="FB50" i="1"/>
  <c r="AX72" i="1"/>
  <c r="CJ78" i="1"/>
  <c r="FP62" i="1"/>
  <c r="G67" i="1"/>
  <c r="AW68" i="1"/>
  <c r="EE31" i="1"/>
  <c r="K32" i="1"/>
  <c r="AE32" i="1"/>
  <c r="DN70" i="1"/>
  <c r="DH70" i="1"/>
  <c r="DE42" i="1"/>
  <c r="EO70" i="1"/>
  <c r="BW42" i="1"/>
  <c r="BE68" i="1"/>
  <c r="AV41" i="1"/>
  <c r="AK84" i="1"/>
  <c r="EY68" i="1"/>
  <c r="O40" i="1"/>
  <c r="DN71" i="1"/>
  <c r="EF84" i="1"/>
  <c r="BV51" i="1"/>
  <c r="DO68" i="1"/>
  <c r="EG70" i="1"/>
  <c r="DA56" i="1"/>
  <c r="CR42" i="1"/>
  <c r="DE84" i="1"/>
  <c r="FN50" i="1"/>
  <c r="BI40" i="1"/>
  <c r="BM78" i="1"/>
  <c r="CJ56" i="1"/>
  <c r="CE63" i="1"/>
  <c r="EI31" i="1"/>
  <c r="DA70" i="1"/>
  <c r="AQ87" i="1"/>
  <c r="EV51" i="1"/>
  <c r="EP42" i="1"/>
  <c r="BP31" i="1"/>
  <c r="U78" i="1"/>
  <c r="EF67" i="1"/>
  <c r="DW32" i="1"/>
  <c r="ET56" i="1"/>
  <c r="U42" i="1"/>
  <c r="CH32" i="1"/>
  <c r="BI57" i="1"/>
  <c r="S50" i="1"/>
  <c r="EW79" i="1"/>
  <c r="CO62" i="1"/>
  <c r="DJ62" i="1"/>
  <c r="DG63" i="1"/>
  <c r="ER62" i="1"/>
  <c r="BX71" i="1"/>
  <c r="BF72" i="1"/>
  <c r="AZ87" i="1"/>
  <c r="AL41" i="1"/>
  <c r="FF67" i="1"/>
  <c r="CU41" i="1"/>
  <c r="AN62" i="1"/>
  <c r="FP67" i="1"/>
  <c r="EG78" i="1"/>
  <c r="P72" i="1"/>
  <c r="EV62" i="1"/>
  <c r="DO40" i="1"/>
  <c r="AM78" i="1"/>
  <c r="EL79" i="1"/>
  <c r="AP32" i="1"/>
  <c r="DO32" i="1"/>
  <c r="AO56" i="1"/>
  <c r="DS50" i="1"/>
  <c r="BN42" i="1"/>
  <c r="EN41" i="1"/>
  <c r="CH78" i="1"/>
  <c r="J72" i="1"/>
  <c r="CV56" i="1"/>
  <c r="AV40" i="1"/>
  <c r="EK51" i="1"/>
  <c r="AU72" i="1"/>
  <c r="AW51" i="1"/>
  <c r="EL31" i="1"/>
  <c r="AW79" i="1"/>
  <c r="Y42" i="1"/>
  <c r="DM79" i="1"/>
  <c r="N51" i="1"/>
  <c r="DT78" i="1"/>
  <c r="BP71" i="1"/>
  <c r="DZ57" i="1"/>
  <c r="BQ42" i="1"/>
  <c r="G56" i="1"/>
  <c r="DI40" i="1"/>
  <c r="DF41" i="1"/>
  <c r="EG40" i="1"/>
  <c r="FM78" i="1"/>
  <c r="AS51" i="1"/>
  <c r="AE71" i="1"/>
  <c r="BV63" i="1"/>
  <c r="FN51" i="1"/>
  <c r="FN56" i="1"/>
  <c r="DC62" i="1"/>
  <c r="W31" i="1"/>
  <c r="EH70" i="1"/>
  <c r="DY70" i="1"/>
  <c r="DJ32" i="1"/>
  <c r="R56" i="1"/>
  <c r="EB31" i="1"/>
  <c r="L62" i="1"/>
  <c r="BH67" i="1"/>
  <c r="CI50" i="1"/>
  <c r="DI70" i="1"/>
  <c r="DT67" i="1"/>
  <c r="EA72" i="1"/>
  <c r="EP79" i="1"/>
  <c r="CN51" i="1"/>
  <c r="EI87" i="1"/>
  <c r="AR41" i="1"/>
  <c r="AE31" i="1"/>
  <c r="AK68" i="1"/>
  <c r="BI62" i="1"/>
  <c r="EC32" i="1"/>
  <c r="EX79" i="1"/>
  <c r="BR41" i="1"/>
  <c r="BU78" i="1"/>
  <c r="AX56" i="1"/>
  <c r="BC67" i="1"/>
  <c r="BT78" i="1"/>
  <c r="BS68" i="1"/>
  <c r="AP78" i="1"/>
  <c r="CW68" i="1"/>
  <c r="EB72" i="1"/>
  <c r="BY57" i="1"/>
  <c r="FL78" i="1"/>
  <c r="DV57" i="1"/>
  <c r="AN40" i="1"/>
  <c r="BC56" i="1"/>
  <c r="DF78" i="1"/>
  <c r="FC31" i="1"/>
  <c r="BO71" i="1"/>
  <c r="BE67" i="1"/>
  <c r="BT68" i="1"/>
  <c r="CN87" i="1"/>
  <c r="BG67" i="1"/>
  <c r="BF41" i="1"/>
  <c r="U67" i="1"/>
  <c r="ET84" i="1"/>
  <c r="BO78" i="1"/>
  <c r="DP62" i="1"/>
  <c r="EA62" i="1"/>
  <c r="BF68" i="1"/>
  <c r="AD71" i="1"/>
  <c r="AL51" i="1"/>
  <c r="CO70" i="1"/>
  <c r="AK62" i="1"/>
  <c r="CC67" i="1"/>
  <c r="FC56" i="1"/>
  <c r="CR50" i="1"/>
  <c r="AR57" i="1"/>
  <c r="DQ68" i="1"/>
  <c r="AQ40" i="1"/>
  <c r="E70" i="1"/>
  <c r="BP42" i="1"/>
  <c r="EP56" i="1"/>
  <c r="CI72" i="1"/>
  <c r="M87" i="1"/>
  <c r="CX63" i="1"/>
  <c r="CJ50" i="1"/>
  <c r="P40" i="1"/>
  <c r="CZ63" i="1"/>
  <c r="BM41" i="1"/>
  <c r="FB84" i="1"/>
  <c r="BS78" i="1"/>
  <c r="AD72" i="1"/>
  <c r="DS40" i="1"/>
  <c r="P51" i="1"/>
  <c r="EC31" i="1"/>
  <c r="DP87" i="1"/>
  <c r="DV51" i="1"/>
  <c r="F84" i="1"/>
  <c r="BG56" i="1"/>
  <c r="DJ50" i="1"/>
  <c r="CD57" i="1"/>
  <c r="CL63" i="1"/>
  <c r="EI78" i="1"/>
  <c r="FK72" i="1"/>
  <c r="CL68" i="1"/>
  <c r="FI87" i="1"/>
  <c r="CN78" i="1"/>
  <c r="BW87" i="1"/>
  <c r="BD57" i="1"/>
  <c r="DY87" i="1"/>
  <c r="BY79" i="1"/>
  <c r="AW84" i="1"/>
  <c r="DT62" i="1"/>
  <c r="DS72" i="1"/>
  <c r="T63" i="1"/>
  <c r="AC70" i="1"/>
  <c r="DE40" i="1"/>
  <c r="BC50" i="1"/>
  <c r="AH41" i="1"/>
  <c r="EU62" i="1"/>
  <c r="EG87" i="1"/>
  <c r="DI78" i="1"/>
  <c r="CL87" i="1"/>
  <c r="DM67" i="1"/>
  <c r="FA62" i="1"/>
  <c r="AC41" i="1"/>
  <c r="T72" i="1"/>
  <c r="AE62" i="1"/>
  <c r="X70" i="1"/>
  <c r="DJ41" i="1"/>
  <c r="CQ51" i="1"/>
  <c r="R63" i="1"/>
  <c r="CR84" i="1"/>
  <c r="AQ71" i="1"/>
  <c r="BU62" i="1"/>
  <c r="BX70" i="1"/>
  <c r="X41" i="1"/>
  <c r="CO32" i="1"/>
  <c r="AU68" i="1"/>
  <c r="BB84" i="1"/>
  <c r="DZ40" i="1"/>
  <c r="CM41" i="1"/>
  <c r="BS62" i="1"/>
  <c r="EL67" i="1"/>
  <c r="FB42" i="1"/>
  <c r="F87" i="1"/>
  <c r="CK62" i="1"/>
  <c r="DG70" i="1"/>
  <c r="AH79" i="1"/>
  <c r="FG68" i="1"/>
  <c r="DN63" i="1"/>
  <c r="S78" i="1"/>
  <c r="FE50" i="1"/>
  <c r="BN31" i="1"/>
  <c r="K51" i="1"/>
  <c r="DL71" i="1"/>
  <c r="M71" i="1"/>
  <c r="EJ84" i="1"/>
  <c r="AM31" i="1"/>
  <c r="CQ67" i="1"/>
  <c r="AM68" i="1"/>
  <c r="DR68" i="1"/>
  <c r="AQ78" i="1"/>
  <c r="EN70" i="1"/>
  <c r="CF72" i="1"/>
  <c r="FF50" i="1"/>
  <c r="CV72" i="1"/>
  <c r="AT31" i="1"/>
  <c r="DT79" i="1"/>
  <c r="AU31" i="1"/>
  <c r="AV68" i="1"/>
  <c r="AK50" i="1"/>
  <c r="BR50" i="1"/>
  <c r="AI57" i="1"/>
  <c r="CA84" i="1"/>
  <c r="EM68" i="1"/>
  <c r="CP42" i="1"/>
  <c r="AO71" i="1"/>
  <c r="CS72" i="1"/>
  <c r="AO62" i="1"/>
  <c r="DS62" i="1"/>
  <c r="AR51" i="1"/>
  <c r="EP51" i="1"/>
  <c r="CH63" i="1"/>
  <c r="FG32" i="1"/>
  <c r="CX50" i="1"/>
  <c r="CI32" i="1"/>
  <c r="FI40" i="1"/>
  <c r="CZ41" i="1"/>
  <c r="BK84" i="1"/>
  <c r="EK56" i="1"/>
  <c r="BS79" i="1"/>
  <c r="AB40" i="1"/>
  <c r="CU56" i="1"/>
  <c r="AV84" i="1"/>
  <c r="EF72" i="1"/>
  <c r="AF71" i="1"/>
  <c r="BU70" i="1"/>
  <c r="G40" i="1"/>
  <c r="DH56" i="1"/>
  <c r="EE51" i="1"/>
  <c r="AC79" i="1"/>
  <c r="AN32" i="1"/>
  <c r="FB70" i="1"/>
  <c r="FJ63" i="1"/>
  <c r="AT84" i="1"/>
  <c r="AK56" i="1"/>
  <c r="DR67" i="1"/>
  <c r="CZ79" i="1"/>
  <c r="DN50" i="1"/>
  <c r="ES79" i="1"/>
  <c r="J63" i="1"/>
  <c r="BP70" i="1"/>
  <c r="F62" i="1"/>
  <c r="F50" i="1"/>
  <c r="CU31" i="1"/>
  <c r="EP87" i="1"/>
  <c r="BT62" i="1"/>
  <c r="DH67" i="1"/>
  <c r="R32" i="1"/>
  <c r="AS41" i="1"/>
  <c r="DH87" i="1"/>
  <c r="EL70" i="1"/>
  <c r="FB56" i="1"/>
  <c r="DF72" i="1"/>
  <c r="CA50" i="1"/>
  <c r="DR62" i="1"/>
  <c r="BY63" i="1"/>
  <c r="FD84" i="1"/>
  <c r="DH68" i="1"/>
  <c r="DE87" i="1"/>
  <c r="DW79" i="1"/>
  <c r="FH72" i="1"/>
  <c r="EY51" i="1"/>
  <c r="EU70" i="1"/>
  <c r="BO41" i="1"/>
  <c r="EQ31" i="1"/>
  <c r="FG72" i="1"/>
  <c r="H87" i="1"/>
  <c r="BQ51" i="1"/>
  <c r="BG78" i="1"/>
  <c r="BS57" i="1"/>
  <c r="DJ79" i="1"/>
  <c r="BV84" i="1"/>
  <c r="K56" i="1"/>
  <c r="DC51" i="1"/>
  <c r="FP84" i="1"/>
  <c r="BV42" i="1"/>
  <c r="BP87" i="1"/>
  <c r="AD87" i="1"/>
  <c r="FC68" i="1"/>
  <c r="CD84" i="1"/>
  <c r="W57" i="1"/>
  <c r="DK56" i="1"/>
  <c r="F42" i="1"/>
  <c r="DX70" i="1"/>
  <c r="BQ40" i="1"/>
  <c r="FO70" i="1"/>
  <c r="EU51" i="1"/>
  <c r="CW63" i="1"/>
  <c r="BE87" i="1"/>
  <c r="DB72" i="1"/>
  <c r="DX72" i="1"/>
  <c r="BD78" i="1"/>
  <c r="ET67" i="1"/>
  <c r="DL32" i="1"/>
  <c r="EU40" i="1"/>
  <c r="H79" i="1"/>
  <c r="T70" i="1"/>
  <c r="AM32" i="1"/>
  <c r="CG79" i="1"/>
  <c r="CL31" i="1"/>
  <c r="FH50" i="1"/>
  <c r="CU67" i="1"/>
  <c r="DF57" i="1"/>
  <c r="L41" i="1"/>
  <c r="BE79" i="1"/>
  <c r="BW50" i="1"/>
  <c r="ER68" i="1"/>
  <c r="CB40" i="1"/>
  <c r="CR70" i="1"/>
  <c r="EL57" i="1"/>
  <c r="BF56" i="1"/>
  <c r="ES57" i="1"/>
  <c r="BU50" i="1"/>
  <c r="BE57" i="1"/>
  <c r="FL51" i="1"/>
  <c r="ES56" i="1"/>
  <c r="DG51" i="1"/>
  <c r="DV67" i="1"/>
  <c r="DO63" i="1"/>
  <c r="DO87" i="1"/>
  <c r="AV32" i="1"/>
  <c r="AM84" i="1"/>
  <c r="AN42" i="1"/>
  <c r="DD57" i="1"/>
  <c r="FN42" i="1"/>
  <c r="EE62" i="1"/>
  <c r="AZ78" i="1"/>
  <c r="CS57" i="1"/>
  <c r="Z68" i="1"/>
  <c r="EJ72" i="1"/>
  <c r="AZ57" i="1"/>
  <c r="AB56" i="1"/>
  <c r="AE72" i="1"/>
  <c r="CV79" i="1"/>
  <c r="FN84" i="1"/>
  <c r="AQ79" i="1"/>
  <c r="BX50" i="1"/>
  <c r="CO56" i="1"/>
  <c r="CU72" i="1"/>
  <c r="AA70" i="1"/>
  <c r="O63" i="1"/>
  <c r="DP71" i="1"/>
  <c r="FN70" i="1"/>
  <c r="BL57" i="1"/>
  <c r="AY67" i="1"/>
  <c r="DX62" i="1"/>
  <c r="FE79" i="1"/>
  <c r="FH51" i="1"/>
  <c r="CY62" i="1"/>
  <c r="BC71" i="1"/>
  <c r="Y57" i="1"/>
  <c r="BV70" i="1"/>
  <c r="ED72" i="1"/>
  <c r="BV68" i="1"/>
  <c r="EO79" i="1"/>
  <c r="DL57" i="1"/>
  <c r="AG67" i="1"/>
  <c r="AF68" i="1"/>
  <c r="AW70" i="1"/>
  <c r="BP32" i="1"/>
  <c r="BW70" i="1"/>
  <c r="AV70" i="1"/>
  <c r="DO70" i="1"/>
  <c r="AQ84" i="1"/>
  <c r="M41" i="1"/>
  <c r="CO63" i="1"/>
  <c r="BE32" i="1"/>
  <c r="BZ78" i="1"/>
  <c r="EO57" i="1"/>
  <c r="CM68" i="1"/>
  <c r="BD62" i="1"/>
  <c r="CQ79" i="1"/>
  <c r="EF62" i="1"/>
  <c r="ET57" i="1"/>
  <c r="ET78" i="1"/>
  <c r="R78" i="1"/>
  <c r="BQ57" i="1"/>
  <c r="FE57" i="1"/>
  <c r="ED87" i="1"/>
  <c r="P67" i="1"/>
  <c r="FC32" i="1"/>
  <c r="AX50" i="1"/>
  <c r="AS56" i="1"/>
  <c r="CN67" i="1"/>
  <c r="AP68" i="1"/>
  <c r="ER57" i="1"/>
  <c r="I79" i="1"/>
  <c r="AU63" i="1"/>
  <c r="P84" i="1"/>
  <c r="DS68" i="1"/>
  <c r="O68" i="1"/>
  <c r="CB84" i="1"/>
  <c r="DO78" i="1"/>
  <c r="CX72" i="1"/>
  <c r="EG57" i="1"/>
  <c r="ES70" i="1"/>
  <c r="FI70" i="1"/>
  <c r="DK41" i="1"/>
  <c r="AL70" i="1"/>
  <c r="DL56" i="1"/>
  <c r="BB68" i="1"/>
  <c r="CZ57" i="1"/>
  <c r="DE68" i="1"/>
  <c r="L67" i="1"/>
  <c r="EQ87" i="1"/>
  <c r="EK72" i="1"/>
  <c r="AY72" i="1"/>
  <c r="H57" i="1"/>
  <c r="ES71" i="1"/>
  <c r="BH78" i="1"/>
  <c r="BH68" i="1"/>
  <c r="EF32" i="1"/>
  <c r="FE68" i="1"/>
  <c r="AK87" i="1"/>
  <c r="EA32" i="1"/>
  <c r="CN40" i="1"/>
  <c r="FF56" i="1"/>
  <c r="EX50" i="1"/>
  <c r="X84" i="1"/>
  <c r="AG70" i="1"/>
  <c r="Z51" i="1"/>
  <c r="EB63" i="1"/>
  <c r="BQ87" i="1"/>
  <c r="CQ31" i="1"/>
  <c r="EW57" i="1"/>
  <c r="FO41" i="1"/>
  <c r="BI70" i="1"/>
  <c r="DX32" i="1"/>
  <c r="W42" i="1"/>
  <c r="BF40" i="1"/>
  <c r="AM67" i="1"/>
  <c r="BJ78" i="1"/>
  <c r="EL32" i="1"/>
  <c r="J68" i="1"/>
  <c r="CN72" i="1"/>
  <c r="DY41" i="1"/>
  <c r="BQ56" i="1"/>
  <c r="H70" i="1"/>
  <c r="BD40" i="1"/>
  <c r="J84" i="1"/>
  <c r="FM56" i="1"/>
  <c r="DF50" i="1"/>
  <c r="FI32" i="1"/>
  <c r="EA42" i="1"/>
  <c r="FJ32" i="1"/>
  <c r="CE67" i="1"/>
  <c r="AO63" i="1"/>
  <c r="EH42" i="1"/>
  <c r="DU56" i="1"/>
  <c r="EI63" i="1"/>
  <c r="O79" i="1"/>
  <c r="BA78" i="1"/>
  <c r="AK67" i="1"/>
  <c r="BT56" i="1"/>
  <c r="AG41" i="1"/>
  <c r="AV56" i="1"/>
  <c r="FM51" i="1"/>
  <c r="BR84" i="1"/>
  <c r="BW78" i="1"/>
  <c r="EG32" i="1"/>
  <c r="AP31" i="1"/>
  <c r="R68" i="1"/>
  <c r="CG78" i="1"/>
  <c r="DI84" i="1"/>
  <c r="ES32" i="1"/>
  <c r="DP42" i="1"/>
  <c r="EY70" i="1"/>
  <c r="FP42" i="1"/>
  <c r="BK87" i="1"/>
  <c r="BD79" i="1"/>
  <c r="BF57" i="1"/>
  <c r="DY50" i="1"/>
  <c r="DC41" i="1"/>
  <c r="EE67" i="1"/>
  <c r="EY67" i="1"/>
  <c r="AN56" i="1"/>
  <c r="EV40" i="1"/>
  <c r="EX57" i="1"/>
  <c r="CL78" i="1"/>
  <c r="AD84" i="1"/>
  <c r="BL68" i="1"/>
  <c r="BI78" i="1"/>
  <c r="DL42" i="1"/>
  <c r="BD42" i="1"/>
  <c r="CB56" i="1"/>
  <c r="P32" i="1"/>
  <c r="AR56" i="1"/>
  <c r="BV78" i="1"/>
  <c r="DM32" i="1"/>
  <c r="L63" i="1"/>
  <c r="J67" i="1"/>
  <c r="J51" i="1"/>
  <c r="ED57" i="1"/>
  <c r="I40" i="1"/>
  <c r="FI68" i="1"/>
  <c r="EE72" i="1"/>
  <c r="AP40" i="1"/>
  <c r="CH56" i="1"/>
  <c r="EV79" i="1"/>
  <c r="AB41" i="1"/>
  <c r="R40" i="1"/>
  <c r="CV78" i="1"/>
  <c r="AN87" i="1"/>
  <c r="Z41" i="1"/>
  <c r="EO71" i="1"/>
  <c r="CS56" i="1"/>
  <c r="DP50" i="1"/>
  <c r="X78" i="1"/>
  <c r="BU57" i="1"/>
  <c r="DU51" i="1"/>
  <c r="BV79" i="1"/>
  <c r="V67" i="1"/>
  <c r="AS84" i="1"/>
  <c r="DS57" i="1"/>
  <c r="AN71" i="1"/>
  <c r="AJ84" i="1"/>
  <c r="BJ67" i="1"/>
  <c r="FA67" i="1"/>
  <c r="BT32" i="1"/>
  <c r="BM42" i="1"/>
  <c r="DA67" i="1"/>
  <c r="AP56" i="1"/>
  <c r="EJ56" i="1"/>
  <c r="CD67" i="1"/>
  <c r="EQ57" i="1"/>
  <c r="R50" i="1"/>
  <c r="CX62" i="1"/>
  <c r="AQ51" i="1"/>
  <c r="H63" i="1"/>
  <c r="H67" i="1"/>
  <c r="EK57" i="1"/>
  <c r="DD67" i="1"/>
  <c r="DK79" i="1"/>
  <c r="Y87" i="1"/>
  <c r="FI42" i="1"/>
  <c r="EG71" i="1"/>
  <c r="FJ40" i="1"/>
  <c r="DX31" i="1"/>
  <c r="FK51" i="1"/>
  <c r="DS71" i="1"/>
  <c r="AD50" i="1"/>
  <c r="BA79" i="1"/>
  <c r="R42" i="1"/>
  <c r="CA32" i="1"/>
  <c r="AR50" i="1"/>
  <c r="CX41" i="1"/>
  <c r="CD51" i="1"/>
  <c r="DR84" i="1"/>
  <c r="BO56" i="1"/>
  <c r="DY78" i="1"/>
  <c r="Z63" i="1"/>
  <c r="CT41" i="1"/>
  <c r="DB78" i="1"/>
  <c r="BK57" i="1"/>
  <c r="ET50" i="1"/>
  <c r="DF51" i="1"/>
  <c r="DP79" i="1"/>
  <c r="ER79" i="1"/>
  <c r="DX41" i="1"/>
  <c r="EA78" i="1"/>
  <c r="EZ67" i="1"/>
  <c r="AY71" i="1"/>
  <c r="CV68" i="1"/>
  <c r="Z84" i="1"/>
  <c r="FF40" i="1"/>
  <c r="BC40" i="1"/>
  <c r="J41" i="1"/>
  <c r="EE78" i="1"/>
  <c r="CO71" i="1"/>
  <c r="X71" i="1"/>
  <c r="V68" i="1"/>
  <c r="CR71" i="1"/>
  <c r="AM72" i="1"/>
  <c r="DW70" i="1"/>
  <c r="BL51" i="1"/>
  <c r="FK87" i="1"/>
  <c r="BU71" i="1"/>
  <c r="CM79" i="1"/>
  <c r="BV32" i="1"/>
  <c r="BP57" i="1"/>
  <c r="FO84" i="1"/>
  <c r="L70" i="1"/>
  <c r="FM62" i="1"/>
  <c r="BF84" i="1"/>
  <c r="EK84" i="1"/>
  <c r="DH84" i="1"/>
  <c r="EV31" i="1"/>
  <c r="BA68" i="1"/>
  <c r="CE72" i="1"/>
  <c r="FM71" i="1"/>
  <c r="BY31" i="1"/>
  <c r="DE41" i="1"/>
  <c r="DB68" i="1"/>
  <c r="AI87" i="1"/>
  <c r="DG84" i="1"/>
  <c r="CM42" i="1"/>
  <c r="AV72" i="1"/>
  <c r="EB78" i="1"/>
  <c r="BA70" i="1"/>
  <c r="BF70" i="1"/>
  <c r="AY79" i="1"/>
  <c r="DA63" i="1"/>
  <c r="AA41" i="1"/>
  <c r="Q42" i="1"/>
  <c r="FH41" i="1"/>
  <c r="CG63" i="1"/>
  <c r="EZ78" i="1"/>
  <c r="BN87" i="1"/>
  <c r="G63" i="1"/>
  <c r="AU32" i="1"/>
  <c r="CK71" i="1"/>
  <c r="EC84" i="1"/>
  <c r="ED41" i="1"/>
  <c r="CX40" i="1"/>
  <c r="BW32" i="1"/>
  <c r="V79" i="1"/>
  <c r="BC41" i="1"/>
  <c r="BB67" i="1"/>
  <c r="DD31" i="1"/>
  <c r="FG62" i="1"/>
  <c r="CG40" i="1"/>
  <c r="AW40" i="1"/>
  <c r="BS42" i="1"/>
  <c r="EB68" i="1"/>
  <c r="CV57" i="1"/>
  <c r="AK51" i="1"/>
  <c r="BO62" i="1"/>
  <c r="ET62" i="1"/>
  <c r="BH84" i="1"/>
  <c r="AK57" i="1"/>
  <c r="BE40" i="1"/>
  <c r="BG68" i="1"/>
  <c r="EX72" i="1"/>
  <c r="DS78" i="1"/>
  <c r="CC70" i="1"/>
  <c r="Q71" i="1"/>
  <c r="DU42" i="1"/>
  <c r="AG87" i="1"/>
  <c r="CC71" i="1"/>
  <c r="BW41" i="1"/>
  <c r="BE41" i="1"/>
  <c r="AK41" i="1"/>
  <c r="BH79" i="1"/>
  <c r="AG57" i="1"/>
  <c r="CT70" i="1"/>
  <c r="EF57" i="1"/>
  <c r="BX87" i="1"/>
  <c r="EH51" i="1"/>
  <c r="BD32" i="1"/>
  <c r="AA50" i="1"/>
  <c r="EV67" i="1"/>
  <c r="DA31" i="1"/>
  <c r="CD71" i="1"/>
  <c r="J78" i="1"/>
  <c r="AP84" i="1"/>
  <c r="CS50" i="1"/>
  <c r="BG79" i="1"/>
  <c r="DM42" i="1"/>
  <c r="DT84" i="1"/>
  <c r="DV40" i="1"/>
  <c r="E51" i="1"/>
  <c r="EX68" i="1"/>
  <c r="CC72" i="1"/>
  <c r="AU67" i="1"/>
  <c r="DQ42" i="1"/>
  <c r="EQ40" i="1"/>
  <c r="AB78" i="1"/>
  <c r="EQ84" i="1"/>
  <c r="CD41" i="1"/>
  <c r="BO67" i="1"/>
  <c r="AU51" i="1"/>
  <c r="AO79" i="1"/>
  <c r="FP57" i="1"/>
  <c r="AU79" i="1"/>
  <c r="DB32" i="1"/>
  <c r="ED84" i="1"/>
  <c r="CH31" i="1"/>
  <c r="AA56" i="1"/>
  <c r="EW84" i="1"/>
  <c r="EC41" i="1"/>
  <c r="N68" i="1"/>
  <c r="EL84" i="1"/>
  <c r="DK32" i="1"/>
  <c r="CW70" i="1"/>
  <c r="FH57" i="1"/>
  <c r="CT67" i="1"/>
  <c r="AI68" i="1"/>
  <c r="EU31" i="1"/>
  <c r="R57" i="1"/>
  <c r="BA40" i="1"/>
  <c r="H51" i="1"/>
  <c r="ES87" i="1"/>
  <c r="AA63" i="1"/>
  <c r="FL40" i="1"/>
  <c r="AL68" i="1"/>
  <c r="AO32" i="1"/>
  <c r="DR70" i="1"/>
  <c r="BV57" i="1"/>
  <c r="AB70" i="1"/>
  <c r="FN79" i="1"/>
  <c r="DV79" i="1"/>
  <c r="AG84" i="1"/>
  <c r="W67" i="1"/>
  <c r="CC42" i="1"/>
  <c r="CW41" i="1"/>
  <c r="CX67" i="1"/>
  <c r="CC62" i="1"/>
  <c r="CV32" i="1"/>
  <c r="CB31" i="1"/>
  <c r="AG56" i="1"/>
  <c r="DC78" i="1"/>
  <c r="AP71" i="1"/>
  <c r="EY84" i="1"/>
  <c r="DP56" i="1"/>
  <c r="AR72" i="1"/>
  <c r="FC67" i="1"/>
  <c r="EH62" i="1"/>
  <c r="AI62" i="1"/>
  <c r="DC42" i="1"/>
  <c r="AK40" i="1"/>
  <c r="FA78" i="1"/>
  <c r="O71" i="1"/>
  <c r="DC71" i="1"/>
  <c r="AF56" i="1"/>
  <c r="EU42" i="1"/>
  <c r="CC51" i="1"/>
  <c r="FG41" i="1"/>
  <c r="CM84" i="1"/>
  <c r="AL72" i="1"/>
  <c r="DF40" i="1"/>
  <c r="AL50" i="1"/>
  <c r="EQ62" i="1"/>
  <c r="AG31" i="1"/>
  <c r="EF50" i="1"/>
  <c r="DX78" i="1"/>
  <c r="ER84" i="1"/>
  <c r="EE70" i="1"/>
  <c r="DV32" i="1"/>
  <c r="U57" i="1"/>
  <c r="FP56" i="1"/>
  <c r="AI78" i="1"/>
  <c r="DN62" i="1"/>
  <c r="CK70" i="1"/>
  <c r="H42" i="1"/>
  <c r="EY87" i="1"/>
  <c r="BL67" i="1"/>
  <c r="CI67" i="1"/>
  <c r="AY32" i="1"/>
  <c r="EF79" i="1"/>
  <c r="DB42" i="1"/>
  <c r="AG71" i="1"/>
  <c r="Z70" i="1"/>
  <c r="EP32" i="1"/>
  <c r="DU71" i="1"/>
  <c r="CM70" i="1"/>
  <c r="FH56" i="1"/>
  <c r="H40" i="1"/>
  <c r="AA57" i="1"/>
  <c r="CG62" i="1"/>
  <c r="EB79" i="1"/>
  <c r="DW62" i="1"/>
  <c r="CN84" i="1"/>
  <c r="FD57" i="1"/>
  <c r="AD40" i="1"/>
  <c r="DA62" i="1"/>
  <c r="CF50" i="1"/>
  <c r="EN42" i="1"/>
  <c r="EZ57" i="1"/>
  <c r="ER56" i="1"/>
  <c r="AQ42" i="1"/>
  <c r="FG70" i="1"/>
  <c r="BC68" i="1"/>
  <c r="DD68" i="1"/>
  <c r="CC56" i="1"/>
  <c r="DQ40" i="1"/>
  <c r="AO40" i="1"/>
  <c r="W78" i="1"/>
  <c r="ED42" i="1"/>
  <c r="AV63" i="1"/>
  <c r="BW67" i="1"/>
  <c r="R79" i="1"/>
  <c r="N50" i="1"/>
  <c r="CI56" i="1"/>
  <c r="AF41" i="1"/>
  <c r="BT63" i="1"/>
  <c r="CQ71" i="1"/>
  <c r="DO79" i="1"/>
  <c r="EU79" i="1"/>
  <c r="FM31" i="1"/>
  <c r="EN32" i="1"/>
  <c r="BS70" i="1"/>
  <c r="M32" i="1"/>
  <c r="EW40" i="1"/>
  <c r="AB50" i="1"/>
  <c r="BB71" i="1"/>
  <c r="EQ50" i="1"/>
  <c r="FB62" i="1"/>
  <c r="ED31" i="1"/>
  <c r="FI72" i="1"/>
  <c r="AS50" i="1"/>
  <c r="AI40" i="1"/>
  <c r="DQ87" i="1"/>
  <c r="CX71" i="1"/>
  <c r="BY51" i="1"/>
  <c r="AS31" i="1"/>
  <c r="BO50" i="1"/>
  <c r="AS70" i="1"/>
  <c r="DQ71" i="1"/>
  <c r="DR78" i="1"/>
  <c r="CH70" i="1"/>
  <c r="DG40" i="1"/>
  <c r="EA87" i="1"/>
  <c r="X32" i="1"/>
  <c r="U70" i="1"/>
  <c r="EE42" i="1"/>
  <c r="K31" i="1"/>
  <c r="DC63" i="1"/>
  <c r="DL31" i="1"/>
  <c r="BJ62" i="1"/>
  <c r="CH79" i="1"/>
  <c r="DL79" i="1"/>
  <c r="BP50" i="1"/>
  <c r="FC72" i="1"/>
  <c r="AB42" i="1"/>
  <c r="S40" i="1"/>
  <c r="CP87" i="1"/>
  <c r="BO79" i="1"/>
  <c r="M31" i="1"/>
  <c r="DC70" i="1"/>
  <c r="AQ56" i="1"/>
  <c r="DI72" i="1"/>
  <c r="CA41" i="1"/>
  <c r="BR42" i="1"/>
  <c r="CS70" i="1"/>
  <c r="DQ41" i="1"/>
  <c r="BU72" i="1"/>
  <c r="N78" i="1"/>
  <c r="BS41" i="1"/>
  <c r="AU42" i="1"/>
  <c r="EA51" i="1"/>
  <c r="BU68" i="1"/>
  <c r="CZ31" i="1"/>
  <c r="FK68" i="1"/>
  <c r="M63" i="1"/>
  <c r="BR31" i="1"/>
  <c r="FE51" i="1"/>
  <c r="AS87" i="1"/>
  <c r="AU84" i="1"/>
  <c r="EH57" i="1"/>
  <c r="CJ68" i="1"/>
  <c r="DN32" i="1"/>
  <c r="DG62" i="1"/>
  <c r="ED67" i="1"/>
  <c r="AT63" i="1"/>
  <c r="DO51" i="1"/>
  <c r="EZ31" i="1"/>
  <c r="K57" i="1"/>
  <c r="CI31" i="1"/>
  <c r="M42" i="1"/>
  <c r="AM50" i="1"/>
  <c r="FC42" i="1"/>
  <c r="BC78" i="1"/>
  <c r="BF50" i="1"/>
  <c r="FC70" i="1"/>
  <c r="CE62" i="1"/>
  <c r="H31" i="1"/>
  <c r="DK68" i="1"/>
  <c r="BN57" i="1"/>
  <c r="FI79" i="1"/>
  <c r="BS71" i="1"/>
  <c r="P41" i="1"/>
  <c r="CG50" i="1"/>
  <c r="FL32" i="1"/>
  <c r="CM56" i="1"/>
  <c r="BG70" i="1"/>
  <c r="AJ40" i="1"/>
  <c r="FF63" i="1"/>
  <c r="I41" i="1"/>
  <c r="DP41" i="1"/>
  <c r="FF31" i="1"/>
  <c r="BU40" i="1"/>
  <c r="BF78" i="1"/>
  <c r="AJ87" i="1"/>
  <c r="BM62" i="1"/>
  <c r="EF51" i="1"/>
  <c r="EY72" i="1"/>
  <c r="CG57" i="1"/>
  <c r="U32" i="1"/>
  <c r="AL56" i="1"/>
  <c r="DG42" i="1"/>
  <c r="AB32" i="1"/>
  <c r="EH79" i="1"/>
  <c r="DL62" i="1"/>
  <c r="E56" i="1"/>
  <c r="FH62" i="1"/>
  <c r="EW41" i="1"/>
  <c r="BM50" i="1"/>
  <c r="CR68" i="1"/>
  <c r="BZ87" i="1"/>
  <c r="CV71" i="1"/>
  <c r="DC68" i="1"/>
  <c r="BG84" i="1"/>
  <c r="FP51" i="1"/>
  <c r="V72" i="1"/>
  <c r="CU84" i="1"/>
  <c r="Q84" i="1"/>
  <c r="CO68" i="1"/>
  <c r="AZ70" i="1"/>
  <c r="G51" i="1"/>
  <c r="DP57" i="1"/>
  <c r="EB32" i="1"/>
  <c r="AF57" i="1"/>
  <c r="CB42" i="1"/>
  <c r="AL78" i="1"/>
  <c r="AU78" i="1"/>
  <c r="DO56" i="1"/>
  <c r="CQ72" i="1"/>
  <c r="G62" i="1"/>
  <c r="CB79" i="1"/>
  <c r="FA70" i="1"/>
  <c r="AT71" i="1"/>
  <c r="FL57" i="1"/>
  <c r="DD70" i="1"/>
  <c r="DA87" i="1"/>
  <c r="EJ78" i="1"/>
  <c r="BU63" i="1"/>
  <c r="U79" i="1"/>
  <c r="BB72" i="1"/>
  <c r="AR63" i="1"/>
  <c r="AY51" i="1"/>
  <c r="BM68" i="1"/>
  <c r="BT87" i="1"/>
  <c r="CE50" i="1"/>
  <c r="EK63" i="1"/>
  <c r="BI50" i="1"/>
  <c r="AV57" i="1"/>
  <c r="CF32" i="1"/>
  <c r="CL40" i="1"/>
  <c r="AO50" i="1"/>
  <c r="EQ72" i="1"/>
  <c r="DM50" i="1"/>
  <c r="CV62" i="1"/>
  <c r="DB62" i="1"/>
  <c r="CV84" i="1"/>
  <c r="BJ72" i="1"/>
  <c r="DN68" i="1"/>
  <c r="J71" i="1"/>
  <c r="FH42" i="1"/>
  <c r="CM63" i="1"/>
  <c r="AD31" i="1"/>
  <c r="CL67" i="1"/>
  <c r="L32" i="1"/>
  <c r="BJ40" i="1"/>
  <c r="W72" i="1"/>
  <c r="FE31" i="1"/>
  <c r="AE68" i="1"/>
  <c r="EO67" i="1"/>
  <c r="BR51" i="1"/>
  <c r="DX84" i="1"/>
  <c r="FC84" i="1"/>
  <c r="CS41" i="1"/>
  <c r="DS31" i="1"/>
  <c r="EI84" i="1"/>
  <c r="Q63" i="1"/>
  <c r="FO31" i="1"/>
  <c r="DU62" i="1"/>
  <c r="BA72" i="1"/>
  <c r="DO57" i="1"/>
  <c r="EM31" i="1"/>
  <c r="W50" i="1"/>
  <c r="DT32" i="1"/>
  <c r="FA56" i="1"/>
  <c r="CY70" i="1"/>
  <c r="CE57" i="1"/>
  <c r="EI79" i="1"/>
  <c r="CB67" i="1"/>
  <c r="AS40" i="1"/>
  <c r="H78" i="1"/>
  <c r="EP31" i="1"/>
  <c r="AN57" i="1"/>
  <c r="EP57" i="1"/>
  <c r="AM79" i="1"/>
  <c r="Y79" i="1"/>
  <c r="FF32" i="1"/>
  <c r="EY31" i="1"/>
  <c r="EB62" i="1"/>
  <c r="AE70" i="1"/>
  <c r="FA32" i="1"/>
  <c r="DT31" i="1"/>
  <c r="DK62" i="1"/>
  <c r="CN56" i="1"/>
  <c r="CW79" i="1"/>
  <c r="H41" i="1"/>
  <c r="AU50" i="1"/>
  <c r="EO40" i="1"/>
  <c r="CU68" i="1"/>
  <c r="EE57" i="1"/>
  <c r="FG31" i="1"/>
  <c r="AY40" i="1"/>
  <c r="BT71" i="1"/>
  <c r="AY84" i="1"/>
  <c r="BQ32" i="1"/>
  <c r="N72" i="1"/>
  <c r="EW78" i="1"/>
  <c r="BE63" i="1"/>
  <c r="BR63" i="1"/>
  <c r="BL41" i="1"/>
  <c r="CL56" i="1"/>
  <c r="BV72" i="1"/>
  <c r="DN72" i="1"/>
  <c r="DY42" i="1"/>
  <c r="AA42" i="1"/>
  <c r="BT40" i="1"/>
  <c r="BP63" i="1"/>
  <c r="BJ70" i="1"/>
  <c r="CJ87" i="1"/>
  <c r="EH31" i="1"/>
  <c r="P57" i="1"/>
  <c r="DW56" i="1"/>
  <c r="CD63" i="1"/>
  <c r="S71" i="1"/>
  <c r="FP70" i="1"/>
  <c r="BA62" i="1"/>
  <c r="AA67" i="1"/>
  <c r="BO84" i="1"/>
  <c r="CB41" i="1"/>
  <c r="H72" i="1"/>
  <c r="AV79" i="1"/>
  <c r="E63" i="1"/>
  <c r="AQ63" i="1"/>
  <c r="BQ31" i="1"/>
  <c r="DB67" i="1"/>
  <c r="BR57" i="1"/>
  <c r="EN40" i="1"/>
  <c r="AE57" i="1"/>
  <c r="BU56" i="1"/>
  <c r="U56" i="1"/>
  <c r="L40" i="1"/>
  <c r="EE56" i="1"/>
  <c r="DP78" i="1"/>
  <c r="BE84" i="1"/>
  <c r="EA79" i="1"/>
  <c r="DU57" i="1"/>
  <c r="ER41" i="1"/>
  <c r="BK72" i="1"/>
  <c r="BD41" i="1"/>
  <c r="DN31" i="1"/>
  <c r="BN79" i="1"/>
  <c r="DW78" i="1"/>
  <c r="AE87" i="1"/>
  <c r="DY51" i="1"/>
  <c r="R67" i="1"/>
  <c r="CF70" i="1"/>
  <c r="DL40" i="1"/>
  <c r="CS78" i="1"/>
  <c r="DI32" i="1"/>
  <c r="DQ70" i="1"/>
  <c r="AS42" i="1"/>
  <c r="AS68" i="1"/>
  <c r="CQ41" i="1"/>
  <c r="BT51" i="1"/>
  <c r="FB31" i="1"/>
  <c r="DL50" i="1"/>
  <c r="FF87" i="1"/>
  <c r="T57" i="1"/>
  <c r="FL63" i="1"/>
  <c r="DF62" i="1"/>
  <c r="DH62" i="1"/>
  <c r="DU63" i="1"/>
  <c r="BQ50" i="1"/>
  <c r="CW84" i="1"/>
  <c r="DT72" i="1"/>
  <c r="DH79" i="1"/>
  <c r="EG67" i="1"/>
  <c r="AR79" i="1"/>
  <c r="EZ50" i="1"/>
  <c r="DX79" i="1"/>
  <c r="FL62" i="1"/>
  <c r="BM67" i="1"/>
  <c r="BJ50" i="1"/>
  <c r="N63" i="1"/>
  <c r="V42" i="1"/>
  <c r="FP41" i="1"/>
  <c r="I63" i="1"/>
  <c r="CV42" i="1"/>
  <c r="EH40" i="1"/>
  <c r="CM71" i="1"/>
  <c r="BY87" i="1"/>
  <c r="EM32" i="1"/>
  <c r="AK72" i="1"/>
  <c r="EM51" i="1"/>
  <c r="W68" i="1"/>
  <c r="CP56" i="1"/>
  <c r="CM50" i="1"/>
  <c r="FK57" i="1"/>
  <c r="EQ63" i="1"/>
  <c r="BO31" i="1"/>
  <c r="FO51" i="1"/>
  <c r="CZ84" i="1"/>
  <c r="CF71" i="1"/>
  <c r="DD42" i="1"/>
  <c r="BD84" i="1"/>
  <c r="BL63" i="1"/>
  <c r="EL62" i="1"/>
  <c r="BF42" i="1"/>
  <c r="FJ87" i="1"/>
  <c r="EO42" i="1"/>
  <c r="BI72" i="1"/>
  <c r="CE40" i="1"/>
  <c r="DR40" i="1"/>
  <c r="AG78" i="1"/>
  <c r="DL72" i="1"/>
  <c r="BI63" i="1"/>
  <c r="AW63" i="1"/>
  <c r="AQ68" i="1"/>
  <c r="DA32" i="1"/>
  <c r="Q72" i="1"/>
  <c r="BH32" i="1"/>
  <c r="CC40" i="1"/>
  <c r="CA62" i="1"/>
  <c r="BI79" i="1"/>
  <c r="FA57" i="1"/>
  <c r="BU42" i="1"/>
  <c r="AT62" i="1"/>
  <c r="DJ57" i="1"/>
  <c r="AX42" i="1"/>
  <c r="DN51" i="1"/>
  <c r="S84" i="1"/>
  <c r="DM51" i="1"/>
  <c r="BN51" i="1"/>
  <c r="EL68" i="1"/>
  <c r="CQ68" i="1"/>
  <c r="BE72" i="1"/>
  <c r="S68" i="1"/>
  <c r="AF62" i="1"/>
  <c r="BV71" i="1"/>
  <c r="DR71" i="1"/>
  <c r="EO62" i="1"/>
  <c r="CM78" i="1"/>
  <c r="T62" i="1"/>
  <c r="BY50" i="1"/>
  <c r="DY63" i="1"/>
  <c r="AT41" i="1"/>
  <c r="EM62" i="1"/>
  <c r="BZ71" i="1"/>
  <c r="AF40" i="1"/>
  <c r="CU79" i="1"/>
  <c r="CB71" i="1"/>
  <c r="AA84" i="1"/>
  <c r="BM70" i="1"/>
  <c r="AJ41" i="1"/>
  <c r="BY62" i="1"/>
  <c r="DN87" i="1"/>
  <c r="DG32" i="1"/>
  <c r="BL79" i="1"/>
  <c r="FN78" i="1"/>
  <c r="BK78" i="1"/>
  <c r="EB87" i="1"/>
  <c r="DL51" i="1"/>
  <c r="CI42" i="1"/>
  <c r="EF68" i="1"/>
  <c r="DE62" i="1"/>
  <c r="FE84" i="1"/>
  <c r="AM87" i="1"/>
  <c r="CS32" i="1"/>
  <c r="BW51" i="1"/>
  <c r="CK51" i="1"/>
  <c r="AI51" i="1"/>
  <c r="CC57" i="1"/>
  <c r="DW31" i="1"/>
  <c r="AZ56" i="1"/>
  <c r="BS67" i="1"/>
  <c r="DU31" i="1"/>
  <c r="CI63" i="1"/>
  <c r="T42" i="1"/>
  <c r="AZ63" i="1"/>
  <c r="BL70" i="1"/>
  <c r="DX50" i="1"/>
  <c r="EC78" i="1"/>
  <c r="BR70" i="1"/>
  <c r="BZ79" i="1"/>
  <c r="EG51" i="1"/>
  <c r="DR31" i="1"/>
  <c r="H68" i="1"/>
  <c r="EH32" i="1"/>
  <c r="W56" i="1"/>
  <c r="DF70" i="1"/>
  <c r="DK50" i="1"/>
  <c r="EL78" i="1"/>
  <c r="AM71" i="1"/>
  <c r="BU79" i="1"/>
  <c r="J42" i="1"/>
  <c r="CX51" i="1"/>
  <c r="DC40" i="1"/>
  <c r="BW62" i="1"/>
  <c r="BT70" i="1"/>
  <c r="BH72" i="1"/>
  <c r="X72" i="1"/>
  <c r="BJ41" i="1"/>
  <c r="AZ68" i="1"/>
  <c r="AA51" i="1"/>
  <c r="V63" i="1"/>
  <c r="DH72" i="1"/>
  <c r="EG41" i="1"/>
  <c r="BD50" i="1"/>
  <c r="BH56" i="1"/>
  <c r="S56" i="1"/>
  <c r="FA42" i="1"/>
  <c r="BY67" i="1"/>
  <c r="BZ51" i="1"/>
  <c r="Q68" i="1"/>
  <c r="AT79" i="1"/>
  <c r="L51" i="1"/>
  <c r="FI31" i="1"/>
  <c r="CC41" i="1"/>
  <c r="CL71" i="1"/>
  <c r="AP79" i="1"/>
  <c r="BY40" i="1"/>
  <c r="BJ63" i="1"/>
  <c r="EK41" i="1"/>
  <c r="FB78" i="1"/>
  <c r="FB67" i="1"/>
  <c r="FP63" i="1"/>
  <c r="V62" i="1"/>
  <c r="BD56" i="1"/>
  <c r="FJ71" i="1"/>
  <c r="BM51" i="1"/>
  <c r="CL51" i="1"/>
  <c r="FI84" i="1"/>
  <c r="AP70" i="1"/>
  <c r="FH31" i="1"/>
  <c r="CH50" i="1"/>
  <c r="AJ63" i="1"/>
  <c r="BN70" i="1"/>
  <c r="ES51" i="1"/>
  <c r="AI63" i="1"/>
  <c r="CP70" i="1"/>
  <c r="FH71" i="1"/>
  <c r="I57" i="1"/>
  <c r="U50" i="1"/>
  <c r="Y41" i="1"/>
  <c r="FD40" i="1"/>
  <c r="CE42" i="1"/>
  <c r="AC32" i="1"/>
  <c r="CZ87" i="1"/>
  <c r="DQ72" i="1"/>
  <c r="DA72" i="1"/>
  <c r="DD78" i="1"/>
  <c r="BG40" i="1"/>
  <c r="AD70" i="1"/>
  <c r="BE31" i="1"/>
  <c r="DX56" i="1"/>
  <c r="EA57" i="1"/>
  <c r="CF78" i="1"/>
  <c r="AO87" i="1"/>
  <c r="FN63" i="1"/>
  <c r="S79" i="1"/>
  <c r="BX72" i="1"/>
  <c r="AM62" i="1"/>
  <c r="BX67" i="1"/>
  <c r="EM79" i="1"/>
  <c r="BK79" i="1"/>
  <c r="EL56" i="1"/>
  <c r="EJ71" i="1"/>
  <c r="CA67" i="1"/>
  <c r="W87" i="1"/>
  <c r="EG79" i="1"/>
  <c r="BJ31" i="1"/>
  <c r="X87" i="1"/>
  <c r="ED56" i="1"/>
  <c r="BO40" i="1"/>
  <c r="DD51" i="1"/>
  <c r="DH42" i="1"/>
  <c r="J31" i="1"/>
  <c r="N71" i="1"/>
  <c r="AB67" i="1"/>
  <c r="FG71" i="1"/>
  <c r="DO84" i="1"/>
  <c r="CO87" i="1"/>
  <c r="AQ72" i="1"/>
  <c r="I62" i="1"/>
  <c r="S63" i="1"/>
  <c r="FB72" i="1"/>
  <c r="N57" i="1"/>
  <c r="DG41" i="1"/>
  <c r="I31" i="1"/>
  <c r="FK56" i="1"/>
  <c r="BF51" i="1"/>
  <c r="CM32" i="1"/>
  <c r="AN67" i="1"/>
  <c r="DH71" i="1"/>
  <c r="BV56" i="1"/>
  <c r="EN87" i="1"/>
  <c r="CT79" i="1"/>
  <c r="FK84" i="1"/>
  <c r="DE63" i="1"/>
  <c r="FN72" i="1"/>
  <c r="CW72" i="1"/>
  <c r="CG87" i="1"/>
  <c r="EC63" i="1"/>
  <c r="BV50" i="1"/>
  <c r="BB87" i="1"/>
  <c r="CA72" i="1"/>
  <c r="DV68" i="1"/>
  <c r="CM57" i="1"/>
  <c r="BC62" i="1"/>
  <c r="DY67" i="1"/>
  <c r="AC51" i="1"/>
  <c r="BZ40" i="1"/>
  <c r="CO79" i="1"/>
  <c r="EF71" i="1"/>
  <c r="AX67" i="1"/>
  <c r="BQ67" i="1"/>
  <c r="FI71" i="1"/>
  <c r="AC63" i="1"/>
  <c r="I50" i="1"/>
  <c r="DV63" i="1"/>
  <c r="M70" i="1"/>
  <c r="EC71" i="1"/>
  <c r="FP87" i="1"/>
  <c r="EJ79" i="1"/>
  <c r="ER87" i="1"/>
  <c r="DT68" i="1"/>
  <c r="CY68" i="1"/>
  <c r="AU40" i="1"/>
  <c r="DO71" i="1"/>
  <c r="O70" i="1"/>
  <c r="CB32" i="1"/>
  <c r="ES31" i="1"/>
  <c r="BF32" i="1"/>
  <c r="AZ31" i="1"/>
  <c r="EN78" i="1"/>
  <c r="EA40" i="1"/>
  <c r="CW87" i="1"/>
  <c r="AP62" i="1"/>
  <c r="CH71" i="1"/>
  <c r="EP62" i="1"/>
  <c r="DV56" i="1"/>
  <c r="EP40" i="1"/>
  <c r="BY72" i="1"/>
  <c r="AN70" i="1"/>
  <c r="FF70" i="1"/>
  <c r="ES72" i="1"/>
  <c r="DT51" i="1"/>
  <c r="AP41" i="1"/>
  <c r="AW56" i="1"/>
  <c r="FM72" i="1"/>
  <c r="R41" i="1"/>
  <c r="AU56" i="1"/>
  <c r="DT56" i="1"/>
  <c r="K72" i="1"/>
  <c r="CP72" i="1"/>
  <c r="DK70" i="1"/>
  <c r="CX31" i="1"/>
  <c r="DS51" i="1"/>
  <c r="BZ32" i="1"/>
  <c r="DM57" i="1"/>
  <c r="ER72" i="1"/>
  <c r="E57" i="1"/>
  <c r="CK78" i="1"/>
  <c r="CR62" i="1"/>
  <c r="H32" i="1"/>
  <c r="FC78" i="1"/>
  <c r="CJ72" i="1"/>
  <c r="BN40" i="1"/>
  <c r="CS63" i="1"/>
  <c r="ED40" i="1"/>
  <c r="DJ56" i="1"/>
  <c r="AZ32" i="1"/>
  <c r="AT67" i="1"/>
  <c r="EA63" i="1"/>
  <c r="O32" i="1"/>
  <c r="T84" i="1"/>
  <c r="ET68" i="1"/>
  <c r="AF63" i="1"/>
  <c r="AB71" i="1"/>
  <c r="EZ41" i="1"/>
  <c r="AE79" i="1"/>
  <c r="CP32" i="1"/>
  <c r="AQ50" i="1"/>
  <c r="EC68" i="1"/>
  <c r="ED78" i="1"/>
  <c r="BP72" i="1"/>
  <c r="CK31" i="1"/>
  <c r="BX57" i="1"/>
  <c r="ES41" i="1"/>
  <c r="AD78" i="1"/>
  <c r="BL72" i="1"/>
  <c r="DI62" i="1"/>
  <c r="EZ56" i="1"/>
  <c r="AX57" i="1"/>
  <c r="P42" i="1"/>
  <c r="AJ72" i="1"/>
  <c r="DH78" i="1"/>
  <c r="J70" i="1"/>
  <c r="FO57" i="1"/>
  <c r="AR71" i="1"/>
  <c r="FG78" i="1"/>
  <c r="EJ41" i="1"/>
  <c r="DT57" i="1"/>
  <c r="EK87" i="1"/>
  <c r="AK31" i="1"/>
  <c r="AH56" i="1"/>
  <c r="CU42" i="1"/>
  <c r="DZ32" i="1"/>
  <c r="FB41" i="1"/>
  <c r="BJ68" i="1"/>
  <c r="L57" i="1"/>
  <c r="P68" i="1"/>
  <c r="EP68" i="1"/>
  <c r="O51" i="1"/>
  <c r="J50" i="1"/>
  <c r="EZ51" i="1"/>
  <c r="CW42" i="1"/>
  <c r="CX57" i="1"/>
  <c r="S42" i="1"/>
  <c r="DA42" i="1"/>
  <c r="EP50" i="1"/>
  <c r="AC67" i="1"/>
  <c r="FF84" i="1"/>
  <c r="DY57" i="1"/>
  <c r="DK72" i="1"/>
  <c r="CZ68" i="1"/>
  <c r="CF40" i="1"/>
  <c r="AD67" i="1"/>
  <c r="L56" i="1"/>
  <c r="BW79" i="1"/>
  <c r="AM51" i="1"/>
  <c r="V87" i="1"/>
  <c r="CN42" i="1"/>
  <c r="CK42" i="1"/>
  <c r="EK32" i="1"/>
  <c r="EO63" i="1"/>
  <c r="AJ50" i="1"/>
  <c r="FM42" i="1"/>
  <c r="E87" i="1"/>
  <c r="AO84" i="1"/>
  <c r="BH57" i="1"/>
  <c r="DM72" i="1"/>
  <c r="BM84" i="1"/>
  <c r="BS50" i="1"/>
  <c r="DJ71" i="1"/>
  <c r="BV40" i="1"/>
  <c r="EX63" i="1"/>
  <c r="EF31" i="1"/>
  <c r="EH67" i="1"/>
  <c r="BV67" i="1"/>
  <c r="FO68" i="1"/>
  <c r="AZ67" i="1"/>
  <c r="I56" i="1"/>
  <c r="BW31" i="1"/>
  <c r="FD71" i="1"/>
  <c r="AH67" i="1"/>
  <c r="F32" i="1"/>
  <c r="L71" i="1"/>
  <c r="AT56" i="1"/>
  <c r="CL79" i="1"/>
  <c r="DF71" i="1"/>
  <c r="F70" i="1"/>
  <c r="AS32" i="1"/>
  <c r="DV42" i="1"/>
  <c r="FM50" i="1"/>
  <c r="Y68" i="1"/>
  <c r="EX56" i="1"/>
  <c r="AC31" i="1"/>
  <c r="AB68" i="1"/>
  <c r="BR40" i="1"/>
  <c r="BQ72" i="1"/>
  <c r="EK79" i="1"/>
  <c r="BL56" i="1"/>
  <c r="EH50" i="1"/>
  <c r="AH40" i="1"/>
  <c r="AB31" i="1"/>
  <c r="BL84" i="1"/>
  <c r="K71" i="1"/>
  <c r="FL50" i="1"/>
  <c r="BY71" i="1"/>
  <c r="CB62" i="1"/>
  <c r="AL31" i="1"/>
  <c r="ER63" i="1"/>
  <c r="BX62" i="1"/>
  <c r="FI51" i="1"/>
  <c r="AF72" i="1"/>
  <c r="BL32" i="1"/>
  <c r="AR84" i="1"/>
  <c r="AN79" i="1"/>
  <c r="EO68" i="1"/>
  <c r="DU79" i="1"/>
  <c r="DW40" i="1"/>
  <c r="ED51" i="1"/>
  <c r="AF84" i="1"/>
  <c r="FH78" i="1"/>
  <c r="AX41" i="1"/>
  <c r="CJ84" i="1"/>
  <c r="CT57" i="1"/>
  <c r="DJ70" i="1"/>
  <c r="EH87" i="1"/>
  <c r="BL87" i="1"/>
  <c r="FC50" i="1"/>
  <c r="DE78" i="1"/>
  <c r="BE50" i="1"/>
  <c r="DA68" i="1"/>
  <c r="CM31" i="1"/>
  <c r="EI56" i="1"/>
  <c r="FC40" i="1"/>
  <c r="BY32" i="1"/>
  <c r="FC51" i="1"/>
  <c r="EM57" i="1"/>
  <c r="EB42" i="1"/>
  <c r="FK70" i="1"/>
  <c r="DD87" i="1"/>
  <c r="X40" i="1"/>
  <c r="EX62" i="1"/>
  <c r="DI51" i="1"/>
  <c r="M50" i="1"/>
  <c r="FA63" i="1"/>
  <c r="DF63" i="1"/>
  <c r="FB51" i="1"/>
  <c r="CR51" i="1"/>
  <c r="I51" i="1"/>
  <c r="FB71" i="1"/>
  <c r="CQ56" i="1"/>
  <c r="FG40" i="1"/>
  <c r="DJ72" i="1"/>
  <c r="CP51" i="1"/>
  <c r="BI56" i="1"/>
  <c r="EJ31" i="1"/>
  <c r="EH84" i="1"/>
  <c r="CR32" i="1"/>
  <c r="CN70" i="1"/>
  <c r="EW31" i="1"/>
  <c r="G84" i="1"/>
  <c r="AR31" i="1"/>
  <c r="CT31" i="1"/>
  <c r="CV31" i="1"/>
  <c r="CN32" i="1"/>
  <c r="CJ71" i="1"/>
  <c r="EE79" i="1"/>
  <c r="DH40" i="1"/>
  <c r="CU71" i="1"/>
  <c r="CP67" i="1"/>
  <c r="DM70" i="1"/>
  <c r="P56" i="1"/>
  <c r="L50" i="1"/>
  <c r="CR56" i="1"/>
  <c r="EW63" i="1"/>
  <c r="EV87" i="1"/>
  <c r="CQ50" i="1"/>
  <c r="V56" i="1"/>
  <c r="AQ31" i="1"/>
  <c r="DF87" i="1"/>
  <c r="BJ87" i="1"/>
  <c r="CG56" i="1"/>
  <c r="ER71" i="1"/>
  <c r="EJ57" i="1"/>
  <c r="CS79" i="1"/>
  <c r="BA51" i="1"/>
  <c r="CF42" i="1"/>
  <c r="FI67" i="1"/>
  <c r="FF42" i="1"/>
  <c r="AL87" i="1"/>
  <c r="EJ87" i="1"/>
  <c r="DR50" i="1"/>
  <c r="DO50" i="1"/>
  <c r="EB50" i="1"/>
  <c r="DL70" i="1"/>
  <c r="ER50" i="1"/>
  <c r="CV63" i="1"/>
  <c r="DI67" i="1"/>
  <c r="ET70" i="1"/>
  <c r="DG57" i="1"/>
  <c r="BZ50" i="1"/>
  <c r="CF67" i="1"/>
  <c r="FM67" i="1"/>
  <c r="FD51" i="1"/>
  <c r="FD72" i="1"/>
  <c r="EZ71" i="1"/>
  <c r="FH32" i="1"/>
  <c r="EH63" i="1"/>
  <c r="E67" i="1"/>
  <c r="AL57" i="1"/>
  <c r="AZ42" i="1"/>
  <c r="BT79" i="1"/>
  <c r="FD63" i="1"/>
  <c r="ES78" i="1"/>
  <c r="W63" i="1"/>
  <c r="CN79" i="1"/>
  <c r="M79" i="1"/>
  <c r="DJ51" i="1"/>
  <c r="BN50" i="1"/>
  <c r="AP50" i="1"/>
  <c r="O78" i="1"/>
  <c r="I68" i="1"/>
  <c r="BM79" i="1"/>
  <c r="FN87" i="1"/>
  <c r="BL71" i="1"/>
  <c r="BS51" i="1"/>
  <c r="EN68" i="1"/>
  <c r="G42" i="1"/>
  <c r="Q51" i="1"/>
  <c r="EH71" i="1"/>
  <c r="BH40" i="1"/>
  <c r="DY40" i="1"/>
  <c r="I32" i="1"/>
  <c r="AT87" i="1"/>
  <c r="CP41" i="1"/>
  <c r="DG87" i="1"/>
  <c r="CO42" i="1"/>
  <c r="FE40" i="1"/>
  <c r="BV87" i="1"/>
  <c r="EQ67" i="1"/>
  <c r="X68" i="1"/>
  <c r="CK84" i="1"/>
  <c r="DN84" i="1"/>
  <c r="CX32" i="1"/>
  <c r="CU40" i="1"/>
  <c r="EY62" i="1"/>
  <c r="FB57" i="1"/>
  <c r="EW62" i="1"/>
  <c r="AP51" i="1"/>
  <c r="FN31" i="1"/>
  <c r="DI63" i="1"/>
  <c r="CB78" i="1"/>
  <c r="ET79" i="1"/>
  <c r="AA71" i="1"/>
  <c r="Q50" i="1"/>
  <c r="G72" i="1"/>
  <c r="CR78" i="1"/>
  <c r="CS31" i="1"/>
  <c r="EB67" i="1"/>
  <c r="AG62" i="1"/>
  <c r="BC63" i="1"/>
  <c r="BW40" i="1"/>
  <c r="DQ57" i="1"/>
  <c r="AZ84" i="1"/>
  <c r="EZ72" i="1"/>
  <c r="CK72" i="1"/>
  <c r="X62" i="1"/>
  <c r="DC56" i="1"/>
  <c r="EU50" i="1"/>
  <c r="AJ79" i="1"/>
  <c r="DB56" i="1"/>
  <c r="AX84" i="1"/>
  <c r="DQ67" i="1"/>
  <c r="FE56" i="1"/>
  <c r="BJ32" i="1"/>
  <c r="DN79" i="1"/>
  <c r="FO40" i="1"/>
  <c r="CJ42" i="1"/>
  <c r="DS87" i="1"/>
  <c r="DK57" i="1"/>
  <c r="CB68" i="1"/>
  <c r="BR62" i="1"/>
  <c r="CY63" i="1"/>
  <c r="AE41" i="1"/>
  <c r="DT41" i="1"/>
  <c r="FE87" i="1"/>
  <c r="EE40" i="1"/>
  <c r="O87" i="1"/>
  <c r="X31" i="1"/>
  <c r="BK67" i="1"/>
  <c r="FP71" i="1"/>
  <c r="W71" i="1"/>
  <c r="EI71" i="1"/>
  <c r="CN62" i="1"/>
  <c r="EJ42" i="1"/>
  <c r="O56" i="1"/>
  <c r="E72" i="1"/>
  <c r="CE41" i="1"/>
  <c r="BC31" i="1"/>
  <c r="T31" i="1"/>
  <c r="FP72" i="1"/>
  <c r="EY50" i="1"/>
  <c r="CC50" i="1"/>
  <c r="AT32" i="1"/>
  <c r="EZ87" i="1"/>
  <c r="DB51" i="1"/>
  <c r="V84" i="1"/>
  <c r="BO68" i="1"/>
  <c r="DT63" i="1"/>
  <c r="BB62" i="1"/>
  <c r="CG72" i="1"/>
  <c r="EV32" i="1"/>
  <c r="AK63" i="1"/>
  <c r="AX62" i="1"/>
  <c r="FD78" i="1"/>
  <c r="CS42" i="1"/>
  <c r="DU84" i="1"/>
  <c r="AP67" i="1"/>
  <c r="AA68" i="1"/>
  <c r="EQ78" i="1"/>
  <c r="R87" i="1"/>
  <c r="FO32" i="1"/>
  <c r="CD79" i="1"/>
  <c r="FE62" i="1"/>
  <c r="FD62" i="1"/>
  <c r="BB41" i="1"/>
  <c r="CE84" i="1"/>
  <c r="CH68" i="1"/>
  <c r="AO78" i="1"/>
  <c r="FJ68" i="1"/>
  <c r="CF79" i="1"/>
  <c r="F40" i="1"/>
  <c r="EA84" i="1"/>
  <c r="CG71" i="1"/>
  <c r="DU50" i="1"/>
  <c r="FI78" i="1"/>
  <c r="DW84" i="1"/>
  <c r="AM70" i="1"/>
  <c r="FL79" i="1"/>
  <c r="FG87" i="1"/>
  <c r="BA67" i="1"/>
  <c r="FK71" i="1"/>
  <c r="X51" i="1"/>
  <c r="BB79" i="1"/>
  <c r="DA50" i="1"/>
  <c r="EQ68" i="1"/>
  <c r="Z31" i="1"/>
  <c r="BV41" i="1"/>
  <c r="BC84" i="1"/>
  <c r="EC57" i="1"/>
  <c r="V40" i="1"/>
  <c r="DY31" i="1"/>
  <c r="AI42" i="1"/>
  <c r="DQ79" i="1"/>
  <c r="DH50" i="1"/>
  <c r="DQ62" i="1"/>
  <c r="DR56" i="1"/>
  <c r="AD56" i="1"/>
  <c r="AU41" i="1"/>
  <c r="EL51" i="1"/>
  <c r="AY70" i="1"/>
  <c r="AT40" i="1"/>
  <c r="J32" i="1"/>
  <c r="AH57" i="1"/>
  <c r="CB87" i="1"/>
  <c r="EQ71" i="1"/>
  <c r="DZ63" i="1"/>
  <c r="CY71" i="1"/>
  <c r="CZ71" i="1"/>
  <c r="EM87" i="1"/>
  <c r="AR67" i="1"/>
  <c r="CU87" i="1"/>
  <c r="FF68" i="1"/>
  <c r="DQ78" i="1"/>
  <c r="EA67" i="1"/>
  <c r="G32" i="1"/>
  <c r="FE63" i="1"/>
  <c r="BN84" i="1"/>
  <c r="AF87" i="1"/>
  <c r="FF62" i="1"/>
  <c r="DF68" i="1"/>
  <c r="AN50" i="1"/>
  <c r="EW67" i="1"/>
  <c r="U87" i="1"/>
  <c r="FN67" i="1"/>
  <c r="I71" i="1"/>
  <c r="EB84" i="1"/>
  <c r="CW51" i="1"/>
  <c r="CL84" i="1"/>
  <c r="FD70" i="1"/>
  <c r="BX51" i="1"/>
  <c r="DD32" i="1"/>
  <c r="AF51" i="1"/>
  <c r="BU51" i="1"/>
  <c r="DJ31" i="1"/>
  <c r="BC87" i="1"/>
  <c r="F79" i="1"/>
  <c r="EZ32" i="1"/>
  <c r="AY78" i="1"/>
  <c r="EV72" i="1"/>
  <c r="CH40" i="1"/>
  <c r="DH41" i="1"/>
  <c r="EU57" i="1"/>
  <c r="FN57" i="1"/>
  <c r="DK40" i="1"/>
  <c r="FA31" i="1"/>
  <c r="AG79" i="1"/>
  <c r="EN71" i="1"/>
  <c r="EE41" i="1"/>
  <c r="FI50" i="1"/>
  <c r="CD87" i="1"/>
  <c r="Y84" i="1"/>
  <c r="BA56" i="1"/>
  <c r="FE78" i="1"/>
  <c r="CP63" i="1"/>
  <c r="K79" i="1"/>
  <c r="AU57" i="1"/>
  <c r="BW84" i="1"/>
  <c r="CT40" i="1"/>
  <c r="EP72" i="1"/>
  <c r="BZ57" i="1"/>
  <c r="CP40" i="1"/>
  <c r="CK40" i="1"/>
  <c r="BZ63" i="1"/>
  <c r="CN71" i="1"/>
  <c r="FM41" i="1"/>
  <c r="AY57" i="1"/>
  <c r="CL50" i="1"/>
  <c r="EL63" i="1"/>
  <c r="BQ41" i="1"/>
  <c r="AR40" i="1"/>
  <c r="DR57" i="1"/>
  <c r="CP68" i="1"/>
  <c r="BG62" i="1"/>
  <c r="CZ50" i="1"/>
  <c r="DI31" i="1"/>
  <c r="BR32" i="1"/>
  <c r="FO50" i="1"/>
  <c r="BD31" i="1"/>
  <c r="BR68" i="1"/>
  <c r="CX68" i="1"/>
  <c r="DO42" i="1"/>
  <c r="EK62" i="1"/>
  <c r="DW71" i="1"/>
  <c r="FO72" i="1"/>
  <c r="FK62" i="1"/>
  <c r="FD41" i="1"/>
  <c r="AX51" i="1"/>
  <c r="CT63" i="1"/>
  <c r="T40" i="1"/>
  <c r="EJ63" i="1"/>
  <c r="CK63" i="1"/>
  <c r="EK42" i="1"/>
  <c r="G87" i="1"/>
  <c r="EV42" i="1"/>
  <c r="DS63" i="1"/>
  <c r="AE67" i="1"/>
  <c r="DS70" i="1"/>
  <c r="AY68" i="1"/>
  <c r="CG68" i="1"/>
  <c r="DI42" i="1"/>
  <c r="BE70" i="1"/>
  <c r="DQ63" i="1"/>
  <c r="AX70" i="1"/>
  <c r="DZ78" i="1"/>
  <c r="BO63" i="1"/>
  <c r="AI67" i="1"/>
  <c r="FB87" i="1"/>
  <c r="EW72" i="1"/>
  <c r="AX32" i="1"/>
  <c r="AE56" i="1"/>
  <c r="EZ79" i="1"/>
  <c r="G50" i="1"/>
  <c r="EZ63" i="1"/>
  <c r="CI78" i="1"/>
  <c r="EB51" i="1"/>
  <c r="Y51" i="1"/>
  <c r="EI68" i="1"/>
  <c r="CF87" i="1"/>
  <c r="CY67" i="1"/>
  <c r="FL84" i="1"/>
  <c r="CJ70" i="1"/>
  <c r="BA50" i="1"/>
  <c r="CW32" i="1"/>
  <c r="DP70" i="1"/>
  <c r="FK79" i="1"/>
  <c r="CW78" i="1"/>
  <c r="P31" i="1"/>
  <c r="BA42" i="1"/>
  <c r="AZ41" i="1"/>
  <c r="AL71" i="1"/>
  <c r="AI71" i="1"/>
  <c r="Y71" i="1"/>
  <c r="L78" i="1"/>
  <c r="AV71" i="1"/>
  <c r="BI51" i="1"/>
  <c r="FI63" i="1"/>
  <c r="EK40" i="1"/>
  <c r="V50" i="1"/>
  <c r="EC40" i="1"/>
  <c r="DM41" i="1"/>
  <c r="CR31" i="1"/>
  <c r="CC87" i="1"/>
  <c r="EO41" i="1"/>
  <c r="BS84" i="1"/>
  <c r="AC40" i="1"/>
  <c r="DZ62" i="1"/>
  <c r="AI50" i="1"/>
  <c r="BJ84" i="1"/>
  <c r="BY70" i="1"/>
  <c r="BZ67" i="1"/>
  <c r="DB71" i="1"/>
  <c r="EK70" i="1"/>
  <c r="FE71" i="1"/>
  <c r="M62" i="1"/>
  <c r="DG79" i="1"/>
  <c r="X63" i="1"/>
  <c r="BN41" i="1"/>
  <c r="EO87" i="1"/>
  <c r="BE51" i="1"/>
  <c r="CU63" i="1"/>
  <c r="BP41" i="1"/>
  <c r="EM42" i="1"/>
  <c r="CC31" i="1"/>
  <c r="AA78" i="1"/>
  <c r="CY41" i="1"/>
  <c r="AJ57" i="1"/>
  <c r="EY78" i="1"/>
  <c r="CK32" i="1"/>
  <c r="CM62" i="1"/>
  <c r="FH70" i="1"/>
  <c r="FA68" i="1"/>
  <c r="CF41" i="1"/>
  <c r="FF79" i="1"/>
  <c r="DZ41" i="1"/>
  <c r="ES84" i="1"/>
  <c r="BR79" i="1"/>
  <c r="EY57" i="1"/>
  <c r="FK32" i="1"/>
  <c r="AO67" i="1"/>
  <c r="FJ42" i="1"/>
  <c r="BZ72" i="1"/>
  <c r="P87" i="1"/>
  <c r="AT51" i="1"/>
  <c r="Z71" i="1"/>
  <c r="AZ62" i="1"/>
  <c r="CG51" i="1"/>
  <c r="CB70" i="1"/>
  <c r="M72" i="1"/>
  <c r="ES63" i="1"/>
  <c r="DV62" i="1"/>
  <c r="CL32" i="1"/>
  <c r="CG84" i="1"/>
  <c r="BG31" i="1"/>
  <c r="AS79" i="1"/>
  <c r="CB72" i="1"/>
  <c r="F51" i="1"/>
  <c r="E31" i="1"/>
  <c r="EX87" i="1"/>
  <c r="AL42" i="1"/>
  <c r="EI50" i="1"/>
  <c r="BM63" i="1"/>
  <c r="G41" i="1"/>
  <c r="CE56" i="1"/>
  <c r="CA70" i="1"/>
  <c r="O72" i="1"/>
  <c r="CT68" i="1"/>
  <c r="EM70" i="1"/>
  <c r="FI56" i="1"/>
  <c r="EY42" i="1"/>
  <c r="CY42" i="1"/>
  <c r="ED71" i="1"/>
  <c r="W40" i="1"/>
  <c r="FA72" i="1"/>
  <c r="BG87" i="1"/>
  <c r="CU51" i="1"/>
  <c r="W70" i="1"/>
  <c r="AJ78" i="1"/>
  <c r="BI87" i="1"/>
  <c r="BS40" i="1"/>
  <c r="FM79" i="1"/>
  <c r="BH70" i="1"/>
  <c r="AH72" i="1"/>
  <c r="CJ51" i="1"/>
  <c r="G79" i="1"/>
  <c r="FH68" i="1"/>
  <c r="CD72" i="1"/>
  <c r="AP63" i="1"/>
  <c r="BL31" i="1"/>
  <c r="EE84" i="1"/>
  <c r="O31" i="1"/>
  <c r="AF79" i="1"/>
  <c r="AD32" i="1"/>
  <c r="Q79" i="1"/>
  <c r="BF71" i="1"/>
  <c r="AW41" i="1"/>
  <c r="AK78" i="1"/>
  <c r="CA42" i="1"/>
  <c r="J56" i="1"/>
  <c r="O84" i="1"/>
  <c r="BZ56" i="1"/>
  <c r="J62" i="1"/>
  <c r="EA68" i="1"/>
  <c r="CP79" i="1"/>
  <c r="ED68" i="1"/>
  <c r="DY62" i="1"/>
  <c r="CH41" i="1"/>
  <c r="DT87" i="1"/>
  <c r="DF31" i="1"/>
  <c r="BT57" i="1"/>
  <c r="O42" i="1"/>
  <c r="EZ84" i="1"/>
  <c r="DP51" i="1"/>
  <c r="CG32" i="1"/>
  <c r="CC63" i="1"/>
  <c r="DB87" i="1"/>
  <c r="BB56" i="1"/>
  <c r="BS63" i="1"/>
  <c r="BZ70" i="1"/>
  <c r="CD40" i="1"/>
  <c r="CL57" i="1"/>
  <c r="CG41" i="1"/>
  <c r="FK67" i="1"/>
  <c r="BR71" i="1"/>
  <c r="CW57" i="1"/>
  <c r="BK42" i="1"/>
  <c r="BP51" i="1"/>
  <c r="AS67" i="1"/>
  <c r="CN41" i="1"/>
  <c r="DY56" i="1"/>
  <c r="FN68" i="1"/>
  <c r="BL62" i="1"/>
  <c r="DQ32" i="1"/>
  <c r="EE50" i="1"/>
  <c r="CT72" i="1"/>
  <c r="X50" i="1"/>
  <c r="CJ41" i="1"/>
  <c r="EZ62" i="1"/>
  <c r="AL62" i="1"/>
  <c r="AJ67" i="1"/>
  <c r="H56" i="1"/>
  <c r="J57" i="1"/>
  <c r="U41" i="1"/>
  <c r="DV41" i="1"/>
  <c r="EN50" i="1"/>
  <c r="BM72" i="1"/>
  <c r="EX41" i="1"/>
  <c r="CR63" i="1"/>
  <c r="DS42" i="1"/>
  <c r="CK41" i="1"/>
  <c r="FA40" i="1"/>
  <c r="AR32" i="1"/>
  <c r="BG71" i="1"/>
  <c r="DY72" i="1"/>
  <c r="BC79" i="1"/>
  <c r="ES42" i="1"/>
  <c r="BY84" i="1"/>
  <c r="AX87" i="1"/>
  <c r="DA57" i="1"/>
  <c r="AC68" i="1"/>
  <c r="AP72" i="1"/>
  <c r="CJ63" i="1"/>
  <c r="DY79" i="1"/>
  <c r="DV70" i="1"/>
  <c r="EB71" i="1"/>
  <c r="FL31" i="1"/>
  <c r="EI57" i="1"/>
  <c r="AC87" i="1"/>
  <c r="CZ32" i="1"/>
  <c r="CY78" i="1"/>
  <c r="CV51" i="1"/>
  <c r="H71" i="1"/>
  <c r="EU32" i="1"/>
  <c r="BA87" i="1"/>
  <c r="EB57" i="1"/>
  <c r="EP41" i="1"/>
  <c r="S57" i="1"/>
  <c r="O67" i="1"/>
  <c r="DX51" i="1"/>
  <c r="FJ31" i="1"/>
  <c r="BH63" i="1"/>
  <c r="AB79" i="1"/>
  <c r="DU87" i="1"/>
  <c r="CZ62" i="1"/>
  <c r="AK79" i="1"/>
  <c r="CU57" i="1"/>
  <c r="DP31" i="1"/>
  <c r="E42" i="1"/>
  <c r="FE72" i="1"/>
  <c r="BU31" i="1"/>
  <c r="AJ42" i="1"/>
  <c r="FD31" i="1"/>
  <c r="DK87" i="1"/>
  <c r="BM71" i="1"/>
  <c r="DV31" i="1"/>
  <c r="BR87" i="1"/>
  <c r="BG50" i="1"/>
  <c r="AX63" i="1"/>
  <c r="AE42" i="1"/>
  <c r="AT42" i="1"/>
  <c r="EY56" i="1"/>
  <c r="BX40" i="1"/>
  <c r="FC87" i="1"/>
  <c r="CA78" i="1"/>
  <c r="F41" i="1"/>
  <c r="R71" i="1"/>
  <c r="CQ84" i="1"/>
  <c r="EI62" i="1"/>
  <c r="FA84" i="1"/>
  <c r="CI40" i="1"/>
  <c r="BQ84" i="1"/>
  <c r="DZ87" i="1"/>
  <c r="P78" i="1"/>
  <c r="FJ70" i="1"/>
  <c r="EM67" i="1"/>
  <c r="DQ84" i="1"/>
  <c r="AX78" i="1"/>
  <c r="CO31" i="1"/>
  <c r="Q57" i="1"/>
  <c r="CX42" i="1"/>
  <c r="AP87" i="1"/>
  <c r="FC79" i="1"/>
  <c r="G57" i="1"/>
  <c r="BI41" i="1"/>
  <c r="EQ42" i="1"/>
  <c r="BO70" i="1"/>
  <c r="CV40" i="1"/>
  <c r="CN63" i="1"/>
  <c r="ED50" i="1"/>
  <c r="EV50" i="1"/>
  <c r="EE87" i="1"/>
  <c r="BA31" i="1"/>
  <c r="DO72" i="1"/>
  <c r="DZ72" i="1"/>
  <c r="FL67" i="1"/>
  <c r="EF87" i="1"/>
  <c r="AW71" i="1"/>
  <c r="EA70" i="1"/>
  <c r="U63" i="1"/>
  <c r="EC67" i="1"/>
  <c r="EJ68" i="1"/>
  <c r="CA51" i="1"/>
  <c r="BZ68" i="1"/>
  <c r="BN62" i="1"/>
  <c r="DT70" i="1"/>
  <c r="CE51" i="1"/>
  <c r="EK31" i="1"/>
  <c r="BI42" i="1"/>
  <c r="BG42" i="1"/>
  <c r="CT50" i="1"/>
  <c r="DC50" i="1"/>
  <c r="BW72" i="1"/>
  <c r="DB57" i="1"/>
  <c r="FK31" i="1"/>
  <c r="AB62" i="1"/>
  <c r="CW50" i="1"/>
  <c r="U72" i="1"/>
  <c r="FH67" i="1"/>
  <c r="EU72" i="1"/>
  <c r="CQ42" i="1"/>
  <c r="DZ79" i="1"/>
  <c r="FO56" i="1"/>
  <c r="BY42" i="1"/>
  <c r="BP56" i="1"/>
  <c r="FP79" i="1"/>
  <c r="DB63" i="1"/>
  <c r="O50" i="1"/>
  <c r="FG84" i="1"/>
  <c r="BC51" i="1"/>
  <c r="BG72" i="1"/>
  <c r="CW67" i="1"/>
  <c r="BP40" i="1"/>
  <c r="DP84" i="1"/>
  <c r="M51" i="1"/>
  <c r="Z78" i="1"/>
  <c r="ER31" i="1"/>
  <c r="S72" i="1"/>
  <c r="Z56" i="1"/>
  <c r="AL67" i="1"/>
  <c r="DA40" i="1"/>
  <c r="CL72" i="1"/>
  <c r="CX84" i="1"/>
  <c r="CU50" i="1"/>
  <c r="BO42" i="1"/>
  <c r="EG84" i="1"/>
  <c r="AY42" i="1"/>
  <c r="DK71" i="1"/>
  <c r="FA79" i="1"/>
  <c r="DA71" i="1"/>
  <c r="CZ67" i="1"/>
  <c r="AG42" i="1"/>
  <c r="DL84" i="1"/>
  <c r="BP68" i="1"/>
  <c r="BX68" i="1"/>
  <c r="DM78" i="1"/>
  <c r="BN71" i="1"/>
  <c r="DX57" i="1"/>
  <c r="AH62" i="1"/>
  <c r="AZ40" i="1"/>
  <c r="AT70" i="1"/>
  <c r="DU41" i="1"/>
  <c r="FL71" i="1"/>
  <c r="DU68" i="1"/>
  <c r="FB79" i="1"/>
  <c r="CT87" i="1"/>
  <c r="FN62" i="1"/>
  <c r="EI51" i="1"/>
  <c r="DM62" i="1"/>
  <c r="DM71" i="1"/>
  <c r="BC70" i="1"/>
  <c r="AF70" i="1"/>
  <c r="CE68" i="1"/>
  <c r="DZ31" i="1"/>
  <c r="AA32" i="1"/>
  <c r="FG57" i="1"/>
  <c r="AG63" i="1"/>
  <c r="AC72" i="1"/>
  <c r="EJ32" i="1"/>
  <c r="CI71" i="1"/>
  <c r="AO70" i="1"/>
  <c r="AH78" i="1"/>
  <c r="L72" i="1"/>
  <c r="AG40" i="1"/>
  <c r="CL62" i="1"/>
  <c r="AN78" i="1"/>
  <c r="F57" i="1"/>
  <c r="DA78" i="1"/>
  <c r="AV87" i="1"/>
  <c r="DT71" i="1"/>
  <c r="DH57" i="1"/>
  <c r="ES40" i="1"/>
  <c r="N79" i="1"/>
  <c r="CS62" i="1"/>
  <c r="FJ78" i="1"/>
  <c r="FD68" i="1"/>
  <c r="DB50" i="1"/>
  <c r="F68" i="1"/>
  <c r="M56" i="1"/>
  <c r="DI56" i="1"/>
  <c r="AI56" i="1"/>
  <c r="DJ40" i="1"/>
  <c r="M78" i="1"/>
  <c r="FI57" i="1"/>
  <c r="DU78" i="1"/>
  <c r="FN32" i="1"/>
  <c r="BN72" i="1"/>
  <c r="AD63" i="1"/>
  <c r="AH31" i="1"/>
  <c r="BV31" i="1"/>
  <c r="AY87" i="1"/>
  <c r="E40" i="1"/>
  <c r="DS32" i="1"/>
  <c r="Y78" i="1"/>
  <c r="EQ41" i="1"/>
  <c r="DA84" i="1"/>
  <c r="X79" i="1"/>
  <c r="CQ57" i="1"/>
  <c r="AY31" i="1"/>
  <c r="BY56" i="1"/>
  <c r="BC57" i="1"/>
  <c r="CA68" i="1"/>
  <c r="V57" i="1"/>
  <c r="CK50" i="1"/>
  <c r="EA50" i="1"/>
  <c r="CC68" i="1"/>
  <c r="EY41" i="1"/>
  <c r="AG68" i="1"/>
  <c r="DB84" i="1"/>
  <c r="CI70" i="1"/>
  <c r="E84" i="1"/>
  <c r="DE50" i="1"/>
  <c r="CY40" i="1"/>
  <c r="FH79" i="1"/>
  <c r="CW31" i="1"/>
  <c r="S87" i="1"/>
  <c r="ES50" i="1"/>
  <c r="CP50" i="1"/>
  <c r="DZ56" i="1"/>
  <c r="BH50" i="1"/>
  <c r="BC72" i="1"/>
  <c r="F67" i="1"/>
  <c r="BN78" i="1"/>
  <c r="BP67" i="1"/>
  <c r="N41" i="1"/>
  <c r="DK63" i="1"/>
  <c r="BI84" i="1"/>
  <c r="Y32" i="1"/>
  <c r="N40" i="1"/>
  <c r="BO57" i="1"/>
  <c r="BD71" i="1"/>
  <c r="P70" i="1"/>
  <c r="AK71" i="1"/>
  <c r="DC32" i="1"/>
  <c r="BB50" i="1"/>
  <c r="FG79" i="1"/>
  <c r="CY84" i="1"/>
  <c r="EE63" i="1"/>
  <c r="F71" i="1"/>
  <c r="CR79" i="1"/>
  <c r="BK56" i="1"/>
  <c r="FK42" i="1"/>
  <c r="CZ78" i="1"/>
  <c r="DQ56" i="1"/>
  <c r="T87" i="1"/>
  <c r="FC63" i="1"/>
  <c r="L68" i="1"/>
  <c r="CN57" i="1"/>
  <c r="Q67" i="1"/>
  <c r="BA63" i="1"/>
  <c r="S51" i="1"/>
  <c r="BH41" i="1"/>
  <c r="EF78" i="1"/>
  <c r="CO67" i="1"/>
  <c r="E79" i="1"/>
  <c r="EC79" i="1"/>
  <c r="AA72" i="1"/>
  <c r="EM63" i="1"/>
  <c r="CA57" i="1"/>
  <c r="ED79" i="1"/>
  <c r="BT84" i="1"/>
  <c r="CD50" i="1"/>
  <c r="Z42" i="1"/>
  <c r="FA41" i="1"/>
  <c r="AN41" i="1"/>
  <c r="CH72" i="1"/>
  <c r="CH51" i="1"/>
  <c r="BL42" i="1"/>
  <c r="DW57" i="1"/>
  <c r="FE70" i="1"/>
  <c r="CI62" i="1"/>
  <c r="I70" i="1"/>
  <c r="EL72" i="1"/>
  <c r="AH68" i="1"/>
  <c r="G78" i="1"/>
  <c r="FK41" i="1"/>
  <c r="AM40" i="1"/>
  <c r="Y56" i="1"/>
  <c r="S41" i="1"/>
  <c r="BN56" i="1"/>
  <c r="BX79" i="1"/>
  <c r="EE68" i="1"/>
  <c r="L87" i="1"/>
  <c r="CD68" i="1"/>
  <c r="DH31" i="1"/>
  <c r="ET41" i="1"/>
  <c r="CG31" i="1"/>
  <c r="DE79" i="1"/>
  <c r="CS87" i="1"/>
  <c r="AA79" i="1"/>
  <c r="CH67" i="1"/>
  <c r="CY31" i="1"/>
  <c r="CI79" i="1"/>
  <c r="DD84" i="1"/>
  <c r="AI72" i="1"/>
  <c r="CV41" i="1"/>
  <c r="AH70" i="1"/>
  <c r="AW32" i="1"/>
  <c r="Z67" i="1"/>
  <c r="AF32" i="1"/>
  <c r="DK84" i="1"/>
  <c r="A2049" i="8"/>
  <c r="CU62" i="1"/>
  <c r="BH71" i="1"/>
  <c r="CC32" i="1"/>
  <c r="DD79" i="1"/>
  <c r="DQ51" i="1"/>
  <c r="ET31" i="1"/>
  <c r="DU40" i="1"/>
  <c r="ES67" i="1"/>
  <c r="N87" i="1"/>
  <c r="Z62" i="1"/>
  <c r="P71" i="1"/>
  <c r="CE31" i="1"/>
  <c r="DN41" i="1"/>
  <c r="Y50" i="1"/>
  <c r="CO51" i="1"/>
  <c r="ER70" i="1"/>
  <c r="AT57" i="1"/>
  <c r="CZ56" i="1"/>
  <c r="CO57" i="1"/>
  <c r="EW68" i="1"/>
  <c r="CE70" i="1"/>
  <c r="G70" i="1"/>
  <c r="EJ67" i="1"/>
  <c r="CE71" i="1"/>
  <c r="CC84" i="1"/>
  <c r="DC84" i="1"/>
  <c r="EW56" i="1"/>
  <c r="EW70" i="1"/>
  <c r="F31" i="1"/>
  <c r="AE51" i="1"/>
  <c r="Q78" i="1"/>
  <c r="AS71" i="1"/>
  <c r="CY87" i="1"/>
  <c r="Q32" i="1"/>
  <c r="FJ72" i="1"/>
  <c r="H84" i="1"/>
  <c r="W79" i="1"/>
  <c r="DD71" i="1"/>
  <c r="CQ40" i="1"/>
  <c r="E78" i="1"/>
  <c r="CA31" i="1"/>
  <c r="AH42" i="1"/>
  <c r="CI68" i="1"/>
  <c r="BV62" i="1"/>
  <c r="DI41" i="1"/>
  <c r="EK68" i="1"/>
  <c r="ER40" i="1"/>
  <c r="DU32" i="1"/>
  <c r="EX71" i="1"/>
  <c r="EI70" i="1"/>
  <c r="DD50" i="1"/>
  <c r="CF56" i="1"/>
  <c r="ED70" i="1"/>
  <c r="DD72" i="1"/>
  <c r="J79" i="1"/>
  <c r="AU70" i="1"/>
  <c r="EM71" i="1"/>
  <c r="EW51" i="1"/>
  <c r="DJ68" i="1"/>
  <c r="DT40" i="1"/>
  <c r="EY40" i="1"/>
  <c r="AM41" i="1"/>
  <c r="DK42" i="1"/>
  <c r="AJ31" i="1"/>
  <c r="CQ32" i="1"/>
  <c r="EQ56" i="1"/>
  <c r="BJ56" i="1"/>
  <c r="DW87" i="1"/>
  <c r="EM72" i="1"/>
  <c r="BK51" i="1"/>
  <c r="EV71" i="1"/>
  <c r="DR87" i="1"/>
  <c r="AU87" i="1"/>
  <c r="CS71" i="1"/>
  <c r="DF32" i="1"/>
  <c r="BB42" i="1"/>
  <c r="EO78" i="1"/>
  <c r="FC57" i="1"/>
  <c r="AT72" i="1"/>
  <c r="FO78" i="1"/>
  <c r="BT50" i="1"/>
  <c r="L79" i="1"/>
  <c r="AY63" i="1"/>
  <c r="EI67" i="1"/>
  <c r="AX79" i="1"/>
  <c r="CR40" i="1"/>
  <c r="EN67" i="1"/>
  <c r="DO31" i="1"/>
  <c r="EO84" i="1"/>
  <c r="DV71" i="1"/>
  <c r="FB40" i="1"/>
  <c r="EP67" i="1"/>
  <c r="N84" i="1"/>
  <c r="T41" i="1"/>
  <c r="EA56" i="1"/>
  <c r="DV87" i="1"/>
  <c r="AX40" i="1"/>
  <c r="BW63" i="1"/>
  <c r="ED62" i="1"/>
  <c r="BK41" i="1"/>
  <c r="BH62" i="1"/>
  <c r="EN63" i="1"/>
  <c r="DN67" i="1"/>
  <c r="AD57" i="1"/>
  <c r="EI72" i="1"/>
  <c r="R72" i="1"/>
  <c r="Q70" i="1"/>
  <c r="AH71" i="1"/>
  <c r="BX56" i="1"/>
  <c r="CF63" i="1"/>
  <c r="DE56" i="1"/>
  <c r="F63" i="1"/>
  <c r="DU70" i="1"/>
  <c r="FD79" i="1"/>
  <c r="BF62" i="1"/>
  <c r="DH63" i="1"/>
  <c r="AW72" i="1"/>
  <c r="T56" i="1"/>
  <c r="T51" i="1"/>
  <c r="CY51" i="1"/>
  <c r="CW71" i="1"/>
  <c r="CA40" i="1"/>
  <c r="DM31" i="1"/>
  <c r="CU70" i="1"/>
  <c r="AM42" i="1"/>
  <c r="BL50" i="1"/>
  <c r="AQ70" i="1"/>
  <c r="BD68" i="1"/>
  <c r="K84" i="1"/>
  <c r="CK79" i="1"/>
  <c r="BI31" i="1"/>
  <c r="BS72" i="1"/>
  <c r="M40" i="1"/>
  <c r="CP78" i="1"/>
  <c r="CN68" i="1"/>
  <c r="FC62" i="1"/>
  <c r="N31" i="1"/>
  <c r="EJ50" i="1"/>
  <c r="CK87" i="1"/>
  <c r="EW32" i="1"/>
  <c r="AH63" i="1"/>
  <c r="CF57" i="1"/>
  <c r="AV67" i="1"/>
  <c r="BK32" i="1"/>
  <c r="CJ67" i="1"/>
  <c r="AO51" i="1"/>
  <c r="U71" i="1"/>
  <c r="CJ57" i="1"/>
  <c r="FC41" i="1"/>
  <c r="EB41" i="1"/>
  <c r="EG63" i="1"/>
  <c r="BD67" i="1"/>
  <c r="DG68" i="1"/>
  <c r="FA87" i="1"/>
  <c r="CB57" i="1"/>
  <c r="BC32" i="1"/>
  <c r="BX31" i="1"/>
  <c r="BC42" i="1"/>
  <c r="DX40" i="1"/>
  <c r="FJ56" i="1"/>
  <c r="AO42" i="1"/>
  <c r="DS56" i="1"/>
  <c r="BT72" i="1"/>
  <c r="CF62" i="1"/>
  <c r="AW42" i="1"/>
  <c r="AX68" i="1"/>
  <c r="AQ67" i="1"/>
  <c r="DJ63" i="1"/>
  <c r="AB51" i="1"/>
  <c r="M84" i="1"/>
  <c r="BS87" i="1"/>
  <c r="V71" i="1"/>
  <c r="DQ50" i="1"/>
  <c r="EZ70" i="1"/>
  <c r="CI87" i="1"/>
  <c r="EU84" i="1"/>
  <c r="BD63" i="1"/>
  <c r="AD51" i="1"/>
  <c r="AD42" i="1"/>
  <c r="BE62" i="1"/>
  <c r="FG67" i="1"/>
  <c r="EK78" i="1"/>
  <c r="DY32" i="1"/>
  <c r="AV78" i="1"/>
  <c r="ER42" i="1"/>
  <c r="CY56" i="1"/>
  <c r="CT42" i="1"/>
  <c r="BY78" i="1"/>
  <c r="K63" i="1"/>
  <c r="BN68" i="1"/>
  <c r="FA50" i="1"/>
  <c r="DA79" i="1"/>
  <c r="AB84" i="1"/>
  <c r="BG51" i="1"/>
  <c r="FL42" i="1"/>
  <c r="BF67" i="1"/>
  <c r="DR51" i="1"/>
  <c r="CP62" i="1"/>
  <c r="BW56" i="1"/>
  <c r="DE51" i="1"/>
  <c r="BA41" i="1"/>
  <c r="DW41" i="1"/>
  <c r="CM40" i="1"/>
  <c r="FN40" i="1"/>
  <c r="BM40" i="1"/>
  <c r="W84" i="1"/>
  <c r="CC78" i="1"/>
  <c r="EU67" i="1"/>
  <c r="AM63" i="1"/>
  <c r="CT84" i="1"/>
  <c r="EK71" i="1"/>
  <c r="BQ68" i="1"/>
  <c r="DZ70" i="1"/>
  <c r="T71" i="1"/>
  <c r="FF71" i="1"/>
  <c r="DP32" i="1"/>
  <c r="BR56" i="1"/>
  <c r="ER78" i="1"/>
  <c r="BM87" i="1"/>
  <c r="EC50" i="1"/>
  <c r="S67" i="1"/>
  <c r="Z57" i="1"/>
  <c r="CR57" i="1"/>
  <c r="BG63" i="1"/>
  <c r="CG70" i="1"/>
  <c r="CI57" i="1"/>
  <c r="DR42" i="1"/>
  <c r="EQ70" i="1"/>
  <c r="N67" i="1"/>
  <c r="BU32" i="1"/>
  <c r="EG68" i="1"/>
  <c r="DW72" i="1"/>
  <c r="EY32" i="1"/>
  <c r="AW87" i="1"/>
  <c r="AW57" i="1"/>
  <c r="K62" i="1"/>
  <c r="DM40" i="1"/>
  <c r="DW67" i="1"/>
  <c r="EG42" i="1"/>
  <c r="EN79" i="1"/>
  <c r="DV84" i="1"/>
  <c r="AL84" i="1"/>
  <c r="BK40" i="1"/>
  <c r="BM32" i="1"/>
  <c r="AS72" i="1"/>
  <c r="DB70" i="1"/>
  <c r="DR32" i="1"/>
  <c r="FM84" i="1"/>
  <c r="BH51" i="1"/>
  <c r="ET40" i="1"/>
  <c r="EK67" i="1"/>
  <c r="BG57" i="1"/>
  <c r="EV68" i="1"/>
  <c r="BZ62" i="1"/>
  <c r="DI50" i="1"/>
  <c r="BM31" i="1"/>
  <c r="DS67" i="1"/>
  <c r="AR62" i="1"/>
  <c r="AM57" i="1"/>
  <c r="DX68" i="1"/>
  <c r="EG56" i="1"/>
  <c r="AZ51" i="1"/>
  <c r="DM87" i="1"/>
  <c r="DT50" i="1"/>
  <c r="N56" i="1"/>
  <c r="EV70" i="1"/>
  <c r="BI68" i="1"/>
  <c r="DW63" i="1"/>
  <c r="K68" i="1"/>
  <c r="AF31" i="1"/>
  <c r="BT41" i="1"/>
  <c r="E50" i="1"/>
  <c r="FK78" i="1"/>
  <c r="EP71" i="1"/>
  <c r="CT56" i="1"/>
  <c r="O41" i="1"/>
  <c r="BE78" i="1"/>
  <c r="Z87" i="1"/>
  <c r="M57" i="1"/>
  <c r="FC71" i="1"/>
  <c r="CZ51" i="1"/>
  <c r="Z40" i="1"/>
  <c r="DW42" i="1"/>
  <c r="AE84" i="1"/>
  <c r="EZ42" i="1"/>
  <c r="AJ32" i="1"/>
  <c r="Y72" i="1"/>
  <c r="FG51" i="1"/>
  <c r="FA71" i="1"/>
  <c r="DA51" i="1"/>
  <c r="BK31" i="1"/>
  <c r="CO72" i="1"/>
  <c r="FD32" i="1"/>
  <c r="BL78" i="1"/>
  <c r="EU71" i="1"/>
  <c r="DI71" i="1"/>
  <c r="CN50" i="1"/>
  <c r="EM78" i="1"/>
  <c r="CU32" i="1"/>
  <c r="EN62" i="1"/>
  <c r="EI42" i="1"/>
  <c r="DV78" i="1"/>
  <c r="EB40" i="1"/>
  <c r="BK70" i="1"/>
  <c r="BD51" i="1"/>
  <c r="FB68" i="1"/>
  <c r="AJ70" i="1"/>
  <c r="DD56" i="1"/>
  <c r="DA41" i="1"/>
  <c r="EK50" i="1"/>
  <c r="BP62" i="1"/>
  <c r="DZ84" i="1"/>
  <c r="DF42" i="1"/>
  <c r="CM67" i="1"/>
  <c r="CX78" i="1"/>
  <c r="CD42" i="1"/>
  <c r="AQ32" i="1"/>
  <c r="CZ70" i="1"/>
  <c r="EM84" i="1"/>
  <c r="ES68" i="1"/>
  <c r="EX70" i="1"/>
  <c r="AA31" i="1"/>
  <c r="DJ42" i="1"/>
  <c r="CT62" i="1"/>
  <c r="FH84" i="1"/>
  <c r="CQ87" i="1"/>
  <c r="BX41" i="1"/>
  <c r="EP84" i="1"/>
  <c r="FD67" i="1"/>
  <c r="BZ84" i="1"/>
  <c r="DX71" i="1"/>
  <c r="BM56" i="1"/>
  <c r="DU67" i="1"/>
  <c r="L42" i="1"/>
  <c r="AF78" i="1"/>
  <c r="CE78" i="1"/>
  <c r="DZ71" i="1"/>
  <c r="AC71" i="1"/>
  <c r="EF56" i="1"/>
  <c r="CW40" i="1"/>
  <c r="CU78" i="1"/>
  <c r="K42" i="1"/>
  <c r="FO62" i="1"/>
  <c r="DE71" i="1"/>
  <c r="E41" i="1"/>
  <c r="BY41" i="1"/>
  <c r="ET72" i="1"/>
  <c r="U62" i="1"/>
  <c r="AD62" i="1"/>
  <c r="EF41" i="1"/>
  <c r="E68" i="1"/>
  <c r="FD50" i="1"/>
  <c r="FD42" i="1"/>
  <c r="X42" i="1"/>
  <c r="EO51" i="1"/>
  <c r="AJ51" i="1"/>
  <c r="CE79" i="1"/>
  <c r="FM40" i="1"/>
  <c r="EQ51" i="1"/>
  <c r="T50" i="1"/>
  <c r="CD56" i="1"/>
  <c r="DN57" i="1"/>
  <c r="AV50" i="1"/>
  <c r="CI41" i="1"/>
  <c r="EO31" i="1"/>
  <c r="BK62" i="1"/>
  <c r="FP78" i="1"/>
  <c r="S32" i="1"/>
  <c r="DD63" i="1"/>
  <c r="AC84" i="1"/>
  <c r="U31" i="1"/>
  <c r="DP63" i="1"/>
  <c r="DX87" i="1"/>
  <c r="DF84" i="1"/>
  <c r="Y40" i="1"/>
  <c r="T68" i="1"/>
  <c r="FK40" i="1"/>
  <c r="EN72" i="1"/>
  <c r="FJ41" i="1"/>
  <c r="BQ71" i="1"/>
  <c r="F78" i="1"/>
  <c r="BS32" i="1"/>
  <c r="EO50" i="1"/>
  <c r="DP40" i="1"/>
  <c r="BI71" i="1"/>
  <c r="AJ62" i="1"/>
  <c r="CV50" i="1"/>
  <c r="BB51" i="1"/>
  <c r="CJ40" i="1"/>
  <c r="CK57" i="1"/>
  <c r="FF41" i="1"/>
  <c r="EJ62" i="1"/>
  <c r="EC51" i="1"/>
  <c r="AV31" i="1"/>
  <c r="CZ72" i="1"/>
  <c r="I87" i="1"/>
  <c r="BZ31" i="1"/>
  <c r="AG72" i="1"/>
  <c r="EG31" i="1"/>
  <c r="AL32" i="1"/>
  <c r="AS62" i="1"/>
  <c r="E71" i="1"/>
  <c r="CL41" i="1"/>
  <c r="CR67" i="1"/>
  <c r="AH84" i="1"/>
  <c r="BE42" i="1"/>
  <c r="CW62" i="1"/>
  <c r="CY57" i="1"/>
  <c r="AK70" i="1"/>
  <c r="EM56" i="1"/>
  <c r="BZ41" i="1"/>
  <c r="CY50" i="1"/>
  <c r="G68" i="1"/>
  <c r="AY50" i="1"/>
  <c r="BE71" i="1"/>
  <c r="BQ78" i="1"/>
  <c r="EU87" i="1"/>
  <c r="DX63" i="1"/>
  <c r="DD41" i="1"/>
  <c r="EZ68" i="1"/>
  <c r="CX56" i="1"/>
  <c r="U51" i="1"/>
  <c r="AE78" i="1"/>
  <c r="CJ62" i="1"/>
  <c r="CT51" i="1"/>
  <c r="AO57" i="1"/>
  <c r="EX78" i="1"/>
  <c r="CC79" i="1"/>
  <c r="DS84" i="1"/>
  <c r="AC42" i="1"/>
  <c r="U40" i="1"/>
  <c r="AR78" i="1"/>
  <c r="DY84" i="1"/>
  <c r="DL87" i="1"/>
  <c r="G31" i="1"/>
  <c r="EC42" i="1"/>
  <c r="FG56" i="1"/>
  <c r="BW57" i="1"/>
  <c r="CO78" i="1"/>
  <c r="BI32" i="1"/>
  <c r="FB63" i="1"/>
  <c r="E62" i="1"/>
  <c r="AC78" i="1"/>
  <c r="BP78" i="1"/>
  <c r="DV50" i="1"/>
  <c r="AD41" i="1"/>
  <c r="EC72" i="1"/>
  <c r="DB31" i="1"/>
  <c r="BK71" i="1"/>
  <c r="CF68" i="1"/>
  <c r="FJ84" i="1"/>
  <c r="BD72" i="1"/>
  <c r="J87" i="1"/>
  <c r="DY68" i="1"/>
  <c r="CJ79" i="1"/>
  <c r="R84" i="1"/>
  <c r="BH31" i="1"/>
  <c r="CT78" i="1"/>
  <c r="AW67" i="1"/>
  <c r="R70" i="1"/>
  <c r="EW42" i="1"/>
  <c r="EW87" i="1"/>
  <c r="EB70" i="1"/>
  <c r="DL67" i="1"/>
  <c r="T32" i="1"/>
  <c r="EC87" i="1"/>
  <c r="BJ79" i="1"/>
  <c r="K50" i="1"/>
  <c r="EX32" i="1"/>
  <c r="FH87" i="1"/>
  <c r="BX84" i="1"/>
  <c r="AQ41" i="1"/>
  <c r="DZ67" i="1"/>
  <c r="CG42" i="1"/>
  <c r="CR41" i="1"/>
  <c r="FE32" i="1"/>
  <c r="FL70" i="1"/>
  <c r="CK68" i="1"/>
  <c r="DF67" i="1"/>
  <c r="BU84" i="1"/>
  <c r="CH57" i="1"/>
  <c r="AG51" i="1"/>
  <c r="P63" i="1"/>
  <c r="Y31" i="1"/>
  <c r="AV42" i="1"/>
  <c r="Y63" i="1"/>
  <c r="BM57" i="1"/>
  <c r="FL56" i="1"/>
  <c r="FK63" i="1"/>
  <c r="EM50" i="1"/>
  <c r="EI32" i="1"/>
  <c r="CH87" i="1"/>
  <c r="DN78" i="1"/>
  <c r="AB63" i="1"/>
  <c r="BI67" i="1"/>
  <c r="AO68" i="1"/>
  <c r="P79" i="1"/>
  <c r="EV57" i="1"/>
  <c r="FF72" i="1"/>
  <c r="FB32" i="1"/>
  <c r="AQ57" i="1"/>
  <c r="AM56" i="1"/>
  <c r="DL41" i="1"/>
  <c r="DR79" i="1"/>
  <c r="FO87" i="1"/>
  <c r="AX71" i="1"/>
  <c r="AZ72" i="1"/>
  <c r="K67" i="1"/>
  <c r="CH84" i="1"/>
  <c r="AH87" i="1"/>
  <c r="W32" i="1"/>
  <c r="DG31" i="1"/>
  <c r="BG32" i="1"/>
  <c r="ET51" i="1"/>
  <c r="EX42" i="1"/>
  <c r="EH41" i="1"/>
  <c r="FN71" i="1"/>
  <c r="FO71" i="1"/>
  <c r="K41" i="1"/>
  <c r="DT42" i="1"/>
  <c r="EU78" i="1"/>
  <c r="FL72" i="1"/>
  <c r="CP71" i="1"/>
  <c r="DX42" i="1"/>
  <c r="EP63" i="1"/>
  <c r="DP67" i="1"/>
  <c r="T79" i="1"/>
  <c r="AZ79" i="1"/>
  <c r="BB78" i="1"/>
  <c r="DB79" i="1"/>
  <c r="DB41" i="1"/>
  <c r="EW50" i="1"/>
  <c r="AE63" i="1"/>
  <c r="FH40" i="1"/>
  <c r="BO51" i="1"/>
  <c r="AU71" i="1"/>
  <c r="L84" i="1"/>
  <c r="EU68" i="1"/>
  <c r="DG78" i="1"/>
  <c r="EF42" i="1"/>
  <c r="N42" i="1"/>
  <c r="K40" i="1"/>
  <c r="EF63" i="1"/>
  <c r="FF57" i="1"/>
  <c r="DN40" i="1"/>
  <c r="FJ50" i="1"/>
  <c r="AC56" i="1"/>
  <c r="P50" i="1"/>
  <c r="X67" i="1"/>
  <c r="EC56" i="1"/>
  <c r="ER51" i="1"/>
  <c r="N70" i="1"/>
  <c r="CV67" i="1"/>
  <c r="DP68" i="1"/>
  <c r="DP72" i="1"/>
  <c r="DC67" i="1"/>
  <c r="CX70" i="1"/>
  <c r="S31" i="1"/>
  <c r="BH87" i="1"/>
  <c r="BL40" i="1"/>
  <c r="AO72" i="1"/>
  <c r="CI51" i="1"/>
  <c r="EG50" i="1"/>
  <c r="BU67" i="1"/>
  <c r="CF31" i="1"/>
  <c r="AY62" i="1"/>
  <c r="FP50" i="1"/>
  <c r="AH50" i="1"/>
  <c r="DI68" i="1"/>
  <c r="EL41" i="1"/>
  <c r="EA31" i="1"/>
  <c r="ER67" i="1"/>
  <c r="DK31" i="1"/>
  <c r="DK51" i="1"/>
  <c r="EN57" i="1"/>
  <c r="CR87" i="1"/>
  <c r="F56" i="1"/>
  <c r="CG67" i="1"/>
  <c r="I72" i="1"/>
  <c r="DE57" i="1"/>
  <c r="AK42" i="1"/>
  <c r="FM32" i="1"/>
  <c r="BK63" i="1"/>
  <c r="DX67" i="1"/>
  <c r="AH51" i="1"/>
  <c r="BW71" i="1"/>
  <c r="BK50" i="1"/>
  <c r="ET87" i="1"/>
  <c r="FO42" i="1"/>
  <c r="CO40" i="1"/>
  <c r="K87" i="1"/>
  <c r="BQ79" i="1"/>
  <c r="AT68" i="1"/>
  <c r="EN51" i="1"/>
  <c r="E32" i="1"/>
  <c r="AT78" i="1"/>
  <c r="T67" i="1"/>
  <c r="CT71" i="1"/>
  <c r="FJ67" i="1"/>
  <c r="EA41" i="1"/>
  <c r="O62" i="1"/>
  <c r="CX79" i="1"/>
  <c r="AL79" i="1"/>
  <c r="AR87" i="1"/>
  <c r="G71" i="1"/>
  <c r="FK50" i="1"/>
  <c r="EB56" i="1"/>
  <c r="BG41" i="1"/>
  <c r="EE32" i="1"/>
  <c r="DG56" i="1"/>
  <c r="H62" i="1"/>
  <c r="R31" i="1"/>
  <c r="DW51" i="1"/>
  <c r="AY41" i="1"/>
  <c r="K75" i="1" l="1"/>
  <c r="J75" i="1"/>
  <c r="H75" i="1"/>
  <c r="G75" i="1"/>
  <c r="E52" i="1"/>
  <c r="E75" i="1"/>
  <c r="E69" i="1"/>
  <c r="E58" i="1"/>
  <c r="E43" i="1"/>
  <c r="F75" i="1"/>
  <c r="N2049" i="8"/>
  <c r="M2049" i="8"/>
  <c r="T2049" i="8"/>
  <c r="A2050" i="8"/>
  <c r="I75" i="1"/>
  <c r="M2050" i="8" l="1"/>
  <c r="N2050" i="8"/>
  <c r="T2050" i="8"/>
  <c r="A2051" i="8"/>
  <c r="N2051" i="8" l="1"/>
  <c r="M2051" i="8"/>
  <c r="T2051" i="8"/>
  <c r="A2052" i="8"/>
  <c r="M2052" i="8" l="1"/>
  <c r="N2052" i="8"/>
  <c r="T2052" i="8"/>
  <c r="A2053" i="8"/>
  <c r="M2053" i="8" l="1"/>
  <c r="N2053" i="8"/>
  <c r="T2053" i="8"/>
  <c r="A2054" i="8"/>
  <c r="N2054" i="8" l="1"/>
  <c r="M2054" i="8"/>
  <c r="T2054" i="8"/>
  <c r="A2055" i="8"/>
  <c r="M2055" i="8" l="1"/>
  <c r="N2055" i="8"/>
  <c r="T2055" i="8"/>
  <c r="A2056" i="8"/>
  <c r="N2056" i="8" l="1"/>
  <c r="M2056" i="8"/>
  <c r="T2056" i="8"/>
  <c r="A2057" i="8"/>
  <c r="N2057" i="8" l="1"/>
  <c r="M2057" i="8"/>
  <c r="T2057" i="8"/>
  <c r="A2058" i="8"/>
  <c r="N2058" i="8" l="1"/>
  <c r="M2058" i="8"/>
  <c r="T2058" i="8"/>
  <c r="A2059" i="8"/>
  <c r="N2059" i="8" l="1"/>
  <c r="M2059" i="8"/>
  <c r="T2059" i="8"/>
  <c r="A2060" i="8"/>
  <c r="N2060" i="8" l="1"/>
  <c r="M2060" i="8"/>
  <c r="T2060" i="8"/>
  <c r="A2061" i="8"/>
  <c r="N2061" i="8" l="1"/>
  <c r="M2061" i="8"/>
  <c r="T2061" i="8"/>
  <c r="A2062" i="8"/>
  <c r="N2062" i="8" l="1"/>
  <c r="M2062" i="8"/>
  <c r="T2062" i="8"/>
  <c r="A2063" i="8"/>
  <c r="N2063" i="8" l="1"/>
  <c r="M2063" i="8"/>
  <c r="T2063" i="8"/>
  <c r="A2064" i="8"/>
  <c r="N2064" i="8" l="1"/>
  <c r="M2064" i="8"/>
  <c r="T2064" i="8"/>
  <c r="A2065" i="8"/>
  <c r="N2065" i="8" l="1"/>
  <c r="M2065" i="8"/>
  <c r="T2065" i="8"/>
  <c r="A2066" i="8"/>
  <c r="M2066" i="8" l="1"/>
  <c r="N2066" i="8"/>
  <c r="T2066" i="8"/>
  <c r="A2067" i="8"/>
  <c r="N2067" i="8" l="1"/>
  <c r="M2067" i="8"/>
  <c r="T2067" i="8"/>
  <c r="A2068" i="8"/>
  <c r="N2068" i="8" l="1"/>
  <c r="M2068" i="8"/>
  <c r="T2068" i="8"/>
  <c r="A2069" i="8"/>
  <c r="N2069" i="8" l="1"/>
  <c r="M2069" i="8"/>
  <c r="T2069" i="8"/>
  <c r="A2070" i="8"/>
  <c r="N2070" i="8" l="1"/>
  <c r="M2070" i="8"/>
  <c r="T2070" i="8"/>
  <c r="A2071" i="8"/>
  <c r="N2071" i="8" l="1"/>
  <c r="M2071" i="8"/>
  <c r="T2071" i="8"/>
  <c r="A2072" i="8"/>
  <c r="N2072" i="8" l="1"/>
  <c r="M2072" i="8"/>
  <c r="T2072" i="8"/>
  <c r="A2073" i="8"/>
  <c r="N2073" i="8" l="1"/>
  <c r="M2073" i="8"/>
  <c r="T2073" i="8"/>
  <c r="A2074" i="8"/>
  <c r="N2074" i="8" l="1"/>
  <c r="M2074" i="8"/>
  <c r="T2074" i="8"/>
  <c r="A2075" i="8"/>
  <c r="N2075" i="8" l="1"/>
  <c r="M2075" i="8"/>
  <c r="T2075" i="8"/>
  <c r="A2076" i="8"/>
  <c r="N2076" i="8" l="1"/>
  <c r="M2076" i="8"/>
  <c r="T2076" i="8"/>
  <c r="A2077" i="8"/>
  <c r="N2077" i="8" l="1"/>
  <c r="M2077" i="8"/>
  <c r="T2077" i="8"/>
  <c r="A2078" i="8"/>
  <c r="M2078" i="8" l="1"/>
  <c r="N2078" i="8"/>
  <c r="T2078" i="8"/>
  <c r="A2079" i="8"/>
  <c r="N2079" i="8" l="1"/>
  <c r="M2079" i="8"/>
  <c r="T2079" i="8"/>
  <c r="A2080" i="8"/>
  <c r="N2080" i="8" l="1"/>
  <c r="M2080" i="8"/>
  <c r="T2080" i="8"/>
  <c r="A2081" i="8"/>
  <c r="N2081" i="8" l="1"/>
  <c r="M2081" i="8"/>
  <c r="T2081" i="8"/>
  <c r="A2082" i="8"/>
  <c r="N2082" i="8" l="1"/>
  <c r="M2082" i="8"/>
  <c r="T2082" i="8"/>
  <c r="A2083" i="8"/>
  <c r="N2083" i="8" l="1"/>
  <c r="M2083" i="8"/>
  <c r="T2083" i="8"/>
  <c r="A2084" i="8"/>
  <c r="N2084" i="8" l="1"/>
  <c r="M2084" i="8"/>
  <c r="T2084" i="8"/>
  <c r="A2085" i="8"/>
  <c r="N2085" i="8" l="1"/>
  <c r="M2085" i="8"/>
  <c r="T2085" i="8"/>
  <c r="A2086" i="8"/>
  <c r="N2086" i="8" l="1"/>
  <c r="M2086" i="8"/>
  <c r="T2086" i="8"/>
  <c r="A2087" i="8"/>
  <c r="N2087" i="8" l="1"/>
  <c r="M2087" i="8"/>
  <c r="T2087" i="8"/>
  <c r="A2088" i="8"/>
  <c r="N2088" i="8" l="1"/>
  <c r="M2088" i="8"/>
  <c r="T2088" i="8"/>
  <c r="A2089" i="8"/>
  <c r="N2089" i="8" l="1"/>
  <c r="M2089" i="8"/>
  <c r="T2089" i="8"/>
  <c r="A2090" i="8"/>
  <c r="N2090" i="8" l="1"/>
  <c r="M2090" i="8"/>
  <c r="T2090" i="8"/>
  <c r="A2091" i="8"/>
  <c r="N2091" i="8" l="1"/>
  <c r="M2091" i="8"/>
  <c r="T2091" i="8"/>
  <c r="A2092" i="8"/>
  <c r="N2092" i="8" l="1"/>
  <c r="M2092" i="8"/>
  <c r="T2092" i="8"/>
  <c r="A2093" i="8"/>
  <c r="N2093" i="8" l="1"/>
  <c r="M2093" i="8"/>
  <c r="T2093" i="8"/>
  <c r="A2094" i="8"/>
  <c r="M2094" i="8" l="1"/>
  <c r="N2094" i="8"/>
  <c r="T2094" i="8"/>
  <c r="A2095" i="8"/>
  <c r="N2095" i="8" l="1"/>
  <c r="M2095" i="8"/>
  <c r="T2095" i="8"/>
  <c r="A2096" i="8"/>
  <c r="N2096" i="8" l="1"/>
  <c r="M2096" i="8"/>
  <c r="T2096" i="8"/>
  <c r="A2097" i="8"/>
  <c r="N2097" i="8" l="1"/>
  <c r="M2097" i="8"/>
  <c r="T2097" i="8"/>
  <c r="A2098" i="8"/>
  <c r="N2098" i="8" l="1"/>
  <c r="M2098" i="8"/>
  <c r="T2098" i="8"/>
  <c r="A2099" i="8"/>
  <c r="M2099" i="8" l="1"/>
  <c r="N2099" i="8"/>
  <c r="T2099" i="8"/>
  <c r="A2100" i="8"/>
  <c r="N2100" i="8" l="1"/>
  <c r="M2100" i="8"/>
  <c r="T2100" i="8"/>
  <c r="A2101" i="8"/>
  <c r="N2101" i="8" l="1"/>
  <c r="M2101" i="8"/>
  <c r="T2101" i="8"/>
  <c r="A2102" i="8"/>
  <c r="M2102" i="8" l="1"/>
  <c r="N2102" i="8"/>
  <c r="T2102" i="8"/>
  <c r="A2103" i="8"/>
  <c r="N2103" i="8" l="1"/>
  <c r="M2103" i="8"/>
  <c r="T2103" i="8"/>
  <c r="A2104" i="8"/>
  <c r="N2104" i="8" l="1"/>
  <c r="M2104" i="8"/>
  <c r="T2104" i="8"/>
  <c r="A2105" i="8"/>
  <c r="M2105" i="8" l="1"/>
  <c r="N2105" i="8"/>
  <c r="T2105" i="8"/>
  <c r="A2106" i="8"/>
  <c r="N2106" i="8" l="1"/>
  <c r="M2106" i="8"/>
  <c r="T2106" i="8"/>
  <c r="A2107" i="8"/>
  <c r="N2107" i="8" l="1"/>
  <c r="M2107" i="8"/>
  <c r="T2107" i="8"/>
  <c r="A2108" i="8"/>
  <c r="N2108" i="8" l="1"/>
  <c r="M2108" i="8"/>
  <c r="T2108" i="8"/>
  <c r="A2109" i="8"/>
  <c r="N2109" i="8" l="1"/>
  <c r="M2109" i="8"/>
  <c r="T2109" i="8"/>
  <c r="A2110" i="8"/>
  <c r="N2110" i="8" l="1"/>
  <c r="M2110" i="8"/>
  <c r="T2110" i="8"/>
  <c r="A2111" i="8"/>
  <c r="N2111" i="8" l="1"/>
  <c r="M2111" i="8"/>
  <c r="T2111" i="8"/>
  <c r="A2112" i="8"/>
  <c r="N2112" i="8" l="1"/>
  <c r="M2112" i="8"/>
  <c r="T2112" i="8"/>
  <c r="A2113" i="8"/>
  <c r="N2113" i="8" l="1"/>
  <c r="M2113" i="8"/>
  <c r="T2113" i="8"/>
  <c r="A2114" i="8"/>
  <c r="N2114" i="8" l="1"/>
  <c r="M2114" i="8"/>
  <c r="T2114" i="8"/>
  <c r="A2115" i="8"/>
  <c r="N2115" i="8" l="1"/>
  <c r="M2115" i="8"/>
  <c r="T2115" i="8"/>
  <c r="A2116" i="8"/>
  <c r="N2116" i="8" l="1"/>
  <c r="M2116" i="8"/>
  <c r="T2116" i="8"/>
  <c r="A2117" i="8"/>
  <c r="N2117" i="8" l="1"/>
  <c r="M2117" i="8"/>
  <c r="T2117" i="8"/>
  <c r="A2118" i="8"/>
  <c r="N2118" i="8" l="1"/>
  <c r="M2118" i="8"/>
  <c r="T2118" i="8"/>
  <c r="A2119" i="8"/>
  <c r="M2119" i="8" l="1"/>
  <c r="N2119" i="8"/>
  <c r="T2119" i="8"/>
  <c r="A2120" i="8"/>
  <c r="N2120" i="8" l="1"/>
  <c r="M2120" i="8"/>
  <c r="T2120" i="8"/>
  <c r="A2121" i="8"/>
  <c r="N2121" i="8" l="1"/>
  <c r="M2121" i="8"/>
  <c r="T2121" i="8"/>
  <c r="A2122" i="8"/>
  <c r="N2122" i="8" l="1"/>
  <c r="M2122" i="8"/>
  <c r="T2122" i="8"/>
  <c r="A2123" i="8"/>
  <c r="N2123" i="8" l="1"/>
  <c r="M2123" i="8"/>
  <c r="T2123" i="8"/>
  <c r="A2124" i="8"/>
  <c r="N2124" i="8" l="1"/>
  <c r="M2124" i="8"/>
  <c r="T2124" i="8"/>
  <c r="A2125" i="8"/>
  <c r="N2125" i="8" l="1"/>
  <c r="M2125" i="8"/>
  <c r="T2125" i="8"/>
  <c r="A2126" i="8"/>
  <c r="N2126" i="8" l="1"/>
  <c r="M2126" i="8"/>
  <c r="T2126" i="8"/>
  <c r="A2127" i="8"/>
  <c r="N2127" i="8" l="1"/>
  <c r="M2127" i="8"/>
  <c r="T2127" i="8"/>
  <c r="A2128" i="8"/>
  <c r="N2128" i="8" l="1"/>
  <c r="M2128" i="8"/>
  <c r="T2128" i="8"/>
  <c r="A2129" i="8"/>
  <c r="N2129" i="8" l="1"/>
  <c r="M2129" i="8"/>
  <c r="T2129" i="8"/>
  <c r="A2130" i="8"/>
  <c r="M2130" i="8" l="1"/>
  <c r="N2130" i="8"/>
  <c r="T2130" i="8"/>
  <c r="A2131" i="8"/>
  <c r="N2131" i="8" l="1"/>
  <c r="M2131" i="8"/>
  <c r="T2131" i="8"/>
  <c r="A2132" i="8"/>
  <c r="N2132" i="8" l="1"/>
  <c r="M2132" i="8"/>
  <c r="T2132" i="8"/>
  <c r="A2133" i="8"/>
  <c r="N2133" i="8" l="1"/>
  <c r="M2133" i="8"/>
  <c r="T2133" i="8"/>
  <c r="A2134" i="8"/>
  <c r="M2134" i="8" l="1"/>
  <c r="N2134" i="8"/>
  <c r="T2134" i="8"/>
  <c r="A2135" i="8"/>
  <c r="M2135" i="8" l="1"/>
  <c r="N2135" i="8"/>
  <c r="T2135" i="8"/>
  <c r="A2136" i="8"/>
  <c r="M2136" i="8" l="1"/>
  <c r="N2136" i="8"/>
  <c r="T2136" i="8"/>
  <c r="A2137" i="8"/>
  <c r="M2137" i="8" l="1"/>
  <c r="N2137" i="8"/>
  <c r="T2137" i="8"/>
  <c r="A2138" i="8"/>
  <c r="N2138" i="8" l="1"/>
  <c r="M2138" i="8"/>
  <c r="T2138" i="8"/>
  <c r="A2139" i="8"/>
  <c r="N2139" i="8" l="1"/>
  <c r="M2139" i="8"/>
  <c r="T2139" i="8"/>
  <c r="A2140" i="8"/>
  <c r="M2140" i="8" l="1"/>
  <c r="N2140" i="8"/>
  <c r="T2140" i="8"/>
  <c r="A2141" i="8"/>
  <c r="N2141" i="8" l="1"/>
  <c r="M2141" i="8"/>
  <c r="T2141" i="8"/>
  <c r="A2142" i="8"/>
  <c r="N2142" i="8" l="1"/>
  <c r="M2142" i="8"/>
  <c r="T2142" i="8"/>
  <c r="A2143" i="8"/>
  <c r="N2143" i="8" l="1"/>
  <c r="M2143" i="8"/>
  <c r="T2143" i="8"/>
  <c r="A2144" i="8"/>
  <c r="N2144" i="8" l="1"/>
  <c r="M2144" i="8"/>
  <c r="T2144" i="8"/>
  <c r="A2145" i="8"/>
  <c r="N2145" i="8" l="1"/>
  <c r="M2145" i="8"/>
  <c r="T2145" i="8"/>
  <c r="A2146" i="8"/>
  <c r="N2146" i="8" l="1"/>
  <c r="M2146" i="8"/>
  <c r="T2146" i="8"/>
  <c r="A2147" i="8"/>
  <c r="N2147" i="8" l="1"/>
  <c r="M2147" i="8"/>
  <c r="T2147" i="8"/>
  <c r="A2148" i="8"/>
  <c r="N2148" i="8" l="1"/>
  <c r="M2148" i="8"/>
  <c r="T2148" i="8"/>
  <c r="A2149" i="8"/>
  <c r="N2149" i="8" l="1"/>
  <c r="M2149" i="8"/>
  <c r="T2149" i="8"/>
  <c r="A2150" i="8"/>
  <c r="N2150" i="8" l="1"/>
  <c r="M2150" i="8"/>
  <c r="T2150" i="8"/>
  <c r="A2151" i="8"/>
  <c r="N2151" i="8" l="1"/>
  <c r="M2151" i="8"/>
  <c r="T2151" i="8"/>
  <c r="A2152" i="8"/>
  <c r="N2152" i="8" l="1"/>
  <c r="M2152" i="8"/>
  <c r="T2152" i="8"/>
  <c r="A2153" i="8"/>
  <c r="N2153" i="8" l="1"/>
  <c r="M2153" i="8"/>
  <c r="T2153" i="8"/>
  <c r="A2154" i="8"/>
  <c r="N2154" i="8" l="1"/>
  <c r="M2154" i="8"/>
  <c r="T2154" i="8"/>
  <c r="A2155" i="8"/>
  <c r="M2155" i="8" l="1"/>
  <c r="N2155" i="8"/>
  <c r="T2155" i="8"/>
  <c r="A2156" i="8"/>
  <c r="N2156" i="8" l="1"/>
  <c r="M2156" i="8"/>
  <c r="T2156" i="8"/>
  <c r="A2157" i="8"/>
  <c r="N2157" i="8" l="1"/>
  <c r="M2157" i="8"/>
  <c r="T2157" i="8"/>
  <c r="A2158" i="8"/>
  <c r="N2158" i="8" l="1"/>
  <c r="M2158" i="8"/>
  <c r="T2158" i="8"/>
  <c r="A2159" i="8"/>
  <c r="N2159" i="8" l="1"/>
  <c r="M2159" i="8"/>
  <c r="T2159" i="8"/>
  <c r="A2160" i="8"/>
  <c r="N2160" i="8" l="1"/>
  <c r="M2160" i="8"/>
  <c r="T2160" i="8"/>
  <c r="A2161" i="8"/>
  <c r="N2161" i="8" l="1"/>
  <c r="M2161" i="8"/>
  <c r="T2161" i="8"/>
  <c r="A2162" i="8"/>
  <c r="N2162" i="8" l="1"/>
  <c r="M2162" i="8"/>
  <c r="T2162" i="8"/>
  <c r="A2163" i="8"/>
  <c r="N2163" i="8" l="1"/>
  <c r="M2163" i="8"/>
  <c r="T2163" i="8"/>
  <c r="A2164" i="8"/>
  <c r="N2164" i="8" l="1"/>
  <c r="M2164" i="8"/>
  <c r="T2164" i="8"/>
  <c r="A2165" i="8"/>
  <c r="N2165" i="8" l="1"/>
  <c r="M2165" i="8"/>
  <c r="T2165" i="8"/>
  <c r="A2166" i="8"/>
  <c r="M2166" i="8" l="1"/>
  <c r="N2166" i="8"/>
  <c r="T2166" i="8"/>
  <c r="A2167" i="8"/>
  <c r="N2167" i="8" l="1"/>
  <c r="M2167" i="8"/>
  <c r="T2167" i="8"/>
  <c r="A2168" i="8"/>
  <c r="N2168" i="8" l="1"/>
  <c r="M2168" i="8"/>
  <c r="T2168" i="8"/>
  <c r="A2169" i="8"/>
  <c r="N2169" i="8" l="1"/>
  <c r="M2169" i="8"/>
  <c r="T2169" i="8"/>
  <c r="A2170" i="8"/>
  <c r="N2170" i="8" l="1"/>
  <c r="M2170" i="8"/>
  <c r="T2170" i="8"/>
  <c r="A2171" i="8"/>
  <c r="N2171" i="8" l="1"/>
  <c r="M2171" i="8"/>
  <c r="T2171" i="8"/>
  <c r="A2172" i="8"/>
  <c r="M2172" i="8" l="1"/>
  <c r="N2172" i="8"/>
  <c r="T2172" i="8"/>
  <c r="A2173" i="8"/>
  <c r="N2173" i="8" l="1"/>
  <c r="M2173" i="8"/>
  <c r="T2173" i="8"/>
  <c r="A2174" i="8"/>
  <c r="N2174" i="8" l="1"/>
  <c r="M2174" i="8"/>
  <c r="T2174" i="8"/>
  <c r="A2175" i="8"/>
  <c r="N2175" i="8" l="1"/>
  <c r="M2175" i="8"/>
  <c r="T2175" i="8"/>
  <c r="A2176" i="8"/>
  <c r="N2176" i="8" l="1"/>
  <c r="M2176" i="8"/>
  <c r="T2176" i="8"/>
  <c r="A2177" i="8"/>
  <c r="N2177" i="8" l="1"/>
  <c r="M2177" i="8"/>
  <c r="T2177" i="8"/>
  <c r="A2178" i="8"/>
  <c r="M2178" i="8" l="1"/>
  <c r="N2178" i="8"/>
  <c r="T2178" i="8"/>
  <c r="A2179" i="8"/>
  <c r="N2179" i="8" l="1"/>
  <c r="M2179" i="8"/>
  <c r="T2179" i="8"/>
  <c r="A2180" i="8"/>
  <c r="N2180" i="8" l="1"/>
  <c r="M2180" i="8"/>
  <c r="T2180" i="8"/>
  <c r="A2181" i="8"/>
  <c r="N2181" i="8" l="1"/>
  <c r="M2181" i="8"/>
  <c r="T2181" i="8"/>
  <c r="A2182" i="8"/>
  <c r="M2182" i="8" l="1"/>
  <c r="N2182" i="8"/>
  <c r="T2182" i="8"/>
  <c r="A2183" i="8"/>
  <c r="N2183" i="8" l="1"/>
  <c r="M2183" i="8"/>
  <c r="T2183" i="8"/>
  <c r="A2184" i="8"/>
  <c r="N2184" i="8" l="1"/>
  <c r="M2184" i="8"/>
  <c r="T2184" i="8"/>
  <c r="A2185" i="8"/>
  <c r="N2185" i="8" l="1"/>
  <c r="M2185" i="8"/>
  <c r="T2185" i="8"/>
  <c r="A2186" i="8"/>
  <c r="N2186" i="8" l="1"/>
  <c r="M2186" i="8"/>
  <c r="T2186" i="8"/>
  <c r="A2187" i="8"/>
  <c r="N2187" i="8" l="1"/>
  <c r="M2187" i="8"/>
  <c r="T2187" i="8"/>
  <c r="A2188" i="8"/>
  <c r="N2188" i="8" l="1"/>
  <c r="M2188" i="8"/>
  <c r="T2188" i="8"/>
  <c r="A2189" i="8"/>
  <c r="N2189" i="8" l="1"/>
  <c r="M2189" i="8"/>
  <c r="T2189" i="8"/>
  <c r="A2190" i="8"/>
  <c r="N2190" i="8" l="1"/>
  <c r="M2190" i="8"/>
  <c r="T2190" i="8"/>
  <c r="A2191" i="8"/>
  <c r="N2191" i="8" l="1"/>
  <c r="M2191" i="8"/>
  <c r="T2191" i="8"/>
  <c r="A2192" i="8"/>
  <c r="N2192" i="8" l="1"/>
  <c r="M2192" i="8"/>
  <c r="T2192" i="8"/>
  <c r="A2193" i="8"/>
  <c r="N2193" i="8" l="1"/>
  <c r="M2193" i="8"/>
  <c r="T2193" i="8"/>
  <c r="A2194" i="8"/>
  <c r="N2194" i="8" l="1"/>
  <c r="M2194" i="8"/>
  <c r="T2194" i="8"/>
  <c r="A2195" i="8"/>
  <c r="N2195" i="8" l="1"/>
  <c r="M2195" i="8"/>
  <c r="T2195" i="8"/>
  <c r="A2196" i="8"/>
  <c r="N2196" i="8" l="1"/>
  <c r="M2196" i="8"/>
  <c r="T2196" i="8"/>
  <c r="A2197" i="8"/>
  <c r="M2197" i="8" l="1"/>
  <c r="N2197" i="8"/>
  <c r="T2197" i="8"/>
  <c r="A2198" i="8"/>
  <c r="N2198" i="8" l="1"/>
  <c r="M2198" i="8"/>
  <c r="T2198" i="8"/>
  <c r="A2199" i="8"/>
  <c r="N2199" i="8" l="1"/>
  <c r="M2199" i="8"/>
  <c r="T2199" i="8"/>
  <c r="A2200" i="8"/>
  <c r="N2200" i="8" l="1"/>
  <c r="M2200" i="8"/>
  <c r="T2200" i="8"/>
  <c r="A2201" i="8"/>
  <c r="N2201" i="8" l="1"/>
  <c r="M2201" i="8"/>
  <c r="T2201" i="8"/>
  <c r="A2202" i="8"/>
  <c r="N2202" i="8" l="1"/>
  <c r="M2202" i="8"/>
  <c r="T2202" i="8"/>
  <c r="A2203" i="8"/>
  <c r="N2203" i="8" l="1"/>
  <c r="M2203" i="8"/>
  <c r="T2203" i="8"/>
  <c r="A2204" i="8"/>
  <c r="M2204" i="8" l="1"/>
  <c r="N2204" i="8"/>
  <c r="T2204" i="8"/>
  <c r="A2205" i="8"/>
  <c r="N2205" i="8" l="1"/>
  <c r="M2205" i="8"/>
  <c r="T2205" i="8"/>
  <c r="A2206" i="8"/>
  <c r="M2206" i="8" l="1"/>
  <c r="N2206" i="8"/>
  <c r="T2206" i="8"/>
  <c r="A2207" i="8"/>
  <c r="N2207" i="8" l="1"/>
  <c r="M2207" i="8"/>
  <c r="T2207" i="8"/>
  <c r="A2208" i="8"/>
  <c r="N2208" i="8" l="1"/>
  <c r="M2208" i="8"/>
  <c r="T2208" i="8"/>
  <c r="A2209" i="8"/>
  <c r="N2209" i="8" l="1"/>
  <c r="M2209" i="8"/>
  <c r="T2209" i="8"/>
  <c r="A2210" i="8"/>
  <c r="N2210" i="8" l="1"/>
  <c r="M2210" i="8"/>
  <c r="A2211" i="8"/>
  <c r="T2210" i="8"/>
  <c r="N2211" i="8" l="1"/>
  <c r="M2211" i="8"/>
  <c r="A2212" i="8"/>
  <c r="T2211" i="8"/>
  <c r="A2213" i="8" l="1"/>
  <c r="N2212" i="8"/>
  <c r="M2212" i="8"/>
  <c r="T2212" i="8"/>
  <c r="A2214" i="8" l="1"/>
  <c r="N2213" i="8"/>
  <c r="M2213" i="8"/>
  <c r="T2213" i="8"/>
  <c r="A2215" i="8" l="1"/>
  <c r="M2214" i="8"/>
  <c r="N2214" i="8"/>
  <c r="T2214" i="8"/>
  <c r="A2216" i="8" l="1"/>
  <c r="M2215" i="8"/>
  <c r="N2215" i="8"/>
  <c r="T2215" i="8"/>
  <c r="A2217" i="8" l="1"/>
  <c r="N2216" i="8"/>
  <c r="M2216" i="8"/>
  <c r="T2216" i="8"/>
  <c r="A2218" i="8" l="1"/>
  <c r="N2217" i="8"/>
  <c r="M2217" i="8"/>
  <c r="T2217" i="8"/>
  <c r="A2219" i="8" l="1"/>
  <c r="M2218" i="8"/>
  <c r="N2218" i="8"/>
  <c r="T2218" i="8"/>
  <c r="A2220" i="8" l="1"/>
  <c r="N2219" i="8"/>
  <c r="M2219" i="8"/>
  <c r="T2219" i="8"/>
  <c r="A2221" i="8" l="1"/>
  <c r="N2220" i="8"/>
  <c r="M2220" i="8"/>
  <c r="T2220" i="8"/>
  <c r="A2222" i="8" l="1"/>
  <c r="N2221" i="8"/>
  <c r="M2221" i="8"/>
  <c r="T2221" i="8"/>
  <c r="A2223" i="8" l="1"/>
  <c r="N2222" i="8"/>
  <c r="M2222" i="8"/>
  <c r="T2222" i="8"/>
  <c r="A2224" i="8" l="1"/>
  <c r="N2223" i="8"/>
  <c r="M2223" i="8"/>
  <c r="T2223" i="8"/>
  <c r="A2225" i="8" l="1"/>
  <c r="M2224" i="8"/>
  <c r="N2224" i="8"/>
  <c r="T2224" i="8"/>
  <c r="A2226" i="8" l="1"/>
  <c r="N2225" i="8"/>
  <c r="M2225" i="8"/>
  <c r="T2225" i="8"/>
  <c r="A2227" i="8" l="1"/>
  <c r="N2226" i="8"/>
  <c r="M2226" i="8"/>
  <c r="T2226" i="8"/>
  <c r="A2228" i="8" l="1"/>
  <c r="N2227" i="8"/>
  <c r="M2227" i="8"/>
  <c r="T2227" i="8"/>
  <c r="A2229" i="8" l="1"/>
  <c r="N2228" i="8"/>
  <c r="M2228" i="8"/>
  <c r="T2228" i="8"/>
  <c r="A2230" i="8" l="1"/>
  <c r="N2229" i="8"/>
  <c r="M2229" i="8"/>
  <c r="T2229" i="8"/>
  <c r="A2231" i="8" l="1"/>
  <c r="N2230" i="8"/>
  <c r="M2230" i="8"/>
  <c r="T2230" i="8"/>
  <c r="A2232" i="8" l="1"/>
  <c r="N2231" i="8"/>
  <c r="M2231" i="8"/>
  <c r="T2231" i="8"/>
  <c r="A2233" i="8" l="1"/>
  <c r="N2232" i="8"/>
  <c r="M2232" i="8"/>
  <c r="T2232" i="8"/>
  <c r="A2234" i="8" l="1"/>
  <c r="M2233" i="8"/>
  <c r="N2233" i="8"/>
  <c r="T2233" i="8"/>
  <c r="A2235" i="8" l="1"/>
  <c r="M2234" i="8"/>
  <c r="N2234" i="8"/>
  <c r="T2234" i="8"/>
  <c r="A2236" i="8" l="1"/>
  <c r="M2235" i="8"/>
  <c r="N2235" i="8"/>
  <c r="T2235" i="8"/>
  <c r="A2237" i="8" l="1"/>
  <c r="M2236" i="8"/>
  <c r="N2236" i="8"/>
  <c r="T2236" i="8"/>
  <c r="A2238" i="8" l="1"/>
  <c r="N2237" i="8"/>
  <c r="M2237" i="8"/>
  <c r="T2237" i="8"/>
  <c r="A2239" i="8" l="1"/>
  <c r="M2238" i="8"/>
  <c r="N2238" i="8"/>
  <c r="T2238" i="8"/>
  <c r="A2240" i="8" l="1"/>
  <c r="N2239" i="8"/>
  <c r="M2239" i="8"/>
  <c r="T2239" i="8"/>
  <c r="A2241" i="8" l="1"/>
  <c r="N2240" i="8"/>
  <c r="M2240" i="8"/>
  <c r="T2240" i="8"/>
  <c r="A2242" i="8" l="1"/>
  <c r="N2241" i="8"/>
  <c r="M2241" i="8"/>
  <c r="T2241" i="8"/>
  <c r="A2243" i="8" l="1"/>
  <c r="N2242" i="8"/>
  <c r="M2242" i="8"/>
  <c r="T2242" i="8"/>
  <c r="A2244" i="8" l="1"/>
  <c r="N2243" i="8"/>
  <c r="M2243" i="8"/>
  <c r="T2243" i="8"/>
  <c r="A2245" i="8" l="1"/>
  <c r="N2244" i="8"/>
  <c r="M2244" i="8"/>
  <c r="T2244" i="8"/>
  <c r="A2246" i="8" l="1"/>
  <c r="N2245" i="8"/>
  <c r="M2245" i="8"/>
  <c r="T2245" i="8"/>
  <c r="A2247" i="8" l="1"/>
  <c r="N2246" i="8"/>
  <c r="M2246" i="8"/>
  <c r="T2246" i="8"/>
  <c r="A2248" i="8" l="1"/>
  <c r="M2247" i="8"/>
  <c r="N2247" i="8"/>
  <c r="T2247" i="8"/>
  <c r="A2249" i="8" l="1"/>
  <c r="N2248" i="8"/>
  <c r="M2248" i="8"/>
  <c r="T2248" i="8"/>
  <c r="A2250" i="8" l="1"/>
  <c r="N2249" i="8"/>
  <c r="M2249" i="8"/>
  <c r="T2249" i="8"/>
  <c r="A2251" i="8" l="1"/>
  <c r="N2250" i="8"/>
  <c r="M2250" i="8"/>
  <c r="T2250" i="8"/>
  <c r="A2252" i="8" l="1"/>
  <c r="N2251" i="8"/>
  <c r="M2251" i="8"/>
  <c r="T2251" i="8"/>
  <c r="A2253" i="8" l="1"/>
  <c r="N2252" i="8"/>
  <c r="M2252" i="8"/>
  <c r="T2252" i="8"/>
  <c r="A2254" i="8" l="1"/>
  <c r="N2253" i="8"/>
  <c r="M2253" i="8"/>
  <c r="T2253" i="8"/>
  <c r="A2255" i="8" l="1"/>
  <c r="N2254" i="8"/>
  <c r="M2254" i="8"/>
  <c r="T2254" i="8"/>
  <c r="A2256" i="8" l="1"/>
  <c r="N2255" i="8"/>
  <c r="M2255" i="8"/>
  <c r="T2255" i="8"/>
  <c r="A2257" i="8" l="1"/>
  <c r="N2256" i="8"/>
  <c r="M2256" i="8"/>
  <c r="T2256" i="8"/>
  <c r="A2258" i="8" l="1"/>
  <c r="N2257" i="8"/>
  <c r="M2257" i="8"/>
  <c r="T2257" i="8"/>
  <c r="A2259" i="8" l="1"/>
  <c r="N2258" i="8"/>
  <c r="M2258" i="8"/>
  <c r="T2258" i="8"/>
  <c r="A2260" i="8" l="1"/>
  <c r="N2259" i="8"/>
  <c r="M2259" i="8"/>
  <c r="T2259" i="8"/>
  <c r="A2261" i="8" l="1"/>
  <c r="N2260" i="8"/>
  <c r="M2260" i="8"/>
  <c r="T2260" i="8"/>
  <c r="A2262" i="8" l="1"/>
  <c r="N2261" i="8"/>
  <c r="M2261" i="8"/>
  <c r="T2261" i="8"/>
  <c r="A2263" i="8" l="1"/>
  <c r="N2262" i="8"/>
  <c r="M2262" i="8"/>
  <c r="T2262" i="8"/>
  <c r="A2264" i="8" l="1"/>
  <c r="N2263" i="8"/>
  <c r="M2263" i="8"/>
  <c r="T2263" i="8"/>
  <c r="A2265" i="8" l="1"/>
  <c r="N2264" i="8"/>
  <c r="M2264" i="8"/>
  <c r="T2264" i="8"/>
  <c r="A2266" i="8" l="1"/>
  <c r="N2265" i="8"/>
  <c r="M2265" i="8"/>
  <c r="T2265" i="8"/>
  <c r="A2267" i="8" l="1"/>
  <c r="N2266" i="8"/>
  <c r="M2266" i="8"/>
  <c r="T2266" i="8"/>
  <c r="A2268" i="8" l="1"/>
  <c r="N2267" i="8"/>
  <c r="M2267" i="8"/>
  <c r="T2267" i="8"/>
  <c r="A2269" i="8" l="1"/>
  <c r="N2268" i="8"/>
  <c r="M2268" i="8"/>
  <c r="T2268" i="8"/>
  <c r="A2270" i="8" l="1"/>
  <c r="N2269" i="8"/>
  <c r="M2269" i="8"/>
  <c r="T2269" i="8"/>
  <c r="A2271" i="8" l="1"/>
  <c r="N2270" i="8"/>
  <c r="M2270" i="8"/>
  <c r="T2270" i="8"/>
  <c r="A2272" i="8" l="1"/>
  <c r="N2271" i="8"/>
  <c r="M2271" i="8"/>
  <c r="T2271" i="8"/>
  <c r="A2273" i="8" l="1"/>
  <c r="N2272" i="8"/>
  <c r="M2272" i="8"/>
  <c r="T2272" i="8"/>
  <c r="A2274" i="8" l="1"/>
  <c r="N2273" i="8"/>
  <c r="M2273" i="8"/>
  <c r="T2273" i="8"/>
  <c r="A2275" i="8" l="1"/>
  <c r="N2274" i="8"/>
  <c r="M2274" i="8"/>
  <c r="T2274" i="8"/>
  <c r="A2276" i="8" l="1"/>
  <c r="N2275" i="8"/>
  <c r="M2275" i="8"/>
  <c r="T2275" i="8"/>
  <c r="A2277" i="8" l="1"/>
  <c r="N2276" i="8"/>
  <c r="M2276" i="8"/>
  <c r="T2276" i="8"/>
  <c r="A2278" i="8" l="1"/>
  <c r="N2277" i="8"/>
  <c r="M2277" i="8"/>
  <c r="T2277" i="8"/>
  <c r="A2279" i="8" l="1"/>
  <c r="N2278" i="8"/>
  <c r="M2278" i="8"/>
  <c r="T2278" i="8"/>
  <c r="A2280" i="8" l="1"/>
  <c r="N2279" i="8"/>
  <c r="M2279" i="8"/>
  <c r="T2279" i="8"/>
  <c r="A2281" i="8" l="1"/>
  <c r="N2280" i="8"/>
  <c r="M2280" i="8"/>
  <c r="T2280" i="8"/>
  <c r="A2282" i="8" l="1"/>
  <c r="N2281" i="8"/>
  <c r="M2281" i="8"/>
  <c r="T2281" i="8"/>
  <c r="A2283" i="8" l="1"/>
  <c r="N2282" i="8"/>
  <c r="M2282" i="8"/>
  <c r="T2282" i="8"/>
  <c r="A2284" i="8" l="1"/>
  <c r="N2283" i="8"/>
  <c r="M2283" i="8"/>
  <c r="T2283" i="8"/>
  <c r="A2285" i="8" l="1"/>
  <c r="N2284" i="8"/>
  <c r="M2284" i="8"/>
  <c r="T2284" i="8"/>
  <c r="A2286" i="8" l="1"/>
  <c r="N2285" i="8"/>
  <c r="M2285" i="8"/>
  <c r="T2285" i="8"/>
  <c r="A2287" i="8" l="1"/>
  <c r="N2286" i="8"/>
  <c r="M2286" i="8"/>
  <c r="T2286" i="8"/>
  <c r="A2288" i="8" l="1"/>
  <c r="N2287" i="8"/>
  <c r="M2287" i="8"/>
  <c r="T2287" i="8"/>
  <c r="A2289" i="8" l="1"/>
  <c r="N2288" i="8"/>
  <c r="M2288" i="8"/>
  <c r="T2288" i="8"/>
  <c r="A2290" i="8" l="1"/>
  <c r="N2289" i="8"/>
  <c r="M2289" i="8"/>
  <c r="T2289" i="8"/>
  <c r="A2291" i="8" l="1"/>
  <c r="N2290" i="8"/>
  <c r="M2290" i="8"/>
  <c r="T2290" i="8"/>
  <c r="A2292" i="8" l="1"/>
  <c r="N2291" i="8"/>
  <c r="M2291" i="8"/>
  <c r="T2291" i="8"/>
  <c r="A2293" i="8" l="1"/>
  <c r="N2292" i="8"/>
  <c r="M2292" i="8"/>
  <c r="T2292" i="8"/>
  <c r="A2294" i="8" l="1"/>
  <c r="M2293" i="8"/>
  <c r="N2293" i="8"/>
  <c r="T2293" i="8"/>
  <c r="A2295" i="8" l="1"/>
  <c r="M2294" i="8"/>
  <c r="N2294" i="8"/>
  <c r="T2294" i="8"/>
  <c r="A2296" i="8" l="1"/>
  <c r="M2295" i="8"/>
  <c r="N2295" i="8"/>
  <c r="T2295" i="8"/>
  <c r="A2297" i="8" l="1"/>
  <c r="M2296" i="8"/>
  <c r="N2296" i="8"/>
  <c r="T2296" i="8"/>
  <c r="A2298" i="8" l="1"/>
  <c r="N2297" i="8"/>
  <c r="M2297" i="8"/>
  <c r="T2297" i="8"/>
  <c r="A2299" i="8" l="1"/>
  <c r="N2298" i="8"/>
  <c r="M2298" i="8"/>
  <c r="T2298" i="8"/>
  <c r="A2300" i="8" l="1"/>
  <c r="N2299" i="8"/>
  <c r="M2299" i="8"/>
  <c r="T2299" i="8"/>
  <c r="A2301" i="8" l="1"/>
  <c r="N2300" i="8"/>
  <c r="M2300" i="8"/>
  <c r="T2300" i="8"/>
  <c r="A2302" i="8" l="1"/>
  <c r="N2301" i="8"/>
  <c r="M2301" i="8"/>
  <c r="T2301" i="8"/>
  <c r="A2303" i="8" l="1"/>
  <c r="N2302" i="8"/>
  <c r="M2302" i="8"/>
  <c r="T2302" i="8"/>
  <c r="A2304" i="8" l="1"/>
  <c r="N2303" i="8"/>
  <c r="M2303" i="8"/>
  <c r="T2303" i="8"/>
  <c r="A2305" i="8" l="1"/>
  <c r="N2304" i="8"/>
  <c r="M2304" i="8"/>
  <c r="T2304" i="8"/>
  <c r="A2306" i="8" l="1"/>
  <c r="N2305" i="8"/>
  <c r="M2305" i="8"/>
  <c r="T2305" i="8"/>
  <c r="A2307" i="8" l="1"/>
  <c r="N2306" i="8"/>
  <c r="M2306" i="8"/>
  <c r="T2306" i="8"/>
  <c r="A2308" i="8" l="1"/>
  <c r="N2307" i="8"/>
  <c r="M2307" i="8"/>
  <c r="T2307" i="8"/>
  <c r="A2309" i="8" l="1"/>
  <c r="N2308" i="8"/>
  <c r="M2308" i="8"/>
  <c r="T2308" i="8"/>
  <c r="A2310" i="8" l="1"/>
  <c r="N2309" i="8"/>
  <c r="M2309" i="8"/>
  <c r="T2309" i="8"/>
  <c r="A2311" i="8" l="1"/>
  <c r="N2310" i="8"/>
  <c r="M2310" i="8"/>
  <c r="T2310" i="8"/>
  <c r="A2312" i="8" l="1"/>
  <c r="N2311" i="8"/>
  <c r="M2311" i="8"/>
  <c r="T2311" i="8"/>
  <c r="A2313" i="8" l="1"/>
  <c r="N2312" i="8"/>
  <c r="M2312" i="8"/>
  <c r="T2312" i="8"/>
  <c r="A2314" i="8" l="1"/>
  <c r="N2313" i="8"/>
  <c r="M2313" i="8"/>
  <c r="T2313" i="8"/>
  <c r="A2315" i="8" l="1"/>
  <c r="N2314" i="8"/>
  <c r="M2314" i="8"/>
  <c r="T2314" i="8"/>
  <c r="A2316" i="8" l="1"/>
  <c r="N2315" i="8"/>
  <c r="M2315" i="8"/>
  <c r="T2315" i="8"/>
  <c r="A2317" i="8" l="1"/>
  <c r="N2316" i="8"/>
  <c r="M2316" i="8"/>
  <c r="T2316" i="8"/>
  <c r="A2318" i="8" l="1"/>
  <c r="N2317" i="8"/>
  <c r="M2317" i="8"/>
  <c r="T2317" i="8"/>
  <c r="A2319" i="8" l="1"/>
  <c r="N2318" i="8"/>
  <c r="M2318" i="8"/>
  <c r="T2318" i="8"/>
  <c r="A2320" i="8" l="1"/>
  <c r="N2319" i="8"/>
  <c r="M2319" i="8"/>
  <c r="T2319" i="8"/>
  <c r="A2321" i="8" l="1"/>
  <c r="N2320" i="8"/>
  <c r="M2320" i="8"/>
  <c r="T2320" i="8"/>
  <c r="A2322" i="8" l="1"/>
  <c r="N2321" i="8"/>
  <c r="M2321" i="8"/>
  <c r="T2321" i="8"/>
  <c r="A2323" i="8" l="1"/>
  <c r="N2322" i="8"/>
  <c r="M2322" i="8"/>
  <c r="T2322" i="8"/>
  <c r="A2324" i="8" l="1"/>
  <c r="N2323" i="8"/>
  <c r="M2323" i="8"/>
  <c r="T2323" i="8"/>
  <c r="A2325" i="8" l="1"/>
  <c r="N2324" i="8"/>
  <c r="M2324" i="8"/>
  <c r="T2324" i="8"/>
  <c r="A2326" i="8" l="1"/>
  <c r="N2325" i="8"/>
  <c r="M2325" i="8"/>
  <c r="T2325" i="8"/>
  <c r="A2327" i="8" l="1"/>
  <c r="N2326" i="8"/>
  <c r="M2326" i="8"/>
  <c r="T2326" i="8"/>
  <c r="A2328" i="8" l="1"/>
  <c r="N2327" i="8"/>
  <c r="M2327" i="8"/>
  <c r="T2327" i="8"/>
  <c r="N2328" i="8" l="1"/>
  <c r="M2328" i="8"/>
  <c r="A2329" i="8"/>
  <c r="T2328" i="8"/>
  <c r="N2329" i="8" l="1"/>
  <c r="M2329" i="8"/>
  <c r="A2330" i="8"/>
  <c r="T2329" i="8"/>
  <c r="A2331" i="8" l="1"/>
  <c r="N2330" i="8"/>
  <c r="M2330" i="8"/>
  <c r="T2330" i="8"/>
  <c r="A2332" i="8" l="1"/>
  <c r="M2331" i="8"/>
  <c r="N2331" i="8"/>
  <c r="T2331" i="8"/>
  <c r="A2333" i="8" l="1"/>
  <c r="N2332" i="8"/>
  <c r="M2332" i="8"/>
  <c r="T2332" i="8"/>
  <c r="A2334" i="8" l="1"/>
  <c r="M2333" i="8"/>
  <c r="N2333" i="8"/>
  <c r="T2333" i="8"/>
  <c r="A2335" i="8" l="1"/>
  <c r="N2334" i="8"/>
  <c r="M2334" i="8"/>
  <c r="T2334" i="8"/>
  <c r="N2335" i="8" l="1"/>
  <c r="M2335" i="8"/>
  <c r="A2336" i="8"/>
  <c r="T2335" i="8"/>
  <c r="N2336" i="8" l="1"/>
  <c r="M2336" i="8"/>
  <c r="A2337" i="8"/>
  <c r="T2336" i="8"/>
  <c r="N2337" i="8" l="1"/>
  <c r="M2337" i="8"/>
  <c r="A2338" i="8"/>
  <c r="T2337" i="8"/>
  <c r="N2338" i="8" l="1"/>
  <c r="M2338" i="8"/>
  <c r="A2339" i="8"/>
  <c r="T2338" i="8"/>
  <c r="N2339" i="8" l="1"/>
  <c r="M2339" i="8"/>
  <c r="A2340" i="8"/>
  <c r="T2339" i="8"/>
  <c r="N2340" i="8" l="1"/>
  <c r="M2340" i="8"/>
  <c r="A2341" i="8"/>
  <c r="T2340" i="8"/>
  <c r="N2341" i="8" l="1"/>
  <c r="M2341" i="8"/>
  <c r="A2342" i="8"/>
  <c r="T2341" i="8"/>
  <c r="N2342" i="8" l="1"/>
  <c r="M2342" i="8"/>
  <c r="A2343" i="8"/>
  <c r="T2342" i="8"/>
  <c r="N2343" i="8" l="1"/>
  <c r="M2343" i="8"/>
  <c r="A2344" i="8"/>
  <c r="T2343" i="8"/>
  <c r="M2344" i="8" l="1"/>
  <c r="N2344" i="8"/>
  <c r="A2345" i="8"/>
  <c r="T2344" i="8"/>
  <c r="M2345" i="8" l="1"/>
  <c r="N2345" i="8"/>
  <c r="A2346" i="8"/>
  <c r="T2345" i="8"/>
  <c r="M2346" i="8" l="1"/>
  <c r="N2346" i="8"/>
  <c r="A2347" i="8"/>
  <c r="T2346" i="8"/>
  <c r="N2347" i="8" l="1"/>
  <c r="M2347" i="8"/>
  <c r="A2348" i="8"/>
  <c r="T2347" i="8"/>
  <c r="N2348" i="8" l="1"/>
  <c r="M2348" i="8"/>
  <c r="T2348" i="8"/>
  <c r="A2349" i="8"/>
  <c r="N2349" i="8" l="1"/>
  <c r="M2349" i="8"/>
  <c r="T2349" i="8"/>
  <c r="A2350" i="8"/>
  <c r="N2350" i="8" l="1"/>
  <c r="M2350" i="8"/>
  <c r="T2350" i="8"/>
  <c r="A2351" i="8"/>
  <c r="N2351" i="8" l="1"/>
  <c r="M2351" i="8"/>
  <c r="T2351" i="8"/>
  <c r="A2352" i="8"/>
  <c r="N2352" i="8" l="1"/>
  <c r="M2352" i="8"/>
  <c r="T2352" i="8"/>
  <c r="A2353" i="8"/>
  <c r="N2353" i="8" l="1"/>
  <c r="M2353" i="8"/>
  <c r="T2353" i="8"/>
  <c r="A2354" i="8"/>
  <c r="M2354" i="8" l="1"/>
  <c r="N2354" i="8"/>
  <c r="T2354" i="8"/>
  <c r="A2355" i="8"/>
  <c r="N2355" i="8" l="1"/>
  <c r="M2355" i="8"/>
  <c r="T2355" i="8"/>
  <c r="A2356" i="8"/>
  <c r="N2356" i="8" l="1"/>
  <c r="M2356" i="8"/>
  <c r="T2356" i="8"/>
  <c r="A2357" i="8"/>
  <c r="N2357" i="8" l="1"/>
  <c r="M2357" i="8"/>
  <c r="T2357" i="8"/>
  <c r="A2358" i="8"/>
  <c r="N2358" i="8" l="1"/>
  <c r="M2358" i="8"/>
  <c r="T2358" i="8"/>
  <c r="A2359" i="8"/>
  <c r="M2359" i="8" l="1"/>
  <c r="N2359" i="8"/>
  <c r="T2359" i="8"/>
  <c r="A2360" i="8"/>
  <c r="N2360" i="8" l="1"/>
  <c r="M2360" i="8"/>
  <c r="T2360" i="8"/>
  <c r="A2361" i="8"/>
  <c r="M2361" i="8" l="1"/>
  <c r="N2361" i="8"/>
  <c r="T2361" i="8"/>
  <c r="A2362" i="8"/>
  <c r="N2362" i="8" l="1"/>
  <c r="M2362" i="8"/>
  <c r="T2362" i="8"/>
  <c r="A2363" i="8"/>
  <c r="N2363" i="8" l="1"/>
  <c r="M2363" i="8"/>
  <c r="T2363" i="8"/>
  <c r="A2364" i="8"/>
  <c r="M2364" i="8" l="1"/>
  <c r="N2364" i="8"/>
  <c r="T2364" i="8"/>
  <c r="A2365" i="8"/>
  <c r="N2365" i="8" l="1"/>
  <c r="M2365" i="8"/>
  <c r="T2365" i="8"/>
  <c r="A2366" i="8"/>
  <c r="N2366" i="8" l="1"/>
  <c r="M2366" i="8"/>
  <c r="T2366" i="8"/>
  <c r="A2367" i="8"/>
  <c r="M2367" i="8" l="1"/>
  <c r="N2367" i="8"/>
  <c r="T2367" i="8"/>
  <c r="A2368" i="8"/>
  <c r="N2368" i="8" l="1"/>
  <c r="M2368" i="8"/>
  <c r="T2368" i="8"/>
  <c r="A2369" i="8"/>
  <c r="N2369" i="8" l="1"/>
  <c r="M2369" i="8"/>
  <c r="T2369" i="8"/>
  <c r="A2370" i="8"/>
  <c r="N2370" i="8" l="1"/>
  <c r="M2370" i="8"/>
  <c r="T2370" i="8"/>
  <c r="A2371" i="8"/>
  <c r="N2371" i="8" l="1"/>
  <c r="M2371" i="8"/>
  <c r="T2371" i="8"/>
  <c r="A2372" i="8"/>
  <c r="N2372" i="8" l="1"/>
  <c r="M2372" i="8"/>
  <c r="T2372" i="8"/>
  <c r="A2373" i="8"/>
  <c r="N2373" i="8" l="1"/>
  <c r="M2373" i="8"/>
  <c r="T2373" i="8"/>
  <c r="A2374" i="8"/>
  <c r="N2374" i="8" l="1"/>
  <c r="M2374" i="8"/>
  <c r="T2374" i="8"/>
  <c r="A2375" i="8"/>
  <c r="N2375" i="8" l="1"/>
  <c r="M2375" i="8"/>
  <c r="T2375" i="8"/>
  <c r="A2376" i="8"/>
  <c r="N2376" i="8" l="1"/>
  <c r="M2376" i="8"/>
  <c r="T2376" i="8"/>
  <c r="A2377" i="8"/>
  <c r="N2377" i="8" l="1"/>
  <c r="M2377" i="8"/>
  <c r="T2377" i="8"/>
  <c r="A2378" i="8"/>
  <c r="N2378" i="8" l="1"/>
  <c r="M2378" i="8"/>
  <c r="T2378" i="8"/>
  <c r="A2379" i="8"/>
  <c r="N2379" i="8" l="1"/>
  <c r="M2379" i="8"/>
  <c r="T2379" i="8"/>
  <c r="A2380" i="8"/>
  <c r="N2380" i="8" l="1"/>
  <c r="M2380" i="8"/>
  <c r="T2380" i="8"/>
  <c r="A2381" i="8"/>
  <c r="N2381" i="8" l="1"/>
  <c r="M2381" i="8"/>
  <c r="T2381" i="8"/>
  <c r="A2382" i="8"/>
  <c r="N2382" i="8" l="1"/>
  <c r="M2382" i="8"/>
  <c r="T2382" i="8"/>
  <c r="A2383" i="8"/>
  <c r="M2383" i="8" l="1"/>
  <c r="N2383" i="8"/>
  <c r="T2383" i="8"/>
  <c r="A2384" i="8"/>
  <c r="N2384" i="8" l="1"/>
  <c r="M2384" i="8"/>
  <c r="T2384" i="8"/>
  <c r="A2385" i="8"/>
  <c r="N2385" i="8" l="1"/>
  <c r="M2385" i="8"/>
  <c r="T2385" i="8"/>
  <c r="A2386" i="8"/>
  <c r="N2386" i="8" l="1"/>
  <c r="M2386" i="8"/>
  <c r="T2386" i="8"/>
  <c r="A2387" i="8"/>
  <c r="N2387" i="8" l="1"/>
  <c r="M2387" i="8"/>
  <c r="T2387" i="8"/>
  <c r="A2388" i="8"/>
  <c r="N2388" i="8" l="1"/>
  <c r="M2388" i="8"/>
  <c r="T2388" i="8"/>
  <c r="A2389" i="8"/>
  <c r="N2389" i="8" l="1"/>
  <c r="M2389" i="8"/>
  <c r="T2389" i="8"/>
  <c r="A2390" i="8"/>
  <c r="N2390" i="8" l="1"/>
  <c r="M2390" i="8"/>
  <c r="T2390" i="8"/>
  <c r="A2391" i="8"/>
  <c r="N2391" i="8" l="1"/>
  <c r="M2391" i="8"/>
  <c r="T2391" i="8"/>
  <c r="A2392" i="8"/>
  <c r="N2392" i="8" l="1"/>
  <c r="M2392" i="8"/>
  <c r="T2392" i="8"/>
  <c r="A2393" i="8"/>
  <c r="N2393" i="8" l="1"/>
  <c r="M2393" i="8"/>
  <c r="T2393" i="8"/>
  <c r="A2394" i="8"/>
  <c r="M2394" i="8" l="1"/>
  <c r="N2394" i="8"/>
  <c r="T2394" i="8"/>
  <c r="A2395" i="8"/>
  <c r="N2395" i="8" l="1"/>
  <c r="M2395" i="8"/>
  <c r="T2395" i="8"/>
  <c r="A2396" i="8"/>
  <c r="N2396" i="8" l="1"/>
  <c r="M2396" i="8"/>
  <c r="T2396" i="8"/>
  <c r="A2397" i="8"/>
  <c r="N2397" i="8" l="1"/>
  <c r="M2397" i="8"/>
  <c r="T2397" i="8"/>
  <c r="A2398" i="8"/>
  <c r="N2398" i="8" l="1"/>
  <c r="M2398" i="8"/>
  <c r="T2398" i="8"/>
  <c r="A2399" i="8"/>
  <c r="N2399" i="8" l="1"/>
  <c r="M2399" i="8"/>
  <c r="T2399" i="8"/>
  <c r="A2400" i="8"/>
  <c r="N2400" i="8" l="1"/>
  <c r="M2400" i="8"/>
  <c r="T2400" i="8"/>
  <c r="A2401" i="8"/>
  <c r="N2401" i="8" l="1"/>
  <c r="M2401" i="8"/>
  <c r="T2401" i="8"/>
  <c r="A2402" i="8"/>
  <c r="M2402" i="8" l="1"/>
  <c r="N2402" i="8"/>
  <c r="T2402" i="8"/>
  <c r="A2403" i="8"/>
  <c r="N2403" i="8" l="1"/>
  <c r="M2403" i="8"/>
  <c r="T2403" i="8"/>
  <c r="A2404" i="8"/>
  <c r="N2404" i="8" l="1"/>
  <c r="M2404" i="8"/>
  <c r="T2404" i="8"/>
  <c r="A2405" i="8"/>
  <c r="N2405" i="8" l="1"/>
  <c r="M2405" i="8"/>
  <c r="T2405" i="8"/>
  <c r="A2406" i="8"/>
  <c r="N2406" i="8" l="1"/>
  <c r="M2406" i="8"/>
  <c r="T2406" i="8"/>
  <c r="A2407" i="8"/>
  <c r="N2407" i="8" l="1"/>
  <c r="M2407" i="8"/>
  <c r="T2407" i="8"/>
  <c r="A2408" i="8"/>
  <c r="N2408" i="8" l="1"/>
  <c r="M2408" i="8"/>
  <c r="T2408" i="8"/>
  <c r="A2409" i="8"/>
  <c r="M2409" i="8" l="1"/>
  <c r="N2409" i="8"/>
  <c r="T2409" i="8"/>
  <c r="A2410" i="8"/>
  <c r="M2410" i="8" l="1"/>
  <c r="N2410" i="8"/>
  <c r="T2410" i="8"/>
  <c r="A2411" i="8"/>
  <c r="N2411" i="8" l="1"/>
  <c r="M2411" i="8"/>
  <c r="T2411" i="8"/>
  <c r="A2412" i="8"/>
  <c r="N2412" i="8" l="1"/>
  <c r="M2412" i="8"/>
  <c r="T2412" i="8"/>
  <c r="A2413" i="8"/>
  <c r="N2413" i="8" l="1"/>
  <c r="M2413" i="8"/>
  <c r="T2413" i="8"/>
  <c r="A2414" i="8"/>
  <c r="M2414" i="8" l="1"/>
  <c r="N2414" i="8"/>
  <c r="T2414" i="8"/>
  <c r="A2415" i="8"/>
  <c r="N2415" i="8" l="1"/>
  <c r="M2415" i="8"/>
  <c r="T2415" i="8"/>
  <c r="A2416" i="8"/>
  <c r="N2416" i="8" l="1"/>
  <c r="M2416" i="8"/>
  <c r="T2416" i="8"/>
  <c r="A2417" i="8"/>
  <c r="N2417" i="8" l="1"/>
  <c r="M2417" i="8"/>
  <c r="T2417" i="8"/>
  <c r="A2418" i="8"/>
  <c r="N2418" i="8" l="1"/>
  <c r="M2418" i="8"/>
  <c r="T2418" i="8"/>
  <c r="A2419" i="8"/>
  <c r="N2419" i="8" l="1"/>
  <c r="M2419" i="8"/>
  <c r="T2419" i="8"/>
  <c r="A2420" i="8"/>
  <c r="N2420" i="8" l="1"/>
  <c r="M2420" i="8"/>
  <c r="T2420" i="8"/>
  <c r="A2421" i="8"/>
  <c r="N2421" i="8" l="1"/>
  <c r="M2421" i="8"/>
  <c r="T2421" i="8"/>
  <c r="A2422" i="8"/>
  <c r="N2422" i="8" l="1"/>
  <c r="M2422" i="8"/>
  <c r="T2422" i="8"/>
  <c r="A2423" i="8"/>
  <c r="M2423" i="8" l="1"/>
  <c r="N2423" i="8"/>
  <c r="T2423" i="8"/>
  <c r="A2424" i="8"/>
  <c r="N2424" i="8" l="1"/>
  <c r="M2424" i="8"/>
  <c r="T2424" i="8"/>
  <c r="A2425" i="8"/>
  <c r="N2425" i="8" l="1"/>
  <c r="M2425" i="8"/>
  <c r="T2425" i="8"/>
  <c r="A2426" i="8"/>
  <c r="M2426" i="8" l="1"/>
  <c r="N2426" i="8"/>
  <c r="T2426" i="8"/>
  <c r="A2427" i="8"/>
  <c r="N2427" i="8" l="1"/>
  <c r="M2427" i="8"/>
  <c r="T2427" i="8"/>
  <c r="A2428" i="8"/>
  <c r="N2428" i="8" l="1"/>
  <c r="M2428" i="8"/>
  <c r="T2428" i="8"/>
  <c r="A2429" i="8"/>
  <c r="M2429" i="8" l="1"/>
  <c r="N2429" i="8"/>
  <c r="T2429" i="8"/>
  <c r="A2430" i="8"/>
  <c r="N2430" i="8" l="1"/>
  <c r="M2430" i="8"/>
  <c r="T2430" i="8"/>
  <c r="A2431" i="8"/>
  <c r="N2431" i="8" l="1"/>
  <c r="M2431" i="8"/>
  <c r="T2431" i="8"/>
  <c r="A2432" i="8"/>
  <c r="N2432" i="8" l="1"/>
  <c r="M2432" i="8"/>
  <c r="T2432" i="8"/>
  <c r="A2433" i="8"/>
  <c r="N2433" i="8" l="1"/>
  <c r="M2433" i="8"/>
  <c r="T2433" i="8"/>
  <c r="A2434" i="8"/>
  <c r="N2434" i="8" l="1"/>
  <c r="M2434" i="8"/>
  <c r="T2434" i="8"/>
  <c r="A2435" i="8"/>
  <c r="N2435" i="8" l="1"/>
  <c r="M2435" i="8"/>
  <c r="T2435" i="8"/>
  <c r="A2436" i="8"/>
  <c r="N2436" i="8" l="1"/>
  <c r="M2436" i="8"/>
  <c r="T2436" i="8"/>
  <c r="A2437" i="8"/>
  <c r="N2437" i="8" l="1"/>
  <c r="M2437" i="8"/>
  <c r="T2437" i="8"/>
  <c r="A2438" i="8"/>
  <c r="N2438" i="8" l="1"/>
  <c r="M2438" i="8"/>
  <c r="T2438" i="8"/>
  <c r="A2439" i="8"/>
  <c r="N2439" i="8" l="1"/>
  <c r="M2439" i="8"/>
  <c r="T2439" i="8"/>
  <c r="A2440" i="8"/>
  <c r="N2440" i="8" l="1"/>
  <c r="M2440" i="8"/>
  <c r="T2440" i="8"/>
  <c r="A2441" i="8"/>
  <c r="N2441" i="8" l="1"/>
  <c r="M2441" i="8"/>
  <c r="T2441" i="8"/>
  <c r="A2442" i="8"/>
  <c r="M2442" i="8" l="1"/>
  <c r="N2442" i="8"/>
  <c r="T2442" i="8"/>
  <c r="A2443" i="8"/>
  <c r="N2443" i="8" l="1"/>
  <c r="M2443" i="8"/>
  <c r="T2443" i="8"/>
  <c r="A2444" i="8"/>
  <c r="M2444" i="8" l="1"/>
  <c r="N2444" i="8"/>
  <c r="T2444" i="8"/>
  <c r="A2445" i="8"/>
  <c r="M2445" i="8" l="1"/>
  <c r="N2445" i="8"/>
  <c r="T2445" i="8"/>
  <c r="A2446" i="8"/>
  <c r="N2446" i="8" l="1"/>
  <c r="M2446" i="8"/>
  <c r="T2446" i="8"/>
  <c r="A2447" i="8"/>
  <c r="N2447" i="8" l="1"/>
  <c r="M2447" i="8"/>
  <c r="T2447" i="8"/>
  <c r="A2448" i="8"/>
  <c r="N2448" i="8" l="1"/>
  <c r="M2448" i="8"/>
  <c r="T2448" i="8"/>
  <c r="A2449" i="8"/>
  <c r="N2449" i="8" l="1"/>
  <c r="M2449" i="8"/>
  <c r="T2449" i="8"/>
  <c r="A2450" i="8"/>
  <c r="N2450" i="8" l="1"/>
  <c r="M2450" i="8"/>
  <c r="T2450" i="8"/>
  <c r="A2451" i="8"/>
  <c r="N2451" i="8" l="1"/>
  <c r="M2451" i="8"/>
  <c r="T2451" i="8"/>
  <c r="A2452" i="8"/>
  <c r="N2452" i="8" l="1"/>
  <c r="M2452" i="8"/>
  <c r="T2452" i="8"/>
  <c r="A2453" i="8"/>
  <c r="N2453" i="8" l="1"/>
  <c r="M2453" i="8"/>
  <c r="T2453" i="8"/>
  <c r="A2454" i="8"/>
  <c r="N2454" i="8" l="1"/>
  <c r="M2454" i="8"/>
  <c r="T2454" i="8"/>
  <c r="A2455" i="8"/>
  <c r="N2455" i="8" l="1"/>
  <c r="M2455" i="8"/>
  <c r="T2455" i="8"/>
  <c r="A2456" i="8"/>
  <c r="M2456" i="8" l="1"/>
  <c r="N2456" i="8"/>
  <c r="T2456" i="8"/>
  <c r="A2457" i="8"/>
  <c r="N2457" i="8" l="1"/>
  <c r="M2457" i="8"/>
  <c r="T2457" i="8"/>
  <c r="A2458" i="8"/>
  <c r="M2458" i="8" l="1"/>
  <c r="N2458" i="8"/>
  <c r="T2458" i="8"/>
  <c r="A2459" i="8"/>
  <c r="M2459" i="8" l="1"/>
  <c r="N2459" i="8"/>
  <c r="T2459" i="8"/>
  <c r="A2460" i="8"/>
  <c r="N2460" i="8" l="1"/>
  <c r="M2460" i="8"/>
  <c r="T2460" i="8"/>
  <c r="A2461" i="8"/>
  <c r="N2461" i="8" l="1"/>
  <c r="M2461" i="8"/>
  <c r="T2461" i="8"/>
  <c r="A2462" i="8"/>
  <c r="N2462" i="8" l="1"/>
  <c r="M2462" i="8"/>
  <c r="T2462" i="8"/>
  <c r="A2463" i="8"/>
  <c r="N2463" i="8" l="1"/>
  <c r="M2463" i="8"/>
  <c r="T2463" i="8"/>
  <c r="A2464" i="8"/>
  <c r="N2464" i="8" l="1"/>
  <c r="M2464" i="8"/>
  <c r="T2464" i="8"/>
  <c r="A2465" i="8"/>
  <c r="N2465" i="8" l="1"/>
  <c r="M2465" i="8"/>
  <c r="T2465" i="8"/>
  <c r="A2466" i="8"/>
  <c r="N2466" i="8" l="1"/>
  <c r="M2466" i="8"/>
  <c r="T2466" i="8"/>
  <c r="A2467" i="8"/>
  <c r="N2467" i="8" l="1"/>
  <c r="M2467" i="8"/>
  <c r="T2467" i="8"/>
  <c r="A2468" i="8"/>
  <c r="N2468" i="8" l="1"/>
  <c r="M2468" i="8"/>
  <c r="T2468" i="8"/>
  <c r="A2469" i="8"/>
  <c r="N2469" i="8" l="1"/>
  <c r="M2469" i="8"/>
  <c r="T2469" i="8"/>
  <c r="A2470" i="8"/>
  <c r="N2470" i="8" l="1"/>
  <c r="M2470" i="8"/>
  <c r="T2470" i="8"/>
  <c r="A2471" i="8"/>
  <c r="M2471" i="8" l="1"/>
  <c r="N2471" i="8"/>
  <c r="T2471" i="8"/>
  <c r="A2472" i="8"/>
  <c r="N2472" i="8" l="1"/>
  <c r="M2472" i="8"/>
  <c r="T2472" i="8"/>
  <c r="A2473" i="8"/>
  <c r="N2473" i="8" l="1"/>
  <c r="M2473" i="8"/>
  <c r="T2473" i="8"/>
  <c r="A2474" i="8"/>
  <c r="N2474" i="8" l="1"/>
  <c r="M2474" i="8"/>
  <c r="T2474" i="8"/>
  <c r="A2475" i="8"/>
  <c r="N2475" i="8" l="1"/>
  <c r="M2475" i="8"/>
  <c r="T2475" i="8"/>
  <c r="A2476" i="8"/>
  <c r="N2476" i="8" l="1"/>
  <c r="M2476" i="8"/>
  <c r="T2476" i="8"/>
  <c r="A2477" i="8"/>
  <c r="N2477" i="8" l="1"/>
  <c r="M2477" i="8"/>
  <c r="T2477" i="8"/>
  <c r="A2478" i="8"/>
  <c r="M2478" i="8" l="1"/>
  <c r="N2478" i="8"/>
  <c r="T2478" i="8"/>
  <c r="A2479" i="8"/>
  <c r="N2479" i="8" l="1"/>
  <c r="M2479" i="8"/>
  <c r="T2479" i="8"/>
  <c r="A2480" i="8"/>
  <c r="N2480" i="8" l="1"/>
  <c r="M2480" i="8"/>
  <c r="T2480" i="8"/>
  <c r="A2481" i="8"/>
  <c r="N2481" i="8" l="1"/>
  <c r="M2481" i="8"/>
  <c r="T2481" i="8"/>
  <c r="A2482" i="8"/>
  <c r="N2482" i="8" l="1"/>
  <c r="M2482" i="8"/>
  <c r="T2482" i="8"/>
  <c r="A2483" i="8"/>
  <c r="N2483" i="8" l="1"/>
  <c r="M2483" i="8"/>
  <c r="T2483" i="8"/>
  <c r="A2484" i="8"/>
  <c r="N2484" i="8" l="1"/>
  <c r="M2484" i="8"/>
  <c r="T2484" i="8"/>
  <c r="A2485" i="8"/>
  <c r="N2485" i="8" l="1"/>
  <c r="M2485" i="8"/>
  <c r="T2485" i="8"/>
  <c r="A2486" i="8"/>
  <c r="N2486" i="8" l="1"/>
  <c r="M2486" i="8"/>
  <c r="T2486" i="8"/>
  <c r="A2487" i="8"/>
  <c r="N2487" i="8" l="1"/>
  <c r="M2487" i="8"/>
  <c r="T2487" i="8"/>
  <c r="A2488" i="8"/>
  <c r="N2488" i="8" l="1"/>
  <c r="M2488" i="8"/>
  <c r="T2488" i="8"/>
  <c r="A2489" i="8"/>
  <c r="M2489" i="8" l="1"/>
  <c r="N2489" i="8"/>
  <c r="T2489" i="8"/>
  <c r="A2490" i="8"/>
  <c r="M2490" i="8" l="1"/>
  <c r="N2490" i="8"/>
  <c r="T2490" i="8"/>
  <c r="A2491" i="8"/>
  <c r="M2491" i="8" l="1"/>
  <c r="N2491" i="8"/>
  <c r="T2491" i="8"/>
  <c r="A2492" i="8"/>
  <c r="N2492" i="8" l="1"/>
  <c r="M2492" i="8"/>
  <c r="T2492" i="8"/>
  <c r="A2493" i="8"/>
  <c r="N2493" i="8" l="1"/>
  <c r="M2493" i="8"/>
  <c r="T2493" i="8"/>
  <c r="A2494" i="8"/>
  <c r="N2494" i="8" l="1"/>
  <c r="M2494" i="8"/>
  <c r="T2494" i="8"/>
  <c r="A2495" i="8"/>
  <c r="M2495" i="8" l="1"/>
  <c r="N2495" i="8"/>
  <c r="T2495" i="8"/>
  <c r="A2496" i="8"/>
  <c r="N2496" i="8" l="1"/>
  <c r="M2496" i="8"/>
  <c r="T2496" i="8"/>
  <c r="A2497" i="8"/>
  <c r="N2497" i="8" l="1"/>
  <c r="M2497" i="8"/>
  <c r="T2497" i="8"/>
  <c r="A2498" i="8"/>
  <c r="M2498" i="8" l="1"/>
  <c r="N2498" i="8"/>
  <c r="T2498" i="8"/>
  <c r="A2499" i="8"/>
  <c r="N2499" i="8" l="1"/>
  <c r="M2499" i="8"/>
  <c r="T2499" i="8"/>
  <c r="A2500" i="8"/>
  <c r="N2500" i="8" l="1"/>
  <c r="M2500" i="8"/>
  <c r="T2500" i="8"/>
  <c r="A2501" i="8"/>
  <c r="M2501" i="8" l="1"/>
  <c r="N2501" i="8"/>
  <c r="T2501" i="8"/>
  <c r="A2502" i="8"/>
  <c r="M2502" i="8" l="1"/>
  <c r="N2502" i="8"/>
  <c r="T2502" i="8"/>
  <c r="A2503" i="8"/>
  <c r="N2503" i="8" l="1"/>
  <c r="M2503" i="8"/>
  <c r="T2503" i="8"/>
  <c r="A2504" i="8"/>
  <c r="M2504" i="8" l="1"/>
  <c r="N2504" i="8"/>
  <c r="T2504" i="8"/>
  <c r="A2505" i="8"/>
  <c r="M2505" i="8" l="1"/>
  <c r="N2505" i="8"/>
  <c r="T2505" i="8"/>
  <c r="A2506" i="8"/>
  <c r="N2506" i="8" l="1"/>
  <c r="M2506" i="8"/>
  <c r="T2506" i="8"/>
  <c r="A2507" i="8"/>
  <c r="N2507" i="8" l="1"/>
  <c r="M2507" i="8"/>
  <c r="T2507" i="8"/>
  <c r="A2508" i="8"/>
  <c r="N2508" i="8" l="1"/>
  <c r="M2508" i="8"/>
  <c r="T2508" i="8"/>
  <c r="A2509" i="8"/>
  <c r="N2509" i="8" l="1"/>
  <c r="M2509" i="8"/>
  <c r="T2509" i="8"/>
  <c r="A2510" i="8"/>
  <c r="N2510" i="8" l="1"/>
  <c r="M2510" i="8"/>
  <c r="T2510" i="8"/>
  <c r="A2511" i="8"/>
  <c r="N2511" i="8" l="1"/>
  <c r="M2511" i="8"/>
  <c r="T2511" i="8"/>
  <c r="A2512" i="8"/>
  <c r="N2512" i="8" l="1"/>
  <c r="M2512" i="8"/>
  <c r="T2512" i="8"/>
  <c r="A2513" i="8"/>
  <c r="N2513" i="8" l="1"/>
  <c r="M2513" i="8"/>
  <c r="T2513" i="8"/>
  <c r="A2514" i="8"/>
  <c r="N2514" i="8" l="1"/>
  <c r="M2514" i="8"/>
  <c r="T2514" i="8"/>
  <c r="A2515" i="8"/>
  <c r="N2515" i="8" l="1"/>
  <c r="M2515" i="8"/>
  <c r="T2515" i="8"/>
  <c r="A2516" i="8"/>
  <c r="N2516" i="8" l="1"/>
  <c r="M2516" i="8"/>
  <c r="T2516" i="8"/>
  <c r="A2517" i="8"/>
  <c r="N2517" i="8" l="1"/>
  <c r="M2517" i="8"/>
  <c r="T2517" i="8"/>
  <c r="A2518" i="8"/>
  <c r="N2518" i="8" l="1"/>
  <c r="M2518" i="8"/>
  <c r="T2518" i="8"/>
  <c r="A2519" i="8"/>
  <c r="N2519" i="8" l="1"/>
  <c r="M2519" i="8"/>
  <c r="T2519" i="8"/>
  <c r="A2520" i="8"/>
  <c r="N2520" i="8" l="1"/>
  <c r="M2520" i="8"/>
  <c r="T2520" i="8"/>
  <c r="A2521" i="8"/>
  <c r="N2521" i="8" l="1"/>
  <c r="M2521" i="8"/>
  <c r="T2521" i="8"/>
  <c r="A2522" i="8"/>
  <c r="N2522" i="8" l="1"/>
  <c r="M2522" i="8"/>
  <c r="T2522" i="8"/>
  <c r="A2523" i="8"/>
  <c r="M2523" i="8" l="1"/>
  <c r="N2523" i="8"/>
  <c r="T2523" i="8"/>
  <c r="A2524" i="8"/>
  <c r="N2524" i="8" l="1"/>
  <c r="M2524" i="8"/>
  <c r="T2524" i="8"/>
  <c r="A2525" i="8"/>
  <c r="N2525" i="8" l="1"/>
  <c r="M2525" i="8"/>
  <c r="T2525" i="8"/>
  <c r="A2526" i="8"/>
  <c r="N2526" i="8" l="1"/>
  <c r="M2526" i="8"/>
  <c r="T2526" i="8"/>
  <c r="A2527" i="8"/>
  <c r="N2527" i="8" l="1"/>
  <c r="M2527" i="8"/>
  <c r="T2527" i="8"/>
  <c r="A2528" i="8"/>
  <c r="N2528" i="8" l="1"/>
  <c r="M2528" i="8"/>
  <c r="T2528" i="8"/>
  <c r="A2529" i="8"/>
  <c r="N2529" i="8" l="1"/>
  <c r="M2529" i="8"/>
  <c r="T2529" i="8"/>
  <c r="A2530" i="8"/>
  <c r="N2530" i="8" l="1"/>
  <c r="M2530" i="8"/>
  <c r="T2530" i="8"/>
  <c r="A2531" i="8"/>
  <c r="N2531" i="8" l="1"/>
  <c r="M2531" i="8"/>
  <c r="T2531" i="8"/>
  <c r="A2532" i="8"/>
  <c r="N2532" i="8" l="1"/>
  <c r="M2532" i="8"/>
  <c r="T2532" i="8"/>
  <c r="A2533" i="8"/>
  <c r="N2533" i="8" l="1"/>
  <c r="M2533" i="8"/>
  <c r="T2533" i="8"/>
  <c r="A2534" i="8"/>
  <c r="N2534" i="8" l="1"/>
  <c r="M2534" i="8"/>
  <c r="T2534" i="8"/>
  <c r="A2535" i="8"/>
  <c r="N2535" i="8" l="1"/>
  <c r="M2535" i="8"/>
  <c r="T2535" i="8"/>
  <c r="A2536" i="8"/>
  <c r="N2536" i="8" l="1"/>
  <c r="M2536" i="8"/>
  <c r="T2536" i="8"/>
  <c r="A2537" i="8"/>
  <c r="N2537" i="8" l="1"/>
  <c r="M2537" i="8"/>
  <c r="T2537" i="8"/>
  <c r="A2538" i="8"/>
  <c r="N2538" i="8" l="1"/>
  <c r="M2538" i="8"/>
  <c r="T2538" i="8"/>
  <c r="A2539" i="8"/>
  <c r="N2539" i="8" l="1"/>
  <c r="M2539" i="8"/>
  <c r="T2539" i="8"/>
  <c r="A2540" i="8"/>
  <c r="N2540" i="8" l="1"/>
  <c r="M2540" i="8"/>
  <c r="T2540" i="8"/>
  <c r="A2541" i="8"/>
  <c r="N2541" i="8" l="1"/>
  <c r="M2541" i="8"/>
  <c r="T2541" i="8"/>
  <c r="A2542" i="8"/>
  <c r="M2542" i="8" l="1"/>
  <c r="N2542" i="8"/>
  <c r="T2542" i="8"/>
  <c r="A2543" i="8"/>
  <c r="N2543" i="8" l="1"/>
  <c r="M2543" i="8"/>
  <c r="T2543" i="8"/>
  <c r="A2544" i="8"/>
  <c r="N2544" i="8" l="1"/>
  <c r="M2544" i="8"/>
  <c r="T2544" i="8"/>
  <c r="A2545" i="8"/>
  <c r="N2545" i="8" l="1"/>
  <c r="M2545" i="8"/>
  <c r="T2545" i="8"/>
  <c r="A2546" i="8"/>
  <c r="N2546" i="8" l="1"/>
  <c r="M2546" i="8"/>
  <c r="T2546" i="8"/>
  <c r="A2547" i="8"/>
  <c r="N2547" i="8" l="1"/>
  <c r="M2547" i="8"/>
  <c r="T2547" i="8"/>
  <c r="A2548" i="8"/>
  <c r="N2548" i="8" l="1"/>
  <c r="M2548" i="8"/>
  <c r="T2548" i="8"/>
  <c r="A2549" i="8"/>
  <c r="N2549" i="8" l="1"/>
  <c r="M2549" i="8"/>
  <c r="T2549" i="8"/>
  <c r="A2550" i="8"/>
  <c r="N2550" i="8" l="1"/>
  <c r="M2550" i="8"/>
  <c r="T2550" i="8"/>
  <c r="A2551" i="8"/>
  <c r="N2551" i="8" l="1"/>
  <c r="M2551" i="8"/>
  <c r="T2551" i="8"/>
  <c r="A2552" i="8"/>
  <c r="N2552" i="8" l="1"/>
  <c r="M2552" i="8"/>
  <c r="T2552" i="8"/>
  <c r="A2553" i="8"/>
  <c r="N2553" i="8" l="1"/>
  <c r="M2553" i="8"/>
  <c r="T2553" i="8"/>
  <c r="A2554" i="8"/>
  <c r="N2554" i="8" l="1"/>
  <c r="M2554" i="8"/>
  <c r="T2554" i="8"/>
  <c r="A2555" i="8"/>
  <c r="N2555" i="8" l="1"/>
  <c r="M2555" i="8"/>
  <c r="T2555" i="8"/>
  <c r="A2556" i="8"/>
  <c r="N2556" i="8" l="1"/>
  <c r="M2556" i="8"/>
  <c r="T2556" i="8"/>
  <c r="A2557" i="8"/>
  <c r="N2557" i="8" l="1"/>
  <c r="M2557" i="8"/>
  <c r="T2557" i="8"/>
  <c r="A2558" i="8"/>
  <c r="N2558" i="8" l="1"/>
  <c r="M2558" i="8"/>
  <c r="T2558" i="8"/>
  <c r="A2559" i="8"/>
  <c r="N2559" i="8" l="1"/>
  <c r="M2559" i="8"/>
  <c r="T2559" i="8"/>
  <c r="A2560" i="8"/>
  <c r="N2560" i="8" l="1"/>
  <c r="M2560" i="8"/>
  <c r="T2560" i="8"/>
  <c r="A2561" i="8"/>
  <c r="N2561" i="8" l="1"/>
  <c r="M2561" i="8"/>
  <c r="T2561" i="8"/>
  <c r="A2562" i="8"/>
  <c r="N2562" i="8" l="1"/>
  <c r="M2562" i="8"/>
  <c r="T2562" i="8"/>
  <c r="A2563" i="8"/>
  <c r="N2563" i="8" l="1"/>
  <c r="M2563" i="8"/>
  <c r="T2563" i="8"/>
  <c r="A2564" i="8"/>
  <c r="M2564" i="8" l="1"/>
  <c r="N2564" i="8"/>
  <c r="T2564" i="8"/>
  <c r="A2565" i="8"/>
  <c r="N2565" i="8" l="1"/>
  <c r="M2565" i="8"/>
  <c r="T2565" i="8"/>
  <c r="A2566" i="8"/>
  <c r="M2566" i="8" l="1"/>
  <c r="N2566" i="8"/>
  <c r="T2566" i="8"/>
  <c r="A2567" i="8"/>
  <c r="N2567" i="8" l="1"/>
  <c r="M2567" i="8"/>
  <c r="T2567" i="8"/>
  <c r="A2568" i="8"/>
  <c r="N2568" i="8" l="1"/>
  <c r="M2568" i="8"/>
  <c r="T2568" i="8"/>
  <c r="A2569" i="8"/>
  <c r="N2569" i="8" l="1"/>
  <c r="M2569" i="8"/>
  <c r="T2569" i="8"/>
  <c r="A2570" i="8"/>
  <c r="M2570" i="8" l="1"/>
  <c r="N2570" i="8"/>
  <c r="T2570" i="8"/>
  <c r="A2571" i="8"/>
  <c r="N2571" i="8" l="1"/>
  <c r="M2571" i="8"/>
  <c r="T2571" i="8"/>
  <c r="A2572" i="8"/>
  <c r="N2572" i="8" l="1"/>
  <c r="M2572" i="8"/>
  <c r="T2572" i="8"/>
  <c r="A2573" i="8"/>
  <c r="M2573" i="8" l="1"/>
  <c r="N2573" i="8"/>
  <c r="T2573" i="8"/>
  <c r="A2574" i="8"/>
  <c r="N2574" i="8" l="1"/>
  <c r="M2574" i="8"/>
  <c r="T2574" i="8"/>
  <c r="A2575" i="8"/>
  <c r="M2575" i="8" l="1"/>
  <c r="N2575" i="8"/>
  <c r="T2575" i="8"/>
  <c r="A2576" i="8"/>
  <c r="N2576" i="8" l="1"/>
  <c r="M2576" i="8"/>
  <c r="T2576" i="8"/>
  <c r="A2577" i="8"/>
  <c r="M2577" i="8" l="1"/>
  <c r="N2577" i="8"/>
  <c r="T2577" i="8"/>
  <c r="A2578" i="8"/>
  <c r="N2578" i="8" l="1"/>
  <c r="M2578" i="8"/>
  <c r="T2578" i="8"/>
  <c r="A2579" i="8"/>
  <c r="N2579" i="8" l="1"/>
  <c r="M2579" i="8"/>
  <c r="T2579" i="8"/>
  <c r="A2580" i="8"/>
  <c r="N2580" i="8" l="1"/>
  <c r="M2580" i="8"/>
  <c r="T2580" i="8"/>
  <c r="A2581" i="8"/>
  <c r="N2581" i="8" l="1"/>
  <c r="M2581" i="8"/>
  <c r="T2581" i="8"/>
  <c r="A2582" i="8"/>
  <c r="N2582" i="8" l="1"/>
  <c r="M2582" i="8"/>
  <c r="T2582" i="8"/>
  <c r="A2583" i="8"/>
  <c r="M2583" i="8" l="1"/>
  <c r="N2583" i="8"/>
  <c r="T2583" i="8"/>
  <c r="A2584" i="8"/>
  <c r="N2584" i="8" l="1"/>
  <c r="M2584" i="8"/>
  <c r="T2584" i="8"/>
  <c r="A2585" i="8"/>
  <c r="N2585" i="8" l="1"/>
  <c r="M2585" i="8"/>
  <c r="T2585" i="8"/>
  <c r="A2586" i="8"/>
  <c r="N2586" i="8" l="1"/>
  <c r="M2586" i="8"/>
  <c r="T2586" i="8"/>
  <c r="A2587" i="8"/>
  <c r="N2587" i="8" l="1"/>
  <c r="M2587" i="8"/>
  <c r="T2587" i="8"/>
  <c r="A2588" i="8"/>
  <c r="N2588" i="8" l="1"/>
  <c r="M2588" i="8"/>
  <c r="T2588" i="8"/>
  <c r="A2589" i="8"/>
  <c r="N2589" i="8" l="1"/>
  <c r="M2589" i="8"/>
  <c r="T2589" i="8"/>
  <c r="A2590" i="8"/>
  <c r="N2590" i="8" l="1"/>
  <c r="M2590" i="8"/>
  <c r="T2590" i="8"/>
  <c r="A2591" i="8"/>
  <c r="N2591" i="8" l="1"/>
  <c r="M2591" i="8"/>
  <c r="T2591" i="8"/>
  <c r="A2592" i="8"/>
  <c r="N2592" i="8" l="1"/>
  <c r="M2592" i="8"/>
  <c r="T2592" i="8"/>
  <c r="A2593" i="8"/>
  <c r="N2593" i="8" l="1"/>
  <c r="M2593" i="8"/>
  <c r="T2593" i="8"/>
  <c r="A2594" i="8"/>
  <c r="N2594" i="8" l="1"/>
  <c r="M2594" i="8"/>
  <c r="T2594" i="8"/>
  <c r="A2595" i="8"/>
  <c r="N2595" i="8" l="1"/>
  <c r="M2595" i="8"/>
  <c r="T2595" i="8"/>
  <c r="A2596" i="8"/>
  <c r="N2596" i="8" l="1"/>
  <c r="M2596" i="8"/>
  <c r="T2596" i="8"/>
  <c r="A2597" i="8"/>
  <c r="N2597" i="8" l="1"/>
  <c r="M2597" i="8"/>
  <c r="T2597" i="8"/>
  <c r="A2598" i="8"/>
  <c r="N2598" i="8" l="1"/>
  <c r="M2598" i="8"/>
  <c r="T2598" i="8"/>
  <c r="A2599" i="8"/>
  <c r="N2599" i="8" l="1"/>
  <c r="M2599" i="8"/>
  <c r="T2599" i="8"/>
  <c r="A2600" i="8"/>
  <c r="N2600" i="8" l="1"/>
  <c r="M2600" i="8"/>
  <c r="T2600" i="8"/>
  <c r="A2601" i="8"/>
  <c r="N2601" i="8" l="1"/>
  <c r="M2601" i="8"/>
  <c r="T2601" i="8"/>
  <c r="A2602" i="8"/>
  <c r="N2602" i="8" l="1"/>
  <c r="M2602" i="8"/>
  <c r="T2602" i="8"/>
  <c r="A2603" i="8"/>
  <c r="M2603" i="8" l="1"/>
  <c r="N2603" i="8"/>
  <c r="T2603" i="8"/>
  <c r="A2604" i="8"/>
  <c r="N2604" i="8" l="1"/>
  <c r="M2604" i="8"/>
  <c r="T2604" i="8"/>
  <c r="A2605" i="8"/>
  <c r="N2605" i="8" l="1"/>
  <c r="M2605" i="8"/>
  <c r="T2605" i="8"/>
  <c r="A2606" i="8"/>
  <c r="N2606" i="8" l="1"/>
  <c r="M2606" i="8"/>
  <c r="T2606" i="8"/>
  <c r="A2607" i="8"/>
  <c r="N2607" i="8" l="1"/>
  <c r="M2607" i="8"/>
  <c r="T2607" i="8"/>
  <c r="A2608" i="8"/>
  <c r="N2608" i="8" l="1"/>
  <c r="M2608" i="8"/>
  <c r="T2608" i="8"/>
  <c r="A2609" i="8"/>
  <c r="M2609" i="8" l="1"/>
  <c r="N2609" i="8"/>
  <c r="T2609" i="8"/>
  <c r="A2610" i="8"/>
  <c r="N2610" i="8" l="1"/>
  <c r="M2610" i="8"/>
  <c r="T2610" i="8"/>
  <c r="A2611" i="8"/>
  <c r="N2611" i="8" l="1"/>
  <c r="M2611" i="8"/>
  <c r="T2611" i="8"/>
  <c r="A2612" i="8"/>
  <c r="N2612" i="8" l="1"/>
  <c r="M2612" i="8"/>
  <c r="T2612" i="8"/>
  <c r="A2613" i="8"/>
  <c r="N2613" i="8" l="1"/>
  <c r="M2613" i="8"/>
  <c r="T2613" i="8"/>
  <c r="A2614" i="8"/>
  <c r="M2614" i="8" l="1"/>
  <c r="N2614" i="8"/>
  <c r="T2614" i="8"/>
  <c r="A2615" i="8"/>
  <c r="M2615" i="8" l="1"/>
  <c r="N2615" i="8"/>
  <c r="T2615" i="8"/>
  <c r="A2616" i="8"/>
  <c r="N2616" i="8" l="1"/>
  <c r="M2616" i="8"/>
  <c r="T2616" i="8"/>
  <c r="A2617" i="8"/>
  <c r="N2617" i="8" l="1"/>
  <c r="M2617" i="8"/>
  <c r="T2617" i="8"/>
  <c r="A2618" i="8"/>
  <c r="N2618" i="8" l="1"/>
  <c r="M2618" i="8"/>
  <c r="T2618" i="8"/>
  <c r="A2619" i="8"/>
  <c r="M2619" i="8" l="1"/>
  <c r="N2619" i="8"/>
  <c r="T2619" i="8"/>
  <c r="A2620" i="8"/>
  <c r="M2620" i="8" l="1"/>
  <c r="N2620" i="8"/>
  <c r="T2620" i="8"/>
  <c r="A2621" i="8"/>
  <c r="N2621" i="8" l="1"/>
  <c r="M2621" i="8"/>
  <c r="T2621" i="8"/>
  <c r="A2622" i="8"/>
  <c r="N2622" i="8" l="1"/>
  <c r="M2622" i="8"/>
  <c r="T2622" i="8"/>
  <c r="A2623" i="8"/>
  <c r="N2623" i="8" l="1"/>
  <c r="M2623" i="8"/>
  <c r="T2623" i="8"/>
  <c r="A2624" i="8"/>
  <c r="N2624" i="8" l="1"/>
  <c r="M2624" i="8"/>
  <c r="T2624" i="8"/>
  <c r="A2625" i="8"/>
  <c r="M2625" i="8" l="1"/>
  <c r="N2625" i="8"/>
  <c r="T2625" i="8"/>
  <c r="A2626" i="8"/>
  <c r="N2626" i="8" l="1"/>
  <c r="M2626" i="8"/>
  <c r="T2626" i="8"/>
  <c r="A2627" i="8"/>
  <c r="N2627" i="8" l="1"/>
  <c r="M2627" i="8"/>
  <c r="T2627" i="8"/>
  <c r="A2628" i="8"/>
  <c r="N2628" i="8" l="1"/>
  <c r="M2628" i="8"/>
  <c r="T2628" i="8"/>
  <c r="A2629" i="8"/>
  <c r="M2629" i="8" l="1"/>
  <c r="N2629" i="8"/>
  <c r="T2629" i="8"/>
  <c r="A2630" i="8"/>
  <c r="N2630" i="8" l="1"/>
  <c r="M2630" i="8"/>
  <c r="T2630" i="8"/>
  <c r="A2631" i="8"/>
  <c r="N2631" i="8" l="1"/>
  <c r="M2631" i="8"/>
  <c r="T2631" i="8"/>
  <c r="A2632" i="8"/>
  <c r="N2632" i="8" l="1"/>
  <c r="M2632" i="8"/>
  <c r="T2632" i="8"/>
  <c r="A2633" i="8"/>
  <c r="N2633" i="8" l="1"/>
  <c r="M2633" i="8"/>
  <c r="T2633" i="8"/>
  <c r="A2634" i="8"/>
  <c r="N2634" i="8" l="1"/>
  <c r="M2634" i="8"/>
  <c r="T2634" i="8"/>
  <c r="A2635" i="8"/>
  <c r="N2635" i="8" l="1"/>
  <c r="M2635" i="8"/>
  <c r="T2635" i="8"/>
  <c r="A2636" i="8"/>
  <c r="N2636" i="8" l="1"/>
  <c r="M2636" i="8"/>
  <c r="T2636" i="8"/>
  <c r="A2637" i="8"/>
  <c r="N2637" i="8" l="1"/>
  <c r="M2637" i="8"/>
  <c r="T2637" i="8"/>
  <c r="A2638" i="8"/>
  <c r="N2638" i="8" l="1"/>
  <c r="M2638" i="8"/>
  <c r="T2638" i="8"/>
  <c r="A2639" i="8"/>
  <c r="N2639" i="8" l="1"/>
  <c r="M2639" i="8"/>
  <c r="T2639" i="8"/>
  <c r="A2640" i="8"/>
  <c r="M2640" i="8" l="1"/>
  <c r="N2640" i="8"/>
  <c r="T2640" i="8"/>
  <c r="A2641" i="8"/>
  <c r="N2641" i="8" l="1"/>
  <c r="M2641" i="8"/>
  <c r="T2641" i="8"/>
  <c r="A2642" i="8"/>
  <c r="N2642" i="8" l="1"/>
  <c r="M2642" i="8"/>
  <c r="T2642" i="8"/>
  <c r="A2643" i="8"/>
  <c r="N2643" i="8" l="1"/>
  <c r="M2643" i="8"/>
  <c r="T2643" i="8"/>
  <c r="A2644" i="8"/>
  <c r="N2644" i="8" l="1"/>
  <c r="M2644" i="8"/>
  <c r="T2644" i="8"/>
  <c r="A2645" i="8"/>
  <c r="N2645" i="8" l="1"/>
  <c r="M2645" i="8"/>
  <c r="T2645" i="8"/>
  <c r="A2646" i="8"/>
  <c r="N2646" i="8" l="1"/>
  <c r="M2646" i="8"/>
  <c r="T2646" i="8"/>
  <c r="A2647" i="8"/>
  <c r="N2647" i="8" l="1"/>
  <c r="M2647" i="8"/>
  <c r="T2647" i="8"/>
  <c r="A2648" i="8"/>
  <c r="M2648" i="8" l="1"/>
  <c r="N2648" i="8"/>
  <c r="T2648" i="8"/>
  <c r="A2649" i="8"/>
  <c r="N2649" i="8" l="1"/>
  <c r="M2649" i="8"/>
  <c r="T2649" i="8"/>
  <c r="A2650" i="8"/>
  <c r="N2650" i="8" l="1"/>
  <c r="M2650" i="8"/>
  <c r="T2650" i="8"/>
  <c r="A2651" i="8"/>
  <c r="N2651" i="8" l="1"/>
  <c r="M2651" i="8"/>
  <c r="T2651" i="8"/>
  <c r="A2652" i="8"/>
  <c r="N2652" i="8" l="1"/>
  <c r="M2652" i="8"/>
  <c r="T2652" i="8"/>
  <c r="A2653" i="8"/>
  <c r="N2653" i="8" l="1"/>
  <c r="M2653" i="8"/>
  <c r="T2653" i="8"/>
  <c r="A2654" i="8"/>
  <c r="M2654" i="8" l="1"/>
  <c r="N2654" i="8"/>
  <c r="T2654" i="8"/>
  <c r="A2655" i="8"/>
  <c r="N2655" i="8" l="1"/>
  <c r="M2655" i="8"/>
  <c r="T2655" i="8"/>
  <c r="A2656" i="8"/>
  <c r="N2656" i="8" l="1"/>
  <c r="M2656" i="8"/>
  <c r="T2656" i="8"/>
  <c r="A2657" i="8"/>
  <c r="N2657" i="8" l="1"/>
  <c r="M2657" i="8"/>
  <c r="T2657" i="8"/>
  <c r="A2658" i="8"/>
  <c r="N2658" i="8" l="1"/>
  <c r="M2658" i="8"/>
  <c r="T2658" i="8"/>
  <c r="A2659" i="8"/>
  <c r="N2659" i="8" l="1"/>
  <c r="M2659" i="8"/>
  <c r="T2659" i="8"/>
  <c r="A2660" i="8"/>
  <c r="N2660" i="8" l="1"/>
  <c r="M2660" i="8"/>
  <c r="T2660" i="8"/>
  <c r="A2661" i="8"/>
  <c r="N2661" i="8" l="1"/>
  <c r="M2661" i="8"/>
  <c r="T2661" i="8"/>
  <c r="A2662" i="8"/>
  <c r="N2662" i="8" l="1"/>
  <c r="M2662" i="8"/>
  <c r="T2662" i="8"/>
  <c r="A2663" i="8"/>
  <c r="N2663" i="8" l="1"/>
  <c r="M2663" i="8"/>
  <c r="T2663" i="8"/>
  <c r="A2664" i="8"/>
  <c r="N2664" i="8" l="1"/>
  <c r="M2664" i="8"/>
  <c r="T2664" i="8"/>
  <c r="A2665" i="8"/>
  <c r="N2665" i="8" l="1"/>
  <c r="M2665" i="8"/>
  <c r="T2665" i="8"/>
  <c r="A2666" i="8"/>
  <c r="N2666" i="8" l="1"/>
  <c r="M2666" i="8"/>
  <c r="T2666" i="8"/>
  <c r="A2667" i="8"/>
  <c r="M2667" i="8" l="1"/>
  <c r="N2667" i="8"/>
  <c r="T2667" i="8"/>
  <c r="A2668" i="8"/>
  <c r="N2668" i="8" l="1"/>
  <c r="M2668" i="8"/>
  <c r="T2668" i="8"/>
  <c r="A2669" i="8"/>
  <c r="N2669" i="8" l="1"/>
  <c r="M2669" i="8"/>
  <c r="T2669" i="8"/>
  <c r="A2670" i="8"/>
  <c r="N2670" i="8" l="1"/>
  <c r="M2670" i="8"/>
  <c r="T2670" i="8"/>
  <c r="A2671" i="8"/>
  <c r="N2671" i="8" l="1"/>
  <c r="M2671" i="8"/>
  <c r="T2671" i="8"/>
  <c r="A2672" i="8"/>
  <c r="M2672" i="8" l="1"/>
  <c r="N2672" i="8"/>
  <c r="T2672" i="8"/>
  <c r="A2673" i="8"/>
  <c r="M2673" i="8" l="1"/>
  <c r="N2673" i="8"/>
  <c r="T2673" i="8"/>
  <c r="A2674" i="8"/>
  <c r="N2674" i="8" l="1"/>
  <c r="M2674" i="8"/>
  <c r="T2674" i="8"/>
  <c r="A2675" i="8"/>
  <c r="N2675" i="8" l="1"/>
  <c r="M2675" i="8"/>
  <c r="T2675" i="8"/>
  <c r="A2676" i="8"/>
  <c r="N2676" i="8" l="1"/>
  <c r="M2676" i="8"/>
  <c r="T2676" i="8"/>
  <c r="A2677" i="8"/>
  <c r="N2677" i="8" l="1"/>
  <c r="M2677" i="8"/>
  <c r="T2677" i="8"/>
  <c r="A2678" i="8"/>
  <c r="N2678" i="8" l="1"/>
  <c r="M2678" i="8"/>
  <c r="T2678" i="8"/>
  <c r="A2679" i="8"/>
  <c r="N2679" i="8" l="1"/>
  <c r="M2679" i="8"/>
  <c r="T2679" i="8"/>
  <c r="A2680" i="8"/>
  <c r="N2680" i="8" l="1"/>
  <c r="M2680" i="8"/>
  <c r="T2680" i="8"/>
  <c r="A2681" i="8"/>
  <c r="M2681" i="8" l="1"/>
  <c r="N2681" i="8"/>
  <c r="T2681" i="8"/>
  <c r="A2682" i="8"/>
  <c r="M2682" i="8" l="1"/>
  <c r="N2682" i="8"/>
  <c r="T2682" i="8"/>
  <c r="A2683" i="8"/>
  <c r="N2683" i="8" l="1"/>
  <c r="M2683" i="8"/>
  <c r="T2683" i="8"/>
  <c r="A2684" i="8"/>
  <c r="N2684" i="8" l="1"/>
  <c r="M2684" i="8"/>
  <c r="T2684" i="8"/>
  <c r="A2685" i="8"/>
  <c r="N2685" i="8" l="1"/>
  <c r="M2685" i="8"/>
  <c r="T2685" i="8"/>
  <c r="A2686" i="8"/>
  <c r="N2686" i="8" l="1"/>
  <c r="M2686" i="8"/>
  <c r="T2686" i="8"/>
  <c r="A2687" i="8"/>
  <c r="N2687" i="8" l="1"/>
  <c r="M2687" i="8"/>
  <c r="T2687" i="8"/>
  <c r="A2688" i="8"/>
  <c r="M2688" i="8" l="1"/>
  <c r="N2688" i="8"/>
  <c r="T2688" i="8"/>
  <c r="A2689" i="8"/>
  <c r="M2689" i="8" l="1"/>
  <c r="N2689" i="8"/>
  <c r="T2689" i="8"/>
  <c r="A2690" i="8"/>
  <c r="N2690" i="8" l="1"/>
  <c r="M2690" i="8"/>
  <c r="T2690" i="8"/>
  <c r="A2691" i="8"/>
  <c r="N2691" i="8" l="1"/>
  <c r="M2691" i="8"/>
  <c r="T2691" i="8"/>
  <c r="A2692" i="8"/>
  <c r="N2692" i="8" l="1"/>
  <c r="M2692" i="8"/>
  <c r="T2692" i="8"/>
  <c r="A2693" i="8"/>
  <c r="N2693" i="8" l="1"/>
  <c r="M2693" i="8"/>
  <c r="T2693" i="8"/>
  <c r="A2694" i="8"/>
  <c r="N2694" i="8" l="1"/>
  <c r="M2694" i="8"/>
  <c r="T2694" i="8"/>
  <c r="A2695" i="8"/>
  <c r="M2695" i="8" l="1"/>
  <c r="N2695" i="8"/>
  <c r="T2695" i="8"/>
  <c r="A2696" i="8"/>
  <c r="N2696" i="8" l="1"/>
  <c r="M2696" i="8"/>
  <c r="T2696" i="8"/>
  <c r="A2697" i="8"/>
  <c r="N2697" i="8" l="1"/>
  <c r="M2697" i="8"/>
  <c r="T2697" i="8"/>
  <c r="A2698" i="8"/>
  <c r="N2698" i="8" l="1"/>
  <c r="M2698" i="8"/>
  <c r="T2698" i="8"/>
  <c r="A2699" i="8"/>
  <c r="N2699" i="8" l="1"/>
  <c r="M2699" i="8"/>
  <c r="T2699" i="8"/>
  <c r="A2700" i="8"/>
  <c r="N2700" i="8" l="1"/>
  <c r="M2700" i="8"/>
  <c r="T2700" i="8"/>
  <c r="A2701" i="8"/>
  <c r="N2701" i="8" l="1"/>
  <c r="M2701" i="8"/>
  <c r="T2701" i="8"/>
  <c r="A2702" i="8"/>
  <c r="N2702" i="8" l="1"/>
  <c r="M2702" i="8"/>
  <c r="T2702" i="8"/>
  <c r="A2703" i="8"/>
  <c r="N2703" i="8" l="1"/>
  <c r="M2703" i="8"/>
  <c r="T2703" i="8"/>
  <c r="A2704" i="8"/>
  <c r="N2704" i="8" l="1"/>
  <c r="M2704" i="8"/>
  <c r="T2704" i="8"/>
  <c r="A2705" i="8"/>
  <c r="N2705" i="8" l="1"/>
  <c r="M2705" i="8"/>
  <c r="T2705" i="8"/>
  <c r="A2706" i="8"/>
  <c r="N2706" i="8" l="1"/>
  <c r="M2706" i="8"/>
  <c r="T2706" i="8"/>
  <c r="A2707" i="8"/>
  <c r="N2707" i="8" l="1"/>
  <c r="M2707" i="8"/>
  <c r="T2707" i="8"/>
  <c r="A2708" i="8"/>
  <c r="N2708" i="8" l="1"/>
  <c r="M2708" i="8"/>
  <c r="T2708" i="8"/>
  <c r="A2709" i="8"/>
  <c r="N2709" i="8" l="1"/>
  <c r="M2709" i="8"/>
  <c r="T2709" i="8"/>
  <c r="A2710" i="8"/>
  <c r="M2710" i="8" l="1"/>
  <c r="N2710" i="8"/>
  <c r="T2710" i="8"/>
  <c r="A2711" i="8"/>
  <c r="N2711" i="8" l="1"/>
  <c r="M2711" i="8"/>
  <c r="T2711" i="8"/>
  <c r="A2712" i="8"/>
  <c r="M2712" i="8" l="1"/>
  <c r="N2712" i="8"/>
  <c r="T2712" i="8"/>
  <c r="A2713" i="8"/>
  <c r="N2713" i="8" l="1"/>
  <c r="M2713" i="8"/>
  <c r="T2713" i="8"/>
  <c r="A2714" i="8"/>
  <c r="N2714" i="8" l="1"/>
  <c r="M2714" i="8"/>
  <c r="T2714" i="8"/>
  <c r="A2715" i="8"/>
  <c r="N2715" i="8" l="1"/>
  <c r="M2715" i="8"/>
  <c r="T2715" i="8"/>
  <c r="A2716" i="8"/>
  <c r="N2716" i="8" l="1"/>
  <c r="M2716" i="8"/>
  <c r="T2716" i="8"/>
  <c r="A2717" i="8"/>
  <c r="N2717" i="8" l="1"/>
  <c r="M2717" i="8"/>
  <c r="T2717" i="8"/>
  <c r="A2718" i="8"/>
  <c r="N2718" i="8" l="1"/>
  <c r="M2718" i="8"/>
  <c r="T2718" i="8"/>
  <c r="A2719" i="8"/>
  <c r="N2719" i="8" l="1"/>
  <c r="M2719" i="8"/>
  <c r="T2719" i="8"/>
  <c r="A2720" i="8"/>
  <c r="N2720" i="8" l="1"/>
  <c r="M2720" i="8"/>
  <c r="T2720" i="8"/>
  <c r="A2721" i="8"/>
  <c r="N2721" i="8" l="1"/>
  <c r="M2721" i="8"/>
  <c r="T2721" i="8"/>
  <c r="A2722" i="8"/>
  <c r="N2722" i="8" l="1"/>
  <c r="M2722" i="8"/>
  <c r="T2722" i="8"/>
  <c r="A2723" i="8"/>
  <c r="N2723" i="8" l="1"/>
  <c r="M2723" i="8"/>
  <c r="T2723" i="8"/>
  <c r="A2724" i="8"/>
  <c r="N2724" i="8" l="1"/>
  <c r="M2724" i="8"/>
  <c r="T2724" i="8"/>
  <c r="A2725" i="8"/>
  <c r="N2725" i="8" l="1"/>
  <c r="M2725" i="8"/>
  <c r="T2725" i="8"/>
  <c r="A2726" i="8"/>
  <c r="N2726" i="8" l="1"/>
  <c r="M2726" i="8"/>
  <c r="T2726" i="8"/>
  <c r="A2727" i="8"/>
  <c r="N2727" i="8" l="1"/>
  <c r="M2727" i="8"/>
  <c r="T2727" i="8"/>
  <c r="A2728" i="8"/>
  <c r="N2728" i="8" l="1"/>
  <c r="M2728" i="8"/>
  <c r="T2728" i="8"/>
  <c r="A2729" i="8"/>
  <c r="N2729" i="8" l="1"/>
  <c r="M2729" i="8"/>
  <c r="T2729" i="8"/>
  <c r="A2730" i="8"/>
  <c r="N2730" i="8" l="1"/>
  <c r="M2730" i="8"/>
  <c r="T2730" i="8"/>
  <c r="A2731" i="8"/>
  <c r="N2731" i="8" l="1"/>
  <c r="M2731" i="8"/>
  <c r="T2731" i="8"/>
  <c r="A2732" i="8"/>
  <c r="N2732" i="8" l="1"/>
  <c r="M2732" i="8"/>
  <c r="T2732" i="8"/>
  <c r="A2733" i="8"/>
  <c r="N2733" i="8" l="1"/>
  <c r="M2733" i="8"/>
  <c r="T2733" i="8"/>
  <c r="A2734" i="8"/>
  <c r="N2734" i="8" l="1"/>
  <c r="M2734" i="8"/>
  <c r="T2734" i="8"/>
  <c r="A2735" i="8"/>
  <c r="N2735" i="8" l="1"/>
  <c r="M2735" i="8"/>
  <c r="T2735" i="8"/>
  <c r="A2736" i="8"/>
  <c r="N2736" i="8" l="1"/>
  <c r="M2736" i="8"/>
  <c r="T2736" i="8"/>
  <c r="A2737" i="8"/>
  <c r="N2737" i="8" l="1"/>
  <c r="M2737" i="8"/>
  <c r="T2737" i="8"/>
  <c r="A2738" i="8"/>
  <c r="M2738" i="8" l="1"/>
  <c r="N2738" i="8"/>
  <c r="T2738" i="8"/>
  <c r="A2739" i="8"/>
  <c r="M2739" i="8" l="1"/>
  <c r="N2739" i="8"/>
  <c r="T2739" i="8"/>
  <c r="A2740" i="8"/>
  <c r="M2740" i="8" l="1"/>
  <c r="N2740" i="8"/>
  <c r="T2740" i="8"/>
  <c r="A2741" i="8"/>
  <c r="M2741" i="8" l="1"/>
  <c r="N2741" i="8"/>
  <c r="T2741" i="8"/>
  <c r="A2742" i="8"/>
  <c r="M2742" i="8" l="1"/>
  <c r="N2742" i="8"/>
  <c r="T2742" i="8"/>
  <c r="A2743" i="8"/>
  <c r="N2743" i="8" l="1"/>
  <c r="M2743" i="8"/>
  <c r="T2743" i="8"/>
  <c r="A2744" i="8"/>
  <c r="N2744" i="8" l="1"/>
  <c r="M2744" i="8"/>
  <c r="T2744" i="8"/>
  <c r="A2745" i="8"/>
  <c r="M2745" i="8" l="1"/>
  <c r="N2745" i="8"/>
  <c r="T2745" i="8"/>
  <c r="A2746" i="8"/>
  <c r="N2746" i="8" l="1"/>
  <c r="M2746" i="8"/>
  <c r="T2746" i="8"/>
  <c r="A2747" i="8"/>
  <c r="N2747" i="8" l="1"/>
  <c r="M2747" i="8"/>
  <c r="T2747" i="8"/>
  <c r="A2748" i="8"/>
  <c r="N2748" i="8" l="1"/>
  <c r="M2748" i="8"/>
  <c r="T2748" i="8"/>
  <c r="A2749" i="8"/>
  <c r="M2749" i="8" l="1"/>
  <c r="N2749" i="8"/>
  <c r="T2749" i="8"/>
  <c r="A2750" i="8"/>
  <c r="N2750" i="8" l="1"/>
  <c r="M2750" i="8"/>
  <c r="T2750" i="8"/>
  <c r="A2751" i="8"/>
  <c r="N2751" i="8" l="1"/>
  <c r="M2751" i="8"/>
  <c r="T2751" i="8"/>
  <c r="A2752" i="8"/>
  <c r="N2752" i="8" l="1"/>
  <c r="M2752" i="8"/>
  <c r="T2752" i="8"/>
  <c r="A2753" i="8"/>
  <c r="N2753" i="8" l="1"/>
  <c r="M2753" i="8"/>
  <c r="T2753" i="8"/>
  <c r="A2754" i="8"/>
  <c r="N2754" i="8" l="1"/>
  <c r="M2754" i="8"/>
  <c r="T2754" i="8"/>
  <c r="A2755" i="8"/>
  <c r="N2755" i="8" l="1"/>
  <c r="M2755" i="8"/>
  <c r="T2755" i="8"/>
  <c r="A2756" i="8"/>
  <c r="N2756" i="8" l="1"/>
  <c r="M2756" i="8"/>
  <c r="T2756" i="8"/>
  <c r="A2757" i="8"/>
  <c r="N2757" i="8" l="1"/>
  <c r="M2757" i="8"/>
  <c r="T2757" i="8"/>
  <c r="A2758" i="8"/>
  <c r="N2758" i="8" l="1"/>
  <c r="M2758" i="8"/>
  <c r="T2758" i="8"/>
  <c r="A2759" i="8"/>
  <c r="N2759" i="8" l="1"/>
  <c r="M2759" i="8"/>
  <c r="T2759" i="8"/>
  <c r="A2760" i="8"/>
  <c r="N2760" i="8" l="1"/>
  <c r="M2760" i="8"/>
  <c r="T2760" i="8"/>
  <c r="A2761" i="8"/>
  <c r="N2761" i="8" l="1"/>
  <c r="M2761" i="8"/>
  <c r="T2761" i="8"/>
  <c r="A2762" i="8"/>
  <c r="N2762" i="8" l="1"/>
  <c r="M2762" i="8"/>
  <c r="T2762" i="8"/>
  <c r="A2763" i="8"/>
  <c r="N2763" i="8" l="1"/>
  <c r="M2763" i="8"/>
  <c r="T2763" i="8"/>
  <c r="A2764" i="8"/>
  <c r="N2764" i="8" l="1"/>
  <c r="M2764" i="8"/>
  <c r="T2764" i="8"/>
  <c r="A2765" i="8"/>
  <c r="N2765" i="8" l="1"/>
  <c r="M2765" i="8"/>
  <c r="T2765" i="8"/>
  <c r="A2766" i="8"/>
  <c r="N2766" i="8" l="1"/>
  <c r="M2766" i="8"/>
  <c r="T2766" i="8"/>
  <c r="A2767" i="8"/>
  <c r="N2767" i="8" l="1"/>
  <c r="M2767" i="8"/>
  <c r="T2767" i="8"/>
  <c r="A2768" i="8"/>
  <c r="N2768" i="8" l="1"/>
  <c r="M2768" i="8"/>
  <c r="T2768" i="8"/>
  <c r="A2769" i="8"/>
  <c r="N2769" i="8" l="1"/>
  <c r="M2769" i="8"/>
  <c r="T2769" i="8"/>
  <c r="A2770" i="8"/>
  <c r="N2770" i="8" l="1"/>
  <c r="M2770" i="8"/>
  <c r="T2770" i="8"/>
  <c r="A2771" i="8"/>
  <c r="N2771" i="8" l="1"/>
  <c r="M2771" i="8"/>
  <c r="T2771" i="8"/>
  <c r="A2772" i="8"/>
  <c r="N2772" i="8" l="1"/>
  <c r="M2772" i="8"/>
  <c r="T2772" i="8"/>
  <c r="A2773" i="8"/>
  <c r="N2773" i="8" l="1"/>
  <c r="M2773" i="8"/>
  <c r="T2773" i="8"/>
  <c r="A2774" i="8"/>
  <c r="N2774" i="8" l="1"/>
  <c r="M2774" i="8"/>
  <c r="T2774" i="8"/>
  <c r="A2775" i="8"/>
  <c r="N2775" i="8" l="1"/>
  <c r="M2775" i="8"/>
  <c r="T2775" i="8"/>
  <c r="A2776" i="8"/>
  <c r="N2776" i="8" l="1"/>
  <c r="M2776" i="8"/>
  <c r="T2776" i="8"/>
  <c r="A2777" i="8"/>
  <c r="M2777" i="8" l="1"/>
  <c r="N2777" i="8"/>
  <c r="T2777" i="8"/>
  <c r="A2778" i="8"/>
  <c r="N2778" i="8" l="1"/>
  <c r="M2778" i="8"/>
  <c r="T2778" i="8"/>
  <c r="A2779" i="8"/>
  <c r="M2779" i="8" l="1"/>
  <c r="N2779" i="8"/>
  <c r="T2779" i="8"/>
  <c r="A2780" i="8"/>
  <c r="N2780" i="8" l="1"/>
  <c r="M2780" i="8"/>
  <c r="T2780" i="8"/>
  <c r="A2781" i="8"/>
  <c r="N2781" i="8" l="1"/>
  <c r="M2781" i="8"/>
  <c r="T2781" i="8"/>
  <c r="A2782" i="8"/>
  <c r="N2782" i="8" l="1"/>
  <c r="M2782" i="8"/>
  <c r="T2782" i="8"/>
  <c r="A2783" i="8"/>
  <c r="N2783" i="8" l="1"/>
  <c r="M2783" i="8"/>
  <c r="T2783" i="8"/>
  <c r="A2784" i="8"/>
  <c r="N2784" i="8" l="1"/>
  <c r="M2784" i="8"/>
  <c r="T2784" i="8"/>
  <c r="A2785" i="8"/>
  <c r="N2785" i="8" l="1"/>
  <c r="M2785" i="8"/>
  <c r="T2785" i="8"/>
  <c r="A2786" i="8"/>
  <c r="N2786" i="8" l="1"/>
  <c r="M2786" i="8"/>
  <c r="T2786" i="8"/>
  <c r="A2787" i="8"/>
  <c r="N2787" i="8" l="1"/>
  <c r="M2787" i="8"/>
  <c r="T2787" i="8"/>
  <c r="A2788" i="8"/>
  <c r="M2788" i="8" l="1"/>
  <c r="N2788" i="8"/>
  <c r="T2788" i="8"/>
  <c r="A2789" i="8"/>
  <c r="N2789" i="8" l="1"/>
  <c r="M2789" i="8"/>
  <c r="T2789" i="8"/>
  <c r="A2790" i="8"/>
  <c r="N2790" i="8" l="1"/>
  <c r="M2790" i="8"/>
  <c r="T2790" i="8"/>
  <c r="A2791" i="8"/>
  <c r="N2791" i="8" l="1"/>
  <c r="M2791" i="8"/>
  <c r="T2791" i="8"/>
  <c r="A2792" i="8"/>
  <c r="N2792" i="8" l="1"/>
  <c r="M2792" i="8"/>
  <c r="T2792" i="8"/>
  <c r="A2793" i="8"/>
  <c r="N2793" i="8" l="1"/>
  <c r="M2793" i="8"/>
  <c r="T2793" i="8"/>
  <c r="A2794" i="8"/>
  <c r="N2794" i="8" l="1"/>
  <c r="M2794" i="8"/>
  <c r="T2794" i="8"/>
  <c r="A2795" i="8"/>
  <c r="N2795" i="8" l="1"/>
  <c r="M2795" i="8"/>
  <c r="T2795" i="8"/>
  <c r="A2796" i="8"/>
  <c r="N2796" i="8" l="1"/>
  <c r="M2796" i="8"/>
  <c r="T2796" i="8"/>
  <c r="A2797" i="8"/>
  <c r="N2797" i="8" l="1"/>
  <c r="M2797" i="8"/>
  <c r="T2797" i="8"/>
  <c r="A2798" i="8"/>
  <c r="N2798" i="8" l="1"/>
  <c r="M2798" i="8"/>
  <c r="T2798" i="8"/>
  <c r="A2799" i="8"/>
  <c r="N2799" i="8" l="1"/>
  <c r="M2799" i="8"/>
  <c r="T2799" i="8"/>
  <c r="A2800" i="8"/>
  <c r="N2800" i="8" l="1"/>
  <c r="M2800" i="8"/>
  <c r="T2800" i="8"/>
  <c r="A2801" i="8"/>
  <c r="N2801" i="8" l="1"/>
  <c r="M2801" i="8"/>
  <c r="T2801" i="8"/>
  <c r="A2802" i="8"/>
  <c r="M2802" i="8" l="1"/>
  <c r="N2802" i="8"/>
  <c r="T2802" i="8"/>
  <c r="A2803" i="8"/>
  <c r="N2803" i="8" l="1"/>
  <c r="M2803" i="8"/>
  <c r="T2803" i="8"/>
  <c r="A2804" i="8"/>
  <c r="N2804" i="8" l="1"/>
  <c r="M2804" i="8"/>
  <c r="T2804" i="8"/>
  <c r="A2805" i="8"/>
  <c r="M2805" i="8" l="1"/>
  <c r="N2805" i="8"/>
  <c r="T2805" i="8"/>
  <c r="A2806" i="8"/>
  <c r="N2806" i="8" l="1"/>
  <c r="M2806" i="8"/>
  <c r="T2806" i="8"/>
  <c r="A2807" i="8"/>
  <c r="M2807" i="8" l="1"/>
  <c r="N2807" i="8"/>
  <c r="T2807" i="8"/>
  <c r="A2808" i="8"/>
  <c r="N2808" i="8" l="1"/>
  <c r="M2808" i="8"/>
  <c r="T2808" i="8"/>
  <c r="A2809" i="8"/>
  <c r="N2809" i="8" l="1"/>
  <c r="M2809" i="8"/>
  <c r="T2809" i="8"/>
  <c r="A2810" i="8"/>
  <c r="N2810" i="8" l="1"/>
  <c r="M2810" i="8"/>
  <c r="T2810" i="8"/>
  <c r="A2811" i="8"/>
  <c r="N2811" i="8" l="1"/>
  <c r="M2811" i="8"/>
  <c r="T2811" i="8"/>
  <c r="A2812" i="8"/>
  <c r="N2812" i="8" l="1"/>
  <c r="M2812" i="8"/>
  <c r="T2812" i="8"/>
  <c r="A2813" i="8"/>
  <c r="M2813" i="8" l="1"/>
  <c r="N2813" i="8"/>
  <c r="T2813" i="8"/>
  <c r="A2814" i="8"/>
  <c r="N2814" i="8" l="1"/>
  <c r="M2814" i="8"/>
  <c r="T2814" i="8"/>
  <c r="A2815" i="8"/>
  <c r="M2815" i="8" l="1"/>
  <c r="N2815" i="8"/>
  <c r="T2815" i="8"/>
  <c r="A2816" i="8"/>
  <c r="N2816" i="8" l="1"/>
  <c r="M2816" i="8"/>
  <c r="T2816" i="8"/>
  <c r="A2817" i="8"/>
  <c r="N2817" i="8" l="1"/>
  <c r="M2817" i="8"/>
  <c r="T2817" i="8"/>
  <c r="A2818" i="8"/>
  <c r="N2818" i="8" l="1"/>
  <c r="M2818" i="8"/>
  <c r="T2818" i="8"/>
  <c r="A2819" i="8"/>
  <c r="N2819" i="8" l="1"/>
  <c r="M2819" i="8"/>
  <c r="T2819" i="8"/>
  <c r="A2820" i="8"/>
  <c r="N2820" i="8" l="1"/>
  <c r="M2820" i="8"/>
  <c r="T2820" i="8"/>
  <c r="A2821" i="8"/>
  <c r="M2821" i="8" l="1"/>
  <c r="N2821" i="8"/>
  <c r="T2821" i="8"/>
  <c r="A2822" i="8"/>
  <c r="N2822" i="8" l="1"/>
  <c r="M2822" i="8"/>
  <c r="T2822" i="8"/>
  <c r="A2823" i="8"/>
  <c r="N2823" i="8" l="1"/>
  <c r="M2823" i="8"/>
  <c r="T2823" i="8"/>
  <c r="A2824" i="8"/>
  <c r="N2824" i="8" l="1"/>
  <c r="M2824" i="8"/>
  <c r="T2824" i="8"/>
  <c r="A2825" i="8"/>
  <c r="M2825" i="8" l="1"/>
  <c r="N2825" i="8"/>
  <c r="T2825" i="8"/>
  <c r="A2826" i="8"/>
  <c r="N2826" i="8" l="1"/>
  <c r="M2826" i="8"/>
  <c r="T2826" i="8"/>
  <c r="A2827" i="8"/>
  <c r="N2827" i="8" l="1"/>
  <c r="M2827" i="8"/>
  <c r="T2827" i="8"/>
  <c r="A2828" i="8"/>
  <c r="N2828" i="8" l="1"/>
  <c r="M2828" i="8"/>
  <c r="T2828" i="8"/>
  <c r="A2829" i="8"/>
  <c r="N2829" i="8" l="1"/>
  <c r="M2829" i="8"/>
  <c r="T2829" i="8"/>
  <c r="A2830" i="8"/>
  <c r="N2830" i="8" l="1"/>
  <c r="M2830" i="8"/>
  <c r="T2830" i="8"/>
  <c r="A2831" i="8"/>
  <c r="N2831" i="8" l="1"/>
  <c r="M2831" i="8"/>
  <c r="T2831" i="8"/>
  <c r="A2832" i="8"/>
  <c r="N2832" i="8" l="1"/>
  <c r="M2832" i="8"/>
  <c r="T2832" i="8"/>
  <c r="A2833" i="8"/>
  <c r="N2833" i="8" l="1"/>
  <c r="M2833" i="8"/>
  <c r="T2833" i="8"/>
  <c r="A2834" i="8"/>
  <c r="N2834" i="8" l="1"/>
  <c r="M2834" i="8"/>
  <c r="T2834" i="8"/>
  <c r="A2835" i="8"/>
  <c r="N2835" i="8" l="1"/>
  <c r="M2835" i="8"/>
  <c r="T2835" i="8"/>
  <c r="A2836" i="8"/>
  <c r="N2836" i="8" l="1"/>
  <c r="M2836" i="8"/>
  <c r="T2836" i="8"/>
  <c r="A2837" i="8"/>
  <c r="N2837" i="8" l="1"/>
  <c r="M2837" i="8"/>
  <c r="T2837" i="8"/>
  <c r="A2838" i="8"/>
  <c r="N2838" i="8" l="1"/>
  <c r="M2838" i="8"/>
  <c r="T2838" i="8"/>
  <c r="A2839" i="8"/>
  <c r="M2839" i="8" l="1"/>
  <c r="N2839" i="8"/>
  <c r="T2839" i="8"/>
  <c r="A2840" i="8"/>
  <c r="N2840" i="8" l="1"/>
  <c r="M2840" i="8"/>
  <c r="T2840" i="8"/>
  <c r="A2841" i="8"/>
  <c r="N2841" i="8" l="1"/>
  <c r="M2841" i="8"/>
  <c r="T2841" i="8"/>
  <c r="A2842" i="8"/>
  <c r="M2842" i="8" l="1"/>
  <c r="N2842" i="8"/>
  <c r="T2842" i="8"/>
  <c r="A2843" i="8"/>
  <c r="N2843" i="8" l="1"/>
  <c r="M2843" i="8"/>
  <c r="T2843" i="8"/>
  <c r="A2844" i="8"/>
  <c r="N2844" i="8" l="1"/>
  <c r="M2844" i="8"/>
  <c r="T2844" i="8"/>
  <c r="A2845" i="8"/>
  <c r="N2845" i="8" l="1"/>
  <c r="M2845" i="8"/>
  <c r="T2845" i="8"/>
  <c r="A2846" i="8"/>
  <c r="N2846" i="8" l="1"/>
  <c r="M2846" i="8"/>
  <c r="T2846" i="8"/>
  <c r="A2847" i="8"/>
  <c r="N2847" i="8" l="1"/>
  <c r="M2847" i="8"/>
  <c r="T2847" i="8"/>
  <c r="A2848" i="8"/>
  <c r="N2848" i="8" l="1"/>
  <c r="M2848" i="8"/>
  <c r="T2848" i="8"/>
  <c r="A2849" i="8"/>
  <c r="N2849" i="8" l="1"/>
  <c r="M2849" i="8"/>
  <c r="T2849" i="8"/>
  <c r="A2850" i="8"/>
  <c r="N2850" i="8" l="1"/>
  <c r="M2850" i="8"/>
  <c r="T2850" i="8"/>
  <c r="A2851" i="8"/>
  <c r="N2851" i="8" l="1"/>
  <c r="M2851" i="8"/>
  <c r="T2851" i="8"/>
  <c r="A2852" i="8"/>
  <c r="N2852" i="8" l="1"/>
  <c r="M2852" i="8"/>
  <c r="T2852" i="8"/>
  <c r="A2853" i="8"/>
  <c r="N2853" i="8" l="1"/>
  <c r="M2853" i="8"/>
  <c r="T2853" i="8"/>
  <c r="A2854" i="8"/>
  <c r="M2854" i="8" l="1"/>
  <c r="N2854" i="8"/>
  <c r="T2854" i="8"/>
  <c r="A2855" i="8"/>
  <c r="N2855" i="8" l="1"/>
  <c r="M2855" i="8"/>
  <c r="T2855" i="8"/>
  <c r="A2856" i="8"/>
  <c r="N2856" i="8" l="1"/>
  <c r="M2856" i="8"/>
  <c r="T2856" i="8"/>
  <c r="A2857" i="8"/>
  <c r="N2857" i="8" l="1"/>
  <c r="M2857" i="8"/>
  <c r="T2857" i="8"/>
  <c r="A2858" i="8"/>
  <c r="N2858" i="8" l="1"/>
  <c r="M2858" i="8"/>
  <c r="T2858" i="8"/>
  <c r="A2859" i="8"/>
  <c r="N2859" i="8" l="1"/>
  <c r="M2859" i="8"/>
  <c r="T2859" i="8"/>
  <c r="A2860" i="8"/>
  <c r="N2860" i="8" l="1"/>
  <c r="M2860" i="8"/>
  <c r="T2860" i="8"/>
  <c r="A2861" i="8"/>
  <c r="M2861" i="8" l="1"/>
  <c r="N2861" i="8"/>
  <c r="T2861" i="8"/>
  <c r="A2862" i="8"/>
  <c r="N2862" i="8" l="1"/>
  <c r="M2862" i="8"/>
  <c r="T2862" i="8"/>
  <c r="A2863" i="8"/>
  <c r="N2863" i="8" l="1"/>
  <c r="M2863" i="8"/>
  <c r="T2863" i="8"/>
  <c r="A2864" i="8"/>
  <c r="N2864" i="8" l="1"/>
  <c r="M2864" i="8"/>
  <c r="T2864" i="8"/>
  <c r="A2865" i="8"/>
  <c r="N2865" i="8" l="1"/>
  <c r="M2865" i="8"/>
  <c r="T2865" i="8"/>
  <c r="A2866" i="8"/>
  <c r="M2866" i="8" l="1"/>
  <c r="N2866" i="8"/>
  <c r="T2866" i="8"/>
  <c r="A2867" i="8"/>
  <c r="N2867" i="8" l="1"/>
  <c r="M2867" i="8"/>
  <c r="T2867" i="8"/>
  <c r="A2868" i="8"/>
  <c r="N2868" i="8" l="1"/>
  <c r="M2868" i="8"/>
  <c r="T2868" i="8"/>
  <c r="A2869" i="8"/>
  <c r="N2869" i="8" l="1"/>
  <c r="M2869" i="8"/>
  <c r="T2869" i="8"/>
  <c r="A2870" i="8"/>
  <c r="M2870" i="8" l="1"/>
  <c r="N2870" i="8"/>
  <c r="T2870" i="8"/>
  <c r="A2871" i="8"/>
  <c r="N2871" i="8" l="1"/>
  <c r="M2871" i="8"/>
  <c r="T2871" i="8"/>
  <c r="A2872" i="8"/>
  <c r="N2872" i="8" l="1"/>
  <c r="M2872" i="8"/>
  <c r="T2872" i="8"/>
  <c r="A2873" i="8"/>
  <c r="N2873" i="8" l="1"/>
  <c r="M2873" i="8"/>
  <c r="T2873" i="8"/>
  <c r="A2874" i="8"/>
  <c r="N2874" i="8" l="1"/>
  <c r="M2874" i="8"/>
  <c r="T2874" i="8"/>
  <c r="A2875" i="8"/>
  <c r="N2875" i="8" l="1"/>
  <c r="M2875" i="8"/>
  <c r="T2875" i="8"/>
  <c r="A2876" i="8"/>
  <c r="N2876" i="8" l="1"/>
  <c r="M2876" i="8"/>
  <c r="T2876" i="8"/>
  <c r="A2877" i="8"/>
  <c r="N2877" i="8" l="1"/>
  <c r="M2877" i="8"/>
  <c r="T2877" i="8"/>
  <c r="A2878" i="8"/>
  <c r="N2878" i="8" l="1"/>
  <c r="M2878" i="8"/>
  <c r="T2878" i="8"/>
  <c r="A2879" i="8"/>
  <c r="N2879" i="8" l="1"/>
  <c r="M2879" i="8"/>
  <c r="T2879" i="8"/>
  <c r="A2880" i="8"/>
  <c r="N2880" i="8" l="1"/>
  <c r="M2880" i="8"/>
  <c r="T2880" i="8"/>
  <c r="A2881" i="8"/>
  <c r="N2881" i="8" l="1"/>
  <c r="M2881" i="8"/>
  <c r="T2881" i="8"/>
  <c r="A2882" i="8"/>
  <c r="N2882" i="8" l="1"/>
  <c r="M2882" i="8"/>
  <c r="T2882" i="8"/>
  <c r="A2883" i="8"/>
  <c r="N2883" i="8" l="1"/>
  <c r="M2883" i="8"/>
  <c r="T2883" i="8"/>
  <c r="A2884" i="8"/>
  <c r="N2884" i="8" l="1"/>
  <c r="M2884" i="8"/>
  <c r="T2884" i="8"/>
  <c r="A2885" i="8"/>
  <c r="N2885" i="8" l="1"/>
  <c r="M2885" i="8"/>
  <c r="T2885" i="8"/>
  <c r="A2886" i="8"/>
  <c r="N2886" i="8" l="1"/>
  <c r="M2886" i="8"/>
  <c r="T2886" i="8"/>
  <c r="A2887" i="8"/>
  <c r="N2887" i="8" l="1"/>
  <c r="M2887" i="8"/>
  <c r="T2887" i="8"/>
  <c r="A2888" i="8"/>
  <c r="N2888" i="8" l="1"/>
  <c r="M2888" i="8"/>
  <c r="T2888" i="8"/>
  <c r="A2889" i="8"/>
  <c r="N2889" i="8" l="1"/>
  <c r="M2889" i="8"/>
  <c r="T2889" i="8"/>
  <c r="A2890" i="8"/>
  <c r="N2890" i="8" l="1"/>
  <c r="M2890" i="8"/>
  <c r="T2890" i="8"/>
  <c r="A2891" i="8"/>
  <c r="N2891" i="8" l="1"/>
  <c r="M2891" i="8"/>
  <c r="T2891" i="8"/>
  <c r="A2892" i="8"/>
  <c r="N2892" i="8" l="1"/>
  <c r="M2892" i="8"/>
  <c r="T2892" i="8"/>
  <c r="A2893" i="8"/>
  <c r="N2893" i="8" l="1"/>
  <c r="M2893" i="8"/>
  <c r="T2893" i="8"/>
  <c r="A2894" i="8"/>
  <c r="N2894" i="8" l="1"/>
  <c r="M2894" i="8"/>
  <c r="T2894" i="8"/>
  <c r="A2895" i="8"/>
  <c r="N2895" i="8" l="1"/>
  <c r="M2895" i="8"/>
  <c r="T2895" i="8"/>
  <c r="A2896" i="8"/>
  <c r="M2896" i="8" l="1"/>
  <c r="N2896" i="8"/>
  <c r="T2896" i="8"/>
  <c r="A2897" i="8"/>
  <c r="N2897" i="8" l="1"/>
  <c r="M2897" i="8"/>
  <c r="T2897" i="8"/>
  <c r="A2898" i="8"/>
  <c r="N2898" i="8" l="1"/>
  <c r="M2898" i="8"/>
  <c r="T2898" i="8"/>
  <c r="A2899" i="8"/>
  <c r="M2899" i="8" l="1"/>
  <c r="N2899" i="8"/>
  <c r="T2899" i="8"/>
  <c r="A2900" i="8"/>
  <c r="M2900" i="8" l="1"/>
  <c r="N2900" i="8"/>
  <c r="T2900" i="8"/>
  <c r="A2901" i="8"/>
  <c r="N2901" i="8" l="1"/>
  <c r="M2901" i="8"/>
  <c r="T2901" i="8"/>
  <c r="A2902" i="8"/>
  <c r="N2902" i="8" l="1"/>
  <c r="M2902" i="8"/>
  <c r="T2902" i="8"/>
  <c r="A2903" i="8"/>
  <c r="N2903" i="8" l="1"/>
  <c r="M2903" i="8"/>
  <c r="T2903" i="8"/>
  <c r="A2904" i="8"/>
  <c r="N2904" i="8" l="1"/>
  <c r="M2904" i="8"/>
  <c r="T2904" i="8"/>
  <c r="A2905" i="8"/>
  <c r="N2905" i="8" l="1"/>
  <c r="M2905" i="8"/>
  <c r="T2905" i="8"/>
  <c r="A2906" i="8"/>
  <c r="M2906" i="8" l="1"/>
  <c r="N2906" i="8"/>
  <c r="T2906" i="8"/>
  <c r="A2907" i="8"/>
  <c r="N2907" i="8" l="1"/>
  <c r="M2907" i="8"/>
  <c r="T2907" i="8"/>
  <c r="A2908" i="8"/>
  <c r="N2908" i="8" l="1"/>
  <c r="M2908" i="8"/>
  <c r="T2908" i="8"/>
  <c r="A2909" i="8"/>
  <c r="N2909" i="8" l="1"/>
  <c r="M2909" i="8"/>
  <c r="T2909" i="8"/>
  <c r="A2910" i="8"/>
  <c r="N2910" i="8" l="1"/>
  <c r="M2910" i="8"/>
  <c r="T2910" i="8"/>
  <c r="A2911" i="8"/>
  <c r="N2911" i="8" l="1"/>
  <c r="M2911" i="8"/>
  <c r="T2911" i="8"/>
  <c r="A2912" i="8"/>
  <c r="M2912" i="8" l="1"/>
  <c r="N2912" i="8"/>
  <c r="T2912" i="8"/>
  <c r="A2913" i="8"/>
  <c r="N2913" i="8" l="1"/>
  <c r="M2913" i="8"/>
  <c r="T2913" i="8"/>
  <c r="A2914" i="8"/>
  <c r="N2914" i="8" l="1"/>
  <c r="M2914" i="8"/>
  <c r="T2914" i="8"/>
  <c r="A2915" i="8"/>
  <c r="N2915" i="8" l="1"/>
  <c r="M2915" i="8"/>
  <c r="T2915" i="8"/>
  <c r="A2916" i="8"/>
  <c r="N2916" i="8" l="1"/>
  <c r="M2916" i="8"/>
  <c r="T2916" i="8"/>
  <c r="A2917" i="8"/>
  <c r="N2917" i="8" l="1"/>
  <c r="M2917" i="8"/>
  <c r="T2917" i="8"/>
  <c r="A2918" i="8"/>
  <c r="M2918" i="8" l="1"/>
  <c r="N2918" i="8"/>
  <c r="T2918" i="8"/>
  <c r="A2919" i="8"/>
  <c r="M2919" i="8" l="1"/>
  <c r="N2919" i="8"/>
  <c r="T2919" i="8"/>
  <c r="A2920" i="8"/>
  <c r="N2920" i="8" l="1"/>
  <c r="M2920" i="8"/>
  <c r="T2920" i="8"/>
  <c r="A2921" i="8"/>
  <c r="N2921" i="8" l="1"/>
  <c r="M2921" i="8"/>
  <c r="T2921" i="8"/>
  <c r="A2922" i="8"/>
  <c r="N2922" i="8" l="1"/>
  <c r="M2922" i="8"/>
  <c r="T2922" i="8"/>
  <c r="A2923" i="8"/>
  <c r="N2923" i="8" l="1"/>
  <c r="M2923" i="8"/>
  <c r="T2923" i="8"/>
  <c r="A2924" i="8"/>
  <c r="N2924" i="8" l="1"/>
  <c r="M2924" i="8"/>
  <c r="T2924" i="8"/>
  <c r="A2925" i="8"/>
  <c r="N2925" i="8" l="1"/>
  <c r="M2925" i="8"/>
  <c r="T2925" i="8"/>
  <c r="A2926" i="8"/>
  <c r="N2926" i="8" l="1"/>
  <c r="M2926" i="8"/>
  <c r="T2926" i="8"/>
  <c r="A2927" i="8"/>
  <c r="N2927" i="8" l="1"/>
  <c r="M2927" i="8"/>
  <c r="T2927" i="8"/>
  <c r="A2928" i="8"/>
  <c r="N2928" i="8" l="1"/>
  <c r="M2928" i="8"/>
  <c r="T2928" i="8"/>
  <c r="A2929" i="8"/>
  <c r="N2929" i="8" l="1"/>
  <c r="M2929" i="8"/>
  <c r="T2929" i="8"/>
  <c r="A2930" i="8"/>
  <c r="M2930" i="8" l="1"/>
  <c r="N2930" i="8"/>
  <c r="T2930" i="8"/>
  <c r="A2931" i="8"/>
  <c r="N2931" i="8" l="1"/>
  <c r="M2931" i="8"/>
  <c r="T2931" i="8"/>
  <c r="A2932" i="8"/>
  <c r="N2932" i="8" l="1"/>
  <c r="M2932" i="8"/>
  <c r="T2932" i="8"/>
  <c r="A2933" i="8"/>
  <c r="N2933" i="8" l="1"/>
  <c r="M2933" i="8"/>
  <c r="T2933" i="8"/>
  <c r="A2934" i="8"/>
  <c r="M2934" i="8" l="1"/>
  <c r="N2934" i="8"/>
  <c r="T2934" i="8"/>
  <c r="A2935" i="8"/>
  <c r="N2935" i="8" l="1"/>
  <c r="M2935" i="8"/>
  <c r="T2935" i="8"/>
  <c r="A2936" i="8"/>
  <c r="N2936" i="8" l="1"/>
  <c r="M2936" i="8"/>
  <c r="T2936" i="8"/>
  <c r="A2937" i="8"/>
  <c r="N2937" i="8" l="1"/>
  <c r="M2937" i="8"/>
  <c r="T2937" i="8"/>
  <c r="A2938" i="8"/>
  <c r="N2938" i="8" l="1"/>
  <c r="M2938" i="8"/>
  <c r="T2938" i="8"/>
  <c r="A2939" i="8"/>
  <c r="N2939" i="8" l="1"/>
  <c r="M2939" i="8"/>
  <c r="T2939" i="8"/>
  <c r="A2940" i="8"/>
  <c r="N2940" i="8" l="1"/>
  <c r="M2940" i="8"/>
  <c r="T2940" i="8"/>
  <c r="A2941" i="8"/>
  <c r="N2941" i="8" l="1"/>
  <c r="M2941" i="8"/>
  <c r="T2941" i="8"/>
  <c r="A2942" i="8"/>
  <c r="N2942" i="8" l="1"/>
  <c r="M2942" i="8"/>
  <c r="T2942" i="8"/>
  <c r="A2943" i="8"/>
  <c r="N2943" i="8" l="1"/>
  <c r="M2943" i="8"/>
  <c r="T2943" i="8"/>
  <c r="A2944" i="8"/>
  <c r="N2944" i="8" l="1"/>
  <c r="M2944" i="8"/>
  <c r="T2944" i="8"/>
  <c r="A2945" i="8"/>
  <c r="N2945" i="8" l="1"/>
  <c r="M2945" i="8"/>
  <c r="T2945" i="8"/>
  <c r="A2946" i="8"/>
  <c r="N2946" i="8" l="1"/>
  <c r="M2946" i="8"/>
  <c r="T2946" i="8"/>
  <c r="A2947" i="8"/>
  <c r="N2947" i="8" l="1"/>
  <c r="M2947" i="8"/>
  <c r="T2947" i="8"/>
  <c r="A2948" i="8"/>
  <c r="N2948" i="8" l="1"/>
  <c r="M2948" i="8"/>
  <c r="T2948" i="8"/>
  <c r="A2949" i="8"/>
  <c r="N2949" i="8" l="1"/>
  <c r="M2949" i="8"/>
  <c r="T2949" i="8"/>
  <c r="A2950" i="8"/>
  <c r="M2950" i="8" l="1"/>
  <c r="N2950" i="8"/>
  <c r="T2950" i="8"/>
  <c r="A2951" i="8"/>
  <c r="N2951" i="8" l="1"/>
  <c r="M2951" i="8"/>
  <c r="T2951" i="8"/>
  <c r="A2952" i="8"/>
  <c r="N2952" i="8" l="1"/>
  <c r="M2952" i="8"/>
  <c r="T2952" i="8"/>
  <c r="A2953" i="8"/>
  <c r="M2953" i="8" l="1"/>
  <c r="N2953" i="8"/>
  <c r="T2953" i="8"/>
  <c r="A2954" i="8"/>
  <c r="M2954" i="8" l="1"/>
  <c r="N2954" i="8"/>
  <c r="T29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<sst xmlns="http://schemas.openxmlformats.org/spreadsheetml/2006/main" count="1444" uniqueCount="471">
  <si>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</si>
  <si>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</si>
  <si>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</si>
  <si>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</si>
  <si>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</si>
  <si>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</si>
  <si>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</si>
  <si>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</si>
  <si>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</si>
  <si>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</si>
  <si>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</si>
  <si>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</si>
  <si>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</si>
  <si>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</si>
  <si>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</si>
  <si>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</si>
  <si>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</si>
  <si>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</si>
  <si>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</si>
  <si>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</si>
  <si>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</si>
  <si>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</si>
  <si>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</si>
  <si>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</si>
  <si>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</si>
  <si>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</si>
  <si>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</si>
  <si>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</si>
  <si>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</si>
  <si>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</si>
  <si>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</si>
  <si>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</si>
  <si>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</si>
  <si>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</si>
  <si>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</si>
  <si>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</si>
  <si>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</si>
  <si>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</si>
  <si>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</si>
  <si>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</si>
  <si>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</si>
  <si>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</si>
  <si>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</si>
  <si>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</si>
  <si>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</si>
  <si>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</si>
  <si>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</si>
  <si>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</si>
  <si>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</si>
  <si>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</si>
  <si>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</si>
  <si>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</si>
  <si>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</si>
  <si>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</si>
  <si>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</si>
  <si>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</si>
  <si>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</si>
  <si>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</si>
  <si>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</si>
  <si>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</si>
  <si>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</si>
  <si>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</si>
  <si>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</si>
  <si>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</si>
  <si>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</si>
  <si>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</si>
  <si>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</si>
  <si>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</si>
  <si>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</si>
  <si>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</si>
  <si>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</si>
  <si>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</si>
  <si>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</si>
  <si>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</si>
  <si>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</si>
  <si>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</si>
  <si>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</si>
  <si>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</si>
  <si>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</si>
  <si>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</si>
  <si>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</si>
  <si>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</si>
  <si>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</si>
  <si>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</si>
  <si>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</si>
  <si>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</si>
  <si>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</si>
  <si>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</si>
  <si>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</si>
  <si>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</si>
  <si>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</si>
  <si>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</si>
  <si>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</si>
  <si>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</si>
  <si>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</si>
  <si>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</si>
  <si>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</si>
  <si>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</si>
  <si>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</si>
  <si>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</si>
  <si>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</si>
  <si>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</si>
  <si>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</si>
  <si>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</si>
  <si>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</si>
  <si>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</si>
  <si>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</si>
  <si>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</si>
  <si>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</si>
  <si>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</si>
  <si>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</si>
  <si>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</si>
  <si>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</si>
  <si>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</si>
  <si>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</si>
  <si>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</si>
  <si>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</si>
  <si>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</si>
  <si>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</si>
  <si>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</si>
  <si>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</si>
  <si>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</si>
  <si>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</si>
  <si>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</si>
  <si>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</si>
  <si>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</si>
  <si>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</si>
  <si>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</si>
  <si>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</si>
  <si>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</si>
  <si>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</si>
  <si>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</si>
  <si>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</si>
  <si>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</si>
  <si>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</si>
  <si>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</si>
  <si>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</si>
  <si>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</si>
  <si>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</si>
  <si>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</si>
  <si>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</si>
  <si>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</si>
  <si>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</si>
  <si>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</si>
  <si>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</si>
  <si>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</si>
  <si>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</si>
  <si>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</si>
  <si>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</si>
  <si>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</si>
  <si>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</si>
  <si>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</si>
  <si>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</si>
  <si>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</si>
  <si>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</si>
  <si>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</si>
  <si>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</si>
  <si>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</si>
  <si>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</si>
  <si>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</si>
  <si>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</si>
  <si>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</si>
  <si>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</si>
  <si>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</si>
  <si>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</si>
  <si>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</si>
  <si>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</si>
  <si>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</si>
  <si>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</si>
  <si>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</si>
  <si>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</si>
  <si>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</si>
  <si>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</si>
  <si>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</si>
  <si>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</si>
  <si>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</si>
  <si>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</si>
  <si>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</si>
  <si>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</si>
  <si>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</si>
  <si>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</si>
  <si>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</si>
  <si>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</si>
  <si>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</si>
  <si>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</si>
  <si>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</si>
  <si>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</si>
  <si>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</si>
  <si>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</si>
  <si>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</si>
  <si>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</si>
  <si>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</si>
  <si>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</si>
  <si>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</si>
  <si>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</si>
  <si>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</si>
  <si>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</si>
  <si>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</si>
  <si>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</si>
  <si>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</si>
  <si>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</si>
  <si>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</si>
  <si>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</si>
  <si>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</si>
  <si>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</si>
  <si>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</si>
  <si>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</si>
  <si>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</si>
  <si>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</si>
  <si>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</si>
  <si>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</si>
  <si>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</si>
  <si>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</si>
  <si>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</si>
  <si>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</si>
  <si>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</si>
  <si>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</si>
  <si>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</si>
  <si>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</si>
  <si>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</si>
  <si>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</si>
  <si>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</si>
  <si>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</si>
  <si>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</si>
  <si>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</si>
  <si>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</si>
  <si>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</si>
  <si>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</si>
  <si>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</si>
  <si>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</si>
  <si>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</si>
  <si>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</si>
  <si>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</si>
  <si>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</si>
  <si>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</si>
  <si>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</si>
  <si>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</si>
  <si>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</si>
  <si>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</si>
  <si>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</si>
  <si>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</si>
  <si>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</si>
  <si>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</si>
  <si>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</si>
  <si>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</si>
  <si>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</si>
  <si>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</si>
  <si>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</si>
  <si>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</si>
  <si>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</si>
  <si>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</si>
  <si>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</si>
  <si>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</si>
  <si>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</si>
  <si>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</si>
  <si>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</si>
  <si>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</si>
  <si>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</si>
  <si>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</si>
  <si>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</si>
  <si>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</si>
  <si>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</si>
  <si>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</si>
  <si>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</si>
  <si>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</si>
  <si>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</si>
  <si>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</si>
  <si>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</si>
  <si>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</si>
  <si>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</si>
  <si>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</si>
  <si>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</si>
  <si>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</si>
  <si>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</si>
  <si>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</si>
  <si>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</si>
  <si>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</si>
  <si>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</si>
  <si>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</si>
  <si>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</si>
  <si>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</si>
  <si>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</si>
  <si>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</si>
  <si>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</si>
  <si>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</si>
  <si>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</si>
  <si>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</si>
  <si>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</si>
  <si>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</si>
  <si>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</si>
  <si>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</si>
  <si>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</si>
  <si>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</si>
  <si>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</si>
  <si>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</si>
  <si>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</si>
  <si>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</si>
  <si>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</si>
  <si>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</si>
  <si>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</si>
  <si>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</si>
  <si>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</si>
  <si>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</si>
  <si>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</si>
  <si>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</si>
  <si>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</si>
  <si>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</si>
  <si>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</si>
  <si>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</si>
  <si>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</si>
  <si>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</si>
  <si>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</si>
  <si>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</si>
  <si>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</si>
  <si>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</si>
  <si>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</si>
  <si>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</si>
  <si>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</si>
  <si>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</si>
  <si>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</si>
  <si>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</si>
  <si>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</si>
  <si>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</si>
  <si>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</si>
  <si>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</si>
  <si>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</si>
  <si>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</si>
  <si>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</si>
  <si>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</si>
  <si>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</si>
  <si>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</si>
  <si>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</si>
  <si>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</si>
  <si>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</si>
  <si>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</si>
  <si>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</si>
  <si>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</si>
  <si>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</si>
  <si>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</si>
  <si>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</si>
  <si>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</si>
  <si>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</si>
  <si>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</si>
  <si>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</si>
  <si>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</si>
  <si>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</si>
  <si>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</si>
  <si>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</si>
  <si>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</si>
  <si>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</si>
  <si>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</si>
  <si>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</si>
  <si>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</si>
  <si>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</si>
  <si>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</si>
  <si>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</si>
  <si>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</si>
  <si>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</si>
  <si>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</si>
  <si>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</si>
  <si>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</si>
  <si>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</si>
  <si>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</si>
  <si>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</si>
  <si>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</si>
  <si>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</si>
  <si>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</si>
  <si>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</si>
  <si>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</si>
  <si>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</si>
  <si>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</si>
  <si>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</si>
  <si>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</si>
  <si>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</si>
  <si>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</si>
  <si>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</si>
  <si>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</si>
  <si>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</si>
  <si>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</si>
  <si>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</si>
  <si>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</si>
  <si>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</si>
  <si>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</si>
  <si>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</si>
  <si>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</si>
  <si>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</si>
  <si>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</si>
  <si>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</si>
  <si>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</si>
  <si>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</si>
  <si>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</si>
  <si>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</si>
  <si>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</si>
  <si>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</si>
  <si>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</si>
  <si>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</si>
  <si>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</si>
  <si>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</si>
  <si>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</si>
  <si>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</si>
  <si>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</si>
  <si>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</si>
  <si>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</si>
  <si>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</si>
  <si>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</si>
  <si>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</si>
  <si>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</si>
  <si>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</si>
  <si>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</si>
  <si>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</si>
  <si>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</si>
  <si>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</si>
  <si>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</si>
  <si>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</si>
  <si>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</si>
  <si>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</si>
  <si>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</si>
  <si>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</si>
  <si>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</si>
  <si>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</si>
  <si>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GC(cfs)</t>
  </si>
  <si>
    <t>GC(AF)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</si>
  <si>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</si>
  <si>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</si>
  <si>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</si>
  <si>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</si>
  <si>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</si>
  <si>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</si>
  <si>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</si>
  <si>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</si>
  <si>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</si>
  <si>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</si>
  <si>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</si>
  <si>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</si>
  <si>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RM0_MaxTemp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</si>
  <si>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</si>
  <si>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</si>
  <si>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</si>
  <si>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</si>
  <si>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</si>
  <si>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</si>
  <si>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</si>
  <si>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</si>
  <si>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</si>
  <si>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</si>
  <si>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</si>
  <si>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</si>
  <si>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</si>
  <si>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</si>
  <si>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</si>
  <si>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Week13</t>
  </si>
  <si>
    <t>Week00</t>
  </si>
  <si>
    <t>LOAD Table</t>
  </si>
  <si>
    <t>Week14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</si>
  <si>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</si>
  <si>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</si>
  <si>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</si>
  <si>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</si>
  <si>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</si>
  <si>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</si>
  <si>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</si>
  <si>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</si>
  <si>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</si>
  <si>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</si>
  <si>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</si>
  <si>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</si>
  <si>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</si>
  <si>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</si>
  <si>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</si>
  <si>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</si>
  <si>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TEST_08-23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</si>
</sst>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3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123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Border="1" applyAlignment="1">
      <alignment vertical="top"/>
    </xf>
    <xf numFmtId="0" fontId="21" fillId="0" borderId="12" xfId="0" applyFont="1" applyBorder="1" applyAlignment="1">
      <alignment horizontal="left" vertical="top"/>
    </xf>
    <xf numFmtId="0" fontId="22" fillId="0" borderId="26" xfId="0" applyFont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44" fontId="0" fillId="0" borderId="0" xfId="12" applyFont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Alignment="1">
      <alignment horizontal="left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0" fontId="15" fillId="0" borderId="0" xfId="0" applyFon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11" borderId="0" xfId="0" applyNumberFormat="1" applyFill="1" applyAlignment="1">
      <alignment horizontal="left"/>
    </xf>
    <xf numFmtId="0" fontId="0" fillId="11" borderId="0" xfId="0" applyFill="1" applyAlignment="1">
      <alignment wrapText="1"/>
    </xf>
    <xf numFmtId="0" fontId="0" fillId="11" borderId="0" xfId="0" applyFill="1"/>
    <xf numFmtId="14" fontId="0" fillId="11" borderId="0" xfId="0" applyNumberFormat="1" applyFill="1"/>
    <xf numFmtId="14" fontId="0" fillId="0" borderId="0" xfId="0" applyNumberFormat="1" applyAlignment="1">
      <alignment wrapText="1"/>
    </xf>
    <xf numFmtId="14" fontId="0" fillId="11" borderId="0" xfId="0" applyNumberFormat="1" applyFill="1" applyAlignment="1">
      <alignment wrapText="1"/>
    </xf>
    <xf numFmtId="166" fontId="0" fillId="0" borderId="28" xfId="0" applyNumberForma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</cellXfs>
  <cellStyles count="13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6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2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numFmt numFmtId="169" formatCode="_(* #,##0_);_(* \(#,##0\);_(* &quot;-&quot;??_);_(@_)"/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7">
    <sortCondition ref="M1:M7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F363" totalsRowShown="0" headerRowDxfId="17">
  <autoFilter ref="A3:F363" xr:uid="{1934F577-9BA2-4C6E-9510-0A01EEE54079}"/>
  <tableColumns count="6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2" xr3:uid="{ADDCEC90-CD25-4F15-9885-78666F3DF374}" name="GC(cfs)" dataDxfId="14" dataCellStyle="Comma"/>
    <tableColumn id="3" xr3:uid="{A72223FB-0437-48DE-AAE0-E75F1B3848D8}" name="GC(AF)"/>
    <tableColumn id="4" xr3:uid="{A75BD79F-73D5-42BA-A39C-8B69713CFEA4}" name="SHP_Load(MWh)"/>
    <tableColumn id="6" xr3:uid="{E6ADBDF3-A067-4B13-AD3C-CFF791B11A7A}" name="ARGUS($)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K3:S150" totalsRowShown="0" headerRowDxfId="13" dataDxfId="12">
  <autoFilter ref="K3:S150" xr:uid="{0FD11763-0CAC-4EAA-880F-92B7E6094ACB}"/>
  <tableColumns count="9">
    <tableColumn id="28" xr3:uid="{CB7219F6-09F3-4241-A42E-BBBCB06BE305}" name="Date_Simple" dataDxfId="11"/>
    <tableColumn id="1" xr3:uid="{9245A722-3BD7-4B58-9DD2-3AB6949C2292}" name="DeltaTempProf" dataDxfId="10"/>
    <tableColumn id="29" xr3:uid="{8647AE77-4853-4A46-A432-9D2DC86CE92E}" name="PenstockTemp" dataDxfId="9"/>
    <tableColumn id="30" xr3:uid="{432FE4E6-B440-49AB-AC8F-3F803A23C3EE}" name="BypassTemp" dataDxfId="8"/>
    <tableColumn id="31" xr3:uid="{9EC8CD30-A778-410F-9E71-3A253477BE90}" name="WK" dataDxfId="7"/>
    <tableColumn id="32" xr3:uid="{8A56E922-2F79-429E-890D-ED5AF160F344}" name="RM0_MaxTemp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Table4" displayName="Table4" ref="W4:Y22" totalsRowShown="0">
  <autoFilter ref="W4:Y22" xr:uid="{DFF64652-9CCF-4F6E-A05C-C9D9C4922E5C}"/>
  <tableColumns count="3">
    <tableColumn id="1" xr3:uid="{A4A26617-4540-438A-BC36-D3930F3014C4}" name="File Name" dataDxfId="2">
      <calculatedColumnFormula>Table4[[#This Row],[Week No]]&amp;"_"&amp;TEXT(Table4[[#This Row],[Start Date]],"mm")&amp;TEXT(Table4[[#This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Y4+7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able6" displayName="Table6" ref="AB3:AE387" totalsRowShown="0">
  <autoFilter ref="AB3:AE387" xr:uid="{EE86EBA6-5BAB-4B36-A93A-A3915AE4B938}"/>
  <tableColumns count="4">
    <tableColumn id="4" xr3:uid="{C8C78236-3FDE-471E-90D5-8ADB2EF67275}" name="Column1" dataDxfId="0">
      <calculatedColumnFormula>Table6[[#This Row],[WeekNo]]&amp;"-"&amp;Table6[[#This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95"/>
  <sheetViews>
    <sheetView tabSelected="1" zoomScaleNormal="100" workbookViewId="0">
      <selection activeCell="D10" sqref="D10"/>
    </sheetView>
  </sheetViews>
  <sheetFormatPr baseColWidth="10" defaultColWidth="8.6640625" defaultRowHeight="15"/>
  <cols>
    <col min="1" max="1" width="69.33203125" bestFit="1" customWidth="1"/>
    <col min="2" max="2" width="29" bestFit="1" customWidth="1"/>
    <col min="3" max="3" width="12.5" customWidth="1"/>
    <col min="4" max="4" width="13.1640625" bestFit="1" customWidth="1"/>
    <col min="5" max="6" width="11.6640625" bestFit="1" customWidth="1"/>
    <col min="7" max="28" width="12.6640625" customWidth="1"/>
    <col min="29" max="29" width="12.6640625" style="62" customWidth="1"/>
    <col min="30" max="52" width="12.6640625" customWidth="1"/>
    <col min="53" max="53" width="12.6640625" style="62" customWidth="1"/>
    <col min="54" max="76" width="12.6640625" customWidth="1"/>
    <col min="77" max="77" width="12.6640625" style="62" customWidth="1"/>
    <col min="78" max="100" width="12.6640625" customWidth="1"/>
    <col min="101" max="101" width="12.6640625" style="62" customWidth="1"/>
    <col min="102" max="124" width="12.6640625" customWidth="1"/>
    <col min="125" max="125" width="12.6640625" style="62" customWidth="1"/>
    <col min="126" max="148" width="12.6640625" customWidth="1"/>
    <col min="149" max="149" width="12.6640625" style="62" customWidth="1"/>
    <col min="150" max="158" width="11.6640625" bestFit="1" customWidth="1"/>
    <col min="159" max="172" width="12.6640625" bestFit="1" customWidth="1"/>
    <col min="173" max="173" width="8.6640625" style="62"/>
  </cols>
  <sheetData>
    <row r="1" spans="1:173" ht="25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3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3" ht="15.75" customHeight="1" thickTop="1">
      <c r="A3" t="s">
        <v>117</v>
      </c>
      <c r="B3" s="2" t="s">
        <v>118</v>
      </c>
      <c r="C3" s="2"/>
      <c r="D3" s="12" t="s">
        <v>377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5"/>
    </row>
    <row r="4" spans="1:173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AA4" s="13" t="s">
        <v>119</v>
      </c>
      <c r="AB4" s="13" t="b">
        <v>1</v>
      </c>
    </row>
    <row r="5" spans="1:173" ht="15.75" customHeight="1">
      <c r="D5" s="12"/>
      <c r="E5" s="19"/>
      <c r="F5" s="20"/>
      <c r="AA5" s="13" t="s">
        <v>131</v>
      </c>
      <c r="AB5" s="14" t="b">
        <v>0</v>
      </c>
    </row>
    <row r="6" spans="1:173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173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3" ht="15.75" customHeight="1" thickTop="1">
      <c r="A8" t="s">
        <v>108</v>
      </c>
      <c r="B8" s="2" t="s">
        <v>107</v>
      </c>
      <c r="C8" s="2"/>
      <c r="D8" s="4" t="s">
        <v>470</v>
      </c>
    </row>
    <row r="9" spans="1:173" ht="15.75" customHeight="1">
      <c r="A9" t="s">
        <v>115</v>
      </c>
      <c r="B9" s="2" t="s">
        <v>116</v>
      </c>
      <c r="C9" s="2"/>
      <c r="D9" s="4" t="b">
        <v>1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3" ht="15.75" customHeight="1">
      <c r="A10" t="s">
        <v>122</v>
      </c>
      <c r="B10" s="2" t="s">
        <v>123</v>
      </c>
      <c r="C10" s="2"/>
      <c r="D10" s="4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3" ht="15.75" customHeight="1">
      <c r="A11" t="s">
        <v>379</v>
      </c>
      <c r="B11" s="2" t="s">
        <v>380</v>
      </c>
      <c r="C11" s="2"/>
      <c r="D11" s="8">
        <v>120</v>
      </c>
      <c r="E11" s="22" t="s">
        <v>381</v>
      </c>
      <c r="F11" s="78"/>
      <c r="G11" s="78"/>
      <c r="H11" s="78"/>
      <c r="I11" s="78"/>
      <c r="J11" s="78"/>
      <c r="K11" s="78"/>
      <c r="L11" s="78"/>
    </row>
    <row r="12" spans="1:173" ht="15.75" customHeight="1">
      <c r="A12" t="s">
        <v>207</v>
      </c>
      <c r="B12" s="2" t="s">
        <v>209</v>
      </c>
      <c r="C12" s="2"/>
      <c r="D12" s="33">
        <f>VLOOKUP(D8,Table4[],3,FALSE)</f>
        <v>45892</v>
      </c>
      <c r="E12" s="34" t="str">
        <f>LOOKUP(WEEKDAY(D12,1),$F$9:$L$9,$F$10:$L$10)</f>
        <v>SAT</v>
      </c>
    </row>
    <row r="13" spans="1:173" ht="15.75" customHeight="1">
      <c r="A13" t="s">
        <v>208</v>
      </c>
      <c r="B13" s="2" t="s">
        <v>210</v>
      </c>
      <c r="C13" s="2"/>
      <c r="D13" s="74">
        <f>D12+7</f>
        <v>45899</v>
      </c>
      <c r="E13" s="75" t="str">
        <f>LOOKUP(WEEKDAY(D13,1),$F$9:$L$9,$F$10:$L$10)</f>
        <v>SAT</v>
      </c>
    </row>
    <row r="14" spans="1:173" ht="15.75" customHeight="1" thickBot="1">
      <c r="A14" s="16" t="s">
        <v>375</v>
      </c>
      <c r="B14" s="2"/>
      <c r="C14" s="2"/>
      <c r="D14" s="76"/>
      <c r="E14" s="77"/>
    </row>
    <row r="15" spans="1:173" s="35" customFormat="1">
      <c r="A15" s="15" t="s">
        <v>373</v>
      </c>
      <c r="B15"/>
      <c r="C15"/>
      <c r="D15"/>
      <c r="E15" s="47">
        <f>D12</f>
        <v>45892</v>
      </c>
      <c r="F15" s="47">
        <f t="shared" ref="F15:BQ15" si="0">IFERROR(IF(E15+TIME(1,0,0)&lt;=$D$13,E15+TIME(1,0,0),""),"")</f>
        <v>45892.041666666664</v>
      </c>
      <c r="G15" s="47">
        <f t="shared" si="0"/>
        <v>45892.083333333328</v>
      </c>
      <c r="H15" s="47">
        <f t="shared" si="0"/>
        <v>45892.124999999993</v>
      </c>
      <c r="I15" s="47">
        <f t="shared" si="0"/>
        <v>45892.166666666657</v>
      </c>
      <c r="J15" s="47">
        <f t="shared" si="0"/>
        <v>45892.208333333321</v>
      </c>
      <c r="K15" s="47">
        <f t="shared" si="0"/>
        <v>45892.249999999985</v>
      </c>
      <c r="L15" s="47">
        <f t="shared" si="0"/>
        <v>45892.29166666665</v>
      </c>
      <c r="M15" s="47">
        <f t="shared" si="0"/>
        <v>45892.333333333314</v>
      </c>
      <c r="N15" s="47">
        <f t="shared" si="0"/>
        <v>45892.374999999978</v>
      </c>
      <c r="O15" s="47">
        <f t="shared" si="0"/>
        <v>45892.416666666642</v>
      </c>
      <c r="P15" s="47">
        <f t="shared" si="0"/>
        <v>45892.458333333307</v>
      </c>
      <c r="Q15" s="47">
        <f t="shared" si="0"/>
        <v>45892.499999999971</v>
      </c>
      <c r="R15" s="47">
        <f t="shared" si="0"/>
        <v>45892.541666666635</v>
      </c>
      <c r="S15" s="47">
        <f t="shared" si="0"/>
        <v>45892.583333333299</v>
      </c>
      <c r="T15" s="47">
        <f t="shared" si="0"/>
        <v>45892.624999999964</v>
      </c>
      <c r="U15" s="47">
        <f t="shared" si="0"/>
        <v>45892.666666666628</v>
      </c>
      <c r="V15" s="47">
        <f t="shared" si="0"/>
        <v>45892.708333333292</v>
      </c>
      <c r="W15" s="47">
        <f t="shared" si="0"/>
        <v>45892.749999999956</v>
      </c>
      <c r="X15" s="47">
        <f t="shared" si="0"/>
        <v>45892.791666666621</v>
      </c>
      <c r="Y15" s="47">
        <f t="shared" si="0"/>
        <v>45892.833333333285</v>
      </c>
      <c r="Z15" s="47">
        <f t="shared" si="0"/>
        <v>45892.874999999949</v>
      </c>
      <c r="AA15" s="47">
        <f t="shared" si="0"/>
        <v>45892.916666666613</v>
      </c>
      <c r="AB15" s="47">
        <f t="shared" si="0"/>
        <v>45892.958333333278</v>
      </c>
      <c r="AC15" s="63">
        <f t="shared" si="0"/>
        <v>45892.999999999942</v>
      </c>
      <c r="AD15" s="47">
        <f t="shared" si="0"/>
        <v>45893.041666666606</v>
      </c>
      <c r="AE15" s="47">
        <f t="shared" si="0"/>
        <v>45893.08333333327</v>
      </c>
      <c r="AF15" s="47">
        <f t="shared" si="0"/>
        <v>45893.124999999935</v>
      </c>
      <c r="AG15" s="47">
        <f t="shared" si="0"/>
        <v>45893.166666666599</v>
      </c>
      <c r="AH15" s="47">
        <f t="shared" si="0"/>
        <v>45893.208333333263</v>
      </c>
      <c r="AI15" s="47">
        <f t="shared" si="0"/>
        <v>45893.249999999927</v>
      </c>
      <c r="AJ15" s="47">
        <f t="shared" si="0"/>
        <v>45893.291666666591</v>
      </c>
      <c r="AK15" s="47">
        <f t="shared" si="0"/>
        <v>45893.333333333256</v>
      </c>
      <c r="AL15" s="47">
        <f t="shared" si="0"/>
        <v>45893.37499999992</v>
      </c>
      <c r="AM15" s="47">
        <f t="shared" si="0"/>
        <v>45893.416666666584</v>
      </c>
      <c r="AN15" s="47">
        <f t="shared" si="0"/>
        <v>45893.458333333248</v>
      </c>
      <c r="AO15" s="47">
        <f t="shared" si="0"/>
        <v>45893.499999999913</v>
      </c>
      <c r="AP15" s="47">
        <f t="shared" si="0"/>
        <v>45893.541666666577</v>
      </c>
      <c r="AQ15" s="47">
        <f t="shared" si="0"/>
        <v>45893.583333333241</v>
      </c>
      <c r="AR15" s="47">
        <f t="shared" si="0"/>
        <v>45893.624999999905</v>
      </c>
      <c r="AS15" s="47">
        <f t="shared" si="0"/>
        <v>45893.66666666657</v>
      </c>
      <c r="AT15" s="47">
        <f t="shared" si="0"/>
        <v>45893.708333333234</v>
      </c>
      <c r="AU15" s="47">
        <f t="shared" si="0"/>
        <v>45893.749999999898</v>
      </c>
      <c r="AV15" s="47">
        <f t="shared" si="0"/>
        <v>45893.791666666562</v>
      </c>
      <c r="AW15" s="47">
        <f t="shared" si="0"/>
        <v>45893.833333333227</v>
      </c>
      <c r="AX15" s="47">
        <f t="shared" si="0"/>
        <v>45893.874999999891</v>
      </c>
      <c r="AY15" s="47">
        <f t="shared" si="0"/>
        <v>45893.916666666555</v>
      </c>
      <c r="AZ15" s="47">
        <f t="shared" si="0"/>
        <v>45893.958333333219</v>
      </c>
      <c r="BA15" s="63">
        <f t="shared" si="0"/>
        <v>45893.999999999884</v>
      </c>
      <c r="BB15" s="47">
        <f t="shared" si="0"/>
        <v>45894.041666666548</v>
      </c>
      <c r="BC15" s="47">
        <f t="shared" si="0"/>
        <v>45894.083333333212</v>
      </c>
      <c r="BD15" s="47">
        <f t="shared" si="0"/>
        <v>45894.124999999876</v>
      </c>
      <c r="BE15" s="47">
        <f t="shared" si="0"/>
        <v>45894.166666666541</v>
      </c>
      <c r="BF15" s="47">
        <f t="shared" si="0"/>
        <v>45894.208333333205</v>
      </c>
      <c r="BG15" s="47">
        <f t="shared" si="0"/>
        <v>45894.249999999869</v>
      </c>
      <c r="BH15" s="47">
        <f t="shared" si="0"/>
        <v>45894.291666666533</v>
      </c>
      <c r="BI15" s="47">
        <f t="shared" si="0"/>
        <v>45894.333333333198</v>
      </c>
      <c r="BJ15" s="47">
        <f t="shared" si="0"/>
        <v>45894.374999999862</v>
      </c>
      <c r="BK15" s="47">
        <f t="shared" si="0"/>
        <v>45894.416666666526</v>
      </c>
      <c r="BL15" s="47">
        <f t="shared" si="0"/>
        <v>45894.45833333319</v>
      </c>
      <c r="BM15" s="47">
        <f t="shared" si="0"/>
        <v>45894.499999999854</v>
      </c>
      <c r="BN15" s="47">
        <f t="shared" si="0"/>
        <v>45894.541666666519</v>
      </c>
      <c r="BO15" s="47">
        <f t="shared" si="0"/>
        <v>45894.583333333183</v>
      </c>
      <c r="BP15" s="47">
        <f t="shared" si="0"/>
        <v>45894.624999999847</v>
      </c>
      <c r="BQ15" s="47">
        <f t="shared" si="0"/>
        <v>45894.666666666511</v>
      </c>
      <c r="BR15" s="47">
        <f t="shared" ref="BR15:EC15" si="1">IFERROR(IF(BQ15+TIME(1,0,0)&lt;=$D$13,BQ15+TIME(1,0,0),""),"")</f>
        <v>45894.708333333176</v>
      </c>
      <c r="BS15" s="47">
        <f t="shared" si="1"/>
        <v>45894.74999999984</v>
      </c>
      <c r="BT15" s="47">
        <f t="shared" si="1"/>
        <v>45894.791666666504</v>
      </c>
      <c r="BU15" s="47">
        <f t="shared" si="1"/>
        <v>45894.833333333168</v>
      </c>
      <c r="BV15" s="47">
        <f t="shared" si="1"/>
        <v>45894.874999999833</v>
      </c>
      <c r="BW15" s="47">
        <f t="shared" si="1"/>
        <v>45894.916666666497</v>
      </c>
      <c r="BX15" s="47">
        <f t="shared" si="1"/>
        <v>45894.958333333161</v>
      </c>
      <c r="BY15" s="63">
        <f t="shared" si="1"/>
        <v>45894.999999999825</v>
      </c>
      <c r="BZ15" s="47">
        <f t="shared" si="1"/>
        <v>45895.04166666649</v>
      </c>
      <c r="CA15" s="47">
        <f t="shared" si="1"/>
        <v>45895.083333333154</v>
      </c>
      <c r="CB15" s="47">
        <f t="shared" si="1"/>
        <v>45895.124999999818</v>
      </c>
      <c r="CC15" s="47">
        <f t="shared" si="1"/>
        <v>45895.166666666482</v>
      </c>
      <c r="CD15" s="47">
        <f t="shared" si="1"/>
        <v>45895.208333333147</v>
      </c>
      <c r="CE15" s="47">
        <f t="shared" si="1"/>
        <v>45895.249999999811</v>
      </c>
      <c r="CF15" s="47">
        <f t="shared" si="1"/>
        <v>45895.291666666475</v>
      </c>
      <c r="CG15" s="47">
        <f t="shared" si="1"/>
        <v>45895.333333333139</v>
      </c>
      <c r="CH15" s="47">
        <f t="shared" si="1"/>
        <v>45895.374999999804</v>
      </c>
      <c r="CI15" s="47">
        <f t="shared" si="1"/>
        <v>45895.416666666468</v>
      </c>
      <c r="CJ15" s="47">
        <f t="shared" si="1"/>
        <v>45895.458333333132</v>
      </c>
      <c r="CK15" s="47">
        <f t="shared" si="1"/>
        <v>45895.499999999796</v>
      </c>
      <c r="CL15" s="47">
        <f t="shared" si="1"/>
        <v>45895.541666666461</v>
      </c>
      <c r="CM15" s="47">
        <f t="shared" si="1"/>
        <v>45895.583333333125</v>
      </c>
      <c r="CN15" s="47">
        <f t="shared" si="1"/>
        <v>45895.624999999789</v>
      </c>
      <c r="CO15" s="47">
        <f t="shared" si="1"/>
        <v>45895.666666666453</v>
      </c>
      <c r="CP15" s="47">
        <f t="shared" si="1"/>
        <v>45895.708333333117</v>
      </c>
      <c r="CQ15" s="47">
        <f t="shared" si="1"/>
        <v>45895.749999999782</v>
      </c>
      <c r="CR15" s="47">
        <f t="shared" si="1"/>
        <v>45895.791666666446</v>
      </c>
      <c r="CS15" s="47">
        <f t="shared" si="1"/>
        <v>45895.83333333311</v>
      </c>
      <c r="CT15" s="47">
        <f t="shared" si="1"/>
        <v>45895.874999999774</v>
      </c>
      <c r="CU15" s="47">
        <f t="shared" si="1"/>
        <v>45895.916666666439</v>
      </c>
      <c r="CV15" s="47">
        <f t="shared" si="1"/>
        <v>45895.958333333103</v>
      </c>
      <c r="CW15" s="63">
        <f t="shared" si="1"/>
        <v>45895.999999999767</v>
      </c>
      <c r="CX15" s="47">
        <f t="shared" si="1"/>
        <v>45896.041666666431</v>
      </c>
      <c r="CY15" s="47">
        <f t="shared" si="1"/>
        <v>45896.083333333096</v>
      </c>
      <c r="CZ15" s="47">
        <f t="shared" si="1"/>
        <v>45896.12499999976</v>
      </c>
      <c r="DA15" s="47">
        <f t="shared" si="1"/>
        <v>45896.166666666424</v>
      </c>
      <c r="DB15" s="47">
        <f t="shared" si="1"/>
        <v>45896.208333333088</v>
      </c>
      <c r="DC15" s="47">
        <f t="shared" si="1"/>
        <v>45896.249999999753</v>
      </c>
      <c r="DD15" s="47">
        <f t="shared" si="1"/>
        <v>45896.291666666417</v>
      </c>
      <c r="DE15" s="47">
        <f t="shared" si="1"/>
        <v>45896.333333333081</v>
      </c>
      <c r="DF15" s="47">
        <f t="shared" si="1"/>
        <v>45896.374999999745</v>
      </c>
      <c r="DG15" s="47">
        <f t="shared" si="1"/>
        <v>45896.41666666641</v>
      </c>
      <c r="DH15" s="47">
        <f t="shared" si="1"/>
        <v>45896.458333333074</v>
      </c>
      <c r="DI15" s="47">
        <f t="shared" si="1"/>
        <v>45896.499999999738</v>
      </c>
      <c r="DJ15" s="47">
        <f t="shared" si="1"/>
        <v>45896.541666666402</v>
      </c>
      <c r="DK15" s="47">
        <f t="shared" si="1"/>
        <v>45896.583333333067</v>
      </c>
      <c r="DL15" s="47">
        <f t="shared" si="1"/>
        <v>45896.624999999731</v>
      </c>
      <c r="DM15" s="47">
        <f t="shared" si="1"/>
        <v>45896.666666666395</v>
      </c>
      <c r="DN15" s="47">
        <f t="shared" si="1"/>
        <v>45896.708333333059</v>
      </c>
      <c r="DO15" s="47">
        <f t="shared" si="1"/>
        <v>45896.749999999724</v>
      </c>
      <c r="DP15" s="47">
        <f t="shared" si="1"/>
        <v>45896.791666666388</v>
      </c>
      <c r="DQ15" s="47">
        <f t="shared" si="1"/>
        <v>45896.833333333052</v>
      </c>
      <c r="DR15" s="47">
        <f t="shared" si="1"/>
        <v>45896.874999999716</v>
      </c>
      <c r="DS15" s="47">
        <f t="shared" si="1"/>
        <v>45896.91666666638</v>
      </c>
      <c r="DT15" s="47">
        <f t="shared" si="1"/>
        <v>45896.958333333045</v>
      </c>
      <c r="DU15" s="63">
        <f t="shared" si="1"/>
        <v>45896.999999999709</v>
      </c>
      <c r="DV15" s="47">
        <f t="shared" si="1"/>
        <v>45897.041666666373</v>
      </c>
      <c r="DW15" s="47">
        <f t="shared" si="1"/>
        <v>45897.083333333037</v>
      </c>
      <c r="DX15" s="47">
        <f t="shared" si="1"/>
        <v>45897.124999999702</v>
      </c>
      <c r="DY15" s="47">
        <f t="shared" si="1"/>
        <v>45897.166666666366</v>
      </c>
      <c r="DZ15" s="47">
        <f t="shared" si="1"/>
        <v>45897.20833333303</v>
      </c>
      <c r="EA15" s="47">
        <f t="shared" si="1"/>
        <v>45897.249999999694</v>
      </c>
      <c r="EB15" s="47">
        <f t="shared" si="1"/>
        <v>45897.291666666359</v>
      </c>
      <c r="EC15" s="47">
        <f t="shared" si="1"/>
        <v>45897.333333333023</v>
      </c>
      <c r="ED15" s="47">
        <f t="shared" ref="ED15:FP15" si="2">IFERROR(IF(EC15+TIME(1,0,0)&lt;=$D$13,EC15+TIME(1,0,0),""),"")</f>
        <v>45897.374999999687</v>
      </c>
      <c r="EE15" s="47">
        <f t="shared" si="2"/>
        <v>45897.416666666351</v>
      </c>
      <c r="EF15" s="47">
        <f t="shared" si="2"/>
        <v>45897.458333333016</v>
      </c>
      <c r="EG15" s="47">
        <f t="shared" si="2"/>
        <v>45897.49999999968</v>
      </c>
      <c r="EH15" s="47">
        <f t="shared" si="2"/>
        <v>45897.541666666344</v>
      </c>
      <c r="EI15" s="47">
        <f t="shared" si="2"/>
        <v>45897.583333333008</v>
      </c>
      <c r="EJ15" s="47">
        <f t="shared" si="2"/>
        <v>45897.624999999673</v>
      </c>
      <c r="EK15" s="47">
        <f t="shared" si="2"/>
        <v>45897.666666666337</v>
      </c>
      <c r="EL15" s="47">
        <f t="shared" si="2"/>
        <v>45897.708333333001</v>
      </c>
      <c r="EM15" s="47">
        <f t="shared" si="2"/>
        <v>45897.749999999665</v>
      </c>
      <c r="EN15" s="47">
        <f t="shared" si="2"/>
        <v>45897.79166666633</v>
      </c>
      <c r="EO15" s="47">
        <f t="shared" si="2"/>
        <v>45897.833333332994</v>
      </c>
      <c r="EP15" s="47">
        <f t="shared" si="2"/>
        <v>45897.874999999658</v>
      </c>
      <c r="EQ15" s="47">
        <f t="shared" si="2"/>
        <v>45897.916666666322</v>
      </c>
      <c r="ER15" s="47">
        <f t="shared" si="2"/>
        <v>45897.958333332987</v>
      </c>
      <c r="ES15" s="63">
        <f t="shared" si="2"/>
        <v>45897.999999999651</v>
      </c>
      <c r="ET15" s="47">
        <f t="shared" si="2"/>
        <v>45898.041666666315</v>
      </c>
      <c r="EU15" s="47">
        <f t="shared" si="2"/>
        <v>45898.083333332979</v>
      </c>
      <c r="EV15" s="47">
        <f t="shared" si="2"/>
        <v>45898.124999999643</v>
      </c>
      <c r="EW15" s="47">
        <f t="shared" si="2"/>
        <v>45898.166666666308</v>
      </c>
      <c r="EX15" s="47">
        <f t="shared" si="2"/>
        <v>45898.208333332972</v>
      </c>
      <c r="EY15" s="47">
        <f t="shared" si="2"/>
        <v>45898.249999999636</v>
      </c>
      <c r="EZ15" s="47">
        <f t="shared" si="2"/>
        <v>45898.2916666663</v>
      </c>
      <c r="FA15" s="47">
        <f t="shared" si="2"/>
        <v>45898.333333332965</v>
      </c>
      <c r="FB15" s="47">
        <f t="shared" si="2"/>
        <v>45898.374999999629</v>
      </c>
      <c r="FC15" s="47">
        <f t="shared" si="2"/>
        <v>45898.416666666293</v>
      </c>
      <c r="FD15" s="47">
        <f t="shared" si="2"/>
        <v>45898.458333332957</v>
      </c>
      <c r="FE15" s="47">
        <f t="shared" si="2"/>
        <v>45898.499999999622</v>
      </c>
      <c r="FF15" s="47">
        <f t="shared" si="2"/>
        <v>45898.541666666286</v>
      </c>
      <c r="FG15" s="47">
        <f t="shared" si="2"/>
        <v>45898.58333333295</v>
      </c>
      <c r="FH15" s="47">
        <f t="shared" si="2"/>
        <v>45898.624999999614</v>
      </c>
      <c r="FI15" s="47">
        <f t="shared" si="2"/>
        <v>45898.666666666279</v>
      </c>
      <c r="FJ15" s="47">
        <f t="shared" si="2"/>
        <v>45898.708333332943</v>
      </c>
      <c r="FK15" s="47">
        <f t="shared" si="2"/>
        <v>45898.749999999607</v>
      </c>
      <c r="FL15" s="47">
        <f t="shared" si="2"/>
        <v>45898.791666666271</v>
      </c>
      <c r="FM15" s="47">
        <f t="shared" si="2"/>
        <v>45898.833333332936</v>
      </c>
      <c r="FN15" s="47">
        <f t="shared" si="2"/>
        <v>45898.8749999996</v>
      </c>
      <c r="FO15" s="47">
        <f t="shared" si="2"/>
        <v>45898.916666666264</v>
      </c>
      <c r="FP15" s="47">
        <f t="shared" si="2"/>
        <v>45898.958333332928</v>
      </c>
      <c r="FQ15" s="71"/>
    </row>
    <row r="16" spans="1:173" s="35" customFormat="1">
      <c r="A16" s="15" t="s">
        <v>376</v>
      </c>
      <c r="B16"/>
      <c r="C16"/>
      <c r="D16"/>
      <c r="E16" s="48">
        <f>DAY(E15)</f>
        <v>23</v>
      </c>
      <c r="F16" s="48">
        <f t="shared" ref="F16:BQ16" si="3">DAY(F15)</f>
        <v>23</v>
      </c>
      <c r="G16" s="48">
        <f t="shared" si="3"/>
        <v>23</v>
      </c>
      <c r="H16" s="48">
        <f t="shared" si="3"/>
        <v>23</v>
      </c>
      <c r="I16" s="48">
        <f t="shared" si="3"/>
        <v>23</v>
      </c>
      <c r="J16" s="48">
        <f t="shared" si="3"/>
        <v>23</v>
      </c>
      <c r="K16" s="48">
        <f t="shared" si="3"/>
        <v>23</v>
      </c>
      <c r="L16" s="48">
        <f t="shared" si="3"/>
        <v>23</v>
      </c>
      <c r="M16" s="48">
        <f t="shared" si="3"/>
        <v>23</v>
      </c>
      <c r="N16" s="48">
        <f t="shared" si="3"/>
        <v>23</v>
      </c>
      <c r="O16" s="48">
        <f t="shared" si="3"/>
        <v>23</v>
      </c>
      <c r="P16" s="48">
        <f t="shared" si="3"/>
        <v>23</v>
      </c>
      <c r="Q16" s="48">
        <f t="shared" si="3"/>
        <v>23</v>
      </c>
      <c r="R16" s="48">
        <f t="shared" si="3"/>
        <v>23</v>
      </c>
      <c r="S16" s="48">
        <f t="shared" si="3"/>
        <v>23</v>
      </c>
      <c r="T16" s="48">
        <f t="shared" si="3"/>
        <v>23</v>
      </c>
      <c r="U16" s="48">
        <f t="shared" si="3"/>
        <v>23</v>
      </c>
      <c r="V16" s="48">
        <f t="shared" si="3"/>
        <v>23</v>
      </c>
      <c r="W16" s="48">
        <f t="shared" si="3"/>
        <v>23</v>
      </c>
      <c r="X16" s="48">
        <f t="shared" si="3"/>
        <v>23</v>
      </c>
      <c r="Y16" s="48">
        <f t="shared" si="3"/>
        <v>23</v>
      </c>
      <c r="Z16" s="48">
        <f t="shared" si="3"/>
        <v>23</v>
      </c>
      <c r="AA16" s="48">
        <f t="shared" si="3"/>
        <v>23</v>
      </c>
      <c r="AB16" s="48">
        <f t="shared" si="3"/>
        <v>23</v>
      </c>
      <c r="AC16" s="64">
        <f t="shared" si="3"/>
        <v>24</v>
      </c>
      <c r="AD16" s="48">
        <f t="shared" si="3"/>
        <v>24</v>
      </c>
      <c r="AE16" s="48">
        <f t="shared" si="3"/>
        <v>24</v>
      </c>
      <c r="AF16" s="48">
        <f t="shared" si="3"/>
        <v>24</v>
      </c>
      <c r="AG16" s="48">
        <f t="shared" si="3"/>
        <v>24</v>
      </c>
      <c r="AH16" s="48">
        <f t="shared" si="3"/>
        <v>24</v>
      </c>
      <c r="AI16" s="48">
        <f t="shared" si="3"/>
        <v>24</v>
      </c>
      <c r="AJ16" s="48">
        <f t="shared" si="3"/>
        <v>24</v>
      </c>
      <c r="AK16" s="48">
        <f t="shared" si="3"/>
        <v>24</v>
      </c>
      <c r="AL16" s="48">
        <f t="shared" si="3"/>
        <v>24</v>
      </c>
      <c r="AM16" s="48">
        <f t="shared" si="3"/>
        <v>24</v>
      </c>
      <c r="AN16" s="48">
        <f t="shared" si="3"/>
        <v>24</v>
      </c>
      <c r="AO16" s="48">
        <f t="shared" si="3"/>
        <v>24</v>
      </c>
      <c r="AP16" s="48">
        <f t="shared" si="3"/>
        <v>24</v>
      </c>
      <c r="AQ16" s="48">
        <f t="shared" si="3"/>
        <v>24</v>
      </c>
      <c r="AR16" s="48">
        <f t="shared" si="3"/>
        <v>24</v>
      </c>
      <c r="AS16" s="48">
        <f t="shared" si="3"/>
        <v>24</v>
      </c>
      <c r="AT16" s="48">
        <f t="shared" si="3"/>
        <v>24</v>
      </c>
      <c r="AU16" s="48">
        <f t="shared" si="3"/>
        <v>24</v>
      </c>
      <c r="AV16" s="48">
        <f t="shared" si="3"/>
        <v>24</v>
      </c>
      <c r="AW16" s="48">
        <f t="shared" si="3"/>
        <v>24</v>
      </c>
      <c r="AX16" s="48">
        <f t="shared" si="3"/>
        <v>24</v>
      </c>
      <c r="AY16" s="48">
        <f t="shared" si="3"/>
        <v>24</v>
      </c>
      <c r="AZ16" s="48">
        <f t="shared" si="3"/>
        <v>24</v>
      </c>
      <c r="BA16" s="64">
        <f t="shared" si="3"/>
        <v>25</v>
      </c>
      <c r="BB16" s="48">
        <f t="shared" si="3"/>
        <v>25</v>
      </c>
      <c r="BC16" s="48">
        <f t="shared" si="3"/>
        <v>25</v>
      </c>
      <c r="BD16" s="48">
        <f t="shared" si="3"/>
        <v>25</v>
      </c>
      <c r="BE16" s="48">
        <f t="shared" si="3"/>
        <v>25</v>
      </c>
      <c r="BF16" s="48">
        <f t="shared" si="3"/>
        <v>25</v>
      </c>
      <c r="BG16" s="48">
        <f t="shared" si="3"/>
        <v>25</v>
      </c>
      <c r="BH16" s="48">
        <f t="shared" si="3"/>
        <v>25</v>
      </c>
      <c r="BI16" s="48">
        <f t="shared" si="3"/>
        <v>25</v>
      </c>
      <c r="BJ16" s="48">
        <f t="shared" si="3"/>
        <v>25</v>
      </c>
      <c r="BK16" s="48">
        <f t="shared" si="3"/>
        <v>25</v>
      </c>
      <c r="BL16" s="48">
        <f t="shared" si="3"/>
        <v>25</v>
      </c>
      <c r="BM16" s="48">
        <f t="shared" si="3"/>
        <v>25</v>
      </c>
      <c r="BN16" s="48">
        <f t="shared" si="3"/>
        <v>25</v>
      </c>
      <c r="BO16" s="48">
        <f t="shared" si="3"/>
        <v>25</v>
      </c>
      <c r="BP16" s="48">
        <f t="shared" si="3"/>
        <v>25</v>
      </c>
      <c r="BQ16" s="48">
        <f t="shared" si="3"/>
        <v>25</v>
      </c>
      <c r="BR16" s="48">
        <f t="shared" ref="BR16:EC16" si="4">DAY(BR15)</f>
        <v>25</v>
      </c>
      <c r="BS16" s="48">
        <f t="shared" si="4"/>
        <v>25</v>
      </c>
      <c r="BT16" s="48">
        <f t="shared" si="4"/>
        <v>25</v>
      </c>
      <c r="BU16" s="48">
        <f t="shared" si="4"/>
        <v>25</v>
      </c>
      <c r="BV16" s="48">
        <f t="shared" si="4"/>
        <v>25</v>
      </c>
      <c r="BW16" s="48">
        <f t="shared" si="4"/>
        <v>25</v>
      </c>
      <c r="BX16" s="48">
        <f t="shared" si="4"/>
        <v>25</v>
      </c>
      <c r="BY16" s="64">
        <f t="shared" si="4"/>
        <v>26</v>
      </c>
      <c r="BZ16" s="48">
        <f t="shared" si="4"/>
        <v>26</v>
      </c>
      <c r="CA16" s="48">
        <f t="shared" si="4"/>
        <v>26</v>
      </c>
      <c r="CB16" s="48">
        <f t="shared" si="4"/>
        <v>26</v>
      </c>
      <c r="CC16" s="48">
        <f t="shared" si="4"/>
        <v>26</v>
      </c>
      <c r="CD16" s="48">
        <f t="shared" si="4"/>
        <v>26</v>
      </c>
      <c r="CE16" s="48">
        <f t="shared" si="4"/>
        <v>26</v>
      </c>
      <c r="CF16" s="48">
        <f t="shared" si="4"/>
        <v>26</v>
      </c>
      <c r="CG16" s="48">
        <f t="shared" si="4"/>
        <v>26</v>
      </c>
      <c r="CH16" s="48">
        <f t="shared" si="4"/>
        <v>26</v>
      </c>
      <c r="CI16" s="48">
        <f t="shared" si="4"/>
        <v>26</v>
      </c>
      <c r="CJ16" s="48">
        <f t="shared" si="4"/>
        <v>26</v>
      </c>
      <c r="CK16" s="48">
        <f t="shared" si="4"/>
        <v>26</v>
      </c>
      <c r="CL16" s="48">
        <f t="shared" si="4"/>
        <v>26</v>
      </c>
      <c r="CM16" s="48">
        <f t="shared" si="4"/>
        <v>26</v>
      </c>
      <c r="CN16" s="48">
        <f t="shared" si="4"/>
        <v>26</v>
      </c>
      <c r="CO16" s="48">
        <f t="shared" si="4"/>
        <v>26</v>
      </c>
      <c r="CP16" s="48">
        <f t="shared" si="4"/>
        <v>26</v>
      </c>
      <c r="CQ16" s="48">
        <f t="shared" si="4"/>
        <v>26</v>
      </c>
      <c r="CR16" s="48">
        <f t="shared" si="4"/>
        <v>26</v>
      </c>
      <c r="CS16" s="48">
        <f t="shared" si="4"/>
        <v>26</v>
      </c>
      <c r="CT16" s="48">
        <f t="shared" si="4"/>
        <v>26</v>
      </c>
      <c r="CU16" s="48">
        <f t="shared" si="4"/>
        <v>26</v>
      </c>
      <c r="CV16" s="48">
        <f t="shared" si="4"/>
        <v>26</v>
      </c>
      <c r="CW16" s="64">
        <f t="shared" si="4"/>
        <v>27</v>
      </c>
      <c r="CX16" s="48">
        <f t="shared" si="4"/>
        <v>27</v>
      </c>
      <c r="CY16" s="48">
        <f t="shared" si="4"/>
        <v>27</v>
      </c>
      <c r="CZ16" s="48">
        <f t="shared" si="4"/>
        <v>27</v>
      </c>
      <c r="DA16" s="48">
        <f t="shared" si="4"/>
        <v>27</v>
      </c>
      <c r="DB16" s="48">
        <f t="shared" si="4"/>
        <v>27</v>
      </c>
      <c r="DC16" s="48">
        <f t="shared" si="4"/>
        <v>27</v>
      </c>
      <c r="DD16" s="48">
        <f t="shared" si="4"/>
        <v>27</v>
      </c>
      <c r="DE16" s="48">
        <f t="shared" si="4"/>
        <v>27</v>
      </c>
      <c r="DF16" s="48">
        <f t="shared" si="4"/>
        <v>27</v>
      </c>
      <c r="DG16" s="48">
        <f t="shared" si="4"/>
        <v>27</v>
      </c>
      <c r="DH16" s="48">
        <f t="shared" si="4"/>
        <v>27</v>
      </c>
      <c r="DI16" s="48">
        <f t="shared" si="4"/>
        <v>27</v>
      </c>
      <c r="DJ16" s="48">
        <f t="shared" si="4"/>
        <v>27</v>
      </c>
      <c r="DK16" s="48">
        <f t="shared" si="4"/>
        <v>27</v>
      </c>
      <c r="DL16" s="48">
        <f t="shared" si="4"/>
        <v>27</v>
      </c>
      <c r="DM16" s="48">
        <f t="shared" si="4"/>
        <v>27</v>
      </c>
      <c r="DN16" s="48">
        <f t="shared" si="4"/>
        <v>27</v>
      </c>
      <c r="DO16" s="48">
        <f t="shared" si="4"/>
        <v>27</v>
      </c>
      <c r="DP16" s="48">
        <f t="shared" si="4"/>
        <v>27</v>
      </c>
      <c r="DQ16" s="48">
        <f t="shared" si="4"/>
        <v>27</v>
      </c>
      <c r="DR16" s="48">
        <f t="shared" si="4"/>
        <v>27</v>
      </c>
      <c r="DS16" s="48">
        <f t="shared" si="4"/>
        <v>27</v>
      </c>
      <c r="DT16" s="48">
        <f t="shared" si="4"/>
        <v>27</v>
      </c>
      <c r="DU16" s="64">
        <f t="shared" si="4"/>
        <v>28</v>
      </c>
      <c r="DV16" s="48">
        <f t="shared" si="4"/>
        <v>28</v>
      </c>
      <c r="DW16" s="48">
        <f t="shared" si="4"/>
        <v>28</v>
      </c>
      <c r="DX16" s="48">
        <f t="shared" si="4"/>
        <v>28</v>
      </c>
      <c r="DY16" s="48">
        <f t="shared" si="4"/>
        <v>28</v>
      </c>
      <c r="DZ16" s="48">
        <f t="shared" si="4"/>
        <v>28</v>
      </c>
      <c r="EA16" s="48">
        <f t="shared" si="4"/>
        <v>28</v>
      </c>
      <c r="EB16" s="48">
        <f t="shared" si="4"/>
        <v>28</v>
      </c>
      <c r="EC16" s="48">
        <f t="shared" si="4"/>
        <v>28</v>
      </c>
      <c r="ED16" s="48">
        <f t="shared" ref="ED16:FP16" si="5">DAY(ED15)</f>
        <v>28</v>
      </c>
      <c r="EE16" s="48">
        <f t="shared" si="5"/>
        <v>28</v>
      </c>
      <c r="EF16" s="48">
        <f t="shared" si="5"/>
        <v>28</v>
      </c>
      <c r="EG16" s="48">
        <f t="shared" si="5"/>
        <v>28</v>
      </c>
      <c r="EH16" s="48">
        <f t="shared" si="5"/>
        <v>28</v>
      </c>
      <c r="EI16" s="48">
        <f t="shared" si="5"/>
        <v>28</v>
      </c>
      <c r="EJ16" s="48">
        <f t="shared" si="5"/>
        <v>28</v>
      </c>
      <c r="EK16" s="48">
        <f t="shared" si="5"/>
        <v>28</v>
      </c>
      <c r="EL16" s="48">
        <f t="shared" si="5"/>
        <v>28</v>
      </c>
      <c r="EM16" s="48">
        <f t="shared" si="5"/>
        <v>28</v>
      </c>
      <c r="EN16" s="48">
        <f t="shared" si="5"/>
        <v>28</v>
      </c>
      <c r="EO16" s="48">
        <f t="shared" si="5"/>
        <v>28</v>
      </c>
      <c r="EP16" s="48">
        <f t="shared" si="5"/>
        <v>28</v>
      </c>
      <c r="EQ16" s="48">
        <f t="shared" si="5"/>
        <v>28</v>
      </c>
      <c r="ER16" s="48">
        <f t="shared" si="5"/>
        <v>28</v>
      </c>
      <c r="ES16" s="64">
        <f t="shared" si="5"/>
        <v>29</v>
      </c>
      <c r="ET16" s="48">
        <f t="shared" si="5"/>
        <v>29</v>
      </c>
      <c r="EU16" s="48">
        <f t="shared" si="5"/>
        <v>29</v>
      </c>
      <c r="EV16" s="48">
        <f t="shared" si="5"/>
        <v>29</v>
      </c>
      <c r="EW16" s="48">
        <f t="shared" si="5"/>
        <v>29</v>
      </c>
      <c r="EX16" s="48">
        <f t="shared" si="5"/>
        <v>29</v>
      </c>
      <c r="EY16" s="48">
        <f t="shared" si="5"/>
        <v>29</v>
      </c>
      <c r="EZ16" s="48">
        <f t="shared" si="5"/>
        <v>29</v>
      </c>
      <c r="FA16" s="48">
        <f t="shared" si="5"/>
        <v>29</v>
      </c>
      <c r="FB16" s="48">
        <f t="shared" si="5"/>
        <v>29</v>
      </c>
      <c r="FC16" s="48">
        <f t="shared" si="5"/>
        <v>29</v>
      </c>
      <c r="FD16" s="48">
        <f t="shared" si="5"/>
        <v>29</v>
      </c>
      <c r="FE16" s="48">
        <f t="shared" si="5"/>
        <v>29</v>
      </c>
      <c r="FF16" s="48">
        <f t="shared" si="5"/>
        <v>29</v>
      </c>
      <c r="FG16" s="48">
        <f t="shared" si="5"/>
        <v>29</v>
      </c>
      <c r="FH16" s="48">
        <f t="shared" si="5"/>
        <v>29</v>
      </c>
      <c r="FI16" s="48">
        <f t="shared" si="5"/>
        <v>29</v>
      </c>
      <c r="FJ16" s="48">
        <f t="shared" si="5"/>
        <v>29</v>
      </c>
      <c r="FK16" s="48">
        <f t="shared" si="5"/>
        <v>29</v>
      </c>
      <c r="FL16" s="48">
        <f t="shared" si="5"/>
        <v>29</v>
      </c>
      <c r="FM16" s="48">
        <f t="shared" si="5"/>
        <v>29</v>
      </c>
      <c r="FN16" s="48">
        <f t="shared" si="5"/>
        <v>29</v>
      </c>
      <c r="FO16" s="48">
        <f t="shared" si="5"/>
        <v>29</v>
      </c>
      <c r="FP16" s="48">
        <f t="shared" si="5"/>
        <v>29</v>
      </c>
      <c r="FQ16" s="71"/>
    </row>
    <row r="17" spans="1:173" s="35" customFormat="1">
      <c r="A17" s="15" t="s">
        <v>374</v>
      </c>
      <c r="B17"/>
      <c r="C17"/>
      <c r="D17"/>
      <c r="E17" s="49">
        <f>D12</f>
        <v>45892</v>
      </c>
      <c r="F17" s="49">
        <f>IFERROR(IF(E17+1&lt;=$D$13,E17+1,""),"")</f>
        <v>45893</v>
      </c>
      <c r="G17" s="49">
        <f t="shared" ref="G17:M17" si="6">IFERROR(IF(F17+1&lt;=$D$13,F17+1,""),"")</f>
        <v>45894</v>
      </c>
      <c r="H17" s="49">
        <f t="shared" si="6"/>
        <v>45895</v>
      </c>
      <c r="I17" s="49">
        <f t="shared" si="6"/>
        <v>45896</v>
      </c>
      <c r="J17" s="49">
        <f t="shared" si="6"/>
        <v>45897</v>
      </c>
      <c r="K17" s="49">
        <f t="shared" si="6"/>
        <v>45898</v>
      </c>
      <c r="L17" s="49">
        <f>IFERROR(IF(K17+1&lt;=$D$13,K17+1,""),"")</f>
        <v>45899</v>
      </c>
      <c r="M17" s="49" t="str">
        <f t="shared" si="6"/>
        <v/>
      </c>
      <c r="N17" s="49"/>
      <c r="O17" s="49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63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63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63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63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63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63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71"/>
    </row>
    <row r="18" spans="1:173" s="35" customFormat="1">
      <c r="A18" s="15" t="s">
        <v>376</v>
      </c>
      <c r="B18"/>
      <c r="C18"/>
      <c r="D18"/>
      <c r="E18" s="48">
        <f>DAY(E17)</f>
        <v>23</v>
      </c>
      <c r="F18" s="48">
        <f t="shared" ref="F18:K18" si="7">DAY(F17)</f>
        <v>24</v>
      </c>
      <c r="G18" s="48">
        <f t="shared" si="7"/>
        <v>25</v>
      </c>
      <c r="H18" s="48">
        <f t="shared" si="7"/>
        <v>26</v>
      </c>
      <c r="I18" s="48">
        <f t="shared" si="7"/>
        <v>27</v>
      </c>
      <c r="J18" s="48">
        <f t="shared" si="7"/>
        <v>28</v>
      </c>
      <c r="K18" s="48">
        <f t="shared" si="7"/>
        <v>29</v>
      </c>
      <c r="L18" s="49"/>
      <c r="M18" s="49"/>
      <c r="N18" s="49"/>
      <c r="O18" s="49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63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63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63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63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63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63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47"/>
      <c r="FL18" s="47"/>
      <c r="FM18" s="47"/>
      <c r="FN18" s="47"/>
      <c r="FO18" s="47"/>
      <c r="FP18" s="47"/>
      <c r="FQ18" s="71"/>
    </row>
    <row r="20" spans="1:173" ht="21" thickBot="1">
      <c r="A20" s="1" t="s">
        <v>139</v>
      </c>
      <c r="B20" s="7" t="s">
        <v>32</v>
      </c>
      <c r="C20" s="3" t="s">
        <v>132</v>
      </c>
      <c r="D20" s="3"/>
      <c r="E20" s="3" t="s">
        <v>143</v>
      </c>
      <c r="F20" s="3" t="s">
        <v>144</v>
      </c>
      <c r="G20" s="3" t="s">
        <v>145</v>
      </c>
      <c r="H20" s="3" t="s">
        <v>146</v>
      </c>
      <c r="I20" s="3" t="s">
        <v>147</v>
      </c>
      <c r="J20" s="3" t="s">
        <v>148</v>
      </c>
      <c r="K20" s="3" t="s">
        <v>149</v>
      </c>
      <c r="L20" s="3" t="s">
        <v>150</v>
      </c>
      <c r="M20" s="3" t="s">
        <v>151</v>
      </c>
      <c r="N20" s="3" t="s">
        <v>152</v>
      </c>
      <c r="O20" s="3" t="s">
        <v>153</v>
      </c>
      <c r="P20" s="3" t="s">
        <v>154</v>
      </c>
      <c r="Q20" s="3" t="s">
        <v>155</v>
      </c>
      <c r="R20" s="3" t="s">
        <v>156</v>
      </c>
      <c r="S20" s="3" t="s">
        <v>157</v>
      </c>
      <c r="T20" s="3" t="s">
        <v>158</v>
      </c>
      <c r="U20" s="3" t="s">
        <v>159</v>
      </c>
      <c r="V20" s="3" t="s">
        <v>160</v>
      </c>
      <c r="W20" s="3" t="s">
        <v>161</v>
      </c>
      <c r="X20" s="3" t="s">
        <v>162</v>
      </c>
      <c r="Y20" s="3" t="s">
        <v>163</v>
      </c>
      <c r="Z20" s="3" t="s">
        <v>164</v>
      </c>
      <c r="AA20" s="3" t="s">
        <v>165</v>
      </c>
      <c r="AB20" s="3" t="s">
        <v>166</v>
      </c>
    </row>
    <row r="21" spans="1:173" ht="16" thickTop="1">
      <c r="A21" t="s">
        <v>187</v>
      </c>
      <c r="B21" s="2" t="s">
        <v>137</v>
      </c>
      <c r="E21" s="8" t="s">
        <v>133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6"/>
    </row>
    <row r="22" spans="1:173">
      <c r="A22" t="s">
        <v>188</v>
      </c>
      <c r="B22" s="2" t="s">
        <v>138</v>
      </c>
      <c r="E22" s="8" t="s">
        <v>135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36"/>
    </row>
    <row r="23" spans="1:173">
      <c r="A23" t="s">
        <v>189</v>
      </c>
      <c r="B23" s="2" t="s">
        <v>140</v>
      </c>
      <c r="E23" s="8" t="s">
        <v>134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36"/>
    </row>
    <row r="24" spans="1:173">
      <c r="A24" t="s">
        <v>190</v>
      </c>
      <c r="B24" s="2" t="s">
        <v>170</v>
      </c>
      <c r="E24" s="8" t="s">
        <v>136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191</v>
      </c>
      <c r="B25" s="2" t="s">
        <v>141</v>
      </c>
      <c r="E25" s="8" t="s">
        <v>142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194</v>
      </c>
      <c r="B26" s="2" t="s">
        <v>195</v>
      </c>
      <c r="E26" s="8" t="s">
        <v>133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192</v>
      </c>
      <c r="B27" s="2" t="s">
        <v>193</v>
      </c>
      <c r="E27" s="8" t="s">
        <v>135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9" spans="1:173" ht="21" thickBot="1">
      <c r="A29" s="1" t="s">
        <v>53</v>
      </c>
      <c r="B29" s="7" t="s">
        <v>32</v>
      </c>
      <c r="C29" s="3" t="s">
        <v>132</v>
      </c>
      <c r="D29" s="3" t="s">
        <v>58</v>
      </c>
      <c r="E29" s="3" t="s">
        <v>7</v>
      </c>
      <c r="F29" s="3" t="s">
        <v>8</v>
      </c>
      <c r="G29" s="3" t="s">
        <v>9</v>
      </c>
      <c r="H29" s="3" t="s">
        <v>10</v>
      </c>
      <c r="I29" s="3" t="s">
        <v>11</v>
      </c>
      <c r="J29" s="3" t="s">
        <v>12</v>
      </c>
      <c r="K29" s="3" t="s">
        <v>13</v>
      </c>
      <c r="L29" s="3" t="s">
        <v>14</v>
      </c>
      <c r="M29" s="3" t="s">
        <v>15</v>
      </c>
      <c r="N29" s="3" t="s">
        <v>16</v>
      </c>
      <c r="O29" s="3" t="s">
        <v>17</v>
      </c>
      <c r="P29" s="3" t="s">
        <v>18</v>
      </c>
      <c r="Q29" s="3" t="s">
        <v>19</v>
      </c>
      <c r="R29" s="3" t="s">
        <v>20</v>
      </c>
      <c r="S29" s="3" t="s">
        <v>21</v>
      </c>
      <c r="T29" s="3" t="s">
        <v>22</v>
      </c>
      <c r="U29" s="3" t="s">
        <v>23</v>
      </c>
      <c r="V29" s="3" t="s">
        <v>24</v>
      </c>
      <c r="W29" s="3" t="s">
        <v>25</v>
      </c>
      <c r="X29" s="3" t="s">
        <v>26</v>
      </c>
      <c r="Y29" s="3" t="s">
        <v>27</v>
      </c>
      <c r="Z29" s="3" t="s">
        <v>28</v>
      </c>
      <c r="AA29" s="3" t="s">
        <v>29</v>
      </c>
      <c r="AB29" s="3" t="s">
        <v>30</v>
      </c>
      <c r="AC29" s="65" t="s">
        <v>221</v>
      </c>
      <c r="AD29" s="3" t="s">
        <v>222</v>
      </c>
      <c r="AE29" s="3" t="s">
        <v>223</v>
      </c>
      <c r="AF29" s="3" t="s">
        <v>224</v>
      </c>
      <c r="AG29" s="3" t="s">
        <v>225</v>
      </c>
      <c r="AH29" s="3" t="s">
        <v>226</v>
      </c>
      <c r="AI29" s="3" t="s">
        <v>227</v>
      </c>
      <c r="AJ29" s="3" t="s">
        <v>228</v>
      </c>
      <c r="AK29" s="3" t="s">
        <v>229</v>
      </c>
      <c r="AL29" s="3" t="s">
        <v>230</v>
      </c>
      <c r="AM29" s="3" t="s">
        <v>231</v>
      </c>
      <c r="AN29" s="3" t="s">
        <v>232</v>
      </c>
      <c r="AO29" s="3" t="s">
        <v>233</v>
      </c>
      <c r="AP29" s="3" t="s">
        <v>234</v>
      </c>
      <c r="AQ29" s="3" t="s">
        <v>235</v>
      </c>
      <c r="AR29" s="3" t="s">
        <v>236</v>
      </c>
      <c r="AS29" s="3" t="s">
        <v>237</v>
      </c>
      <c r="AT29" s="3" t="s">
        <v>238</v>
      </c>
      <c r="AU29" s="3" t="s">
        <v>239</v>
      </c>
      <c r="AV29" s="3" t="s">
        <v>240</v>
      </c>
      <c r="AW29" s="3" t="s">
        <v>241</v>
      </c>
      <c r="AX29" s="3" t="s">
        <v>242</v>
      </c>
      <c r="AY29" s="3" t="s">
        <v>243</v>
      </c>
      <c r="AZ29" s="3" t="s">
        <v>244</v>
      </c>
      <c r="BA29" s="65" t="s">
        <v>245</v>
      </c>
      <c r="BB29" s="3" t="s">
        <v>246</v>
      </c>
      <c r="BC29" s="3" t="s">
        <v>247</v>
      </c>
      <c r="BD29" s="3" t="s">
        <v>248</v>
      </c>
      <c r="BE29" s="3" t="s">
        <v>249</v>
      </c>
      <c r="BF29" s="3" t="s">
        <v>250</v>
      </c>
      <c r="BG29" s="3" t="s">
        <v>251</v>
      </c>
      <c r="BH29" s="3" t="s">
        <v>252</v>
      </c>
      <c r="BI29" s="3" t="s">
        <v>253</v>
      </c>
      <c r="BJ29" s="3" t="s">
        <v>254</v>
      </c>
      <c r="BK29" s="3" t="s">
        <v>255</v>
      </c>
      <c r="BL29" s="3" t="s">
        <v>256</v>
      </c>
      <c r="BM29" s="3" t="s">
        <v>257</v>
      </c>
      <c r="BN29" s="3" t="s">
        <v>258</v>
      </c>
      <c r="BO29" s="3" t="s">
        <v>259</v>
      </c>
      <c r="BP29" s="3" t="s">
        <v>260</v>
      </c>
      <c r="BQ29" s="3" t="s">
        <v>261</v>
      </c>
      <c r="BR29" s="3" t="s">
        <v>262</v>
      </c>
      <c r="BS29" s="3" t="s">
        <v>263</v>
      </c>
      <c r="BT29" s="3" t="s">
        <v>264</v>
      </c>
      <c r="BU29" s="3" t="s">
        <v>265</v>
      </c>
      <c r="BV29" s="3" t="s">
        <v>266</v>
      </c>
      <c r="BW29" s="3" t="s">
        <v>267</v>
      </c>
      <c r="BX29" s="3" t="s">
        <v>268</v>
      </c>
      <c r="BY29" s="65" t="s">
        <v>269</v>
      </c>
      <c r="BZ29" s="3" t="s">
        <v>270</v>
      </c>
      <c r="CA29" s="3" t="s">
        <v>271</v>
      </c>
      <c r="CB29" s="3" t="s">
        <v>272</v>
      </c>
      <c r="CC29" s="3" t="s">
        <v>273</v>
      </c>
      <c r="CD29" s="3" t="s">
        <v>274</v>
      </c>
      <c r="CE29" s="3" t="s">
        <v>275</v>
      </c>
      <c r="CF29" s="3" t="s">
        <v>276</v>
      </c>
      <c r="CG29" s="3" t="s">
        <v>277</v>
      </c>
      <c r="CH29" s="3" t="s">
        <v>278</v>
      </c>
      <c r="CI29" s="3" t="s">
        <v>279</v>
      </c>
      <c r="CJ29" s="3" t="s">
        <v>280</v>
      </c>
      <c r="CK29" s="3" t="s">
        <v>281</v>
      </c>
      <c r="CL29" s="3" t="s">
        <v>282</v>
      </c>
      <c r="CM29" s="3" t="s">
        <v>283</v>
      </c>
      <c r="CN29" s="3" t="s">
        <v>284</v>
      </c>
      <c r="CO29" s="3" t="s">
        <v>285</v>
      </c>
      <c r="CP29" s="3" t="s">
        <v>286</v>
      </c>
      <c r="CQ29" s="3" t="s">
        <v>287</v>
      </c>
      <c r="CR29" s="3" t="s">
        <v>288</v>
      </c>
      <c r="CS29" s="3" t="s">
        <v>289</v>
      </c>
      <c r="CT29" s="3" t="s">
        <v>290</v>
      </c>
      <c r="CU29" s="3" t="s">
        <v>291</v>
      </c>
      <c r="CV29" s="3" t="s">
        <v>292</v>
      </c>
      <c r="CW29" s="65" t="s">
        <v>293</v>
      </c>
      <c r="CX29" s="3" t="s">
        <v>294</v>
      </c>
      <c r="CY29" s="3" t="s">
        <v>295</v>
      </c>
      <c r="CZ29" s="3" t="s">
        <v>296</v>
      </c>
      <c r="DA29" s="3" t="s">
        <v>297</v>
      </c>
      <c r="DB29" s="3" t="s">
        <v>298</v>
      </c>
      <c r="DC29" s="3" t="s">
        <v>299</v>
      </c>
      <c r="DD29" s="3" t="s">
        <v>300</v>
      </c>
      <c r="DE29" s="3" t="s">
        <v>301</v>
      </c>
      <c r="DF29" s="3" t="s">
        <v>302</v>
      </c>
      <c r="DG29" s="3" t="s">
        <v>303</v>
      </c>
      <c r="DH29" s="3" t="s">
        <v>304</v>
      </c>
      <c r="DI29" s="3" t="s">
        <v>305</v>
      </c>
      <c r="DJ29" s="3" t="s">
        <v>306</v>
      </c>
      <c r="DK29" s="3" t="s">
        <v>307</v>
      </c>
      <c r="DL29" s="3" t="s">
        <v>308</v>
      </c>
      <c r="DM29" s="3" t="s">
        <v>309</v>
      </c>
      <c r="DN29" s="3" t="s">
        <v>310</v>
      </c>
      <c r="DO29" s="3" t="s">
        <v>311</v>
      </c>
      <c r="DP29" s="3" t="s">
        <v>312</v>
      </c>
      <c r="DQ29" s="3" t="s">
        <v>313</v>
      </c>
      <c r="DR29" s="3" t="s">
        <v>314</v>
      </c>
      <c r="DS29" s="3" t="s">
        <v>315</v>
      </c>
      <c r="DT29" s="3" t="s">
        <v>316</v>
      </c>
      <c r="DU29" s="65" t="s">
        <v>317</v>
      </c>
      <c r="DV29" s="3" t="s">
        <v>318</v>
      </c>
      <c r="DW29" s="3" t="s">
        <v>319</v>
      </c>
      <c r="DX29" s="3" t="s">
        <v>320</v>
      </c>
      <c r="DY29" s="3" t="s">
        <v>321</v>
      </c>
      <c r="DZ29" s="3" t="s">
        <v>322</v>
      </c>
      <c r="EA29" s="3" t="s">
        <v>323</v>
      </c>
      <c r="EB29" s="3" t="s">
        <v>324</v>
      </c>
      <c r="EC29" s="3" t="s">
        <v>325</v>
      </c>
      <c r="ED29" s="3" t="s">
        <v>326</v>
      </c>
      <c r="EE29" s="3" t="s">
        <v>327</v>
      </c>
      <c r="EF29" s="3" t="s">
        <v>328</v>
      </c>
      <c r="EG29" s="3" t="s">
        <v>329</v>
      </c>
      <c r="EH29" s="3" t="s">
        <v>330</v>
      </c>
      <c r="EI29" s="3" t="s">
        <v>331</v>
      </c>
      <c r="EJ29" s="3" t="s">
        <v>332</v>
      </c>
      <c r="EK29" s="3" t="s">
        <v>333</v>
      </c>
      <c r="EL29" s="3" t="s">
        <v>334</v>
      </c>
      <c r="EM29" s="3" t="s">
        <v>335</v>
      </c>
      <c r="EN29" s="3" t="s">
        <v>336</v>
      </c>
      <c r="EO29" s="3" t="s">
        <v>337</v>
      </c>
      <c r="EP29" s="3" t="s">
        <v>338</v>
      </c>
      <c r="EQ29" s="3" t="s">
        <v>339</v>
      </c>
      <c r="ER29" s="3" t="s">
        <v>340</v>
      </c>
      <c r="ES29" s="65" t="s">
        <v>341</v>
      </c>
      <c r="ET29" s="3" t="s">
        <v>342</v>
      </c>
      <c r="EU29" s="3" t="s">
        <v>343</v>
      </c>
      <c r="EV29" s="3" t="s">
        <v>344</v>
      </c>
      <c r="EW29" s="3" t="s">
        <v>345</v>
      </c>
      <c r="EX29" s="3" t="s">
        <v>346</v>
      </c>
      <c r="EY29" s="3" t="s">
        <v>347</v>
      </c>
      <c r="EZ29" s="3" t="s">
        <v>348</v>
      </c>
      <c r="FA29" s="3" t="s">
        <v>349</v>
      </c>
      <c r="FB29" s="3" t="s">
        <v>350</v>
      </c>
      <c r="FC29" s="3" t="s">
        <v>351</v>
      </c>
      <c r="FD29" s="3" t="s">
        <v>352</v>
      </c>
      <c r="FE29" s="3" t="s">
        <v>353</v>
      </c>
      <c r="FF29" s="3" t="s">
        <v>354</v>
      </c>
      <c r="FG29" s="3" t="s">
        <v>355</v>
      </c>
      <c r="FH29" s="3" t="s">
        <v>356</v>
      </c>
      <c r="FI29" s="3" t="s">
        <v>357</v>
      </c>
      <c r="FJ29" s="3" t="s">
        <v>358</v>
      </c>
      <c r="FK29" s="3" t="s">
        <v>359</v>
      </c>
      <c r="FL29" s="3" t="s">
        <v>360</v>
      </c>
      <c r="FM29" s="3" t="s">
        <v>361</v>
      </c>
      <c r="FN29" s="3" t="s">
        <v>362</v>
      </c>
      <c r="FO29" s="3" t="s">
        <v>363</v>
      </c>
      <c r="FP29" s="3" t="s">
        <v>364</v>
      </c>
    </row>
    <row r="30" spans="1:173" ht="15.75" customHeight="1" thickTop="1" thickBot="1">
      <c r="A30" s="16" t="s">
        <v>196</v>
      </c>
      <c r="B30" s="2"/>
      <c r="C30" s="2"/>
      <c r="D30" s="4" t="b">
        <v>1</v>
      </c>
    </row>
    <row r="31" spans="1:173" s="37" customFormat="1">
      <c r="A31" s="15" t="s">
        <v>197</v>
      </c>
      <c r="B31" s="2" t="s">
        <v>200</v>
      </c>
      <c r="C31" s="8" t="s">
        <v>136</v>
      </c>
      <c r="D31" s="2"/>
      <c r="E31" s="50">
        <f>IFERROR(LOOKUP(E$15,HourlyTimeseries!$A:$A,HourlyTimeseries!$C:$C),"")</f>
        <v>25000</v>
      </c>
      <c r="F31" s="50">
        <f>IFERROR(LOOKUP(F15,HourlyTimeseries!$A:$A,HourlyTimeseries!$C:$C),"")</f>
        <v>25000</v>
      </c>
      <c r="G31" s="50">
        <f>IFERROR(LOOKUP(G15,HourlyTimeseries!$A:$A,HourlyTimeseries!$C:$C),"")</f>
        <v>25000</v>
      </c>
      <c r="H31" s="50">
        <f>IFERROR(LOOKUP(H15,HourlyTimeseries!$A:$A,HourlyTimeseries!$C:$C),"")</f>
        <v>25000</v>
      </c>
      <c r="I31" s="50">
        <f>IFERROR(LOOKUP(I15,HourlyTimeseries!$A:$A,HourlyTimeseries!$C:$C),"")</f>
        <v>25000</v>
      </c>
      <c r="J31" s="50">
        <f>IFERROR(LOOKUP(J15,HourlyTimeseries!$A:$A,HourlyTimeseries!$C:$C),"")</f>
        <v>25000</v>
      </c>
      <c r="K31" s="50">
        <f>IFERROR(LOOKUP(K15,HourlyTimeseries!$A:$A,HourlyTimeseries!$C:$C),"")</f>
        <v>25000</v>
      </c>
      <c r="L31" s="50">
        <f>IFERROR(LOOKUP(L15,HourlyTimeseries!$A:$A,HourlyTimeseries!$C:$C),"")</f>
        <v>25000</v>
      </c>
      <c r="M31" s="50">
        <f>IFERROR(LOOKUP(M15,HourlyTimeseries!$A:$A,HourlyTimeseries!$C:$C),"")</f>
        <v>25000</v>
      </c>
      <c r="N31" s="50">
        <f>IFERROR(LOOKUP(N15,HourlyTimeseries!$A:$A,HourlyTimeseries!$C:$C),"")</f>
        <v>25000</v>
      </c>
      <c r="O31" s="50">
        <f>IFERROR(LOOKUP(O15,HourlyTimeseries!$A:$A,HourlyTimeseries!$C:$C),"")</f>
        <v>25000</v>
      </c>
      <c r="P31" s="50">
        <f>IFERROR(LOOKUP(P15,HourlyTimeseries!$A:$A,HourlyTimeseries!$C:$C),"")</f>
        <v>25000</v>
      </c>
      <c r="Q31" s="50">
        <f>IFERROR(LOOKUP(Q15,HourlyTimeseries!$A:$A,HourlyTimeseries!$C:$C),"")</f>
        <v>25000</v>
      </c>
      <c r="R31" s="50">
        <f>IFERROR(LOOKUP(R15,HourlyTimeseries!$A:$A,HourlyTimeseries!$C:$C),"")</f>
        <v>25000</v>
      </c>
      <c r="S31" s="50">
        <f>IFERROR(LOOKUP(S15,HourlyTimeseries!$A:$A,HourlyTimeseries!$C:$C),"")</f>
        <v>25000</v>
      </c>
      <c r="T31" s="50">
        <f>IFERROR(LOOKUP(T15,HourlyTimeseries!$A:$A,HourlyTimeseries!$C:$C),"")</f>
        <v>25000</v>
      </c>
      <c r="U31" s="50">
        <f>IFERROR(LOOKUP(U15,HourlyTimeseries!$A:$A,HourlyTimeseries!$C:$C),"")</f>
        <v>25000</v>
      </c>
      <c r="V31" s="50">
        <f>IFERROR(LOOKUP(V15,HourlyTimeseries!$A:$A,HourlyTimeseries!$C:$C),"")</f>
        <v>25000</v>
      </c>
      <c r="W31" s="50">
        <f>IFERROR(LOOKUP(W15,HourlyTimeseries!$A:$A,HourlyTimeseries!$C:$C),"")</f>
        <v>25000</v>
      </c>
      <c r="X31" s="50">
        <f>IFERROR(LOOKUP(X15,HourlyTimeseries!$A:$A,HourlyTimeseries!$C:$C),"")</f>
        <v>25000</v>
      </c>
      <c r="Y31" s="50">
        <f>IFERROR(LOOKUP(Y15,HourlyTimeseries!$A:$A,HourlyTimeseries!$C:$C),"")</f>
        <v>25000</v>
      </c>
      <c r="Z31" s="50">
        <f>IFERROR(LOOKUP(Z15,HourlyTimeseries!$A:$A,HourlyTimeseries!$C:$C),"")</f>
        <v>25000</v>
      </c>
      <c r="AA31" s="50">
        <f>IFERROR(LOOKUP(AA15,HourlyTimeseries!$A:$A,HourlyTimeseries!$C:$C),"")</f>
        <v>25000</v>
      </c>
      <c r="AB31" s="59">
        <f>IFERROR(LOOKUP(AB15,HourlyTimeseries!$A:$A,HourlyTimeseries!$C:$C),"")</f>
        <v>25000</v>
      </c>
      <c r="AC31" s="66">
        <f>IFERROR(LOOKUP(AC15,HourlyTimeseries!$A:$A,HourlyTimeseries!$C:$C),"")</f>
        <v>25000</v>
      </c>
      <c r="AD31" s="50">
        <f>IFERROR(LOOKUP(AD15,HourlyTimeseries!$A:$A,HourlyTimeseries!$C:$C),"")</f>
        <v>25000</v>
      </c>
      <c r="AE31" s="50">
        <f>IFERROR(LOOKUP(AE15,HourlyTimeseries!$A:$A,HourlyTimeseries!$C:$C),"")</f>
        <v>25000</v>
      </c>
      <c r="AF31" s="50">
        <f>IFERROR(LOOKUP(AF15,HourlyTimeseries!$A:$A,HourlyTimeseries!$C:$C),"")</f>
        <v>25000</v>
      </c>
      <c r="AG31" s="50">
        <f>IFERROR(LOOKUP(AG15,HourlyTimeseries!$A:$A,HourlyTimeseries!$C:$C),"")</f>
        <v>25000</v>
      </c>
      <c r="AH31" s="50">
        <f>IFERROR(LOOKUP(AH15,HourlyTimeseries!$A:$A,HourlyTimeseries!$C:$C),"")</f>
        <v>25000</v>
      </c>
      <c r="AI31" s="50">
        <f>IFERROR(LOOKUP(AI15,HourlyTimeseries!$A:$A,HourlyTimeseries!$C:$C),"")</f>
        <v>25000</v>
      </c>
      <c r="AJ31" s="50">
        <f>IFERROR(LOOKUP(AJ15,HourlyTimeseries!$A:$A,HourlyTimeseries!$C:$C),"")</f>
        <v>25000</v>
      </c>
      <c r="AK31" s="50">
        <f>IFERROR(LOOKUP(AK15,HourlyTimeseries!$A:$A,HourlyTimeseries!$C:$C),"")</f>
        <v>25000</v>
      </c>
      <c r="AL31" s="50">
        <f>IFERROR(LOOKUP(AL15,HourlyTimeseries!$A:$A,HourlyTimeseries!$C:$C),"")</f>
        <v>25000</v>
      </c>
      <c r="AM31" s="50">
        <f>IFERROR(LOOKUP(AM15,HourlyTimeseries!$A:$A,HourlyTimeseries!$C:$C),"")</f>
        <v>25000</v>
      </c>
      <c r="AN31" s="50">
        <f>IFERROR(LOOKUP(AN15,HourlyTimeseries!$A:$A,HourlyTimeseries!$C:$C),"")</f>
        <v>25000</v>
      </c>
      <c r="AO31" s="50">
        <f>IFERROR(LOOKUP(AO15,HourlyTimeseries!$A:$A,HourlyTimeseries!$C:$C),"")</f>
        <v>25000</v>
      </c>
      <c r="AP31" s="50">
        <f>IFERROR(LOOKUP(AP15,HourlyTimeseries!$A:$A,HourlyTimeseries!$C:$C),"")</f>
        <v>25000</v>
      </c>
      <c r="AQ31" s="50">
        <f>IFERROR(LOOKUP(AQ15,HourlyTimeseries!$A:$A,HourlyTimeseries!$C:$C),"")</f>
        <v>25000</v>
      </c>
      <c r="AR31" s="50">
        <f>IFERROR(LOOKUP(AR15,HourlyTimeseries!$A:$A,HourlyTimeseries!$C:$C),"")</f>
        <v>25000</v>
      </c>
      <c r="AS31" s="50">
        <f>IFERROR(LOOKUP(AS15,HourlyTimeseries!$A:$A,HourlyTimeseries!$C:$C),"")</f>
        <v>25000</v>
      </c>
      <c r="AT31" s="50">
        <f>IFERROR(LOOKUP(AT15,HourlyTimeseries!$A:$A,HourlyTimeseries!$C:$C),"")</f>
        <v>25000</v>
      </c>
      <c r="AU31" s="50">
        <f>IFERROR(LOOKUP(AU15,HourlyTimeseries!$A:$A,HourlyTimeseries!$C:$C),"")</f>
        <v>25000</v>
      </c>
      <c r="AV31" s="50">
        <f>IFERROR(LOOKUP(AV15,HourlyTimeseries!$A:$A,HourlyTimeseries!$C:$C),"")</f>
        <v>25000</v>
      </c>
      <c r="AW31" s="50">
        <f>IFERROR(LOOKUP(AW15,HourlyTimeseries!$A:$A,HourlyTimeseries!$C:$C),"")</f>
        <v>25000</v>
      </c>
      <c r="AX31" s="50">
        <f>IFERROR(LOOKUP(AX15,HourlyTimeseries!$A:$A,HourlyTimeseries!$C:$C),"")</f>
        <v>25000</v>
      </c>
      <c r="AY31" s="50">
        <f>IFERROR(LOOKUP(AY15,HourlyTimeseries!$A:$A,HourlyTimeseries!$C:$C),"")</f>
        <v>25000</v>
      </c>
      <c r="AZ31" s="59">
        <f>IFERROR(LOOKUP(AZ15,HourlyTimeseries!$A:$A,HourlyTimeseries!$C:$C),"")</f>
        <v>25000</v>
      </c>
      <c r="BA31" s="66">
        <f>IFERROR(LOOKUP(BA15,HourlyTimeseries!$A:$A,HourlyTimeseries!$C:$C),"")</f>
        <v>25000</v>
      </c>
      <c r="BB31" s="50">
        <f>IFERROR(LOOKUP(BB15,HourlyTimeseries!$A:$A,HourlyTimeseries!$C:$C),"")</f>
        <v>25000</v>
      </c>
      <c r="BC31" s="50">
        <f>IFERROR(LOOKUP(BC15,HourlyTimeseries!$A:$A,HourlyTimeseries!$C:$C),"")</f>
        <v>25000</v>
      </c>
      <c r="BD31" s="50">
        <f>IFERROR(LOOKUP(BD15,HourlyTimeseries!$A:$A,HourlyTimeseries!$C:$C),"")</f>
        <v>25000</v>
      </c>
      <c r="BE31" s="50">
        <f>IFERROR(LOOKUP(BE15,HourlyTimeseries!$A:$A,HourlyTimeseries!$C:$C),"")</f>
        <v>25000</v>
      </c>
      <c r="BF31" s="50">
        <f>IFERROR(LOOKUP(BF15,HourlyTimeseries!$A:$A,HourlyTimeseries!$C:$C),"")</f>
        <v>25000</v>
      </c>
      <c r="BG31" s="50">
        <f>IFERROR(LOOKUP(BG15,HourlyTimeseries!$A:$A,HourlyTimeseries!$C:$C),"")</f>
        <v>25000</v>
      </c>
      <c r="BH31" s="50">
        <f>IFERROR(LOOKUP(BH15,HourlyTimeseries!$A:$A,HourlyTimeseries!$C:$C),"")</f>
        <v>25000</v>
      </c>
      <c r="BI31" s="50">
        <f>IFERROR(LOOKUP(BI15,HourlyTimeseries!$A:$A,HourlyTimeseries!$C:$C),"")</f>
        <v>25000</v>
      </c>
      <c r="BJ31" s="50">
        <f>IFERROR(LOOKUP(BJ15,HourlyTimeseries!$A:$A,HourlyTimeseries!$C:$C),"")</f>
        <v>25000</v>
      </c>
      <c r="BK31" s="50">
        <f>IFERROR(LOOKUP(BK15,HourlyTimeseries!$A:$A,HourlyTimeseries!$C:$C),"")</f>
        <v>25000</v>
      </c>
      <c r="BL31" s="50">
        <f>IFERROR(LOOKUP(BL15,HourlyTimeseries!$A:$A,HourlyTimeseries!$C:$C),"")</f>
        <v>25000</v>
      </c>
      <c r="BM31" s="50">
        <f>IFERROR(LOOKUP(BM15,HourlyTimeseries!$A:$A,HourlyTimeseries!$C:$C),"")</f>
        <v>25000</v>
      </c>
      <c r="BN31" s="50">
        <f>IFERROR(LOOKUP(BN15,HourlyTimeseries!$A:$A,HourlyTimeseries!$C:$C),"")</f>
        <v>25000</v>
      </c>
      <c r="BO31" s="50">
        <f>IFERROR(LOOKUP(BO15,HourlyTimeseries!$A:$A,HourlyTimeseries!$C:$C),"")</f>
        <v>25000</v>
      </c>
      <c r="BP31" s="50">
        <f>IFERROR(LOOKUP(BP15,HourlyTimeseries!$A:$A,HourlyTimeseries!$C:$C),"")</f>
        <v>25000</v>
      </c>
      <c r="BQ31" s="50">
        <f>IFERROR(LOOKUP(BQ15,HourlyTimeseries!$A:$A,HourlyTimeseries!$C:$C),"")</f>
        <v>25000</v>
      </c>
      <c r="BR31" s="50">
        <f>IFERROR(LOOKUP(BR15,HourlyTimeseries!$A:$A,HourlyTimeseries!$C:$C),"")</f>
        <v>25000</v>
      </c>
      <c r="BS31" s="50">
        <f>IFERROR(LOOKUP(BS15,HourlyTimeseries!$A:$A,HourlyTimeseries!$C:$C),"")</f>
        <v>25000</v>
      </c>
      <c r="BT31" s="50">
        <f>IFERROR(LOOKUP(BT15,HourlyTimeseries!$A:$A,HourlyTimeseries!$C:$C),"")</f>
        <v>25000</v>
      </c>
      <c r="BU31" s="50">
        <f>IFERROR(LOOKUP(BU15,HourlyTimeseries!$A:$A,HourlyTimeseries!$C:$C),"")</f>
        <v>25000</v>
      </c>
      <c r="BV31" s="50">
        <f>IFERROR(LOOKUP(BV15,HourlyTimeseries!$A:$A,HourlyTimeseries!$C:$C),"")</f>
        <v>25000</v>
      </c>
      <c r="BW31" s="50">
        <f>IFERROR(LOOKUP(BW15,HourlyTimeseries!$A:$A,HourlyTimeseries!$C:$C),"")</f>
        <v>25000</v>
      </c>
      <c r="BX31" s="59">
        <f>IFERROR(LOOKUP(BX15,HourlyTimeseries!$A:$A,HourlyTimeseries!$C:$C),"")</f>
        <v>25000</v>
      </c>
      <c r="BY31" s="66">
        <f>IFERROR(LOOKUP(BY15,HourlyTimeseries!$A:$A,HourlyTimeseries!$C:$C),"")</f>
        <v>25000</v>
      </c>
      <c r="BZ31" s="50">
        <f>IFERROR(LOOKUP(BZ15,HourlyTimeseries!$A:$A,HourlyTimeseries!$C:$C),"")</f>
        <v>25000</v>
      </c>
      <c r="CA31" s="50">
        <f>IFERROR(LOOKUP(CA15,HourlyTimeseries!$A:$A,HourlyTimeseries!$C:$C),"")</f>
        <v>25000</v>
      </c>
      <c r="CB31" s="50">
        <f>IFERROR(LOOKUP(CB15,HourlyTimeseries!$A:$A,HourlyTimeseries!$C:$C),"")</f>
        <v>25000</v>
      </c>
      <c r="CC31" s="50">
        <f>IFERROR(LOOKUP(CC15,HourlyTimeseries!$A:$A,HourlyTimeseries!$C:$C),"")</f>
        <v>25000</v>
      </c>
      <c r="CD31" s="50">
        <f>IFERROR(LOOKUP(CD15,HourlyTimeseries!$A:$A,HourlyTimeseries!$C:$C),"")</f>
        <v>25000</v>
      </c>
      <c r="CE31" s="50">
        <f>IFERROR(LOOKUP(CE15,HourlyTimeseries!$A:$A,HourlyTimeseries!$C:$C),"")</f>
        <v>25000</v>
      </c>
      <c r="CF31" s="50">
        <f>IFERROR(LOOKUP(CF15,HourlyTimeseries!$A:$A,HourlyTimeseries!$C:$C),"")</f>
        <v>25000</v>
      </c>
      <c r="CG31" s="50">
        <f>IFERROR(LOOKUP(CG15,HourlyTimeseries!$A:$A,HourlyTimeseries!$C:$C),"")</f>
        <v>25000</v>
      </c>
      <c r="CH31" s="50">
        <f>IFERROR(LOOKUP(CH15,HourlyTimeseries!$A:$A,HourlyTimeseries!$C:$C),"")</f>
        <v>25000</v>
      </c>
      <c r="CI31" s="50">
        <f>IFERROR(LOOKUP(CI15,HourlyTimeseries!$A:$A,HourlyTimeseries!$C:$C),"")</f>
        <v>25000</v>
      </c>
      <c r="CJ31" s="50">
        <f>IFERROR(LOOKUP(CJ15,HourlyTimeseries!$A:$A,HourlyTimeseries!$C:$C),"")</f>
        <v>25000</v>
      </c>
      <c r="CK31" s="50">
        <f>IFERROR(LOOKUP(CK15,HourlyTimeseries!$A:$A,HourlyTimeseries!$C:$C),"")</f>
        <v>25000</v>
      </c>
      <c r="CL31" s="50">
        <f>IFERROR(LOOKUP(CL15,HourlyTimeseries!$A:$A,HourlyTimeseries!$C:$C),"")</f>
        <v>25000</v>
      </c>
      <c r="CM31" s="50">
        <f>IFERROR(LOOKUP(CM15,HourlyTimeseries!$A:$A,HourlyTimeseries!$C:$C),"")</f>
        <v>25000</v>
      </c>
      <c r="CN31" s="50">
        <f>IFERROR(LOOKUP(CN15,HourlyTimeseries!$A:$A,HourlyTimeseries!$C:$C),"")</f>
        <v>25000</v>
      </c>
      <c r="CO31" s="50">
        <f>IFERROR(LOOKUP(CO15,HourlyTimeseries!$A:$A,HourlyTimeseries!$C:$C),"")</f>
        <v>25000</v>
      </c>
      <c r="CP31" s="50">
        <f>IFERROR(LOOKUP(CP15,HourlyTimeseries!$A:$A,HourlyTimeseries!$C:$C),"")</f>
        <v>25000</v>
      </c>
      <c r="CQ31" s="50">
        <f>IFERROR(LOOKUP(CQ15,HourlyTimeseries!$A:$A,HourlyTimeseries!$C:$C),"")</f>
        <v>25000</v>
      </c>
      <c r="CR31" s="50">
        <f>IFERROR(LOOKUP(CR15,HourlyTimeseries!$A:$A,HourlyTimeseries!$C:$C),"")</f>
        <v>25000</v>
      </c>
      <c r="CS31" s="50">
        <f>IFERROR(LOOKUP(CS15,HourlyTimeseries!$A:$A,HourlyTimeseries!$C:$C),"")</f>
        <v>25000</v>
      </c>
      <c r="CT31" s="50">
        <f>IFERROR(LOOKUP(CT15,HourlyTimeseries!$A:$A,HourlyTimeseries!$C:$C),"")</f>
        <v>25000</v>
      </c>
      <c r="CU31" s="50">
        <f>IFERROR(LOOKUP(CU15,HourlyTimeseries!$A:$A,HourlyTimeseries!$C:$C),"")</f>
        <v>25000</v>
      </c>
      <c r="CV31" s="59">
        <f>IFERROR(LOOKUP(CV15,HourlyTimeseries!$A:$A,HourlyTimeseries!$C:$C),"")</f>
        <v>25000</v>
      </c>
      <c r="CW31" s="66">
        <f>IFERROR(LOOKUP(CW15,HourlyTimeseries!$A:$A,HourlyTimeseries!$C:$C),"")</f>
        <v>25000</v>
      </c>
      <c r="CX31" s="50">
        <f>IFERROR(LOOKUP(CX15,HourlyTimeseries!$A:$A,HourlyTimeseries!$C:$C),"")</f>
        <v>25000</v>
      </c>
      <c r="CY31" s="50">
        <f>IFERROR(LOOKUP(CY15,HourlyTimeseries!$A:$A,HourlyTimeseries!$C:$C),"")</f>
        <v>25000</v>
      </c>
      <c r="CZ31" s="50">
        <f>IFERROR(LOOKUP(CZ15,HourlyTimeseries!$A:$A,HourlyTimeseries!$C:$C),"")</f>
        <v>25000</v>
      </c>
      <c r="DA31" s="50">
        <f>IFERROR(LOOKUP(DA15,HourlyTimeseries!$A:$A,HourlyTimeseries!$C:$C),"")</f>
        <v>25000</v>
      </c>
      <c r="DB31" s="50">
        <f>IFERROR(LOOKUP(DB15,HourlyTimeseries!$A:$A,HourlyTimeseries!$C:$C),"")</f>
        <v>25000</v>
      </c>
      <c r="DC31" s="50">
        <f>IFERROR(LOOKUP(DC15,HourlyTimeseries!$A:$A,HourlyTimeseries!$C:$C),"")</f>
        <v>25000</v>
      </c>
      <c r="DD31" s="50">
        <f>IFERROR(LOOKUP(DD15,HourlyTimeseries!$A:$A,HourlyTimeseries!$C:$C),"")</f>
        <v>25000</v>
      </c>
      <c r="DE31" s="50">
        <f>IFERROR(LOOKUP(DE15,HourlyTimeseries!$A:$A,HourlyTimeseries!$C:$C),"")</f>
        <v>25000</v>
      </c>
      <c r="DF31" s="50">
        <f>IFERROR(LOOKUP(DF15,HourlyTimeseries!$A:$A,HourlyTimeseries!$C:$C),"")</f>
        <v>25000</v>
      </c>
      <c r="DG31" s="50">
        <f>IFERROR(LOOKUP(DG15,HourlyTimeseries!$A:$A,HourlyTimeseries!$C:$C),"")</f>
        <v>25000</v>
      </c>
      <c r="DH31" s="50">
        <f>IFERROR(LOOKUP(DH15,HourlyTimeseries!$A:$A,HourlyTimeseries!$C:$C),"")</f>
        <v>25000</v>
      </c>
      <c r="DI31" s="50">
        <f>IFERROR(LOOKUP(DI15,HourlyTimeseries!$A:$A,HourlyTimeseries!$C:$C),"")</f>
        <v>25000</v>
      </c>
      <c r="DJ31" s="50">
        <f>IFERROR(LOOKUP(DJ15,HourlyTimeseries!$A:$A,HourlyTimeseries!$C:$C),"")</f>
        <v>25000</v>
      </c>
      <c r="DK31" s="50">
        <f>IFERROR(LOOKUP(DK15,HourlyTimeseries!$A:$A,HourlyTimeseries!$C:$C),"")</f>
        <v>25000</v>
      </c>
      <c r="DL31" s="50">
        <f>IFERROR(LOOKUP(DL15,HourlyTimeseries!$A:$A,HourlyTimeseries!$C:$C),"")</f>
        <v>25000</v>
      </c>
      <c r="DM31" s="50">
        <f>IFERROR(LOOKUP(DM15,HourlyTimeseries!$A:$A,HourlyTimeseries!$C:$C),"")</f>
        <v>25000</v>
      </c>
      <c r="DN31" s="50">
        <f>IFERROR(LOOKUP(DN15,HourlyTimeseries!$A:$A,HourlyTimeseries!$C:$C),"")</f>
        <v>25000</v>
      </c>
      <c r="DO31" s="50">
        <f>IFERROR(LOOKUP(DO15,HourlyTimeseries!$A:$A,HourlyTimeseries!$C:$C),"")</f>
        <v>25000</v>
      </c>
      <c r="DP31" s="50">
        <f>IFERROR(LOOKUP(DP15,HourlyTimeseries!$A:$A,HourlyTimeseries!$C:$C),"")</f>
        <v>25000</v>
      </c>
      <c r="DQ31" s="50">
        <f>IFERROR(LOOKUP(DQ15,HourlyTimeseries!$A:$A,HourlyTimeseries!$C:$C),"")</f>
        <v>25000</v>
      </c>
      <c r="DR31" s="50">
        <f>IFERROR(LOOKUP(DR15,HourlyTimeseries!$A:$A,HourlyTimeseries!$C:$C),"")</f>
        <v>25000</v>
      </c>
      <c r="DS31" s="50">
        <f>IFERROR(LOOKUP(DS15,HourlyTimeseries!$A:$A,HourlyTimeseries!$C:$C),"")</f>
        <v>25000</v>
      </c>
      <c r="DT31" s="59">
        <f>IFERROR(LOOKUP(DT15,HourlyTimeseries!$A:$A,HourlyTimeseries!$C:$C),"")</f>
        <v>25000</v>
      </c>
      <c r="DU31" s="66">
        <f>IFERROR(LOOKUP(DU15,HourlyTimeseries!$A:$A,HourlyTimeseries!$C:$C),"")</f>
        <v>25000</v>
      </c>
      <c r="DV31" s="50">
        <f>IFERROR(LOOKUP(DV15,HourlyTimeseries!$A:$A,HourlyTimeseries!$C:$C),"")</f>
        <v>25000</v>
      </c>
      <c r="DW31" s="50">
        <f>IFERROR(LOOKUP(DW15,HourlyTimeseries!$A:$A,HourlyTimeseries!$C:$C),"")</f>
        <v>25000</v>
      </c>
      <c r="DX31" s="50">
        <f>IFERROR(LOOKUP(DX15,HourlyTimeseries!$A:$A,HourlyTimeseries!$C:$C),"")</f>
        <v>25000</v>
      </c>
      <c r="DY31" s="50">
        <f>IFERROR(LOOKUP(DY15,HourlyTimeseries!$A:$A,HourlyTimeseries!$C:$C),"")</f>
        <v>25000</v>
      </c>
      <c r="DZ31" s="50">
        <f>IFERROR(LOOKUP(DZ15,HourlyTimeseries!$A:$A,HourlyTimeseries!$C:$C),"")</f>
        <v>25000</v>
      </c>
      <c r="EA31" s="50">
        <f>IFERROR(LOOKUP(EA15,HourlyTimeseries!$A:$A,HourlyTimeseries!$C:$C),"")</f>
        <v>25000</v>
      </c>
      <c r="EB31" s="50">
        <f>IFERROR(LOOKUP(EB15,HourlyTimeseries!$A:$A,HourlyTimeseries!$C:$C),"")</f>
        <v>25000</v>
      </c>
      <c r="EC31" s="50">
        <f>IFERROR(LOOKUP(EC15,HourlyTimeseries!$A:$A,HourlyTimeseries!$C:$C),"")</f>
        <v>25000</v>
      </c>
      <c r="ED31" s="50">
        <f>IFERROR(LOOKUP(ED15,HourlyTimeseries!$A:$A,HourlyTimeseries!$C:$C),"")</f>
        <v>25000</v>
      </c>
      <c r="EE31" s="50">
        <f>IFERROR(LOOKUP(EE15,HourlyTimeseries!$A:$A,HourlyTimeseries!$C:$C),"")</f>
        <v>25000</v>
      </c>
      <c r="EF31" s="50">
        <f>IFERROR(LOOKUP(EF15,HourlyTimeseries!$A:$A,HourlyTimeseries!$C:$C),"")</f>
        <v>25000</v>
      </c>
      <c r="EG31" s="50">
        <f>IFERROR(LOOKUP(EG15,HourlyTimeseries!$A:$A,HourlyTimeseries!$C:$C),"")</f>
        <v>25000</v>
      </c>
      <c r="EH31" s="50">
        <f>IFERROR(LOOKUP(EH15,HourlyTimeseries!$A:$A,HourlyTimeseries!$C:$C),"")</f>
        <v>25000</v>
      </c>
      <c r="EI31" s="50">
        <f>IFERROR(LOOKUP(EI15,HourlyTimeseries!$A:$A,HourlyTimeseries!$C:$C),"")</f>
        <v>25000</v>
      </c>
      <c r="EJ31" s="50">
        <f>IFERROR(LOOKUP(EJ15,HourlyTimeseries!$A:$A,HourlyTimeseries!$C:$C),"")</f>
        <v>25000</v>
      </c>
      <c r="EK31" s="50">
        <f>IFERROR(LOOKUP(EK15,HourlyTimeseries!$A:$A,HourlyTimeseries!$C:$C),"")</f>
        <v>25000</v>
      </c>
      <c r="EL31" s="50">
        <f>IFERROR(LOOKUP(EL15,HourlyTimeseries!$A:$A,HourlyTimeseries!$C:$C),"")</f>
        <v>25000</v>
      </c>
      <c r="EM31" s="50">
        <f>IFERROR(LOOKUP(EM15,HourlyTimeseries!$A:$A,HourlyTimeseries!$C:$C),"")</f>
        <v>25000</v>
      </c>
      <c r="EN31" s="50">
        <f>IFERROR(LOOKUP(EN15,HourlyTimeseries!$A:$A,HourlyTimeseries!$C:$C),"")</f>
        <v>25000</v>
      </c>
      <c r="EO31" s="50">
        <f>IFERROR(LOOKUP(EO15,HourlyTimeseries!$A:$A,HourlyTimeseries!$C:$C),"")</f>
        <v>25000</v>
      </c>
      <c r="EP31" s="50">
        <f>IFERROR(LOOKUP(EP15,HourlyTimeseries!$A:$A,HourlyTimeseries!$C:$C),"")</f>
        <v>25000</v>
      </c>
      <c r="EQ31" s="50">
        <f>IFERROR(LOOKUP(EQ15,HourlyTimeseries!$A:$A,HourlyTimeseries!$C:$C),"")</f>
        <v>25000</v>
      </c>
      <c r="ER31" s="59">
        <f>IFERROR(LOOKUP(ER15,HourlyTimeseries!$A:$A,HourlyTimeseries!$C:$C),"")</f>
        <v>25000</v>
      </c>
      <c r="ES31" s="66">
        <f>IFERROR(LOOKUP(ES15,HourlyTimeseries!$A:$A,HourlyTimeseries!$C:$C),"")</f>
        <v>25000</v>
      </c>
      <c r="ET31" s="50">
        <f>IFERROR(LOOKUP(ET15,HourlyTimeseries!$A:$A,HourlyTimeseries!$C:$C),"")</f>
        <v>25000</v>
      </c>
      <c r="EU31" s="50">
        <f>IFERROR(LOOKUP(EU15,HourlyTimeseries!$A:$A,HourlyTimeseries!$C:$C),"")</f>
        <v>25000</v>
      </c>
      <c r="EV31" s="50">
        <f>IFERROR(LOOKUP(EV15,HourlyTimeseries!$A:$A,HourlyTimeseries!$C:$C),"")</f>
        <v>25000</v>
      </c>
      <c r="EW31" s="50">
        <f>IFERROR(LOOKUP(EW15,HourlyTimeseries!$A:$A,HourlyTimeseries!$C:$C),"")</f>
        <v>25000</v>
      </c>
      <c r="EX31" s="50">
        <f>IFERROR(LOOKUP(EX15,HourlyTimeseries!$A:$A,HourlyTimeseries!$C:$C),"")</f>
        <v>25000</v>
      </c>
      <c r="EY31" s="50">
        <f>IFERROR(LOOKUP(EY15,HourlyTimeseries!$A:$A,HourlyTimeseries!$C:$C),"")</f>
        <v>25000</v>
      </c>
      <c r="EZ31" s="50">
        <f>IFERROR(LOOKUP(EZ15,HourlyTimeseries!$A:$A,HourlyTimeseries!$C:$C),"")</f>
        <v>25000</v>
      </c>
      <c r="FA31" s="50">
        <f>IFERROR(LOOKUP(FA15,HourlyTimeseries!$A:$A,HourlyTimeseries!$C:$C),"")</f>
        <v>25000</v>
      </c>
      <c r="FB31" s="50">
        <f>IFERROR(LOOKUP(FB15,HourlyTimeseries!$A:$A,HourlyTimeseries!$C:$C),"")</f>
        <v>25000</v>
      </c>
      <c r="FC31" s="50">
        <f>IFERROR(LOOKUP(FC15,HourlyTimeseries!$A:$A,HourlyTimeseries!$C:$C),"")</f>
        <v>25000</v>
      </c>
      <c r="FD31" s="50">
        <f>IFERROR(LOOKUP(FD15,HourlyTimeseries!$A:$A,HourlyTimeseries!$C:$C),"")</f>
        <v>25000</v>
      </c>
      <c r="FE31" s="50">
        <f>IFERROR(LOOKUP(FE15,HourlyTimeseries!$A:$A,HourlyTimeseries!$C:$C),"")</f>
        <v>25000</v>
      </c>
      <c r="FF31" s="50">
        <f>IFERROR(LOOKUP(FF15,HourlyTimeseries!$A:$A,HourlyTimeseries!$C:$C),"")</f>
        <v>25000</v>
      </c>
      <c r="FG31" s="50">
        <f>IFERROR(LOOKUP(FG15,HourlyTimeseries!$A:$A,HourlyTimeseries!$C:$C),"")</f>
        <v>25000</v>
      </c>
      <c r="FH31" s="50">
        <f>IFERROR(LOOKUP(FH15,HourlyTimeseries!$A:$A,HourlyTimeseries!$C:$C),"")</f>
        <v>25000</v>
      </c>
      <c r="FI31" s="50">
        <f>IFERROR(LOOKUP(FI15,HourlyTimeseries!$A:$A,HourlyTimeseries!$C:$C),"")</f>
        <v>25000</v>
      </c>
      <c r="FJ31" s="50">
        <f>IFERROR(LOOKUP(FJ15,HourlyTimeseries!$A:$A,HourlyTimeseries!$C:$C),"")</f>
        <v>25000</v>
      </c>
      <c r="FK31" s="50">
        <f>IFERROR(LOOKUP(FK15,HourlyTimeseries!$A:$A,HourlyTimeseries!$C:$C),"")</f>
        <v>25000</v>
      </c>
      <c r="FL31" s="50">
        <f>IFERROR(LOOKUP(FL15,HourlyTimeseries!$A:$A,HourlyTimeseries!$C:$C),"")</f>
        <v>25000</v>
      </c>
      <c r="FM31" s="50">
        <f>IFERROR(LOOKUP(FM15,HourlyTimeseries!$A:$A,HourlyTimeseries!$C:$C),"")</f>
        <v>25000</v>
      </c>
      <c r="FN31" s="50">
        <f>IFERROR(LOOKUP(FN15,HourlyTimeseries!$A:$A,HourlyTimeseries!$C:$C),"")</f>
        <v>25000</v>
      </c>
      <c r="FO31" s="50">
        <f>IFERROR(LOOKUP(FO15,HourlyTimeseries!$A:$A,HourlyTimeseries!$C:$C),"")</f>
        <v>25000</v>
      </c>
      <c r="FP31" s="59">
        <f>IFERROR(LOOKUP(FP15,HourlyTimeseries!$A:$A,HourlyTimeseries!$C:$C),"")</f>
        <v>25000</v>
      </c>
      <c r="FQ31" s="72"/>
    </row>
    <row r="32" spans="1:173">
      <c r="A32" s="15" t="s">
        <v>198</v>
      </c>
      <c r="B32" s="2" t="s">
        <v>201</v>
      </c>
      <c r="C32" s="8" t="s">
        <v>136</v>
      </c>
      <c r="D32" s="2"/>
      <c r="E32" s="50">
        <f>IFERROR(LOOKUP(E$15,HourlyTimeseries!$A:$A,HourlyTimeseries!$B:$B),"")</f>
        <v>5000</v>
      </c>
      <c r="F32" s="50">
        <f>IFERROR(LOOKUP(F$15,HourlyTimeseries!$A:$A,HourlyTimeseries!$B:$B),"")</f>
        <v>5000</v>
      </c>
      <c r="G32" s="50">
        <f>IFERROR(LOOKUP(G$15,HourlyTimeseries!$A:$A,HourlyTimeseries!$B:$B),"")</f>
        <v>5000</v>
      </c>
      <c r="H32" s="50">
        <f>IFERROR(LOOKUP(H$15,HourlyTimeseries!$A:$A,HourlyTimeseries!$B:$B),"")</f>
        <v>5000</v>
      </c>
      <c r="I32" s="50">
        <f>IFERROR(LOOKUP(I$15,HourlyTimeseries!$A:$A,HourlyTimeseries!$B:$B),"")</f>
        <v>5000</v>
      </c>
      <c r="J32" s="50">
        <f>IFERROR(LOOKUP(J$15,HourlyTimeseries!$A:$A,HourlyTimeseries!$B:$B),"")</f>
        <v>5000</v>
      </c>
      <c r="K32" s="50">
        <f>IFERROR(LOOKUP(K$15,HourlyTimeseries!$A:$A,HourlyTimeseries!$B:$B),"")</f>
        <v>8000</v>
      </c>
      <c r="L32" s="50">
        <f>IFERROR(LOOKUP(L$15,HourlyTimeseries!$A:$A,HourlyTimeseries!$B:$B),"")</f>
        <v>8000</v>
      </c>
      <c r="M32" s="50">
        <f>IFERROR(LOOKUP(M$15,HourlyTimeseries!$A:$A,HourlyTimeseries!$B:$B),"")</f>
        <v>8000</v>
      </c>
      <c r="N32" s="50">
        <f>IFERROR(LOOKUP(N$15,HourlyTimeseries!$A:$A,HourlyTimeseries!$B:$B),"")</f>
        <v>8000</v>
      </c>
      <c r="O32" s="50">
        <f>IFERROR(LOOKUP(O$15,HourlyTimeseries!$A:$A,HourlyTimeseries!$B:$B),"")</f>
        <v>8000</v>
      </c>
      <c r="P32" s="50">
        <f>IFERROR(LOOKUP(P$15,HourlyTimeseries!$A:$A,HourlyTimeseries!$B:$B),"")</f>
        <v>8000</v>
      </c>
      <c r="Q32" s="50">
        <f>IFERROR(LOOKUP(Q$15,HourlyTimeseries!$A:$A,HourlyTimeseries!$B:$B),"")</f>
        <v>8000</v>
      </c>
      <c r="R32" s="50">
        <f>IFERROR(LOOKUP(R$15,HourlyTimeseries!$A:$A,HourlyTimeseries!$B:$B),"")</f>
        <v>8000</v>
      </c>
      <c r="S32" s="50">
        <f>IFERROR(LOOKUP(S$15,HourlyTimeseries!$A:$A,HourlyTimeseries!$B:$B),"")</f>
        <v>8000</v>
      </c>
      <c r="T32" s="50">
        <f>IFERROR(LOOKUP(T$15,HourlyTimeseries!$A:$A,HourlyTimeseries!$B:$B),"")</f>
        <v>8000</v>
      </c>
      <c r="U32" s="50">
        <f>IFERROR(LOOKUP(U$15,HourlyTimeseries!$A:$A,HourlyTimeseries!$B:$B),"")</f>
        <v>8000</v>
      </c>
      <c r="V32" s="50">
        <f>IFERROR(LOOKUP(V$15,HourlyTimeseries!$A:$A,HourlyTimeseries!$B:$B),"")</f>
        <v>8000</v>
      </c>
      <c r="W32" s="50">
        <f>IFERROR(LOOKUP(W$15,HourlyTimeseries!$A:$A,HourlyTimeseries!$B:$B),"")</f>
        <v>5000</v>
      </c>
      <c r="X32" s="50">
        <f>IFERROR(LOOKUP(X$15,HourlyTimeseries!$A:$A,HourlyTimeseries!$B:$B),"")</f>
        <v>5000</v>
      </c>
      <c r="Y32" s="50">
        <f>IFERROR(LOOKUP(Y$15,HourlyTimeseries!$A:$A,HourlyTimeseries!$B:$B),"")</f>
        <v>5000</v>
      </c>
      <c r="Z32" s="50">
        <f>IFERROR(LOOKUP(Z$15,HourlyTimeseries!$A:$A,HourlyTimeseries!$B:$B),"")</f>
        <v>5000</v>
      </c>
      <c r="AA32" s="50">
        <f>IFERROR(LOOKUP(AA$15,HourlyTimeseries!$A:$A,HourlyTimeseries!$B:$B),"")</f>
        <v>5000</v>
      </c>
      <c r="AB32" s="59">
        <f>IFERROR(LOOKUP(AB$15,HourlyTimeseries!$A:$A,HourlyTimeseries!$B:$B),"")</f>
        <v>5000</v>
      </c>
      <c r="AC32" s="66">
        <f>IFERROR(LOOKUP(AC$15,HourlyTimeseries!$A:$A,HourlyTimeseries!$B:$B),"")</f>
        <v>5000</v>
      </c>
      <c r="AD32" s="50">
        <f>IFERROR(LOOKUP(AD$15,HourlyTimeseries!$A:$A,HourlyTimeseries!$B:$B),"")</f>
        <v>5000</v>
      </c>
      <c r="AE32" s="50">
        <f>IFERROR(LOOKUP(AE$15,HourlyTimeseries!$A:$A,HourlyTimeseries!$B:$B),"")</f>
        <v>5000</v>
      </c>
      <c r="AF32" s="50">
        <f>IFERROR(LOOKUP(AF$15,HourlyTimeseries!$A:$A,HourlyTimeseries!$B:$B),"")</f>
        <v>5000</v>
      </c>
      <c r="AG32" s="50">
        <f>IFERROR(LOOKUP(AG$15,HourlyTimeseries!$A:$A,HourlyTimeseries!$B:$B),"")</f>
        <v>5000</v>
      </c>
      <c r="AH32" s="50">
        <f>IFERROR(LOOKUP(AH$15,HourlyTimeseries!$A:$A,HourlyTimeseries!$B:$B),"")</f>
        <v>5000</v>
      </c>
      <c r="AI32" s="50">
        <f>IFERROR(LOOKUP(AI$15,HourlyTimeseries!$A:$A,HourlyTimeseries!$B:$B),"")</f>
        <v>8000</v>
      </c>
      <c r="AJ32" s="50">
        <f>IFERROR(LOOKUP(AJ$15,HourlyTimeseries!$A:$A,HourlyTimeseries!$B:$B),"")</f>
        <v>8000</v>
      </c>
      <c r="AK32" s="50">
        <f>IFERROR(LOOKUP(AK$15,HourlyTimeseries!$A:$A,HourlyTimeseries!$B:$B),"")</f>
        <v>8000</v>
      </c>
      <c r="AL32" s="50">
        <f>IFERROR(LOOKUP(AL$15,HourlyTimeseries!$A:$A,HourlyTimeseries!$B:$B),"")</f>
        <v>8000</v>
      </c>
      <c r="AM32" s="50">
        <f>IFERROR(LOOKUP(AM$15,HourlyTimeseries!$A:$A,HourlyTimeseries!$B:$B),"")</f>
        <v>8000</v>
      </c>
      <c r="AN32" s="50">
        <f>IFERROR(LOOKUP(AN$15,HourlyTimeseries!$A:$A,HourlyTimeseries!$B:$B),"")</f>
        <v>8000</v>
      </c>
      <c r="AO32" s="50">
        <f>IFERROR(LOOKUP(AO$15,HourlyTimeseries!$A:$A,HourlyTimeseries!$B:$B),"")</f>
        <v>8000</v>
      </c>
      <c r="AP32" s="50">
        <f>IFERROR(LOOKUP(AP$15,HourlyTimeseries!$A:$A,HourlyTimeseries!$B:$B),"")</f>
        <v>8000</v>
      </c>
      <c r="AQ32" s="50">
        <f>IFERROR(LOOKUP(AQ$15,HourlyTimeseries!$A:$A,HourlyTimeseries!$B:$B),"")</f>
        <v>8000</v>
      </c>
      <c r="AR32" s="50">
        <f>IFERROR(LOOKUP(AR$15,HourlyTimeseries!$A:$A,HourlyTimeseries!$B:$B),"")</f>
        <v>8000</v>
      </c>
      <c r="AS32" s="50">
        <f>IFERROR(LOOKUP(AS$15,HourlyTimeseries!$A:$A,HourlyTimeseries!$B:$B),"")</f>
        <v>8000</v>
      </c>
      <c r="AT32" s="50">
        <f>IFERROR(LOOKUP(AT$15,HourlyTimeseries!$A:$A,HourlyTimeseries!$B:$B),"")</f>
        <v>8000</v>
      </c>
      <c r="AU32" s="50">
        <f>IFERROR(LOOKUP(AU$15,HourlyTimeseries!$A:$A,HourlyTimeseries!$B:$B),"")</f>
        <v>5000</v>
      </c>
      <c r="AV32" s="50">
        <f>IFERROR(LOOKUP(AV$15,HourlyTimeseries!$A:$A,HourlyTimeseries!$B:$B),"")</f>
        <v>5000</v>
      </c>
      <c r="AW32" s="50">
        <f>IFERROR(LOOKUP(AW$15,HourlyTimeseries!$A:$A,HourlyTimeseries!$B:$B),"")</f>
        <v>5000</v>
      </c>
      <c r="AX32" s="50">
        <f>IFERROR(LOOKUP(AX$15,HourlyTimeseries!$A:$A,HourlyTimeseries!$B:$B),"")</f>
        <v>5000</v>
      </c>
      <c r="AY32" s="50">
        <f>IFERROR(LOOKUP(AY$15,HourlyTimeseries!$A:$A,HourlyTimeseries!$B:$B),"")</f>
        <v>5000</v>
      </c>
      <c r="AZ32" s="59">
        <f>IFERROR(LOOKUP(AZ$15,HourlyTimeseries!$A:$A,HourlyTimeseries!$B:$B),"")</f>
        <v>5000</v>
      </c>
      <c r="BA32" s="66">
        <f>IFERROR(LOOKUP(BA$15,HourlyTimeseries!$A:$A,HourlyTimeseries!$B:$B),"")</f>
        <v>5000</v>
      </c>
      <c r="BB32" s="50">
        <f>IFERROR(LOOKUP(BB$15,HourlyTimeseries!$A:$A,HourlyTimeseries!$B:$B),"")</f>
        <v>5000</v>
      </c>
      <c r="BC32" s="50">
        <f>IFERROR(LOOKUP(BC$15,HourlyTimeseries!$A:$A,HourlyTimeseries!$B:$B),"")</f>
        <v>5000</v>
      </c>
      <c r="BD32" s="50">
        <f>IFERROR(LOOKUP(BD$15,HourlyTimeseries!$A:$A,HourlyTimeseries!$B:$B),"")</f>
        <v>5000</v>
      </c>
      <c r="BE32" s="50">
        <f>IFERROR(LOOKUP(BE$15,HourlyTimeseries!$A:$A,HourlyTimeseries!$B:$B),"")</f>
        <v>5000</v>
      </c>
      <c r="BF32" s="50">
        <f>IFERROR(LOOKUP(BF$15,HourlyTimeseries!$A:$A,HourlyTimeseries!$B:$B),"")</f>
        <v>5000</v>
      </c>
      <c r="BG32" s="50">
        <f>IFERROR(LOOKUP(BG$15,HourlyTimeseries!$A:$A,HourlyTimeseries!$B:$B),"")</f>
        <v>8000</v>
      </c>
      <c r="BH32" s="50">
        <f>IFERROR(LOOKUP(BH$15,HourlyTimeseries!$A:$A,HourlyTimeseries!$B:$B),"")</f>
        <v>8000</v>
      </c>
      <c r="BI32" s="50">
        <f>IFERROR(LOOKUP(BI$15,HourlyTimeseries!$A:$A,HourlyTimeseries!$B:$B),"")</f>
        <v>8000</v>
      </c>
      <c r="BJ32" s="50">
        <f>IFERROR(LOOKUP(BJ$15,HourlyTimeseries!$A:$A,HourlyTimeseries!$B:$B),"")</f>
        <v>8000</v>
      </c>
      <c r="BK32" s="50">
        <f>IFERROR(LOOKUP(BK$15,HourlyTimeseries!$A:$A,HourlyTimeseries!$B:$B),"")</f>
        <v>8000</v>
      </c>
      <c r="BL32" s="50">
        <f>IFERROR(LOOKUP(BL$15,HourlyTimeseries!$A:$A,HourlyTimeseries!$B:$B),"")</f>
        <v>8000</v>
      </c>
      <c r="BM32" s="50">
        <f>IFERROR(LOOKUP(BM$15,HourlyTimeseries!$A:$A,HourlyTimeseries!$B:$B),"")</f>
        <v>8000</v>
      </c>
      <c r="BN32" s="50">
        <f>IFERROR(LOOKUP(BN$15,HourlyTimeseries!$A:$A,HourlyTimeseries!$B:$B),"")</f>
        <v>8000</v>
      </c>
      <c r="BO32" s="50">
        <f>IFERROR(LOOKUP(BO$15,HourlyTimeseries!$A:$A,HourlyTimeseries!$B:$B),"")</f>
        <v>8000</v>
      </c>
      <c r="BP32" s="50">
        <f>IFERROR(LOOKUP(BP$15,HourlyTimeseries!$A:$A,HourlyTimeseries!$B:$B),"")</f>
        <v>8000</v>
      </c>
      <c r="BQ32" s="50">
        <f>IFERROR(LOOKUP(BQ$15,HourlyTimeseries!$A:$A,HourlyTimeseries!$B:$B),"")</f>
        <v>8000</v>
      </c>
      <c r="BR32" s="50">
        <f>IFERROR(LOOKUP(BR$15,HourlyTimeseries!$A:$A,HourlyTimeseries!$B:$B),"")</f>
        <v>8000</v>
      </c>
      <c r="BS32" s="50">
        <f>IFERROR(LOOKUP(BS$15,HourlyTimeseries!$A:$A,HourlyTimeseries!$B:$B),"")</f>
        <v>5000</v>
      </c>
      <c r="BT32" s="50">
        <f>IFERROR(LOOKUP(BT$15,HourlyTimeseries!$A:$A,HourlyTimeseries!$B:$B),"")</f>
        <v>5000</v>
      </c>
      <c r="BU32" s="50">
        <f>IFERROR(LOOKUP(BU$15,HourlyTimeseries!$A:$A,HourlyTimeseries!$B:$B),"")</f>
        <v>5000</v>
      </c>
      <c r="BV32" s="50">
        <f>IFERROR(LOOKUP(BV$15,HourlyTimeseries!$A:$A,HourlyTimeseries!$B:$B),"")</f>
        <v>5000</v>
      </c>
      <c r="BW32" s="50">
        <f>IFERROR(LOOKUP(BW$15,HourlyTimeseries!$A:$A,HourlyTimeseries!$B:$B),"")</f>
        <v>5000</v>
      </c>
      <c r="BX32" s="59">
        <f>IFERROR(LOOKUP(BX$15,HourlyTimeseries!$A:$A,HourlyTimeseries!$B:$B),"")</f>
        <v>5000</v>
      </c>
      <c r="BY32" s="66">
        <f>IFERROR(LOOKUP(BY$15,HourlyTimeseries!$A:$A,HourlyTimeseries!$B:$B),"")</f>
        <v>5000</v>
      </c>
      <c r="BZ32" s="50">
        <f>IFERROR(LOOKUP(BZ$15,HourlyTimeseries!$A:$A,HourlyTimeseries!$B:$B),"")</f>
        <v>5000</v>
      </c>
      <c r="CA32" s="50">
        <f>IFERROR(LOOKUP(CA$15,HourlyTimeseries!$A:$A,HourlyTimeseries!$B:$B),"")</f>
        <v>5000</v>
      </c>
      <c r="CB32" s="50">
        <f>IFERROR(LOOKUP(CB$15,HourlyTimeseries!$A:$A,HourlyTimeseries!$B:$B),"")</f>
        <v>5000</v>
      </c>
      <c r="CC32" s="50">
        <f>IFERROR(LOOKUP(CC$15,HourlyTimeseries!$A:$A,HourlyTimeseries!$B:$B),"")</f>
        <v>5000</v>
      </c>
      <c r="CD32" s="50">
        <f>IFERROR(LOOKUP(CD$15,HourlyTimeseries!$A:$A,HourlyTimeseries!$B:$B),"")</f>
        <v>5000</v>
      </c>
      <c r="CE32" s="50">
        <f>IFERROR(LOOKUP(CE$15,HourlyTimeseries!$A:$A,HourlyTimeseries!$B:$B),"")</f>
        <v>8000</v>
      </c>
      <c r="CF32" s="50">
        <f>IFERROR(LOOKUP(CF$15,HourlyTimeseries!$A:$A,HourlyTimeseries!$B:$B),"")</f>
        <v>8000</v>
      </c>
      <c r="CG32" s="50">
        <f>IFERROR(LOOKUP(CG$15,HourlyTimeseries!$A:$A,HourlyTimeseries!$B:$B),"")</f>
        <v>8000</v>
      </c>
      <c r="CH32" s="50">
        <f>IFERROR(LOOKUP(CH$15,HourlyTimeseries!$A:$A,HourlyTimeseries!$B:$B),"")</f>
        <v>8000</v>
      </c>
      <c r="CI32" s="50">
        <f>IFERROR(LOOKUP(CI$15,HourlyTimeseries!$A:$A,HourlyTimeseries!$B:$B),"")</f>
        <v>8000</v>
      </c>
      <c r="CJ32" s="50">
        <f>IFERROR(LOOKUP(CJ$15,HourlyTimeseries!$A:$A,HourlyTimeseries!$B:$B),"")</f>
        <v>8000</v>
      </c>
      <c r="CK32" s="50">
        <f>IFERROR(LOOKUP(CK$15,HourlyTimeseries!$A:$A,HourlyTimeseries!$B:$B),"")</f>
        <v>8000</v>
      </c>
      <c r="CL32" s="50">
        <f>IFERROR(LOOKUP(CL$15,HourlyTimeseries!$A:$A,HourlyTimeseries!$B:$B),"")</f>
        <v>8000</v>
      </c>
      <c r="CM32" s="50">
        <f>IFERROR(LOOKUP(CM$15,HourlyTimeseries!$A:$A,HourlyTimeseries!$B:$B),"")</f>
        <v>8000</v>
      </c>
      <c r="CN32" s="50">
        <f>IFERROR(LOOKUP(CN$15,HourlyTimeseries!$A:$A,HourlyTimeseries!$B:$B),"")</f>
        <v>8000</v>
      </c>
      <c r="CO32" s="50">
        <f>IFERROR(LOOKUP(CO$15,HourlyTimeseries!$A:$A,HourlyTimeseries!$B:$B),"")</f>
        <v>8000</v>
      </c>
      <c r="CP32" s="50">
        <f>IFERROR(LOOKUP(CP$15,HourlyTimeseries!$A:$A,HourlyTimeseries!$B:$B),"")</f>
        <v>8000</v>
      </c>
      <c r="CQ32" s="50">
        <f>IFERROR(LOOKUP(CQ$15,HourlyTimeseries!$A:$A,HourlyTimeseries!$B:$B),"")</f>
        <v>5000</v>
      </c>
      <c r="CR32" s="50">
        <f>IFERROR(LOOKUP(CR$15,HourlyTimeseries!$A:$A,HourlyTimeseries!$B:$B),"")</f>
        <v>5000</v>
      </c>
      <c r="CS32" s="50">
        <f>IFERROR(LOOKUP(CS$15,HourlyTimeseries!$A:$A,HourlyTimeseries!$B:$B),"")</f>
        <v>5000</v>
      </c>
      <c r="CT32" s="50">
        <f>IFERROR(LOOKUP(CT$15,HourlyTimeseries!$A:$A,HourlyTimeseries!$B:$B),"")</f>
        <v>5000</v>
      </c>
      <c r="CU32" s="50">
        <f>IFERROR(LOOKUP(CU$15,HourlyTimeseries!$A:$A,HourlyTimeseries!$B:$B),"")</f>
        <v>5000</v>
      </c>
      <c r="CV32" s="59">
        <f>IFERROR(LOOKUP(CV$15,HourlyTimeseries!$A:$A,HourlyTimeseries!$B:$B),"")</f>
        <v>5000</v>
      </c>
      <c r="CW32" s="66">
        <f>IFERROR(LOOKUP(CW$15,HourlyTimeseries!$A:$A,HourlyTimeseries!$B:$B),"")</f>
        <v>5000</v>
      </c>
      <c r="CX32" s="50">
        <f>IFERROR(LOOKUP(CX$15,HourlyTimeseries!$A:$A,HourlyTimeseries!$B:$B),"")</f>
        <v>5000</v>
      </c>
      <c r="CY32" s="50">
        <f>IFERROR(LOOKUP(CY$15,HourlyTimeseries!$A:$A,HourlyTimeseries!$B:$B),"")</f>
        <v>5000</v>
      </c>
      <c r="CZ32" s="50">
        <f>IFERROR(LOOKUP(CZ$15,HourlyTimeseries!$A:$A,HourlyTimeseries!$B:$B),"")</f>
        <v>5000</v>
      </c>
      <c r="DA32" s="50">
        <f>IFERROR(LOOKUP(DA$15,HourlyTimeseries!$A:$A,HourlyTimeseries!$B:$B),"")</f>
        <v>5000</v>
      </c>
      <c r="DB32" s="50">
        <f>IFERROR(LOOKUP(DB$15,HourlyTimeseries!$A:$A,HourlyTimeseries!$B:$B),"")</f>
        <v>5000</v>
      </c>
      <c r="DC32" s="50">
        <f>IFERROR(LOOKUP(DC$15,HourlyTimeseries!$A:$A,HourlyTimeseries!$B:$B),"")</f>
        <v>8000</v>
      </c>
      <c r="DD32" s="50">
        <f>IFERROR(LOOKUP(DD$15,HourlyTimeseries!$A:$A,HourlyTimeseries!$B:$B),"")</f>
        <v>8000</v>
      </c>
      <c r="DE32" s="50">
        <f>IFERROR(LOOKUP(DE$15,HourlyTimeseries!$A:$A,HourlyTimeseries!$B:$B),"")</f>
        <v>8000</v>
      </c>
      <c r="DF32" s="50">
        <f>IFERROR(LOOKUP(DF$15,HourlyTimeseries!$A:$A,HourlyTimeseries!$B:$B),"")</f>
        <v>8000</v>
      </c>
      <c r="DG32" s="50">
        <f>IFERROR(LOOKUP(DG$15,HourlyTimeseries!$A:$A,HourlyTimeseries!$B:$B),"")</f>
        <v>8000</v>
      </c>
      <c r="DH32" s="50">
        <f>IFERROR(LOOKUP(DH$15,HourlyTimeseries!$A:$A,HourlyTimeseries!$B:$B),"")</f>
        <v>8000</v>
      </c>
      <c r="DI32" s="50">
        <f>IFERROR(LOOKUP(DI$15,HourlyTimeseries!$A:$A,HourlyTimeseries!$B:$B),"")</f>
        <v>8000</v>
      </c>
      <c r="DJ32" s="50">
        <f>IFERROR(LOOKUP(DJ$15,HourlyTimeseries!$A:$A,HourlyTimeseries!$B:$B),"")</f>
        <v>8000</v>
      </c>
      <c r="DK32" s="50">
        <f>IFERROR(LOOKUP(DK$15,HourlyTimeseries!$A:$A,HourlyTimeseries!$B:$B),"")</f>
        <v>8000</v>
      </c>
      <c r="DL32" s="50">
        <f>IFERROR(LOOKUP(DL$15,HourlyTimeseries!$A:$A,HourlyTimeseries!$B:$B),"")</f>
        <v>8000</v>
      </c>
      <c r="DM32" s="50">
        <f>IFERROR(LOOKUP(DM$15,HourlyTimeseries!$A:$A,HourlyTimeseries!$B:$B),"")</f>
        <v>8000</v>
      </c>
      <c r="DN32" s="50">
        <f>IFERROR(LOOKUP(DN$15,HourlyTimeseries!$A:$A,HourlyTimeseries!$B:$B),"")</f>
        <v>8000</v>
      </c>
      <c r="DO32" s="50">
        <f>IFERROR(LOOKUP(DO$15,HourlyTimeseries!$A:$A,HourlyTimeseries!$B:$B),"")</f>
        <v>5000</v>
      </c>
      <c r="DP32" s="50">
        <f>IFERROR(LOOKUP(DP$15,HourlyTimeseries!$A:$A,HourlyTimeseries!$B:$B),"")</f>
        <v>5000</v>
      </c>
      <c r="DQ32" s="50">
        <f>IFERROR(LOOKUP(DQ$15,HourlyTimeseries!$A:$A,HourlyTimeseries!$B:$B),"")</f>
        <v>5000</v>
      </c>
      <c r="DR32" s="50">
        <f>IFERROR(LOOKUP(DR$15,HourlyTimeseries!$A:$A,HourlyTimeseries!$B:$B),"")</f>
        <v>5000</v>
      </c>
      <c r="DS32" s="50">
        <f>IFERROR(LOOKUP(DS$15,HourlyTimeseries!$A:$A,HourlyTimeseries!$B:$B),"")</f>
        <v>5000</v>
      </c>
      <c r="DT32" s="59">
        <f>IFERROR(LOOKUP(DT$15,HourlyTimeseries!$A:$A,HourlyTimeseries!$B:$B),"")</f>
        <v>5000</v>
      </c>
      <c r="DU32" s="66">
        <f>IFERROR(LOOKUP(DU$15,HourlyTimeseries!$A:$A,HourlyTimeseries!$B:$B),"")</f>
        <v>5000</v>
      </c>
      <c r="DV32" s="50">
        <f>IFERROR(LOOKUP(DV$15,HourlyTimeseries!$A:$A,HourlyTimeseries!$B:$B),"")</f>
        <v>5000</v>
      </c>
      <c r="DW32" s="50">
        <f>IFERROR(LOOKUP(DW$15,HourlyTimeseries!$A:$A,HourlyTimeseries!$B:$B),"")</f>
        <v>5000</v>
      </c>
      <c r="DX32" s="50">
        <f>IFERROR(LOOKUP(DX$15,HourlyTimeseries!$A:$A,HourlyTimeseries!$B:$B),"")</f>
        <v>5000</v>
      </c>
      <c r="DY32" s="50">
        <f>IFERROR(LOOKUP(DY$15,HourlyTimeseries!$A:$A,HourlyTimeseries!$B:$B),"")</f>
        <v>5000</v>
      </c>
      <c r="DZ32" s="50">
        <f>IFERROR(LOOKUP(DZ$15,HourlyTimeseries!$A:$A,HourlyTimeseries!$B:$B),"")</f>
        <v>5000</v>
      </c>
      <c r="EA32" s="50">
        <f>IFERROR(LOOKUP(EA$15,HourlyTimeseries!$A:$A,HourlyTimeseries!$B:$B),"")</f>
        <v>8000</v>
      </c>
      <c r="EB32" s="50">
        <f>IFERROR(LOOKUP(EB$15,HourlyTimeseries!$A:$A,HourlyTimeseries!$B:$B),"")</f>
        <v>8000</v>
      </c>
      <c r="EC32" s="50">
        <f>IFERROR(LOOKUP(EC$15,HourlyTimeseries!$A:$A,HourlyTimeseries!$B:$B),"")</f>
        <v>8000</v>
      </c>
      <c r="ED32" s="50">
        <f>IFERROR(LOOKUP(ED$15,HourlyTimeseries!$A:$A,HourlyTimeseries!$B:$B),"")</f>
        <v>8000</v>
      </c>
      <c r="EE32" s="50">
        <f>IFERROR(LOOKUP(EE$15,HourlyTimeseries!$A:$A,HourlyTimeseries!$B:$B),"")</f>
        <v>8000</v>
      </c>
      <c r="EF32" s="50">
        <f>IFERROR(LOOKUP(EF$15,HourlyTimeseries!$A:$A,HourlyTimeseries!$B:$B),"")</f>
        <v>8000</v>
      </c>
      <c r="EG32" s="50">
        <f>IFERROR(LOOKUP(EG$15,HourlyTimeseries!$A:$A,HourlyTimeseries!$B:$B),"")</f>
        <v>8000</v>
      </c>
      <c r="EH32" s="50">
        <f>IFERROR(LOOKUP(EH$15,HourlyTimeseries!$A:$A,HourlyTimeseries!$B:$B),"")</f>
        <v>8000</v>
      </c>
      <c r="EI32" s="50">
        <f>IFERROR(LOOKUP(EI$15,HourlyTimeseries!$A:$A,HourlyTimeseries!$B:$B),"")</f>
        <v>8000</v>
      </c>
      <c r="EJ32" s="50">
        <f>IFERROR(LOOKUP(EJ$15,HourlyTimeseries!$A:$A,HourlyTimeseries!$B:$B),"")</f>
        <v>8000</v>
      </c>
      <c r="EK32" s="50">
        <f>IFERROR(LOOKUP(EK$15,HourlyTimeseries!$A:$A,HourlyTimeseries!$B:$B),"")</f>
        <v>8000</v>
      </c>
      <c r="EL32" s="50">
        <f>IFERROR(LOOKUP(EL$15,HourlyTimeseries!$A:$A,HourlyTimeseries!$B:$B),"")</f>
        <v>8000</v>
      </c>
      <c r="EM32" s="50">
        <f>IFERROR(LOOKUP(EM$15,HourlyTimeseries!$A:$A,HourlyTimeseries!$B:$B),"")</f>
        <v>5000</v>
      </c>
      <c r="EN32" s="50">
        <f>IFERROR(LOOKUP(EN$15,HourlyTimeseries!$A:$A,HourlyTimeseries!$B:$B),"")</f>
        <v>5000</v>
      </c>
      <c r="EO32" s="50">
        <f>IFERROR(LOOKUP(EO$15,HourlyTimeseries!$A:$A,HourlyTimeseries!$B:$B),"")</f>
        <v>5000</v>
      </c>
      <c r="EP32" s="50">
        <f>IFERROR(LOOKUP(EP$15,HourlyTimeseries!$A:$A,HourlyTimeseries!$B:$B),"")</f>
        <v>5000</v>
      </c>
      <c r="EQ32" s="50">
        <f>IFERROR(LOOKUP(EQ$15,HourlyTimeseries!$A:$A,HourlyTimeseries!$B:$B),"")</f>
        <v>5000</v>
      </c>
      <c r="ER32" s="59">
        <f>IFERROR(LOOKUP(ER$15,HourlyTimeseries!$A:$A,HourlyTimeseries!$B:$B),"")</f>
        <v>5000</v>
      </c>
      <c r="ES32" s="66">
        <f>IFERROR(LOOKUP(ES$15,HourlyTimeseries!$A:$A,HourlyTimeseries!$B:$B),"")</f>
        <v>5000</v>
      </c>
      <c r="ET32" s="50">
        <f>IFERROR(LOOKUP(ET$15,HourlyTimeseries!$A:$A,HourlyTimeseries!$B:$B),"")</f>
        <v>5000</v>
      </c>
      <c r="EU32" s="50">
        <f>IFERROR(LOOKUP(EU$15,HourlyTimeseries!$A:$A,HourlyTimeseries!$B:$B),"")</f>
        <v>5000</v>
      </c>
      <c r="EV32" s="50">
        <f>IFERROR(LOOKUP(EV$15,HourlyTimeseries!$A:$A,HourlyTimeseries!$B:$B),"")</f>
        <v>5000</v>
      </c>
      <c r="EW32" s="50">
        <f>IFERROR(LOOKUP(EW$15,HourlyTimeseries!$A:$A,HourlyTimeseries!$B:$B),"")</f>
        <v>5000</v>
      </c>
      <c r="EX32" s="50">
        <f>IFERROR(LOOKUP(EX$15,HourlyTimeseries!$A:$A,HourlyTimeseries!$B:$B),"")</f>
        <v>5000</v>
      </c>
      <c r="EY32" s="50">
        <f>IFERROR(LOOKUP(EY$15,HourlyTimeseries!$A:$A,HourlyTimeseries!$B:$B),"")</f>
        <v>8000</v>
      </c>
      <c r="EZ32" s="50">
        <f>IFERROR(LOOKUP(EZ$15,HourlyTimeseries!$A:$A,HourlyTimeseries!$B:$B),"")</f>
        <v>8000</v>
      </c>
      <c r="FA32" s="50">
        <f>IFERROR(LOOKUP(FA$15,HourlyTimeseries!$A:$A,HourlyTimeseries!$B:$B),"")</f>
        <v>8000</v>
      </c>
      <c r="FB32" s="50">
        <f>IFERROR(LOOKUP(FB$15,HourlyTimeseries!$A:$A,HourlyTimeseries!$B:$B),"")</f>
        <v>8000</v>
      </c>
      <c r="FC32" s="50">
        <f>IFERROR(LOOKUP(FC$15,HourlyTimeseries!$A:$A,HourlyTimeseries!$B:$B),"")</f>
        <v>8000</v>
      </c>
      <c r="FD32" s="50">
        <f>IFERROR(LOOKUP(FD$15,HourlyTimeseries!$A:$A,HourlyTimeseries!$B:$B),"")</f>
        <v>8000</v>
      </c>
      <c r="FE32" s="50">
        <f>IFERROR(LOOKUP(FE$15,HourlyTimeseries!$A:$A,HourlyTimeseries!$B:$B),"")</f>
        <v>8000</v>
      </c>
      <c r="FF32" s="50">
        <f>IFERROR(LOOKUP(FF$15,HourlyTimeseries!$A:$A,HourlyTimeseries!$B:$B),"")</f>
        <v>8000</v>
      </c>
      <c r="FG32" s="50">
        <f>IFERROR(LOOKUP(FG$15,HourlyTimeseries!$A:$A,HourlyTimeseries!$B:$B),"")</f>
        <v>8000</v>
      </c>
      <c r="FH32" s="50">
        <f>IFERROR(LOOKUP(FH$15,HourlyTimeseries!$A:$A,HourlyTimeseries!$B:$B),"")</f>
        <v>8000</v>
      </c>
      <c r="FI32" s="50">
        <f>IFERROR(LOOKUP(FI$15,HourlyTimeseries!$A:$A,HourlyTimeseries!$B:$B),"")</f>
        <v>8000</v>
      </c>
      <c r="FJ32" s="50">
        <f>IFERROR(LOOKUP(FJ$15,HourlyTimeseries!$A:$A,HourlyTimeseries!$B:$B),"")</f>
        <v>8000</v>
      </c>
      <c r="FK32" s="50">
        <f>IFERROR(LOOKUP(FK$15,HourlyTimeseries!$A:$A,HourlyTimeseries!$B:$B),"")</f>
        <v>5000</v>
      </c>
      <c r="FL32" s="50">
        <f>IFERROR(LOOKUP(FL$15,HourlyTimeseries!$A:$A,HourlyTimeseries!$B:$B),"")</f>
        <v>5000</v>
      </c>
      <c r="FM32" s="50">
        <f>IFERROR(LOOKUP(FM$15,HourlyTimeseries!$A:$A,HourlyTimeseries!$B:$B),"")</f>
        <v>5000</v>
      </c>
      <c r="FN32" s="50">
        <f>IFERROR(LOOKUP(FN$15,HourlyTimeseries!$A:$A,HourlyTimeseries!$B:$B),"")</f>
        <v>5000</v>
      </c>
      <c r="FO32" s="50">
        <f>IFERROR(LOOKUP(FO$15,HourlyTimeseries!$A:$A,HourlyTimeseries!$B:$B),"")</f>
        <v>5000</v>
      </c>
      <c r="FP32" s="59">
        <f>IFERROR(LOOKUP(FP$15,HourlyTimeseries!$A:$A,HourlyTimeseries!$B:$B),"")</f>
        <v>5000</v>
      </c>
    </row>
    <row r="33" spans="1:172" ht="15.75" customHeight="1" thickBot="1">
      <c r="A33" s="16" t="s">
        <v>199</v>
      </c>
      <c r="B33" s="3"/>
      <c r="C33" s="3"/>
      <c r="D33" s="3"/>
      <c r="E33" s="3" t="s">
        <v>365</v>
      </c>
      <c r="F33" s="3" t="s">
        <v>366</v>
      </c>
      <c r="G33" s="3" t="s">
        <v>367</v>
      </c>
      <c r="H33" s="3" t="s">
        <v>368</v>
      </c>
      <c r="I33" s="3" t="s">
        <v>369</v>
      </c>
      <c r="J33" s="3" t="s">
        <v>370</v>
      </c>
      <c r="K33" s="3" t="s">
        <v>371</v>
      </c>
    </row>
    <row r="34" spans="1:172">
      <c r="A34" s="15" t="s">
        <v>120</v>
      </c>
      <c r="B34" s="2" t="s">
        <v>59</v>
      </c>
      <c r="C34" s="8" t="s">
        <v>133</v>
      </c>
      <c r="D34" s="2"/>
      <c r="E34" s="50">
        <f>IFERROR(LOOKUP(E$17,DailyTimeseries!$A:$A,DailyTimeseries!$B:$B),"")</f>
        <v>23753.801404958675</v>
      </c>
      <c r="F34" s="50">
        <f>IFERROR(LOOKUP(F$17,DailyTimeseries!$A:$A,DailyTimeseries!$B:$B),"")</f>
        <v>23275.408595041321</v>
      </c>
      <c r="G34" s="50">
        <f>IFERROR(LOOKUP(G$17,DailyTimeseries!$A:$A,DailyTimeseries!$B:$B),"")</f>
        <v>24850.188429752059</v>
      </c>
      <c r="H34" s="50">
        <f>IFERROR(LOOKUP(H$17,DailyTimeseries!$A:$A,DailyTimeseries!$B:$B),"")</f>
        <v>24850.188429752059</v>
      </c>
      <c r="I34" s="50">
        <f>IFERROR(LOOKUP(I$17,DailyTimeseries!$A:$A,DailyTimeseries!$B:$B),"")</f>
        <v>24850.188429752059</v>
      </c>
      <c r="J34" s="50">
        <f>IFERROR(LOOKUP(J$17,DailyTimeseries!$A:$A,DailyTimeseries!$B:$B),"")</f>
        <v>24850.188429752059</v>
      </c>
      <c r="K34" s="50">
        <f>IFERROR(LOOKUP(K$17,DailyTimeseries!$A:$A,DailyTimeseries!$B:$B),"")</f>
        <v>24850.188429752059</v>
      </c>
    </row>
    <row r="35" spans="1:172" ht="15.75" customHeight="1" thickBot="1">
      <c r="A35" s="16" t="s">
        <v>97</v>
      </c>
      <c r="B35" s="2" t="s">
        <v>98</v>
      </c>
      <c r="C35" s="2"/>
      <c r="D35" s="4" t="b">
        <v>1</v>
      </c>
    </row>
    <row r="36" spans="1:172">
      <c r="A36" s="15" t="s">
        <v>61</v>
      </c>
      <c r="B36" s="2" t="s">
        <v>60</v>
      </c>
      <c r="C36" s="8" t="s">
        <v>133</v>
      </c>
      <c r="D36" s="44"/>
      <c r="E36" s="50">
        <f>IFERROR(LOOKUP(E$17,DailyTimeseries!$A:$A,DailyTimeseries!$C:$C),"")</f>
        <v>7630</v>
      </c>
      <c r="F36" s="50">
        <f>IFERROR(LOOKUP(F$17,DailyTimeseries!$A:$A,DailyTimeseries!$C:$C),"")</f>
        <v>7630</v>
      </c>
      <c r="G36" s="50">
        <f>IFERROR(LOOKUP(G$17,DailyTimeseries!$A:$A,DailyTimeseries!$C:$C),"")</f>
        <v>7630</v>
      </c>
      <c r="H36" s="50">
        <f>IFERROR(LOOKUP(H$17,DailyTimeseries!$A:$A,DailyTimeseries!$C:$C),"")</f>
        <v>7630</v>
      </c>
      <c r="I36" s="50">
        <f>IFERROR(LOOKUP(I$17,DailyTimeseries!$A:$A,DailyTimeseries!$C:$C),"")</f>
        <v>7630</v>
      </c>
      <c r="J36" s="50">
        <f>IFERROR(LOOKUP(J$17,DailyTimeseries!$A:$A,DailyTimeseries!$C:$C),"")</f>
        <v>7630</v>
      </c>
      <c r="K36" s="50">
        <f>IFERROR(LOOKUP(K$17,DailyTimeseries!$A:$A,DailyTimeseries!$C:$C),"")</f>
        <v>7630</v>
      </c>
    </row>
    <row r="37" spans="1:172" ht="15.75" customHeight="1" thickBot="1">
      <c r="A37" s="16" t="s">
        <v>125</v>
      </c>
      <c r="B37" s="2" t="s">
        <v>95</v>
      </c>
      <c r="C37" s="2"/>
      <c r="D37" s="4" t="b">
        <v>1</v>
      </c>
    </row>
    <row r="38" spans="1:172">
      <c r="A38" s="15" t="s">
        <v>69</v>
      </c>
      <c r="B38" s="2" t="s">
        <v>62</v>
      </c>
      <c r="C38" s="8" t="s">
        <v>133</v>
      </c>
      <c r="D38" s="8">
        <v>15000</v>
      </c>
    </row>
    <row r="39" spans="1:172">
      <c r="A39" s="15" t="s">
        <v>68</v>
      </c>
      <c r="B39" s="2" t="s">
        <v>63</v>
      </c>
      <c r="C39" s="8" t="s">
        <v>133</v>
      </c>
      <c r="D39" s="8">
        <v>15000</v>
      </c>
    </row>
    <row r="40" spans="1:172">
      <c r="A40" s="15" t="s">
        <v>205</v>
      </c>
      <c r="B40" s="2" t="s">
        <v>204</v>
      </c>
      <c r="C40" s="8" t="s">
        <v>133</v>
      </c>
      <c r="D40" s="2"/>
      <c r="E40" s="50">
        <f>IFERROR(LOOKUP(E$15,HourlyTimeseries!$A:$A,HourlyTimeseries!$D:$D),"")</f>
        <v>0</v>
      </c>
      <c r="F40" s="50">
        <f>IFERROR(LOOKUP(F$15,HourlyTimeseries!$A:$A,HourlyTimeseries!$D:$D),"")</f>
        <v>0</v>
      </c>
      <c r="G40" s="50">
        <f>IFERROR(LOOKUP(G$15,HourlyTimeseries!$A:$A,HourlyTimeseries!$D:$D),"")</f>
        <v>0</v>
      </c>
      <c r="H40" s="50">
        <f>IFERROR(LOOKUP(H$15,HourlyTimeseries!$A:$A,HourlyTimeseries!$D:$D),"")</f>
        <v>0</v>
      </c>
      <c r="I40" s="50">
        <f>IFERROR(LOOKUP(I$15,HourlyTimeseries!$A:$A,HourlyTimeseries!$D:$D),"")</f>
        <v>0</v>
      </c>
      <c r="J40" s="50">
        <f>IFERROR(LOOKUP(J$15,HourlyTimeseries!$A:$A,HourlyTimeseries!$D:$D),"")</f>
        <v>0</v>
      </c>
      <c r="K40" s="50">
        <f>IFERROR(LOOKUP(K$15,HourlyTimeseries!$A:$A,HourlyTimeseries!$D:$D),"")</f>
        <v>0</v>
      </c>
      <c r="L40" s="50">
        <f>IFERROR(LOOKUP(L$15,HourlyTimeseries!$A:$A,HourlyTimeseries!$D:$D),"")</f>
        <v>0</v>
      </c>
      <c r="M40" s="50">
        <f>IFERROR(LOOKUP(M$15,HourlyTimeseries!$A:$A,HourlyTimeseries!$D:$D),"")</f>
        <v>0</v>
      </c>
      <c r="N40" s="50">
        <f>IFERROR(LOOKUP(N$15,HourlyTimeseries!$A:$A,HourlyTimeseries!$D:$D),"")</f>
        <v>0</v>
      </c>
      <c r="O40" s="50">
        <f>IFERROR(LOOKUP(O$15,HourlyTimeseries!$A:$A,HourlyTimeseries!$D:$D),"")</f>
        <v>0</v>
      </c>
      <c r="P40" s="50">
        <f>IFERROR(LOOKUP(P$15,HourlyTimeseries!$A:$A,HourlyTimeseries!$D:$D),"")</f>
        <v>0</v>
      </c>
      <c r="Q40" s="50">
        <f>IFERROR(LOOKUP(Q$15,HourlyTimeseries!$A:$A,HourlyTimeseries!$D:$D),"")</f>
        <v>0</v>
      </c>
      <c r="R40" s="50">
        <f>IFERROR(LOOKUP(R$15,HourlyTimeseries!$A:$A,HourlyTimeseries!$D:$D),"")</f>
        <v>0</v>
      </c>
      <c r="S40" s="50">
        <f>IFERROR(LOOKUP(S$15,HourlyTimeseries!$A:$A,HourlyTimeseries!$D:$D),"")</f>
        <v>0</v>
      </c>
      <c r="T40" s="50">
        <f>IFERROR(LOOKUP(T$15,HourlyTimeseries!$A:$A,HourlyTimeseries!$D:$D),"")</f>
        <v>0</v>
      </c>
      <c r="U40" s="50">
        <f>IFERROR(LOOKUP(U$15,HourlyTimeseries!$A:$A,HourlyTimeseries!$D:$D),"")</f>
        <v>0</v>
      </c>
      <c r="V40" s="50">
        <f>IFERROR(LOOKUP(V$15,HourlyTimeseries!$A:$A,HourlyTimeseries!$D:$D),"")</f>
        <v>0</v>
      </c>
      <c r="W40" s="50">
        <f>IFERROR(LOOKUP(W$15,HourlyTimeseries!$A:$A,HourlyTimeseries!$D:$D),"")</f>
        <v>0</v>
      </c>
      <c r="X40" s="50">
        <f>IFERROR(LOOKUP(X$15,HourlyTimeseries!$A:$A,HourlyTimeseries!$D:$D),"")</f>
        <v>0</v>
      </c>
      <c r="Y40" s="50">
        <f>IFERROR(LOOKUP(Y$15,HourlyTimeseries!$A:$A,HourlyTimeseries!$D:$D),"")</f>
        <v>0</v>
      </c>
      <c r="Z40" s="50">
        <f>IFERROR(LOOKUP(Z$15,HourlyTimeseries!$A:$A,HourlyTimeseries!$D:$D),"")</f>
        <v>0</v>
      </c>
      <c r="AA40" s="50">
        <f>IFERROR(LOOKUP(AA$15,HourlyTimeseries!$A:$A,HourlyTimeseries!$D:$D),"")</f>
        <v>0</v>
      </c>
      <c r="AB40" s="59">
        <f>IFERROR(LOOKUP(AB$15,HourlyTimeseries!$A:$A,HourlyTimeseries!$D:$D),"")</f>
        <v>0</v>
      </c>
      <c r="AC40" s="66">
        <f>IFERROR(LOOKUP(AC$15,HourlyTimeseries!$A:$A,HourlyTimeseries!$D:$D),"")</f>
        <v>0</v>
      </c>
      <c r="AD40" s="50">
        <f>IFERROR(LOOKUP(AD$15,HourlyTimeseries!$A:$A,HourlyTimeseries!$D:$D),"")</f>
        <v>0</v>
      </c>
      <c r="AE40" s="50">
        <f>IFERROR(LOOKUP(AE$15,HourlyTimeseries!$A:$A,HourlyTimeseries!$D:$D),"")</f>
        <v>0</v>
      </c>
      <c r="AF40" s="50">
        <f>IFERROR(LOOKUP(AF$15,HourlyTimeseries!$A:$A,HourlyTimeseries!$D:$D),"")</f>
        <v>0</v>
      </c>
      <c r="AG40" s="50">
        <f>IFERROR(LOOKUP(AG$15,HourlyTimeseries!$A:$A,HourlyTimeseries!$D:$D),"")</f>
        <v>0</v>
      </c>
      <c r="AH40" s="50">
        <f>IFERROR(LOOKUP(AH$15,HourlyTimeseries!$A:$A,HourlyTimeseries!$D:$D),"")</f>
        <v>0</v>
      </c>
      <c r="AI40" s="50">
        <f>IFERROR(LOOKUP(AI$15,HourlyTimeseries!$A:$A,HourlyTimeseries!$D:$D),"")</f>
        <v>0</v>
      </c>
      <c r="AJ40" s="50">
        <f>IFERROR(LOOKUP(AJ$15,HourlyTimeseries!$A:$A,HourlyTimeseries!$D:$D),"")</f>
        <v>0</v>
      </c>
      <c r="AK40" s="50">
        <f>IFERROR(LOOKUP(AK$15,HourlyTimeseries!$A:$A,HourlyTimeseries!$D:$D),"")</f>
        <v>0</v>
      </c>
      <c r="AL40" s="50">
        <f>IFERROR(LOOKUP(AL$15,HourlyTimeseries!$A:$A,HourlyTimeseries!$D:$D),"")</f>
        <v>0</v>
      </c>
      <c r="AM40" s="50">
        <f>IFERROR(LOOKUP(AM$15,HourlyTimeseries!$A:$A,HourlyTimeseries!$D:$D),"")</f>
        <v>0</v>
      </c>
      <c r="AN40" s="50">
        <f>IFERROR(LOOKUP(AN$15,HourlyTimeseries!$A:$A,HourlyTimeseries!$D:$D),"")</f>
        <v>0</v>
      </c>
      <c r="AO40" s="50">
        <f>IFERROR(LOOKUP(AO$15,HourlyTimeseries!$A:$A,HourlyTimeseries!$D:$D),"")</f>
        <v>0</v>
      </c>
      <c r="AP40" s="50">
        <f>IFERROR(LOOKUP(AP$15,HourlyTimeseries!$A:$A,HourlyTimeseries!$D:$D),"")</f>
        <v>0</v>
      </c>
      <c r="AQ40" s="50">
        <f>IFERROR(LOOKUP(AQ$15,HourlyTimeseries!$A:$A,HourlyTimeseries!$D:$D),"")</f>
        <v>0</v>
      </c>
      <c r="AR40" s="50">
        <f>IFERROR(LOOKUP(AR$15,HourlyTimeseries!$A:$A,HourlyTimeseries!$D:$D),"")</f>
        <v>0</v>
      </c>
      <c r="AS40" s="50">
        <f>IFERROR(LOOKUP(AS$15,HourlyTimeseries!$A:$A,HourlyTimeseries!$D:$D),"")</f>
        <v>0</v>
      </c>
      <c r="AT40" s="50">
        <f>IFERROR(LOOKUP(AT$15,HourlyTimeseries!$A:$A,HourlyTimeseries!$D:$D),"")</f>
        <v>0</v>
      </c>
      <c r="AU40" s="50">
        <f>IFERROR(LOOKUP(AU$15,HourlyTimeseries!$A:$A,HourlyTimeseries!$D:$D),"")</f>
        <v>0</v>
      </c>
      <c r="AV40" s="50">
        <f>IFERROR(LOOKUP(AV$15,HourlyTimeseries!$A:$A,HourlyTimeseries!$D:$D),"")</f>
        <v>0</v>
      </c>
      <c r="AW40" s="50">
        <f>IFERROR(LOOKUP(AW$15,HourlyTimeseries!$A:$A,HourlyTimeseries!$D:$D),"")</f>
        <v>0</v>
      </c>
      <c r="AX40" s="50">
        <f>IFERROR(LOOKUP(AX$15,HourlyTimeseries!$A:$A,HourlyTimeseries!$D:$D),"")</f>
        <v>0</v>
      </c>
      <c r="AY40" s="50">
        <f>IFERROR(LOOKUP(AY$15,HourlyTimeseries!$A:$A,HourlyTimeseries!$D:$D),"")</f>
        <v>0</v>
      </c>
      <c r="AZ40" s="59">
        <f>IFERROR(LOOKUP(AZ$15,HourlyTimeseries!$A:$A,HourlyTimeseries!$D:$D),"")</f>
        <v>0</v>
      </c>
      <c r="BA40" s="66">
        <f>IFERROR(LOOKUP(BA$15,HourlyTimeseries!$A:$A,HourlyTimeseries!$D:$D),"")</f>
        <v>0</v>
      </c>
      <c r="BB40" s="50">
        <f>IFERROR(LOOKUP(BB$15,HourlyTimeseries!$A:$A,HourlyTimeseries!$D:$D),"")</f>
        <v>0</v>
      </c>
      <c r="BC40" s="50">
        <f>IFERROR(LOOKUP(BC$15,HourlyTimeseries!$A:$A,HourlyTimeseries!$D:$D),"")</f>
        <v>0</v>
      </c>
      <c r="BD40" s="50">
        <f>IFERROR(LOOKUP(BD$15,HourlyTimeseries!$A:$A,HourlyTimeseries!$D:$D),"")</f>
        <v>0</v>
      </c>
      <c r="BE40" s="50">
        <f>IFERROR(LOOKUP(BE$15,HourlyTimeseries!$A:$A,HourlyTimeseries!$D:$D),"")</f>
        <v>0</v>
      </c>
      <c r="BF40" s="50">
        <f>IFERROR(LOOKUP(BF$15,HourlyTimeseries!$A:$A,HourlyTimeseries!$D:$D),"")</f>
        <v>0</v>
      </c>
      <c r="BG40" s="50">
        <f>IFERROR(LOOKUP(BG$15,HourlyTimeseries!$A:$A,HourlyTimeseries!$D:$D),"")</f>
        <v>0</v>
      </c>
      <c r="BH40" s="50">
        <f>IFERROR(LOOKUP(BH$15,HourlyTimeseries!$A:$A,HourlyTimeseries!$D:$D),"")</f>
        <v>0</v>
      </c>
      <c r="BI40" s="50">
        <f>IFERROR(LOOKUP(BI$15,HourlyTimeseries!$A:$A,HourlyTimeseries!$D:$D),"")</f>
        <v>0</v>
      </c>
      <c r="BJ40" s="50">
        <f>IFERROR(LOOKUP(BJ$15,HourlyTimeseries!$A:$A,HourlyTimeseries!$D:$D),"")</f>
        <v>0</v>
      </c>
      <c r="BK40" s="50">
        <f>IFERROR(LOOKUP(BK$15,HourlyTimeseries!$A:$A,HourlyTimeseries!$D:$D),"")</f>
        <v>0</v>
      </c>
      <c r="BL40" s="50">
        <f>IFERROR(LOOKUP(BL$15,HourlyTimeseries!$A:$A,HourlyTimeseries!$D:$D),"")</f>
        <v>0</v>
      </c>
      <c r="BM40" s="50">
        <f>IFERROR(LOOKUP(BM$15,HourlyTimeseries!$A:$A,HourlyTimeseries!$D:$D),"")</f>
        <v>0</v>
      </c>
      <c r="BN40" s="50">
        <f>IFERROR(LOOKUP(BN$15,HourlyTimeseries!$A:$A,HourlyTimeseries!$D:$D),"")</f>
        <v>0</v>
      </c>
      <c r="BO40" s="50">
        <f>IFERROR(LOOKUP(BO$15,HourlyTimeseries!$A:$A,HourlyTimeseries!$D:$D),"")</f>
        <v>0</v>
      </c>
      <c r="BP40" s="50">
        <f>IFERROR(LOOKUP(BP$15,HourlyTimeseries!$A:$A,HourlyTimeseries!$D:$D),"")</f>
        <v>0</v>
      </c>
      <c r="BQ40" s="50">
        <f>IFERROR(LOOKUP(BQ$15,HourlyTimeseries!$A:$A,HourlyTimeseries!$D:$D),"")</f>
        <v>0</v>
      </c>
      <c r="BR40" s="50">
        <f>IFERROR(LOOKUP(BR$15,HourlyTimeseries!$A:$A,HourlyTimeseries!$D:$D),"")</f>
        <v>0</v>
      </c>
      <c r="BS40" s="50">
        <f>IFERROR(LOOKUP(BS$15,HourlyTimeseries!$A:$A,HourlyTimeseries!$D:$D),"")</f>
        <v>0</v>
      </c>
      <c r="BT40" s="50">
        <f>IFERROR(LOOKUP(BT$15,HourlyTimeseries!$A:$A,HourlyTimeseries!$D:$D),"")</f>
        <v>0</v>
      </c>
      <c r="BU40" s="50">
        <f>IFERROR(LOOKUP(BU$15,HourlyTimeseries!$A:$A,HourlyTimeseries!$D:$D),"")</f>
        <v>0</v>
      </c>
      <c r="BV40" s="50">
        <f>IFERROR(LOOKUP(BV$15,HourlyTimeseries!$A:$A,HourlyTimeseries!$D:$D),"")</f>
        <v>0</v>
      </c>
      <c r="BW40" s="50">
        <f>IFERROR(LOOKUP(BW$15,HourlyTimeseries!$A:$A,HourlyTimeseries!$D:$D),"")</f>
        <v>0</v>
      </c>
      <c r="BX40" s="59">
        <f>IFERROR(LOOKUP(BX$15,HourlyTimeseries!$A:$A,HourlyTimeseries!$D:$D),"")</f>
        <v>0</v>
      </c>
      <c r="BY40" s="66">
        <f>IFERROR(LOOKUP(BY$15,HourlyTimeseries!$A:$A,HourlyTimeseries!$D:$D),"")</f>
        <v>0</v>
      </c>
      <c r="BZ40" s="50">
        <f>IFERROR(LOOKUP(BZ$15,HourlyTimeseries!$A:$A,HourlyTimeseries!$D:$D),"")</f>
        <v>0</v>
      </c>
      <c r="CA40" s="50">
        <f>IFERROR(LOOKUP(CA$15,HourlyTimeseries!$A:$A,HourlyTimeseries!$D:$D),"")</f>
        <v>0</v>
      </c>
      <c r="CB40" s="50">
        <f>IFERROR(LOOKUP(CB$15,HourlyTimeseries!$A:$A,HourlyTimeseries!$D:$D),"")</f>
        <v>0</v>
      </c>
      <c r="CC40" s="50">
        <f>IFERROR(LOOKUP(CC$15,HourlyTimeseries!$A:$A,HourlyTimeseries!$D:$D),"")</f>
        <v>0</v>
      </c>
      <c r="CD40" s="50">
        <f>IFERROR(LOOKUP(CD$15,HourlyTimeseries!$A:$A,HourlyTimeseries!$D:$D),"")</f>
        <v>0</v>
      </c>
      <c r="CE40" s="50">
        <f>IFERROR(LOOKUP(CE$15,HourlyTimeseries!$A:$A,HourlyTimeseries!$D:$D),"")</f>
        <v>0</v>
      </c>
      <c r="CF40" s="50">
        <f>IFERROR(LOOKUP(CF$15,HourlyTimeseries!$A:$A,HourlyTimeseries!$D:$D),"")</f>
        <v>0</v>
      </c>
      <c r="CG40" s="50">
        <f>IFERROR(LOOKUP(CG$15,HourlyTimeseries!$A:$A,HourlyTimeseries!$D:$D),"")</f>
        <v>0</v>
      </c>
      <c r="CH40" s="50">
        <f>IFERROR(LOOKUP(CH$15,HourlyTimeseries!$A:$A,HourlyTimeseries!$D:$D),"")</f>
        <v>0</v>
      </c>
      <c r="CI40" s="50">
        <f>IFERROR(LOOKUP(CI$15,HourlyTimeseries!$A:$A,HourlyTimeseries!$D:$D),"")</f>
        <v>0</v>
      </c>
      <c r="CJ40" s="50">
        <f>IFERROR(LOOKUP(CJ$15,HourlyTimeseries!$A:$A,HourlyTimeseries!$D:$D),"")</f>
        <v>0</v>
      </c>
      <c r="CK40" s="50">
        <f>IFERROR(LOOKUP(CK$15,HourlyTimeseries!$A:$A,HourlyTimeseries!$D:$D),"")</f>
        <v>0</v>
      </c>
      <c r="CL40" s="50">
        <f>IFERROR(LOOKUP(CL$15,HourlyTimeseries!$A:$A,HourlyTimeseries!$D:$D),"")</f>
        <v>0</v>
      </c>
      <c r="CM40" s="50">
        <f>IFERROR(LOOKUP(CM$15,HourlyTimeseries!$A:$A,HourlyTimeseries!$D:$D),"")</f>
        <v>0</v>
      </c>
      <c r="CN40" s="50">
        <f>IFERROR(LOOKUP(CN$15,HourlyTimeseries!$A:$A,HourlyTimeseries!$D:$D),"")</f>
        <v>0</v>
      </c>
      <c r="CO40" s="50">
        <f>IFERROR(LOOKUP(CO$15,HourlyTimeseries!$A:$A,HourlyTimeseries!$D:$D),"")</f>
        <v>0</v>
      </c>
      <c r="CP40" s="50">
        <f>IFERROR(LOOKUP(CP$15,HourlyTimeseries!$A:$A,HourlyTimeseries!$D:$D),"")</f>
        <v>0</v>
      </c>
      <c r="CQ40" s="50">
        <f>IFERROR(LOOKUP(CQ$15,HourlyTimeseries!$A:$A,HourlyTimeseries!$D:$D),"")</f>
        <v>0</v>
      </c>
      <c r="CR40" s="50">
        <f>IFERROR(LOOKUP(CR$15,HourlyTimeseries!$A:$A,HourlyTimeseries!$D:$D),"")</f>
        <v>0</v>
      </c>
      <c r="CS40" s="50">
        <f>IFERROR(LOOKUP(CS$15,HourlyTimeseries!$A:$A,HourlyTimeseries!$D:$D),"")</f>
        <v>0</v>
      </c>
      <c r="CT40" s="50">
        <f>IFERROR(LOOKUP(CT$15,HourlyTimeseries!$A:$A,HourlyTimeseries!$D:$D),"")</f>
        <v>0</v>
      </c>
      <c r="CU40" s="50">
        <f>IFERROR(LOOKUP(CU$15,HourlyTimeseries!$A:$A,HourlyTimeseries!$D:$D),"")</f>
        <v>0</v>
      </c>
      <c r="CV40" s="59">
        <f>IFERROR(LOOKUP(CV$15,HourlyTimeseries!$A:$A,HourlyTimeseries!$D:$D),"")</f>
        <v>0</v>
      </c>
      <c r="CW40" s="66">
        <f>IFERROR(LOOKUP(CW$15,HourlyTimeseries!$A:$A,HourlyTimeseries!$D:$D),"")</f>
        <v>0</v>
      </c>
      <c r="CX40" s="50">
        <f>IFERROR(LOOKUP(CX$15,HourlyTimeseries!$A:$A,HourlyTimeseries!$D:$D),"")</f>
        <v>0</v>
      </c>
      <c r="CY40" s="50">
        <f>IFERROR(LOOKUP(CY$15,HourlyTimeseries!$A:$A,HourlyTimeseries!$D:$D),"")</f>
        <v>0</v>
      </c>
      <c r="CZ40" s="50">
        <f>IFERROR(LOOKUP(CZ$15,HourlyTimeseries!$A:$A,HourlyTimeseries!$D:$D),"")</f>
        <v>0</v>
      </c>
      <c r="DA40" s="50">
        <f>IFERROR(LOOKUP(DA$15,HourlyTimeseries!$A:$A,HourlyTimeseries!$D:$D),"")</f>
        <v>0</v>
      </c>
      <c r="DB40" s="50">
        <f>IFERROR(LOOKUP(DB$15,HourlyTimeseries!$A:$A,HourlyTimeseries!$D:$D),"")</f>
        <v>0</v>
      </c>
      <c r="DC40" s="50">
        <f>IFERROR(LOOKUP(DC$15,HourlyTimeseries!$A:$A,HourlyTimeseries!$D:$D),"")</f>
        <v>0</v>
      </c>
      <c r="DD40" s="50">
        <f>IFERROR(LOOKUP(DD$15,HourlyTimeseries!$A:$A,HourlyTimeseries!$D:$D),"")</f>
        <v>0</v>
      </c>
      <c r="DE40" s="50">
        <f>IFERROR(LOOKUP(DE$15,HourlyTimeseries!$A:$A,HourlyTimeseries!$D:$D),"")</f>
        <v>0</v>
      </c>
      <c r="DF40" s="50">
        <f>IFERROR(LOOKUP(DF$15,HourlyTimeseries!$A:$A,HourlyTimeseries!$D:$D),"")</f>
        <v>0</v>
      </c>
      <c r="DG40" s="50">
        <f>IFERROR(LOOKUP(DG$15,HourlyTimeseries!$A:$A,HourlyTimeseries!$D:$D),"")</f>
        <v>0</v>
      </c>
      <c r="DH40" s="50">
        <f>IFERROR(LOOKUP(DH$15,HourlyTimeseries!$A:$A,HourlyTimeseries!$D:$D),"")</f>
        <v>0</v>
      </c>
      <c r="DI40" s="50">
        <f>IFERROR(LOOKUP(DI$15,HourlyTimeseries!$A:$A,HourlyTimeseries!$D:$D),"")</f>
        <v>0</v>
      </c>
      <c r="DJ40" s="50">
        <f>IFERROR(LOOKUP(DJ$15,HourlyTimeseries!$A:$A,HourlyTimeseries!$D:$D),"")</f>
        <v>0</v>
      </c>
      <c r="DK40" s="50">
        <f>IFERROR(LOOKUP(DK$15,HourlyTimeseries!$A:$A,HourlyTimeseries!$D:$D),"")</f>
        <v>0</v>
      </c>
      <c r="DL40" s="50">
        <f>IFERROR(LOOKUP(DL$15,HourlyTimeseries!$A:$A,HourlyTimeseries!$D:$D),"")</f>
        <v>0</v>
      </c>
      <c r="DM40" s="50">
        <f>IFERROR(LOOKUP(DM$15,HourlyTimeseries!$A:$A,HourlyTimeseries!$D:$D),"")</f>
        <v>0</v>
      </c>
      <c r="DN40" s="50">
        <f>IFERROR(LOOKUP(DN$15,HourlyTimeseries!$A:$A,HourlyTimeseries!$D:$D),"")</f>
        <v>0</v>
      </c>
      <c r="DO40" s="50">
        <f>IFERROR(LOOKUP(DO$15,HourlyTimeseries!$A:$A,HourlyTimeseries!$D:$D),"")</f>
        <v>0</v>
      </c>
      <c r="DP40" s="50">
        <f>IFERROR(LOOKUP(DP$15,HourlyTimeseries!$A:$A,HourlyTimeseries!$D:$D),"")</f>
        <v>0</v>
      </c>
      <c r="DQ40" s="50">
        <f>IFERROR(LOOKUP(DQ$15,HourlyTimeseries!$A:$A,HourlyTimeseries!$D:$D),"")</f>
        <v>0</v>
      </c>
      <c r="DR40" s="50">
        <f>IFERROR(LOOKUP(DR$15,HourlyTimeseries!$A:$A,HourlyTimeseries!$D:$D),"")</f>
        <v>0</v>
      </c>
      <c r="DS40" s="50">
        <f>IFERROR(LOOKUP(DS$15,HourlyTimeseries!$A:$A,HourlyTimeseries!$D:$D),"")</f>
        <v>0</v>
      </c>
      <c r="DT40" s="59">
        <f>IFERROR(LOOKUP(DT$15,HourlyTimeseries!$A:$A,HourlyTimeseries!$D:$D),"")</f>
        <v>0</v>
      </c>
      <c r="DU40" s="66">
        <f>IFERROR(LOOKUP(DU$15,HourlyTimeseries!$A:$A,HourlyTimeseries!$D:$D),"")</f>
        <v>0</v>
      </c>
      <c r="DV40" s="50">
        <f>IFERROR(LOOKUP(DV$15,HourlyTimeseries!$A:$A,HourlyTimeseries!$D:$D),"")</f>
        <v>0</v>
      </c>
      <c r="DW40" s="50">
        <f>IFERROR(LOOKUP(DW$15,HourlyTimeseries!$A:$A,HourlyTimeseries!$D:$D),"")</f>
        <v>0</v>
      </c>
      <c r="DX40" s="50">
        <f>IFERROR(LOOKUP(DX$15,HourlyTimeseries!$A:$A,HourlyTimeseries!$D:$D),"")</f>
        <v>0</v>
      </c>
      <c r="DY40" s="50">
        <f>IFERROR(LOOKUP(DY$15,HourlyTimeseries!$A:$A,HourlyTimeseries!$D:$D),"")</f>
        <v>0</v>
      </c>
      <c r="DZ40" s="50">
        <f>IFERROR(LOOKUP(DZ$15,HourlyTimeseries!$A:$A,HourlyTimeseries!$D:$D),"")</f>
        <v>0</v>
      </c>
      <c r="EA40" s="50">
        <f>IFERROR(LOOKUP(EA$15,HourlyTimeseries!$A:$A,HourlyTimeseries!$D:$D),"")</f>
        <v>0</v>
      </c>
      <c r="EB40" s="50">
        <f>IFERROR(LOOKUP(EB$15,HourlyTimeseries!$A:$A,HourlyTimeseries!$D:$D),"")</f>
        <v>0</v>
      </c>
      <c r="EC40" s="50">
        <f>IFERROR(LOOKUP(EC$15,HourlyTimeseries!$A:$A,HourlyTimeseries!$D:$D),"")</f>
        <v>0</v>
      </c>
      <c r="ED40" s="50">
        <f>IFERROR(LOOKUP(ED$15,HourlyTimeseries!$A:$A,HourlyTimeseries!$D:$D),"")</f>
        <v>0</v>
      </c>
      <c r="EE40" s="50">
        <f>IFERROR(LOOKUP(EE$15,HourlyTimeseries!$A:$A,HourlyTimeseries!$D:$D),"")</f>
        <v>0</v>
      </c>
      <c r="EF40" s="50">
        <f>IFERROR(LOOKUP(EF$15,HourlyTimeseries!$A:$A,HourlyTimeseries!$D:$D),"")</f>
        <v>0</v>
      </c>
      <c r="EG40" s="50">
        <f>IFERROR(LOOKUP(EG$15,HourlyTimeseries!$A:$A,HourlyTimeseries!$D:$D),"")</f>
        <v>0</v>
      </c>
      <c r="EH40" s="50">
        <f>IFERROR(LOOKUP(EH$15,HourlyTimeseries!$A:$A,HourlyTimeseries!$D:$D),"")</f>
        <v>0</v>
      </c>
      <c r="EI40" s="50">
        <f>IFERROR(LOOKUP(EI$15,HourlyTimeseries!$A:$A,HourlyTimeseries!$D:$D),"")</f>
        <v>0</v>
      </c>
      <c r="EJ40" s="50">
        <f>IFERROR(LOOKUP(EJ$15,HourlyTimeseries!$A:$A,HourlyTimeseries!$D:$D),"")</f>
        <v>0</v>
      </c>
      <c r="EK40" s="50">
        <f>IFERROR(LOOKUP(EK$15,HourlyTimeseries!$A:$A,HourlyTimeseries!$D:$D),"")</f>
        <v>0</v>
      </c>
      <c r="EL40" s="50">
        <f>IFERROR(LOOKUP(EL$15,HourlyTimeseries!$A:$A,HourlyTimeseries!$D:$D),"")</f>
        <v>0</v>
      </c>
      <c r="EM40" s="50">
        <f>IFERROR(LOOKUP(EM$15,HourlyTimeseries!$A:$A,HourlyTimeseries!$D:$D),"")</f>
        <v>0</v>
      </c>
      <c r="EN40" s="50">
        <f>IFERROR(LOOKUP(EN$15,HourlyTimeseries!$A:$A,HourlyTimeseries!$D:$D),"")</f>
        <v>0</v>
      </c>
      <c r="EO40" s="50">
        <f>IFERROR(LOOKUP(EO$15,HourlyTimeseries!$A:$A,HourlyTimeseries!$D:$D),"")</f>
        <v>0</v>
      </c>
      <c r="EP40" s="50">
        <f>IFERROR(LOOKUP(EP$15,HourlyTimeseries!$A:$A,HourlyTimeseries!$D:$D),"")</f>
        <v>0</v>
      </c>
      <c r="EQ40" s="50">
        <f>IFERROR(LOOKUP(EQ$15,HourlyTimeseries!$A:$A,HourlyTimeseries!$D:$D),"")</f>
        <v>0</v>
      </c>
      <c r="ER40" s="59">
        <f>IFERROR(LOOKUP(ER$15,HourlyTimeseries!$A:$A,HourlyTimeseries!$D:$D),"")</f>
        <v>0</v>
      </c>
      <c r="ES40" s="66">
        <f>IFERROR(LOOKUP(ES$15,HourlyTimeseries!$A:$A,HourlyTimeseries!$D:$D),"")</f>
        <v>0</v>
      </c>
      <c r="ET40" s="50">
        <f>IFERROR(LOOKUP(ET$15,HourlyTimeseries!$A:$A,HourlyTimeseries!$D:$D),"")</f>
        <v>0</v>
      </c>
      <c r="EU40" s="50">
        <f>IFERROR(LOOKUP(EU$15,HourlyTimeseries!$A:$A,HourlyTimeseries!$D:$D),"")</f>
        <v>0</v>
      </c>
      <c r="EV40" s="50">
        <f>IFERROR(LOOKUP(EV$15,HourlyTimeseries!$A:$A,HourlyTimeseries!$D:$D),"")</f>
        <v>0</v>
      </c>
      <c r="EW40" s="50">
        <f>IFERROR(LOOKUP(EW$15,HourlyTimeseries!$A:$A,HourlyTimeseries!$D:$D),"")</f>
        <v>0</v>
      </c>
      <c r="EX40" s="50">
        <f>IFERROR(LOOKUP(EX$15,HourlyTimeseries!$A:$A,HourlyTimeseries!$D:$D),"")</f>
        <v>0</v>
      </c>
      <c r="EY40" s="50">
        <f>IFERROR(LOOKUP(EY$15,HourlyTimeseries!$A:$A,HourlyTimeseries!$D:$D),"")</f>
        <v>0</v>
      </c>
      <c r="EZ40" s="50">
        <f>IFERROR(LOOKUP(EZ$15,HourlyTimeseries!$A:$A,HourlyTimeseries!$D:$D),"")</f>
        <v>0</v>
      </c>
      <c r="FA40" s="50">
        <f>IFERROR(LOOKUP(FA$15,HourlyTimeseries!$A:$A,HourlyTimeseries!$D:$D),"")</f>
        <v>0</v>
      </c>
      <c r="FB40" s="50">
        <f>IFERROR(LOOKUP(FB$15,HourlyTimeseries!$A:$A,HourlyTimeseries!$D:$D),"")</f>
        <v>0</v>
      </c>
      <c r="FC40" s="50">
        <f>IFERROR(LOOKUP(FC$15,HourlyTimeseries!$A:$A,HourlyTimeseries!$D:$D),"")</f>
        <v>0</v>
      </c>
      <c r="FD40" s="50">
        <f>IFERROR(LOOKUP(FD$15,HourlyTimeseries!$A:$A,HourlyTimeseries!$D:$D),"")</f>
        <v>0</v>
      </c>
      <c r="FE40" s="50">
        <f>IFERROR(LOOKUP(FE$15,HourlyTimeseries!$A:$A,HourlyTimeseries!$D:$D),"")</f>
        <v>0</v>
      </c>
      <c r="FF40" s="50">
        <f>IFERROR(LOOKUP(FF$15,HourlyTimeseries!$A:$A,HourlyTimeseries!$D:$D),"")</f>
        <v>0</v>
      </c>
      <c r="FG40" s="50">
        <f>IFERROR(LOOKUP(FG$15,HourlyTimeseries!$A:$A,HourlyTimeseries!$D:$D),"")</f>
        <v>0</v>
      </c>
      <c r="FH40" s="50">
        <f>IFERROR(LOOKUP(FH$15,HourlyTimeseries!$A:$A,HourlyTimeseries!$D:$D),"")</f>
        <v>0</v>
      </c>
      <c r="FI40" s="50">
        <f>IFERROR(LOOKUP(FI$15,HourlyTimeseries!$A:$A,HourlyTimeseries!$D:$D),"")</f>
        <v>0</v>
      </c>
      <c r="FJ40" s="50">
        <f>IFERROR(LOOKUP(FJ$15,HourlyTimeseries!$A:$A,HourlyTimeseries!$D:$D),"")</f>
        <v>0</v>
      </c>
      <c r="FK40" s="50">
        <f>IFERROR(LOOKUP(FK$15,HourlyTimeseries!$A:$A,HourlyTimeseries!$D:$D),"")</f>
        <v>0</v>
      </c>
      <c r="FL40" s="50">
        <f>IFERROR(LOOKUP(FL$15,HourlyTimeseries!$A:$A,HourlyTimeseries!$D:$D),"")</f>
        <v>0</v>
      </c>
      <c r="FM40" s="50">
        <f>IFERROR(LOOKUP(FM$15,HourlyTimeseries!$A:$A,HourlyTimeseries!$D:$D),"")</f>
        <v>0</v>
      </c>
      <c r="FN40" s="50">
        <f>IFERROR(LOOKUP(FN$15,HourlyTimeseries!$A:$A,HourlyTimeseries!$D:$D),"")</f>
        <v>0</v>
      </c>
      <c r="FO40" s="50">
        <f>IFERROR(LOOKUP(FO$15,HourlyTimeseries!$A:$A,HourlyTimeseries!$D:$D),"")</f>
        <v>0</v>
      </c>
      <c r="FP40" s="59">
        <f>IFERROR(LOOKUP(FP$15,HourlyTimeseries!$A:$A,HourlyTimeseries!$D:$D),"")</f>
        <v>0</v>
      </c>
    </row>
    <row r="41" spans="1:172">
      <c r="A41" s="15" t="s">
        <v>80</v>
      </c>
      <c r="B41" s="2" t="s">
        <v>74</v>
      </c>
      <c r="C41" s="8" t="s">
        <v>133</v>
      </c>
      <c r="D41" s="2"/>
      <c r="E41" s="50">
        <f>IFERROR(LOOKUP(E$15,HourlyTimeseries!$A:$A,HourlyTimeseries!$E:$E),"")</f>
        <v>700</v>
      </c>
      <c r="F41" s="50">
        <f>IFERROR(LOOKUP(F$15,HourlyTimeseries!$A:$A,HourlyTimeseries!$E:$E),"")</f>
        <v>700</v>
      </c>
      <c r="G41" s="50">
        <f>IFERROR(LOOKUP(G$15,HourlyTimeseries!$A:$A,HourlyTimeseries!$E:$E),"")</f>
        <v>700</v>
      </c>
      <c r="H41" s="50">
        <f>IFERROR(LOOKUP(H$15,HourlyTimeseries!$A:$A,HourlyTimeseries!$E:$E),"")</f>
        <v>700</v>
      </c>
      <c r="I41" s="50">
        <f>IFERROR(LOOKUP(I$15,HourlyTimeseries!$A:$A,HourlyTimeseries!$E:$E),"")</f>
        <v>700</v>
      </c>
      <c r="J41" s="50">
        <f>IFERROR(LOOKUP(J$15,HourlyTimeseries!$A:$A,HourlyTimeseries!$E:$E),"")</f>
        <v>700</v>
      </c>
      <c r="K41" s="50">
        <f>IFERROR(LOOKUP(K$15,HourlyTimeseries!$A:$A,HourlyTimeseries!$E:$E),"")</f>
        <v>700</v>
      </c>
      <c r="L41" s="50">
        <f>IFERROR(LOOKUP(L$15,HourlyTimeseries!$A:$A,HourlyTimeseries!$E:$E),"")</f>
        <v>700</v>
      </c>
      <c r="M41" s="50">
        <f>IFERROR(LOOKUP(M$15,HourlyTimeseries!$A:$A,HourlyTimeseries!$E:$E),"")</f>
        <v>700</v>
      </c>
      <c r="N41" s="50">
        <f>IFERROR(LOOKUP(N$15,HourlyTimeseries!$A:$A,HourlyTimeseries!$E:$E),"")</f>
        <v>700</v>
      </c>
      <c r="O41" s="50">
        <f>IFERROR(LOOKUP(O$15,HourlyTimeseries!$A:$A,HourlyTimeseries!$E:$E),"")</f>
        <v>700</v>
      </c>
      <c r="P41" s="50">
        <f>IFERROR(LOOKUP(P$15,HourlyTimeseries!$A:$A,HourlyTimeseries!$E:$E),"")</f>
        <v>700</v>
      </c>
      <c r="Q41" s="50">
        <f>IFERROR(LOOKUP(Q$15,HourlyTimeseries!$A:$A,HourlyTimeseries!$E:$E),"")</f>
        <v>700</v>
      </c>
      <c r="R41" s="50">
        <f>IFERROR(LOOKUP(R$15,HourlyTimeseries!$A:$A,HourlyTimeseries!$E:$E),"")</f>
        <v>700</v>
      </c>
      <c r="S41" s="50">
        <f>IFERROR(LOOKUP(S$15,HourlyTimeseries!$A:$A,HourlyTimeseries!$E:$E),"")</f>
        <v>700</v>
      </c>
      <c r="T41" s="50">
        <f>IFERROR(LOOKUP(T$15,HourlyTimeseries!$A:$A,HourlyTimeseries!$E:$E),"")</f>
        <v>700</v>
      </c>
      <c r="U41" s="50">
        <f>IFERROR(LOOKUP(U$15,HourlyTimeseries!$A:$A,HourlyTimeseries!$E:$E),"")</f>
        <v>700</v>
      </c>
      <c r="V41" s="50">
        <f>IFERROR(LOOKUP(V$15,HourlyTimeseries!$A:$A,HourlyTimeseries!$E:$E),"")</f>
        <v>700</v>
      </c>
      <c r="W41" s="50">
        <f>IFERROR(LOOKUP(W$15,HourlyTimeseries!$A:$A,HourlyTimeseries!$E:$E),"")</f>
        <v>700</v>
      </c>
      <c r="X41" s="50">
        <f>IFERROR(LOOKUP(X$15,HourlyTimeseries!$A:$A,HourlyTimeseries!$E:$E),"")</f>
        <v>700</v>
      </c>
      <c r="Y41" s="50">
        <f>IFERROR(LOOKUP(Y$15,HourlyTimeseries!$A:$A,HourlyTimeseries!$E:$E),"")</f>
        <v>700</v>
      </c>
      <c r="Z41" s="50">
        <f>IFERROR(LOOKUP(Z$15,HourlyTimeseries!$A:$A,HourlyTimeseries!$E:$E),"")</f>
        <v>700</v>
      </c>
      <c r="AA41" s="50">
        <f>IFERROR(LOOKUP(AA$15,HourlyTimeseries!$A:$A,HourlyTimeseries!$E:$E),"")</f>
        <v>700</v>
      </c>
      <c r="AB41" s="59">
        <f>IFERROR(LOOKUP(AB$15,HourlyTimeseries!$A:$A,HourlyTimeseries!$E:$E),"")</f>
        <v>700</v>
      </c>
      <c r="AC41" s="66">
        <f>IFERROR(LOOKUP(AC$15,HourlyTimeseries!$A:$A,HourlyTimeseries!$E:$E),"")</f>
        <v>700</v>
      </c>
      <c r="AD41" s="50">
        <f>IFERROR(LOOKUP(AD$15,HourlyTimeseries!$A:$A,HourlyTimeseries!$E:$E),"")</f>
        <v>700</v>
      </c>
      <c r="AE41" s="50">
        <f>IFERROR(LOOKUP(AE$15,HourlyTimeseries!$A:$A,HourlyTimeseries!$E:$E),"")</f>
        <v>700</v>
      </c>
      <c r="AF41" s="50">
        <f>IFERROR(LOOKUP(AF$15,HourlyTimeseries!$A:$A,HourlyTimeseries!$E:$E),"")</f>
        <v>700</v>
      </c>
      <c r="AG41" s="50">
        <f>IFERROR(LOOKUP(AG$15,HourlyTimeseries!$A:$A,HourlyTimeseries!$E:$E),"")</f>
        <v>700</v>
      </c>
      <c r="AH41" s="50">
        <f>IFERROR(LOOKUP(AH$15,HourlyTimeseries!$A:$A,HourlyTimeseries!$E:$E),"")</f>
        <v>700</v>
      </c>
      <c r="AI41" s="50">
        <f>IFERROR(LOOKUP(AI$15,HourlyTimeseries!$A:$A,HourlyTimeseries!$E:$E),"")</f>
        <v>700</v>
      </c>
      <c r="AJ41" s="50">
        <f>IFERROR(LOOKUP(AJ$15,HourlyTimeseries!$A:$A,HourlyTimeseries!$E:$E),"")</f>
        <v>700</v>
      </c>
      <c r="AK41" s="50">
        <f>IFERROR(LOOKUP(AK$15,HourlyTimeseries!$A:$A,HourlyTimeseries!$E:$E),"")</f>
        <v>700</v>
      </c>
      <c r="AL41" s="50">
        <f>IFERROR(LOOKUP(AL$15,HourlyTimeseries!$A:$A,HourlyTimeseries!$E:$E),"")</f>
        <v>700</v>
      </c>
      <c r="AM41" s="50">
        <f>IFERROR(LOOKUP(AM$15,HourlyTimeseries!$A:$A,HourlyTimeseries!$E:$E),"")</f>
        <v>700</v>
      </c>
      <c r="AN41" s="50">
        <f>IFERROR(LOOKUP(AN$15,HourlyTimeseries!$A:$A,HourlyTimeseries!$E:$E),"")</f>
        <v>700</v>
      </c>
      <c r="AO41" s="50">
        <f>IFERROR(LOOKUP(AO$15,HourlyTimeseries!$A:$A,HourlyTimeseries!$E:$E),"")</f>
        <v>700</v>
      </c>
      <c r="AP41" s="50">
        <f>IFERROR(LOOKUP(AP$15,HourlyTimeseries!$A:$A,HourlyTimeseries!$E:$E),"")</f>
        <v>700</v>
      </c>
      <c r="AQ41" s="50">
        <f>IFERROR(LOOKUP(AQ$15,HourlyTimeseries!$A:$A,HourlyTimeseries!$E:$E),"")</f>
        <v>700</v>
      </c>
      <c r="AR41" s="50">
        <f>IFERROR(LOOKUP(AR$15,HourlyTimeseries!$A:$A,HourlyTimeseries!$E:$E),"")</f>
        <v>700</v>
      </c>
      <c r="AS41" s="50">
        <f>IFERROR(LOOKUP(AS$15,HourlyTimeseries!$A:$A,HourlyTimeseries!$E:$E),"")</f>
        <v>700</v>
      </c>
      <c r="AT41" s="50">
        <f>IFERROR(LOOKUP(AT$15,HourlyTimeseries!$A:$A,HourlyTimeseries!$E:$E),"")</f>
        <v>700</v>
      </c>
      <c r="AU41" s="50">
        <f>IFERROR(LOOKUP(AU$15,HourlyTimeseries!$A:$A,HourlyTimeseries!$E:$E),"")</f>
        <v>700</v>
      </c>
      <c r="AV41" s="50">
        <f>IFERROR(LOOKUP(AV$15,HourlyTimeseries!$A:$A,HourlyTimeseries!$E:$E),"")</f>
        <v>700</v>
      </c>
      <c r="AW41" s="50">
        <f>IFERROR(LOOKUP(AW$15,HourlyTimeseries!$A:$A,HourlyTimeseries!$E:$E),"")</f>
        <v>700</v>
      </c>
      <c r="AX41" s="50">
        <f>IFERROR(LOOKUP(AX$15,HourlyTimeseries!$A:$A,HourlyTimeseries!$E:$E),"")</f>
        <v>700</v>
      </c>
      <c r="AY41" s="50">
        <f>IFERROR(LOOKUP(AY$15,HourlyTimeseries!$A:$A,HourlyTimeseries!$E:$E),"")</f>
        <v>700</v>
      </c>
      <c r="AZ41" s="59">
        <f>IFERROR(LOOKUP(AZ$15,HourlyTimeseries!$A:$A,HourlyTimeseries!$E:$E),"")</f>
        <v>700</v>
      </c>
      <c r="BA41" s="66">
        <f>IFERROR(LOOKUP(BA$15,HourlyTimeseries!$A:$A,HourlyTimeseries!$E:$E),"")</f>
        <v>700</v>
      </c>
      <c r="BB41" s="50">
        <f>IFERROR(LOOKUP(BB$15,HourlyTimeseries!$A:$A,HourlyTimeseries!$E:$E),"")</f>
        <v>700</v>
      </c>
      <c r="BC41" s="50">
        <f>IFERROR(LOOKUP(BC$15,HourlyTimeseries!$A:$A,HourlyTimeseries!$E:$E),"")</f>
        <v>700</v>
      </c>
      <c r="BD41" s="50">
        <f>IFERROR(LOOKUP(BD$15,HourlyTimeseries!$A:$A,HourlyTimeseries!$E:$E),"")</f>
        <v>700</v>
      </c>
      <c r="BE41" s="50">
        <f>IFERROR(LOOKUP(BE$15,HourlyTimeseries!$A:$A,HourlyTimeseries!$E:$E),"")</f>
        <v>700</v>
      </c>
      <c r="BF41" s="50">
        <f>IFERROR(LOOKUP(BF$15,HourlyTimeseries!$A:$A,HourlyTimeseries!$E:$E),"")</f>
        <v>700</v>
      </c>
      <c r="BG41" s="50">
        <f>IFERROR(LOOKUP(BG$15,HourlyTimeseries!$A:$A,HourlyTimeseries!$E:$E),"")</f>
        <v>700</v>
      </c>
      <c r="BH41" s="50">
        <f>IFERROR(LOOKUP(BH$15,HourlyTimeseries!$A:$A,HourlyTimeseries!$E:$E),"")</f>
        <v>700</v>
      </c>
      <c r="BI41" s="50">
        <f>IFERROR(LOOKUP(BI$15,HourlyTimeseries!$A:$A,HourlyTimeseries!$E:$E),"")</f>
        <v>700</v>
      </c>
      <c r="BJ41" s="50">
        <f>IFERROR(LOOKUP(BJ$15,HourlyTimeseries!$A:$A,HourlyTimeseries!$E:$E),"")</f>
        <v>700</v>
      </c>
      <c r="BK41" s="50">
        <f>IFERROR(LOOKUP(BK$15,HourlyTimeseries!$A:$A,HourlyTimeseries!$E:$E),"")</f>
        <v>700</v>
      </c>
      <c r="BL41" s="50">
        <f>IFERROR(LOOKUP(BL$15,HourlyTimeseries!$A:$A,HourlyTimeseries!$E:$E),"")</f>
        <v>700</v>
      </c>
      <c r="BM41" s="50">
        <f>IFERROR(LOOKUP(BM$15,HourlyTimeseries!$A:$A,HourlyTimeseries!$E:$E),"")</f>
        <v>700</v>
      </c>
      <c r="BN41" s="50">
        <f>IFERROR(LOOKUP(BN$15,HourlyTimeseries!$A:$A,HourlyTimeseries!$E:$E),"")</f>
        <v>700</v>
      </c>
      <c r="BO41" s="50">
        <f>IFERROR(LOOKUP(BO$15,HourlyTimeseries!$A:$A,HourlyTimeseries!$E:$E),"")</f>
        <v>700</v>
      </c>
      <c r="BP41" s="50">
        <f>IFERROR(LOOKUP(BP$15,HourlyTimeseries!$A:$A,HourlyTimeseries!$E:$E),"")</f>
        <v>700</v>
      </c>
      <c r="BQ41" s="50">
        <f>IFERROR(LOOKUP(BQ$15,HourlyTimeseries!$A:$A,HourlyTimeseries!$E:$E),"")</f>
        <v>700</v>
      </c>
      <c r="BR41" s="50">
        <f>IFERROR(LOOKUP(BR$15,HourlyTimeseries!$A:$A,HourlyTimeseries!$E:$E),"")</f>
        <v>700</v>
      </c>
      <c r="BS41" s="50">
        <f>IFERROR(LOOKUP(BS$15,HourlyTimeseries!$A:$A,HourlyTimeseries!$E:$E),"")</f>
        <v>700</v>
      </c>
      <c r="BT41" s="50">
        <f>IFERROR(LOOKUP(BT$15,HourlyTimeseries!$A:$A,HourlyTimeseries!$E:$E),"")</f>
        <v>700</v>
      </c>
      <c r="BU41" s="50">
        <f>IFERROR(LOOKUP(BU$15,HourlyTimeseries!$A:$A,HourlyTimeseries!$E:$E),"")</f>
        <v>700</v>
      </c>
      <c r="BV41" s="50">
        <f>IFERROR(LOOKUP(BV$15,HourlyTimeseries!$A:$A,HourlyTimeseries!$E:$E),"")</f>
        <v>700</v>
      </c>
      <c r="BW41" s="50">
        <f>IFERROR(LOOKUP(BW$15,HourlyTimeseries!$A:$A,HourlyTimeseries!$E:$E),"")</f>
        <v>700</v>
      </c>
      <c r="BX41" s="59">
        <f>IFERROR(LOOKUP(BX$15,HourlyTimeseries!$A:$A,HourlyTimeseries!$E:$E),"")</f>
        <v>700</v>
      </c>
      <c r="BY41" s="66">
        <f>IFERROR(LOOKUP(BY$15,HourlyTimeseries!$A:$A,HourlyTimeseries!$E:$E),"")</f>
        <v>700</v>
      </c>
      <c r="BZ41" s="50">
        <f>IFERROR(LOOKUP(BZ$15,HourlyTimeseries!$A:$A,HourlyTimeseries!$E:$E),"")</f>
        <v>700</v>
      </c>
      <c r="CA41" s="50">
        <f>IFERROR(LOOKUP(CA$15,HourlyTimeseries!$A:$A,HourlyTimeseries!$E:$E),"")</f>
        <v>700</v>
      </c>
      <c r="CB41" s="50">
        <f>IFERROR(LOOKUP(CB$15,HourlyTimeseries!$A:$A,HourlyTimeseries!$E:$E),"")</f>
        <v>700</v>
      </c>
      <c r="CC41" s="50">
        <f>IFERROR(LOOKUP(CC$15,HourlyTimeseries!$A:$A,HourlyTimeseries!$E:$E),"")</f>
        <v>700</v>
      </c>
      <c r="CD41" s="50">
        <f>IFERROR(LOOKUP(CD$15,HourlyTimeseries!$A:$A,HourlyTimeseries!$E:$E),"")</f>
        <v>700</v>
      </c>
      <c r="CE41" s="50">
        <f>IFERROR(LOOKUP(CE$15,HourlyTimeseries!$A:$A,HourlyTimeseries!$E:$E),"")</f>
        <v>700</v>
      </c>
      <c r="CF41" s="50">
        <f>IFERROR(LOOKUP(CF$15,HourlyTimeseries!$A:$A,HourlyTimeseries!$E:$E),"")</f>
        <v>700</v>
      </c>
      <c r="CG41" s="50">
        <f>IFERROR(LOOKUP(CG$15,HourlyTimeseries!$A:$A,HourlyTimeseries!$E:$E),"")</f>
        <v>700</v>
      </c>
      <c r="CH41" s="50">
        <f>IFERROR(LOOKUP(CH$15,HourlyTimeseries!$A:$A,HourlyTimeseries!$E:$E),"")</f>
        <v>700</v>
      </c>
      <c r="CI41" s="50">
        <f>IFERROR(LOOKUP(CI$15,HourlyTimeseries!$A:$A,HourlyTimeseries!$E:$E),"")</f>
        <v>700</v>
      </c>
      <c r="CJ41" s="50">
        <f>IFERROR(LOOKUP(CJ$15,HourlyTimeseries!$A:$A,HourlyTimeseries!$E:$E),"")</f>
        <v>700</v>
      </c>
      <c r="CK41" s="50">
        <f>IFERROR(LOOKUP(CK$15,HourlyTimeseries!$A:$A,HourlyTimeseries!$E:$E),"")</f>
        <v>700</v>
      </c>
      <c r="CL41" s="50">
        <f>IFERROR(LOOKUP(CL$15,HourlyTimeseries!$A:$A,HourlyTimeseries!$E:$E),"")</f>
        <v>700</v>
      </c>
      <c r="CM41" s="50">
        <f>IFERROR(LOOKUP(CM$15,HourlyTimeseries!$A:$A,HourlyTimeseries!$E:$E),"")</f>
        <v>700</v>
      </c>
      <c r="CN41" s="50">
        <f>IFERROR(LOOKUP(CN$15,HourlyTimeseries!$A:$A,HourlyTimeseries!$E:$E),"")</f>
        <v>700</v>
      </c>
      <c r="CO41" s="50">
        <f>IFERROR(LOOKUP(CO$15,HourlyTimeseries!$A:$A,HourlyTimeseries!$E:$E),"")</f>
        <v>700</v>
      </c>
      <c r="CP41" s="50">
        <f>IFERROR(LOOKUP(CP$15,HourlyTimeseries!$A:$A,HourlyTimeseries!$E:$E),"")</f>
        <v>700</v>
      </c>
      <c r="CQ41" s="50">
        <f>IFERROR(LOOKUP(CQ$15,HourlyTimeseries!$A:$A,HourlyTimeseries!$E:$E),"")</f>
        <v>700</v>
      </c>
      <c r="CR41" s="50">
        <f>IFERROR(LOOKUP(CR$15,HourlyTimeseries!$A:$A,HourlyTimeseries!$E:$E),"")</f>
        <v>700</v>
      </c>
      <c r="CS41" s="50">
        <f>IFERROR(LOOKUP(CS$15,HourlyTimeseries!$A:$A,HourlyTimeseries!$E:$E),"")</f>
        <v>700</v>
      </c>
      <c r="CT41" s="50">
        <f>IFERROR(LOOKUP(CT$15,HourlyTimeseries!$A:$A,HourlyTimeseries!$E:$E),"")</f>
        <v>700</v>
      </c>
      <c r="CU41" s="50">
        <f>IFERROR(LOOKUP(CU$15,HourlyTimeseries!$A:$A,HourlyTimeseries!$E:$E),"")</f>
        <v>700</v>
      </c>
      <c r="CV41" s="59">
        <f>IFERROR(LOOKUP(CV$15,HourlyTimeseries!$A:$A,HourlyTimeseries!$E:$E),"")</f>
        <v>700</v>
      </c>
      <c r="CW41" s="66">
        <f>IFERROR(LOOKUP(CW$15,HourlyTimeseries!$A:$A,HourlyTimeseries!$E:$E),"")</f>
        <v>700</v>
      </c>
      <c r="CX41" s="50">
        <f>IFERROR(LOOKUP(CX$15,HourlyTimeseries!$A:$A,HourlyTimeseries!$E:$E),"")</f>
        <v>700</v>
      </c>
      <c r="CY41" s="50">
        <f>IFERROR(LOOKUP(CY$15,HourlyTimeseries!$A:$A,HourlyTimeseries!$E:$E),"")</f>
        <v>700</v>
      </c>
      <c r="CZ41" s="50">
        <f>IFERROR(LOOKUP(CZ$15,HourlyTimeseries!$A:$A,HourlyTimeseries!$E:$E),"")</f>
        <v>700</v>
      </c>
      <c r="DA41" s="50">
        <f>IFERROR(LOOKUP(DA$15,HourlyTimeseries!$A:$A,HourlyTimeseries!$E:$E),"")</f>
        <v>700</v>
      </c>
      <c r="DB41" s="50">
        <f>IFERROR(LOOKUP(DB$15,HourlyTimeseries!$A:$A,HourlyTimeseries!$E:$E),"")</f>
        <v>700</v>
      </c>
      <c r="DC41" s="50">
        <f>IFERROR(LOOKUP(DC$15,HourlyTimeseries!$A:$A,HourlyTimeseries!$E:$E),"")</f>
        <v>700</v>
      </c>
      <c r="DD41" s="50">
        <f>IFERROR(LOOKUP(DD$15,HourlyTimeseries!$A:$A,HourlyTimeseries!$E:$E),"")</f>
        <v>700</v>
      </c>
      <c r="DE41" s="50">
        <f>IFERROR(LOOKUP(DE$15,HourlyTimeseries!$A:$A,HourlyTimeseries!$E:$E),"")</f>
        <v>700</v>
      </c>
      <c r="DF41" s="50">
        <f>IFERROR(LOOKUP(DF$15,HourlyTimeseries!$A:$A,HourlyTimeseries!$E:$E),"")</f>
        <v>700</v>
      </c>
      <c r="DG41" s="50">
        <f>IFERROR(LOOKUP(DG$15,HourlyTimeseries!$A:$A,HourlyTimeseries!$E:$E),"")</f>
        <v>700</v>
      </c>
      <c r="DH41" s="50">
        <f>IFERROR(LOOKUP(DH$15,HourlyTimeseries!$A:$A,HourlyTimeseries!$E:$E),"")</f>
        <v>700</v>
      </c>
      <c r="DI41" s="50">
        <f>IFERROR(LOOKUP(DI$15,HourlyTimeseries!$A:$A,HourlyTimeseries!$E:$E),"")</f>
        <v>700</v>
      </c>
      <c r="DJ41" s="50">
        <f>IFERROR(LOOKUP(DJ$15,HourlyTimeseries!$A:$A,HourlyTimeseries!$E:$E),"")</f>
        <v>700</v>
      </c>
      <c r="DK41" s="50">
        <f>IFERROR(LOOKUP(DK$15,HourlyTimeseries!$A:$A,HourlyTimeseries!$E:$E),"")</f>
        <v>700</v>
      </c>
      <c r="DL41" s="50">
        <f>IFERROR(LOOKUP(DL$15,HourlyTimeseries!$A:$A,HourlyTimeseries!$E:$E),"")</f>
        <v>700</v>
      </c>
      <c r="DM41" s="50">
        <f>IFERROR(LOOKUP(DM$15,HourlyTimeseries!$A:$A,HourlyTimeseries!$E:$E),"")</f>
        <v>700</v>
      </c>
      <c r="DN41" s="50">
        <f>IFERROR(LOOKUP(DN$15,HourlyTimeseries!$A:$A,HourlyTimeseries!$E:$E),"")</f>
        <v>700</v>
      </c>
      <c r="DO41" s="50">
        <f>IFERROR(LOOKUP(DO$15,HourlyTimeseries!$A:$A,HourlyTimeseries!$E:$E),"")</f>
        <v>700</v>
      </c>
      <c r="DP41" s="50">
        <f>IFERROR(LOOKUP(DP$15,HourlyTimeseries!$A:$A,HourlyTimeseries!$E:$E),"")</f>
        <v>700</v>
      </c>
      <c r="DQ41" s="50">
        <f>IFERROR(LOOKUP(DQ$15,HourlyTimeseries!$A:$A,HourlyTimeseries!$E:$E),"")</f>
        <v>700</v>
      </c>
      <c r="DR41" s="50">
        <f>IFERROR(LOOKUP(DR$15,HourlyTimeseries!$A:$A,HourlyTimeseries!$E:$E),"")</f>
        <v>700</v>
      </c>
      <c r="DS41" s="50">
        <f>IFERROR(LOOKUP(DS$15,HourlyTimeseries!$A:$A,HourlyTimeseries!$E:$E),"")</f>
        <v>700</v>
      </c>
      <c r="DT41" s="59">
        <f>IFERROR(LOOKUP(DT$15,HourlyTimeseries!$A:$A,HourlyTimeseries!$E:$E),"")</f>
        <v>700</v>
      </c>
      <c r="DU41" s="66">
        <f>IFERROR(LOOKUP(DU$15,HourlyTimeseries!$A:$A,HourlyTimeseries!$E:$E),"")</f>
        <v>700</v>
      </c>
      <c r="DV41" s="50">
        <f>IFERROR(LOOKUP(DV$15,HourlyTimeseries!$A:$A,HourlyTimeseries!$E:$E),"")</f>
        <v>700</v>
      </c>
      <c r="DW41" s="50">
        <f>IFERROR(LOOKUP(DW$15,HourlyTimeseries!$A:$A,HourlyTimeseries!$E:$E),"")</f>
        <v>700</v>
      </c>
      <c r="DX41" s="50">
        <f>IFERROR(LOOKUP(DX$15,HourlyTimeseries!$A:$A,HourlyTimeseries!$E:$E),"")</f>
        <v>700</v>
      </c>
      <c r="DY41" s="50">
        <f>IFERROR(LOOKUP(DY$15,HourlyTimeseries!$A:$A,HourlyTimeseries!$E:$E),"")</f>
        <v>700</v>
      </c>
      <c r="DZ41" s="50">
        <f>IFERROR(LOOKUP(DZ$15,HourlyTimeseries!$A:$A,HourlyTimeseries!$E:$E),"")</f>
        <v>700</v>
      </c>
      <c r="EA41" s="50">
        <f>IFERROR(LOOKUP(EA$15,HourlyTimeseries!$A:$A,HourlyTimeseries!$E:$E),"")</f>
        <v>700</v>
      </c>
      <c r="EB41" s="50">
        <f>IFERROR(LOOKUP(EB$15,HourlyTimeseries!$A:$A,HourlyTimeseries!$E:$E),"")</f>
        <v>700</v>
      </c>
      <c r="EC41" s="50">
        <f>IFERROR(LOOKUP(EC$15,HourlyTimeseries!$A:$A,HourlyTimeseries!$E:$E),"")</f>
        <v>700</v>
      </c>
      <c r="ED41" s="50">
        <f>IFERROR(LOOKUP(ED$15,HourlyTimeseries!$A:$A,HourlyTimeseries!$E:$E),"")</f>
        <v>700</v>
      </c>
      <c r="EE41" s="50">
        <f>IFERROR(LOOKUP(EE$15,HourlyTimeseries!$A:$A,HourlyTimeseries!$E:$E),"")</f>
        <v>700</v>
      </c>
      <c r="EF41" s="50">
        <f>IFERROR(LOOKUP(EF$15,HourlyTimeseries!$A:$A,HourlyTimeseries!$E:$E),"")</f>
        <v>700</v>
      </c>
      <c r="EG41" s="50">
        <f>IFERROR(LOOKUP(EG$15,HourlyTimeseries!$A:$A,HourlyTimeseries!$E:$E),"")</f>
        <v>700</v>
      </c>
      <c r="EH41" s="50">
        <f>IFERROR(LOOKUP(EH$15,HourlyTimeseries!$A:$A,HourlyTimeseries!$E:$E),"")</f>
        <v>700</v>
      </c>
      <c r="EI41" s="50">
        <f>IFERROR(LOOKUP(EI$15,HourlyTimeseries!$A:$A,HourlyTimeseries!$E:$E),"")</f>
        <v>700</v>
      </c>
      <c r="EJ41" s="50">
        <f>IFERROR(LOOKUP(EJ$15,HourlyTimeseries!$A:$A,HourlyTimeseries!$E:$E),"")</f>
        <v>700</v>
      </c>
      <c r="EK41" s="50">
        <f>IFERROR(LOOKUP(EK$15,HourlyTimeseries!$A:$A,HourlyTimeseries!$E:$E),"")</f>
        <v>700</v>
      </c>
      <c r="EL41" s="50">
        <f>IFERROR(LOOKUP(EL$15,HourlyTimeseries!$A:$A,HourlyTimeseries!$E:$E),"")</f>
        <v>700</v>
      </c>
      <c r="EM41" s="50">
        <f>IFERROR(LOOKUP(EM$15,HourlyTimeseries!$A:$A,HourlyTimeseries!$E:$E),"")</f>
        <v>700</v>
      </c>
      <c r="EN41" s="50">
        <f>IFERROR(LOOKUP(EN$15,HourlyTimeseries!$A:$A,HourlyTimeseries!$E:$E),"")</f>
        <v>700</v>
      </c>
      <c r="EO41" s="50">
        <f>IFERROR(LOOKUP(EO$15,HourlyTimeseries!$A:$A,HourlyTimeseries!$E:$E),"")</f>
        <v>700</v>
      </c>
      <c r="EP41" s="50">
        <f>IFERROR(LOOKUP(EP$15,HourlyTimeseries!$A:$A,HourlyTimeseries!$E:$E),"")</f>
        <v>700</v>
      </c>
      <c r="EQ41" s="50">
        <f>IFERROR(LOOKUP(EQ$15,HourlyTimeseries!$A:$A,HourlyTimeseries!$E:$E),"")</f>
        <v>700</v>
      </c>
      <c r="ER41" s="59">
        <f>IFERROR(LOOKUP(ER$15,HourlyTimeseries!$A:$A,HourlyTimeseries!$E:$E),"")</f>
        <v>700</v>
      </c>
      <c r="ES41" s="66">
        <f>IFERROR(LOOKUP(ES$15,HourlyTimeseries!$A:$A,HourlyTimeseries!$E:$E),"")</f>
        <v>700</v>
      </c>
      <c r="ET41" s="50">
        <f>IFERROR(LOOKUP(ET$15,HourlyTimeseries!$A:$A,HourlyTimeseries!$E:$E),"")</f>
        <v>700</v>
      </c>
      <c r="EU41" s="50">
        <f>IFERROR(LOOKUP(EU$15,HourlyTimeseries!$A:$A,HourlyTimeseries!$E:$E),"")</f>
        <v>700</v>
      </c>
      <c r="EV41" s="50">
        <f>IFERROR(LOOKUP(EV$15,HourlyTimeseries!$A:$A,HourlyTimeseries!$E:$E),"")</f>
        <v>700</v>
      </c>
      <c r="EW41" s="50">
        <f>IFERROR(LOOKUP(EW$15,HourlyTimeseries!$A:$A,HourlyTimeseries!$E:$E),"")</f>
        <v>700</v>
      </c>
      <c r="EX41" s="50">
        <f>IFERROR(LOOKUP(EX$15,HourlyTimeseries!$A:$A,HourlyTimeseries!$E:$E),"")</f>
        <v>700</v>
      </c>
      <c r="EY41" s="50">
        <f>IFERROR(LOOKUP(EY$15,HourlyTimeseries!$A:$A,HourlyTimeseries!$E:$E),"")</f>
        <v>700</v>
      </c>
      <c r="EZ41" s="50">
        <f>IFERROR(LOOKUP(EZ$15,HourlyTimeseries!$A:$A,HourlyTimeseries!$E:$E),"")</f>
        <v>700</v>
      </c>
      <c r="FA41" s="50">
        <f>IFERROR(LOOKUP(FA$15,HourlyTimeseries!$A:$A,HourlyTimeseries!$E:$E),"")</f>
        <v>700</v>
      </c>
      <c r="FB41" s="50">
        <f>IFERROR(LOOKUP(FB$15,HourlyTimeseries!$A:$A,HourlyTimeseries!$E:$E),"")</f>
        <v>700</v>
      </c>
      <c r="FC41" s="50">
        <f>IFERROR(LOOKUP(FC$15,HourlyTimeseries!$A:$A,HourlyTimeseries!$E:$E),"")</f>
        <v>700</v>
      </c>
      <c r="FD41" s="50">
        <f>IFERROR(LOOKUP(FD$15,HourlyTimeseries!$A:$A,HourlyTimeseries!$E:$E),"")</f>
        <v>700</v>
      </c>
      <c r="FE41" s="50">
        <f>IFERROR(LOOKUP(FE$15,HourlyTimeseries!$A:$A,HourlyTimeseries!$E:$E),"")</f>
        <v>700</v>
      </c>
      <c r="FF41" s="50">
        <f>IFERROR(LOOKUP(FF$15,HourlyTimeseries!$A:$A,HourlyTimeseries!$E:$E),"")</f>
        <v>700</v>
      </c>
      <c r="FG41" s="50">
        <f>IFERROR(LOOKUP(FG$15,HourlyTimeseries!$A:$A,HourlyTimeseries!$E:$E),"")</f>
        <v>700</v>
      </c>
      <c r="FH41" s="50">
        <f>IFERROR(LOOKUP(FH$15,HourlyTimeseries!$A:$A,HourlyTimeseries!$E:$E),"")</f>
        <v>700</v>
      </c>
      <c r="FI41" s="50">
        <f>IFERROR(LOOKUP(FI$15,HourlyTimeseries!$A:$A,HourlyTimeseries!$E:$E),"")</f>
        <v>700</v>
      </c>
      <c r="FJ41" s="50">
        <f>IFERROR(LOOKUP(FJ$15,HourlyTimeseries!$A:$A,HourlyTimeseries!$E:$E),"")</f>
        <v>700</v>
      </c>
      <c r="FK41" s="50">
        <f>IFERROR(LOOKUP(FK$15,HourlyTimeseries!$A:$A,HourlyTimeseries!$E:$E),"")</f>
        <v>700</v>
      </c>
      <c r="FL41" s="50">
        <f>IFERROR(LOOKUP(FL$15,HourlyTimeseries!$A:$A,HourlyTimeseries!$E:$E),"")</f>
        <v>700</v>
      </c>
      <c r="FM41" s="50">
        <f>IFERROR(LOOKUP(FM$15,HourlyTimeseries!$A:$A,HourlyTimeseries!$E:$E),"")</f>
        <v>700</v>
      </c>
      <c r="FN41" s="50">
        <f>IFERROR(LOOKUP(FN$15,HourlyTimeseries!$A:$A,HourlyTimeseries!$E:$E),"")</f>
        <v>700</v>
      </c>
      <c r="FO41" s="50">
        <f>IFERROR(LOOKUP(FO$15,HourlyTimeseries!$A:$A,HourlyTimeseries!$E:$E),"")</f>
        <v>700</v>
      </c>
      <c r="FP41" s="59">
        <f>IFERROR(LOOKUP(FP$15,HourlyTimeseries!$A:$A,HourlyTimeseries!$E:$E),"")</f>
        <v>700</v>
      </c>
    </row>
    <row r="42" spans="1:172">
      <c r="A42" s="15" t="s">
        <v>81</v>
      </c>
      <c r="B42" s="2" t="s">
        <v>75</v>
      </c>
      <c r="C42" s="8" t="s">
        <v>133</v>
      </c>
      <c r="D42" s="2"/>
      <c r="E42" s="50">
        <f>IFERROR(LOOKUP(E$15,HourlyTimeseries!$A:$A,HourlyTimeseries!$F:$F),"")</f>
        <v>15000</v>
      </c>
      <c r="F42" s="50">
        <f>IFERROR(LOOKUP(F$15,HourlyTimeseries!$A:$A,HourlyTimeseries!$F:$F),"")</f>
        <v>15000</v>
      </c>
      <c r="G42" s="50">
        <f>IFERROR(LOOKUP(G$15,HourlyTimeseries!$A:$A,HourlyTimeseries!$F:$F),"")</f>
        <v>15000</v>
      </c>
      <c r="H42" s="50">
        <f>IFERROR(LOOKUP(H$15,HourlyTimeseries!$A:$A,HourlyTimeseries!$F:$F),"")</f>
        <v>15000</v>
      </c>
      <c r="I42" s="50">
        <f>IFERROR(LOOKUP(I$15,HourlyTimeseries!$A:$A,HourlyTimeseries!$F:$F),"")</f>
        <v>15000</v>
      </c>
      <c r="J42" s="50">
        <f>IFERROR(LOOKUP(J$15,HourlyTimeseries!$A:$A,HourlyTimeseries!$F:$F),"")</f>
        <v>15000</v>
      </c>
      <c r="K42" s="50">
        <f>IFERROR(LOOKUP(K$15,HourlyTimeseries!$A:$A,HourlyTimeseries!$F:$F),"")</f>
        <v>15000</v>
      </c>
      <c r="L42" s="50">
        <f>IFERROR(LOOKUP(L$15,HourlyTimeseries!$A:$A,HourlyTimeseries!$F:$F),"")</f>
        <v>15000</v>
      </c>
      <c r="M42" s="50">
        <f>IFERROR(LOOKUP(M$15,HourlyTimeseries!$A:$A,HourlyTimeseries!$F:$F),"")</f>
        <v>15000</v>
      </c>
      <c r="N42" s="50">
        <f>IFERROR(LOOKUP(N$15,HourlyTimeseries!$A:$A,HourlyTimeseries!$F:$F),"")</f>
        <v>15000</v>
      </c>
      <c r="O42" s="50">
        <f>IFERROR(LOOKUP(O$15,HourlyTimeseries!$A:$A,HourlyTimeseries!$F:$F),"")</f>
        <v>15000</v>
      </c>
      <c r="P42" s="50">
        <f>IFERROR(LOOKUP(P$15,HourlyTimeseries!$A:$A,HourlyTimeseries!$F:$F),"")</f>
        <v>15000</v>
      </c>
      <c r="Q42" s="50">
        <f>IFERROR(LOOKUP(Q$15,HourlyTimeseries!$A:$A,HourlyTimeseries!$F:$F),"")</f>
        <v>15000</v>
      </c>
      <c r="R42" s="50">
        <f>IFERROR(LOOKUP(R$15,HourlyTimeseries!$A:$A,HourlyTimeseries!$F:$F),"")</f>
        <v>15000</v>
      </c>
      <c r="S42" s="50">
        <f>IFERROR(LOOKUP(S$15,HourlyTimeseries!$A:$A,HourlyTimeseries!$F:$F),"")</f>
        <v>15000</v>
      </c>
      <c r="T42" s="50">
        <f>IFERROR(LOOKUP(T$15,HourlyTimeseries!$A:$A,HourlyTimeseries!$F:$F),"")</f>
        <v>15000</v>
      </c>
      <c r="U42" s="50">
        <f>IFERROR(LOOKUP(U$15,HourlyTimeseries!$A:$A,HourlyTimeseries!$F:$F),"")</f>
        <v>15000</v>
      </c>
      <c r="V42" s="50">
        <f>IFERROR(LOOKUP(V$15,HourlyTimeseries!$A:$A,HourlyTimeseries!$F:$F),"")</f>
        <v>15000</v>
      </c>
      <c r="W42" s="50">
        <f>IFERROR(LOOKUP(W$15,HourlyTimeseries!$A:$A,HourlyTimeseries!$F:$F),"")</f>
        <v>15000</v>
      </c>
      <c r="X42" s="50">
        <f>IFERROR(LOOKUP(X$15,HourlyTimeseries!$A:$A,HourlyTimeseries!$F:$F),"")</f>
        <v>15000</v>
      </c>
      <c r="Y42" s="50">
        <f>IFERROR(LOOKUP(Y$15,HourlyTimeseries!$A:$A,HourlyTimeseries!$F:$F),"")</f>
        <v>15000</v>
      </c>
      <c r="Z42" s="50">
        <f>IFERROR(LOOKUP(Z$15,HourlyTimeseries!$A:$A,HourlyTimeseries!$F:$F),"")</f>
        <v>15000</v>
      </c>
      <c r="AA42" s="50">
        <f>IFERROR(LOOKUP(AA$15,HourlyTimeseries!$A:$A,HourlyTimeseries!$F:$F),"")</f>
        <v>15000</v>
      </c>
      <c r="AB42" s="59">
        <f>IFERROR(LOOKUP(AB$15,HourlyTimeseries!$A:$A,HourlyTimeseries!$F:$F),"")</f>
        <v>15000</v>
      </c>
      <c r="AC42" s="66">
        <f>IFERROR(LOOKUP(AC$15,HourlyTimeseries!$A:$A,HourlyTimeseries!$F:$F),"")</f>
        <v>15000</v>
      </c>
      <c r="AD42" s="50">
        <f>IFERROR(LOOKUP(AD$15,HourlyTimeseries!$A:$A,HourlyTimeseries!$F:$F),"")</f>
        <v>15000</v>
      </c>
      <c r="AE42" s="50">
        <f>IFERROR(LOOKUP(AE$15,HourlyTimeseries!$A:$A,HourlyTimeseries!$F:$F),"")</f>
        <v>15000</v>
      </c>
      <c r="AF42" s="50">
        <f>IFERROR(LOOKUP(AF$15,HourlyTimeseries!$A:$A,HourlyTimeseries!$F:$F),"")</f>
        <v>15000</v>
      </c>
      <c r="AG42" s="50">
        <f>IFERROR(LOOKUP(AG$15,HourlyTimeseries!$A:$A,HourlyTimeseries!$F:$F),"")</f>
        <v>15000</v>
      </c>
      <c r="AH42" s="50">
        <f>IFERROR(LOOKUP(AH$15,HourlyTimeseries!$A:$A,HourlyTimeseries!$F:$F),"")</f>
        <v>15000</v>
      </c>
      <c r="AI42" s="50">
        <f>IFERROR(LOOKUP(AI$15,HourlyTimeseries!$A:$A,HourlyTimeseries!$F:$F),"")</f>
        <v>15000</v>
      </c>
      <c r="AJ42" s="50">
        <f>IFERROR(LOOKUP(AJ$15,HourlyTimeseries!$A:$A,HourlyTimeseries!$F:$F),"")</f>
        <v>15000</v>
      </c>
      <c r="AK42" s="50">
        <f>IFERROR(LOOKUP(AK$15,HourlyTimeseries!$A:$A,HourlyTimeseries!$F:$F),"")</f>
        <v>15000</v>
      </c>
      <c r="AL42" s="50">
        <f>IFERROR(LOOKUP(AL$15,HourlyTimeseries!$A:$A,HourlyTimeseries!$F:$F),"")</f>
        <v>15000</v>
      </c>
      <c r="AM42" s="50">
        <f>IFERROR(LOOKUP(AM$15,HourlyTimeseries!$A:$A,HourlyTimeseries!$F:$F),"")</f>
        <v>15000</v>
      </c>
      <c r="AN42" s="50">
        <f>IFERROR(LOOKUP(AN$15,HourlyTimeseries!$A:$A,HourlyTimeseries!$F:$F),"")</f>
        <v>15000</v>
      </c>
      <c r="AO42" s="50">
        <f>IFERROR(LOOKUP(AO$15,HourlyTimeseries!$A:$A,HourlyTimeseries!$F:$F),"")</f>
        <v>15000</v>
      </c>
      <c r="AP42" s="50">
        <f>IFERROR(LOOKUP(AP$15,HourlyTimeseries!$A:$A,HourlyTimeseries!$F:$F),"")</f>
        <v>15000</v>
      </c>
      <c r="AQ42" s="50">
        <f>IFERROR(LOOKUP(AQ$15,HourlyTimeseries!$A:$A,HourlyTimeseries!$F:$F),"")</f>
        <v>15000</v>
      </c>
      <c r="AR42" s="50">
        <f>IFERROR(LOOKUP(AR$15,HourlyTimeseries!$A:$A,HourlyTimeseries!$F:$F),"")</f>
        <v>15000</v>
      </c>
      <c r="AS42" s="50">
        <f>IFERROR(LOOKUP(AS$15,HourlyTimeseries!$A:$A,HourlyTimeseries!$F:$F),"")</f>
        <v>15000</v>
      </c>
      <c r="AT42" s="50">
        <f>IFERROR(LOOKUP(AT$15,HourlyTimeseries!$A:$A,HourlyTimeseries!$F:$F),"")</f>
        <v>15000</v>
      </c>
      <c r="AU42" s="50">
        <f>IFERROR(LOOKUP(AU$15,HourlyTimeseries!$A:$A,HourlyTimeseries!$F:$F),"")</f>
        <v>15000</v>
      </c>
      <c r="AV42" s="50">
        <f>IFERROR(LOOKUP(AV$15,HourlyTimeseries!$A:$A,HourlyTimeseries!$F:$F),"")</f>
        <v>15000</v>
      </c>
      <c r="AW42" s="50">
        <f>IFERROR(LOOKUP(AW$15,HourlyTimeseries!$A:$A,HourlyTimeseries!$F:$F),"")</f>
        <v>15000</v>
      </c>
      <c r="AX42" s="50">
        <f>IFERROR(LOOKUP(AX$15,HourlyTimeseries!$A:$A,HourlyTimeseries!$F:$F),"")</f>
        <v>15000</v>
      </c>
      <c r="AY42" s="50">
        <f>IFERROR(LOOKUP(AY$15,HourlyTimeseries!$A:$A,HourlyTimeseries!$F:$F),"")</f>
        <v>15000</v>
      </c>
      <c r="AZ42" s="59">
        <f>IFERROR(LOOKUP(AZ$15,HourlyTimeseries!$A:$A,HourlyTimeseries!$F:$F),"")</f>
        <v>15000</v>
      </c>
      <c r="BA42" s="66">
        <f>IFERROR(LOOKUP(BA$15,HourlyTimeseries!$A:$A,HourlyTimeseries!$F:$F),"")</f>
        <v>15000</v>
      </c>
      <c r="BB42" s="50">
        <f>IFERROR(LOOKUP(BB$15,HourlyTimeseries!$A:$A,HourlyTimeseries!$F:$F),"")</f>
        <v>15000</v>
      </c>
      <c r="BC42" s="50">
        <f>IFERROR(LOOKUP(BC$15,HourlyTimeseries!$A:$A,HourlyTimeseries!$F:$F),"")</f>
        <v>15000</v>
      </c>
      <c r="BD42" s="50">
        <f>IFERROR(LOOKUP(BD$15,HourlyTimeseries!$A:$A,HourlyTimeseries!$F:$F),"")</f>
        <v>15000</v>
      </c>
      <c r="BE42" s="50">
        <f>IFERROR(LOOKUP(BE$15,HourlyTimeseries!$A:$A,HourlyTimeseries!$F:$F),"")</f>
        <v>15000</v>
      </c>
      <c r="BF42" s="50">
        <f>IFERROR(LOOKUP(BF$15,HourlyTimeseries!$A:$A,HourlyTimeseries!$F:$F),"")</f>
        <v>15000</v>
      </c>
      <c r="BG42" s="50">
        <f>IFERROR(LOOKUP(BG$15,HourlyTimeseries!$A:$A,HourlyTimeseries!$F:$F),"")</f>
        <v>15000</v>
      </c>
      <c r="BH42" s="50">
        <f>IFERROR(LOOKUP(BH$15,HourlyTimeseries!$A:$A,HourlyTimeseries!$F:$F),"")</f>
        <v>15000</v>
      </c>
      <c r="BI42" s="50">
        <f>IFERROR(LOOKUP(BI$15,HourlyTimeseries!$A:$A,HourlyTimeseries!$F:$F),"")</f>
        <v>15000</v>
      </c>
      <c r="BJ42" s="50">
        <f>IFERROR(LOOKUP(BJ$15,HourlyTimeseries!$A:$A,HourlyTimeseries!$F:$F),"")</f>
        <v>15000</v>
      </c>
      <c r="BK42" s="50">
        <f>IFERROR(LOOKUP(BK$15,HourlyTimeseries!$A:$A,HourlyTimeseries!$F:$F),"")</f>
        <v>15000</v>
      </c>
      <c r="BL42" s="50">
        <f>IFERROR(LOOKUP(BL$15,HourlyTimeseries!$A:$A,HourlyTimeseries!$F:$F),"")</f>
        <v>15000</v>
      </c>
      <c r="BM42" s="50">
        <f>IFERROR(LOOKUP(BM$15,HourlyTimeseries!$A:$A,HourlyTimeseries!$F:$F),"")</f>
        <v>15000</v>
      </c>
      <c r="BN42" s="50">
        <f>IFERROR(LOOKUP(BN$15,HourlyTimeseries!$A:$A,HourlyTimeseries!$F:$F),"")</f>
        <v>15000</v>
      </c>
      <c r="BO42" s="50">
        <f>IFERROR(LOOKUP(BO$15,HourlyTimeseries!$A:$A,HourlyTimeseries!$F:$F),"")</f>
        <v>15000</v>
      </c>
      <c r="BP42" s="50">
        <f>IFERROR(LOOKUP(BP$15,HourlyTimeseries!$A:$A,HourlyTimeseries!$F:$F),"")</f>
        <v>15000</v>
      </c>
      <c r="BQ42" s="50">
        <f>IFERROR(LOOKUP(BQ$15,HourlyTimeseries!$A:$A,HourlyTimeseries!$F:$F),"")</f>
        <v>15000</v>
      </c>
      <c r="BR42" s="50">
        <f>IFERROR(LOOKUP(BR$15,HourlyTimeseries!$A:$A,HourlyTimeseries!$F:$F),"")</f>
        <v>15000</v>
      </c>
      <c r="BS42" s="50">
        <f>IFERROR(LOOKUP(BS$15,HourlyTimeseries!$A:$A,HourlyTimeseries!$F:$F),"")</f>
        <v>15000</v>
      </c>
      <c r="BT42" s="50">
        <f>IFERROR(LOOKUP(BT$15,HourlyTimeseries!$A:$A,HourlyTimeseries!$F:$F),"")</f>
        <v>15000</v>
      </c>
      <c r="BU42" s="50">
        <f>IFERROR(LOOKUP(BU$15,HourlyTimeseries!$A:$A,HourlyTimeseries!$F:$F),"")</f>
        <v>15000</v>
      </c>
      <c r="BV42" s="50">
        <f>IFERROR(LOOKUP(BV$15,HourlyTimeseries!$A:$A,HourlyTimeseries!$F:$F),"")</f>
        <v>15000</v>
      </c>
      <c r="BW42" s="50">
        <f>IFERROR(LOOKUP(BW$15,HourlyTimeseries!$A:$A,HourlyTimeseries!$F:$F),"")</f>
        <v>15000</v>
      </c>
      <c r="BX42" s="59">
        <f>IFERROR(LOOKUP(BX$15,HourlyTimeseries!$A:$A,HourlyTimeseries!$F:$F),"")</f>
        <v>15000</v>
      </c>
      <c r="BY42" s="66">
        <f>IFERROR(LOOKUP(BY$15,HourlyTimeseries!$A:$A,HourlyTimeseries!$F:$F),"")</f>
        <v>15000</v>
      </c>
      <c r="BZ42" s="50">
        <f>IFERROR(LOOKUP(BZ$15,HourlyTimeseries!$A:$A,HourlyTimeseries!$F:$F),"")</f>
        <v>15000</v>
      </c>
      <c r="CA42" s="50">
        <f>IFERROR(LOOKUP(CA$15,HourlyTimeseries!$A:$A,HourlyTimeseries!$F:$F),"")</f>
        <v>15000</v>
      </c>
      <c r="CB42" s="50">
        <f>IFERROR(LOOKUP(CB$15,HourlyTimeseries!$A:$A,HourlyTimeseries!$F:$F),"")</f>
        <v>15000</v>
      </c>
      <c r="CC42" s="50">
        <f>IFERROR(LOOKUP(CC$15,HourlyTimeseries!$A:$A,HourlyTimeseries!$F:$F),"")</f>
        <v>15000</v>
      </c>
      <c r="CD42" s="50">
        <f>IFERROR(LOOKUP(CD$15,HourlyTimeseries!$A:$A,HourlyTimeseries!$F:$F),"")</f>
        <v>15000</v>
      </c>
      <c r="CE42" s="50">
        <f>IFERROR(LOOKUP(CE$15,HourlyTimeseries!$A:$A,HourlyTimeseries!$F:$F),"")</f>
        <v>15000</v>
      </c>
      <c r="CF42" s="50">
        <f>IFERROR(LOOKUP(CF$15,HourlyTimeseries!$A:$A,HourlyTimeseries!$F:$F),"")</f>
        <v>15000</v>
      </c>
      <c r="CG42" s="50">
        <f>IFERROR(LOOKUP(CG$15,HourlyTimeseries!$A:$A,HourlyTimeseries!$F:$F),"")</f>
        <v>15000</v>
      </c>
      <c r="CH42" s="50">
        <f>IFERROR(LOOKUP(CH$15,HourlyTimeseries!$A:$A,HourlyTimeseries!$F:$F),"")</f>
        <v>15000</v>
      </c>
      <c r="CI42" s="50">
        <f>IFERROR(LOOKUP(CI$15,HourlyTimeseries!$A:$A,HourlyTimeseries!$F:$F),"")</f>
        <v>15000</v>
      </c>
      <c r="CJ42" s="50">
        <f>IFERROR(LOOKUP(CJ$15,HourlyTimeseries!$A:$A,HourlyTimeseries!$F:$F),"")</f>
        <v>15000</v>
      </c>
      <c r="CK42" s="50">
        <f>IFERROR(LOOKUP(CK$15,HourlyTimeseries!$A:$A,HourlyTimeseries!$F:$F),"")</f>
        <v>15000</v>
      </c>
      <c r="CL42" s="50">
        <f>IFERROR(LOOKUP(CL$15,HourlyTimeseries!$A:$A,HourlyTimeseries!$F:$F),"")</f>
        <v>15000</v>
      </c>
      <c r="CM42" s="50">
        <f>IFERROR(LOOKUP(CM$15,HourlyTimeseries!$A:$A,HourlyTimeseries!$F:$F),"")</f>
        <v>15000</v>
      </c>
      <c r="CN42" s="50">
        <f>IFERROR(LOOKUP(CN$15,HourlyTimeseries!$A:$A,HourlyTimeseries!$F:$F),"")</f>
        <v>15000</v>
      </c>
      <c r="CO42" s="50">
        <f>IFERROR(LOOKUP(CO$15,HourlyTimeseries!$A:$A,HourlyTimeseries!$F:$F),"")</f>
        <v>15000</v>
      </c>
      <c r="CP42" s="50">
        <f>IFERROR(LOOKUP(CP$15,HourlyTimeseries!$A:$A,HourlyTimeseries!$F:$F),"")</f>
        <v>15000</v>
      </c>
      <c r="CQ42" s="50">
        <f>IFERROR(LOOKUP(CQ$15,HourlyTimeseries!$A:$A,HourlyTimeseries!$F:$F),"")</f>
        <v>15000</v>
      </c>
      <c r="CR42" s="50">
        <f>IFERROR(LOOKUP(CR$15,HourlyTimeseries!$A:$A,HourlyTimeseries!$F:$F),"")</f>
        <v>15000</v>
      </c>
      <c r="CS42" s="50">
        <f>IFERROR(LOOKUP(CS$15,HourlyTimeseries!$A:$A,HourlyTimeseries!$F:$F),"")</f>
        <v>15000</v>
      </c>
      <c r="CT42" s="50">
        <f>IFERROR(LOOKUP(CT$15,HourlyTimeseries!$A:$A,HourlyTimeseries!$F:$F),"")</f>
        <v>15000</v>
      </c>
      <c r="CU42" s="50">
        <f>IFERROR(LOOKUP(CU$15,HourlyTimeseries!$A:$A,HourlyTimeseries!$F:$F),"")</f>
        <v>15000</v>
      </c>
      <c r="CV42" s="59">
        <f>IFERROR(LOOKUP(CV$15,HourlyTimeseries!$A:$A,HourlyTimeseries!$F:$F),"")</f>
        <v>15000</v>
      </c>
      <c r="CW42" s="66">
        <f>IFERROR(LOOKUP(CW$15,HourlyTimeseries!$A:$A,HourlyTimeseries!$F:$F),"")</f>
        <v>15000</v>
      </c>
      <c r="CX42" s="50">
        <f>IFERROR(LOOKUP(CX$15,HourlyTimeseries!$A:$A,HourlyTimeseries!$F:$F),"")</f>
        <v>15000</v>
      </c>
      <c r="CY42" s="50">
        <f>IFERROR(LOOKUP(CY$15,HourlyTimeseries!$A:$A,HourlyTimeseries!$F:$F),"")</f>
        <v>15000</v>
      </c>
      <c r="CZ42" s="50">
        <f>IFERROR(LOOKUP(CZ$15,HourlyTimeseries!$A:$A,HourlyTimeseries!$F:$F),"")</f>
        <v>15000</v>
      </c>
      <c r="DA42" s="50">
        <f>IFERROR(LOOKUP(DA$15,HourlyTimeseries!$A:$A,HourlyTimeseries!$F:$F),"")</f>
        <v>15000</v>
      </c>
      <c r="DB42" s="50">
        <f>IFERROR(LOOKUP(DB$15,HourlyTimeseries!$A:$A,HourlyTimeseries!$F:$F),"")</f>
        <v>15000</v>
      </c>
      <c r="DC42" s="50">
        <f>IFERROR(LOOKUP(DC$15,HourlyTimeseries!$A:$A,HourlyTimeseries!$F:$F),"")</f>
        <v>15000</v>
      </c>
      <c r="DD42" s="50">
        <f>IFERROR(LOOKUP(DD$15,HourlyTimeseries!$A:$A,HourlyTimeseries!$F:$F),"")</f>
        <v>15000</v>
      </c>
      <c r="DE42" s="50">
        <f>IFERROR(LOOKUP(DE$15,HourlyTimeseries!$A:$A,HourlyTimeseries!$F:$F),"")</f>
        <v>15000</v>
      </c>
      <c r="DF42" s="50">
        <f>IFERROR(LOOKUP(DF$15,HourlyTimeseries!$A:$A,HourlyTimeseries!$F:$F),"")</f>
        <v>15000</v>
      </c>
      <c r="DG42" s="50">
        <f>IFERROR(LOOKUP(DG$15,HourlyTimeseries!$A:$A,HourlyTimeseries!$F:$F),"")</f>
        <v>15000</v>
      </c>
      <c r="DH42" s="50">
        <f>IFERROR(LOOKUP(DH$15,HourlyTimeseries!$A:$A,HourlyTimeseries!$F:$F),"")</f>
        <v>15000</v>
      </c>
      <c r="DI42" s="50">
        <f>IFERROR(LOOKUP(DI$15,HourlyTimeseries!$A:$A,HourlyTimeseries!$F:$F),"")</f>
        <v>15000</v>
      </c>
      <c r="DJ42" s="50">
        <f>IFERROR(LOOKUP(DJ$15,HourlyTimeseries!$A:$A,HourlyTimeseries!$F:$F),"")</f>
        <v>15000</v>
      </c>
      <c r="DK42" s="50">
        <f>IFERROR(LOOKUP(DK$15,HourlyTimeseries!$A:$A,HourlyTimeseries!$F:$F),"")</f>
        <v>15000</v>
      </c>
      <c r="DL42" s="50">
        <f>IFERROR(LOOKUP(DL$15,HourlyTimeseries!$A:$A,HourlyTimeseries!$F:$F),"")</f>
        <v>15000</v>
      </c>
      <c r="DM42" s="50">
        <f>IFERROR(LOOKUP(DM$15,HourlyTimeseries!$A:$A,HourlyTimeseries!$F:$F),"")</f>
        <v>15000</v>
      </c>
      <c r="DN42" s="50">
        <f>IFERROR(LOOKUP(DN$15,HourlyTimeseries!$A:$A,HourlyTimeseries!$F:$F),"")</f>
        <v>15000</v>
      </c>
      <c r="DO42" s="50">
        <f>IFERROR(LOOKUP(DO$15,HourlyTimeseries!$A:$A,HourlyTimeseries!$F:$F),"")</f>
        <v>15000</v>
      </c>
      <c r="DP42" s="50">
        <f>IFERROR(LOOKUP(DP$15,HourlyTimeseries!$A:$A,HourlyTimeseries!$F:$F),"")</f>
        <v>15000</v>
      </c>
      <c r="DQ42" s="50">
        <f>IFERROR(LOOKUP(DQ$15,HourlyTimeseries!$A:$A,HourlyTimeseries!$F:$F),"")</f>
        <v>15000</v>
      </c>
      <c r="DR42" s="50">
        <f>IFERROR(LOOKUP(DR$15,HourlyTimeseries!$A:$A,HourlyTimeseries!$F:$F),"")</f>
        <v>15000</v>
      </c>
      <c r="DS42" s="50">
        <f>IFERROR(LOOKUP(DS$15,HourlyTimeseries!$A:$A,HourlyTimeseries!$F:$F),"")</f>
        <v>15000</v>
      </c>
      <c r="DT42" s="59">
        <f>IFERROR(LOOKUP(DT$15,HourlyTimeseries!$A:$A,HourlyTimeseries!$F:$F),"")</f>
        <v>15000</v>
      </c>
      <c r="DU42" s="66">
        <f>IFERROR(LOOKUP(DU$15,HourlyTimeseries!$A:$A,HourlyTimeseries!$F:$F),"")</f>
        <v>15000</v>
      </c>
      <c r="DV42" s="50">
        <f>IFERROR(LOOKUP(DV$15,HourlyTimeseries!$A:$A,HourlyTimeseries!$F:$F),"")</f>
        <v>15000</v>
      </c>
      <c r="DW42" s="50">
        <f>IFERROR(LOOKUP(DW$15,HourlyTimeseries!$A:$A,HourlyTimeseries!$F:$F),"")</f>
        <v>15000</v>
      </c>
      <c r="DX42" s="50">
        <f>IFERROR(LOOKUP(DX$15,HourlyTimeseries!$A:$A,HourlyTimeseries!$F:$F),"")</f>
        <v>15000</v>
      </c>
      <c r="DY42" s="50">
        <f>IFERROR(LOOKUP(DY$15,HourlyTimeseries!$A:$A,HourlyTimeseries!$F:$F),"")</f>
        <v>15000</v>
      </c>
      <c r="DZ42" s="50">
        <f>IFERROR(LOOKUP(DZ$15,HourlyTimeseries!$A:$A,HourlyTimeseries!$F:$F),"")</f>
        <v>15000</v>
      </c>
      <c r="EA42" s="50">
        <f>IFERROR(LOOKUP(EA$15,HourlyTimeseries!$A:$A,HourlyTimeseries!$F:$F),"")</f>
        <v>15000</v>
      </c>
      <c r="EB42" s="50">
        <f>IFERROR(LOOKUP(EB$15,HourlyTimeseries!$A:$A,HourlyTimeseries!$F:$F),"")</f>
        <v>15000</v>
      </c>
      <c r="EC42" s="50">
        <f>IFERROR(LOOKUP(EC$15,HourlyTimeseries!$A:$A,HourlyTimeseries!$F:$F),"")</f>
        <v>15000</v>
      </c>
      <c r="ED42" s="50">
        <f>IFERROR(LOOKUP(ED$15,HourlyTimeseries!$A:$A,HourlyTimeseries!$F:$F),"")</f>
        <v>15000</v>
      </c>
      <c r="EE42" s="50">
        <f>IFERROR(LOOKUP(EE$15,HourlyTimeseries!$A:$A,HourlyTimeseries!$F:$F),"")</f>
        <v>15000</v>
      </c>
      <c r="EF42" s="50">
        <f>IFERROR(LOOKUP(EF$15,HourlyTimeseries!$A:$A,HourlyTimeseries!$F:$F),"")</f>
        <v>15000</v>
      </c>
      <c r="EG42" s="50">
        <f>IFERROR(LOOKUP(EG$15,HourlyTimeseries!$A:$A,HourlyTimeseries!$F:$F),"")</f>
        <v>15000</v>
      </c>
      <c r="EH42" s="50">
        <f>IFERROR(LOOKUP(EH$15,HourlyTimeseries!$A:$A,HourlyTimeseries!$F:$F),"")</f>
        <v>15000</v>
      </c>
      <c r="EI42" s="50">
        <f>IFERROR(LOOKUP(EI$15,HourlyTimeseries!$A:$A,HourlyTimeseries!$F:$F),"")</f>
        <v>15000</v>
      </c>
      <c r="EJ42" s="50">
        <f>IFERROR(LOOKUP(EJ$15,HourlyTimeseries!$A:$A,HourlyTimeseries!$F:$F),"")</f>
        <v>15000</v>
      </c>
      <c r="EK42" s="50">
        <f>IFERROR(LOOKUP(EK$15,HourlyTimeseries!$A:$A,HourlyTimeseries!$F:$F),"")</f>
        <v>15000</v>
      </c>
      <c r="EL42" s="50">
        <f>IFERROR(LOOKUP(EL$15,HourlyTimeseries!$A:$A,HourlyTimeseries!$F:$F),"")</f>
        <v>15000</v>
      </c>
      <c r="EM42" s="50">
        <f>IFERROR(LOOKUP(EM$15,HourlyTimeseries!$A:$A,HourlyTimeseries!$F:$F),"")</f>
        <v>15000</v>
      </c>
      <c r="EN42" s="50">
        <f>IFERROR(LOOKUP(EN$15,HourlyTimeseries!$A:$A,HourlyTimeseries!$F:$F),"")</f>
        <v>15000</v>
      </c>
      <c r="EO42" s="50">
        <f>IFERROR(LOOKUP(EO$15,HourlyTimeseries!$A:$A,HourlyTimeseries!$F:$F),"")</f>
        <v>15000</v>
      </c>
      <c r="EP42" s="50">
        <f>IFERROR(LOOKUP(EP$15,HourlyTimeseries!$A:$A,HourlyTimeseries!$F:$F),"")</f>
        <v>15000</v>
      </c>
      <c r="EQ42" s="50">
        <f>IFERROR(LOOKUP(EQ$15,HourlyTimeseries!$A:$A,HourlyTimeseries!$F:$F),"")</f>
        <v>15000</v>
      </c>
      <c r="ER42" s="59">
        <f>IFERROR(LOOKUP(ER$15,HourlyTimeseries!$A:$A,HourlyTimeseries!$F:$F),"")</f>
        <v>15000</v>
      </c>
      <c r="ES42" s="66">
        <f>IFERROR(LOOKUP(ES$15,HourlyTimeseries!$A:$A,HourlyTimeseries!$F:$F),"")</f>
        <v>15000</v>
      </c>
      <c r="ET42" s="50">
        <f>IFERROR(LOOKUP(ET$15,HourlyTimeseries!$A:$A,HourlyTimeseries!$F:$F),"")</f>
        <v>15000</v>
      </c>
      <c r="EU42" s="50">
        <f>IFERROR(LOOKUP(EU$15,HourlyTimeseries!$A:$A,HourlyTimeseries!$F:$F),"")</f>
        <v>15000</v>
      </c>
      <c r="EV42" s="50">
        <f>IFERROR(LOOKUP(EV$15,HourlyTimeseries!$A:$A,HourlyTimeseries!$F:$F),"")</f>
        <v>15000</v>
      </c>
      <c r="EW42" s="50">
        <f>IFERROR(LOOKUP(EW$15,HourlyTimeseries!$A:$A,HourlyTimeseries!$F:$F),"")</f>
        <v>15000</v>
      </c>
      <c r="EX42" s="50">
        <f>IFERROR(LOOKUP(EX$15,HourlyTimeseries!$A:$A,HourlyTimeseries!$F:$F),"")</f>
        <v>15000</v>
      </c>
      <c r="EY42" s="50">
        <f>IFERROR(LOOKUP(EY$15,HourlyTimeseries!$A:$A,HourlyTimeseries!$F:$F),"")</f>
        <v>15000</v>
      </c>
      <c r="EZ42" s="50">
        <f>IFERROR(LOOKUP(EZ$15,HourlyTimeseries!$A:$A,HourlyTimeseries!$F:$F),"")</f>
        <v>15000</v>
      </c>
      <c r="FA42" s="50">
        <f>IFERROR(LOOKUP(FA$15,HourlyTimeseries!$A:$A,HourlyTimeseries!$F:$F),"")</f>
        <v>15000</v>
      </c>
      <c r="FB42" s="50">
        <f>IFERROR(LOOKUP(FB$15,HourlyTimeseries!$A:$A,HourlyTimeseries!$F:$F),"")</f>
        <v>15000</v>
      </c>
      <c r="FC42" s="50">
        <f>IFERROR(LOOKUP(FC$15,HourlyTimeseries!$A:$A,HourlyTimeseries!$F:$F),"")</f>
        <v>15000</v>
      </c>
      <c r="FD42" s="50">
        <f>IFERROR(LOOKUP(FD$15,HourlyTimeseries!$A:$A,HourlyTimeseries!$F:$F),"")</f>
        <v>15000</v>
      </c>
      <c r="FE42" s="50">
        <f>IFERROR(LOOKUP(FE$15,HourlyTimeseries!$A:$A,HourlyTimeseries!$F:$F),"")</f>
        <v>15000</v>
      </c>
      <c r="FF42" s="50">
        <f>IFERROR(LOOKUP(FF$15,HourlyTimeseries!$A:$A,HourlyTimeseries!$F:$F),"")</f>
        <v>15000</v>
      </c>
      <c r="FG42" s="50">
        <f>IFERROR(LOOKUP(FG$15,HourlyTimeseries!$A:$A,HourlyTimeseries!$F:$F),"")</f>
        <v>15000</v>
      </c>
      <c r="FH42" s="50">
        <f>IFERROR(LOOKUP(FH$15,HourlyTimeseries!$A:$A,HourlyTimeseries!$F:$F),"")</f>
        <v>15000</v>
      </c>
      <c r="FI42" s="50">
        <f>IFERROR(LOOKUP(FI$15,HourlyTimeseries!$A:$A,HourlyTimeseries!$F:$F),"")</f>
        <v>15000</v>
      </c>
      <c r="FJ42" s="50">
        <f>IFERROR(LOOKUP(FJ$15,HourlyTimeseries!$A:$A,HourlyTimeseries!$F:$F),"")</f>
        <v>15000</v>
      </c>
      <c r="FK42" s="50">
        <f>IFERROR(LOOKUP(FK$15,HourlyTimeseries!$A:$A,HourlyTimeseries!$F:$F),"")</f>
        <v>15000</v>
      </c>
      <c r="FL42" s="50">
        <f>IFERROR(LOOKUP(FL$15,HourlyTimeseries!$A:$A,HourlyTimeseries!$F:$F),"")</f>
        <v>15000</v>
      </c>
      <c r="FM42" s="50">
        <f>IFERROR(LOOKUP(FM$15,HourlyTimeseries!$A:$A,HourlyTimeseries!$F:$F),"")</f>
        <v>15000</v>
      </c>
      <c r="FN42" s="50">
        <f>IFERROR(LOOKUP(FN$15,HourlyTimeseries!$A:$A,HourlyTimeseries!$F:$F),"")</f>
        <v>15000</v>
      </c>
      <c r="FO42" s="50">
        <f>IFERROR(LOOKUP(FO$15,HourlyTimeseries!$A:$A,HourlyTimeseries!$F:$F),"")</f>
        <v>15000</v>
      </c>
      <c r="FP42" s="59">
        <f>IFERROR(LOOKUP(FP$15,HourlyTimeseries!$A:$A,HourlyTimeseries!$F:$F),"")</f>
        <v>15000</v>
      </c>
    </row>
    <row r="43" spans="1:172" ht="15.75" customHeight="1">
      <c r="A43" s="28" t="s">
        <v>103</v>
      </c>
      <c r="B43" s="2" t="s">
        <v>99</v>
      </c>
      <c r="C43" s="8" t="s">
        <v>133</v>
      </c>
      <c r="D43" s="4" t="b">
        <v>1</v>
      </c>
      <c r="E43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1:172" ht="15.75" customHeight="1">
      <c r="A44" s="28" t="s">
        <v>129</v>
      </c>
      <c r="B44" s="2" t="s">
        <v>127</v>
      </c>
      <c r="C44" s="8" t="s">
        <v>133</v>
      </c>
      <c r="D44" s="8">
        <v>4</v>
      </c>
      <c r="E44" s="22"/>
    </row>
    <row r="45" spans="1:172" ht="15.75" customHeight="1">
      <c r="A45" s="28" t="s">
        <v>130</v>
      </c>
      <c r="B45" s="2" t="s">
        <v>128</v>
      </c>
      <c r="C45" s="8" t="s">
        <v>133</v>
      </c>
      <c r="D45" s="8">
        <v>4</v>
      </c>
      <c r="E45" s="27"/>
    </row>
    <row r="46" spans="1:172" ht="15.75" customHeight="1" thickBot="1">
      <c r="A46" s="26" t="s">
        <v>203</v>
      </c>
      <c r="B46" s="2" t="s">
        <v>202</v>
      </c>
      <c r="C46" s="8" t="s">
        <v>133</v>
      </c>
      <c r="D46" s="8">
        <v>4</v>
      </c>
      <c r="E46" s="27"/>
    </row>
    <row r="47" spans="1:172" ht="15.75" customHeight="1" thickBot="1">
      <c r="A47" s="16" t="s">
        <v>126</v>
      </c>
      <c r="B47" s="2" t="s">
        <v>94</v>
      </c>
      <c r="C47" s="2"/>
      <c r="D47" s="4" t="b">
        <v>1</v>
      </c>
    </row>
    <row r="48" spans="1:172">
      <c r="A48" s="15" t="s">
        <v>71</v>
      </c>
      <c r="B48" s="2" t="s">
        <v>64</v>
      </c>
      <c r="C48" s="8" t="s">
        <v>133</v>
      </c>
      <c r="D48" s="8">
        <v>10000</v>
      </c>
    </row>
    <row r="49" spans="1:172">
      <c r="A49" s="15" t="s">
        <v>70</v>
      </c>
      <c r="B49" s="2" t="s">
        <v>65</v>
      </c>
      <c r="C49" s="8" t="s">
        <v>133</v>
      </c>
      <c r="D49" s="8">
        <v>10000</v>
      </c>
    </row>
    <row r="50" spans="1:172">
      <c r="A50" s="15" t="s">
        <v>82</v>
      </c>
      <c r="B50" s="2" t="s">
        <v>76</v>
      </c>
      <c r="C50" s="8" t="s">
        <v>133</v>
      </c>
      <c r="D50" s="2"/>
      <c r="E50" s="50">
        <f>IFERROR(LOOKUP(E$15,HourlyTimeseries!$A:$A,HourlyTimeseries!$G:$G),"")</f>
        <v>2400</v>
      </c>
      <c r="F50" s="50">
        <f>IFERROR(LOOKUP(F$15,HourlyTimeseries!$A:$A,HourlyTimeseries!$G:$G),"")</f>
        <v>2400</v>
      </c>
      <c r="G50" s="50">
        <f>IFERROR(LOOKUP(G$15,HourlyTimeseries!$A:$A,HourlyTimeseries!$G:$G),"")</f>
        <v>2400</v>
      </c>
      <c r="H50" s="50">
        <f>IFERROR(LOOKUP(H$15,HourlyTimeseries!$A:$A,HourlyTimeseries!$G:$G),"")</f>
        <v>2400</v>
      </c>
      <c r="I50" s="50">
        <f>IFERROR(LOOKUP(I$15,HourlyTimeseries!$A:$A,HourlyTimeseries!$G:$G),"")</f>
        <v>2400</v>
      </c>
      <c r="J50" s="50">
        <f>IFERROR(LOOKUP(J$15,HourlyTimeseries!$A:$A,HourlyTimeseries!$G:$G),"")</f>
        <v>2400</v>
      </c>
      <c r="K50" s="50">
        <f>IFERROR(LOOKUP(K$15,HourlyTimeseries!$A:$A,HourlyTimeseries!$G:$G),"")</f>
        <v>2400</v>
      </c>
      <c r="L50" s="50">
        <f>IFERROR(LOOKUP(L$15,HourlyTimeseries!$A:$A,HourlyTimeseries!$G:$G),"")</f>
        <v>2400</v>
      </c>
      <c r="M50" s="50">
        <f>IFERROR(LOOKUP(M$15,HourlyTimeseries!$A:$A,HourlyTimeseries!$G:$G),"")</f>
        <v>2400</v>
      </c>
      <c r="N50" s="50">
        <f>IFERROR(LOOKUP(N$15,HourlyTimeseries!$A:$A,HourlyTimeseries!$G:$G),"")</f>
        <v>2400</v>
      </c>
      <c r="O50" s="50">
        <f>IFERROR(LOOKUP(O$15,HourlyTimeseries!$A:$A,HourlyTimeseries!$G:$G),"")</f>
        <v>2400</v>
      </c>
      <c r="P50" s="50">
        <f>IFERROR(LOOKUP(P$15,HourlyTimeseries!$A:$A,HourlyTimeseries!$G:$G),"")</f>
        <v>2400</v>
      </c>
      <c r="Q50" s="50">
        <f>IFERROR(LOOKUP(Q$15,HourlyTimeseries!$A:$A,HourlyTimeseries!$G:$G),"")</f>
        <v>2400</v>
      </c>
      <c r="R50" s="50">
        <f>IFERROR(LOOKUP(R$15,HourlyTimeseries!$A:$A,HourlyTimeseries!$G:$G),"")</f>
        <v>2400</v>
      </c>
      <c r="S50" s="50">
        <f>IFERROR(LOOKUP(S$15,HourlyTimeseries!$A:$A,HourlyTimeseries!$G:$G),"")</f>
        <v>2400</v>
      </c>
      <c r="T50" s="50">
        <f>IFERROR(LOOKUP(T$15,HourlyTimeseries!$A:$A,HourlyTimeseries!$G:$G),"")</f>
        <v>2400</v>
      </c>
      <c r="U50" s="50">
        <f>IFERROR(LOOKUP(U$15,HourlyTimeseries!$A:$A,HourlyTimeseries!$G:$G),"")</f>
        <v>2400</v>
      </c>
      <c r="V50" s="50">
        <f>IFERROR(LOOKUP(V$15,HourlyTimeseries!$A:$A,HourlyTimeseries!$G:$G),"")</f>
        <v>2400</v>
      </c>
      <c r="W50" s="50">
        <f>IFERROR(LOOKUP(W$15,HourlyTimeseries!$A:$A,HourlyTimeseries!$G:$G),"")</f>
        <v>2400</v>
      </c>
      <c r="X50" s="50">
        <f>IFERROR(LOOKUP(X$15,HourlyTimeseries!$A:$A,HourlyTimeseries!$G:$G),"")</f>
        <v>2400</v>
      </c>
      <c r="Y50" s="50">
        <f>IFERROR(LOOKUP(Y$15,HourlyTimeseries!$A:$A,HourlyTimeseries!$G:$G),"")</f>
        <v>2400</v>
      </c>
      <c r="Z50" s="50">
        <f>IFERROR(LOOKUP(Z$15,HourlyTimeseries!$A:$A,HourlyTimeseries!$G:$G),"")</f>
        <v>2400</v>
      </c>
      <c r="AA50" s="50">
        <f>IFERROR(LOOKUP(AA$15,HourlyTimeseries!$A:$A,HourlyTimeseries!$G:$G),"")</f>
        <v>2400</v>
      </c>
      <c r="AB50" s="59">
        <f>IFERROR(LOOKUP(AB$15,HourlyTimeseries!$A:$A,HourlyTimeseries!$G:$G),"")</f>
        <v>2400</v>
      </c>
      <c r="AC50" s="66">
        <f>IFERROR(LOOKUP(AC$15,HourlyTimeseries!$A:$A,HourlyTimeseries!$G:$G),"")</f>
        <v>2400</v>
      </c>
      <c r="AD50" s="50">
        <f>IFERROR(LOOKUP(AD$15,HourlyTimeseries!$A:$A,HourlyTimeseries!$G:$G),"")</f>
        <v>2400</v>
      </c>
      <c r="AE50" s="50">
        <f>IFERROR(LOOKUP(AE$15,HourlyTimeseries!$A:$A,HourlyTimeseries!$G:$G),"")</f>
        <v>2400</v>
      </c>
      <c r="AF50" s="50">
        <f>IFERROR(LOOKUP(AF$15,HourlyTimeseries!$A:$A,HourlyTimeseries!$G:$G),"")</f>
        <v>2400</v>
      </c>
      <c r="AG50" s="50">
        <f>IFERROR(LOOKUP(AG$15,HourlyTimeseries!$A:$A,HourlyTimeseries!$G:$G),"")</f>
        <v>2400</v>
      </c>
      <c r="AH50" s="50">
        <f>IFERROR(LOOKUP(AH$15,HourlyTimeseries!$A:$A,HourlyTimeseries!$G:$G),"")</f>
        <v>2400</v>
      </c>
      <c r="AI50" s="50">
        <f>IFERROR(LOOKUP(AI$15,HourlyTimeseries!$A:$A,HourlyTimeseries!$G:$G),"")</f>
        <v>2400</v>
      </c>
      <c r="AJ50" s="50">
        <f>IFERROR(LOOKUP(AJ$15,HourlyTimeseries!$A:$A,HourlyTimeseries!$G:$G),"")</f>
        <v>2400</v>
      </c>
      <c r="AK50" s="50">
        <f>IFERROR(LOOKUP(AK$15,HourlyTimeseries!$A:$A,HourlyTimeseries!$G:$G),"")</f>
        <v>2400</v>
      </c>
      <c r="AL50" s="50">
        <f>IFERROR(LOOKUP(AL$15,HourlyTimeseries!$A:$A,HourlyTimeseries!$G:$G),"")</f>
        <v>2400</v>
      </c>
      <c r="AM50" s="50">
        <f>IFERROR(LOOKUP(AM$15,HourlyTimeseries!$A:$A,HourlyTimeseries!$G:$G),"")</f>
        <v>2400</v>
      </c>
      <c r="AN50" s="50">
        <f>IFERROR(LOOKUP(AN$15,HourlyTimeseries!$A:$A,HourlyTimeseries!$G:$G),"")</f>
        <v>2400</v>
      </c>
      <c r="AO50" s="50">
        <f>IFERROR(LOOKUP(AO$15,HourlyTimeseries!$A:$A,HourlyTimeseries!$G:$G),"")</f>
        <v>2400</v>
      </c>
      <c r="AP50" s="50">
        <f>IFERROR(LOOKUP(AP$15,HourlyTimeseries!$A:$A,HourlyTimeseries!$G:$G),"")</f>
        <v>2400</v>
      </c>
      <c r="AQ50" s="50">
        <f>IFERROR(LOOKUP(AQ$15,HourlyTimeseries!$A:$A,HourlyTimeseries!$G:$G),"")</f>
        <v>2400</v>
      </c>
      <c r="AR50" s="50">
        <f>IFERROR(LOOKUP(AR$15,HourlyTimeseries!$A:$A,HourlyTimeseries!$G:$G),"")</f>
        <v>2400</v>
      </c>
      <c r="AS50" s="50">
        <f>IFERROR(LOOKUP(AS$15,HourlyTimeseries!$A:$A,HourlyTimeseries!$G:$G),"")</f>
        <v>2400</v>
      </c>
      <c r="AT50" s="50">
        <f>IFERROR(LOOKUP(AT$15,HourlyTimeseries!$A:$A,HourlyTimeseries!$G:$G),"")</f>
        <v>2400</v>
      </c>
      <c r="AU50" s="50">
        <f>IFERROR(LOOKUP(AU$15,HourlyTimeseries!$A:$A,HourlyTimeseries!$G:$G),"")</f>
        <v>2400</v>
      </c>
      <c r="AV50" s="50">
        <f>IFERROR(LOOKUP(AV$15,HourlyTimeseries!$A:$A,HourlyTimeseries!$G:$G),"")</f>
        <v>2400</v>
      </c>
      <c r="AW50" s="50">
        <f>IFERROR(LOOKUP(AW$15,HourlyTimeseries!$A:$A,HourlyTimeseries!$G:$G),"")</f>
        <v>2400</v>
      </c>
      <c r="AX50" s="50">
        <f>IFERROR(LOOKUP(AX$15,HourlyTimeseries!$A:$A,HourlyTimeseries!$G:$G),"")</f>
        <v>2400</v>
      </c>
      <c r="AY50" s="50">
        <f>IFERROR(LOOKUP(AY$15,HourlyTimeseries!$A:$A,HourlyTimeseries!$G:$G),"")</f>
        <v>2400</v>
      </c>
      <c r="AZ50" s="59">
        <f>IFERROR(LOOKUP(AZ$15,HourlyTimeseries!$A:$A,HourlyTimeseries!$G:$G),"")</f>
        <v>2400</v>
      </c>
      <c r="BA50" s="66">
        <f>IFERROR(LOOKUP(BA$15,HourlyTimeseries!$A:$A,HourlyTimeseries!$G:$G),"")</f>
        <v>2400</v>
      </c>
      <c r="BB50" s="50">
        <f>IFERROR(LOOKUP(BB$15,HourlyTimeseries!$A:$A,HourlyTimeseries!$G:$G),"")</f>
        <v>2400</v>
      </c>
      <c r="BC50" s="50">
        <f>IFERROR(LOOKUP(BC$15,HourlyTimeseries!$A:$A,HourlyTimeseries!$G:$G),"")</f>
        <v>2400</v>
      </c>
      <c r="BD50" s="50">
        <f>IFERROR(LOOKUP(BD$15,HourlyTimeseries!$A:$A,HourlyTimeseries!$G:$G),"")</f>
        <v>2400</v>
      </c>
      <c r="BE50" s="50">
        <f>IFERROR(LOOKUP(BE$15,HourlyTimeseries!$A:$A,HourlyTimeseries!$G:$G),"")</f>
        <v>2400</v>
      </c>
      <c r="BF50" s="50">
        <f>IFERROR(LOOKUP(BF$15,HourlyTimeseries!$A:$A,HourlyTimeseries!$G:$G),"")</f>
        <v>2400</v>
      </c>
      <c r="BG50" s="50">
        <f>IFERROR(LOOKUP(BG$15,HourlyTimeseries!$A:$A,HourlyTimeseries!$G:$G),"")</f>
        <v>2400</v>
      </c>
      <c r="BH50" s="50">
        <f>IFERROR(LOOKUP(BH$15,HourlyTimeseries!$A:$A,HourlyTimeseries!$G:$G),"")</f>
        <v>2400</v>
      </c>
      <c r="BI50" s="50">
        <f>IFERROR(LOOKUP(BI$15,HourlyTimeseries!$A:$A,HourlyTimeseries!$G:$G),"")</f>
        <v>2400</v>
      </c>
      <c r="BJ50" s="50">
        <f>IFERROR(LOOKUP(BJ$15,HourlyTimeseries!$A:$A,HourlyTimeseries!$G:$G),"")</f>
        <v>2400</v>
      </c>
      <c r="BK50" s="50">
        <f>IFERROR(LOOKUP(BK$15,HourlyTimeseries!$A:$A,HourlyTimeseries!$G:$G),"")</f>
        <v>2400</v>
      </c>
      <c r="BL50" s="50">
        <f>IFERROR(LOOKUP(BL$15,HourlyTimeseries!$A:$A,HourlyTimeseries!$G:$G),"")</f>
        <v>2400</v>
      </c>
      <c r="BM50" s="50">
        <f>IFERROR(LOOKUP(BM$15,HourlyTimeseries!$A:$A,HourlyTimeseries!$G:$G),"")</f>
        <v>2400</v>
      </c>
      <c r="BN50" s="50">
        <f>IFERROR(LOOKUP(BN$15,HourlyTimeseries!$A:$A,HourlyTimeseries!$G:$G),"")</f>
        <v>2400</v>
      </c>
      <c r="BO50" s="50">
        <f>IFERROR(LOOKUP(BO$15,HourlyTimeseries!$A:$A,HourlyTimeseries!$G:$G),"")</f>
        <v>2400</v>
      </c>
      <c r="BP50" s="50">
        <f>IFERROR(LOOKUP(BP$15,HourlyTimeseries!$A:$A,HourlyTimeseries!$G:$G),"")</f>
        <v>2400</v>
      </c>
      <c r="BQ50" s="50">
        <f>IFERROR(LOOKUP(BQ$15,HourlyTimeseries!$A:$A,HourlyTimeseries!$G:$G),"")</f>
        <v>2400</v>
      </c>
      <c r="BR50" s="50">
        <f>IFERROR(LOOKUP(BR$15,HourlyTimeseries!$A:$A,HourlyTimeseries!$G:$G),"")</f>
        <v>2400</v>
      </c>
      <c r="BS50" s="50">
        <f>IFERROR(LOOKUP(BS$15,HourlyTimeseries!$A:$A,HourlyTimeseries!$G:$G),"")</f>
        <v>2400</v>
      </c>
      <c r="BT50" s="50">
        <f>IFERROR(LOOKUP(BT$15,HourlyTimeseries!$A:$A,HourlyTimeseries!$G:$G),"")</f>
        <v>2400</v>
      </c>
      <c r="BU50" s="50">
        <f>IFERROR(LOOKUP(BU$15,HourlyTimeseries!$A:$A,HourlyTimeseries!$G:$G),"")</f>
        <v>2400</v>
      </c>
      <c r="BV50" s="50">
        <f>IFERROR(LOOKUP(BV$15,HourlyTimeseries!$A:$A,HourlyTimeseries!$G:$G),"")</f>
        <v>2400</v>
      </c>
      <c r="BW50" s="50">
        <f>IFERROR(LOOKUP(BW$15,HourlyTimeseries!$A:$A,HourlyTimeseries!$G:$G),"")</f>
        <v>2400</v>
      </c>
      <c r="BX50" s="59">
        <f>IFERROR(LOOKUP(BX$15,HourlyTimeseries!$A:$A,HourlyTimeseries!$G:$G),"")</f>
        <v>2400</v>
      </c>
      <c r="BY50" s="66">
        <f>IFERROR(LOOKUP(BY$15,HourlyTimeseries!$A:$A,HourlyTimeseries!$G:$G),"")</f>
        <v>2400</v>
      </c>
      <c r="BZ50" s="50">
        <f>IFERROR(LOOKUP(BZ$15,HourlyTimeseries!$A:$A,HourlyTimeseries!$G:$G),"")</f>
        <v>2400</v>
      </c>
      <c r="CA50" s="50">
        <f>IFERROR(LOOKUP(CA$15,HourlyTimeseries!$A:$A,HourlyTimeseries!$G:$G),"")</f>
        <v>2400</v>
      </c>
      <c r="CB50" s="50">
        <f>IFERROR(LOOKUP(CB$15,HourlyTimeseries!$A:$A,HourlyTimeseries!$G:$G),"")</f>
        <v>2400</v>
      </c>
      <c r="CC50" s="50">
        <f>IFERROR(LOOKUP(CC$15,HourlyTimeseries!$A:$A,HourlyTimeseries!$G:$G),"")</f>
        <v>2400</v>
      </c>
      <c r="CD50" s="50">
        <f>IFERROR(LOOKUP(CD$15,HourlyTimeseries!$A:$A,HourlyTimeseries!$G:$G),"")</f>
        <v>2400</v>
      </c>
      <c r="CE50" s="50">
        <f>IFERROR(LOOKUP(CE$15,HourlyTimeseries!$A:$A,HourlyTimeseries!$G:$G),"")</f>
        <v>2400</v>
      </c>
      <c r="CF50" s="50">
        <f>IFERROR(LOOKUP(CF$15,HourlyTimeseries!$A:$A,HourlyTimeseries!$G:$G),"")</f>
        <v>2400</v>
      </c>
      <c r="CG50" s="50">
        <f>IFERROR(LOOKUP(CG$15,HourlyTimeseries!$A:$A,HourlyTimeseries!$G:$G),"")</f>
        <v>2400</v>
      </c>
      <c r="CH50" s="50">
        <f>IFERROR(LOOKUP(CH$15,HourlyTimeseries!$A:$A,HourlyTimeseries!$G:$G),"")</f>
        <v>2400</v>
      </c>
      <c r="CI50" s="50">
        <f>IFERROR(LOOKUP(CI$15,HourlyTimeseries!$A:$A,HourlyTimeseries!$G:$G),"")</f>
        <v>2400</v>
      </c>
      <c r="CJ50" s="50">
        <f>IFERROR(LOOKUP(CJ$15,HourlyTimeseries!$A:$A,HourlyTimeseries!$G:$G),"")</f>
        <v>2400</v>
      </c>
      <c r="CK50" s="50">
        <f>IFERROR(LOOKUP(CK$15,HourlyTimeseries!$A:$A,HourlyTimeseries!$G:$G),"")</f>
        <v>2400</v>
      </c>
      <c r="CL50" s="50">
        <f>IFERROR(LOOKUP(CL$15,HourlyTimeseries!$A:$A,HourlyTimeseries!$G:$G),"")</f>
        <v>2400</v>
      </c>
      <c r="CM50" s="50">
        <f>IFERROR(LOOKUP(CM$15,HourlyTimeseries!$A:$A,HourlyTimeseries!$G:$G),"")</f>
        <v>2400</v>
      </c>
      <c r="CN50" s="50">
        <f>IFERROR(LOOKUP(CN$15,HourlyTimeseries!$A:$A,HourlyTimeseries!$G:$G),"")</f>
        <v>2400</v>
      </c>
      <c r="CO50" s="50">
        <f>IFERROR(LOOKUP(CO$15,HourlyTimeseries!$A:$A,HourlyTimeseries!$G:$G),"")</f>
        <v>2400</v>
      </c>
      <c r="CP50" s="50">
        <f>IFERROR(LOOKUP(CP$15,HourlyTimeseries!$A:$A,HourlyTimeseries!$G:$G),"")</f>
        <v>2400</v>
      </c>
      <c r="CQ50" s="50">
        <f>IFERROR(LOOKUP(CQ$15,HourlyTimeseries!$A:$A,HourlyTimeseries!$G:$G),"")</f>
        <v>2400</v>
      </c>
      <c r="CR50" s="50">
        <f>IFERROR(LOOKUP(CR$15,HourlyTimeseries!$A:$A,HourlyTimeseries!$G:$G),"")</f>
        <v>2400</v>
      </c>
      <c r="CS50" s="50">
        <f>IFERROR(LOOKUP(CS$15,HourlyTimeseries!$A:$A,HourlyTimeseries!$G:$G),"")</f>
        <v>2400</v>
      </c>
      <c r="CT50" s="50">
        <f>IFERROR(LOOKUP(CT$15,HourlyTimeseries!$A:$A,HourlyTimeseries!$G:$G),"")</f>
        <v>2400</v>
      </c>
      <c r="CU50" s="50">
        <f>IFERROR(LOOKUP(CU$15,HourlyTimeseries!$A:$A,HourlyTimeseries!$G:$G),"")</f>
        <v>2400</v>
      </c>
      <c r="CV50" s="59">
        <f>IFERROR(LOOKUP(CV$15,HourlyTimeseries!$A:$A,HourlyTimeseries!$G:$G),"")</f>
        <v>2400</v>
      </c>
      <c r="CW50" s="66">
        <f>IFERROR(LOOKUP(CW$15,HourlyTimeseries!$A:$A,HourlyTimeseries!$G:$G),"")</f>
        <v>2400</v>
      </c>
      <c r="CX50" s="50">
        <f>IFERROR(LOOKUP(CX$15,HourlyTimeseries!$A:$A,HourlyTimeseries!$G:$G),"")</f>
        <v>2400</v>
      </c>
      <c r="CY50" s="50">
        <f>IFERROR(LOOKUP(CY$15,HourlyTimeseries!$A:$A,HourlyTimeseries!$G:$G),"")</f>
        <v>2400</v>
      </c>
      <c r="CZ50" s="50">
        <f>IFERROR(LOOKUP(CZ$15,HourlyTimeseries!$A:$A,HourlyTimeseries!$G:$G),"")</f>
        <v>2400</v>
      </c>
      <c r="DA50" s="50">
        <f>IFERROR(LOOKUP(DA$15,HourlyTimeseries!$A:$A,HourlyTimeseries!$G:$G),"")</f>
        <v>2400</v>
      </c>
      <c r="DB50" s="50">
        <f>IFERROR(LOOKUP(DB$15,HourlyTimeseries!$A:$A,HourlyTimeseries!$G:$G),"")</f>
        <v>2400</v>
      </c>
      <c r="DC50" s="50">
        <f>IFERROR(LOOKUP(DC$15,HourlyTimeseries!$A:$A,HourlyTimeseries!$G:$G),"")</f>
        <v>2400</v>
      </c>
      <c r="DD50" s="50">
        <f>IFERROR(LOOKUP(DD$15,HourlyTimeseries!$A:$A,HourlyTimeseries!$G:$G),"")</f>
        <v>2400</v>
      </c>
      <c r="DE50" s="50">
        <f>IFERROR(LOOKUP(DE$15,HourlyTimeseries!$A:$A,HourlyTimeseries!$G:$G),"")</f>
        <v>2400</v>
      </c>
      <c r="DF50" s="50">
        <f>IFERROR(LOOKUP(DF$15,HourlyTimeseries!$A:$A,HourlyTimeseries!$G:$G),"")</f>
        <v>2400</v>
      </c>
      <c r="DG50" s="50">
        <f>IFERROR(LOOKUP(DG$15,HourlyTimeseries!$A:$A,HourlyTimeseries!$G:$G),"")</f>
        <v>2400</v>
      </c>
      <c r="DH50" s="50">
        <f>IFERROR(LOOKUP(DH$15,HourlyTimeseries!$A:$A,HourlyTimeseries!$G:$G),"")</f>
        <v>2400</v>
      </c>
      <c r="DI50" s="50">
        <f>IFERROR(LOOKUP(DI$15,HourlyTimeseries!$A:$A,HourlyTimeseries!$G:$G),"")</f>
        <v>2400</v>
      </c>
      <c r="DJ50" s="50">
        <f>IFERROR(LOOKUP(DJ$15,HourlyTimeseries!$A:$A,HourlyTimeseries!$G:$G),"")</f>
        <v>2400</v>
      </c>
      <c r="DK50" s="50">
        <f>IFERROR(LOOKUP(DK$15,HourlyTimeseries!$A:$A,HourlyTimeseries!$G:$G),"")</f>
        <v>2400</v>
      </c>
      <c r="DL50" s="50">
        <f>IFERROR(LOOKUP(DL$15,HourlyTimeseries!$A:$A,HourlyTimeseries!$G:$G),"")</f>
        <v>2400</v>
      </c>
      <c r="DM50" s="50">
        <f>IFERROR(LOOKUP(DM$15,HourlyTimeseries!$A:$A,HourlyTimeseries!$G:$G),"")</f>
        <v>2400</v>
      </c>
      <c r="DN50" s="50">
        <f>IFERROR(LOOKUP(DN$15,HourlyTimeseries!$A:$A,HourlyTimeseries!$G:$G),"")</f>
        <v>2400</v>
      </c>
      <c r="DO50" s="50">
        <f>IFERROR(LOOKUP(DO$15,HourlyTimeseries!$A:$A,HourlyTimeseries!$G:$G),"")</f>
        <v>2400</v>
      </c>
      <c r="DP50" s="50">
        <f>IFERROR(LOOKUP(DP$15,HourlyTimeseries!$A:$A,HourlyTimeseries!$G:$G),"")</f>
        <v>2400</v>
      </c>
      <c r="DQ50" s="50">
        <f>IFERROR(LOOKUP(DQ$15,HourlyTimeseries!$A:$A,HourlyTimeseries!$G:$G),"")</f>
        <v>2400</v>
      </c>
      <c r="DR50" s="50">
        <f>IFERROR(LOOKUP(DR$15,HourlyTimeseries!$A:$A,HourlyTimeseries!$G:$G),"")</f>
        <v>2400</v>
      </c>
      <c r="DS50" s="50">
        <f>IFERROR(LOOKUP(DS$15,HourlyTimeseries!$A:$A,HourlyTimeseries!$G:$G),"")</f>
        <v>2400</v>
      </c>
      <c r="DT50" s="59">
        <f>IFERROR(LOOKUP(DT$15,HourlyTimeseries!$A:$A,HourlyTimeseries!$G:$G),"")</f>
        <v>2400</v>
      </c>
      <c r="DU50" s="66">
        <f>IFERROR(LOOKUP(DU$15,HourlyTimeseries!$A:$A,HourlyTimeseries!$G:$G),"")</f>
        <v>2400</v>
      </c>
      <c r="DV50" s="50">
        <f>IFERROR(LOOKUP(DV$15,HourlyTimeseries!$A:$A,HourlyTimeseries!$G:$G),"")</f>
        <v>2400</v>
      </c>
      <c r="DW50" s="50">
        <f>IFERROR(LOOKUP(DW$15,HourlyTimeseries!$A:$A,HourlyTimeseries!$G:$G),"")</f>
        <v>2400</v>
      </c>
      <c r="DX50" s="50">
        <f>IFERROR(LOOKUP(DX$15,HourlyTimeseries!$A:$A,HourlyTimeseries!$G:$G),"")</f>
        <v>2400</v>
      </c>
      <c r="DY50" s="50">
        <f>IFERROR(LOOKUP(DY$15,HourlyTimeseries!$A:$A,HourlyTimeseries!$G:$G),"")</f>
        <v>2400</v>
      </c>
      <c r="DZ50" s="50">
        <f>IFERROR(LOOKUP(DZ$15,HourlyTimeseries!$A:$A,HourlyTimeseries!$G:$G),"")</f>
        <v>2400</v>
      </c>
      <c r="EA50" s="50">
        <f>IFERROR(LOOKUP(EA$15,HourlyTimeseries!$A:$A,HourlyTimeseries!$G:$G),"")</f>
        <v>2400</v>
      </c>
      <c r="EB50" s="50">
        <f>IFERROR(LOOKUP(EB$15,HourlyTimeseries!$A:$A,HourlyTimeseries!$G:$G),"")</f>
        <v>2400</v>
      </c>
      <c r="EC50" s="50">
        <f>IFERROR(LOOKUP(EC$15,HourlyTimeseries!$A:$A,HourlyTimeseries!$G:$G),"")</f>
        <v>2400</v>
      </c>
      <c r="ED50" s="50">
        <f>IFERROR(LOOKUP(ED$15,HourlyTimeseries!$A:$A,HourlyTimeseries!$G:$G),"")</f>
        <v>2400</v>
      </c>
      <c r="EE50" s="50">
        <f>IFERROR(LOOKUP(EE$15,HourlyTimeseries!$A:$A,HourlyTimeseries!$G:$G),"")</f>
        <v>2400</v>
      </c>
      <c r="EF50" s="50">
        <f>IFERROR(LOOKUP(EF$15,HourlyTimeseries!$A:$A,HourlyTimeseries!$G:$G),"")</f>
        <v>2400</v>
      </c>
      <c r="EG50" s="50">
        <f>IFERROR(LOOKUP(EG$15,HourlyTimeseries!$A:$A,HourlyTimeseries!$G:$G),"")</f>
        <v>2400</v>
      </c>
      <c r="EH50" s="50">
        <f>IFERROR(LOOKUP(EH$15,HourlyTimeseries!$A:$A,HourlyTimeseries!$G:$G),"")</f>
        <v>2400</v>
      </c>
      <c r="EI50" s="50">
        <f>IFERROR(LOOKUP(EI$15,HourlyTimeseries!$A:$A,HourlyTimeseries!$G:$G),"")</f>
        <v>2400</v>
      </c>
      <c r="EJ50" s="50">
        <f>IFERROR(LOOKUP(EJ$15,HourlyTimeseries!$A:$A,HourlyTimeseries!$G:$G),"")</f>
        <v>2400</v>
      </c>
      <c r="EK50" s="50">
        <f>IFERROR(LOOKUP(EK$15,HourlyTimeseries!$A:$A,HourlyTimeseries!$G:$G),"")</f>
        <v>2400</v>
      </c>
      <c r="EL50" s="50">
        <f>IFERROR(LOOKUP(EL$15,HourlyTimeseries!$A:$A,HourlyTimeseries!$G:$G),"")</f>
        <v>2400</v>
      </c>
      <c r="EM50" s="50">
        <f>IFERROR(LOOKUP(EM$15,HourlyTimeseries!$A:$A,HourlyTimeseries!$G:$G),"")</f>
        <v>2400</v>
      </c>
      <c r="EN50" s="50">
        <f>IFERROR(LOOKUP(EN$15,HourlyTimeseries!$A:$A,HourlyTimeseries!$G:$G),"")</f>
        <v>2400</v>
      </c>
      <c r="EO50" s="50">
        <f>IFERROR(LOOKUP(EO$15,HourlyTimeseries!$A:$A,HourlyTimeseries!$G:$G),"")</f>
        <v>2400</v>
      </c>
      <c r="EP50" s="50">
        <f>IFERROR(LOOKUP(EP$15,HourlyTimeseries!$A:$A,HourlyTimeseries!$G:$G),"")</f>
        <v>2400</v>
      </c>
      <c r="EQ50" s="50">
        <f>IFERROR(LOOKUP(EQ$15,HourlyTimeseries!$A:$A,HourlyTimeseries!$G:$G),"")</f>
        <v>2400</v>
      </c>
      <c r="ER50" s="59">
        <f>IFERROR(LOOKUP(ER$15,HourlyTimeseries!$A:$A,HourlyTimeseries!$G:$G),"")</f>
        <v>2400</v>
      </c>
      <c r="ES50" s="66">
        <f>IFERROR(LOOKUP(ES$15,HourlyTimeseries!$A:$A,HourlyTimeseries!$G:$G),"")</f>
        <v>2400</v>
      </c>
      <c r="ET50" s="50">
        <f>IFERROR(LOOKUP(ET$15,HourlyTimeseries!$A:$A,HourlyTimeseries!$G:$G),"")</f>
        <v>2400</v>
      </c>
      <c r="EU50" s="50">
        <f>IFERROR(LOOKUP(EU$15,HourlyTimeseries!$A:$A,HourlyTimeseries!$G:$G),"")</f>
        <v>2400</v>
      </c>
      <c r="EV50" s="50">
        <f>IFERROR(LOOKUP(EV$15,HourlyTimeseries!$A:$A,HourlyTimeseries!$G:$G),"")</f>
        <v>2400</v>
      </c>
      <c r="EW50" s="50">
        <f>IFERROR(LOOKUP(EW$15,HourlyTimeseries!$A:$A,HourlyTimeseries!$G:$G),"")</f>
        <v>2400</v>
      </c>
      <c r="EX50" s="50">
        <f>IFERROR(LOOKUP(EX$15,HourlyTimeseries!$A:$A,HourlyTimeseries!$G:$G),"")</f>
        <v>2400</v>
      </c>
      <c r="EY50" s="50">
        <f>IFERROR(LOOKUP(EY$15,HourlyTimeseries!$A:$A,HourlyTimeseries!$G:$G),"")</f>
        <v>2400</v>
      </c>
      <c r="EZ50" s="50">
        <f>IFERROR(LOOKUP(EZ$15,HourlyTimeseries!$A:$A,HourlyTimeseries!$G:$G),"")</f>
        <v>2400</v>
      </c>
      <c r="FA50" s="50">
        <f>IFERROR(LOOKUP(FA$15,HourlyTimeseries!$A:$A,HourlyTimeseries!$G:$G),"")</f>
        <v>2400</v>
      </c>
      <c r="FB50" s="50">
        <f>IFERROR(LOOKUP(FB$15,HourlyTimeseries!$A:$A,HourlyTimeseries!$G:$G),"")</f>
        <v>2400</v>
      </c>
      <c r="FC50" s="50">
        <f>IFERROR(LOOKUP(FC$15,HourlyTimeseries!$A:$A,HourlyTimeseries!$G:$G),"")</f>
        <v>2400</v>
      </c>
      <c r="FD50" s="50">
        <f>IFERROR(LOOKUP(FD$15,HourlyTimeseries!$A:$A,HourlyTimeseries!$G:$G),"")</f>
        <v>2400</v>
      </c>
      <c r="FE50" s="50">
        <f>IFERROR(LOOKUP(FE$15,HourlyTimeseries!$A:$A,HourlyTimeseries!$G:$G),"")</f>
        <v>2400</v>
      </c>
      <c r="FF50" s="50">
        <f>IFERROR(LOOKUP(FF$15,HourlyTimeseries!$A:$A,HourlyTimeseries!$G:$G),"")</f>
        <v>2400</v>
      </c>
      <c r="FG50" s="50">
        <f>IFERROR(LOOKUP(FG$15,HourlyTimeseries!$A:$A,HourlyTimeseries!$G:$G),"")</f>
        <v>2400</v>
      </c>
      <c r="FH50" s="50">
        <f>IFERROR(LOOKUP(FH$15,HourlyTimeseries!$A:$A,HourlyTimeseries!$G:$G),"")</f>
        <v>2400</v>
      </c>
      <c r="FI50" s="50">
        <f>IFERROR(LOOKUP(FI$15,HourlyTimeseries!$A:$A,HourlyTimeseries!$G:$G),"")</f>
        <v>2400</v>
      </c>
      <c r="FJ50" s="50">
        <f>IFERROR(LOOKUP(FJ$15,HourlyTimeseries!$A:$A,HourlyTimeseries!$G:$G),"")</f>
        <v>2400</v>
      </c>
      <c r="FK50" s="50">
        <f>IFERROR(LOOKUP(FK$15,HourlyTimeseries!$A:$A,HourlyTimeseries!$G:$G),"")</f>
        <v>2400</v>
      </c>
      <c r="FL50" s="50">
        <f>IFERROR(LOOKUP(FL$15,HourlyTimeseries!$A:$A,HourlyTimeseries!$G:$G),"")</f>
        <v>2400</v>
      </c>
      <c r="FM50" s="50">
        <f>IFERROR(LOOKUP(FM$15,HourlyTimeseries!$A:$A,HourlyTimeseries!$G:$G),"")</f>
        <v>2400</v>
      </c>
      <c r="FN50" s="50">
        <f>IFERROR(LOOKUP(FN$15,HourlyTimeseries!$A:$A,HourlyTimeseries!$G:$G),"")</f>
        <v>2400</v>
      </c>
      <c r="FO50" s="50">
        <f>IFERROR(LOOKUP(FO$15,HourlyTimeseries!$A:$A,HourlyTimeseries!$G:$G),"")</f>
        <v>2400</v>
      </c>
      <c r="FP50" s="59">
        <f>IFERROR(LOOKUP(FP$15,HourlyTimeseries!$A:$A,HourlyTimeseries!$G:$G),"")</f>
        <v>2400</v>
      </c>
    </row>
    <row r="51" spans="1:172">
      <c r="A51" s="15" t="s">
        <v>83</v>
      </c>
      <c r="B51" s="2" t="s">
        <v>77</v>
      </c>
      <c r="C51" s="8" t="s">
        <v>133</v>
      </c>
      <c r="D51" s="2"/>
      <c r="E51" s="50">
        <f>IFERROR(LOOKUP(E$15,HourlyTimeseries!$A:$A,HourlyTimeseries!$H:$H),"")</f>
        <v>25000</v>
      </c>
      <c r="F51" s="50">
        <f>IFERROR(LOOKUP(F$15,HourlyTimeseries!$A:$A,HourlyTimeseries!$H:$H),"")</f>
        <v>25000</v>
      </c>
      <c r="G51" s="50">
        <f>IFERROR(LOOKUP(G$15,HourlyTimeseries!$A:$A,HourlyTimeseries!$H:$H),"")</f>
        <v>25000</v>
      </c>
      <c r="H51" s="50">
        <f>IFERROR(LOOKUP(H$15,HourlyTimeseries!$A:$A,HourlyTimeseries!$H:$H),"")</f>
        <v>25000</v>
      </c>
      <c r="I51" s="50">
        <f>IFERROR(LOOKUP(I$15,HourlyTimeseries!$A:$A,HourlyTimeseries!$H:$H),"")</f>
        <v>25000</v>
      </c>
      <c r="J51" s="50">
        <f>IFERROR(LOOKUP(J$15,HourlyTimeseries!$A:$A,HourlyTimeseries!$H:$H),"")</f>
        <v>25000</v>
      </c>
      <c r="K51" s="50">
        <f>IFERROR(LOOKUP(K$15,HourlyTimeseries!$A:$A,HourlyTimeseries!$H:$H),"")</f>
        <v>25000</v>
      </c>
      <c r="L51" s="50">
        <f>IFERROR(LOOKUP(L$15,HourlyTimeseries!$A:$A,HourlyTimeseries!$H:$H),"")</f>
        <v>25000</v>
      </c>
      <c r="M51" s="50">
        <f>IFERROR(LOOKUP(M$15,HourlyTimeseries!$A:$A,HourlyTimeseries!$H:$H),"")</f>
        <v>25000</v>
      </c>
      <c r="N51" s="50">
        <f>IFERROR(LOOKUP(N$15,HourlyTimeseries!$A:$A,HourlyTimeseries!$H:$H),"")</f>
        <v>25000</v>
      </c>
      <c r="O51" s="50">
        <f>IFERROR(LOOKUP(O$15,HourlyTimeseries!$A:$A,HourlyTimeseries!$H:$H),"")</f>
        <v>25000</v>
      </c>
      <c r="P51" s="50">
        <f>IFERROR(LOOKUP(P$15,HourlyTimeseries!$A:$A,HourlyTimeseries!$H:$H),"")</f>
        <v>25000</v>
      </c>
      <c r="Q51" s="50">
        <f>IFERROR(LOOKUP(Q$15,HourlyTimeseries!$A:$A,HourlyTimeseries!$H:$H),"")</f>
        <v>25000</v>
      </c>
      <c r="R51" s="50">
        <f>IFERROR(LOOKUP(R$15,HourlyTimeseries!$A:$A,HourlyTimeseries!$H:$H),"")</f>
        <v>25000</v>
      </c>
      <c r="S51" s="50">
        <f>IFERROR(LOOKUP(S$15,HourlyTimeseries!$A:$A,HourlyTimeseries!$H:$H),"")</f>
        <v>25000</v>
      </c>
      <c r="T51" s="50">
        <f>IFERROR(LOOKUP(T$15,HourlyTimeseries!$A:$A,HourlyTimeseries!$H:$H),"")</f>
        <v>25000</v>
      </c>
      <c r="U51" s="50">
        <f>IFERROR(LOOKUP(U$15,HourlyTimeseries!$A:$A,HourlyTimeseries!$H:$H),"")</f>
        <v>25000</v>
      </c>
      <c r="V51" s="50">
        <f>IFERROR(LOOKUP(V$15,HourlyTimeseries!$A:$A,HourlyTimeseries!$H:$H),"")</f>
        <v>25000</v>
      </c>
      <c r="W51" s="50">
        <f>IFERROR(LOOKUP(W$15,HourlyTimeseries!$A:$A,HourlyTimeseries!$H:$H),"")</f>
        <v>25000</v>
      </c>
      <c r="X51" s="50">
        <f>IFERROR(LOOKUP(X$15,HourlyTimeseries!$A:$A,HourlyTimeseries!$H:$H),"")</f>
        <v>25000</v>
      </c>
      <c r="Y51" s="50">
        <f>IFERROR(LOOKUP(Y$15,HourlyTimeseries!$A:$A,HourlyTimeseries!$H:$H),"")</f>
        <v>25000</v>
      </c>
      <c r="Z51" s="50">
        <f>IFERROR(LOOKUP(Z$15,HourlyTimeseries!$A:$A,HourlyTimeseries!$H:$H),"")</f>
        <v>25000</v>
      </c>
      <c r="AA51" s="50">
        <f>IFERROR(LOOKUP(AA$15,HourlyTimeseries!$A:$A,HourlyTimeseries!$H:$H),"")</f>
        <v>25000</v>
      </c>
      <c r="AB51" s="59">
        <f>IFERROR(LOOKUP(AB$15,HourlyTimeseries!$A:$A,HourlyTimeseries!$H:$H),"")</f>
        <v>25000</v>
      </c>
      <c r="AC51" s="66">
        <f>IFERROR(LOOKUP(AC$15,HourlyTimeseries!$A:$A,HourlyTimeseries!$H:$H),"")</f>
        <v>25000</v>
      </c>
      <c r="AD51" s="50">
        <f>IFERROR(LOOKUP(AD$15,HourlyTimeseries!$A:$A,HourlyTimeseries!$H:$H),"")</f>
        <v>25000</v>
      </c>
      <c r="AE51" s="50">
        <f>IFERROR(LOOKUP(AE$15,HourlyTimeseries!$A:$A,HourlyTimeseries!$H:$H),"")</f>
        <v>25000</v>
      </c>
      <c r="AF51" s="50">
        <f>IFERROR(LOOKUP(AF$15,HourlyTimeseries!$A:$A,HourlyTimeseries!$H:$H),"")</f>
        <v>25000</v>
      </c>
      <c r="AG51" s="50">
        <f>IFERROR(LOOKUP(AG$15,HourlyTimeseries!$A:$A,HourlyTimeseries!$H:$H),"")</f>
        <v>25000</v>
      </c>
      <c r="AH51" s="50">
        <f>IFERROR(LOOKUP(AH$15,HourlyTimeseries!$A:$A,HourlyTimeseries!$H:$H),"")</f>
        <v>25000</v>
      </c>
      <c r="AI51" s="50">
        <f>IFERROR(LOOKUP(AI$15,HourlyTimeseries!$A:$A,HourlyTimeseries!$H:$H),"")</f>
        <v>25000</v>
      </c>
      <c r="AJ51" s="50">
        <f>IFERROR(LOOKUP(AJ$15,HourlyTimeseries!$A:$A,HourlyTimeseries!$H:$H),"")</f>
        <v>25000</v>
      </c>
      <c r="AK51" s="50">
        <f>IFERROR(LOOKUP(AK$15,HourlyTimeseries!$A:$A,HourlyTimeseries!$H:$H),"")</f>
        <v>25000</v>
      </c>
      <c r="AL51" s="50">
        <f>IFERROR(LOOKUP(AL$15,HourlyTimeseries!$A:$A,HourlyTimeseries!$H:$H),"")</f>
        <v>25000</v>
      </c>
      <c r="AM51" s="50">
        <f>IFERROR(LOOKUP(AM$15,HourlyTimeseries!$A:$A,HourlyTimeseries!$H:$H),"")</f>
        <v>25000</v>
      </c>
      <c r="AN51" s="50">
        <f>IFERROR(LOOKUP(AN$15,HourlyTimeseries!$A:$A,HourlyTimeseries!$H:$H),"")</f>
        <v>25000</v>
      </c>
      <c r="AO51" s="50">
        <f>IFERROR(LOOKUP(AO$15,HourlyTimeseries!$A:$A,HourlyTimeseries!$H:$H),"")</f>
        <v>25000</v>
      </c>
      <c r="AP51" s="50">
        <f>IFERROR(LOOKUP(AP$15,HourlyTimeseries!$A:$A,HourlyTimeseries!$H:$H),"")</f>
        <v>25000</v>
      </c>
      <c r="AQ51" s="50">
        <f>IFERROR(LOOKUP(AQ$15,HourlyTimeseries!$A:$A,HourlyTimeseries!$H:$H),"")</f>
        <v>25000</v>
      </c>
      <c r="AR51" s="50">
        <f>IFERROR(LOOKUP(AR$15,HourlyTimeseries!$A:$A,HourlyTimeseries!$H:$H),"")</f>
        <v>25000</v>
      </c>
      <c r="AS51" s="50">
        <f>IFERROR(LOOKUP(AS$15,HourlyTimeseries!$A:$A,HourlyTimeseries!$H:$H),"")</f>
        <v>25000</v>
      </c>
      <c r="AT51" s="50">
        <f>IFERROR(LOOKUP(AT$15,HourlyTimeseries!$A:$A,HourlyTimeseries!$H:$H),"")</f>
        <v>25000</v>
      </c>
      <c r="AU51" s="50">
        <f>IFERROR(LOOKUP(AU$15,HourlyTimeseries!$A:$A,HourlyTimeseries!$H:$H),"")</f>
        <v>25000</v>
      </c>
      <c r="AV51" s="50">
        <f>IFERROR(LOOKUP(AV$15,HourlyTimeseries!$A:$A,HourlyTimeseries!$H:$H),"")</f>
        <v>25000</v>
      </c>
      <c r="AW51" s="50">
        <f>IFERROR(LOOKUP(AW$15,HourlyTimeseries!$A:$A,HourlyTimeseries!$H:$H),"")</f>
        <v>25000</v>
      </c>
      <c r="AX51" s="50">
        <f>IFERROR(LOOKUP(AX$15,HourlyTimeseries!$A:$A,HourlyTimeseries!$H:$H),"")</f>
        <v>25000</v>
      </c>
      <c r="AY51" s="50">
        <f>IFERROR(LOOKUP(AY$15,HourlyTimeseries!$A:$A,HourlyTimeseries!$H:$H),"")</f>
        <v>25000</v>
      </c>
      <c r="AZ51" s="59">
        <f>IFERROR(LOOKUP(AZ$15,HourlyTimeseries!$A:$A,HourlyTimeseries!$H:$H),"")</f>
        <v>25000</v>
      </c>
      <c r="BA51" s="66">
        <f>IFERROR(LOOKUP(BA$15,HourlyTimeseries!$A:$A,HourlyTimeseries!$H:$H),"")</f>
        <v>25000</v>
      </c>
      <c r="BB51" s="50">
        <f>IFERROR(LOOKUP(BB$15,HourlyTimeseries!$A:$A,HourlyTimeseries!$H:$H),"")</f>
        <v>25000</v>
      </c>
      <c r="BC51" s="50">
        <f>IFERROR(LOOKUP(BC$15,HourlyTimeseries!$A:$A,HourlyTimeseries!$H:$H),"")</f>
        <v>25000</v>
      </c>
      <c r="BD51" s="50">
        <f>IFERROR(LOOKUP(BD$15,HourlyTimeseries!$A:$A,HourlyTimeseries!$H:$H),"")</f>
        <v>25000</v>
      </c>
      <c r="BE51" s="50">
        <f>IFERROR(LOOKUP(BE$15,HourlyTimeseries!$A:$A,HourlyTimeseries!$H:$H),"")</f>
        <v>25000</v>
      </c>
      <c r="BF51" s="50">
        <f>IFERROR(LOOKUP(BF$15,HourlyTimeseries!$A:$A,HourlyTimeseries!$H:$H),"")</f>
        <v>25000</v>
      </c>
      <c r="BG51" s="50">
        <f>IFERROR(LOOKUP(BG$15,HourlyTimeseries!$A:$A,HourlyTimeseries!$H:$H),"")</f>
        <v>25000</v>
      </c>
      <c r="BH51" s="50">
        <f>IFERROR(LOOKUP(BH$15,HourlyTimeseries!$A:$A,HourlyTimeseries!$H:$H),"")</f>
        <v>25000</v>
      </c>
      <c r="BI51" s="50">
        <f>IFERROR(LOOKUP(BI$15,HourlyTimeseries!$A:$A,HourlyTimeseries!$H:$H),"")</f>
        <v>25000</v>
      </c>
      <c r="BJ51" s="50">
        <f>IFERROR(LOOKUP(BJ$15,HourlyTimeseries!$A:$A,HourlyTimeseries!$H:$H),"")</f>
        <v>25000</v>
      </c>
      <c r="BK51" s="50">
        <f>IFERROR(LOOKUP(BK$15,HourlyTimeseries!$A:$A,HourlyTimeseries!$H:$H),"")</f>
        <v>25000</v>
      </c>
      <c r="BL51" s="50">
        <f>IFERROR(LOOKUP(BL$15,HourlyTimeseries!$A:$A,HourlyTimeseries!$H:$H),"")</f>
        <v>25000</v>
      </c>
      <c r="BM51" s="50">
        <f>IFERROR(LOOKUP(BM$15,HourlyTimeseries!$A:$A,HourlyTimeseries!$H:$H),"")</f>
        <v>25000</v>
      </c>
      <c r="BN51" s="50">
        <f>IFERROR(LOOKUP(BN$15,HourlyTimeseries!$A:$A,HourlyTimeseries!$H:$H),"")</f>
        <v>25000</v>
      </c>
      <c r="BO51" s="50">
        <f>IFERROR(LOOKUP(BO$15,HourlyTimeseries!$A:$A,HourlyTimeseries!$H:$H),"")</f>
        <v>25000</v>
      </c>
      <c r="BP51" s="50">
        <f>IFERROR(LOOKUP(BP$15,HourlyTimeseries!$A:$A,HourlyTimeseries!$H:$H),"")</f>
        <v>25000</v>
      </c>
      <c r="BQ51" s="50">
        <f>IFERROR(LOOKUP(BQ$15,HourlyTimeseries!$A:$A,HourlyTimeseries!$H:$H),"")</f>
        <v>25000</v>
      </c>
      <c r="BR51" s="50">
        <f>IFERROR(LOOKUP(BR$15,HourlyTimeseries!$A:$A,HourlyTimeseries!$H:$H),"")</f>
        <v>25000</v>
      </c>
      <c r="BS51" s="50">
        <f>IFERROR(LOOKUP(BS$15,HourlyTimeseries!$A:$A,HourlyTimeseries!$H:$H),"")</f>
        <v>25000</v>
      </c>
      <c r="BT51" s="50">
        <f>IFERROR(LOOKUP(BT$15,HourlyTimeseries!$A:$A,HourlyTimeseries!$H:$H),"")</f>
        <v>25000</v>
      </c>
      <c r="BU51" s="50">
        <f>IFERROR(LOOKUP(BU$15,HourlyTimeseries!$A:$A,HourlyTimeseries!$H:$H),"")</f>
        <v>25000</v>
      </c>
      <c r="BV51" s="50">
        <f>IFERROR(LOOKUP(BV$15,HourlyTimeseries!$A:$A,HourlyTimeseries!$H:$H),"")</f>
        <v>25000</v>
      </c>
      <c r="BW51" s="50">
        <f>IFERROR(LOOKUP(BW$15,HourlyTimeseries!$A:$A,HourlyTimeseries!$H:$H),"")</f>
        <v>25000</v>
      </c>
      <c r="BX51" s="59">
        <f>IFERROR(LOOKUP(BX$15,HourlyTimeseries!$A:$A,HourlyTimeseries!$H:$H),"")</f>
        <v>25000</v>
      </c>
      <c r="BY51" s="66">
        <f>IFERROR(LOOKUP(BY$15,HourlyTimeseries!$A:$A,HourlyTimeseries!$H:$H),"")</f>
        <v>25000</v>
      </c>
      <c r="BZ51" s="50">
        <f>IFERROR(LOOKUP(BZ$15,HourlyTimeseries!$A:$A,HourlyTimeseries!$H:$H),"")</f>
        <v>25000</v>
      </c>
      <c r="CA51" s="50">
        <f>IFERROR(LOOKUP(CA$15,HourlyTimeseries!$A:$A,HourlyTimeseries!$H:$H),"")</f>
        <v>25000</v>
      </c>
      <c r="CB51" s="50">
        <f>IFERROR(LOOKUP(CB$15,HourlyTimeseries!$A:$A,HourlyTimeseries!$H:$H),"")</f>
        <v>25000</v>
      </c>
      <c r="CC51" s="50">
        <f>IFERROR(LOOKUP(CC$15,HourlyTimeseries!$A:$A,HourlyTimeseries!$H:$H),"")</f>
        <v>25000</v>
      </c>
      <c r="CD51" s="50">
        <f>IFERROR(LOOKUP(CD$15,HourlyTimeseries!$A:$A,HourlyTimeseries!$H:$H),"")</f>
        <v>25000</v>
      </c>
      <c r="CE51" s="50">
        <f>IFERROR(LOOKUP(CE$15,HourlyTimeseries!$A:$A,HourlyTimeseries!$H:$H),"")</f>
        <v>25000</v>
      </c>
      <c r="CF51" s="50">
        <f>IFERROR(LOOKUP(CF$15,HourlyTimeseries!$A:$A,HourlyTimeseries!$H:$H),"")</f>
        <v>25000</v>
      </c>
      <c r="CG51" s="50">
        <f>IFERROR(LOOKUP(CG$15,HourlyTimeseries!$A:$A,HourlyTimeseries!$H:$H),"")</f>
        <v>25000</v>
      </c>
      <c r="CH51" s="50">
        <f>IFERROR(LOOKUP(CH$15,HourlyTimeseries!$A:$A,HourlyTimeseries!$H:$H),"")</f>
        <v>25000</v>
      </c>
      <c r="CI51" s="50">
        <f>IFERROR(LOOKUP(CI$15,HourlyTimeseries!$A:$A,HourlyTimeseries!$H:$H),"")</f>
        <v>25000</v>
      </c>
      <c r="CJ51" s="50">
        <f>IFERROR(LOOKUP(CJ$15,HourlyTimeseries!$A:$A,HourlyTimeseries!$H:$H),"")</f>
        <v>25000</v>
      </c>
      <c r="CK51" s="50">
        <f>IFERROR(LOOKUP(CK$15,HourlyTimeseries!$A:$A,HourlyTimeseries!$H:$H),"")</f>
        <v>25000</v>
      </c>
      <c r="CL51" s="50">
        <f>IFERROR(LOOKUP(CL$15,HourlyTimeseries!$A:$A,HourlyTimeseries!$H:$H),"")</f>
        <v>25000</v>
      </c>
      <c r="CM51" s="50">
        <f>IFERROR(LOOKUP(CM$15,HourlyTimeseries!$A:$A,HourlyTimeseries!$H:$H),"")</f>
        <v>25000</v>
      </c>
      <c r="CN51" s="50">
        <f>IFERROR(LOOKUP(CN$15,HourlyTimeseries!$A:$A,HourlyTimeseries!$H:$H),"")</f>
        <v>25000</v>
      </c>
      <c r="CO51" s="50">
        <f>IFERROR(LOOKUP(CO$15,HourlyTimeseries!$A:$A,HourlyTimeseries!$H:$H),"")</f>
        <v>25000</v>
      </c>
      <c r="CP51" s="50">
        <f>IFERROR(LOOKUP(CP$15,HourlyTimeseries!$A:$A,HourlyTimeseries!$H:$H),"")</f>
        <v>25000</v>
      </c>
      <c r="CQ51" s="50">
        <f>IFERROR(LOOKUP(CQ$15,HourlyTimeseries!$A:$A,HourlyTimeseries!$H:$H),"")</f>
        <v>25000</v>
      </c>
      <c r="CR51" s="50">
        <f>IFERROR(LOOKUP(CR$15,HourlyTimeseries!$A:$A,HourlyTimeseries!$H:$H),"")</f>
        <v>25000</v>
      </c>
      <c r="CS51" s="50">
        <f>IFERROR(LOOKUP(CS$15,HourlyTimeseries!$A:$A,HourlyTimeseries!$H:$H),"")</f>
        <v>25000</v>
      </c>
      <c r="CT51" s="50">
        <f>IFERROR(LOOKUP(CT$15,HourlyTimeseries!$A:$A,HourlyTimeseries!$H:$H),"")</f>
        <v>25000</v>
      </c>
      <c r="CU51" s="50">
        <f>IFERROR(LOOKUP(CU$15,HourlyTimeseries!$A:$A,HourlyTimeseries!$H:$H),"")</f>
        <v>25000</v>
      </c>
      <c r="CV51" s="59">
        <f>IFERROR(LOOKUP(CV$15,HourlyTimeseries!$A:$A,HourlyTimeseries!$H:$H),"")</f>
        <v>25000</v>
      </c>
      <c r="CW51" s="66">
        <f>IFERROR(LOOKUP(CW$15,HourlyTimeseries!$A:$A,HourlyTimeseries!$H:$H),"")</f>
        <v>25000</v>
      </c>
      <c r="CX51" s="50">
        <f>IFERROR(LOOKUP(CX$15,HourlyTimeseries!$A:$A,HourlyTimeseries!$H:$H),"")</f>
        <v>25000</v>
      </c>
      <c r="CY51" s="50">
        <f>IFERROR(LOOKUP(CY$15,HourlyTimeseries!$A:$A,HourlyTimeseries!$H:$H),"")</f>
        <v>25000</v>
      </c>
      <c r="CZ51" s="50">
        <f>IFERROR(LOOKUP(CZ$15,HourlyTimeseries!$A:$A,HourlyTimeseries!$H:$H),"")</f>
        <v>25000</v>
      </c>
      <c r="DA51" s="50">
        <f>IFERROR(LOOKUP(DA$15,HourlyTimeseries!$A:$A,HourlyTimeseries!$H:$H),"")</f>
        <v>25000</v>
      </c>
      <c r="DB51" s="50">
        <f>IFERROR(LOOKUP(DB$15,HourlyTimeseries!$A:$A,HourlyTimeseries!$H:$H),"")</f>
        <v>25000</v>
      </c>
      <c r="DC51" s="50">
        <f>IFERROR(LOOKUP(DC$15,HourlyTimeseries!$A:$A,HourlyTimeseries!$H:$H),"")</f>
        <v>25000</v>
      </c>
      <c r="DD51" s="50">
        <f>IFERROR(LOOKUP(DD$15,HourlyTimeseries!$A:$A,HourlyTimeseries!$H:$H),"")</f>
        <v>25000</v>
      </c>
      <c r="DE51" s="50">
        <f>IFERROR(LOOKUP(DE$15,HourlyTimeseries!$A:$A,HourlyTimeseries!$H:$H),"")</f>
        <v>25000</v>
      </c>
      <c r="DF51" s="50">
        <f>IFERROR(LOOKUP(DF$15,HourlyTimeseries!$A:$A,HourlyTimeseries!$H:$H),"")</f>
        <v>25000</v>
      </c>
      <c r="DG51" s="50">
        <f>IFERROR(LOOKUP(DG$15,HourlyTimeseries!$A:$A,HourlyTimeseries!$H:$H),"")</f>
        <v>25000</v>
      </c>
      <c r="DH51" s="50">
        <f>IFERROR(LOOKUP(DH$15,HourlyTimeseries!$A:$A,HourlyTimeseries!$H:$H),"")</f>
        <v>25000</v>
      </c>
      <c r="DI51" s="50">
        <f>IFERROR(LOOKUP(DI$15,HourlyTimeseries!$A:$A,HourlyTimeseries!$H:$H),"")</f>
        <v>25000</v>
      </c>
      <c r="DJ51" s="50">
        <f>IFERROR(LOOKUP(DJ$15,HourlyTimeseries!$A:$A,HourlyTimeseries!$H:$H),"")</f>
        <v>25000</v>
      </c>
      <c r="DK51" s="50">
        <f>IFERROR(LOOKUP(DK$15,HourlyTimeseries!$A:$A,HourlyTimeseries!$H:$H),"")</f>
        <v>25000</v>
      </c>
      <c r="DL51" s="50">
        <f>IFERROR(LOOKUP(DL$15,HourlyTimeseries!$A:$A,HourlyTimeseries!$H:$H),"")</f>
        <v>25000</v>
      </c>
      <c r="DM51" s="50">
        <f>IFERROR(LOOKUP(DM$15,HourlyTimeseries!$A:$A,HourlyTimeseries!$H:$H),"")</f>
        <v>25000</v>
      </c>
      <c r="DN51" s="50">
        <f>IFERROR(LOOKUP(DN$15,HourlyTimeseries!$A:$A,HourlyTimeseries!$H:$H),"")</f>
        <v>25000</v>
      </c>
      <c r="DO51" s="50">
        <f>IFERROR(LOOKUP(DO$15,HourlyTimeseries!$A:$A,HourlyTimeseries!$H:$H),"")</f>
        <v>25000</v>
      </c>
      <c r="DP51" s="50">
        <f>IFERROR(LOOKUP(DP$15,HourlyTimeseries!$A:$A,HourlyTimeseries!$H:$H),"")</f>
        <v>25000</v>
      </c>
      <c r="DQ51" s="50">
        <f>IFERROR(LOOKUP(DQ$15,HourlyTimeseries!$A:$A,HourlyTimeseries!$H:$H),"")</f>
        <v>25000</v>
      </c>
      <c r="DR51" s="50">
        <f>IFERROR(LOOKUP(DR$15,HourlyTimeseries!$A:$A,HourlyTimeseries!$H:$H),"")</f>
        <v>25000</v>
      </c>
      <c r="DS51" s="50">
        <f>IFERROR(LOOKUP(DS$15,HourlyTimeseries!$A:$A,HourlyTimeseries!$H:$H),"")</f>
        <v>25000</v>
      </c>
      <c r="DT51" s="59">
        <f>IFERROR(LOOKUP(DT$15,HourlyTimeseries!$A:$A,HourlyTimeseries!$H:$H),"")</f>
        <v>25000</v>
      </c>
      <c r="DU51" s="66">
        <f>IFERROR(LOOKUP(DU$15,HourlyTimeseries!$A:$A,HourlyTimeseries!$H:$H),"")</f>
        <v>25000</v>
      </c>
      <c r="DV51" s="50">
        <f>IFERROR(LOOKUP(DV$15,HourlyTimeseries!$A:$A,HourlyTimeseries!$H:$H),"")</f>
        <v>25000</v>
      </c>
      <c r="DW51" s="50">
        <f>IFERROR(LOOKUP(DW$15,HourlyTimeseries!$A:$A,HourlyTimeseries!$H:$H),"")</f>
        <v>25000</v>
      </c>
      <c r="DX51" s="50">
        <f>IFERROR(LOOKUP(DX$15,HourlyTimeseries!$A:$A,HourlyTimeseries!$H:$H),"")</f>
        <v>25000</v>
      </c>
      <c r="DY51" s="50">
        <f>IFERROR(LOOKUP(DY$15,HourlyTimeseries!$A:$A,HourlyTimeseries!$H:$H),"")</f>
        <v>25000</v>
      </c>
      <c r="DZ51" s="50">
        <f>IFERROR(LOOKUP(DZ$15,HourlyTimeseries!$A:$A,HourlyTimeseries!$H:$H),"")</f>
        <v>25000</v>
      </c>
      <c r="EA51" s="50">
        <f>IFERROR(LOOKUP(EA$15,HourlyTimeseries!$A:$A,HourlyTimeseries!$H:$H),"")</f>
        <v>25000</v>
      </c>
      <c r="EB51" s="50">
        <f>IFERROR(LOOKUP(EB$15,HourlyTimeseries!$A:$A,HourlyTimeseries!$H:$H),"")</f>
        <v>25000</v>
      </c>
      <c r="EC51" s="50">
        <f>IFERROR(LOOKUP(EC$15,HourlyTimeseries!$A:$A,HourlyTimeseries!$H:$H),"")</f>
        <v>25000</v>
      </c>
      <c r="ED51" s="50">
        <f>IFERROR(LOOKUP(ED$15,HourlyTimeseries!$A:$A,HourlyTimeseries!$H:$H),"")</f>
        <v>25000</v>
      </c>
      <c r="EE51" s="50">
        <f>IFERROR(LOOKUP(EE$15,HourlyTimeseries!$A:$A,HourlyTimeseries!$H:$H),"")</f>
        <v>25000</v>
      </c>
      <c r="EF51" s="50">
        <f>IFERROR(LOOKUP(EF$15,HourlyTimeseries!$A:$A,HourlyTimeseries!$H:$H),"")</f>
        <v>25000</v>
      </c>
      <c r="EG51" s="50">
        <f>IFERROR(LOOKUP(EG$15,HourlyTimeseries!$A:$A,HourlyTimeseries!$H:$H),"")</f>
        <v>25000</v>
      </c>
      <c r="EH51" s="50">
        <f>IFERROR(LOOKUP(EH$15,HourlyTimeseries!$A:$A,HourlyTimeseries!$H:$H),"")</f>
        <v>25000</v>
      </c>
      <c r="EI51" s="50">
        <f>IFERROR(LOOKUP(EI$15,HourlyTimeseries!$A:$A,HourlyTimeseries!$H:$H),"")</f>
        <v>25000</v>
      </c>
      <c r="EJ51" s="50">
        <f>IFERROR(LOOKUP(EJ$15,HourlyTimeseries!$A:$A,HourlyTimeseries!$H:$H),"")</f>
        <v>25000</v>
      </c>
      <c r="EK51" s="50">
        <f>IFERROR(LOOKUP(EK$15,HourlyTimeseries!$A:$A,HourlyTimeseries!$H:$H),"")</f>
        <v>25000</v>
      </c>
      <c r="EL51" s="50">
        <f>IFERROR(LOOKUP(EL$15,HourlyTimeseries!$A:$A,HourlyTimeseries!$H:$H),"")</f>
        <v>25000</v>
      </c>
      <c r="EM51" s="50">
        <f>IFERROR(LOOKUP(EM$15,HourlyTimeseries!$A:$A,HourlyTimeseries!$H:$H),"")</f>
        <v>25000</v>
      </c>
      <c r="EN51" s="50">
        <f>IFERROR(LOOKUP(EN$15,HourlyTimeseries!$A:$A,HourlyTimeseries!$H:$H),"")</f>
        <v>25000</v>
      </c>
      <c r="EO51" s="50">
        <f>IFERROR(LOOKUP(EO$15,HourlyTimeseries!$A:$A,HourlyTimeseries!$H:$H),"")</f>
        <v>25000</v>
      </c>
      <c r="EP51" s="50">
        <f>IFERROR(LOOKUP(EP$15,HourlyTimeseries!$A:$A,HourlyTimeseries!$H:$H),"")</f>
        <v>25000</v>
      </c>
      <c r="EQ51" s="50">
        <f>IFERROR(LOOKUP(EQ$15,HourlyTimeseries!$A:$A,HourlyTimeseries!$H:$H),"")</f>
        <v>25000</v>
      </c>
      <c r="ER51" s="59">
        <f>IFERROR(LOOKUP(ER$15,HourlyTimeseries!$A:$A,HourlyTimeseries!$H:$H),"")</f>
        <v>25000</v>
      </c>
      <c r="ES51" s="66">
        <f>IFERROR(LOOKUP(ES$15,HourlyTimeseries!$A:$A,HourlyTimeseries!$H:$H),"")</f>
        <v>25000</v>
      </c>
      <c r="ET51" s="50">
        <f>IFERROR(LOOKUP(ET$15,HourlyTimeseries!$A:$A,HourlyTimeseries!$H:$H),"")</f>
        <v>25000</v>
      </c>
      <c r="EU51" s="50">
        <f>IFERROR(LOOKUP(EU$15,HourlyTimeseries!$A:$A,HourlyTimeseries!$H:$H),"")</f>
        <v>25000</v>
      </c>
      <c r="EV51" s="50">
        <f>IFERROR(LOOKUP(EV$15,HourlyTimeseries!$A:$A,HourlyTimeseries!$H:$H),"")</f>
        <v>25000</v>
      </c>
      <c r="EW51" s="50">
        <f>IFERROR(LOOKUP(EW$15,HourlyTimeseries!$A:$A,HourlyTimeseries!$H:$H),"")</f>
        <v>25000</v>
      </c>
      <c r="EX51" s="50">
        <f>IFERROR(LOOKUP(EX$15,HourlyTimeseries!$A:$A,HourlyTimeseries!$H:$H),"")</f>
        <v>25000</v>
      </c>
      <c r="EY51" s="50">
        <f>IFERROR(LOOKUP(EY$15,HourlyTimeseries!$A:$A,HourlyTimeseries!$H:$H),"")</f>
        <v>25000</v>
      </c>
      <c r="EZ51" s="50">
        <f>IFERROR(LOOKUP(EZ$15,HourlyTimeseries!$A:$A,HourlyTimeseries!$H:$H),"")</f>
        <v>25000</v>
      </c>
      <c r="FA51" s="50">
        <f>IFERROR(LOOKUP(FA$15,HourlyTimeseries!$A:$A,HourlyTimeseries!$H:$H),"")</f>
        <v>25000</v>
      </c>
      <c r="FB51" s="50">
        <f>IFERROR(LOOKUP(FB$15,HourlyTimeseries!$A:$A,HourlyTimeseries!$H:$H),"")</f>
        <v>25000</v>
      </c>
      <c r="FC51" s="50">
        <f>IFERROR(LOOKUP(FC$15,HourlyTimeseries!$A:$A,HourlyTimeseries!$H:$H),"")</f>
        <v>25000</v>
      </c>
      <c r="FD51" s="50">
        <f>IFERROR(LOOKUP(FD$15,HourlyTimeseries!$A:$A,HourlyTimeseries!$H:$H),"")</f>
        <v>25000</v>
      </c>
      <c r="FE51" s="50">
        <f>IFERROR(LOOKUP(FE$15,HourlyTimeseries!$A:$A,HourlyTimeseries!$H:$H),"")</f>
        <v>25000</v>
      </c>
      <c r="FF51" s="50">
        <f>IFERROR(LOOKUP(FF$15,HourlyTimeseries!$A:$A,HourlyTimeseries!$H:$H),"")</f>
        <v>25000</v>
      </c>
      <c r="FG51" s="50">
        <f>IFERROR(LOOKUP(FG$15,HourlyTimeseries!$A:$A,HourlyTimeseries!$H:$H),"")</f>
        <v>25000</v>
      </c>
      <c r="FH51" s="50">
        <f>IFERROR(LOOKUP(FH$15,HourlyTimeseries!$A:$A,HourlyTimeseries!$H:$H),"")</f>
        <v>25000</v>
      </c>
      <c r="FI51" s="50">
        <f>IFERROR(LOOKUP(FI$15,HourlyTimeseries!$A:$A,HourlyTimeseries!$H:$H),"")</f>
        <v>25000</v>
      </c>
      <c r="FJ51" s="50">
        <f>IFERROR(LOOKUP(FJ$15,HourlyTimeseries!$A:$A,HourlyTimeseries!$H:$H),"")</f>
        <v>25000</v>
      </c>
      <c r="FK51" s="50">
        <f>IFERROR(LOOKUP(FK$15,HourlyTimeseries!$A:$A,HourlyTimeseries!$H:$H),"")</f>
        <v>25000</v>
      </c>
      <c r="FL51" s="50">
        <f>IFERROR(LOOKUP(FL$15,HourlyTimeseries!$A:$A,HourlyTimeseries!$H:$H),"")</f>
        <v>25000</v>
      </c>
      <c r="FM51" s="50">
        <f>IFERROR(LOOKUP(FM$15,HourlyTimeseries!$A:$A,HourlyTimeseries!$H:$H),"")</f>
        <v>25000</v>
      </c>
      <c r="FN51" s="50">
        <f>IFERROR(LOOKUP(FN$15,HourlyTimeseries!$A:$A,HourlyTimeseries!$H:$H),"")</f>
        <v>25000</v>
      </c>
      <c r="FO51" s="50">
        <f>IFERROR(LOOKUP(FO$15,HourlyTimeseries!$A:$A,HourlyTimeseries!$H:$H),"")</f>
        <v>25000</v>
      </c>
      <c r="FP51" s="59">
        <f>IFERROR(LOOKUP(FP$15,HourlyTimeseries!$A:$A,HourlyTimeseries!$H:$H),"")</f>
        <v>25000</v>
      </c>
    </row>
    <row r="52" spans="1:172" ht="15.75" customHeight="1">
      <c r="A52" s="28" t="s">
        <v>104</v>
      </c>
      <c r="B52" s="2" t="s">
        <v>100</v>
      </c>
      <c r="C52" s="8" t="s">
        <v>133</v>
      </c>
      <c r="D52" s="4" t="b">
        <v>0</v>
      </c>
      <c r="E52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1:172" ht="15.75" customHeight="1" thickBot="1">
      <c r="A53" s="16" t="s">
        <v>124</v>
      </c>
      <c r="B53" s="2" t="s">
        <v>96</v>
      </c>
      <c r="C53" s="2"/>
      <c r="D53" s="4" t="b">
        <v>1</v>
      </c>
    </row>
    <row r="54" spans="1:172">
      <c r="A54" s="15" t="s">
        <v>72</v>
      </c>
      <c r="B54" s="2" t="s">
        <v>66</v>
      </c>
      <c r="C54" s="8" t="s">
        <v>133</v>
      </c>
      <c r="D54" s="8">
        <v>4000</v>
      </c>
    </row>
    <row r="55" spans="1:172">
      <c r="A55" s="15" t="s">
        <v>73</v>
      </c>
      <c r="B55" s="2" t="s">
        <v>67</v>
      </c>
      <c r="C55" s="8" t="s">
        <v>133</v>
      </c>
      <c r="D55" s="8">
        <v>2500</v>
      </c>
    </row>
    <row r="56" spans="1:172">
      <c r="A56" s="15" t="s">
        <v>84</v>
      </c>
      <c r="B56" s="2" t="s">
        <v>78</v>
      </c>
      <c r="C56" s="8" t="s">
        <v>133</v>
      </c>
      <c r="D56" s="2"/>
      <c r="E56" s="50">
        <f>IFERROR(LOOKUP(E$15,HourlyTimeseries!$A:$A,HourlyTimeseries!$I:$I),"")</f>
        <v>5000</v>
      </c>
      <c r="F56" s="50">
        <f>IFERROR(LOOKUP(F$15,HourlyTimeseries!$A:$A,HourlyTimeseries!$I:$I),"")</f>
        <v>5000</v>
      </c>
      <c r="G56" s="50">
        <f>IFERROR(LOOKUP(G$15,HourlyTimeseries!$A:$A,HourlyTimeseries!$I:$I),"")</f>
        <v>5000</v>
      </c>
      <c r="H56" s="50">
        <f>IFERROR(LOOKUP(H$15,HourlyTimeseries!$A:$A,HourlyTimeseries!$I:$I),"")</f>
        <v>5000</v>
      </c>
      <c r="I56" s="50">
        <f>IFERROR(LOOKUP(I$15,HourlyTimeseries!$A:$A,HourlyTimeseries!$I:$I),"")</f>
        <v>5000</v>
      </c>
      <c r="J56" s="50">
        <f>IFERROR(LOOKUP(J$15,HourlyTimeseries!$A:$A,HourlyTimeseries!$I:$I),"")</f>
        <v>5000</v>
      </c>
      <c r="K56" s="50">
        <f>IFERROR(LOOKUP(K$15,HourlyTimeseries!$A:$A,HourlyTimeseries!$I:$I),"")</f>
        <v>8000</v>
      </c>
      <c r="L56" s="50">
        <f>IFERROR(LOOKUP(L$15,HourlyTimeseries!$A:$A,HourlyTimeseries!$I:$I),"")</f>
        <v>8000</v>
      </c>
      <c r="M56" s="50">
        <f>IFERROR(LOOKUP(M$15,HourlyTimeseries!$A:$A,HourlyTimeseries!$I:$I),"")</f>
        <v>8000</v>
      </c>
      <c r="N56" s="50">
        <f>IFERROR(LOOKUP(N$15,HourlyTimeseries!$A:$A,HourlyTimeseries!$I:$I),"")</f>
        <v>8000</v>
      </c>
      <c r="O56" s="50">
        <f>IFERROR(LOOKUP(O$15,HourlyTimeseries!$A:$A,HourlyTimeseries!$I:$I),"")</f>
        <v>8000</v>
      </c>
      <c r="P56" s="50">
        <f>IFERROR(LOOKUP(P$15,HourlyTimeseries!$A:$A,HourlyTimeseries!$I:$I),"")</f>
        <v>8000</v>
      </c>
      <c r="Q56" s="50">
        <f>IFERROR(LOOKUP(Q$15,HourlyTimeseries!$A:$A,HourlyTimeseries!$I:$I),"")</f>
        <v>8000</v>
      </c>
      <c r="R56" s="50">
        <f>IFERROR(LOOKUP(R$15,HourlyTimeseries!$A:$A,HourlyTimeseries!$I:$I),"")</f>
        <v>8000</v>
      </c>
      <c r="S56" s="50">
        <f>IFERROR(LOOKUP(S$15,HourlyTimeseries!$A:$A,HourlyTimeseries!$I:$I),"")</f>
        <v>8000</v>
      </c>
      <c r="T56" s="50">
        <f>IFERROR(LOOKUP(T$15,HourlyTimeseries!$A:$A,HourlyTimeseries!$I:$I),"")</f>
        <v>8000</v>
      </c>
      <c r="U56" s="50">
        <f>IFERROR(LOOKUP(U$15,HourlyTimeseries!$A:$A,HourlyTimeseries!$I:$I),"")</f>
        <v>8000</v>
      </c>
      <c r="V56" s="50">
        <f>IFERROR(LOOKUP(V$15,HourlyTimeseries!$A:$A,HourlyTimeseries!$I:$I),"")</f>
        <v>8000</v>
      </c>
      <c r="W56" s="50">
        <f>IFERROR(LOOKUP(W$15,HourlyTimeseries!$A:$A,HourlyTimeseries!$I:$I),"")</f>
        <v>5000</v>
      </c>
      <c r="X56" s="50">
        <f>IFERROR(LOOKUP(X$15,HourlyTimeseries!$A:$A,HourlyTimeseries!$I:$I),"")</f>
        <v>5000</v>
      </c>
      <c r="Y56" s="50">
        <f>IFERROR(LOOKUP(Y$15,HourlyTimeseries!$A:$A,HourlyTimeseries!$I:$I),"")</f>
        <v>5000</v>
      </c>
      <c r="Z56" s="50">
        <f>IFERROR(LOOKUP(Z$15,HourlyTimeseries!$A:$A,HourlyTimeseries!$I:$I),"")</f>
        <v>5000</v>
      </c>
      <c r="AA56" s="50">
        <f>IFERROR(LOOKUP(AA$15,HourlyTimeseries!$A:$A,HourlyTimeseries!$I:$I),"")</f>
        <v>5000</v>
      </c>
      <c r="AB56" s="59">
        <f>IFERROR(LOOKUP(AB$15,HourlyTimeseries!$A:$A,HourlyTimeseries!$I:$I),"")</f>
        <v>5000</v>
      </c>
      <c r="AC56" s="66">
        <f>IFERROR(LOOKUP(AC$15,HourlyTimeseries!$A:$A,HourlyTimeseries!$I:$I),"")</f>
        <v>5000</v>
      </c>
      <c r="AD56" s="50">
        <f>IFERROR(LOOKUP(AD$15,HourlyTimeseries!$A:$A,HourlyTimeseries!$I:$I),"")</f>
        <v>5000</v>
      </c>
      <c r="AE56" s="50">
        <f>IFERROR(LOOKUP(AE$15,HourlyTimeseries!$A:$A,HourlyTimeseries!$I:$I),"")</f>
        <v>5000</v>
      </c>
      <c r="AF56" s="50">
        <f>IFERROR(LOOKUP(AF$15,HourlyTimeseries!$A:$A,HourlyTimeseries!$I:$I),"")</f>
        <v>5000</v>
      </c>
      <c r="AG56" s="50">
        <f>IFERROR(LOOKUP(AG$15,HourlyTimeseries!$A:$A,HourlyTimeseries!$I:$I),"")</f>
        <v>5000</v>
      </c>
      <c r="AH56" s="50">
        <f>IFERROR(LOOKUP(AH$15,HourlyTimeseries!$A:$A,HourlyTimeseries!$I:$I),"")</f>
        <v>5000</v>
      </c>
      <c r="AI56" s="50">
        <f>IFERROR(LOOKUP(AI$15,HourlyTimeseries!$A:$A,HourlyTimeseries!$I:$I),"")</f>
        <v>8000</v>
      </c>
      <c r="AJ56" s="50">
        <f>IFERROR(LOOKUP(AJ$15,HourlyTimeseries!$A:$A,HourlyTimeseries!$I:$I),"")</f>
        <v>8000</v>
      </c>
      <c r="AK56" s="50">
        <f>IFERROR(LOOKUP(AK$15,HourlyTimeseries!$A:$A,HourlyTimeseries!$I:$I),"")</f>
        <v>8000</v>
      </c>
      <c r="AL56" s="50">
        <f>IFERROR(LOOKUP(AL$15,HourlyTimeseries!$A:$A,HourlyTimeseries!$I:$I),"")</f>
        <v>8000</v>
      </c>
      <c r="AM56" s="50">
        <f>IFERROR(LOOKUP(AM$15,HourlyTimeseries!$A:$A,HourlyTimeseries!$I:$I),"")</f>
        <v>8000</v>
      </c>
      <c r="AN56" s="50">
        <f>IFERROR(LOOKUP(AN$15,HourlyTimeseries!$A:$A,HourlyTimeseries!$I:$I),"")</f>
        <v>8000</v>
      </c>
      <c r="AO56" s="50">
        <f>IFERROR(LOOKUP(AO$15,HourlyTimeseries!$A:$A,HourlyTimeseries!$I:$I),"")</f>
        <v>8000</v>
      </c>
      <c r="AP56" s="50">
        <f>IFERROR(LOOKUP(AP$15,HourlyTimeseries!$A:$A,HourlyTimeseries!$I:$I),"")</f>
        <v>8000</v>
      </c>
      <c r="AQ56" s="50">
        <f>IFERROR(LOOKUP(AQ$15,HourlyTimeseries!$A:$A,HourlyTimeseries!$I:$I),"")</f>
        <v>8000</v>
      </c>
      <c r="AR56" s="50">
        <f>IFERROR(LOOKUP(AR$15,HourlyTimeseries!$A:$A,HourlyTimeseries!$I:$I),"")</f>
        <v>8000</v>
      </c>
      <c r="AS56" s="50">
        <f>IFERROR(LOOKUP(AS$15,HourlyTimeseries!$A:$A,HourlyTimeseries!$I:$I),"")</f>
        <v>8000</v>
      </c>
      <c r="AT56" s="50">
        <f>IFERROR(LOOKUP(AT$15,HourlyTimeseries!$A:$A,HourlyTimeseries!$I:$I),"")</f>
        <v>8000</v>
      </c>
      <c r="AU56" s="50">
        <f>IFERROR(LOOKUP(AU$15,HourlyTimeseries!$A:$A,HourlyTimeseries!$I:$I),"")</f>
        <v>5000</v>
      </c>
      <c r="AV56" s="50">
        <f>IFERROR(LOOKUP(AV$15,HourlyTimeseries!$A:$A,HourlyTimeseries!$I:$I),"")</f>
        <v>5000</v>
      </c>
      <c r="AW56" s="50">
        <f>IFERROR(LOOKUP(AW$15,HourlyTimeseries!$A:$A,HourlyTimeseries!$I:$I),"")</f>
        <v>5000</v>
      </c>
      <c r="AX56" s="50">
        <f>IFERROR(LOOKUP(AX$15,HourlyTimeseries!$A:$A,HourlyTimeseries!$I:$I),"")</f>
        <v>5000</v>
      </c>
      <c r="AY56" s="50">
        <f>IFERROR(LOOKUP(AY$15,HourlyTimeseries!$A:$A,HourlyTimeseries!$I:$I),"")</f>
        <v>5000</v>
      </c>
      <c r="AZ56" s="59">
        <f>IFERROR(LOOKUP(AZ$15,HourlyTimeseries!$A:$A,HourlyTimeseries!$I:$I),"")</f>
        <v>5000</v>
      </c>
      <c r="BA56" s="66">
        <f>IFERROR(LOOKUP(BA$15,HourlyTimeseries!$A:$A,HourlyTimeseries!$I:$I),"")</f>
        <v>5000</v>
      </c>
      <c r="BB56" s="50">
        <f>IFERROR(LOOKUP(BB$15,HourlyTimeseries!$A:$A,HourlyTimeseries!$I:$I),"")</f>
        <v>5000</v>
      </c>
      <c r="BC56" s="50">
        <f>IFERROR(LOOKUP(BC$15,HourlyTimeseries!$A:$A,HourlyTimeseries!$I:$I),"")</f>
        <v>5000</v>
      </c>
      <c r="BD56" s="50">
        <f>IFERROR(LOOKUP(BD$15,HourlyTimeseries!$A:$A,HourlyTimeseries!$I:$I),"")</f>
        <v>5000</v>
      </c>
      <c r="BE56" s="50">
        <f>IFERROR(LOOKUP(BE$15,HourlyTimeseries!$A:$A,HourlyTimeseries!$I:$I),"")</f>
        <v>5000</v>
      </c>
      <c r="BF56" s="50">
        <f>IFERROR(LOOKUP(BF$15,HourlyTimeseries!$A:$A,HourlyTimeseries!$I:$I),"")</f>
        <v>5000</v>
      </c>
      <c r="BG56" s="50">
        <f>IFERROR(LOOKUP(BG$15,HourlyTimeseries!$A:$A,HourlyTimeseries!$I:$I),"")</f>
        <v>8000</v>
      </c>
      <c r="BH56" s="50">
        <f>IFERROR(LOOKUP(BH$15,HourlyTimeseries!$A:$A,HourlyTimeseries!$I:$I),"")</f>
        <v>8000</v>
      </c>
      <c r="BI56" s="50">
        <f>IFERROR(LOOKUP(BI$15,HourlyTimeseries!$A:$A,HourlyTimeseries!$I:$I),"")</f>
        <v>8000</v>
      </c>
      <c r="BJ56" s="50">
        <f>IFERROR(LOOKUP(BJ$15,HourlyTimeseries!$A:$A,HourlyTimeseries!$I:$I),"")</f>
        <v>8000</v>
      </c>
      <c r="BK56" s="50">
        <f>IFERROR(LOOKUP(BK$15,HourlyTimeseries!$A:$A,HourlyTimeseries!$I:$I),"")</f>
        <v>8000</v>
      </c>
      <c r="BL56" s="50">
        <f>IFERROR(LOOKUP(BL$15,HourlyTimeseries!$A:$A,HourlyTimeseries!$I:$I),"")</f>
        <v>8000</v>
      </c>
      <c r="BM56" s="50">
        <f>IFERROR(LOOKUP(BM$15,HourlyTimeseries!$A:$A,HourlyTimeseries!$I:$I),"")</f>
        <v>8000</v>
      </c>
      <c r="BN56" s="50">
        <f>IFERROR(LOOKUP(BN$15,HourlyTimeseries!$A:$A,HourlyTimeseries!$I:$I),"")</f>
        <v>8000</v>
      </c>
      <c r="BO56" s="50">
        <f>IFERROR(LOOKUP(BO$15,HourlyTimeseries!$A:$A,HourlyTimeseries!$I:$I),"")</f>
        <v>8000</v>
      </c>
      <c r="BP56" s="50">
        <f>IFERROR(LOOKUP(BP$15,HourlyTimeseries!$A:$A,HourlyTimeseries!$I:$I),"")</f>
        <v>8000</v>
      </c>
      <c r="BQ56" s="50">
        <f>IFERROR(LOOKUP(BQ$15,HourlyTimeseries!$A:$A,HourlyTimeseries!$I:$I),"")</f>
        <v>8000</v>
      </c>
      <c r="BR56" s="50">
        <f>IFERROR(LOOKUP(BR$15,HourlyTimeseries!$A:$A,HourlyTimeseries!$I:$I),"")</f>
        <v>8000</v>
      </c>
      <c r="BS56" s="50">
        <f>IFERROR(LOOKUP(BS$15,HourlyTimeseries!$A:$A,HourlyTimeseries!$I:$I),"")</f>
        <v>5000</v>
      </c>
      <c r="BT56" s="50">
        <f>IFERROR(LOOKUP(BT$15,HourlyTimeseries!$A:$A,HourlyTimeseries!$I:$I),"")</f>
        <v>5000</v>
      </c>
      <c r="BU56" s="50">
        <f>IFERROR(LOOKUP(BU$15,HourlyTimeseries!$A:$A,HourlyTimeseries!$I:$I),"")</f>
        <v>5000</v>
      </c>
      <c r="BV56" s="50">
        <f>IFERROR(LOOKUP(BV$15,HourlyTimeseries!$A:$A,HourlyTimeseries!$I:$I),"")</f>
        <v>5000</v>
      </c>
      <c r="BW56" s="50">
        <f>IFERROR(LOOKUP(BW$15,HourlyTimeseries!$A:$A,HourlyTimeseries!$I:$I),"")</f>
        <v>5000</v>
      </c>
      <c r="BX56" s="59">
        <f>IFERROR(LOOKUP(BX$15,HourlyTimeseries!$A:$A,HourlyTimeseries!$I:$I),"")</f>
        <v>5000</v>
      </c>
      <c r="BY56" s="66">
        <f>IFERROR(LOOKUP(BY$15,HourlyTimeseries!$A:$A,HourlyTimeseries!$I:$I),"")</f>
        <v>5000</v>
      </c>
      <c r="BZ56" s="50">
        <f>IFERROR(LOOKUP(BZ$15,HourlyTimeseries!$A:$A,HourlyTimeseries!$I:$I),"")</f>
        <v>5000</v>
      </c>
      <c r="CA56" s="50">
        <f>IFERROR(LOOKUP(CA$15,HourlyTimeseries!$A:$A,HourlyTimeseries!$I:$I),"")</f>
        <v>5000</v>
      </c>
      <c r="CB56" s="50">
        <f>IFERROR(LOOKUP(CB$15,HourlyTimeseries!$A:$A,HourlyTimeseries!$I:$I),"")</f>
        <v>5000</v>
      </c>
      <c r="CC56" s="50">
        <f>IFERROR(LOOKUP(CC$15,HourlyTimeseries!$A:$A,HourlyTimeseries!$I:$I),"")</f>
        <v>5000</v>
      </c>
      <c r="CD56" s="50">
        <f>IFERROR(LOOKUP(CD$15,HourlyTimeseries!$A:$A,HourlyTimeseries!$I:$I),"")</f>
        <v>5000</v>
      </c>
      <c r="CE56" s="50">
        <f>IFERROR(LOOKUP(CE$15,HourlyTimeseries!$A:$A,HourlyTimeseries!$I:$I),"")</f>
        <v>8000</v>
      </c>
      <c r="CF56" s="50">
        <f>IFERROR(LOOKUP(CF$15,HourlyTimeseries!$A:$A,HourlyTimeseries!$I:$I),"")</f>
        <v>8000</v>
      </c>
      <c r="CG56" s="50">
        <f>IFERROR(LOOKUP(CG$15,HourlyTimeseries!$A:$A,HourlyTimeseries!$I:$I),"")</f>
        <v>8000</v>
      </c>
      <c r="CH56" s="50">
        <f>IFERROR(LOOKUP(CH$15,HourlyTimeseries!$A:$A,HourlyTimeseries!$I:$I),"")</f>
        <v>8000</v>
      </c>
      <c r="CI56" s="50">
        <f>IFERROR(LOOKUP(CI$15,HourlyTimeseries!$A:$A,HourlyTimeseries!$I:$I),"")</f>
        <v>8000</v>
      </c>
      <c r="CJ56" s="50">
        <f>IFERROR(LOOKUP(CJ$15,HourlyTimeseries!$A:$A,HourlyTimeseries!$I:$I),"")</f>
        <v>8000</v>
      </c>
      <c r="CK56" s="50">
        <f>IFERROR(LOOKUP(CK$15,HourlyTimeseries!$A:$A,HourlyTimeseries!$I:$I),"")</f>
        <v>8000</v>
      </c>
      <c r="CL56" s="50">
        <f>IFERROR(LOOKUP(CL$15,HourlyTimeseries!$A:$A,HourlyTimeseries!$I:$I),"")</f>
        <v>8000</v>
      </c>
      <c r="CM56" s="50">
        <f>IFERROR(LOOKUP(CM$15,HourlyTimeseries!$A:$A,HourlyTimeseries!$I:$I),"")</f>
        <v>8000</v>
      </c>
      <c r="CN56" s="50">
        <f>IFERROR(LOOKUP(CN$15,HourlyTimeseries!$A:$A,HourlyTimeseries!$I:$I),"")</f>
        <v>8000</v>
      </c>
      <c r="CO56" s="50">
        <f>IFERROR(LOOKUP(CO$15,HourlyTimeseries!$A:$A,HourlyTimeseries!$I:$I),"")</f>
        <v>8000</v>
      </c>
      <c r="CP56" s="50">
        <f>IFERROR(LOOKUP(CP$15,HourlyTimeseries!$A:$A,HourlyTimeseries!$I:$I),"")</f>
        <v>8000</v>
      </c>
      <c r="CQ56" s="50">
        <f>IFERROR(LOOKUP(CQ$15,HourlyTimeseries!$A:$A,HourlyTimeseries!$I:$I),"")</f>
        <v>5000</v>
      </c>
      <c r="CR56" s="50">
        <f>IFERROR(LOOKUP(CR$15,HourlyTimeseries!$A:$A,HourlyTimeseries!$I:$I),"")</f>
        <v>5000</v>
      </c>
      <c r="CS56" s="50">
        <f>IFERROR(LOOKUP(CS$15,HourlyTimeseries!$A:$A,HourlyTimeseries!$I:$I),"")</f>
        <v>5000</v>
      </c>
      <c r="CT56" s="50">
        <f>IFERROR(LOOKUP(CT$15,HourlyTimeseries!$A:$A,HourlyTimeseries!$I:$I),"")</f>
        <v>5000</v>
      </c>
      <c r="CU56" s="50">
        <f>IFERROR(LOOKUP(CU$15,HourlyTimeseries!$A:$A,HourlyTimeseries!$I:$I),"")</f>
        <v>5000</v>
      </c>
      <c r="CV56" s="59">
        <f>IFERROR(LOOKUP(CV$15,HourlyTimeseries!$A:$A,HourlyTimeseries!$I:$I),"")</f>
        <v>5000</v>
      </c>
      <c r="CW56" s="66">
        <f>IFERROR(LOOKUP(CW$15,HourlyTimeseries!$A:$A,HourlyTimeseries!$I:$I),"")</f>
        <v>5000</v>
      </c>
      <c r="CX56" s="50">
        <f>IFERROR(LOOKUP(CX$15,HourlyTimeseries!$A:$A,HourlyTimeseries!$I:$I),"")</f>
        <v>5000</v>
      </c>
      <c r="CY56" s="50">
        <f>IFERROR(LOOKUP(CY$15,HourlyTimeseries!$A:$A,HourlyTimeseries!$I:$I),"")</f>
        <v>5000</v>
      </c>
      <c r="CZ56" s="50">
        <f>IFERROR(LOOKUP(CZ$15,HourlyTimeseries!$A:$A,HourlyTimeseries!$I:$I),"")</f>
        <v>5000</v>
      </c>
      <c r="DA56" s="50">
        <f>IFERROR(LOOKUP(DA$15,HourlyTimeseries!$A:$A,HourlyTimeseries!$I:$I),"")</f>
        <v>5000</v>
      </c>
      <c r="DB56" s="50">
        <f>IFERROR(LOOKUP(DB$15,HourlyTimeseries!$A:$A,HourlyTimeseries!$I:$I),"")</f>
        <v>5000</v>
      </c>
      <c r="DC56" s="50">
        <f>IFERROR(LOOKUP(DC$15,HourlyTimeseries!$A:$A,HourlyTimeseries!$I:$I),"")</f>
        <v>8000</v>
      </c>
      <c r="DD56" s="50">
        <f>IFERROR(LOOKUP(DD$15,HourlyTimeseries!$A:$A,HourlyTimeseries!$I:$I),"")</f>
        <v>8000</v>
      </c>
      <c r="DE56" s="50">
        <f>IFERROR(LOOKUP(DE$15,HourlyTimeseries!$A:$A,HourlyTimeseries!$I:$I),"")</f>
        <v>8000</v>
      </c>
      <c r="DF56" s="50">
        <f>IFERROR(LOOKUP(DF$15,HourlyTimeseries!$A:$A,HourlyTimeseries!$I:$I),"")</f>
        <v>8000</v>
      </c>
      <c r="DG56" s="50">
        <f>IFERROR(LOOKUP(DG$15,HourlyTimeseries!$A:$A,HourlyTimeseries!$I:$I),"")</f>
        <v>8000</v>
      </c>
      <c r="DH56" s="50">
        <f>IFERROR(LOOKUP(DH$15,HourlyTimeseries!$A:$A,HourlyTimeseries!$I:$I),"")</f>
        <v>8000</v>
      </c>
      <c r="DI56" s="50">
        <f>IFERROR(LOOKUP(DI$15,HourlyTimeseries!$A:$A,HourlyTimeseries!$I:$I),"")</f>
        <v>8000</v>
      </c>
      <c r="DJ56" s="50">
        <f>IFERROR(LOOKUP(DJ$15,HourlyTimeseries!$A:$A,HourlyTimeseries!$I:$I),"")</f>
        <v>8000</v>
      </c>
      <c r="DK56" s="50">
        <f>IFERROR(LOOKUP(DK$15,HourlyTimeseries!$A:$A,HourlyTimeseries!$I:$I),"")</f>
        <v>8000</v>
      </c>
      <c r="DL56" s="50">
        <f>IFERROR(LOOKUP(DL$15,HourlyTimeseries!$A:$A,HourlyTimeseries!$I:$I),"")</f>
        <v>8000</v>
      </c>
      <c r="DM56" s="50">
        <f>IFERROR(LOOKUP(DM$15,HourlyTimeseries!$A:$A,HourlyTimeseries!$I:$I),"")</f>
        <v>8000</v>
      </c>
      <c r="DN56" s="50">
        <f>IFERROR(LOOKUP(DN$15,HourlyTimeseries!$A:$A,HourlyTimeseries!$I:$I),"")</f>
        <v>8000</v>
      </c>
      <c r="DO56" s="50">
        <f>IFERROR(LOOKUP(DO$15,HourlyTimeseries!$A:$A,HourlyTimeseries!$I:$I),"")</f>
        <v>5000</v>
      </c>
      <c r="DP56" s="50">
        <f>IFERROR(LOOKUP(DP$15,HourlyTimeseries!$A:$A,HourlyTimeseries!$I:$I),"")</f>
        <v>5000</v>
      </c>
      <c r="DQ56" s="50">
        <f>IFERROR(LOOKUP(DQ$15,HourlyTimeseries!$A:$A,HourlyTimeseries!$I:$I),"")</f>
        <v>5000</v>
      </c>
      <c r="DR56" s="50">
        <f>IFERROR(LOOKUP(DR$15,HourlyTimeseries!$A:$A,HourlyTimeseries!$I:$I),"")</f>
        <v>5000</v>
      </c>
      <c r="DS56" s="50">
        <f>IFERROR(LOOKUP(DS$15,HourlyTimeseries!$A:$A,HourlyTimeseries!$I:$I),"")</f>
        <v>5000</v>
      </c>
      <c r="DT56" s="59">
        <f>IFERROR(LOOKUP(DT$15,HourlyTimeseries!$A:$A,HourlyTimeseries!$I:$I),"")</f>
        <v>5000</v>
      </c>
      <c r="DU56" s="66">
        <f>IFERROR(LOOKUP(DU$15,HourlyTimeseries!$A:$A,HourlyTimeseries!$I:$I),"")</f>
        <v>5000</v>
      </c>
      <c r="DV56" s="50">
        <f>IFERROR(LOOKUP(DV$15,HourlyTimeseries!$A:$A,HourlyTimeseries!$I:$I),"")</f>
        <v>5000</v>
      </c>
      <c r="DW56" s="50">
        <f>IFERROR(LOOKUP(DW$15,HourlyTimeseries!$A:$A,HourlyTimeseries!$I:$I),"")</f>
        <v>5000</v>
      </c>
      <c r="DX56" s="50">
        <f>IFERROR(LOOKUP(DX$15,HourlyTimeseries!$A:$A,HourlyTimeseries!$I:$I),"")</f>
        <v>5000</v>
      </c>
      <c r="DY56" s="50">
        <f>IFERROR(LOOKUP(DY$15,HourlyTimeseries!$A:$A,HourlyTimeseries!$I:$I),"")</f>
        <v>5000</v>
      </c>
      <c r="DZ56" s="50">
        <f>IFERROR(LOOKUP(DZ$15,HourlyTimeseries!$A:$A,HourlyTimeseries!$I:$I),"")</f>
        <v>5000</v>
      </c>
      <c r="EA56" s="50">
        <f>IFERROR(LOOKUP(EA$15,HourlyTimeseries!$A:$A,HourlyTimeseries!$I:$I),"")</f>
        <v>8000</v>
      </c>
      <c r="EB56" s="50">
        <f>IFERROR(LOOKUP(EB$15,HourlyTimeseries!$A:$A,HourlyTimeseries!$I:$I),"")</f>
        <v>8000</v>
      </c>
      <c r="EC56" s="50">
        <f>IFERROR(LOOKUP(EC$15,HourlyTimeseries!$A:$A,HourlyTimeseries!$I:$I),"")</f>
        <v>8000</v>
      </c>
      <c r="ED56" s="50">
        <f>IFERROR(LOOKUP(ED$15,HourlyTimeseries!$A:$A,HourlyTimeseries!$I:$I),"")</f>
        <v>8000</v>
      </c>
      <c r="EE56" s="50">
        <f>IFERROR(LOOKUP(EE$15,HourlyTimeseries!$A:$A,HourlyTimeseries!$I:$I),"")</f>
        <v>8000</v>
      </c>
      <c r="EF56" s="50">
        <f>IFERROR(LOOKUP(EF$15,HourlyTimeseries!$A:$A,HourlyTimeseries!$I:$I),"")</f>
        <v>8000</v>
      </c>
      <c r="EG56" s="50">
        <f>IFERROR(LOOKUP(EG$15,HourlyTimeseries!$A:$A,HourlyTimeseries!$I:$I),"")</f>
        <v>8000</v>
      </c>
      <c r="EH56" s="50">
        <f>IFERROR(LOOKUP(EH$15,HourlyTimeseries!$A:$A,HourlyTimeseries!$I:$I),"")</f>
        <v>8000</v>
      </c>
      <c r="EI56" s="50">
        <f>IFERROR(LOOKUP(EI$15,HourlyTimeseries!$A:$A,HourlyTimeseries!$I:$I),"")</f>
        <v>8000</v>
      </c>
      <c r="EJ56" s="50">
        <f>IFERROR(LOOKUP(EJ$15,HourlyTimeseries!$A:$A,HourlyTimeseries!$I:$I),"")</f>
        <v>8000</v>
      </c>
      <c r="EK56" s="50">
        <f>IFERROR(LOOKUP(EK$15,HourlyTimeseries!$A:$A,HourlyTimeseries!$I:$I),"")</f>
        <v>8000</v>
      </c>
      <c r="EL56" s="50">
        <f>IFERROR(LOOKUP(EL$15,HourlyTimeseries!$A:$A,HourlyTimeseries!$I:$I),"")</f>
        <v>8000</v>
      </c>
      <c r="EM56" s="50">
        <f>IFERROR(LOOKUP(EM$15,HourlyTimeseries!$A:$A,HourlyTimeseries!$I:$I),"")</f>
        <v>5000</v>
      </c>
      <c r="EN56" s="50">
        <f>IFERROR(LOOKUP(EN$15,HourlyTimeseries!$A:$A,HourlyTimeseries!$I:$I),"")</f>
        <v>5000</v>
      </c>
      <c r="EO56" s="50">
        <f>IFERROR(LOOKUP(EO$15,HourlyTimeseries!$A:$A,HourlyTimeseries!$I:$I),"")</f>
        <v>5000</v>
      </c>
      <c r="EP56" s="50">
        <f>IFERROR(LOOKUP(EP$15,HourlyTimeseries!$A:$A,HourlyTimeseries!$I:$I),"")</f>
        <v>5000</v>
      </c>
      <c r="EQ56" s="50">
        <f>IFERROR(LOOKUP(EQ$15,HourlyTimeseries!$A:$A,HourlyTimeseries!$I:$I),"")</f>
        <v>5000</v>
      </c>
      <c r="ER56" s="59">
        <f>IFERROR(LOOKUP(ER$15,HourlyTimeseries!$A:$A,HourlyTimeseries!$I:$I),"")</f>
        <v>5000</v>
      </c>
      <c r="ES56" s="66">
        <f>IFERROR(LOOKUP(ES$15,HourlyTimeseries!$A:$A,HourlyTimeseries!$I:$I),"")</f>
        <v>5000</v>
      </c>
      <c r="ET56" s="50">
        <f>IFERROR(LOOKUP(ET$15,HourlyTimeseries!$A:$A,HourlyTimeseries!$I:$I),"")</f>
        <v>5000</v>
      </c>
      <c r="EU56" s="50">
        <f>IFERROR(LOOKUP(EU$15,HourlyTimeseries!$A:$A,HourlyTimeseries!$I:$I),"")</f>
        <v>5000</v>
      </c>
      <c r="EV56" s="50">
        <f>IFERROR(LOOKUP(EV$15,HourlyTimeseries!$A:$A,HourlyTimeseries!$I:$I),"")</f>
        <v>5000</v>
      </c>
      <c r="EW56" s="50">
        <f>IFERROR(LOOKUP(EW$15,HourlyTimeseries!$A:$A,HourlyTimeseries!$I:$I),"")</f>
        <v>5000</v>
      </c>
      <c r="EX56" s="50">
        <f>IFERROR(LOOKUP(EX$15,HourlyTimeseries!$A:$A,HourlyTimeseries!$I:$I),"")</f>
        <v>5000</v>
      </c>
      <c r="EY56" s="50">
        <f>IFERROR(LOOKUP(EY$15,HourlyTimeseries!$A:$A,HourlyTimeseries!$I:$I),"")</f>
        <v>8000</v>
      </c>
      <c r="EZ56" s="50">
        <f>IFERROR(LOOKUP(EZ$15,HourlyTimeseries!$A:$A,HourlyTimeseries!$I:$I),"")</f>
        <v>8000</v>
      </c>
      <c r="FA56" s="50">
        <f>IFERROR(LOOKUP(FA$15,HourlyTimeseries!$A:$A,HourlyTimeseries!$I:$I),"")</f>
        <v>8000</v>
      </c>
      <c r="FB56" s="50">
        <f>IFERROR(LOOKUP(FB$15,HourlyTimeseries!$A:$A,HourlyTimeseries!$I:$I),"")</f>
        <v>8000</v>
      </c>
      <c r="FC56" s="50">
        <f>IFERROR(LOOKUP(FC$15,HourlyTimeseries!$A:$A,HourlyTimeseries!$I:$I),"")</f>
        <v>8000</v>
      </c>
      <c r="FD56" s="50">
        <f>IFERROR(LOOKUP(FD$15,HourlyTimeseries!$A:$A,HourlyTimeseries!$I:$I),"")</f>
        <v>8000</v>
      </c>
      <c r="FE56" s="50">
        <f>IFERROR(LOOKUP(FE$15,HourlyTimeseries!$A:$A,HourlyTimeseries!$I:$I),"")</f>
        <v>8000</v>
      </c>
      <c r="FF56" s="50">
        <f>IFERROR(LOOKUP(FF$15,HourlyTimeseries!$A:$A,HourlyTimeseries!$I:$I),"")</f>
        <v>8000</v>
      </c>
      <c r="FG56" s="50">
        <f>IFERROR(LOOKUP(FG$15,HourlyTimeseries!$A:$A,HourlyTimeseries!$I:$I),"")</f>
        <v>8000</v>
      </c>
      <c r="FH56" s="50">
        <f>IFERROR(LOOKUP(FH$15,HourlyTimeseries!$A:$A,HourlyTimeseries!$I:$I),"")</f>
        <v>8000</v>
      </c>
      <c r="FI56" s="50">
        <f>IFERROR(LOOKUP(FI$15,HourlyTimeseries!$A:$A,HourlyTimeseries!$I:$I),"")</f>
        <v>8000</v>
      </c>
      <c r="FJ56" s="50">
        <f>IFERROR(LOOKUP(FJ$15,HourlyTimeseries!$A:$A,HourlyTimeseries!$I:$I),"")</f>
        <v>8000</v>
      </c>
      <c r="FK56" s="50">
        <f>IFERROR(LOOKUP(FK$15,HourlyTimeseries!$A:$A,HourlyTimeseries!$I:$I),"")</f>
        <v>5000</v>
      </c>
      <c r="FL56" s="50">
        <f>IFERROR(LOOKUP(FL$15,HourlyTimeseries!$A:$A,HourlyTimeseries!$I:$I),"")</f>
        <v>5000</v>
      </c>
      <c r="FM56" s="50">
        <f>IFERROR(LOOKUP(FM$15,HourlyTimeseries!$A:$A,HourlyTimeseries!$I:$I),"")</f>
        <v>5000</v>
      </c>
      <c r="FN56" s="50">
        <f>IFERROR(LOOKUP(FN$15,HourlyTimeseries!$A:$A,HourlyTimeseries!$I:$I),"")</f>
        <v>5000</v>
      </c>
      <c r="FO56" s="50">
        <f>IFERROR(LOOKUP(FO$15,HourlyTimeseries!$A:$A,HourlyTimeseries!$I:$I),"")</f>
        <v>5000</v>
      </c>
      <c r="FP56" s="59">
        <f>IFERROR(LOOKUP(FP$15,HourlyTimeseries!$A:$A,HourlyTimeseries!$I:$I),"")</f>
        <v>5000</v>
      </c>
    </row>
    <row r="57" spans="1:172">
      <c r="A57" s="15" t="s">
        <v>85</v>
      </c>
      <c r="B57" s="2" t="s">
        <v>79</v>
      </c>
      <c r="C57" s="8" t="s">
        <v>133</v>
      </c>
      <c r="D57" s="2"/>
      <c r="E57" s="50">
        <f>IFERROR(LOOKUP(E$15,HourlyTimeseries!$A:$A,HourlyTimeseries!$J:$J),"")</f>
        <v>25000</v>
      </c>
      <c r="F57" s="50">
        <f>IFERROR(LOOKUP(F$15,HourlyTimeseries!$A:$A,HourlyTimeseries!$J:$J),"")</f>
        <v>25000</v>
      </c>
      <c r="G57" s="50">
        <f>IFERROR(LOOKUP(G$15,HourlyTimeseries!$A:$A,HourlyTimeseries!$J:$J),"")</f>
        <v>25000</v>
      </c>
      <c r="H57" s="50">
        <f>IFERROR(LOOKUP(H$15,HourlyTimeseries!$A:$A,HourlyTimeseries!$J:$J),"")</f>
        <v>25000</v>
      </c>
      <c r="I57" s="50">
        <f>IFERROR(LOOKUP(I$15,HourlyTimeseries!$A:$A,HourlyTimeseries!$J:$J),"")</f>
        <v>25000</v>
      </c>
      <c r="J57" s="50">
        <f>IFERROR(LOOKUP(J$15,HourlyTimeseries!$A:$A,HourlyTimeseries!$J:$J),"")</f>
        <v>25000</v>
      </c>
      <c r="K57" s="50">
        <f>IFERROR(LOOKUP(K$15,HourlyTimeseries!$A:$A,HourlyTimeseries!$J:$J),"")</f>
        <v>25000</v>
      </c>
      <c r="L57" s="50">
        <f>IFERROR(LOOKUP(L$15,HourlyTimeseries!$A:$A,HourlyTimeseries!$J:$J),"")</f>
        <v>25000</v>
      </c>
      <c r="M57" s="50">
        <f>IFERROR(LOOKUP(M$15,HourlyTimeseries!$A:$A,HourlyTimeseries!$J:$J),"")</f>
        <v>25000</v>
      </c>
      <c r="N57" s="50">
        <f>IFERROR(LOOKUP(N$15,HourlyTimeseries!$A:$A,HourlyTimeseries!$J:$J),"")</f>
        <v>25000</v>
      </c>
      <c r="O57" s="50">
        <f>IFERROR(LOOKUP(O$15,HourlyTimeseries!$A:$A,HourlyTimeseries!$J:$J),"")</f>
        <v>25000</v>
      </c>
      <c r="P57" s="50">
        <f>IFERROR(LOOKUP(P$15,HourlyTimeseries!$A:$A,HourlyTimeseries!$J:$J),"")</f>
        <v>25000</v>
      </c>
      <c r="Q57" s="50">
        <f>IFERROR(LOOKUP(Q$15,HourlyTimeseries!$A:$A,HourlyTimeseries!$J:$J),"")</f>
        <v>25000</v>
      </c>
      <c r="R57" s="50">
        <f>IFERROR(LOOKUP(R$15,HourlyTimeseries!$A:$A,HourlyTimeseries!$J:$J),"")</f>
        <v>25000</v>
      </c>
      <c r="S57" s="50">
        <f>IFERROR(LOOKUP(S$15,HourlyTimeseries!$A:$A,HourlyTimeseries!$J:$J),"")</f>
        <v>25000</v>
      </c>
      <c r="T57" s="50">
        <f>IFERROR(LOOKUP(T$15,HourlyTimeseries!$A:$A,HourlyTimeseries!$J:$J),"")</f>
        <v>25000</v>
      </c>
      <c r="U57" s="50">
        <f>IFERROR(LOOKUP(U$15,HourlyTimeseries!$A:$A,HourlyTimeseries!$J:$J),"")</f>
        <v>25000</v>
      </c>
      <c r="V57" s="50">
        <f>IFERROR(LOOKUP(V$15,HourlyTimeseries!$A:$A,HourlyTimeseries!$J:$J),"")</f>
        <v>25000</v>
      </c>
      <c r="W57" s="50">
        <f>IFERROR(LOOKUP(W$15,HourlyTimeseries!$A:$A,HourlyTimeseries!$J:$J),"")</f>
        <v>25000</v>
      </c>
      <c r="X57" s="50">
        <f>IFERROR(LOOKUP(X$15,HourlyTimeseries!$A:$A,HourlyTimeseries!$J:$J),"")</f>
        <v>25000</v>
      </c>
      <c r="Y57" s="50">
        <f>IFERROR(LOOKUP(Y$15,HourlyTimeseries!$A:$A,HourlyTimeseries!$J:$J),"")</f>
        <v>25000</v>
      </c>
      <c r="Z57" s="50">
        <f>IFERROR(LOOKUP(Z$15,HourlyTimeseries!$A:$A,HourlyTimeseries!$J:$J),"")</f>
        <v>25000</v>
      </c>
      <c r="AA57" s="50">
        <f>IFERROR(LOOKUP(AA$15,HourlyTimeseries!$A:$A,HourlyTimeseries!$J:$J),"")</f>
        <v>25000</v>
      </c>
      <c r="AB57" s="59">
        <f>IFERROR(LOOKUP(AB$15,HourlyTimeseries!$A:$A,HourlyTimeseries!$J:$J),"")</f>
        <v>25000</v>
      </c>
      <c r="AC57" s="66">
        <f>IFERROR(LOOKUP(AC$15,HourlyTimeseries!$A:$A,HourlyTimeseries!$J:$J),"")</f>
        <v>25000</v>
      </c>
      <c r="AD57" s="50">
        <f>IFERROR(LOOKUP(AD$15,HourlyTimeseries!$A:$A,HourlyTimeseries!$J:$J),"")</f>
        <v>25000</v>
      </c>
      <c r="AE57" s="50">
        <f>IFERROR(LOOKUP(AE$15,HourlyTimeseries!$A:$A,HourlyTimeseries!$J:$J),"")</f>
        <v>25000</v>
      </c>
      <c r="AF57" s="50">
        <f>IFERROR(LOOKUP(AF$15,HourlyTimeseries!$A:$A,HourlyTimeseries!$J:$J),"")</f>
        <v>25000</v>
      </c>
      <c r="AG57" s="50">
        <f>IFERROR(LOOKUP(AG$15,HourlyTimeseries!$A:$A,HourlyTimeseries!$J:$J),"")</f>
        <v>25000</v>
      </c>
      <c r="AH57" s="50">
        <f>IFERROR(LOOKUP(AH$15,HourlyTimeseries!$A:$A,HourlyTimeseries!$J:$J),"")</f>
        <v>25000</v>
      </c>
      <c r="AI57" s="50">
        <f>IFERROR(LOOKUP(AI$15,HourlyTimeseries!$A:$A,HourlyTimeseries!$J:$J),"")</f>
        <v>25000</v>
      </c>
      <c r="AJ57" s="50">
        <f>IFERROR(LOOKUP(AJ$15,HourlyTimeseries!$A:$A,HourlyTimeseries!$J:$J),"")</f>
        <v>25000</v>
      </c>
      <c r="AK57" s="50">
        <f>IFERROR(LOOKUP(AK$15,HourlyTimeseries!$A:$A,HourlyTimeseries!$J:$J),"")</f>
        <v>25000</v>
      </c>
      <c r="AL57" s="50">
        <f>IFERROR(LOOKUP(AL$15,HourlyTimeseries!$A:$A,HourlyTimeseries!$J:$J),"")</f>
        <v>25000</v>
      </c>
      <c r="AM57" s="50">
        <f>IFERROR(LOOKUP(AM$15,HourlyTimeseries!$A:$A,HourlyTimeseries!$J:$J),"")</f>
        <v>25000</v>
      </c>
      <c r="AN57" s="50">
        <f>IFERROR(LOOKUP(AN$15,HourlyTimeseries!$A:$A,HourlyTimeseries!$J:$J),"")</f>
        <v>25000</v>
      </c>
      <c r="AO57" s="50">
        <f>IFERROR(LOOKUP(AO$15,HourlyTimeseries!$A:$A,HourlyTimeseries!$J:$J),"")</f>
        <v>25000</v>
      </c>
      <c r="AP57" s="50">
        <f>IFERROR(LOOKUP(AP$15,HourlyTimeseries!$A:$A,HourlyTimeseries!$J:$J),"")</f>
        <v>25000</v>
      </c>
      <c r="AQ57" s="50">
        <f>IFERROR(LOOKUP(AQ$15,HourlyTimeseries!$A:$A,HourlyTimeseries!$J:$J),"")</f>
        <v>25000</v>
      </c>
      <c r="AR57" s="50">
        <f>IFERROR(LOOKUP(AR$15,HourlyTimeseries!$A:$A,HourlyTimeseries!$J:$J),"")</f>
        <v>25000</v>
      </c>
      <c r="AS57" s="50">
        <f>IFERROR(LOOKUP(AS$15,HourlyTimeseries!$A:$A,HourlyTimeseries!$J:$J),"")</f>
        <v>25000</v>
      </c>
      <c r="AT57" s="50">
        <f>IFERROR(LOOKUP(AT$15,HourlyTimeseries!$A:$A,HourlyTimeseries!$J:$J),"")</f>
        <v>25000</v>
      </c>
      <c r="AU57" s="50">
        <f>IFERROR(LOOKUP(AU$15,HourlyTimeseries!$A:$A,HourlyTimeseries!$J:$J),"")</f>
        <v>25000</v>
      </c>
      <c r="AV57" s="50">
        <f>IFERROR(LOOKUP(AV$15,HourlyTimeseries!$A:$A,HourlyTimeseries!$J:$J),"")</f>
        <v>25000</v>
      </c>
      <c r="AW57" s="50">
        <f>IFERROR(LOOKUP(AW$15,HourlyTimeseries!$A:$A,HourlyTimeseries!$J:$J),"")</f>
        <v>25000</v>
      </c>
      <c r="AX57" s="50">
        <f>IFERROR(LOOKUP(AX$15,HourlyTimeseries!$A:$A,HourlyTimeseries!$J:$J),"")</f>
        <v>25000</v>
      </c>
      <c r="AY57" s="50">
        <f>IFERROR(LOOKUP(AY$15,HourlyTimeseries!$A:$A,HourlyTimeseries!$J:$J),"")</f>
        <v>25000</v>
      </c>
      <c r="AZ57" s="59">
        <f>IFERROR(LOOKUP(AZ$15,HourlyTimeseries!$A:$A,HourlyTimeseries!$J:$J),"")</f>
        <v>25000</v>
      </c>
      <c r="BA57" s="66">
        <f>IFERROR(LOOKUP(BA$15,HourlyTimeseries!$A:$A,HourlyTimeseries!$J:$J),"")</f>
        <v>25000</v>
      </c>
      <c r="BB57" s="50">
        <f>IFERROR(LOOKUP(BB$15,HourlyTimeseries!$A:$A,HourlyTimeseries!$J:$J),"")</f>
        <v>25000</v>
      </c>
      <c r="BC57" s="50">
        <f>IFERROR(LOOKUP(BC$15,HourlyTimeseries!$A:$A,HourlyTimeseries!$J:$J),"")</f>
        <v>25000</v>
      </c>
      <c r="BD57" s="50">
        <f>IFERROR(LOOKUP(BD$15,HourlyTimeseries!$A:$A,HourlyTimeseries!$J:$J),"")</f>
        <v>25000</v>
      </c>
      <c r="BE57" s="50">
        <f>IFERROR(LOOKUP(BE$15,HourlyTimeseries!$A:$A,HourlyTimeseries!$J:$J),"")</f>
        <v>25000</v>
      </c>
      <c r="BF57" s="50">
        <f>IFERROR(LOOKUP(BF$15,HourlyTimeseries!$A:$A,HourlyTimeseries!$J:$J),"")</f>
        <v>25000</v>
      </c>
      <c r="BG57" s="50">
        <f>IFERROR(LOOKUP(BG$15,HourlyTimeseries!$A:$A,HourlyTimeseries!$J:$J),"")</f>
        <v>25000</v>
      </c>
      <c r="BH57" s="50">
        <f>IFERROR(LOOKUP(BH$15,HourlyTimeseries!$A:$A,HourlyTimeseries!$J:$J),"")</f>
        <v>25000</v>
      </c>
      <c r="BI57" s="50">
        <f>IFERROR(LOOKUP(BI$15,HourlyTimeseries!$A:$A,HourlyTimeseries!$J:$J),"")</f>
        <v>25000</v>
      </c>
      <c r="BJ57" s="50">
        <f>IFERROR(LOOKUP(BJ$15,HourlyTimeseries!$A:$A,HourlyTimeseries!$J:$J),"")</f>
        <v>25000</v>
      </c>
      <c r="BK57" s="50">
        <f>IFERROR(LOOKUP(BK$15,HourlyTimeseries!$A:$A,HourlyTimeseries!$J:$J),"")</f>
        <v>25000</v>
      </c>
      <c r="BL57" s="50">
        <f>IFERROR(LOOKUP(BL$15,HourlyTimeseries!$A:$A,HourlyTimeseries!$J:$J),"")</f>
        <v>25000</v>
      </c>
      <c r="BM57" s="50">
        <f>IFERROR(LOOKUP(BM$15,HourlyTimeseries!$A:$A,HourlyTimeseries!$J:$J),"")</f>
        <v>25000</v>
      </c>
      <c r="BN57" s="50">
        <f>IFERROR(LOOKUP(BN$15,HourlyTimeseries!$A:$A,HourlyTimeseries!$J:$J),"")</f>
        <v>25000</v>
      </c>
      <c r="BO57" s="50">
        <f>IFERROR(LOOKUP(BO$15,HourlyTimeseries!$A:$A,HourlyTimeseries!$J:$J),"")</f>
        <v>25000</v>
      </c>
      <c r="BP57" s="50">
        <f>IFERROR(LOOKUP(BP$15,HourlyTimeseries!$A:$A,HourlyTimeseries!$J:$J),"")</f>
        <v>25000</v>
      </c>
      <c r="BQ57" s="50">
        <f>IFERROR(LOOKUP(BQ$15,HourlyTimeseries!$A:$A,HourlyTimeseries!$J:$J),"")</f>
        <v>25000</v>
      </c>
      <c r="BR57" s="50">
        <f>IFERROR(LOOKUP(BR$15,HourlyTimeseries!$A:$A,HourlyTimeseries!$J:$J),"")</f>
        <v>25000</v>
      </c>
      <c r="BS57" s="50">
        <f>IFERROR(LOOKUP(BS$15,HourlyTimeseries!$A:$A,HourlyTimeseries!$J:$J),"")</f>
        <v>25000</v>
      </c>
      <c r="BT57" s="50">
        <f>IFERROR(LOOKUP(BT$15,HourlyTimeseries!$A:$A,HourlyTimeseries!$J:$J),"")</f>
        <v>25000</v>
      </c>
      <c r="BU57" s="50">
        <f>IFERROR(LOOKUP(BU$15,HourlyTimeseries!$A:$A,HourlyTimeseries!$J:$J),"")</f>
        <v>25000</v>
      </c>
      <c r="BV57" s="50">
        <f>IFERROR(LOOKUP(BV$15,HourlyTimeseries!$A:$A,HourlyTimeseries!$J:$J),"")</f>
        <v>25000</v>
      </c>
      <c r="BW57" s="50">
        <f>IFERROR(LOOKUP(BW$15,HourlyTimeseries!$A:$A,HourlyTimeseries!$J:$J),"")</f>
        <v>25000</v>
      </c>
      <c r="BX57" s="59">
        <f>IFERROR(LOOKUP(BX$15,HourlyTimeseries!$A:$A,HourlyTimeseries!$J:$J),"")</f>
        <v>25000</v>
      </c>
      <c r="BY57" s="66">
        <f>IFERROR(LOOKUP(BY$15,HourlyTimeseries!$A:$A,HourlyTimeseries!$J:$J),"")</f>
        <v>25000</v>
      </c>
      <c r="BZ57" s="50">
        <f>IFERROR(LOOKUP(BZ$15,HourlyTimeseries!$A:$A,HourlyTimeseries!$J:$J),"")</f>
        <v>25000</v>
      </c>
      <c r="CA57" s="50">
        <f>IFERROR(LOOKUP(CA$15,HourlyTimeseries!$A:$A,HourlyTimeseries!$J:$J),"")</f>
        <v>25000</v>
      </c>
      <c r="CB57" s="50">
        <f>IFERROR(LOOKUP(CB$15,HourlyTimeseries!$A:$A,HourlyTimeseries!$J:$J),"")</f>
        <v>25000</v>
      </c>
      <c r="CC57" s="50">
        <f>IFERROR(LOOKUP(CC$15,HourlyTimeseries!$A:$A,HourlyTimeseries!$J:$J),"")</f>
        <v>25000</v>
      </c>
      <c r="CD57" s="50">
        <f>IFERROR(LOOKUP(CD$15,HourlyTimeseries!$A:$A,HourlyTimeseries!$J:$J),"")</f>
        <v>25000</v>
      </c>
      <c r="CE57" s="50">
        <f>IFERROR(LOOKUP(CE$15,HourlyTimeseries!$A:$A,HourlyTimeseries!$J:$J),"")</f>
        <v>25000</v>
      </c>
      <c r="CF57" s="50">
        <f>IFERROR(LOOKUP(CF$15,HourlyTimeseries!$A:$A,HourlyTimeseries!$J:$J),"")</f>
        <v>25000</v>
      </c>
      <c r="CG57" s="50">
        <f>IFERROR(LOOKUP(CG$15,HourlyTimeseries!$A:$A,HourlyTimeseries!$J:$J),"")</f>
        <v>25000</v>
      </c>
      <c r="CH57" s="50">
        <f>IFERROR(LOOKUP(CH$15,HourlyTimeseries!$A:$A,HourlyTimeseries!$J:$J),"")</f>
        <v>25000</v>
      </c>
      <c r="CI57" s="50">
        <f>IFERROR(LOOKUP(CI$15,HourlyTimeseries!$A:$A,HourlyTimeseries!$J:$J),"")</f>
        <v>25000</v>
      </c>
      <c r="CJ57" s="50">
        <f>IFERROR(LOOKUP(CJ$15,HourlyTimeseries!$A:$A,HourlyTimeseries!$J:$J),"")</f>
        <v>25000</v>
      </c>
      <c r="CK57" s="50">
        <f>IFERROR(LOOKUP(CK$15,HourlyTimeseries!$A:$A,HourlyTimeseries!$J:$J),"")</f>
        <v>25000</v>
      </c>
      <c r="CL57" s="50">
        <f>IFERROR(LOOKUP(CL$15,HourlyTimeseries!$A:$A,HourlyTimeseries!$J:$J),"")</f>
        <v>25000</v>
      </c>
      <c r="CM57" s="50">
        <f>IFERROR(LOOKUP(CM$15,HourlyTimeseries!$A:$A,HourlyTimeseries!$J:$J),"")</f>
        <v>25000</v>
      </c>
      <c r="CN57" s="50">
        <f>IFERROR(LOOKUP(CN$15,HourlyTimeseries!$A:$A,HourlyTimeseries!$J:$J),"")</f>
        <v>25000</v>
      </c>
      <c r="CO57" s="50">
        <f>IFERROR(LOOKUP(CO$15,HourlyTimeseries!$A:$A,HourlyTimeseries!$J:$J),"")</f>
        <v>25000</v>
      </c>
      <c r="CP57" s="50">
        <f>IFERROR(LOOKUP(CP$15,HourlyTimeseries!$A:$A,HourlyTimeseries!$J:$J),"")</f>
        <v>25000</v>
      </c>
      <c r="CQ57" s="50">
        <f>IFERROR(LOOKUP(CQ$15,HourlyTimeseries!$A:$A,HourlyTimeseries!$J:$J),"")</f>
        <v>25000</v>
      </c>
      <c r="CR57" s="50">
        <f>IFERROR(LOOKUP(CR$15,HourlyTimeseries!$A:$A,HourlyTimeseries!$J:$J),"")</f>
        <v>25000</v>
      </c>
      <c r="CS57" s="50">
        <f>IFERROR(LOOKUP(CS$15,HourlyTimeseries!$A:$A,HourlyTimeseries!$J:$J),"")</f>
        <v>25000</v>
      </c>
      <c r="CT57" s="50">
        <f>IFERROR(LOOKUP(CT$15,HourlyTimeseries!$A:$A,HourlyTimeseries!$J:$J),"")</f>
        <v>25000</v>
      </c>
      <c r="CU57" s="50">
        <f>IFERROR(LOOKUP(CU$15,HourlyTimeseries!$A:$A,HourlyTimeseries!$J:$J),"")</f>
        <v>25000</v>
      </c>
      <c r="CV57" s="59">
        <f>IFERROR(LOOKUP(CV$15,HourlyTimeseries!$A:$A,HourlyTimeseries!$J:$J),"")</f>
        <v>25000</v>
      </c>
      <c r="CW57" s="66">
        <f>IFERROR(LOOKUP(CW$15,HourlyTimeseries!$A:$A,HourlyTimeseries!$J:$J),"")</f>
        <v>25000</v>
      </c>
      <c r="CX57" s="50">
        <f>IFERROR(LOOKUP(CX$15,HourlyTimeseries!$A:$A,HourlyTimeseries!$J:$J),"")</f>
        <v>25000</v>
      </c>
      <c r="CY57" s="50">
        <f>IFERROR(LOOKUP(CY$15,HourlyTimeseries!$A:$A,HourlyTimeseries!$J:$J),"")</f>
        <v>25000</v>
      </c>
      <c r="CZ57" s="50">
        <f>IFERROR(LOOKUP(CZ$15,HourlyTimeseries!$A:$A,HourlyTimeseries!$J:$J),"")</f>
        <v>25000</v>
      </c>
      <c r="DA57" s="50">
        <f>IFERROR(LOOKUP(DA$15,HourlyTimeseries!$A:$A,HourlyTimeseries!$J:$J),"")</f>
        <v>25000</v>
      </c>
      <c r="DB57" s="50">
        <f>IFERROR(LOOKUP(DB$15,HourlyTimeseries!$A:$A,HourlyTimeseries!$J:$J),"")</f>
        <v>25000</v>
      </c>
      <c r="DC57" s="50">
        <f>IFERROR(LOOKUP(DC$15,HourlyTimeseries!$A:$A,HourlyTimeseries!$J:$J),"")</f>
        <v>25000</v>
      </c>
      <c r="DD57" s="50">
        <f>IFERROR(LOOKUP(DD$15,HourlyTimeseries!$A:$A,HourlyTimeseries!$J:$J),"")</f>
        <v>25000</v>
      </c>
      <c r="DE57" s="50">
        <f>IFERROR(LOOKUP(DE$15,HourlyTimeseries!$A:$A,HourlyTimeseries!$J:$J),"")</f>
        <v>25000</v>
      </c>
      <c r="DF57" s="50">
        <f>IFERROR(LOOKUP(DF$15,HourlyTimeseries!$A:$A,HourlyTimeseries!$J:$J),"")</f>
        <v>25000</v>
      </c>
      <c r="DG57" s="50">
        <f>IFERROR(LOOKUP(DG$15,HourlyTimeseries!$A:$A,HourlyTimeseries!$J:$J),"")</f>
        <v>25000</v>
      </c>
      <c r="DH57" s="50">
        <f>IFERROR(LOOKUP(DH$15,HourlyTimeseries!$A:$A,HourlyTimeseries!$J:$J),"")</f>
        <v>25000</v>
      </c>
      <c r="DI57" s="50">
        <f>IFERROR(LOOKUP(DI$15,HourlyTimeseries!$A:$A,HourlyTimeseries!$J:$J),"")</f>
        <v>25000</v>
      </c>
      <c r="DJ57" s="50">
        <f>IFERROR(LOOKUP(DJ$15,HourlyTimeseries!$A:$A,HourlyTimeseries!$J:$J),"")</f>
        <v>25000</v>
      </c>
      <c r="DK57" s="50">
        <f>IFERROR(LOOKUP(DK$15,HourlyTimeseries!$A:$A,HourlyTimeseries!$J:$J),"")</f>
        <v>25000</v>
      </c>
      <c r="DL57" s="50">
        <f>IFERROR(LOOKUP(DL$15,HourlyTimeseries!$A:$A,HourlyTimeseries!$J:$J),"")</f>
        <v>25000</v>
      </c>
      <c r="DM57" s="50">
        <f>IFERROR(LOOKUP(DM$15,HourlyTimeseries!$A:$A,HourlyTimeseries!$J:$J),"")</f>
        <v>25000</v>
      </c>
      <c r="DN57" s="50">
        <f>IFERROR(LOOKUP(DN$15,HourlyTimeseries!$A:$A,HourlyTimeseries!$J:$J),"")</f>
        <v>25000</v>
      </c>
      <c r="DO57" s="50">
        <f>IFERROR(LOOKUP(DO$15,HourlyTimeseries!$A:$A,HourlyTimeseries!$J:$J),"")</f>
        <v>25000</v>
      </c>
      <c r="DP57" s="50">
        <f>IFERROR(LOOKUP(DP$15,HourlyTimeseries!$A:$A,HourlyTimeseries!$J:$J),"")</f>
        <v>25000</v>
      </c>
      <c r="DQ57" s="50">
        <f>IFERROR(LOOKUP(DQ$15,HourlyTimeseries!$A:$A,HourlyTimeseries!$J:$J),"")</f>
        <v>25000</v>
      </c>
      <c r="DR57" s="50">
        <f>IFERROR(LOOKUP(DR$15,HourlyTimeseries!$A:$A,HourlyTimeseries!$J:$J),"")</f>
        <v>25000</v>
      </c>
      <c r="DS57" s="50">
        <f>IFERROR(LOOKUP(DS$15,HourlyTimeseries!$A:$A,HourlyTimeseries!$J:$J),"")</f>
        <v>25000</v>
      </c>
      <c r="DT57" s="59">
        <f>IFERROR(LOOKUP(DT$15,HourlyTimeseries!$A:$A,HourlyTimeseries!$J:$J),"")</f>
        <v>25000</v>
      </c>
      <c r="DU57" s="66">
        <f>IFERROR(LOOKUP(DU$15,HourlyTimeseries!$A:$A,HourlyTimeseries!$J:$J),"")</f>
        <v>25000</v>
      </c>
      <c r="DV57" s="50">
        <f>IFERROR(LOOKUP(DV$15,HourlyTimeseries!$A:$A,HourlyTimeseries!$J:$J),"")</f>
        <v>25000</v>
      </c>
      <c r="DW57" s="50">
        <f>IFERROR(LOOKUP(DW$15,HourlyTimeseries!$A:$A,HourlyTimeseries!$J:$J),"")</f>
        <v>25000</v>
      </c>
      <c r="DX57" s="50">
        <f>IFERROR(LOOKUP(DX$15,HourlyTimeseries!$A:$A,HourlyTimeseries!$J:$J),"")</f>
        <v>25000</v>
      </c>
      <c r="DY57" s="50">
        <f>IFERROR(LOOKUP(DY$15,HourlyTimeseries!$A:$A,HourlyTimeseries!$J:$J),"")</f>
        <v>25000</v>
      </c>
      <c r="DZ57" s="50">
        <f>IFERROR(LOOKUP(DZ$15,HourlyTimeseries!$A:$A,HourlyTimeseries!$J:$J),"")</f>
        <v>25000</v>
      </c>
      <c r="EA57" s="50">
        <f>IFERROR(LOOKUP(EA$15,HourlyTimeseries!$A:$A,HourlyTimeseries!$J:$J),"")</f>
        <v>25000</v>
      </c>
      <c r="EB57" s="50">
        <f>IFERROR(LOOKUP(EB$15,HourlyTimeseries!$A:$A,HourlyTimeseries!$J:$J),"")</f>
        <v>25000</v>
      </c>
      <c r="EC57" s="50">
        <f>IFERROR(LOOKUP(EC$15,HourlyTimeseries!$A:$A,HourlyTimeseries!$J:$J),"")</f>
        <v>25000</v>
      </c>
      <c r="ED57" s="50">
        <f>IFERROR(LOOKUP(ED$15,HourlyTimeseries!$A:$A,HourlyTimeseries!$J:$J),"")</f>
        <v>25000</v>
      </c>
      <c r="EE57" s="50">
        <f>IFERROR(LOOKUP(EE$15,HourlyTimeseries!$A:$A,HourlyTimeseries!$J:$J),"")</f>
        <v>25000</v>
      </c>
      <c r="EF57" s="50">
        <f>IFERROR(LOOKUP(EF$15,HourlyTimeseries!$A:$A,HourlyTimeseries!$J:$J),"")</f>
        <v>25000</v>
      </c>
      <c r="EG57" s="50">
        <f>IFERROR(LOOKUP(EG$15,HourlyTimeseries!$A:$A,HourlyTimeseries!$J:$J),"")</f>
        <v>25000</v>
      </c>
      <c r="EH57" s="50">
        <f>IFERROR(LOOKUP(EH$15,HourlyTimeseries!$A:$A,HourlyTimeseries!$J:$J),"")</f>
        <v>25000</v>
      </c>
      <c r="EI57" s="50">
        <f>IFERROR(LOOKUP(EI$15,HourlyTimeseries!$A:$A,HourlyTimeseries!$J:$J),"")</f>
        <v>25000</v>
      </c>
      <c r="EJ57" s="50">
        <f>IFERROR(LOOKUP(EJ$15,HourlyTimeseries!$A:$A,HourlyTimeseries!$J:$J),"")</f>
        <v>25000</v>
      </c>
      <c r="EK57" s="50">
        <f>IFERROR(LOOKUP(EK$15,HourlyTimeseries!$A:$A,HourlyTimeseries!$J:$J),"")</f>
        <v>25000</v>
      </c>
      <c r="EL57" s="50">
        <f>IFERROR(LOOKUP(EL$15,HourlyTimeseries!$A:$A,HourlyTimeseries!$J:$J),"")</f>
        <v>25000</v>
      </c>
      <c r="EM57" s="50">
        <f>IFERROR(LOOKUP(EM$15,HourlyTimeseries!$A:$A,HourlyTimeseries!$J:$J),"")</f>
        <v>25000</v>
      </c>
      <c r="EN57" s="50">
        <f>IFERROR(LOOKUP(EN$15,HourlyTimeseries!$A:$A,HourlyTimeseries!$J:$J),"")</f>
        <v>25000</v>
      </c>
      <c r="EO57" s="50">
        <f>IFERROR(LOOKUP(EO$15,HourlyTimeseries!$A:$A,HourlyTimeseries!$J:$J),"")</f>
        <v>25000</v>
      </c>
      <c r="EP57" s="50">
        <f>IFERROR(LOOKUP(EP$15,HourlyTimeseries!$A:$A,HourlyTimeseries!$J:$J),"")</f>
        <v>25000</v>
      </c>
      <c r="EQ57" s="50">
        <f>IFERROR(LOOKUP(EQ$15,HourlyTimeseries!$A:$A,HourlyTimeseries!$J:$J),"")</f>
        <v>25000</v>
      </c>
      <c r="ER57" s="59">
        <f>IFERROR(LOOKUP(ER$15,HourlyTimeseries!$A:$A,HourlyTimeseries!$J:$J),"")</f>
        <v>25000</v>
      </c>
      <c r="ES57" s="66">
        <f>IFERROR(LOOKUP(ES$15,HourlyTimeseries!$A:$A,HourlyTimeseries!$J:$J),"")</f>
        <v>25000</v>
      </c>
      <c r="ET57" s="50">
        <f>IFERROR(LOOKUP(ET$15,HourlyTimeseries!$A:$A,HourlyTimeseries!$J:$J),"")</f>
        <v>25000</v>
      </c>
      <c r="EU57" s="50">
        <f>IFERROR(LOOKUP(EU$15,HourlyTimeseries!$A:$A,HourlyTimeseries!$J:$J),"")</f>
        <v>25000</v>
      </c>
      <c r="EV57" s="50">
        <f>IFERROR(LOOKUP(EV$15,HourlyTimeseries!$A:$A,HourlyTimeseries!$J:$J),"")</f>
        <v>25000</v>
      </c>
      <c r="EW57" s="50">
        <f>IFERROR(LOOKUP(EW$15,HourlyTimeseries!$A:$A,HourlyTimeseries!$J:$J),"")</f>
        <v>25000</v>
      </c>
      <c r="EX57" s="50">
        <f>IFERROR(LOOKUP(EX$15,HourlyTimeseries!$A:$A,HourlyTimeseries!$J:$J),"")</f>
        <v>25000</v>
      </c>
      <c r="EY57" s="50">
        <f>IFERROR(LOOKUP(EY$15,HourlyTimeseries!$A:$A,HourlyTimeseries!$J:$J),"")</f>
        <v>25000</v>
      </c>
      <c r="EZ57" s="50">
        <f>IFERROR(LOOKUP(EZ$15,HourlyTimeseries!$A:$A,HourlyTimeseries!$J:$J),"")</f>
        <v>25000</v>
      </c>
      <c r="FA57" s="50">
        <f>IFERROR(LOOKUP(FA$15,HourlyTimeseries!$A:$A,HourlyTimeseries!$J:$J),"")</f>
        <v>25000</v>
      </c>
      <c r="FB57" s="50">
        <f>IFERROR(LOOKUP(FB$15,HourlyTimeseries!$A:$A,HourlyTimeseries!$J:$J),"")</f>
        <v>25000</v>
      </c>
      <c r="FC57" s="50">
        <f>IFERROR(LOOKUP(FC$15,HourlyTimeseries!$A:$A,HourlyTimeseries!$J:$J),"")</f>
        <v>25000</v>
      </c>
      <c r="FD57" s="50">
        <f>IFERROR(LOOKUP(FD$15,HourlyTimeseries!$A:$A,HourlyTimeseries!$J:$J),"")</f>
        <v>25000</v>
      </c>
      <c r="FE57" s="50">
        <f>IFERROR(LOOKUP(FE$15,HourlyTimeseries!$A:$A,HourlyTimeseries!$J:$J),"")</f>
        <v>25000</v>
      </c>
      <c r="FF57" s="50">
        <f>IFERROR(LOOKUP(FF$15,HourlyTimeseries!$A:$A,HourlyTimeseries!$J:$J),"")</f>
        <v>25000</v>
      </c>
      <c r="FG57" s="50">
        <f>IFERROR(LOOKUP(FG$15,HourlyTimeseries!$A:$A,HourlyTimeseries!$J:$J),"")</f>
        <v>25000</v>
      </c>
      <c r="FH57" s="50">
        <f>IFERROR(LOOKUP(FH$15,HourlyTimeseries!$A:$A,HourlyTimeseries!$J:$J),"")</f>
        <v>25000</v>
      </c>
      <c r="FI57" s="50">
        <f>IFERROR(LOOKUP(FI$15,HourlyTimeseries!$A:$A,HourlyTimeseries!$J:$J),"")</f>
        <v>25000</v>
      </c>
      <c r="FJ57" s="50">
        <f>IFERROR(LOOKUP(FJ$15,HourlyTimeseries!$A:$A,HourlyTimeseries!$J:$J),"")</f>
        <v>25000</v>
      </c>
      <c r="FK57" s="50">
        <f>IFERROR(LOOKUP(FK$15,HourlyTimeseries!$A:$A,HourlyTimeseries!$J:$J),"")</f>
        <v>25000</v>
      </c>
      <c r="FL57" s="50">
        <f>IFERROR(LOOKUP(FL$15,HourlyTimeseries!$A:$A,HourlyTimeseries!$J:$J),"")</f>
        <v>25000</v>
      </c>
      <c r="FM57" s="50">
        <f>IFERROR(LOOKUP(FM$15,HourlyTimeseries!$A:$A,HourlyTimeseries!$J:$J),"")</f>
        <v>25000</v>
      </c>
      <c r="FN57" s="50">
        <f>IFERROR(LOOKUP(FN$15,HourlyTimeseries!$A:$A,HourlyTimeseries!$J:$J),"")</f>
        <v>25000</v>
      </c>
      <c r="FO57" s="50">
        <f>IFERROR(LOOKUP(FO$15,HourlyTimeseries!$A:$A,HourlyTimeseries!$J:$J),"")</f>
        <v>25000</v>
      </c>
      <c r="FP57" s="59">
        <f>IFERROR(LOOKUP(FP$15,HourlyTimeseries!$A:$A,HourlyTimeseries!$J:$J),"")</f>
        <v>25000</v>
      </c>
    </row>
    <row r="58" spans="1:172" ht="15.75" customHeight="1">
      <c r="A58" s="28" t="s">
        <v>105</v>
      </c>
      <c r="B58" s="2" t="s">
        <v>101</v>
      </c>
      <c r="C58" s="8" t="s">
        <v>133</v>
      </c>
      <c r="D58" s="4" t="b">
        <v>1</v>
      </c>
      <c r="E58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1:172" ht="15.75" customHeight="1" thickBot="1">
      <c r="A59" s="16" t="s">
        <v>171</v>
      </c>
      <c r="B59" s="2" t="s">
        <v>182</v>
      </c>
      <c r="C59" s="2"/>
      <c r="D59" s="4" t="b">
        <v>0</v>
      </c>
    </row>
    <row r="60" spans="1:172">
      <c r="A60" s="15" t="s">
        <v>172</v>
      </c>
      <c r="B60" s="2" t="s">
        <v>173</v>
      </c>
      <c r="C60" s="8" t="s">
        <v>135</v>
      </c>
      <c r="D60" s="8">
        <v>15000</v>
      </c>
    </row>
    <row r="61" spans="1:172">
      <c r="A61" s="15" t="s">
        <v>174</v>
      </c>
      <c r="B61" s="2" t="s">
        <v>175</v>
      </c>
      <c r="C61" s="8" t="s">
        <v>135</v>
      </c>
      <c r="D61" s="8">
        <v>15000</v>
      </c>
    </row>
    <row r="62" spans="1:172">
      <c r="A62" s="15" t="s">
        <v>176</v>
      </c>
      <c r="B62" s="2" t="s">
        <v>177</v>
      </c>
      <c r="C62" s="8" t="s">
        <v>135</v>
      </c>
      <c r="D62" s="2"/>
      <c r="E62" s="50">
        <f>IFERROR(LOOKUP(E$15,HourlyTimeseries!$A:$A,HourlyTimeseries!$K:$K),"")</f>
        <v>5000</v>
      </c>
      <c r="F62" s="50">
        <f>IFERROR(LOOKUP(F$15,HourlyTimeseries!$A:$A,HourlyTimeseries!$K:$K),"")</f>
        <v>5000</v>
      </c>
      <c r="G62" s="50">
        <f>IFERROR(LOOKUP(G$15,HourlyTimeseries!$A:$A,HourlyTimeseries!$K:$K),"")</f>
        <v>5000</v>
      </c>
      <c r="H62" s="50">
        <f>IFERROR(LOOKUP(H$15,HourlyTimeseries!$A:$A,HourlyTimeseries!$K:$K),"")</f>
        <v>5000</v>
      </c>
      <c r="I62" s="50">
        <f>IFERROR(LOOKUP(I$15,HourlyTimeseries!$A:$A,HourlyTimeseries!$K:$K),"")</f>
        <v>5000</v>
      </c>
      <c r="J62" s="50">
        <f>IFERROR(LOOKUP(J$15,HourlyTimeseries!$A:$A,HourlyTimeseries!$K:$K),"")</f>
        <v>5000</v>
      </c>
      <c r="K62" s="50">
        <f>IFERROR(LOOKUP(K$15,HourlyTimeseries!$A:$A,HourlyTimeseries!$K:$K),"")</f>
        <v>8000</v>
      </c>
      <c r="L62" s="50">
        <f>IFERROR(LOOKUP(L$15,HourlyTimeseries!$A:$A,HourlyTimeseries!$K:$K),"")</f>
        <v>8000</v>
      </c>
      <c r="M62" s="50">
        <f>IFERROR(LOOKUP(M$15,HourlyTimeseries!$A:$A,HourlyTimeseries!$K:$K),"")</f>
        <v>8000</v>
      </c>
      <c r="N62" s="50">
        <f>IFERROR(LOOKUP(N$15,HourlyTimeseries!$A:$A,HourlyTimeseries!$K:$K),"")</f>
        <v>8000</v>
      </c>
      <c r="O62" s="50">
        <f>IFERROR(LOOKUP(O$15,HourlyTimeseries!$A:$A,HourlyTimeseries!$K:$K),"")</f>
        <v>8000</v>
      </c>
      <c r="P62" s="50">
        <f>IFERROR(LOOKUP(P$15,HourlyTimeseries!$A:$A,HourlyTimeseries!$K:$K),"")</f>
        <v>8000</v>
      </c>
      <c r="Q62" s="50">
        <f>IFERROR(LOOKUP(Q$15,HourlyTimeseries!$A:$A,HourlyTimeseries!$K:$K),"")</f>
        <v>8000</v>
      </c>
      <c r="R62" s="50">
        <f>IFERROR(LOOKUP(R$15,HourlyTimeseries!$A:$A,HourlyTimeseries!$K:$K),"")</f>
        <v>8000</v>
      </c>
      <c r="S62" s="50">
        <f>IFERROR(LOOKUP(S$15,HourlyTimeseries!$A:$A,HourlyTimeseries!$K:$K),"")</f>
        <v>8000</v>
      </c>
      <c r="T62" s="50">
        <f>IFERROR(LOOKUP(T$15,HourlyTimeseries!$A:$A,HourlyTimeseries!$K:$K),"")</f>
        <v>8000</v>
      </c>
      <c r="U62" s="50">
        <f>IFERROR(LOOKUP(U$15,HourlyTimeseries!$A:$A,HourlyTimeseries!$K:$K),"")</f>
        <v>8000</v>
      </c>
      <c r="V62" s="50">
        <f>IFERROR(LOOKUP(V$15,HourlyTimeseries!$A:$A,HourlyTimeseries!$K:$K),"")</f>
        <v>8000</v>
      </c>
      <c r="W62" s="50">
        <f>IFERROR(LOOKUP(W$15,HourlyTimeseries!$A:$A,HourlyTimeseries!$K:$K),"")</f>
        <v>5000</v>
      </c>
      <c r="X62" s="50">
        <f>IFERROR(LOOKUP(X$15,HourlyTimeseries!$A:$A,HourlyTimeseries!$K:$K),"")</f>
        <v>5000</v>
      </c>
      <c r="Y62" s="50">
        <f>IFERROR(LOOKUP(Y$15,HourlyTimeseries!$A:$A,HourlyTimeseries!$K:$K),"")</f>
        <v>5000</v>
      </c>
      <c r="Z62" s="50">
        <f>IFERROR(LOOKUP(Z$15,HourlyTimeseries!$A:$A,HourlyTimeseries!$K:$K),"")</f>
        <v>5000</v>
      </c>
      <c r="AA62" s="50">
        <f>IFERROR(LOOKUP(AA$15,HourlyTimeseries!$A:$A,HourlyTimeseries!$K:$K),"")</f>
        <v>5000</v>
      </c>
      <c r="AB62" s="59">
        <f>IFERROR(LOOKUP(AB$15,HourlyTimeseries!$A:$A,HourlyTimeseries!$K:$K),"")</f>
        <v>5000</v>
      </c>
      <c r="AC62" s="66">
        <f>IFERROR(LOOKUP(AC$15,HourlyTimeseries!$A:$A,HourlyTimeseries!$K:$K),"")</f>
        <v>5000</v>
      </c>
      <c r="AD62" s="50">
        <f>IFERROR(LOOKUP(AD$15,HourlyTimeseries!$A:$A,HourlyTimeseries!$K:$K),"")</f>
        <v>5000</v>
      </c>
      <c r="AE62" s="50">
        <f>IFERROR(LOOKUP(AE$15,HourlyTimeseries!$A:$A,HourlyTimeseries!$K:$K),"")</f>
        <v>5000</v>
      </c>
      <c r="AF62" s="50">
        <f>IFERROR(LOOKUP(AF$15,HourlyTimeseries!$A:$A,HourlyTimeseries!$K:$K),"")</f>
        <v>5000</v>
      </c>
      <c r="AG62" s="50">
        <f>IFERROR(LOOKUP(AG$15,HourlyTimeseries!$A:$A,HourlyTimeseries!$K:$K),"")</f>
        <v>5000</v>
      </c>
      <c r="AH62" s="50">
        <f>IFERROR(LOOKUP(AH$15,HourlyTimeseries!$A:$A,HourlyTimeseries!$K:$K),"")</f>
        <v>5000</v>
      </c>
      <c r="AI62" s="50">
        <f>IFERROR(LOOKUP(AI$15,HourlyTimeseries!$A:$A,HourlyTimeseries!$K:$K),"")</f>
        <v>8000</v>
      </c>
      <c r="AJ62" s="50">
        <f>IFERROR(LOOKUP(AJ$15,HourlyTimeseries!$A:$A,HourlyTimeseries!$K:$K),"")</f>
        <v>8000</v>
      </c>
      <c r="AK62" s="50">
        <f>IFERROR(LOOKUP(AK$15,HourlyTimeseries!$A:$A,HourlyTimeseries!$K:$K),"")</f>
        <v>8000</v>
      </c>
      <c r="AL62" s="50">
        <f>IFERROR(LOOKUP(AL$15,HourlyTimeseries!$A:$A,HourlyTimeseries!$K:$K),"")</f>
        <v>8000</v>
      </c>
      <c r="AM62" s="50">
        <f>IFERROR(LOOKUP(AM$15,HourlyTimeseries!$A:$A,HourlyTimeseries!$K:$K),"")</f>
        <v>8000</v>
      </c>
      <c r="AN62" s="50">
        <f>IFERROR(LOOKUP(AN$15,HourlyTimeseries!$A:$A,HourlyTimeseries!$K:$K),"")</f>
        <v>8000</v>
      </c>
      <c r="AO62" s="50">
        <f>IFERROR(LOOKUP(AO$15,HourlyTimeseries!$A:$A,HourlyTimeseries!$K:$K),"")</f>
        <v>8000</v>
      </c>
      <c r="AP62" s="50">
        <f>IFERROR(LOOKUP(AP$15,HourlyTimeseries!$A:$A,HourlyTimeseries!$K:$K),"")</f>
        <v>8000</v>
      </c>
      <c r="AQ62" s="50">
        <f>IFERROR(LOOKUP(AQ$15,HourlyTimeseries!$A:$A,HourlyTimeseries!$K:$K),"")</f>
        <v>8000</v>
      </c>
      <c r="AR62" s="50">
        <f>IFERROR(LOOKUP(AR$15,HourlyTimeseries!$A:$A,HourlyTimeseries!$K:$K),"")</f>
        <v>8000</v>
      </c>
      <c r="AS62" s="50">
        <f>IFERROR(LOOKUP(AS$15,HourlyTimeseries!$A:$A,HourlyTimeseries!$K:$K),"")</f>
        <v>8000</v>
      </c>
      <c r="AT62" s="50">
        <f>IFERROR(LOOKUP(AT$15,HourlyTimeseries!$A:$A,HourlyTimeseries!$K:$K),"")</f>
        <v>8000</v>
      </c>
      <c r="AU62" s="50">
        <f>IFERROR(LOOKUP(AU$15,HourlyTimeseries!$A:$A,HourlyTimeseries!$K:$K),"")</f>
        <v>5000</v>
      </c>
      <c r="AV62" s="50">
        <f>IFERROR(LOOKUP(AV$15,HourlyTimeseries!$A:$A,HourlyTimeseries!$K:$K),"")</f>
        <v>5000</v>
      </c>
      <c r="AW62" s="50">
        <f>IFERROR(LOOKUP(AW$15,HourlyTimeseries!$A:$A,HourlyTimeseries!$K:$K),"")</f>
        <v>5000</v>
      </c>
      <c r="AX62" s="50">
        <f>IFERROR(LOOKUP(AX$15,HourlyTimeseries!$A:$A,HourlyTimeseries!$K:$K),"")</f>
        <v>5000</v>
      </c>
      <c r="AY62" s="50">
        <f>IFERROR(LOOKUP(AY$15,HourlyTimeseries!$A:$A,HourlyTimeseries!$K:$K),"")</f>
        <v>5000</v>
      </c>
      <c r="AZ62" s="59">
        <f>IFERROR(LOOKUP(AZ$15,HourlyTimeseries!$A:$A,HourlyTimeseries!$K:$K),"")</f>
        <v>5000</v>
      </c>
      <c r="BA62" s="66">
        <f>IFERROR(LOOKUP(BA$15,HourlyTimeseries!$A:$A,HourlyTimeseries!$K:$K),"")</f>
        <v>5000</v>
      </c>
      <c r="BB62" s="50">
        <f>IFERROR(LOOKUP(BB$15,HourlyTimeseries!$A:$A,HourlyTimeseries!$K:$K),"")</f>
        <v>5000</v>
      </c>
      <c r="BC62" s="50">
        <f>IFERROR(LOOKUP(BC$15,HourlyTimeseries!$A:$A,HourlyTimeseries!$K:$K),"")</f>
        <v>5000</v>
      </c>
      <c r="BD62" s="50">
        <f>IFERROR(LOOKUP(BD$15,HourlyTimeseries!$A:$A,HourlyTimeseries!$K:$K),"")</f>
        <v>5000</v>
      </c>
      <c r="BE62" s="50">
        <f>IFERROR(LOOKUP(BE$15,HourlyTimeseries!$A:$A,HourlyTimeseries!$K:$K),"")</f>
        <v>5000</v>
      </c>
      <c r="BF62" s="50">
        <f>IFERROR(LOOKUP(BF$15,HourlyTimeseries!$A:$A,HourlyTimeseries!$K:$K),"")</f>
        <v>5000</v>
      </c>
      <c r="BG62" s="50">
        <f>IFERROR(LOOKUP(BG$15,HourlyTimeseries!$A:$A,HourlyTimeseries!$K:$K),"")</f>
        <v>8000</v>
      </c>
      <c r="BH62" s="50">
        <f>IFERROR(LOOKUP(BH$15,HourlyTimeseries!$A:$A,HourlyTimeseries!$K:$K),"")</f>
        <v>8000</v>
      </c>
      <c r="BI62" s="50">
        <f>IFERROR(LOOKUP(BI$15,HourlyTimeseries!$A:$A,HourlyTimeseries!$K:$K),"")</f>
        <v>8000</v>
      </c>
      <c r="BJ62" s="50">
        <f>IFERROR(LOOKUP(BJ$15,HourlyTimeseries!$A:$A,HourlyTimeseries!$K:$K),"")</f>
        <v>8000</v>
      </c>
      <c r="BK62" s="50">
        <f>IFERROR(LOOKUP(BK$15,HourlyTimeseries!$A:$A,HourlyTimeseries!$K:$K),"")</f>
        <v>8000</v>
      </c>
      <c r="BL62" s="50">
        <f>IFERROR(LOOKUP(BL$15,HourlyTimeseries!$A:$A,HourlyTimeseries!$K:$K),"")</f>
        <v>8000</v>
      </c>
      <c r="BM62" s="50">
        <f>IFERROR(LOOKUP(BM$15,HourlyTimeseries!$A:$A,HourlyTimeseries!$K:$K),"")</f>
        <v>8000</v>
      </c>
      <c r="BN62" s="50">
        <f>IFERROR(LOOKUP(BN$15,HourlyTimeseries!$A:$A,HourlyTimeseries!$K:$K),"")</f>
        <v>8000</v>
      </c>
      <c r="BO62" s="50">
        <f>IFERROR(LOOKUP(BO$15,HourlyTimeseries!$A:$A,HourlyTimeseries!$K:$K),"")</f>
        <v>8000</v>
      </c>
      <c r="BP62" s="50">
        <f>IFERROR(LOOKUP(BP$15,HourlyTimeseries!$A:$A,HourlyTimeseries!$K:$K),"")</f>
        <v>8000</v>
      </c>
      <c r="BQ62" s="50">
        <f>IFERROR(LOOKUP(BQ$15,HourlyTimeseries!$A:$A,HourlyTimeseries!$K:$K),"")</f>
        <v>8000</v>
      </c>
      <c r="BR62" s="50">
        <f>IFERROR(LOOKUP(BR$15,HourlyTimeseries!$A:$A,HourlyTimeseries!$K:$K),"")</f>
        <v>8000</v>
      </c>
      <c r="BS62" s="50">
        <f>IFERROR(LOOKUP(BS$15,HourlyTimeseries!$A:$A,HourlyTimeseries!$K:$K),"")</f>
        <v>5000</v>
      </c>
      <c r="BT62" s="50">
        <f>IFERROR(LOOKUP(BT$15,HourlyTimeseries!$A:$A,HourlyTimeseries!$K:$K),"")</f>
        <v>5000</v>
      </c>
      <c r="BU62" s="50">
        <f>IFERROR(LOOKUP(BU$15,HourlyTimeseries!$A:$A,HourlyTimeseries!$K:$K),"")</f>
        <v>5000</v>
      </c>
      <c r="BV62" s="50">
        <f>IFERROR(LOOKUP(BV$15,HourlyTimeseries!$A:$A,HourlyTimeseries!$K:$K),"")</f>
        <v>5000</v>
      </c>
      <c r="BW62" s="50">
        <f>IFERROR(LOOKUP(BW$15,HourlyTimeseries!$A:$A,HourlyTimeseries!$K:$K),"")</f>
        <v>5000</v>
      </c>
      <c r="BX62" s="59">
        <f>IFERROR(LOOKUP(BX$15,HourlyTimeseries!$A:$A,HourlyTimeseries!$K:$K),"")</f>
        <v>5000</v>
      </c>
      <c r="BY62" s="66">
        <f>IFERROR(LOOKUP(BY$15,HourlyTimeseries!$A:$A,HourlyTimeseries!$K:$K),"")</f>
        <v>5000</v>
      </c>
      <c r="BZ62" s="50">
        <f>IFERROR(LOOKUP(BZ$15,HourlyTimeseries!$A:$A,HourlyTimeseries!$K:$K),"")</f>
        <v>5000</v>
      </c>
      <c r="CA62" s="50">
        <f>IFERROR(LOOKUP(CA$15,HourlyTimeseries!$A:$A,HourlyTimeseries!$K:$K),"")</f>
        <v>5000</v>
      </c>
      <c r="CB62" s="50">
        <f>IFERROR(LOOKUP(CB$15,HourlyTimeseries!$A:$A,HourlyTimeseries!$K:$K),"")</f>
        <v>5000</v>
      </c>
      <c r="CC62" s="50">
        <f>IFERROR(LOOKUP(CC$15,HourlyTimeseries!$A:$A,HourlyTimeseries!$K:$K),"")</f>
        <v>5000</v>
      </c>
      <c r="CD62" s="50">
        <f>IFERROR(LOOKUP(CD$15,HourlyTimeseries!$A:$A,HourlyTimeseries!$K:$K),"")</f>
        <v>5000</v>
      </c>
      <c r="CE62" s="50">
        <f>IFERROR(LOOKUP(CE$15,HourlyTimeseries!$A:$A,HourlyTimeseries!$K:$K),"")</f>
        <v>8000</v>
      </c>
      <c r="CF62" s="50">
        <f>IFERROR(LOOKUP(CF$15,HourlyTimeseries!$A:$A,HourlyTimeseries!$K:$K),"")</f>
        <v>8000</v>
      </c>
      <c r="CG62" s="50">
        <f>IFERROR(LOOKUP(CG$15,HourlyTimeseries!$A:$A,HourlyTimeseries!$K:$K),"")</f>
        <v>8000</v>
      </c>
      <c r="CH62" s="50">
        <f>IFERROR(LOOKUP(CH$15,HourlyTimeseries!$A:$A,HourlyTimeseries!$K:$K),"")</f>
        <v>8000</v>
      </c>
      <c r="CI62" s="50">
        <f>IFERROR(LOOKUP(CI$15,HourlyTimeseries!$A:$A,HourlyTimeseries!$K:$K),"")</f>
        <v>8000</v>
      </c>
      <c r="CJ62" s="50">
        <f>IFERROR(LOOKUP(CJ$15,HourlyTimeseries!$A:$A,HourlyTimeseries!$K:$K),"")</f>
        <v>8000</v>
      </c>
      <c r="CK62" s="50">
        <f>IFERROR(LOOKUP(CK$15,HourlyTimeseries!$A:$A,HourlyTimeseries!$K:$K),"")</f>
        <v>8000</v>
      </c>
      <c r="CL62" s="50">
        <f>IFERROR(LOOKUP(CL$15,HourlyTimeseries!$A:$A,HourlyTimeseries!$K:$K),"")</f>
        <v>8000</v>
      </c>
      <c r="CM62" s="50">
        <f>IFERROR(LOOKUP(CM$15,HourlyTimeseries!$A:$A,HourlyTimeseries!$K:$K),"")</f>
        <v>8000</v>
      </c>
      <c r="CN62" s="50">
        <f>IFERROR(LOOKUP(CN$15,HourlyTimeseries!$A:$A,HourlyTimeseries!$K:$K),"")</f>
        <v>8000</v>
      </c>
      <c r="CO62" s="50">
        <f>IFERROR(LOOKUP(CO$15,HourlyTimeseries!$A:$A,HourlyTimeseries!$K:$K),"")</f>
        <v>8000</v>
      </c>
      <c r="CP62" s="50">
        <f>IFERROR(LOOKUP(CP$15,HourlyTimeseries!$A:$A,HourlyTimeseries!$K:$K),"")</f>
        <v>8000</v>
      </c>
      <c r="CQ62" s="50">
        <f>IFERROR(LOOKUP(CQ$15,HourlyTimeseries!$A:$A,HourlyTimeseries!$K:$K),"")</f>
        <v>5000</v>
      </c>
      <c r="CR62" s="50">
        <f>IFERROR(LOOKUP(CR$15,HourlyTimeseries!$A:$A,HourlyTimeseries!$K:$K),"")</f>
        <v>5000</v>
      </c>
      <c r="CS62" s="50">
        <f>IFERROR(LOOKUP(CS$15,HourlyTimeseries!$A:$A,HourlyTimeseries!$K:$K),"")</f>
        <v>5000</v>
      </c>
      <c r="CT62" s="50">
        <f>IFERROR(LOOKUP(CT$15,HourlyTimeseries!$A:$A,HourlyTimeseries!$K:$K),"")</f>
        <v>5000</v>
      </c>
      <c r="CU62" s="50">
        <f>IFERROR(LOOKUP(CU$15,HourlyTimeseries!$A:$A,HourlyTimeseries!$K:$K),"")</f>
        <v>5000</v>
      </c>
      <c r="CV62" s="59">
        <f>IFERROR(LOOKUP(CV$15,HourlyTimeseries!$A:$A,HourlyTimeseries!$K:$K),"")</f>
        <v>5000</v>
      </c>
      <c r="CW62" s="66">
        <f>IFERROR(LOOKUP(CW$15,HourlyTimeseries!$A:$A,HourlyTimeseries!$K:$K),"")</f>
        <v>5000</v>
      </c>
      <c r="CX62" s="50">
        <f>IFERROR(LOOKUP(CX$15,HourlyTimeseries!$A:$A,HourlyTimeseries!$K:$K),"")</f>
        <v>5000</v>
      </c>
      <c r="CY62" s="50">
        <f>IFERROR(LOOKUP(CY$15,HourlyTimeseries!$A:$A,HourlyTimeseries!$K:$K),"")</f>
        <v>5000</v>
      </c>
      <c r="CZ62" s="50">
        <f>IFERROR(LOOKUP(CZ$15,HourlyTimeseries!$A:$A,HourlyTimeseries!$K:$K),"")</f>
        <v>5000</v>
      </c>
      <c r="DA62" s="50">
        <f>IFERROR(LOOKUP(DA$15,HourlyTimeseries!$A:$A,HourlyTimeseries!$K:$K),"")</f>
        <v>5000</v>
      </c>
      <c r="DB62" s="50">
        <f>IFERROR(LOOKUP(DB$15,HourlyTimeseries!$A:$A,HourlyTimeseries!$K:$K),"")</f>
        <v>5000</v>
      </c>
      <c r="DC62" s="50">
        <f>IFERROR(LOOKUP(DC$15,HourlyTimeseries!$A:$A,HourlyTimeseries!$K:$K),"")</f>
        <v>8000</v>
      </c>
      <c r="DD62" s="50">
        <f>IFERROR(LOOKUP(DD$15,HourlyTimeseries!$A:$A,HourlyTimeseries!$K:$K),"")</f>
        <v>8000</v>
      </c>
      <c r="DE62" s="50">
        <f>IFERROR(LOOKUP(DE$15,HourlyTimeseries!$A:$A,HourlyTimeseries!$K:$K),"")</f>
        <v>8000</v>
      </c>
      <c r="DF62" s="50">
        <f>IFERROR(LOOKUP(DF$15,HourlyTimeseries!$A:$A,HourlyTimeseries!$K:$K),"")</f>
        <v>8000</v>
      </c>
      <c r="DG62" s="50">
        <f>IFERROR(LOOKUP(DG$15,HourlyTimeseries!$A:$A,HourlyTimeseries!$K:$K),"")</f>
        <v>8000</v>
      </c>
      <c r="DH62" s="50">
        <f>IFERROR(LOOKUP(DH$15,HourlyTimeseries!$A:$A,HourlyTimeseries!$K:$K),"")</f>
        <v>8000</v>
      </c>
      <c r="DI62" s="50">
        <f>IFERROR(LOOKUP(DI$15,HourlyTimeseries!$A:$A,HourlyTimeseries!$K:$K),"")</f>
        <v>8000</v>
      </c>
      <c r="DJ62" s="50">
        <f>IFERROR(LOOKUP(DJ$15,HourlyTimeseries!$A:$A,HourlyTimeseries!$K:$K),"")</f>
        <v>8000</v>
      </c>
      <c r="DK62" s="50">
        <f>IFERROR(LOOKUP(DK$15,HourlyTimeseries!$A:$A,HourlyTimeseries!$K:$K),"")</f>
        <v>8000</v>
      </c>
      <c r="DL62" s="50">
        <f>IFERROR(LOOKUP(DL$15,HourlyTimeseries!$A:$A,HourlyTimeseries!$K:$K),"")</f>
        <v>8000</v>
      </c>
      <c r="DM62" s="50">
        <f>IFERROR(LOOKUP(DM$15,HourlyTimeseries!$A:$A,HourlyTimeseries!$K:$K),"")</f>
        <v>8000</v>
      </c>
      <c r="DN62" s="50">
        <f>IFERROR(LOOKUP(DN$15,HourlyTimeseries!$A:$A,HourlyTimeseries!$K:$K),"")</f>
        <v>8000</v>
      </c>
      <c r="DO62" s="50">
        <f>IFERROR(LOOKUP(DO$15,HourlyTimeseries!$A:$A,HourlyTimeseries!$K:$K),"")</f>
        <v>5000</v>
      </c>
      <c r="DP62" s="50">
        <f>IFERROR(LOOKUP(DP$15,HourlyTimeseries!$A:$A,HourlyTimeseries!$K:$K),"")</f>
        <v>5000</v>
      </c>
      <c r="DQ62" s="50">
        <f>IFERROR(LOOKUP(DQ$15,HourlyTimeseries!$A:$A,HourlyTimeseries!$K:$K),"")</f>
        <v>5000</v>
      </c>
      <c r="DR62" s="50">
        <f>IFERROR(LOOKUP(DR$15,HourlyTimeseries!$A:$A,HourlyTimeseries!$K:$K),"")</f>
        <v>5000</v>
      </c>
      <c r="DS62" s="50">
        <f>IFERROR(LOOKUP(DS$15,HourlyTimeseries!$A:$A,HourlyTimeseries!$K:$K),"")</f>
        <v>5000</v>
      </c>
      <c r="DT62" s="59">
        <f>IFERROR(LOOKUP(DT$15,HourlyTimeseries!$A:$A,HourlyTimeseries!$K:$K),"")</f>
        <v>5000</v>
      </c>
      <c r="DU62" s="66">
        <f>IFERROR(LOOKUP(DU$15,HourlyTimeseries!$A:$A,HourlyTimeseries!$K:$K),"")</f>
        <v>5000</v>
      </c>
      <c r="DV62" s="50">
        <f>IFERROR(LOOKUP(DV$15,HourlyTimeseries!$A:$A,HourlyTimeseries!$K:$K),"")</f>
        <v>5000</v>
      </c>
      <c r="DW62" s="50">
        <f>IFERROR(LOOKUP(DW$15,HourlyTimeseries!$A:$A,HourlyTimeseries!$K:$K),"")</f>
        <v>5000</v>
      </c>
      <c r="DX62" s="50">
        <f>IFERROR(LOOKUP(DX$15,HourlyTimeseries!$A:$A,HourlyTimeseries!$K:$K),"")</f>
        <v>5000</v>
      </c>
      <c r="DY62" s="50">
        <f>IFERROR(LOOKUP(DY$15,HourlyTimeseries!$A:$A,HourlyTimeseries!$K:$K),"")</f>
        <v>5000</v>
      </c>
      <c r="DZ62" s="50">
        <f>IFERROR(LOOKUP(DZ$15,HourlyTimeseries!$A:$A,HourlyTimeseries!$K:$K),"")</f>
        <v>5000</v>
      </c>
      <c r="EA62" s="50">
        <f>IFERROR(LOOKUP(EA$15,HourlyTimeseries!$A:$A,HourlyTimeseries!$K:$K),"")</f>
        <v>8000</v>
      </c>
      <c r="EB62" s="50">
        <f>IFERROR(LOOKUP(EB$15,HourlyTimeseries!$A:$A,HourlyTimeseries!$K:$K),"")</f>
        <v>8000</v>
      </c>
      <c r="EC62" s="50">
        <f>IFERROR(LOOKUP(EC$15,HourlyTimeseries!$A:$A,HourlyTimeseries!$K:$K),"")</f>
        <v>8000</v>
      </c>
      <c r="ED62" s="50">
        <f>IFERROR(LOOKUP(ED$15,HourlyTimeseries!$A:$A,HourlyTimeseries!$K:$K),"")</f>
        <v>8000</v>
      </c>
      <c r="EE62" s="50">
        <f>IFERROR(LOOKUP(EE$15,HourlyTimeseries!$A:$A,HourlyTimeseries!$K:$K),"")</f>
        <v>8000</v>
      </c>
      <c r="EF62" s="50">
        <f>IFERROR(LOOKUP(EF$15,HourlyTimeseries!$A:$A,HourlyTimeseries!$K:$K),"")</f>
        <v>8000</v>
      </c>
      <c r="EG62" s="50">
        <f>IFERROR(LOOKUP(EG$15,HourlyTimeseries!$A:$A,HourlyTimeseries!$K:$K),"")</f>
        <v>8000</v>
      </c>
      <c r="EH62" s="50">
        <f>IFERROR(LOOKUP(EH$15,HourlyTimeseries!$A:$A,HourlyTimeseries!$K:$K),"")</f>
        <v>8000</v>
      </c>
      <c r="EI62" s="50">
        <f>IFERROR(LOOKUP(EI$15,HourlyTimeseries!$A:$A,HourlyTimeseries!$K:$K),"")</f>
        <v>8000</v>
      </c>
      <c r="EJ62" s="50">
        <f>IFERROR(LOOKUP(EJ$15,HourlyTimeseries!$A:$A,HourlyTimeseries!$K:$K),"")</f>
        <v>8000</v>
      </c>
      <c r="EK62" s="50">
        <f>IFERROR(LOOKUP(EK$15,HourlyTimeseries!$A:$A,HourlyTimeseries!$K:$K),"")</f>
        <v>8000</v>
      </c>
      <c r="EL62" s="50">
        <f>IFERROR(LOOKUP(EL$15,HourlyTimeseries!$A:$A,HourlyTimeseries!$K:$K),"")</f>
        <v>8000</v>
      </c>
      <c r="EM62" s="50">
        <f>IFERROR(LOOKUP(EM$15,HourlyTimeseries!$A:$A,HourlyTimeseries!$K:$K),"")</f>
        <v>5000</v>
      </c>
      <c r="EN62" s="50">
        <f>IFERROR(LOOKUP(EN$15,HourlyTimeseries!$A:$A,HourlyTimeseries!$K:$K),"")</f>
        <v>5000</v>
      </c>
      <c r="EO62" s="50">
        <f>IFERROR(LOOKUP(EO$15,HourlyTimeseries!$A:$A,HourlyTimeseries!$K:$K),"")</f>
        <v>5000</v>
      </c>
      <c r="EP62" s="50">
        <f>IFERROR(LOOKUP(EP$15,HourlyTimeseries!$A:$A,HourlyTimeseries!$K:$K),"")</f>
        <v>5000</v>
      </c>
      <c r="EQ62" s="50">
        <f>IFERROR(LOOKUP(EQ$15,HourlyTimeseries!$A:$A,HourlyTimeseries!$K:$K),"")</f>
        <v>5000</v>
      </c>
      <c r="ER62" s="59">
        <f>IFERROR(LOOKUP(ER$15,HourlyTimeseries!$A:$A,HourlyTimeseries!$K:$K),"")</f>
        <v>5000</v>
      </c>
      <c r="ES62" s="66">
        <f>IFERROR(LOOKUP(ES$15,HourlyTimeseries!$A:$A,HourlyTimeseries!$K:$K),"")</f>
        <v>5000</v>
      </c>
      <c r="ET62" s="50">
        <f>IFERROR(LOOKUP(ET$15,HourlyTimeseries!$A:$A,HourlyTimeseries!$K:$K),"")</f>
        <v>5000</v>
      </c>
      <c r="EU62" s="50">
        <f>IFERROR(LOOKUP(EU$15,HourlyTimeseries!$A:$A,HourlyTimeseries!$K:$K),"")</f>
        <v>5000</v>
      </c>
      <c r="EV62" s="50">
        <f>IFERROR(LOOKUP(EV$15,HourlyTimeseries!$A:$A,HourlyTimeseries!$K:$K),"")</f>
        <v>5000</v>
      </c>
      <c r="EW62" s="50">
        <f>IFERROR(LOOKUP(EW$15,HourlyTimeseries!$A:$A,HourlyTimeseries!$K:$K),"")</f>
        <v>5000</v>
      </c>
      <c r="EX62" s="50">
        <f>IFERROR(LOOKUP(EX$15,HourlyTimeseries!$A:$A,HourlyTimeseries!$K:$K),"")</f>
        <v>5000</v>
      </c>
      <c r="EY62" s="50">
        <f>IFERROR(LOOKUP(EY$15,HourlyTimeseries!$A:$A,HourlyTimeseries!$K:$K),"")</f>
        <v>8000</v>
      </c>
      <c r="EZ62" s="50">
        <f>IFERROR(LOOKUP(EZ$15,HourlyTimeseries!$A:$A,HourlyTimeseries!$K:$K),"")</f>
        <v>8000</v>
      </c>
      <c r="FA62" s="50">
        <f>IFERROR(LOOKUP(FA$15,HourlyTimeseries!$A:$A,HourlyTimeseries!$K:$K),"")</f>
        <v>8000</v>
      </c>
      <c r="FB62" s="50">
        <f>IFERROR(LOOKUP(FB$15,HourlyTimeseries!$A:$A,HourlyTimeseries!$K:$K),"")</f>
        <v>8000</v>
      </c>
      <c r="FC62" s="50">
        <f>IFERROR(LOOKUP(FC$15,HourlyTimeseries!$A:$A,HourlyTimeseries!$K:$K),"")</f>
        <v>8000</v>
      </c>
      <c r="FD62" s="50">
        <f>IFERROR(LOOKUP(FD$15,HourlyTimeseries!$A:$A,HourlyTimeseries!$K:$K),"")</f>
        <v>8000</v>
      </c>
      <c r="FE62" s="50">
        <f>IFERROR(LOOKUP(FE$15,HourlyTimeseries!$A:$A,HourlyTimeseries!$K:$K),"")</f>
        <v>8000</v>
      </c>
      <c r="FF62" s="50">
        <f>IFERROR(LOOKUP(FF$15,HourlyTimeseries!$A:$A,HourlyTimeseries!$K:$K),"")</f>
        <v>8000</v>
      </c>
      <c r="FG62" s="50">
        <f>IFERROR(LOOKUP(FG$15,HourlyTimeseries!$A:$A,HourlyTimeseries!$K:$K),"")</f>
        <v>8000</v>
      </c>
      <c r="FH62" s="50">
        <f>IFERROR(LOOKUP(FH$15,HourlyTimeseries!$A:$A,HourlyTimeseries!$K:$K),"")</f>
        <v>8000</v>
      </c>
      <c r="FI62" s="50">
        <f>IFERROR(LOOKUP(FI$15,HourlyTimeseries!$A:$A,HourlyTimeseries!$K:$K),"")</f>
        <v>8000</v>
      </c>
      <c r="FJ62" s="50">
        <f>IFERROR(LOOKUP(FJ$15,HourlyTimeseries!$A:$A,HourlyTimeseries!$K:$K),"")</f>
        <v>8000</v>
      </c>
      <c r="FK62" s="50">
        <f>IFERROR(LOOKUP(FK$15,HourlyTimeseries!$A:$A,HourlyTimeseries!$K:$K),"")</f>
        <v>5000</v>
      </c>
      <c r="FL62" s="50">
        <f>IFERROR(LOOKUP(FL$15,HourlyTimeseries!$A:$A,HourlyTimeseries!$K:$K),"")</f>
        <v>5000</v>
      </c>
      <c r="FM62" s="50">
        <f>IFERROR(LOOKUP(FM$15,HourlyTimeseries!$A:$A,HourlyTimeseries!$K:$K),"")</f>
        <v>5000</v>
      </c>
      <c r="FN62" s="50">
        <f>IFERROR(LOOKUP(FN$15,HourlyTimeseries!$A:$A,HourlyTimeseries!$K:$K),"")</f>
        <v>5000</v>
      </c>
      <c r="FO62" s="50">
        <f>IFERROR(LOOKUP(FO$15,HourlyTimeseries!$A:$A,HourlyTimeseries!$K:$K),"")</f>
        <v>5000</v>
      </c>
      <c r="FP62" s="59">
        <f>IFERROR(LOOKUP(FP$15,HourlyTimeseries!$A:$A,HourlyTimeseries!$K:$K),"")</f>
        <v>5000</v>
      </c>
    </row>
    <row r="63" spans="1:172">
      <c r="A63" s="15" t="s">
        <v>178</v>
      </c>
      <c r="B63" s="2" t="s">
        <v>179</v>
      </c>
      <c r="C63" s="8" t="s">
        <v>135</v>
      </c>
      <c r="D63" s="2"/>
      <c r="E63" s="50">
        <f>IFERROR(LOOKUP(E$15,HourlyTimeseries!$A:$A,HourlyTimeseries!$L:$L),"")</f>
        <v>25000</v>
      </c>
      <c r="F63" s="50">
        <f>IFERROR(LOOKUP(F$15,HourlyTimeseries!$A:$A,HourlyTimeseries!$L:$L),"")</f>
        <v>25000</v>
      </c>
      <c r="G63" s="50">
        <f>IFERROR(LOOKUP(G$15,HourlyTimeseries!$A:$A,HourlyTimeseries!$L:$L),"")</f>
        <v>25000</v>
      </c>
      <c r="H63" s="50">
        <f>IFERROR(LOOKUP(H$15,HourlyTimeseries!$A:$A,HourlyTimeseries!$L:$L),"")</f>
        <v>25000</v>
      </c>
      <c r="I63" s="50">
        <f>IFERROR(LOOKUP(I$15,HourlyTimeseries!$A:$A,HourlyTimeseries!$L:$L),"")</f>
        <v>25000</v>
      </c>
      <c r="J63" s="50">
        <f>IFERROR(LOOKUP(J$15,HourlyTimeseries!$A:$A,HourlyTimeseries!$L:$L),"")</f>
        <v>25000</v>
      </c>
      <c r="K63" s="50">
        <f>IFERROR(LOOKUP(K$15,HourlyTimeseries!$A:$A,HourlyTimeseries!$L:$L),"")</f>
        <v>25000</v>
      </c>
      <c r="L63" s="50">
        <f>IFERROR(LOOKUP(L$15,HourlyTimeseries!$A:$A,HourlyTimeseries!$L:$L),"")</f>
        <v>25000</v>
      </c>
      <c r="M63" s="50">
        <f>IFERROR(LOOKUP(M$15,HourlyTimeseries!$A:$A,HourlyTimeseries!$L:$L),"")</f>
        <v>25000</v>
      </c>
      <c r="N63" s="50">
        <f>IFERROR(LOOKUP(N$15,HourlyTimeseries!$A:$A,HourlyTimeseries!$L:$L),"")</f>
        <v>25000</v>
      </c>
      <c r="O63" s="50">
        <f>IFERROR(LOOKUP(O$15,HourlyTimeseries!$A:$A,HourlyTimeseries!$L:$L),"")</f>
        <v>25000</v>
      </c>
      <c r="P63" s="50">
        <f>IFERROR(LOOKUP(P$15,HourlyTimeseries!$A:$A,HourlyTimeseries!$L:$L),"")</f>
        <v>25000</v>
      </c>
      <c r="Q63" s="50">
        <f>IFERROR(LOOKUP(Q$15,HourlyTimeseries!$A:$A,HourlyTimeseries!$L:$L),"")</f>
        <v>25000</v>
      </c>
      <c r="R63" s="50">
        <f>IFERROR(LOOKUP(R$15,HourlyTimeseries!$A:$A,HourlyTimeseries!$L:$L),"")</f>
        <v>25000</v>
      </c>
      <c r="S63" s="50">
        <f>IFERROR(LOOKUP(S$15,HourlyTimeseries!$A:$A,HourlyTimeseries!$L:$L),"")</f>
        <v>25000</v>
      </c>
      <c r="T63" s="50">
        <f>IFERROR(LOOKUP(T$15,HourlyTimeseries!$A:$A,HourlyTimeseries!$L:$L),"")</f>
        <v>25000</v>
      </c>
      <c r="U63" s="50">
        <f>IFERROR(LOOKUP(U$15,HourlyTimeseries!$A:$A,HourlyTimeseries!$L:$L),"")</f>
        <v>25000</v>
      </c>
      <c r="V63" s="50">
        <f>IFERROR(LOOKUP(V$15,HourlyTimeseries!$A:$A,HourlyTimeseries!$L:$L),"")</f>
        <v>25000</v>
      </c>
      <c r="W63" s="50">
        <f>IFERROR(LOOKUP(W$15,HourlyTimeseries!$A:$A,HourlyTimeseries!$L:$L),"")</f>
        <v>25000</v>
      </c>
      <c r="X63" s="50">
        <f>IFERROR(LOOKUP(X$15,HourlyTimeseries!$A:$A,HourlyTimeseries!$L:$L),"")</f>
        <v>25000</v>
      </c>
      <c r="Y63" s="50">
        <f>IFERROR(LOOKUP(Y$15,HourlyTimeseries!$A:$A,HourlyTimeseries!$L:$L),"")</f>
        <v>25000</v>
      </c>
      <c r="Z63" s="50">
        <f>IFERROR(LOOKUP(Z$15,HourlyTimeseries!$A:$A,HourlyTimeseries!$L:$L),"")</f>
        <v>25000</v>
      </c>
      <c r="AA63" s="50">
        <f>IFERROR(LOOKUP(AA$15,HourlyTimeseries!$A:$A,HourlyTimeseries!$L:$L),"")</f>
        <v>25000</v>
      </c>
      <c r="AB63" s="59">
        <f>IFERROR(LOOKUP(AB$15,HourlyTimeseries!$A:$A,HourlyTimeseries!$L:$L),"")</f>
        <v>25000</v>
      </c>
      <c r="AC63" s="66">
        <f>IFERROR(LOOKUP(AC$15,HourlyTimeseries!$A:$A,HourlyTimeseries!$L:$L),"")</f>
        <v>25000</v>
      </c>
      <c r="AD63" s="50">
        <f>IFERROR(LOOKUP(AD$15,HourlyTimeseries!$A:$A,HourlyTimeseries!$L:$L),"")</f>
        <v>25000</v>
      </c>
      <c r="AE63" s="50">
        <f>IFERROR(LOOKUP(AE$15,HourlyTimeseries!$A:$A,HourlyTimeseries!$L:$L),"")</f>
        <v>25000</v>
      </c>
      <c r="AF63" s="50">
        <f>IFERROR(LOOKUP(AF$15,HourlyTimeseries!$A:$A,HourlyTimeseries!$L:$L),"")</f>
        <v>25000</v>
      </c>
      <c r="AG63" s="50">
        <f>IFERROR(LOOKUP(AG$15,HourlyTimeseries!$A:$A,HourlyTimeseries!$L:$L),"")</f>
        <v>25000</v>
      </c>
      <c r="AH63" s="50">
        <f>IFERROR(LOOKUP(AH$15,HourlyTimeseries!$A:$A,HourlyTimeseries!$L:$L),"")</f>
        <v>25000</v>
      </c>
      <c r="AI63" s="50">
        <f>IFERROR(LOOKUP(AI$15,HourlyTimeseries!$A:$A,HourlyTimeseries!$L:$L),"")</f>
        <v>25000</v>
      </c>
      <c r="AJ63" s="50">
        <f>IFERROR(LOOKUP(AJ$15,HourlyTimeseries!$A:$A,HourlyTimeseries!$L:$L),"")</f>
        <v>25000</v>
      </c>
      <c r="AK63" s="50">
        <f>IFERROR(LOOKUP(AK$15,HourlyTimeseries!$A:$A,HourlyTimeseries!$L:$L),"")</f>
        <v>25000</v>
      </c>
      <c r="AL63" s="50">
        <f>IFERROR(LOOKUP(AL$15,HourlyTimeseries!$A:$A,HourlyTimeseries!$L:$L),"")</f>
        <v>25000</v>
      </c>
      <c r="AM63" s="50">
        <f>IFERROR(LOOKUP(AM$15,HourlyTimeseries!$A:$A,HourlyTimeseries!$L:$L),"")</f>
        <v>25000</v>
      </c>
      <c r="AN63" s="50">
        <f>IFERROR(LOOKUP(AN$15,HourlyTimeseries!$A:$A,HourlyTimeseries!$L:$L),"")</f>
        <v>25000</v>
      </c>
      <c r="AO63" s="50">
        <f>IFERROR(LOOKUP(AO$15,HourlyTimeseries!$A:$A,HourlyTimeseries!$L:$L),"")</f>
        <v>25000</v>
      </c>
      <c r="AP63" s="50">
        <f>IFERROR(LOOKUP(AP$15,HourlyTimeseries!$A:$A,HourlyTimeseries!$L:$L),"")</f>
        <v>25000</v>
      </c>
      <c r="AQ63" s="50">
        <f>IFERROR(LOOKUP(AQ$15,HourlyTimeseries!$A:$A,HourlyTimeseries!$L:$L),"")</f>
        <v>25000</v>
      </c>
      <c r="AR63" s="50">
        <f>IFERROR(LOOKUP(AR$15,HourlyTimeseries!$A:$A,HourlyTimeseries!$L:$L),"")</f>
        <v>25000</v>
      </c>
      <c r="AS63" s="50">
        <f>IFERROR(LOOKUP(AS$15,HourlyTimeseries!$A:$A,HourlyTimeseries!$L:$L),"")</f>
        <v>25000</v>
      </c>
      <c r="AT63" s="50">
        <f>IFERROR(LOOKUP(AT$15,HourlyTimeseries!$A:$A,HourlyTimeseries!$L:$L),"")</f>
        <v>25000</v>
      </c>
      <c r="AU63" s="50">
        <f>IFERROR(LOOKUP(AU$15,HourlyTimeseries!$A:$A,HourlyTimeseries!$L:$L),"")</f>
        <v>25000</v>
      </c>
      <c r="AV63" s="50">
        <f>IFERROR(LOOKUP(AV$15,HourlyTimeseries!$A:$A,HourlyTimeseries!$L:$L),"")</f>
        <v>25000</v>
      </c>
      <c r="AW63" s="50">
        <f>IFERROR(LOOKUP(AW$15,HourlyTimeseries!$A:$A,HourlyTimeseries!$L:$L),"")</f>
        <v>25000</v>
      </c>
      <c r="AX63" s="50">
        <f>IFERROR(LOOKUP(AX$15,HourlyTimeseries!$A:$A,HourlyTimeseries!$L:$L),"")</f>
        <v>25000</v>
      </c>
      <c r="AY63" s="50">
        <f>IFERROR(LOOKUP(AY$15,HourlyTimeseries!$A:$A,HourlyTimeseries!$L:$L),"")</f>
        <v>25000</v>
      </c>
      <c r="AZ63" s="59">
        <f>IFERROR(LOOKUP(AZ$15,HourlyTimeseries!$A:$A,HourlyTimeseries!$L:$L),"")</f>
        <v>25000</v>
      </c>
      <c r="BA63" s="66">
        <f>IFERROR(LOOKUP(BA$15,HourlyTimeseries!$A:$A,HourlyTimeseries!$L:$L),"")</f>
        <v>25000</v>
      </c>
      <c r="BB63" s="50">
        <f>IFERROR(LOOKUP(BB$15,HourlyTimeseries!$A:$A,HourlyTimeseries!$L:$L),"")</f>
        <v>25000</v>
      </c>
      <c r="BC63" s="50">
        <f>IFERROR(LOOKUP(BC$15,HourlyTimeseries!$A:$A,HourlyTimeseries!$L:$L),"")</f>
        <v>25000</v>
      </c>
      <c r="BD63" s="50">
        <f>IFERROR(LOOKUP(BD$15,HourlyTimeseries!$A:$A,HourlyTimeseries!$L:$L),"")</f>
        <v>25000</v>
      </c>
      <c r="BE63" s="50">
        <f>IFERROR(LOOKUP(BE$15,HourlyTimeseries!$A:$A,HourlyTimeseries!$L:$L),"")</f>
        <v>25000</v>
      </c>
      <c r="BF63" s="50">
        <f>IFERROR(LOOKUP(BF$15,HourlyTimeseries!$A:$A,HourlyTimeseries!$L:$L),"")</f>
        <v>25000</v>
      </c>
      <c r="BG63" s="50">
        <f>IFERROR(LOOKUP(BG$15,HourlyTimeseries!$A:$A,HourlyTimeseries!$L:$L),"")</f>
        <v>25000</v>
      </c>
      <c r="BH63" s="50">
        <f>IFERROR(LOOKUP(BH$15,HourlyTimeseries!$A:$A,HourlyTimeseries!$L:$L),"")</f>
        <v>25000</v>
      </c>
      <c r="BI63" s="50">
        <f>IFERROR(LOOKUP(BI$15,HourlyTimeseries!$A:$A,HourlyTimeseries!$L:$L),"")</f>
        <v>25000</v>
      </c>
      <c r="BJ63" s="50">
        <f>IFERROR(LOOKUP(BJ$15,HourlyTimeseries!$A:$A,HourlyTimeseries!$L:$L),"")</f>
        <v>25000</v>
      </c>
      <c r="BK63" s="50">
        <f>IFERROR(LOOKUP(BK$15,HourlyTimeseries!$A:$A,HourlyTimeseries!$L:$L),"")</f>
        <v>25000</v>
      </c>
      <c r="BL63" s="50">
        <f>IFERROR(LOOKUP(BL$15,HourlyTimeseries!$A:$A,HourlyTimeseries!$L:$L),"")</f>
        <v>25000</v>
      </c>
      <c r="BM63" s="50">
        <f>IFERROR(LOOKUP(BM$15,HourlyTimeseries!$A:$A,HourlyTimeseries!$L:$L),"")</f>
        <v>25000</v>
      </c>
      <c r="BN63" s="50">
        <f>IFERROR(LOOKUP(BN$15,HourlyTimeseries!$A:$A,HourlyTimeseries!$L:$L),"")</f>
        <v>25000</v>
      </c>
      <c r="BO63" s="50">
        <f>IFERROR(LOOKUP(BO$15,HourlyTimeseries!$A:$A,HourlyTimeseries!$L:$L),"")</f>
        <v>25000</v>
      </c>
      <c r="BP63" s="50">
        <f>IFERROR(LOOKUP(BP$15,HourlyTimeseries!$A:$A,HourlyTimeseries!$L:$L),"")</f>
        <v>25000</v>
      </c>
      <c r="BQ63" s="50">
        <f>IFERROR(LOOKUP(BQ$15,HourlyTimeseries!$A:$A,HourlyTimeseries!$L:$L),"")</f>
        <v>25000</v>
      </c>
      <c r="BR63" s="50">
        <f>IFERROR(LOOKUP(BR$15,HourlyTimeseries!$A:$A,HourlyTimeseries!$L:$L),"")</f>
        <v>25000</v>
      </c>
      <c r="BS63" s="50">
        <f>IFERROR(LOOKUP(BS$15,HourlyTimeseries!$A:$A,HourlyTimeseries!$L:$L),"")</f>
        <v>25000</v>
      </c>
      <c r="BT63" s="50">
        <f>IFERROR(LOOKUP(BT$15,HourlyTimeseries!$A:$A,HourlyTimeseries!$L:$L),"")</f>
        <v>25000</v>
      </c>
      <c r="BU63" s="50">
        <f>IFERROR(LOOKUP(BU$15,HourlyTimeseries!$A:$A,HourlyTimeseries!$L:$L),"")</f>
        <v>25000</v>
      </c>
      <c r="BV63" s="50">
        <f>IFERROR(LOOKUP(BV$15,HourlyTimeseries!$A:$A,HourlyTimeseries!$L:$L),"")</f>
        <v>25000</v>
      </c>
      <c r="BW63" s="50">
        <f>IFERROR(LOOKUP(BW$15,HourlyTimeseries!$A:$A,HourlyTimeseries!$L:$L),"")</f>
        <v>25000</v>
      </c>
      <c r="BX63" s="59">
        <f>IFERROR(LOOKUP(BX$15,HourlyTimeseries!$A:$A,HourlyTimeseries!$L:$L),"")</f>
        <v>25000</v>
      </c>
      <c r="BY63" s="66">
        <f>IFERROR(LOOKUP(BY$15,HourlyTimeseries!$A:$A,HourlyTimeseries!$L:$L),"")</f>
        <v>25000</v>
      </c>
      <c r="BZ63" s="50">
        <f>IFERROR(LOOKUP(BZ$15,HourlyTimeseries!$A:$A,HourlyTimeseries!$L:$L),"")</f>
        <v>25000</v>
      </c>
      <c r="CA63" s="50">
        <f>IFERROR(LOOKUP(CA$15,HourlyTimeseries!$A:$A,HourlyTimeseries!$L:$L),"")</f>
        <v>25000</v>
      </c>
      <c r="CB63" s="50">
        <f>IFERROR(LOOKUP(CB$15,HourlyTimeseries!$A:$A,HourlyTimeseries!$L:$L),"")</f>
        <v>25000</v>
      </c>
      <c r="CC63" s="50">
        <f>IFERROR(LOOKUP(CC$15,HourlyTimeseries!$A:$A,HourlyTimeseries!$L:$L),"")</f>
        <v>25000</v>
      </c>
      <c r="CD63" s="50">
        <f>IFERROR(LOOKUP(CD$15,HourlyTimeseries!$A:$A,HourlyTimeseries!$L:$L),"")</f>
        <v>25000</v>
      </c>
      <c r="CE63" s="50">
        <f>IFERROR(LOOKUP(CE$15,HourlyTimeseries!$A:$A,HourlyTimeseries!$L:$L),"")</f>
        <v>25000</v>
      </c>
      <c r="CF63" s="50">
        <f>IFERROR(LOOKUP(CF$15,HourlyTimeseries!$A:$A,HourlyTimeseries!$L:$L),"")</f>
        <v>25000</v>
      </c>
      <c r="CG63" s="50">
        <f>IFERROR(LOOKUP(CG$15,HourlyTimeseries!$A:$A,HourlyTimeseries!$L:$L),"")</f>
        <v>25000</v>
      </c>
      <c r="CH63" s="50">
        <f>IFERROR(LOOKUP(CH$15,HourlyTimeseries!$A:$A,HourlyTimeseries!$L:$L),"")</f>
        <v>25000</v>
      </c>
      <c r="CI63" s="50">
        <f>IFERROR(LOOKUP(CI$15,HourlyTimeseries!$A:$A,HourlyTimeseries!$L:$L),"")</f>
        <v>25000</v>
      </c>
      <c r="CJ63" s="50">
        <f>IFERROR(LOOKUP(CJ$15,HourlyTimeseries!$A:$A,HourlyTimeseries!$L:$L),"")</f>
        <v>25000</v>
      </c>
      <c r="CK63" s="50">
        <f>IFERROR(LOOKUP(CK$15,HourlyTimeseries!$A:$A,HourlyTimeseries!$L:$L),"")</f>
        <v>25000</v>
      </c>
      <c r="CL63" s="50">
        <f>IFERROR(LOOKUP(CL$15,HourlyTimeseries!$A:$A,HourlyTimeseries!$L:$L),"")</f>
        <v>25000</v>
      </c>
      <c r="CM63" s="50">
        <f>IFERROR(LOOKUP(CM$15,HourlyTimeseries!$A:$A,HourlyTimeseries!$L:$L),"")</f>
        <v>25000</v>
      </c>
      <c r="CN63" s="50">
        <f>IFERROR(LOOKUP(CN$15,HourlyTimeseries!$A:$A,HourlyTimeseries!$L:$L),"")</f>
        <v>25000</v>
      </c>
      <c r="CO63" s="50">
        <f>IFERROR(LOOKUP(CO$15,HourlyTimeseries!$A:$A,HourlyTimeseries!$L:$L),"")</f>
        <v>25000</v>
      </c>
      <c r="CP63" s="50">
        <f>IFERROR(LOOKUP(CP$15,HourlyTimeseries!$A:$A,HourlyTimeseries!$L:$L),"")</f>
        <v>25000</v>
      </c>
      <c r="CQ63" s="50">
        <f>IFERROR(LOOKUP(CQ$15,HourlyTimeseries!$A:$A,HourlyTimeseries!$L:$L),"")</f>
        <v>25000</v>
      </c>
      <c r="CR63" s="50">
        <f>IFERROR(LOOKUP(CR$15,HourlyTimeseries!$A:$A,HourlyTimeseries!$L:$L),"")</f>
        <v>25000</v>
      </c>
      <c r="CS63" s="50">
        <f>IFERROR(LOOKUP(CS$15,HourlyTimeseries!$A:$A,HourlyTimeseries!$L:$L),"")</f>
        <v>25000</v>
      </c>
      <c r="CT63" s="50">
        <f>IFERROR(LOOKUP(CT$15,HourlyTimeseries!$A:$A,HourlyTimeseries!$L:$L),"")</f>
        <v>25000</v>
      </c>
      <c r="CU63" s="50">
        <f>IFERROR(LOOKUP(CU$15,HourlyTimeseries!$A:$A,HourlyTimeseries!$L:$L),"")</f>
        <v>25000</v>
      </c>
      <c r="CV63" s="59">
        <f>IFERROR(LOOKUP(CV$15,HourlyTimeseries!$A:$A,HourlyTimeseries!$L:$L),"")</f>
        <v>25000</v>
      </c>
      <c r="CW63" s="66">
        <f>IFERROR(LOOKUP(CW$15,HourlyTimeseries!$A:$A,HourlyTimeseries!$L:$L),"")</f>
        <v>25000</v>
      </c>
      <c r="CX63" s="50">
        <f>IFERROR(LOOKUP(CX$15,HourlyTimeseries!$A:$A,HourlyTimeseries!$L:$L),"")</f>
        <v>25000</v>
      </c>
      <c r="CY63" s="50">
        <f>IFERROR(LOOKUP(CY$15,HourlyTimeseries!$A:$A,HourlyTimeseries!$L:$L),"")</f>
        <v>25000</v>
      </c>
      <c r="CZ63" s="50">
        <f>IFERROR(LOOKUP(CZ$15,HourlyTimeseries!$A:$A,HourlyTimeseries!$L:$L),"")</f>
        <v>25000</v>
      </c>
      <c r="DA63" s="50">
        <f>IFERROR(LOOKUP(DA$15,HourlyTimeseries!$A:$A,HourlyTimeseries!$L:$L),"")</f>
        <v>25000</v>
      </c>
      <c r="DB63" s="50">
        <f>IFERROR(LOOKUP(DB$15,HourlyTimeseries!$A:$A,HourlyTimeseries!$L:$L),"")</f>
        <v>25000</v>
      </c>
      <c r="DC63" s="50">
        <f>IFERROR(LOOKUP(DC$15,HourlyTimeseries!$A:$A,HourlyTimeseries!$L:$L),"")</f>
        <v>25000</v>
      </c>
      <c r="DD63" s="50">
        <f>IFERROR(LOOKUP(DD$15,HourlyTimeseries!$A:$A,HourlyTimeseries!$L:$L),"")</f>
        <v>25000</v>
      </c>
      <c r="DE63" s="50">
        <f>IFERROR(LOOKUP(DE$15,HourlyTimeseries!$A:$A,HourlyTimeseries!$L:$L),"")</f>
        <v>25000</v>
      </c>
      <c r="DF63" s="50">
        <f>IFERROR(LOOKUP(DF$15,HourlyTimeseries!$A:$A,HourlyTimeseries!$L:$L),"")</f>
        <v>25000</v>
      </c>
      <c r="DG63" s="50">
        <f>IFERROR(LOOKUP(DG$15,HourlyTimeseries!$A:$A,HourlyTimeseries!$L:$L),"")</f>
        <v>25000</v>
      </c>
      <c r="DH63" s="50">
        <f>IFERROR(LOOKUP(DH$15,HourlyTimeseries!$A:$A,HourlyTimeseries!$L:$L),"")</f>
        <v>25000</v>
      </c>
      <c r="DI63" s="50">
        <f>IFERROR(LOOKUP(DI$15,HourlyTimeseries!$A:$A,HourlyTimeseries!$L:$L),"")</f>
        <v>25000</v>
      </c>
      <c r="DJ63" s="50">
        <f>IFERROR(LOOKUP(DJ$15,HourlyTimeseries!$A:$A,HourlyTimeseries!$L:$L),"")</f>
        <v>25000</v>
      </c>
      <c r="DK63" s="50">
        <f>IFERROR(LOOKUP(DK$15,HourlyTimeseries!$A:$A,HourlyTimeseries!$L:$L),"")</f>
        <v>25000</v>
      </c>
      <c r="DL63" s="50">
        <f>IFERROR(LOOKUP(DL$15,HourlyTimeseries!$A:$A,HourlyTimeseries!$L:$L),"")</f>
        <v>25000</v>
      </c>
      <c r="DM63" s="50">
        <f>IFERROR(LOOKUP(DM$15,HourlyTimeseries!$A:$A,HourlyTimeseries!$L:$L),"")</f>
        <v>25000</v>
      </c>
      <c r="DN63" s="50">
        <f>IFERROR(LOOKUP(DN$15,HourlyTimeseries!$A:$A,HourlyTimeseries!$L:$L),"")</f>
        <v>25000</v>
      </c>
      <c r="DO63" s="50">
        <f>IFERROR(LOOKUP(DO$15,HourlyTimeseries!$A:$A,HourlyTimeseries!$L:$L),"")</f>
        <v>25000</v>
      </c>
      <c r="DP63" s="50">
        <f>IFERROR(LOOKUP(DP$15,HourlyTimeseries!$A:$A,HourlyTimeseries!$L:$L),"")</f>
        <v>25000</v>
      </c>
      <c r="DQ63" s="50">
        <f>IFERROR(LOOKUP(DQ$15,HourlyTimeseries!$A:$A,HourlyTimeseries!$L:$L),"")</f>
        <v>25000</v>
      </c>
      <c r="DR63" s="50">
        <f>IFERROR(LOOKUP(DR$15,HourlyTimeseries!$A:$A,HourlyTimeseries!$L:$L),"")</f>
        <v>25000</v>
      </c>
      <c r="DS63" s="50">
        <f>IFERROR(LOOKUP(DS$15,HourlyTimeseries!$A:$A,HourlyTimeseries!$L:$L),"")</f>
        <v>25000</v>
      </c>
      <c r="DT63" s="59">
        <f>IFERROR(LOOKUP(DT$15,HourlyTimeseries!$A:$A,HourlyTimeseries!$L:$L),"")</f>
        <v>25000</v>
      </c>
      <c r="DU63" s="66">
        <f>IFERROR(LOOKUP(DU$15,HourlyTimeseries!$A:$A,HourlyTimeseries!$L:$L),"")</f>
        <v>25000</v>
      </c>
      <c r="DV63" s="50">
        <f>IFERROR(LOOKUP(DV$15,HourlyTimeseries!$A:$A,HourlyTimeseries!$L:$L),"")</f>
        <v>25000</v>
      </c>
      <c r="DW63" s="50">
        <f>IFERROR(LOOKUP(DW$15,HourlyTimeseries!$A:$A,HourlyTimeseries!$L:$L),"")</f>
        <v>25000</v>
      </c>
      <c r="DX63" s="50">
        <f>IFERROR(LOOKUP(DX$15,HourlyTimeseries!$A:$A,HourlyTimeseries!$L:$L),"")</f>
        <v>25000</v>
      </c>
      <c r="DY63" s="50">
        <f>IFERROR(LOOKUP(DY$15,HourlyTimeseries!$A:$A,HourlyTimeseries!$L:$L),"")</f>
        <v>25000</v>
      </c>
      <c r="DZ63" s="50">
        <f>IFERROR(LOOKUP(DZ$15,HourlyTimeseries!$A:$A,HourlyTimeseries!$L:$L),"")</f>
        <v>25000</v>
      </c>
      <c r="EA63" s="50">
        <f>IFERROR(LOOKUP(EA$15,HourlyTimeseries!$A:$A,HourlyTimeseries!$L:$L),"")</f>
        <v>25000</v>
      </c>
      <c r="EB63" s="50">
        <f>IFERROR(LOOKUP(EB$15,HourlyTimeseries!$A:$A,HourlyTimeseries!$L:$L),"")</f>
        <v>25000</v>
      </c>
      <c r="EC63" s="50">
        <f>IFERROR(LOOKUP(EC$15,HourlyTimeseries!$A:$A,HourlyTimeseries!$L:$L),"")</f>
        <v>25000</v>
      </c>
      <c r="ED63" s="50">
        <f>IFERROR(LOOKUP(ED$15,HourlyTimeseries!$A:$A,HourlyTimeseries!$L:$L),"")</f>
        <v>25000</v>
      </c>
      <c r="EE63" s="50">
        <f>IFERROR(LOOKUP(EE$15,HourlyTimeseries!$A:$A,HourlyTimeseries!$L:$L),"")</f>
        <v>25000</v>
      </c>
      <c r="EF63" s="50">
        <f>IFERROR(LOOKUP(EF$15,HourlyTimeseries!$A:$A,HourlyTimeseries!$L:$L),"")</f>
        <v>25000</v>
      </c>
      <c r="EG63" s="50">
        <f>IFERROR(LOOKUP(EG$15,HourlyTimeseries!$A:$A,HourlyTimeseries!$L:$L),"")</f>
        <v>25000</v>
      </c>
      <c r="EH63" s="50">
        <f>IFERROR(LOOKUP(EH$15,HourlyTimeseries!$A:$A,HourlyTimeseries!$L:$L),"")</f>
        <v>25000</v>
      </c>
      <c r="EI63" s="50">
        <f>IFERROR(LOOKUP(EI$15,HourlyTimeseries!$A:$A,HourlyTimeseries!$L:$L),"")</f>
        <v>25000</v>
      </c>
      <c r="EJ63" s="50">
        <f>IFERROR(LOOKUP(EJ$15,HourlyTimeseries!$A:$A,HourlyTimeseries!$L:$L),"")</f>
        <v>25000</v>
      </c>
      <c r="EK63" s="50">
        <f>IFERROR(LOOKUP(EK$15,HourlyTimeseries!$A:$A,HourlyTimeseries!$L:$L),"")</f>
        <v>25000</v>
      </c>
      <c r="EL63" s="50">
        <f>IFERROR(LOOKUP(EL$15,HourlyTimeseries!$A:$A,HourlyTimeseries!$L:$L),"")</f>
        <v>25000</v>
      </c>
      <c r="EM63" s="50">
        <f>IFERROR(LOOKUP(EM$15,HourlyTimeseries!$A:$A,HourlyTimeseries!$L:$L),"")</f>
        <v>25000</v>
      </c>
      <c r="EN63" s="50">
        <f>IFERROR(LOOKUP(EN$15,HourlyTimeseries!$A:$A,HourlyTimeseries!$L:$L),"")</f>
        <v>25000</v>
      </c>
      <c r="EO63" s="50">
        <f>IFERROR(LOOKUP(EO$15,HourlyTimeseries!$A:$A,HourlyTimeseries!$L:$L),"")</f>
        <v>25000</v>
      </c>
      <c r="EP63" s="50">
        <f>IFERROR(LOOKUP(EP$15,HourlyTimeseries!$A:$A,HourlyTimeseries!$L:$L),"")</f>
        <v>25000</v>
      </c>
      <c r="EQ63" s="50">
        <f>IFERROR(LOOKUP(EQ$15,HourlyTimeseries!$A:$A,HourlyTimeseries!$L:$L),"")</f>
        <v>25000</v>
      </c>
      <c r="ER63" s="59">
        <f>IFERROR(LOOKUP(ER$15,HourlyTimeseries!$A:$A,HourlyTimeseries!$L:$L),"")</f>
        <v>25000</v>
      </c>
      <c r="ES63" s="66">
        <f>IFERROR(LOOKUP(ES$15,HourlyTimeseries!$A:$A,HourlyTimeseries!$L:$L),"")</f>
        <v>25000</v>
      </c>
      <c r="ET63" s="50">
        <f>IFERROR(LOOKUP(ET$15,HourlyTimeseries!$A:$A,HourlyTimeseries!$L:$L),"")</f>
        <v>25000</v>
      </c>
      <c r="EU63" s="50">
        <f>IFERROR(LOOKUP(EU$15,HourlyTimeseries!$A:$A,HourlyTimeseries!$L:$L),"")</f>
        <v>25000</v>
      </c>
      <c r="EV63" s="50">
        <f>IFERROR(LOOKUP(EV$15,HourlyTimeseries!$A:$A,HourlyTimeseries!$L:$L),"")</f>
        <v>25000</v>
      </c>
      <c r="EW63" s="50">
        <f>IFERROR(LOOKUP(EW$15,HourlyTimeseries!$A:$A,HourlyTimeseries!$L:$L),"")</f>
        <v>25000</v>
      </c>
      <c r="EX63" s="50">
        <f>IFERROR(LOOKUP(EX$15,HourlyTimeseries!$A:$A,HourlyTimeseries!$L:$L),"")</f>
        <v>25000</v>
      </c>
      <c r="EY63" s="50">
        <f>IFERROR(LOOKUP(EY$15,HourlyTimeseries!$A:$A,HourlyTimeseries!$L:$L),"")</f>
        <v>25000</v>
      </c>
      <c r="EZ63" s="50">
        <f>IFERROR(LOOKUP(EZ$15,HourlyTimeseries!$A:$A,HourlyTimeseries!$L:$L),"")</f>
        <v>25000</v>
      </c>
      <c r="FA63" s="50">
        <f>IFERROR(LOOKUP(FA$15,HourlyTimeseries!$A:$A,HourlyTimeseries!$L:$L),"")</f>
        <v>25000</v>
      </c>
      <c r="FB63" s="50">
        <f>IFERROR(LOOKUP(FB$15,HourlyTimeseries!$A:$A,HourlyTimeseries!$L:$L),"")</f>
        <v>25000</v>
      </c>
      <c r="FC63" s="50">
        <f>IFERROR(LOOKUP(FC$15,HourlyTimeseries!$A:$A,HourlyTimeseries!$L:$L),"")</f>
        <v>25000</v>
      </c>
      <c r="FD63" s="50">
        <f>IFERROR(LOOKUP(FD$15,HourlyTimeseries!$A:$A,HourlyTimeseries!$L:$L),"")</f>
        <v>25000</v>
      </c>
      <c r="FE63" s="50">
        <f>IFERROR(LOOKUP(FE$15,HourlyTimeseries!$A:$A,HourlyTimeseries!$L:$L),"")</f>
        <v>25000</v>
      </c>
      <c r="FF63" s="50">
        <f>IFERROR(LOOKUP(FF$15,HourlyTimeseries!$A:$A,HourlyTimeseries!$L:$L),"")</f>
        <v>25000</v>
      </c>
      <c r="FG63" s="50">
        <f>IFERROR(LOOKUP(FG$15,HourlyTimeseries!$A:$A,HourlyTimeseries!$L:$L),"")</f>
        <v>25000</v>
      </c>
      <c r="FH63" s="50">
        <f>IFERROR(LOOKUP(FH$15,HourlyTimeseries!$A:$A,HourlyTimeseries!$L:$L),"")</f>
        <v>25000</v>
      </c>
      <c r="FI63" s="50">
        <f>IFERROR(LOOKUP(FI$15,HourlyTimeseries!$A:$A,HourlyTimeseries!$L:$L),"")</f>
        <v>25000</v>
      </c>
      <c r="FJ63" s="50">
        <f>IFERROR(LOOKUP(FJ$15,HourlyTimeseries!$A:$A,HourlyTimeseries!$L:$L),"")</f>
        <v>25000</v>
      </c>
      <c r="FK63" s="50">
        <f>IFERROR(LOOKUP(FK$15,HourlyTimeseries!$A:$A,HourlyTimeseries!$L:$L),"")</f>
        <v>25000</v>
      </c>
      <c r="FL63" s="50">
        <f>IFERROR(LOOKUP(FL$15,HourlyTimeseries!$A:$A,HourlyTimeseries!$L:$L),"")</f>
        <v>25000</v>
      </c>
      <c r="FM63" s="50">
        <f>IFERROR(LOOKUP(FM$15,HourlyTimeseries!$A:$A,HourlyTimeseries!$L:$L),"")</f>
        <v>25000</v>
      </c>
      <c r="FN63" s="50">
        <f>IFERROR(LOOKUP(FN$15,HourlyTimeseries!$A:$A,HourlyTimeseries!$L:$L),"")</f>
        <v>25000</v>
      </c>
      <c r="FO63" s="50">
        <f>IFERROR(LOOKUP(FO$15,HourlyTimeseries!$A:$A,HourlyTimeseries!$L:$L),"")</f>
        <v>25000</v>
      </c>
      <c r="FP63" s="59">
        <f>IFERROR(LOOKUP(FP$15,HourlyTimeseries!$A:$A,HourlyTimeseries!$L:$L),"")</f>
        <v>25000</v>
      </c>
    </row>
    <row r="64" spans="1:172" ht="15.75" customHeight="1">
      <c r="A64" s="28" t="s">
        <v>180</v>
      </c>
      <c r="B64" s="2" t="s">
        <v>181</v>
      </c>
      <c r="C64" s="8" t="s">
        <v>135</v>
      </c>
      <c r="D64" s="4" t="b">
        <v>0</v>
      </c>
      <c r="E64" s="22"/>
    </row>
    <row r="66" spans="1:172" ht="21" thickBot="1">
      <c r="A66" s="1" t="s">
        <v>1</v>
      </c>
      <c r="B66" s="7" t="s">
        <v>32</v>
      </c>
      <c r="C66" s="3" t="s">
        <v>132</v>
      </c>
      <c r="D66" s="7"/>
      <c r="E66" s="3" t="s">
        <v>7</v>
      </c>
      <c r="F66" s="3" t="s">
        <v>8</v>
      </c>
      <c r="G66" s="3" t="s">
        <v>9</v>
      </c>
      <c r="H66" s="3" t="s">
        <v>10</v>
      </c>
      <c r="I66" s="3" t="s">
        <v>11</v>
      </c>
      <c r="J66" s="3" t="s">
        <v>12</v>
      </c>
      <c r="K66" s="3" t="s">
        <v>13</v>
      </c>
      <c r="L66" s="3" t="s">
        <v>14</v>
      </c>
      <c r="M66" s="3" t="s">
        <v>15</v>
      </c>
      <c r="N66" s="3" t="s">
        <v>16</v>
      </c>
      <c r="O66" s="3" t="s">
        <v>17</v>
      </c>
      <c r="P66" s="3" t="s">
        <v>18</v>
      </c>
      <c r="Q66" s="3" t="s">
        <v>19</v>
      </c>
      <c r="R66" s="3" t="s">
        <v>20</v>
      </c>
      <c r="S66" s="3" t="s">
        <v>21</v>
      </c>
      <c r="T66" s="3" t="s">
        <v>22</v>
      </c>
      <c r="U66" s="3" t="s">
        <v>23</v>
      </c>
      <c r="V66" s="3" t="s">
        <v>24</v>
      </c>
      <c r="W66" s="3" t="s">
        <v>25</v>
      </c>
      <c r="X66" s="3" t="s">
        <v>26</v>
      </c>
      <c r="Y66" s="3" t="s">
        <v>27</v>
      </c>
      <c r="Z66" s="3" t="s">
        <v>28</v>
      </c>
      <c r="AA66" s="3" t="s">
        <v>29</v>
      </c>
      <c r="AB66" s="3" t="s">
        <v>30</v>
      </c>
      <c r="AC66" s="65" t="s">
        <v>221</v>
      </c>
      <c r="AD66" s="3" t="s">
        <v>222</v>
      </c>
      <c r="AE66" s="3" t="s">
        <v>223</v>
      </c>
      <c r="AF66" s="3" t="s">
        <v>224</v>
      </c>
      <c r="AG66" s="3" t="s">
        <v>225</v>
      </c>
      <c r="AH66" s="3" t="s">
        <v>226</v>
      </c>
      <c r="AI66" s="3" t="s">
        <v>227</v>
      </c>
      <c r="AJ66" s="3" t="s">
        <v>228</v>
      </c>
      <c r="AK66" s="3" t="s">
        <v>229</v>
      </c>
      <c r="AL66" s="3" t="s">
        <v>230</v>
      </c>
      <c r="AM66" s="3" t="s">
        <v>231</v>
      </c>
      <c r="AN66" s="3" t="s">
        <v>232</v>
      </c>
      <c r="AO66" s="3" t="s">
        <v>233</v>
      </c>
      <c r="AP66" s="3" t="s">
        <v>234</v>
      </c>
      <c r="AQ66" s="3" t="s">
        <v>235</v>
      </c>
      <c r="AR66" s="3" t="s">
        <v>236</v>
      </c>
      <c r="AS66" s="3" t="s">
        <v>237</v>
      </c>
      <c r="AT66" s="3" t="s">
        <v>238</v>
      </c>
      <c r="AU66" s="3" t="s">
        <v>239</v>
      </c>
      <c r="AV66" s="3" t="s">
        <v>240</v>
      </c>
      <c r="AW66" s="3" t="s">
        <v>241</v>
      </c>
      <c r="AX66" s="3" t="s">
        <v>242</v>
      </c>
      <c r="AY66" s="3" t="s">
        <v>243</v>
      </c>
      <c r="AZ66" s="3" t="s">
        <v>244</v>
      </c>
      <c r="BA66" s="65" t="s">
        <v>245</v>
      </c>
      <c r="BB66" s="3" t="s">
        <v>246</v>
      </c>
      <c r="BC66" s="3" t="s">
        <v>247</v>
      </c>
      <c r="BD66" s="3" t="s">
        <v>248</v>
      </c>
      <c r="BE66" s="3" t="s">
        <v>249</v>
      </c>
      <c r="BF66" s="3" t="s">
        <v>250</v>
      </c>
      <c r="BG66" s="3" t="s">
        <v>251</v>
      </c>
      <c r="BH66" s="3" t="s">
        <v>252</v>
      </c>
      <c r="BI66" s="3" t="s">
        <v>253</v>
      </c>
      <c r="BJ66" s="3" t="s">
        <v>254</v>
      </c>
      <c r="BK66" s="3" t="s">
        <v>255</v>
      </c>
      <c r="BL66" s="3" t="s">
        <v>256</v>
      </c>
      <c r="BM66" s="3" t="s">
        <v>257</v>
      </c>
      <c r="BN66" s="3" t="s">
        <v>258</v>
      </c>
      <c r="BO66" s="3" t="s">
        <v>259</v>
      </c>
      <c r="BP66" s="3" t="s">
        <v>260</v>
      </c>
      <c r="BQ66" s="3" t="s">
        <v>261</v>
      </c>
      <c r="BR66" s="3" t="s">
        <v>262</v>
      </c>
      <c r="BS66" s="3" t="s">
        <v>263</v>
      </c>
      <c r="BT66" s="3" t="s">
        <v>264</v>
      </c>
      <c r="BU66" s="3" t="s">
        <v>265</v>
      </c>
      <c r="BV66" s="3" t="s">
        <v>266</v>
      </c>
      <c r="BW66" s="3" t="s">
        <v>267</v>
      </c>
      <c r="BX66" s="3" t="s">
        <v>268</v>
      </c>
      <c r="BY66" s="65" t="s">
        <v>269</v>
      </c>
      <c r="BZ66" s="3" t="s">
        <v>270</v>
      </c>
      <c r="CA66" s="3" t="s">
        <v>271</v>
      </c>
      <c r="CB66" s="3" t="s">
        <v>272</v>
      </c>
      <c r="CC66" s="3" t="s">
        <v>273</v>
      </c>
      <c r="CD66" s="3" t="s">
        <v>274</v>
      </c>
      <c r="CE66" s="3" t="s">
        <v>275</v>
      </c>
      <c r="CF66" s="3" t="s">
        <v>276</v>
      </c>
      <c r="CG66" s="3" t="s">
        <v>277</v>
      </c>
      <c r="CH66" s="3" t="s">
        <v>278</v>
      </c>
      <c r="CI66" s="3" t="s">
        <v>279</v>
      </c>
      <c r="CJ66" s="3" t="s">
        <v>280</v>
      </c>
      <c r="CK66" s="3" t="s">
        <v>281</v>
      </c>
      <c r="CL66" s="3" t="s">
        <v>282</v>
      </c>
      <c r="CM66" s="3" t="s">
        <v>283</v>
      </c>
      <c r="CN66" s="3" t="s">
        <v>284</v>
      </c>
      <c r="CO66" s="3" t="s">
        <v>285</v>
      </c>
      <c r="CP66" s="3" t="s">
        <v>286</v>
      </c>
      <c r="CQ66" s="3" t="s">
        <v>287</v>
      </c>
      <c r="CR66" s="3" t="s">
        <v>288</v>
      </c>
      <c r="CS66" s="3" t="s">
        <v>289</v>
      </c>
      <c r="CT66" s="3" t="s">
        <v>290</v>
      </c>
      <c r="CU66" s="3" t="s">
        <v>291</v>
      </c>
      <c r="CV66" s="3" t="s">
        <v>292</v>
      </c>
      <c r="CW66" s="65" t="s">
        <v>293</v>
      </c>
      <c r="CX66" s="3" t="s">
        <v>294</v>
      </c>
      <c r="CY66" s="3" t="s">
        <v>295</v>
      </c>
      <c r="CZ66" s="3" t="s">
        <v>296</v>
      </c>
      <c r="DA66" s="3" t="s">
        <v>297</v>
      </c>
      <c r="DB66" s="3" t="s">
        <v>298</v>
      </c>
      <c r="DC66" s="3" t="s">
        <v>299</v>
      </c>
      <c r="DD66" s="3" t="s">
        <v>300</v>
      </c>
      <c r="DE66" s="3" t="s">
        <v>301</v>
      </c>
      <c r="DF66" s="3" t="s">
        <v>302</v>
      </c>
      <c r="DG66" s="3" t="s">
        <v>303</v>
      </c>
      <c r="DH66" s="3" t="s">
        <v>304</v>
      </c>
      <c r="DI66" s="3" t="s">
        <v>305</v>
      </c>
      <c r="DJ66" s="3" t="s">
        <v>306</v>
      </c>
      <c r="DK66" s="3" t="s">
        <v>307</v>
      </c>
      <c r="DL66" s="3" t="s">
        <v>308</v>
      </c>
      <c r="DM66" s="3" t="s">
        <v>309</v>
      </c>
      <c r="DN66" s="3" t="s">
        <v>310</v>
      </c>
      <c r="DO66" s="3" t="s">
        <v>311</v>
      </c>
      <c r="DP66" s="3" t="s">
        <v>312</v>
      </c>
      <c r="DQ66" s="3" t="s">
        <v>313</v>
      </c>
      <c r="DR66" s="3" t="s">
        <v>314</v>
      </c>
      <c r="DS66" s="3" t="s">
        <v>315</v>
      </c>
      <c r="DT66" s="3" t="s">
        <v>316</v>
      </c>
      <c r="DU66" s="65" t="s">
        <v>317</v>
      </c>
      <c r="DV66" s="3" t="s">
        <v>318</v>
      </c>
      <c r="DW66" s="3" t="s">
        <v>319</v>
      </c>
      <c r="DX66" s="3" t="s">
        <v>320</v>
      </c>
      <c r="DY66" s="3" t="s">
        <v>321</v>
      </c>
      <c r="DZ66" s="3" t="s">
        <v>322</v>
      </c>
      <c r="EA66" s="3" t="s">
        <v>323</v>
      </c>
      <c r="EB66" s="3" t="s">
        <v>324</v>
      </c>
      <c r="EC66" s="3" t="s">
        <v>325</v>
      </c>
      <c r="ED66" s="3" t="s">
        <v>326</v>
      </c>
      <c r="EE66" s="3" t="s">
        <v>327</v>
      </c>
      <c r="EF66" s="3" t="s">
        <v>328</v>
      </c>
      <c r="EG66" s="3" t="s">
        <v>329</v>
      </c>
      <c r="EH66" s="3" t="s">
        <v>330</v>
      </c>
      <c r="EI66" s="3" t="s">
        <v>331</v>
      </c>
      <c r="EJ66" s="3" t="s">
        <v>332</v>
      </c>
      <c r="EK66" s="3" t="s">
        <v>333</v>
      </c>
      <c r="EL66" s="3" t="s">
        <v>334</v>
      </c>
      <c r="EM66" s="3" t="s">
        <v>335</v>
      </c>
      <c r="EN66" s="3" t="s">
        <v>336</v>
      </c>
      <c r="EO66" s="3" t="s">
        <v>337</v>
      </c>
      <c r="EP66" s="3" t="s">
        <v>338</v>
      </c>
      <c r="EQ66" s="3" t="s">
        <v>339</v>
      </c>
      <c r="ER66" s="3" t="s">
        <v>340</v>
      </c>
      <c r="ES66" s="65" t="s">
        <v>341</v>
      </c>
      <c r="ET66" s="3" t="s">
        <v>342</v>
      </c>
      <c r="EU66" s="3" t="s">
        <v>343</v>
      </c>
      <c r="EV66" s="3" t="s">
        <v>344</v>
      </c>
      <c r="EW66" s="3" t="s">
        <v>345</v>
      </c>
      <c r="EX66" s="3" t="s">
        <v>346</v>
      </c>
      <c r="EY66" s="3" t="s">
        <v>347</v>
      </c>
      <c r="EZ66" s="3" t="s">
        <v>348</v>
      </c>
      <c r="FA66" s="3" t="s">
        <v>349</v>
      </c>
      <c r="FB66" s="3" t="s">
        <v>350</v>
      </c>
      <c r="FC66" s="3" t="s">
        <v>351</v>
      </c>
      <c r="FD66" s="3" t="s">
        <v>352</v>
      </c>
      <c r="FE66" s="3" t="s">
        <v>353</v>
      </c>
      <c r="FF66" s="3" t="s">
        <v>354</v>
      </c>
      <c r="FG66" s="3" t="s">
        <v>355</v>
      </c>
      <c r="FH66" s="3" t="s">
        <v>356</v>
      </c>
      <c r="FI66" s="3" t="s">
        <v>357</v>
      </c>
      <c r="FJ66" s="3" t="s">
        <v>358</v>
      </c>
      <c r="FK66" s="3" t="s">
        <v>359</v>
      </c>
      <c r="FL66" s="3" t="s">
        <v>360</v>
      </c>
      <c r="FM66" s="3" t="s">
        <v>361</v>
      </c>
      <c r="FN66" s="3" t="s">
        <v>362</v>
      </c>
      <c r="FO66" s="3" t="s">
        <v>363</v>
      </c>
      <c r="FP66" s="3" t="s">
        <v>364</v>
      </c>
    </row>
    <row r="67" spans="1:172" ht="16" thickTop="1">
      <c r="A67" s="15" t="s">
        <v>35</v>
      </c>
      <c r="B67" s="2" t="s">
        <v>5</v>
      </c>
      <c r="C67" s="8" t="s">
        <v>133</v>
      </c>
      <c r="D67" s="2"/>
      <c r="E67" s="51">
        <f>IFERROR(LOOKUP(E$15,HourlyTimeseries!$A:$A,HourlyTimeseries!$M:$M),"")</f>
        <v>8.5</v>
      </c>
      <c r="F67" s="51">
        <f>IFERROR(LOOKUP(F$15,HourlyTimeseries!$A:$A,HourlyTimeseries!$M:$M),"")</f>
        <v>8.5</v>
      </c>
      <c r="G67" s="51">
        <f>IFERROR(LOOKUP(G$15,HourlyTimeseries!$A:$A,HourlyTimeseries!$M:$M),"")</f>
        <v>8.5</v>
      </c>
      <c r="H67" s="51">
        <f>IFERROR(LOOKUP(H$15,HourlyTimeseries!$A:$A,HourlyTimeseries!$M:$M),"")</f>
        <v>8.5</v>
      </c>
      <c r="I67" s="51">
        <f>IFERROR(LOOKUP(I$15,HourlyTimeseries!$A:$A,HourlyTimeseries!$M:$M),"")</f>
        <v>8.5</v>
      </c>
      <c r="J67" s="51">
        <f>IFERROR(LOOKUP(J$15,HourlyTimeseries!$A:$A,HourlyTimeseries!$M:$M),"")</f>
        <v>8.5</v>
      </c>
      <c r="K67" s="51">
        <f>IFERROR(LOOKUP(K$15,HourlyTimeseries!$A:$A,HourlyTimeseries!$M:$M),"")</f>
        <v>8.5</v>
      </c>
      <c r="L67" s="51">
        <f>IFERROR(LOOKUP(L$15,HourlyTimeseries!$A:$A,HourlyTimeseries!$M:$M),"")</f>
        <v>8.5</v>
      </c>
      <c r="M67" s="51">
        <f>IFERROR(LOOKUP(M$15,HourlyTimeseries!$A:$A,HourlyTimeseries!$M:$M),"")</f>
        <v>8.5</v>
      </c>
      <c r="N67" s="51">
        <f>IFERROR(LOOKUP(N$15,HourlyTimeseries!$A:$A,HourlyTimeseries!$M:$M),"")</f>
        <v>8.5</v>
      </c>
      <c r="O67" s="51">
        <f>IFERROR(LOOKUP(O$15,HourlyTimeseries!$A:$A,HourlyTimeseries!$M:$M),"")</f>
        <v>8.5</v>
      </c>
      <c r="P67" s="51">
        <f>IFERROR(LOOKUP(P$15,HourlyTimeseries!$A:$A,HourlyTimeseries!$M:$M),"")</f>
        <v>8.5</v>
      </c>
      <c r="Q67" s="51">
        <f>IFERROR(LOOKUP(Q$15,HourlyTimeseries!$A:$A,HourlyTimeseries!$M:$M),"")</f>
        <v>8.5</v>
      </c>
      <c r="R67" s="51">
        <f>IFERROR(LOOKUP(R$15,HourlyTimeseries!$A:$A,HourlyTimeseries!$M:$M),"")</f>
        <v>8.5</v>
      </c>
      <c r="S67" s="51">
        <f>IFERROR(LOOKUP(S$15,HourlyTimeseries!$A:$A,HourlyTimeseries!$M:$M),"")</f>
        <v>8.5</v>
      </c>
      <c r="T67" s="51">
        <f>IFERROR(LOOKUP(T$15,HourlyTimeseries!$A:$A,HourlyTimeseries!$M:$M),"")</f>
        <v>8.5</v>
      </c>
      <c r="U67" s="51">
        <f>IFERROR(LOOKUP(U$15,HourlyTimeseries!$A:$A,HourlyTimeseries!$M:$M),"")</f>
        <v>8.5</v>
      </c>
      <c r="V67" s="51">
        <f>IFERROR(LOOKUP(V$15,HourlyTimeseries!$A:$A,HourlyTimeseries!$M:$M),"")</f>
        <v>8.5</v>
      </c>
      <c r="W67" s="51">
        <f>IFERROR(LOOKUP(W$15,HourlyTimeseries!$A:$A,HourlyTimeseries!$M:$M),"")</f>
        <v>8.5</v>
      </c>
      <c r="X67" s="51">
        <f>IFERROR(LOOKUP(X$15,HourlyTimeseries!$A:$A,HourlyTimeseries!$M:$M),"")</f>
        <v>8.5</v>
      </c>
      <c r="Y67" s="51">
        <f>IFERROR(LOOKUP(Y$15,HourlyTimeseries!$A:$A,HourlyTimeseries!$M:$M),"")</f>
        <v>8.5</v>
      </c>
      <c r="Z67" s="51">
        <f>IFERROR(LOOKUP(Z$15,HourlyTimeseries!$A:$A,HourlyTimeseries!$M:$M),"")</f>
        <v>8.5</v>
      </c>
      <c r="AA67" s="51">
        <f>IFERROR(LOOKUP(AA$15,HourlyTimeseries!$A:$A,HourlyTimeseries!$M:$M),"")</f>
        <v>8.5</v>
      </c>
      <c r="AB67" s="60">
        <f>IFERROR(LOOKUP(AB$15,HourlyTimeseries!$A:$A,HourlyTimeseries!$M:$M),"")</f>
        <v>8.5</v>
      </c>
      <c r="AC67" s="67">
        <f>IFERROR(LOOKUP(AC$15,HourlyTimeseries!$A:$A,HourlyTimeseries!$M:$M),"")</f>
        <v>8.5</v>
      </c>
      <c r="AD67" s="51">
        <f>IFERROR(LOOKUP(AD$15,HourlyTimeseries!$A:$A,HourlyTimeseries!$M:$M),"")</f>
        <v>8.5</v>
      </c>
      <c r="AE67" s="51">
        <f>IFERROR(LOOKUP(AE$15,HourlyTimeseries!$A:$A,HourlyTimeseries!$M:$M),"")</f>
        <v>8.5</v>
      </c>
      <c r="AF67" s="51">
        <f>IFERROR(LOOKUP(AF$15,HourlyTimeseries!$A:$A,HourlyTimeseries!$M:$M),"")</f>
        <v>8.5</v>
      </c>
      <c r="AG67" s="51">
        <f>IFERROR(LOOKUP(AG$15,HourlyTimeseries!$A:$A,HourlyTimeseries!$M:$M),"")</f>
        <v>8.5</v>
      </c>
      <c r="AH67" s="51">
        <f>IFERROR(LOOKUP(AH$15,HourlyTimeseries!$A:$A,HourlyTimeseries!$M:$M),"")</f>
        <v>8.5</v>
      </c>
      <c r="AI67" s="51">
        <f>IFERROR(LOOKUP(AI$15,HourlyTimeseries!$A:$A,HourlyTimeseries!$M:$M),"")</f>
        <v>8.5</v>
      </c>
      <c r="AJ67" s="51">
        <f>IFERROR(LOOKUP(AJ$15,HourlyTimeseries!$A:$A,HourlyTimeseries!$M:$M),"")</f>
        <v>8.5</v>
      </c>
      <c r="AK67" s="51">
        <f>IFERROR(LOOKUP(AK$15,HourlyTimeseries!$A:$A,HourlyTimeseries!$M:$M),"")</f>
        <v>8.5</v>
      </c>
      <c r="AL67" s="51">
        <f>IFERROR(LOOKUP(AL$15,HourlyTimeseries!$A:$A,HourlyTimeseries!$M:$M),"")</f>
        <v>8.5</v>
      </c>
      <c r="AM67" s="51">
        <f>IFERROR(LOOKUP(AM$15,HourlyTimeseries!$A:$A,HourlyTimeseries!$M:$M),"")</f>
        <v>8.5</v>
      </c>
      <c r="AN67" s="51">
        <f>IFERROR(LOOKUP(AN$15,HourlyTimeseries!$A:$A,HourlyTimeseries!$M:$M),"")</f>
        <v>8.5</v>
      </c>
      <c r="AO67" s="51">
        <f>IFERROR(LOOKUP(AO$15,HourlyTimeseries!$A:$A,HourlyTimeseries!$M:$M),"")</f>
        <v>8.5</v>
      </c>
      <c r="AP67" s="51">
        <f>IFERROR(LOOKUP(AP$15,HourlyTimeseries!$A:$A,HourlyTimeseries!$M:$M),"")</f>
        <v>8.5</v>
      </c>
      <c r="AQ67" s="51">
        <f>IFERROR(LOOKUP(AQ$15,HourlyTimeseries!$A:$A,HourlyTimeseries!$M:$M),"")</f>
        <v>8.5</v>
      </c>
      <c r="AR67" s="51">
        <f>IFERROR(LOOKUP(AR$15,HourlyTimeseries!$A:$A,HourlyTimeseries!$M:$M),"")</f>
        <v>8.5</v>
      </c>
      <c r="AS67" s="51">
        <f>IFERROR(LOOKUP(AS$15,HourlyTimeseries!$A:$A,HourlyTimeseries!$M:$M),"")</f>
        <v>8.5</v>
      </c>
      <c r="AT67" s="51">
        <f>IFERROR(LOOKUP(AT$15,HourlyTimeseries!$A:$A,HourlyTimeseries!$M:$M),"")</f>
        <v>8.5</v>
      </c>
      <c r="AU67" s="51">
        <f>IFERROR(LOOKUP(AU$15,HourlyTimeseries!$A:$A,HourlyTimeseries!$M:$M),"")</f>
        <v>8.5</v>
      </c>
      <c r="AV67" s="51">
        <f>IFERROR(LOOKUP(AV$15,HourlyTimeseries!$A:$A,HourlyTimeseries!$M:$M),"")</f>
        <v>8.5</v>
      </c>
      <c r="AW67" s="51">
        <f>IFERROR(LOOKUP(AW$15,HourlyTimeseries!$A:$A,HourlyTimeseries!$M:$M),"")</f>
        <v>8.5</v>
      </c>
      <c r="AX67" s="51">
        <f>IFERROR(LOOKUP(AX$15,HourlyTimeseries!$A:$A,HourlyTimeseries!$M:$M),"")</f>
        <v>8.5</v>
      </c>
      <c r="AY67" s="51">
        <f>IFERROR(LOOKUP(AY$15,HourlyTimeseries!$A:$A,HourlyTimeseries!$M:$M),"")</f>
        <v>8.5</v>
      </c>
      <c r="AZ67" s="60">
        <f>IFERROR(LOOKUP(AZ$15,HourlyTimeseries!$A:$A,HourlyTimeseries!$M:$M),"")</f>
        <v>8.5</v>
      </c>
      <c r="BA67" s="67">
        <f>IFERROR(LOOKUP(BA$15,HourlyTimeseries!$A:$A,HourlyTimeseries!$M:$M),"")</f>
        <v>8.5</v>
      </c>
      <c r="BB67" s="51">
        <f>IFERROR(LOOKUP(BB$15,HourlyTimeseries!$A:$A,HourlyTimeseries!$M:$M),"")</f>
        <v>8.5</v>
      </c>
      <c r="BC67" s="51">
        <f>IFERROR(LOOKUP(BC$15,HourlyTimeseries!$A:$A,HourlyTimeseries!$M:$M),"")</f>
        <v>8.5</v>
      </c>
      <c r="BD67" s="51">
        <f>IFERROR(LOOKUP(BD$15,HourlyTimeseries!$A:$A,HourlyTimeseries!$M:$M),"")</f>
        <v>8.5</v>
      </c>
      <c r="BE67" s="51">
        <f>IFERROR(LOOKUP(BE$15,HourlyTimeseries!$A:$A,HourlyTimeseries!$M:$M),"")</f>
        <v>8.5</v>
      </c>
      <c r="BF67" s="51">
        <f>IFERROR(LOOKUP(BF$15,HourlyTimeseries!$A:$A,HourlyTimeseries!$M:$M),"")</f>
        <v>8.5</v>
      </c>
      <c r="BG67" s="51">
        <f>IFERROR(LOOKUP(BG$15,HourlyTimeseries!$A:$A,HourlyTimeseries!$M:$M),"")</f>
        <v>8.5</v>
      </c>
      <c r="BH67" s="51">
        <f>IFERROR(LOOKUP(BH$15,HourlyTimeseries!$A:$A,HourlyTimeseries!$M:$M),"")</f>
        <v>8.5</v>
      </c>
      <c r="BI67" s="51">
        <f>IFERROR(LOOKUP(BI$15,HourlyTimeseries!$A:$A,HourlyTimeseries!$M:$M),"")</f>
        <v>8.5</v>
      </c>
      <c r="BJ67" s="51">
        <f>IFERROR(LOOKUP(BJ$15,HourlyTimeseries!$A:$A,HourlyTimeseries!$M:$M),"")</f>
        <v>8.5</v>
      </c>
      <c r="BK67" s="51">
        <f>IFERROR(LOOKUP(BK$15,HourlyTimeseries!$A:$A,HourlyTimeseries!$M:$M),"")</f>
        <v>8.5</v>
      </c>
      <c r="BL67" s="51">
        <f>IFERROR(LOOKUP(BL$15,HourlyTimeseries!$A:$A,HourlyTimeseries!$M:$M),"")</f>
        <v>8.5</v>
      </c>
      <c r="BM67" s="51">
        <f>IFERROR(LOOKUP(BM$15,HourlyTimeseries!$A:$A,HourlyTimeseries!$M:$M),"")</f>
        <v>8.5</v>
      </c>
      <c r="BN67" s="51">
        <f>IFERROR(LOOKUP(BN$15,HourlyTimeseries!$A:$A,HourlyTimeseries!$M:$M),"")</f>
        <v>8.5</v>
      </c>
      <c r="BO67" s="51">
        <f>IFERROR(LOOKUP(BO$15,HourlyTimeseries!$A:$A,HourlyTimeseries!$M:$M),"")</f>
        <v>8.5</v>
      </c>
      <c r="BP67" s="51">
        <f>IFERROR(LOOKUP(BP$15,HourlyTimeseries!$A:$A,HourlyTimeseries!$M:$M),"")</f>
        <v>8.5</v>
      </c>
      <c r="BQ67" s="51">
        <f>IFERROR(LOOKUP(BQ$15,HourlyTimeseries!$A:$A,HourlyTimeseries!$M:$M),"")</f>
        <v>8.5</v>
      </c>
      <c r="BR67" s="51">
        <f>IFERROR(LOOKUP(BR$15,HourlyTimeseries!$A:$A,HourlyTimeseries!$M:$M),"")</f>
        <v>8.5</v>
      </c>
      <c r="BS67" s="51">
        <f>IFERROR(LOOKUP(BS$15,HourlyTimeseries!$A:$A,HourlyTimeseries!$M:$M),"")</f>
        <v>8.5</v>
      </c>
      <c r="BT67" s="51">
        <f>IFERROR(LOOKUP(BT$15,HourlyTimeseries!$A:$A,HourlyTimeseries!$M:$M),"")</f>
        <v>8.5</v>
      </c>
      <c r="BU67" s="51">
        <f>IFERROR(LOOKUP(BU$15,HourlyTimeseries!$A:$A,HourlyTimeseries!$M:$M),"")</f>
        <v>8.5</v>
      </c>
      <c r="BV67" s="51">
        <f>IFERROR(LOOKUP(BV$15,HourlyTimeseries!$A:$A,HourlyTimeseries!$M:$M),"")</f>
        <v>8.5</v>
      </c>
      <c r="BW67" s="51">
        <f>IFERROR(LOOKUP(BW$15,HourlyTimeseries!$A:$A,HourlyTimeseries!$M:$M),"")</f>
        <v>8.5</v>
      </c>
      <c r="BX67" s="60">
        <f>IFERROR(LOOKUP(BX$15,HourlyTimeseries!$A:$A,HourlyTimeseries!$M:$M),"")</f>
        <v>8.5</v>
      </c>
      <c r="BY67" s="67">
        <f>IFERROR(LOOKUP(BY$15,HourlyTimeseries!$A:$A,HourlyTimeseries!$M:$M),"")</f>
        <v>8.5</v>
      </c>
      <c r="BZ67" s="51">
        <f>IFERROR(LOOKUP(BZ$15,HourlyTimeseries!$A:$A,HourlyTimeseries!$M:$M),"")</f>
        <v>8.5</v>
      </c>
      <c r="CA67" s="51">
        <f>IFERROR(LOOKUP(CA$15,HourlyTimeseries!$A:$A,HourlyTimeseries!$M:$M),"")</f>
        <v>8.5</v>
      </c>
      <c r="CB67" s="51">
        <f>IFERROR(LOOKUP(CB$15,HourlyTimeseries!$A:$A,HourlyTimeseries!$M:$M),"")</f>
        <v>8.5</v>
      </c>
      <c r="CC67" s="51">
        <f>IFERROR(LOOKUP(CC$15,HourlyTimeseries!$A:$A,HourlyTimeseries!$M:$M),"")</f>
        <v>8.5</v>
      </c>
      <c r="CD67" s="51">
        <f>IFERROR(LOOKUP(CD$15,HourlyTimeseries!$A:$A,HourlyTimeseries!$M:$M),"")</f>
        <v>8.5</v>
      </c>
      <c r="CE67" s="51">
        <f>IFERROR(LOOKUP(CE$15,HourlyTimeseries!$A:$A,HourlyTimeseries!$M:$M),"")</f>
        <v>8.5</v>
      </c>
      <c r="CF67" s="51">
        <f>IFERROR(LOOKUP(CF$15,HourlyTimeseries!$A:$A,HourlyTimeseries!$M:$M),"")</f>
        <v>8.5</v>
      </c>
      <c r="CG67" s="51">
        <f>IFERROR(LOOKUP(CG$15,HourlyTimeseries!$A:$A,HourlyTimeseries!$M:$M),"")</f>
        <v>8.5</v>
      </c>
      <c r="CH67" s="51">
        <f>IFERROR(LOOKUP(CH$15,HourlyTimeseries!$A:$A,HourlyTimeseries!$M:$M),"")</f>
        <v>8.5</v>
      </c>
      <c r="CI67" s="51">
        <f>IFERROR(LOOKUP(CI$15,HourlyTimeseries!$A:$A,HourlyTimeseries!$M:$M),"")</f>
        <v>8.5</v>
      </c>
      <c r="CJ67" s="51">
        <f>IFERROR(LOOKUP(CJ$15,HourlyTimeseries!$A:$A,HourlyTimeseries!$M:$M),"")</f>
        <v>8.5</v>
      </c>
      <c r="CK67" s="51">
        <f>IFERROR(LOOKUP(CK$15,HourlyTimeseries!$A:$A,HourlyTimeseries!$M:$M),"")</f>
        <v>8.5</v>
      </c>
      <c r="CL67" s="51">
        <f>IFERROR(LOOKUP(CL$15,HourlyTimeseries!$A:$A,HourlyTimeseries!$M:$M),"")</f>
        <v>8.5</v>
      </c>
      <c r="CM67" s="51">
        <f>IFERROR(LOOKUP(CM$15,HourlyTimeseries!$A:$A,HourlyTimeseries!$M:$M),"")</f>
        <v>8.5</v>
      </c>
      <c r="CN67" s="51">
        <f>IFERROR(LOOKUP(CN$15,HourlyTimeseries!$A:$A,HourlyTimeseries!$M:$M),"")</f>
        <v>8.5</v>
      </c>
      <c r="CO67" s="51">
        <f>IFERROR(LOOKUP(CO$15,HourlyTimeseries!$A:$A,HourlyTimeseries!$M:$M),"")</f>
        <v>8.5</v>
      </c>
      <c r="CP67" s="51">
        <f>IFERROR(LOOKUP(CP$15,HourlyTimeseries!$A:$A,HourlyTimeseries!$M:$M),"")</f>
        <v>8.5</v>
      </c>
      <c r="CQ67" s="51">
        <f>IFERROR(LOOKUP(CQ$15,HourlyTimeseries!$A:$A,HourlyTimeseries!$M:$M),"")</f>
        <v>8.5</v>
      </c>
      <c r="CR67" s="51">
        <f>IFERROR(LOOKUP(CR$15,HourlyTimeseries!$A:$A,HourlyTimeseries!$M:$M),"")</f>
        <v>8.5</v>
      </c>
      <c r="CS67" s="51">
        <f>IFERROR(LOOKUP(CS$15,HourlyTimeseries!$A:$A,HourlyTimeseries!$M:$M),"")</f>
        <v>8.5</v>
      </c>
      <c r="CT67" s="51">
        <f>IFERROR(LOOKUP(CT$15,HourlyTimeseries!$A:$A,HourlyTimeseries!$M:$M),"")</f>
        <v>8.5</v>
      </c>
      <c r="CU67" s="51">
        <f>IFERROR(LOOKUP(CU$15,HourlyTimeseries!$A:$A,HourlyTimeseries!$M:$M),"")</f>
        <v>8.5</v>
      </c>
      <c r="CV67" s="60">
        <f>IFERROR(LOOKUP(CV$15,HourlyTimeseries!$A:$A,HourlyTimeseries!$M:$M),"")</f>
        <v>8.5</v>
      </c>
      <c r="CW67" s="67">
        <f>IFERROR(LOOKUP(CW$15,HourlyTimeseries!$A:$A,HourlyTimeseries!$M:$M),"")</f>
        <v>8.5</v>
      </c>
      <c r="CX67" s="51">
        <f>IFERROR(LOOKUP(CX$15,HourlyTimeseries!$A:$A,HourlyTimeseries!$M:$M),"")</f>
        <v>8.5</v>
      </c>
      <c r="CY67" s="51">
        <f>IFERROR(LOOKUP(CY$15,HourlyTimeseries!$A:$A,HourlyTimeseries!$M:$M),"")</f>
        <v>8.5</v>
      </c>
      <c r="CZ67" s="51">
        <f>IFERROR(LOOKUP(CZ$15,HourlyTimeseries!$A:$A,HourlyTimeseries!$M:$M),"")</f>
        <v>8.5</v>
      </c>
      <c r="DA67" s="51">
        <f>IFERROR(LOOKUP(DA$15,HourlyTimeseries!$A:$A,HourlyTimeseries!$M:$M),"")</f>
        <v>8.5</v>
      </c>
      <c r="DB67" s="51">
        <f>IFERROR(LOOKUP(DB$15,HourlyTimeseries!$A:$A,HourlyTimeseries!$M:$M),"")</f>
        <v>8.5</v>
      </c>
      <c r="DC67" s="51">
        <f>IFERROR(LOOKUP(DC$15,HourlyTimeseries!$A:$A,HourlyTimeseries!$M:$M),"")</f>
        <v>8.5</v>
      </c>
      <c r="DD67" s="51">
        <f>IFERROR(LOOKUP(DD$15,HourlyTimeseries!$A:$A,HourlyTimeseries!$M:$M),"")</f>
        <v>8.5</v>
      </c>
      <c r="DE67" s="51">
        <f>IFERROR(LOOKUP(DE$15,HourlyTimeseries!$A:$A,HourlyTimeseries!$M:$M),"")</f>
        <v>8.5</v>
      </c>
      <c r="DF67" s="51">
        <f>IFERROR(LOOKUP(DF$15,HourlyTimeseries!$A:$A,HourlyTimeseries!$M:$M),"")</f>
        <v>8.5</v>
      </c>
      <c r="DG67" s="51">
        <f>IFERROR(LOOKUP(DG$15,HourlyTimeseries!$A:$A,HourlyTimeseries!$M:$M),"")</f>
        <v>8.5</v>
      </c>
      <c r="DH67" s="51">
        <f>IFERROR(LOOKUP(DH$15,HourlyTimeseries!$A:$A,HourlyTimeseries!$M:$M),"")</f>
        <v>8.5</v>
      </c>
      <c r="DI67" s="51">
        <f>IFERROR(LOOKUP(DI$15,HourlyTimeseries!$A:$A,HourlyTimeseries!$M:$M),"")</f>
        <v>8.5</v>
      </c>
      <c r="DJ67" s="51">
        <f>IFERROR(LOOKUP(DJ$15,HourlyTimeseries!$A:$A,HourlyTimeseries!$M:$M),"")</f>
        <v>8.5</v>
      </c>
      <c r="DK67" s="51">
        <f>IFERROR(LOOKUP(DK$15,HourlyTimeseries!$A:$A,HourlyTimeseries!$M:$M),"")</f>
        <v>8.5</v>
      </c>
      <c r="DL67" s="51">
        <f>IFERROR(LOOKUP(DL$15,HourlyTimeseries!$A:$A,HourlyTimeseries!$M:$M),"")</f>
        <v>8.5</v>
      </c>
      <c r="DM67" s="51">
        <f>IFERROR(LOOKUP(DM$15,HourlyTimeseries!$A:$A,HourlyTimeseries!$M:$M),"")</f>
        <v>8.5</v>
      </c>
      <c r="DN67" s="51">
        <f>IFERROR(LOOKUP(DN$15,HourlyTimeseries!$A:$A,HourlyTimeseries!$M:$M),"")</f>
        <v>8.5</v>
      </c>
      <c r="DO67" s="51">
        <f>IFERROR(LOOKUP(DO$15,HourlyTimeseries!$A:$A,HourlyTimeseries!$M:$M),"")</f>
        <v>8.5</v>
      </c>
      <c r="DP67" s="51">
        <f>IFERROR(LOOKUP(DP$15,HourlyTimeseries!$A:$A,HourlyTimeseries!$M:$M),"")</f>
        <v>8.5</v>
      </c>
      <c r="DQ67" s="51">
        <f>IFERROR(LOOKUP(DQ$15,HourlyTimeseries!$A:$A,HourlyTimeseries!$M:$M),"")</f>
        <v>8.5</v>
      </c>
      <c r="DR67" s="51">
        <f>IFERROR(LOOKUP(DR$15,HourlyTimeseries!$A:$A,HourlyTimeseries!$M:$M),"")</f>
        <v>8.5</v>
      </c>
      <c r="DS67" s="51">
        <f>IFERROR(LOOKUP(DS$15,HourlyTimeseries!$A:$A,HourlyTimeseries!$M:$M),"")</f>
        <v>8.5</v>
      </c>
      <c r="DT67" s="60">
        <f>IFERROR(LOOKUP(DT$15,HourlyTimeseries!$A:$A,HourlyTimeseries!$M:$M),"")</f>
        <v>8.5</v>
      </c>
      <c r="DU67" s="67">
        <f>IFERROR(LOOKUP(DU$15,HourlyTimeseries!$A:$A,HourlyTimeseries!$M:$M),"")</f>
        <v>8.5</v>
      </c>
      <c r="DV67" s="51">
        <f>IFERROR(LOOKUP(DV$15,HourlyTimeseries!$A:$A,HourlyTimeseries!$M:$M),"")</f>
        <v>8.5</v>
      </c>
      <c r="DW67" s="51">
        <f>IFERROR(LOOKUP(DW$15,HourlyTimeseries!$A:$A,HourlyTimeseries!$M:$M),"")</f>
        <v>8.5</v>
      </c>
      <c r="DX67" s="51">
        <f>IFERROR(LOOKUP(DX$15,HourlyTimeseries!$A:$A,HourlyTimeseries!$M:$M),"")</f>
        <v>8.5</v>
      </c>
      <c r="DY67" s="51">
        <f>IFERROR(LOOKUP(DY$15,HourlyTimeseries!$A:$A,HourlyTimeseries!$M:$M),"")</f>
        <v>8.5</v>
      </c>
      <c r="DZ67" s="51">
        <f>IFERROR(LOOKUP(DZ$15,HourlyTimeseries!$A:$A,HourlyTimeseries!$M:$M),"")</f>
        <v>8.5</v>
      </c>
      <c r="EA67" s="51">
        <f>IFERROR(LOOKUP(EA$15,HourlyTimeseries!$A:$A,HourlyTimeseries!$M:$M),"")</f>
        <v>8.5</v>
      </c>
      <c r="EB67" s="51">
        <f>IFERROR(LOOKUP(EB$15,HourlyTimeseries!$A:$A,HourlyTimeseries!$M:$M),"")</f>
        <v>8.5</v>
      </c>
      <c r="EC67" s="51">
        <f>IFERROR(LOOKUP(EC$15,HourlyTimeseries!$A:$A,HourlyTimeseries!$M:$M),"")</f>
        <v>8.5</v>
      </c>
      <c r="ED67" s="51">
        <f>IFERROR(LOOKUP(ED$15,HourlyTimeseries!$A:$A,HourlyTimeseries!$M:$M),"")</f>
        <v>8.5</v>
      </c>
      <c r="EE67" s="51">
        <f>IFERROR(LOOKUP(EE$15,HourlyTimeseries!$A:$A,HourlyTimeseries!$M:$M),"")</f>
        <v>8.5</v>
      </c>
      <c r="EF67" s="51">
        <f>IFERROR(LOOKUP(EF$15,HourlyTimeseries!$A:$A,HourlyTimeseries!$M:$M),"")</f>
        <v>8.5</v>
      </c>
      <c r="EG67" s="51">
        <f>IFERROR(LOOKUP(EG$15,HourlyTimeseries!$A:$A,HourlyTimeseries!$M:$M),"")</f>
        <v>8.5</v>
      </c>
      <c r="EH67" s="51">
        <f>IFERROR(LOOKUP(EH$15,HourlyTimeseries!$A:$A,HourlyTimeseries!$M:$M),"")</f>
        <v>8.5</v>
      </c>
      <c r="EI67" s="51">
        <f>IFERROR(LOOKUP(EI$15,HourlyTimeseries!$A:$A,HourlyTimeseries!$M:$M),"")</f>
        <v>8.5</v>
      </c>
      <c r="EJ67" s="51">
        <f>IFERROR(LOOKUP(EJ$15,HourlyTimeseries!$A:$A,HourlyTimeseries!$M:$M),"")</f>
        <v>8.5</v>
      </c>
      <c r="EK67" s="51">
        <f>IFERROR(LOOKUP(EK$15,HourlyTimeseries!$A:$A,HourlyTimeseries!$M:$M),"")</f>
        <v>8.5</v>
      </c>
      <c r="EL67" s="51">
        <f>IFERROR(LOOKUP(EL$15,HourlyTimeseries!$A:$A,HourlyTimeseries!$M:$M),"")</f>
        <v>8.5</v>
      </c>
      <c r="EM67" s="51">
        <f>IFERROR(LOOKUP(EM$15,HourlyTimeseries!$A:$A,HourlyTimeseries!$M:$M),"")</f>
        <v>8.5</v>
      </c>
      <c r="EN67" s="51">
        <f>IFERROR(LOOKUP(EN$15,HourlyTimeseries!$A:$A,HourlyTimeseries!$M:$M),"")</f>
        <v>8.5</v>
      </c>
      <c r="EO67" s="51">
        <f>IFERROR(LOOKUP(EO$15,HourlyTimeseries!$A:$A,HourlyTimeseries!$M:$M),"")</f>
        <v>8.5</v>
      </c>
      <c r="EP67" s="51">
        <f>IFERROR(LOOKUP(EP$15,HourlyTimeseries!$A:$A,HourlyTimeseries!$M:$M),"")</f>
        <v>8.5</v>
      </c>
      <c r="EQ67" s="51">
        <f>IFERROR(LOOKUP(EQ$15,HourlyTimeseries!$A:$A,HourlyTimeseries!$M:$M),"")</f>
        <v>8.5</v>
      </c>
      <c r="ER67" s="60">
        <f>IFERROR(LOOKUP(ER$15,HourlyTimeseries!$A:$A,HourlyTimeseries!$M:$M),"")</f>
        <v>8.5</v>
      </c>
      <c r="ES67" s="67">
        <f>IFERROR(LOOKUP(ES$15,HourlyTimeseries!$A:$A,HourlyTimeseries!$M:$M),"")</f>
        <v>8.5</v>
      </c>
      <c r="ET67" s="51">
        <f>IFERROR(LOOKUP(ET$15,HourlyTimeseries!$A:$A,HourlyTimeseries!$M:$M),"")</f>
        <v>8.5</v>
      </c>
      <c r="EU67" s="51">
        <f>IFERROR(LOOKUP(EU$15,HourlyTimeseries!$A:$A,HourlyTimeseries!$M:$M),"")</f>
        <v>8.5</v>
      </c>
      <c r="EV67" s="51">
        <f>IFERROR(LOOKUP(EV$15,HourlyTimeseries!$A:$A,HourlyTimeseries!$M:$M),"")</f>
        <v>8.5</v>
      </c>
      <c r="EW67" s="51">
        <f>IFERROR(LOOKUP(EW$15,HourlyTimeseries!$A:$A,HourlyTimeseries!$M:$M),"")</f>
        <v>8.5</v>
      </c>
      <c r="EX67" s="51">
        <f>IFERROR(LOOKUP(EX$15,HourlyTimeseries!$A:$A,HourlyTimeseries!$M:$M),"")</f>
        <v>8.5</v>
      </c>
      <c r="EY67" s="51">
        <f>IFERROR(LOOKUP(EY$15,HourlyTimeseries!$A:$A,HourlyTimeseries!$M:$M),"")</f>
        <v>8.5</v>
      </c>
      <c r="EZ67" s="51">
        <f>IFERROR(LOOKUP(EZ$15,HourlyTimeseries!$A:$A,HourlyTimeseries!$M:$M),"")</f>
        <v>8.5</v>
      </c>
      <c r="FA67" s="51">
        <f>IFERROR(LOOKUP(FA$15,HourlyTimeseries!$A:$A,HourlyTimeseries!$M:$M),"")</f>
        <v>8.5</v>
      </c>
      <c r="FB67" s="51">
        <f>IFERROR(LOOKUP(FB$15,HourlyTimeseries!$A:$A,HourlyTimeseries!$M:$M),"")</f>
        <v>8.5</v>
      </c>
      <c r="FC67" s="51">
        <f>IFERROR(LOOKUP(FC$15,HourlyTimeseries!$A:$A,HourlyTimeseries!$M:$M),"")</f>
        <v>8.5</v>
      </c>
      <c r="FD67" s="51">
        <f>IFERROR(LOOKUP(FD$15,HourlyTimeseries!$A:$A,HourlyTimeseries!$M:$M),"")</f>
        <v>8.5</v>
      </c>
      <c r="FE67" s="51">
        <f>IFERROR(LOOKUP(FE$15,HourlyTimeseries!$A:$A,HourlyTimeseries!$M:$M),"")</f>
        <v>8.5</v>
      </c>
      <c r="FF67" s="51">
        <f>IFERROR(LOOKUP(FF$15,HourlyTimeseries!$A:$A,HourlyTimeseries!$M:$M),"")</f>
        <v>8.5</v>
      </c>
      <c r="FG67" s="51">
        <f>IFERROR(LOOKUP(FG$15,HourlyTimeseries!$A:$A,HourlyTimeseries!$M:$M),"")</f>
        <v>8.5</v>
      </c>
      <c r="FH67" s="51">
        <f>IFERROR(LOOKUP(FH$15,HourlyTimeseries!$A:$A,HourlyTimeseries!$M:$M),"")</f>
        <v>8.5</v>
      </c>
      <c r="FI67" s="51">
        <f>IFERROR(LOOKUP(FI$15,HourlyTimeseries!$A:$A,HourlyTimeseries!$M:$M),"")</f>
        <v>8.5</v>
      </c>
      <c r="FJ67" s="51">
        <f>IFERROR(LOOKUP(FJ$15,HourlyTimeseries!$A:$A,HourlyTimeseries!$M:$M),"")</f>
        <v>8.5</v>
      </c>
      <c r="FK67" s="51">
        <f>IFERROR(LOOKUP(FK$15,HourlyTimeseries!$A:$A,HourlyTimeseries!$M:$M),"")</f>
        <v>8.5</v>
      </c>
      <c r="FL67" s="51">
        <f>IFERROR(LOOKUP(FL$15,HourlyTimeseries!$A:$A,HourlyTimeseries!$M:$M),"")</f>
        <v>8.5</v>
      </c>
      <c r="FM67" s="51">
        <f>IFERROR(LOOKUP(FM$15,HourlyTimeseries!$A:$A,HourlyTimeseries!$M:$M),"")</f>
        <v>8.5</v>
      </c>
      <c r="FN67" s="51">
        <f>IFERROR(LOOKUP(FN$15,HourlyTimeseries!$A:$A,HourlyTimeseries!$M:$M),"")</f>
        <v>8.5</v>
      </c>
      <c r="FO67" s="51">
        <f>IFERROR(LOOKUP(FO$15,HourlyTimeseries!$A:$A,HourlyTimeseries!$M:$M),"")</f>
        <v>8.5</v>
      </c>
      <c r="FP67" s="60">
        <f>IFERROR(LOOKUP(FP$15,HourlyTimeseries!$A:$A,HourlyTimeseries!$M:$M),"")</f>
        <v>8.5</v>
      </c>
    </row>
    <row r="68" spans="1:172">
      <c r="A68" s="15" t="s">
        <v>36</v>
      </c>
      <c r="B68" s="2" t="s">
        <v>6</v>
      </c>
      <c r="C68" s="8" t="s">
        <v>133</v>
      </c>
      <c r="D68" s="2"/>
      <c r="E68" s="51">
        <f>IFERROR(LOOKUP(E$15,HourlyTimeseries!$A:$A,HourlyTimeseries!$N:$N),"")</f>
        <v>14.71</v>
      </c>
      <c r="F68" s="51">
        <f>IFERROR(LOOKUP(F$15,HourlyTimeseries!$A:$A,HourlyTimeseries!$N:$N),"")</f>
        <v>14.71</v>
      </c>
      <c r="G68" s="51">
        <f>IFERROR(LOOKUP(G$15,HourlyTimeseries!$A:$A,HourlyTimeseries!$N:$N),"")</f>
        <v>14.71</v>
      </c>
      <c r="H68" s="51">
        <f>IFERROR(LOOKUP(H$15,HourlyTimeseries!$A:$A,HourlyTimeseries!$N:$N),"")</f>
        <v>14.71</v>
      </c>
      <c r="I68" s="51">
        <f>IFERROR(LOOKUP(I$15,HourlyTimeseries!$A:$A,HourlyTimeseries!$N:$N),"")</f>
        <v>14.71</v>
      </c>
      <c r="J68" s="51">
        <f>IFERROR(LOOKUP(J$15,HourlyTimeseries!$A:$A,HourlyTimeseries!$N:$N),"")</f>
        <v>14.71</v>
      </c>
      <c r="K68" s="51">
        <f>IFERROR(LOOKUP(K$15,HourlyTimeseries!$A:$A,HourlyTimeseries!$N:$N),"")</f>
        <v>14.71</v>
      </c>
      <c r="L68" s="51">
        <f>IFERROR(LOOKUP(L$15,HourlyTimeseries!$A:$A,HourlyTimeseries!$N:$N),"")</f>
        <v>14.71</v>
      </c>
      <c r="M68" s="51">
        <f>IFERROR(LOOKUP(M$15,HourlyTimeseries!$A:$A,HourlyTimeseries!$N:$N),"")</f>
        <v>14.71</v>
      </c>
      <c r="N68" s="51">
        <f>IFERROR(LOOKUP(N$15,HourlyTimeseries!$A:$A,HourlyTimeseries!$N:$N),"")</f>
        <v>14.71</v>
      </c>
      <c r="O68" s="51">
        <f>IFERROR(LOOKUP(O$15,HourlyTimeseries!$A:$A,HourlyTimeseries!$N:$N),"")</f>
        <v>14.71</v>
      </c>
      <c r="P68" s="51">
        <f>IFERROR(LOOKUP(P$15,HourlyTimeseries!$A:$A,HourlyTimeseries!$N:$N),"")</f>
        <v>14.71</v>
      </c>
      <c r="Q68" s="51">
        <f>IFERROR(LOOKUP(Q$15,HourlyTimeseries!$A:$A,HourlyTimeseries!$N:$N),"")</f>
        <v>14.71</v>
      </c>
      <c r="R68" s="51">
        <f>IFERROR(LOOKUP(R$15,HourlyTimeseries!$A:$A,HourlyTimeseries!$N:$N),"")</f>
        <v>14.71</v>
      </c>
      <c r="S68" s="51">
        <f>IFERROR(LOOKUP(S$15,HourlyTimeseries!$A:$A,HourlyTimeseries!$N:$N),"")</f>
        <v>14.71</v>
      </c>
      <c r="T68" s="51">
        <f>IFERROR(LOOKUP(T$15,HourlyTimeseries!$A:$A,HourlyTimeseries!$N:$N),"")</f>
        <v>14.71</v>
      </c>
      <c r="U68" s="51">
        <f>IFERROR(LOOKUP(U$15,HourlyTimeseries!$A:$A,HourlyTimeseries!$N:$N),"")</f>
        <v>14.71</v>
      </c>
      <c r="V68" s="51">
        <f>IFERROR(LOOKUP(V$15,HourlyTimeseries!$A:$A,HourlyTimeseries!$N:$N),"")</f>
        <v>14.71</v>
      </c>
      <c r="W68" s="51">
        <f>IFERROR(LOOKUP(W$15,HourlyTimeseries!$A:$A,HourlyTimeseries!$N:$N),"")</f>
        <v>14.71</v>
      </c>
      <c r="X68" s="51">
        <f>IFERROR(LOOKUP(X$15,HourlyTimeseries!$A:$A,HourlyTimeseries!$N:$N),"")</f>
        <v>14.71</v>
      </c>
      <c r="Y68" s="51">
        <f>IFERROR(LOOKUP(Y$15,HourlyTimeseries!$A:$A,HourlyTimeseries!$N:$N),"")</f>
        <v>14.71</v>
      </c>
      <c r="Z68" s="51">
        <f>IFERROR(LOOKUP(Z$15,HourlyTimeseries!$A:$A,HourlyTimeseries!$N:$N),"")</f>
        <v>14.71</v>
      </c>
      <c r="AA68" s="51">
        <f>IFERROR(LOOKUP(AA$15,HourlyTimeseries!$A:$A,HourlyTimeseries!$N:$N),"")</f>
        <v>14.71</v>
      </c>
      <c r="AB68" s="60">
        <f>IFERROR(LOOKUP(AB$15,HourlyTimeseries!$A:$A,HourlyTimeseries!$N:$N),"")</f>
        <v>14.71</v>
      </c>
      <c r="AC68" s="67">
        <f>IFERROR(LOOKUP(AC$15,HourlyTimeseries!$A:$A,HourlyTimeseries!$N:$N),"")</f>
        <v>14.71</v>
      </c>
      <c r="AD68" s="51">
        <f>IFERROR(LOOKUP(AD$15,HourlyTimeseries!$A:$A,HourlyTimeseries!$N:$N),"")</f>
        <v>14.71</v>
      </c>
      <c r="AE68" s="51">
        <f>IFERROR(LOOKUP(AE$15,HourlyTimeseries!$A:$A,HourlyTimeseries!$N:$N),"")</f>
        <v>14.71</v>
      </c>
      <c r="AF68" s="51">
        <f>IFERROR(LOOKUP(AF$15,HourlyTimeseries!$A:$A,HourlyTimeseries!$N:$N),"")</f>
        <v>14.71</v>
      </c>
      <c r="AG68" s="51">
        <f>IFERROR(LOOKUP(AG$15,HourlyTimeseries!$A:$A,HourlyTimeseries!$N:$N),"")</f>
        <v>14.71</v>
      </c>
      <c r="AH68" s="51">
        <f>IFERROR(LOOKUP(AH$15,HourlyTimeseries!$A:$A,HourlyTimeseries!$N:$N),"")</f>
        <v>14.71</v>
      </c>
      <c r="AI68" s="51">
        <f>IFERROR(LOOKUP(AI$15,HourlyTimeseries!$A:$A,HourlyTimeseries!$N:$N),"")</f>
        <v>14.71</v>
      </c>
      <c r="AJ68" s="51">
        <f>IFERROR(LOOKUP(AJ$15,HourlyTimeseries!$A:$A,HourlyTimeseries!$N:$N),"")</f>
        <v>14.71</v>
      </c>
      <c r="AK68" s="51">
        <f>IFERROR(LOOKUP(AK$15,HourlyTimeseries!$A:$A,HourlyTimeseries!$N:$N),"")</f>
        <v>14.71</v>
      </c>
      <c r="AL68" s="51">
        <f>IFERROR(LOOKUP(AL$15,HourlyTimeseries!$A:$A,HourlyTimeseries!$N:$N),"")</f>
        <v>14.71</v>
      </c>
      <c r="AM68" s="51">
        <f>IFERROR(LOOKUP(AM$15,HourlyTimeseries!$A:$A,HourlyTimeseries!$N:$N),"")</f>
        <v>14.71</v>
      </c>
      <c r="AN68" s="51">
        <f>IFERROR(LOOKUP(AN$15,HourlyTimeseries!$A:$A,HourlyTimeseries!$N:$N),"")</f>
        <v>14.71</v>
      </c>
      <c r="AO68" s="51">
        <f>IFERROR(LOOKUP(AO$15,HourlyTimeseries!$A:$A,HourlyTimeseries!$N:$N),"")</f>
        <v>14.71</v>
      </c>
      <c r="AP68" s="51">
        <f>IFERROR(LOOKUP(AP$15,HourlyTimeseries!$A:$A,HourlyTimeseries!$N:$N),"")</f>
        <v>14.71</v>
      </c>
      <c r="AQ68" s="51">
        <f>IFERROR(LOOKUP(AQ$15,HourlyTimeseries!$A:$A,HourlyTimeseries!$N:$N),"")</f>
        <v>14.71</v>
      </c>
      <c r="AR68" s="51">
        <f>IFERROR(LOOKUP(AR$15,HourlyTimeseries!$A:$A,HourlyTimeseries!$N:$N),"")</f>
        <v>14.71</v>
      </c>
      <c r="AS68" s="51">
        <f>IFERROR(LOOKUP(AS$15,HourlyTimeseries!$A:$A,HourlyTimeseries!$N:$N),"")</f>
        <v>14.71</v>
      </c>
      <c r="AT68" s="51">
        <f>IFERROR(LOOKUP(AT$15,HourlyTimeseries!$A:$A,HourlyTimeseries!$N:$N),"")</f>
        <v>14.71</v>
      </c>
      <c r="AU68" s="51">
        <f>IFERROR(LOOKUP(AU$15,HourlyTimeseries!$A:$A,HourlyTimeseries!$N:$N),"")</f>
        <v>14.71</v>
      </c>
      <c r="AV68" s="51">
        <f>IFERROR(LOOKUP(AV$15,HourlyTimeseries!$A:$A,HourlyTimeseries!$N:$N),"")</f>
        <v>14.71</v>
      </c>
      <c r="AW68" s="51">
        <f>IFERROR(LOOKUP(AW$15,HourlyTimeseries!$A:$A,HourlyTimeseries!$N:$N),"")</f>
        <v>14.71</v>
      </c>
      <c r="AX68" s="51">
        <f>IFERROR(LOOKUP(AX$15,HourlyTimeseries!$A:$A,HourlyTimeseries!$N:$N),"")</f>
        <v>14.71</v>
      </c>
      <c r="AY68" s="51">
        <f>IFERROR(LOOKUP(AY$15,HourlyTimeseries!$A:$A,HourlyTimeseries!$N:$N),"")</f>
        <v>14.71</v>
      </c>
      <c r="AZ68" s="60">
        <f>IFERROR(LOOKUP(AZ$15,HourlyTimeseries!$A:$A,HourlyTimeseries!$N:$N),"")</f>
        <v>14.71</v>
      </c>
      <c r="BA68" s="67">
        <f>IFERROR(LOOKUP(BA$15,HourlyTimeseries!$A:$A,HourlyTimeseries!$N:$N),"")</f>
        <v>14.71</v>
      </c>
      <c r="BB68" s="51">
        <f>IFERROR(LOOKUP(BB$15,HourlyTimeseries!$A:$A,HourlyTimeseries!$N:$N),"")</f>
        <v>14.71</v>
      </c>
      <c r="BC68" s="51">
        <f>IFERROR(LOOKUP(BC$15,HourlyTimeseries!$A:$A,HourlyTimeseries!$N:$N),"")</f>
        <v>14.71</v>
      </c>
      <c r="BD68" s="51">
        <f>IFERROR(LOOKUP(BD$15,HourlyTimeseries!$A:$A,HourlyTimeseries!$N:$N),"")</f>
        <v>14.71</v>
      </c>
      <c r="BE68" s="51">
        <f>IFERROR(LOOKUP(BE$15,HourlyTimeseries!$A:$A,HourlyTimeseries!$N:$N),"")</f>
        <v>14.71</v>
      </c>
      <c r="BF68" s="51">
        <f>IFERROR(LOOKUP(BF$15,HourlyTimeseries!$A:$A,HourlyTimeseries!$N:$N),"")</f>
        <v>14.71</v>
      </c>
      <c r="BG68" s="51">
        <f>IFERROR(LOOKUP(BG$15,HourlyTimeseries!$A:$A,HourlyTimeseries!$N:$N),"")</f>
        <v>14.71</v>
      </c>
      <c r="BH68" s="51">
        <f>IFERROR(LOOKUP(BH$15,HourlyTimeseries!$A:$A,HourlyTimeseries!$N:$N),"")</f>
        <v>14.71</v>
      </c>
      <c r="BI68" s="51">
        <f>IFERROR(LOOKUP(BI$15,HourlyTimeseries!$A:$A,HourlyTimeseries!$N:$N),"")</f>
        <v>14.71</v>
      </c>
      <c r="BJ68" s="51">
        <f>IFERROR(LOOKUP(BJ$15,HourlyTimeseries!$A:$A,HourlyTimeseries!$N:$N),"")</f>
        <v>14.71</v>
      </c>
      <c r="BK68" s="51">
        <f>IFERROR(LOOKUP(BK$15,HourlyTimeseries!$A:$A,HourlyTimeseries!$N:$N),"")</f>
        <v>14.71</v>
      </c>
      <c r="BL68" s="51">
        <f>IFERROR(LOOKUP(BL$15,HourlyTimeseries!$A:$A,HourlyTimeseries!$N:$N),"")</f>
        <v>14.71</v>
      </c>
      <c r="BM68" s="51">
        <f>IFERROR(LOOKUP(BM$15,HourlyTimeseries!$A:$A,HourlyTimeseries!$N:$N),"")</f>
        <v>14.71</v>
      </c>
      <c r="BN68" s="51">
        <f>IFERROR(LOOKUP(BN$15,HourlyTimeseries!$A:$A,HourlyTimeseries!$N:$N),"")</f>
        <v>14.71</v>
      </c>
      <c r="BO68" s="51">
        <f>IFERROR(LOOKUP(BO$15,HourlyTimeseries!$A:$A,HourlyTimeseries!$N:$N),"")</f>
        <v>14.71</v>
      </c>
      <c r="BP68" s="51">
        <f>IFERROR(LOOKUP(BP$15,HourlyTimeseries!$A:$A,HourlyTimeseries!$N:$N),"")</f>
        <v>14.71</v>
      </c>
      <c r="BQ68" s="51">
        <f>IFERROR(LOOKUP(BQ$15,HourlyTimeseries!$A:$A,HourlyTimeseries!$N:$N),"")</f>
        <v>14.71</v>
      </c>
      <c r="BR68" s="51">
        <f>IFERROR(LOOKUP(BR$15,HourlyTimeseries!$A:$A,HourlyTimeseries!$N:$N),"")</f>
        <v>14.71</v>
      </c>
      <c r="BS68" s="51">
        <f>IFERROR(LOOKUP(BS$15,HourlyTimeseries!$A:$A,HourlyTimeseries!$N:$N),"")</f>
        <v>14.71</v>
      </c>
      <c r="BT68" s="51">
        <f>IFERROR(LOOKUP(BT$15,HourlyTimeseries!$A:$A,HourlyTimeseries!$N:$N),"")</f>
        <v>14.71</v>
      </c>
      <c r="BU68" s="51">
        <f>IFERROR(LOOKUP(BU$15,HourlyTimeseries!$A:$A,HourlyTimeseries!$N:$N),"")</f>
        <v>14.71</v>
      </c>
      <c r="BV68" s="51">
        <f>IFERROR(LOOKUP(BV$15,HourlyTimeseries!$A:$A,HourlyTimeseries!$N:$N),"")</f>
        <v>14.71</v>
      </c>
      <c r="BW68" s="51">
        <f>IFERROR(LOOKUP(BW$15,HourlyTimeseries!$A:$A,HourlyTimeseries!$N:$N),"")</f>
        <v>14.71</v>
      </c>
      <c r="BX68" s="60">
        <f>IFERROR(LOOKUP(BX$15,HourlyTimeseries!$A:$A,HourlyTimeseries!$N:$N),"")</f>
        <v>14.71</v>
      </c>
      <c r="BY68" s="67">
        <f>IFERROR(LOOKUP(BY$15,HourlyTimeseries!$A:$A,HourlyTimeseries!$N:$N),"")</f>
        <v>14.71</v>
      </c>
      <c r="BZ68" s="51">
        <f>IFERROR(LOOKUP(BZ$15,HourlyTimeseries!$A:$A,HourlyTimeseries!$N:$N),"")</f>
        <v>14.71</v>
      </c>
      <c r="CA68" s="51">
        <f>IFERROR(LOOKUP(CA$15,HourlyTimeseries!$A:$A,HourlyTimeseries!$N:$N),"")</f>
        <v>14.71</v>
      </c>
      <c r="CB68" s="51">
        <f>IFERROR(LOOKUP(CB$15,HourlyTimeseries!$A:$A,HourlyTimeseries!$N:$N),"")</f>
        <v>14.71</v>
      </c>
      <c r="CC68" s="51">
        <f>IFERROR(LOOKUP(CC$15,HourlyTimeseries!$A:$A,HourlyTimeseries!$N:$N),"")</f>
        <v>14.71</v>
      </c>
      <c r="CD68" s="51">
        <f>IFERROR(LOOKUP(CD$15,HourlyTimeseries!$A:$A,HourlyTimeseries!$N:$N),"")</f>
        <v>14.71</v>
      </c>
      <c r="CE68" s="51">
        <f>IFERROR(LOOKUP(CE$15,HourlyTimeseries!$A:$A,HourlyTimeseries!$N:$N),"")</f>
        <v>14.71</v>
      </c>
      <c r="CF68" s="51">
        <f>IFERROR(LOOKUP(CF$15,HourlyTimeseries!$A:$A,HourlyTimeseries!$N:$N),"")</f>
        <v>14.71</v>
      </c>
      <c r="CG68" s="51">
        <f>IFERROR(LOOKUP(CG$15,HourlyTimeseries!$A:$A,HourlyTimeseries!$N:$N),"")</f>
        <v>14.71</v>
      </c>
      <c r="CH68" s="51">
        <f>IFERROR(LOOKUP(CH$15,HourlyTimeseries!$A:$A,HourlyTimeseries!$N:$N),"")</f>
        <v>14.71</v>
      </c>
      <c r="CI68" s="51">
        <f>IFERROR(LOOKUP(CI$15,HourlyTimeseries!$A:$A,HourlyTimeseries!$N:$N),"")</f>
        <v>14.71</v>
      </c>
      <c r="CJ68" s="51">
        <f>IFERROR(LOOKUP(CJ$15,HourlyTimeseries!$A:$A,HourlyTimeseries!$N:$N),"")</f>
        <v>14.71</v>
      </c>
      <c r="CK68" s="51">
        <f>IFERROR(LOOKUP(CK$15,HourlyTimeseries!$A:$A,HourlyTimeseries!$N:$N),"")</f>
        <v>14.71</v>
      </c>
      <c r="CL68" s="51">
        <f>IFERROR(LOOKUP(CL$15,HourlyTimeseries!$A:$A,HourlyTimeseries!$N:$N),"")</f>
        <v>14.71</v>
      </c>
      <c r="CM68" s="51">
        <f>IFERROR(LOOKUP(CM$15,HourlyTimeseries!$A:$A,HourlyTimeseries!$N:$N),"")</f>
        <v>14.71</v>
      </c>
      <c r="CN68" s="51">
        <f>IFERROR(LOOKUP(CN$15,HourlyTimeseries!$A:$A,HourlyTimeseries!$N:$N),"")</f>
        <v>14.71</v>
      </c>
      <c r="CO68" s="51">
        <f>IFERROR(LOOKUP(CO$15,HourlyTimeseries!$A:$A,HourlyTimeseries!$N:$N),"")</f>
        <v>14.71</v>
      </c>
      <c r="CP68" s="51">
        <f>IFERROR(LOOKUP(CP$15,HourlyTimeseries!$A:$A,HourlyTimeseries!$N:$N),"")</f>
        <v>14.71</v>
      </c>
      <c r="CQ68" s="51">
        <f>IFERROR(LOOKUP(CQ$15,HourlyTimeseries!$A:$A,HourlyTimeseries!$N:$N),"")</f>
        <v>14.71</v>
      </c>
      <c r="CR68" s="51">
        <f>IFERROR(LOOKUP(CR$15,HourlyTimeseries!$A:$A,HourlyTimeseries!$N:$N),"")</f>
        <v>14.71</v>
      </c>
      <c r="CS68" s="51">
        <f>IFERROR(LOOKUP(CS$15,HourlyTimeseries!$A:$A,HourlyTimeseries!$N:$N),"")</f>
        <v>14.71</v>
      </c>
      <c r="CT68" s="51">
        <f>IFERROR(LOOKUP(CT$15,HourlyTimeseries!$A:$A,HourlyTimeseries!$N:$N),"")</f>
        <v>14.71</v>
      </c>
      <c r="CU68" s="51">
        <f>IFERROR(LOOKUP(CU$15,HourlyTimeseries!$A:$A,HourlyTimeseries!$N:$N),"")</f>
        <v>14.71</v>
      </c>
      <c r="CV68" s="60">
        <f>IFERROR(LOOKUP(CV$15,HourlyTimeseries!$A:$A,HourlyTimeseries!$N:$N),"")</f>
        <v>14.71</v>
      </c>
      <c r="CW68" s="67">
        <f>IFERROR(LOOKUP(CW$15,HourlyTimeseries!$A:$A,HourlyTimeseries!$N:$N),"")</f>
        <v>14.71</v>
      </c>
      <c r="CX68" s="51">
        <f>IFERROR(LOOKUP(CX$15,HourlyTimeseries!$A:$A,HourlyTimeseries!$N:$N),"")</f>
        <v>14.71</v>
      </c>
      <c r="CY68" s="51">
        <f>IFERROR(LOOKUP(CY$15,HourlyTimeseries!$A:$A,HourlyTimeseries!$N:$N),"")</f>
        <v>14.71</v>
      </c>
      <c r="CZ68" s="51">
        <f>IFERROR(LOOKUP(CZ$15,HourlyTimeseries!$A:$A,HourlyTimeseries!$N:$N),"")</f>
        <v>14.71</v>
      </c>
      <c r="DA68" s="51">
        <f>IFERROR(LOOKUP(DA$15,HourlyTimeseries!$A:$A,HourlyTimeseries!$N:$N),"")</f>
        <v>14.71</v>
      </c>
      <c r="DB68" s="51">
        <f>IFERROR(LOOKUP(DB$15,HourlyTimeseries!$A:$A,HourlyTimeseries!$N:$N),"")</f>
        <v>14.71</v>
      </c>
      <c r="DC68" s="51">
        <f>IFERROR(LOOKUP(DC$15,HourlyTimeseries!$A:$A,HourlyTimeseries!$N:$N),"")</f>
        <v>14.71</v>
      </c>
      <c r="DD68" s="51">
        <f>IFERROR(LOOKUP(DD$15,HourlyTimeseries!$A:$A,HourlyTimeseries!$N:$N),"")</f>
        <v>14.71</v>
      </c>
      <c r="DE68" s="51">
        <f>IFERROR(LOOKUP(DE$15,HourlyTimeseries!$A:$A,HourlyTimeseries!$N:$N),"")</f>
        <v>14.71</v>
      </c>
      <c r="DF68" s="51">
        <f>IFERROR(LOOKUP(DF$15,HourlyTimeseries!$A:$A,HourlyTimeseries!$N:$N),"")</f>
        <v>14.71</v>
      </c>
      <c r="DG68" s="51">
        <f>IFERROR(LOOKUP(DG$15,HourlyTimeseries!$A:$A,HourlyTimeseries!$N:$N),"")</f>
        <v>14.71</v>
      </c>
      <c r="DH68" s="51">
        <f>IFERROR(LOOKUP(DH$15,HourlyTimeseries!$A:$A,HourlyTimeseries!$N:$N),"")</f>
        <v>14.71</v>
      </c>
      <c r="DI68" s="51">
        <f>IFERROR(LOOKUP(DI$15,HourlyTimeseries!$A:$A,HourlyTimeseries!$N:$N),"")</f>
        <v>14.71</v>
      </c>
      <c r="DJ68" s="51">
        <f>IFERROR(LOOKUP(DJ$15,HourlyTimeseries!$A:$A,HourlyTimeseries!$N:$N),"")</f>
        <v>14.71</v>
      </c>
      <c r="DK68" s="51">
        <f>IFERROR(LOOKUP(DK$15,HourlyTimeseries!$A:$A,HourlyTimeseries!$N:$N),"")</f>
        <v>14.71</v>
      </c>
      <c r="DL68" s="51">
        <f>IFERROR(LOOKUP(DL$15,HourlyTimeseries!$A:$A,HourlyTimeseries!$N:$N),"")</f>
        <v>14.71</v>
      </c>
      <c r="DM68" s="51">
        <f>IFERROR(LOOKUP(DM$15,HourlyTimeseries!$A:$A,HourlyTimeseries!$N:$N),"")</f>
        <v>14.71</v>
      </c>
      <c r="DN68" s="51">
        <f>IFERROR(LOOKUP(DN$15,HourlyTimeseries!$A:$A,HourlyTimeseries!$N:$N),"")</f>
        <v>14.71</v>
      </c>
      <c r="DO68" s="51">
        <f>IFERROR(LOOKUP(DO$15,HourlyTimeseries!$A:$A,HourlyTimeseries!$N:$N),"")</f>
        <v>14.71</v>
      </c>
      <c r="DP68" s="51">
        <f>IFERROR(LOOKUP(DP$15,HourlyTimeseries!$A:$A,HourlyTimeseries!$N:$N),"")</f>
        <v>14.71</v>
      </c>
      <c r="DQ68" s="51">
        <f>IFERROR(LOOKUP(DQ$15,HourlyTimeseries!$A:$A,HourlyTimeseries!$N:$N),"")</f>
        <v>14.71</v>
      </c>
      <c r="DR68" s="51">
        <f>IFERROR(LOOKUP(DR$15,HourlyTimeseries!$A:$A,HourlyTimeseries!$N:$N),"")</f>
        <v>14.71</v>
      </c>
      <c r="DS68" s="51">
        <f>IFERROR(LOOKUP(DS$15,HourlyTimeseries!$A:$A,HourlyTimeseries!$N:$N),"")</f>
        <v>14.71</v>
      </c>
      <c r="DT68" s="60">
        <f>IFERROR(LOOKUP(DT$15,HourlyTimeseries!$A:$A,HourlyTimeseries!$N:$N),"")</f>
        <v>14.71</v>
      </c>
      <c r="DU68" s="67">
        <f>IFERROR(LOOKUP(DU$15,HourlyTimeseries!$A:$A,HourlyTimeseries!$N:$N),"")</f>
        <v>14.71</v>
      </c>
      <c r="DV68" s="51">
        <f>IFERROR(LOOKUP(DV$15,HourlyTimeseries!$A:$A,HourlyTimeseries!$N:$N),"")</f>
        <v>14.71</v>
      </c>
      <c r="DW68" s="51">
        <f>IFERROR(LOOKUP(DW$15,HourlyTimeseries!$A:$A,HourlyTimeseries!$N:$N),"")</f>
        <v>14.71</v>
      </c>
      <c r="DX68" s="51">
        <f>IFERROR(LOOKUP(DX$15,HourlyTimeseries!$A:$A,HourlyTimeseries!$N:$N),"")</f>
        <v>14.71</v>
      </c>
      <c r="DY68" s="51">
        <f>IFERROR(LOOKUP(DY$15,HourlyTimeseries!$A:$A,HourlyTimeseries!$N:$N),"")</f>
        <v>14.71</v>
      </c>
      <c r="DZ68" s="51">
        <f>IFERROR(LOOKUP(DZ$15,HourlyTimeseries!$A:$A,HourlyTimeseries!$N:$N),"")</f>
        <v>14.71</v>
      </c>
      <c r="EA68" s="51">
        <f>IFERROR(LOOKUP(EA$15,HourlyTimeseries!$A:$A,HourlyTimeseries!$N:$N),"")</f>
        <v>14.71</v>
      </c>
      <c r="EB68" s="51">
        <f>IFERROR(LOOKUP(EB$15,HourlyTimeseries!$A:$A,HourlyTimeseries!$N:$N),"")</f>
        <v>14.71</v>
      </c>
      <c r="EC68" s="51">
        <f>IFERROR(LOOKUP(EC$15,HourlyTimeseries!$A:$A,HourlyTimeseries!$N:$N),"")</f>
        <v>14.71</v>
      </c>
      <c r="ED68" s="51">
        <f>IFERROR(LOOKUP(ED$15,HourlyTimeseries!$A:$A,HourlyTimeseries!$N:$N),"")</f>
        <v>14.71</v>
      </c>
      <c r="EE68" s="51">
        <f>IFERROR(LOOKUP(EE$15,HourlyTimeseries!$A:$A,HourlyTimeseries!$N:$N),"")</f>
        <v>14.71</v>
      </c>
      <c r="EF68" s="51">
        <f>IFERROR(LOOKUP(EF$15,HourlyTimeseries!$A:$A,HourlyTimeseries!$N:$N),"")</f>
        <v>14.71</v>
      </c>
      <c r="EG68" s="51">
        <f>IFERROR(LOOKUP(EG$15,HourlyTimeseries!$A:$A,HourlyTimeseries!$N:$N),"")</f>
        <v>14.71</v>
      </c>
      <c r="EH68" s="51">
        <f>IFERROR(LOOKUP(EH$15,HourlyTimeseries!$A:$A,HourlyTimeseries!$N:$N),"")</f>
        <v>14.71</v>
      </c>
      <c r="EI68" s="51">
        <f>IFERROR(LOOKUP(EI$15,HourlyTimeseries!$A:$A,HourlyTimeseries!$N:$N),"")</f>
        <v>14.71</v>
      </c>
      <c r="EJ68" s="51">
        <f>IFERROR(LOOKUP(EJ$15,HourlyTimeseries!$A:$A,HourlyTimeseries!$N:$N),"")</f>
        <v>14.71</v>
      </c>
      <c r="EK68" s="51">
        <f>IFERROR(LOOKUP(EK$15,HourlyTimeseries!$A:$A,HourlyTimeseries!$N:$N),"")</f>
        <v>14.71</v>
      </c>
      <c r="EL68" s="51">
        <f>IFERROR(LOOKUP(EL$15,HourlyTimeseries!$A:$A,HourlyTimeseries!$N:$N),"")</f>
        <v>14.71</v>
      </c>
      <c r="EM68" s="51">
        <f>IFERROR(LOOKUP(EM$15,HourlyTimeseries!$A:$A,HourlyTimeseries!$N:$N),"")</f>
        <v>14.71</v>
      </c>
      <c r="EN68" s="51">
        <f>IFERROR(LOOKUP(EN$15,HourlyTimeseries!$A:$A,HourlyTimeseries!$N:$N),"")</f>
        <v>14.71</v>
      </c>
      <c r="EO68" s="51">
        <f>IFERROR(LOOKUP(EO$15,HourlyTimeseries!$A:$A,HourlyTimeseries!$N:$N),"")</f>
        <v>14.71</v>
      </c>
      <c r="EP68" s="51">
        <f>IFERROR(LOOKUP(EP$15,HourlyTimeseries!$A:$A,HourlyTimeseries!$N:$N),"")</f>
        <v>14.71</v>
      </c>
      <c r="EQ68" s="51">
        <f>IFERROR(LOOKUP(EQ$15,HourlyTimeseries!$A:$A,HourlyTimeseries!$N:$N),"")</f>
        <v>14.71</v>
      </c>
      <c r="ER68" s="60">
        <f>IFERROR(LOOKUP(ER$15,HourlyTimeseries!$A:$A,HourlyTimeseries!$N:$N),"")</f>
        <v>14.71</v>
      </c>
      <c r="ES68" s="67">
        <f>IFERROR(LOOKUP(ES$15,HourlyTimeseries!$A:$A,HourlyTimeseries!$N:$N),"")</f>
        <v>14.71</v>
      </c>
      <c r="ET68" s="51">
        <f>IFERROR(LOOKUP(ET$15,HourlyTimeseries!$A:$A,HourlyTimeseries!$N:$N),"")</f>
        <v>14.71</v>
      </c>
      <c r="EU68" s="51">
        <f>IFERROR(LOOKUP(EU$15,HourlyTimeseries!$A:$A,HourlyTimeseries!$N:$N),"")</f>
        <v>14.71</v>
      </c>
      <c r="EV68" s="51">
        <f>IFERROR(LOOKUP(EV$15,HourlyTimeseries!$A:$A,HourlyTimeseries!$N:$N),"")</f>
        <v>14.71</v>
      </c>
      <c r="EW68" s="51">
        <f>IFERROR(LOOKUP(EW$15,HourlyTimeseries!$A:$A,HourlyTimeseries!$N:$N),"")</f>
        <v>14.71</v>
      </c>
      <c r="EX68" s="51">
        <f>IFERROR(LOOKUP(EX$15,HourlyTimeseries!$A:$A,HourlyTimeseries!$N:$N),"")</f>
        <v>14.71</v>
      </c>
      <c r="EY68" s="51">
        <f>IFERROR(LOOKUP(EY$15,HourlyTimeseries!$A:$A,HourlyTimeseries!$N:$N),"")</f>
        <v>14.71</v>
      </c>
      <c r="EZ68" s="51">
        <f>IFERROR(LOOKUP(EZ$15,HourlyTimeseries!$A:$A,HourlyTimeseries!$N:$N),"")</f>
        <v>14.71</v>
      </c>
      <c r="FA68" s="51">
        <f>IFERROR(LOOKUP(FA$15,HourlyTimeseries!$A:$A,HourlyTimeseries!$N:$N),"")</f>
        <v>14.71</v>
      </c>
      <c r="FB68" s="51">
        <f>IFERROR(LOOKUP(FB$15,HourlyTimeseries!$A:$A,HourlyTimeseries!$N:$N),"")</f>
        <v>14.71</v>
      </c>
      <c r="FC68" s="51">
        <f>IFERROR(LOOKUP(FC$15,HourlyTimeseries!$A:$A,HourlyTimeseries!$N:$N),"")</f>
        <v>14.71</v>
      </c>
      <c r="FD68" s="51">
        <f>IFERROR(LOOKUP(FD$15,HourlyTimeseries!$A:$A,HourlyTimeseries!$N:$N),"")</f>
        <v>14.71</v>
      </c>
      <c r="FE68" s="51">
        <f>IFERROR(LOOKUP(FE$15,HourlyTimeseries!$A:$A,HourlyTimeseries!$N:$N),"")</f>
        <v>14.71</v>
      </c>
      <c r="FF68" s="51">
        <f>IFERROR(LOOKUP(FF$15,HourlyTimeseries!$A:$A,HourlyTimeseries!$N:$N),"")</f>
        <v>14.71</v>
      </c>
      <c r="FG68" s="51">
        <f>IFERROR(LOOKUP(FG$15,HourlyTimeseries!$A:$A,HourlyTimeseries!$N:$N),"")</f>
        <v>14.71</v>
      </c>
      <c r="FH68" s="51">
        <f>IFERROR(LOOKUP(FH$15,HourlyTimeseries!$A:$A,HourlyTimeseries!$N:$N),"")</f>
        <v>14.71</v>
      </c>
      <c r="FI68" s="51">
        <f>IFERROR(LOOKUP(FI$15,HourlyTimeseries!$A:$A,HourlyTimeseries!$N:$N),"")</f>
        <v>14.71</v>
      </c>
      <c r="FJ68" s="51">
        <f>IFERROR(LOOKUP(FJ$15,HourlyTimeseries!$A:$A,HourlyTimeseries!$N:$N),"")</f>
        <v>14.71</v>
      </c>
      <c r="FK68" s="51">
        <f>IFERROR(LOOKUP(FK$15,HourlyTimeseries!$A:$A,HourlyTimeseries!$N:$N),"")</f>
        <v>14.71</v>
      </c>
      <c r="FL68" s="51">
        <f>IFERROR(LOOKUP(FL$15,HourlyTimeseries!$A:$A,HourlyTimeseries!$N:$N),"")</f>
        <v>14.71</v>
      </c>
      <c r="FM68" s="51">
        <f>IFERROR(LOOKUP(FM$15,HourlyTimeseries!$A:$A,HourlyTimeseries!$N:$N),"")</f>
        <v>14.71</v>
      </c>
      <c r="FN68" s="51">
        <f>IFERROR(LOOKUP(FN$15,HourlyTimeseries!$A:$A,HourlyTimeseries!$N:$N),"")</f>
        <v>14.71</v>
      </c>
      <c r="FO68" s="51">
        <f>IFERROR(LOOKUP(FO$15,HourlyTimeseries!$A:$A,HourlyTimeseries!$N:$N),"")</f>
        <v>14.71</v>
      </c>
      <c r="FP68" s="60">
        <f>IFERROR(LOOKUP(FP$15,HourlyTimeseries!$A:$A,HourlyTimeseries!$N:$N),"")</f>
        <v>14.71</v>
      </c>
    </row>
    <row r="69" spans="1:172" ht="15.75" customHeight="1" thickBot="1">
      <c r="A69" s="16" t="s">
        <v>106</v>
      </c>
      <c r="B69" s="2" t="s">
        <v>102</v>
      </c>
      <c r="C69" s="2"/>
      <c r="D69" s="4" t="b">
        <v>0</v>
      </c>
      <c r="E69" s="5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61"/>
      <c r="AC69" s="68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61"/>
      <c r="BA69" s="68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61"/>
      <c r="BY69" s="68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52"/>
      <c r="CU69" s="52"/>
      <c r="CV69" s="61"/>
      <c r="CW69" s="68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52"/>
      <c r="DS69" s="52"/>
      <c r="DT69" s="61"/>
      <c r="DU69" s="68"/>
      <c r="DV69" s="52"/>
      <c r="DW69" s="52"/>
      <c r="DX69" s="52"/>
      <c r="DY69" s="52"/>
      <c r="DZ69" s="52"/>
      <c r="EA69" s="52"/>
      <c r="EB69" s="52"/>
      <c r="EC69" s="52"/>
      <c r="ED69" s="52"/>
      <c r="EE69" s="52"/>
      <c r="EF69" s="52"/>
      <c r="EG69" s="52"/>
      <c r="EH69" s="52"/>
      <c r="EI69" s="52"/>
      <c r="EJ69" s="52"/>
      <c r="EK69" s="52"/>
      <c r="EL69" s="52"/>
      <c r="EM69" s="52"/>
      <c r="EN69" s="52"/>
      <c r="EO69" s="52"/>
      <c r="EP69" s="52"/>
      <c r="EQ69" s="52"/>
      <c r="ER69" s="61"/>
      <c r="ES69" s="68"/>
      <c r="ET69" s="52"/>
      <c r="EU69" s="52"/>
      <c r="EV69" s="52"/>
      <c r="EW69" s="52"/>
      <c r="EX69" s="52"/>
      <c r="EY69" s="52"/>
      <c r="EZ69" s="52"/>
      <c r="FA69" s="52"/>
      <c r="FB69" s="52"/>
      <c r="FC69" s="52"/>
      <c r="FD69" s="52"/>
      <c r="FE69" s="52"/>
      <c r="FF69" s="52"/>
      <c r="FG69" s="52"/>
      <c r="FH69" s="52"/>
      <c r="FI69" s="52"/>
      <c r="FJ69" s="52"/>
      <c r="FK69" s="52"/>
      <c r="FL69" s="52"/>
      <c r="FM69" s="52"/>
      <c r="FN69" s="52"/>
      <c r="FO69" s="52"/>
      <c r="FP69" s="61"/>
    </row>
    <row r="70" spans="1:172">
      <c r="A70" s="15" t="s">
        <v>33</v>
      </c>
      <c r="B70" s="2" t="s">
        <v>167</v>
      </c>
      <c r="C70" s="8" t="s">
        <v>135</v>
      </c>
      <c r="D70" s="2"/>
      <c r="E70" s="51">
        <f>IFERROR(LOOKUP(E$15,HourlyTimeseries!$A:$A,HourlyTimeseries!$P:$P),"")</f>
        <v>19.5</v>
      </c>
      <c r="F70" s="51">
        <f>IFERROR(LOOKUP(F$15,HourlyTimeseries!$A:$A,HourlyTimeseries!$P:$P),"")</f>
        <v>19.5</v>
      </c>
      <c r="G70" s="51">
        <f>IFERROR(LOOKUP(G$15,HourlyTimeseries!$A:$A,HourlyTimeseries!$P:$P),"")</f>
        <v>19.5</v>
      </c>
      <c r="H70" s="51">
        <f>IFERROR(LOOKUP(H$15,HourlyTimeseries!$A:$A,HourlyTimeseries!$P:$P),"")</f>
        <v>19.5</v>
      </c>
      <c r="I70" s="51">
        <f>IFERROR(LOOKUP(I$15,HourlyTimeseries!$A:$A,HourlyTimeseries!$P:$P),"")</f>
        <v>19.5</v>
      </c>
      <c r="J70" s="51">
        <f>IFERROR(LOOKUP(J$15,HourlyTimeseries!$A:$A,HourlyTimeseries!$P:$P),"")</f>
        <v>19.5</v>
      </c>
      <c r="K70" s="51">
        <f>IFERROR(LOOKUP(K$15,HourlyTimeseries!$A:$A,HourlyTimeseries!$P:$P),"")</f>
        <v>19.5</v>
      </c>
      <c r="L70" s="51">
        <f>IFERROR(LOOKUP(L$15,HourlyTimeseries!$A:$A,HourlyTimeseries!$P:$P),"")</f>
        <v>19.5</v>
      </c>
      <c r="M70" s="51">
        <f>IFERROR(LOOKUP(M$15,HourlyTimeseries!$A:$A,HourlyTimeseries!$P:$P),"")</f>
        <v>19.5</v>
      </c>
      <c r="N70" s="51">
        <f>IFERROR(LOOKUP(N$15,HourlyTimeseries!$A:$A,HourlyTimeseries!$P:$P),"")</f>
        <v>19.5</v>
      </c>
      <c r="O70" s="51">
        <f>IFERROR(LOOKUP(O$15,HourlyTimeseries!$A:$A,HourlyTimeseries!$P:$P),"")</f>
        <v>19.5</v>
      </c>
      <c r="P70" s="51">
        <f>IFERROR(LOOKUP(P$15,HourlyTimeseries!$A:$A,HourlyTimeseries!$P:$P),"")</f>
        <v>19.5</v>
      </c>
      <c r="Q70" s="51">
        <f>IFERROR(LOOKUP(Q$15,HourlyTimeseries!$A:$A,HourlyTimeseries!$P:$P),"")</f>
        <v>19.5</v>
      </c>
      <c r="R70" s="51">
        <f>IFERROR(LOOKUP(R$15,HourlyTimeseries!$A:$A,HourlyTimeseries!$P:$P),"")</f>
        <v>19.5</v>
      </c>
      <c r="S70" s="51">
        <f>IFERROR(LOOKUP(S$15,HourlyTimeseries!$A:$A,HourlyTimeseries!$P:$P),"")</f>
        <v>19.5</v>
      </c>
      <c r="T70" s="51">
        <f>IFERROR(LOOKUP(T$15,HourlyTimeseries!$A:$A,HourlyTimeseries!$P:$P),"")</f>
        <v>19.5</v>
      </c>
      <c r="U70" s="51">
        <f>IFERROR(LOOKUP(U$15,HourlyTimeseries!$A:$A,HourlyTimeseries!$P:$P),"")</f>
        <v>19.5</v>
      </c>
      <c r="V70" s="51">
        <f>IFERROR(LOOKUP(V$15,HourlyTimeseries!$A:$A,HourlyTimeseries!$P:$P),"")</f>
        <v>19.5</v>
      </c>
      <c r="W70" s="51">
        <f>IFERROR(LOOKUP(W$15,HourlyTimeseries!$A:$A,HourlyTimeseries!$P:$P),"")</f>
        <v>19.5</v>
      </c>
      <c r="X70" s="51">
        <f>IFERROR(LOOKUP(X$15,HourlyTimeseries!$A:$A,HourlyTimeseries!$P:$P),"")</f>
        <v>19.5</v>
      </c>
      <c r="Y70" s="51">
        <f>IFERROR(LOOKUP(Y$15,HourlyTimeseries!$A:$A,HourlyTimeseries!$P:$P),"")</f>
        <v>19.5</v>
      </c>
      <c r="Z70" s="51">
        <f>IFERROR(LOOKUP(Z$15,HourlyTimeseries!$A:$A,HourlyTimeseries!$P:$P),"")</f>
        <v>19.5</v>
      </c>
      <c r="AA70" s="51">
        <f>IFERROR(LOOKUP(AA$15,HourlyTimeseries!$A:$A,HourlyTimeseries!$P:$P),"")</f>
        <v>19.5</v>
      </c>
      <c r="AB70" s="60">
        <f>IFERROR(LOOKUP(AB$15,HourlyTimeseries!$A:$A,HourlyTimeseries!$P:$P),"")</f>
        <v>19.5</v>
      </c>
      <c r="AC70" s="67">
        <f>IFERROR(LOOKUP(AC$15,HourlyTimeseries!$A:$A,HourlyTimeseries!$P:$P),"")</f>
        <v>19.5</v>
      </c>
      <c r="AD70" s="51">
        <f>IFERROR(LOOKUP(AD$15,HourlyTimeseries!$A:$A,HourlyTimeseries!$P:$P),"")</f>
        <v>19.5</v>
      </c>
      <c r="AE70" s="51">
        <f>IFERROR(LOOKUP(AE$15,HourlyTimeseries!$A:$A,HourlyTimeseries!$P:$P),"")</f>
        <v>19.5</v>
      </c>
      <c r="AF70" s="51">
        <f>IFERROR(LOOKUP(AF$15,HourlyTimeseries!$A:$A,HourlyTimeseries!$P:$P),"")</f>
        <v>19.5</v>
      </c>
      <c r="AG70" s="51">
        <f>IFERROR(LOOKUP(AG$15,HourlyTimeseries!$A:$A,HourlyTimeseries!$P:$P),"")</f>
        <v>19.5</v>
      </c>
      <c r="AH70" s="51">
        <f>IFERROR(LOOKUP(AH$15,HourlyTimeseries!$A:$A,HourlyTimeseries!$P:$P),"")</f>
        <v>19.5</v>
      </c>
      <c r="AI70" s="51">
        <f>IFERROR(LOOKUP(AI$15,HourlyTimeseries!$A:$A,HourlyTimeseries!$P:$P),"")</f>
        <v>19.5</v>
      </c>
      <c r="AJ70" s="51">
        <f>IFERROR(LOOKUP(AJ$15,HourlyTimeseries!$A:$A,HourlyTimeseries!$P:$P),"")</f>
        <v>19.5</v>
      </c>
      <c r="AK70" s="51">
        <f>IFERROR(LOOKUP(AK$15,HourlyTimeseries!$A:$A,HourlyTimeseries!$P:$P),"")</f>
        <v>19.5</v>
      </c>
      <c r="AL70" s="51">
        <f>IFERROR(LOOKUP(AL$15,HourlyTimeseries!$A:$A,HourlyTimeseries!$P:$P),"")</f>
        <v>19.5</v>
      </c>
      <c r="AM70" s="51">
        <f>IFERROR(LOOKUP(AM$15,HourlyTimeseries!$A:$A,HourlyTimeseries!$P:$P),"")</f>
        <v>19.5</v>
      </c>
      <c r="AN70" s="51">
        <f>IFERROR(LOOKUP(AN$15,HourlyTimeseries!$A:$A,HourlyTimeseries!$P:$P),"")</f>
        <v>19.5</v>
      </c>
      <c r="AO70" s="51">
        <f>IFERROR(LOOKUP(AO$15,HourlyTimeseries!$A:$A,HourlyTimeseries!$P:$P),"")</f>
        <v>19.5</v>
      </c>
      <c r="AP70" s="51">
        <f>IFERROR(LOOKUP(AP$15,HourlyTimeseries!$A:$A,HourlyTimeseries!$P:$P),"")</f>
        <v>19.5</v>
      </c>
      <c r="AQ70" s="51">
        <f>IFERROR(LOOKUP(AQ$15,HourlyTimeseries!$A:$A,HourlyTimeseries!$P:$P),"")</f>
        <v>19.5</v>
      </c>
      <c r="AR70" s="51">
        <f>IFERROR(LOOKUP(AR$15,HourlyTimeseries!$A:$A,HourlyTimeseries!$P:$P),"")</f>
        <v>19.5</v>
      </c>
      <c r="AS70" s="51">
        <f>IFERROR(LOOKUP(AS$15,HourlyTimeseries!$A:$A,HourlyTimeseries!$P:$P),"")</f>
        <v>19.5</v>
      </c>
      <c r="AT70" s="51">
        <f>IFERROR(LOOKUP(AT$15,HourlyTimeseries!$A:$A,HourlyTimeseries!$P:$P),"")</f>
        <v>19.5</v>
      </c>
      <c r="AU70" s="51">
        <f>IFERROR(LOOKUP(AU$15,HourlyTimeseries!$A:$A,HourlyTimeseries!$P:$P),"")</f>
        <v>19.5</v>
      </c>
      <c r="AV70" s="51">
        <f>IFERROR(LOOKUP(AV$15,HourlyTimeseries!$A:$A,HourlyTimeseries!$P:$P),"")</f>
        <v>19.5</v>
      </c>
      <c r="AW70" s="51">
        <f>IFERROR(LOOKUP(AW$15,HourlyTimeseries!$A:$A,HourlyTimeseries!$P:$P),"")</f>
        <v>19.5</v>
      </c>
      <c r="AX70" s="51">
        <f>IFERROR(LOOKUP(AX$15,HourlyTimeseries!$A:$A,HourlyTimeseries!$P:$P),"")</f>
        <v>19.5</v>
      </c>
      <c r="AY70" s="51">
        <f>IFERROR(LOOKUP(AY$15,HourlyTimeseries!$A:$A,HourlyTimeseries!$P:$P),"")</f>
        <v>19.5</v>
      </c>
      <c r="AZ70" s="60">
        <f>IFERROR(LOOKUP(AZ$15,HourlyTimeseries!$A:$A,HourlyTimeseries!$P:$P),"")</f>
        <v>19.5</v>
      </c>
      <c r="BA70" s="67">
        <f>IFERROR(LOOKUP(BA$15,HourlyTimeseries!$A:$A,HourlyTimeseries!$P:$P),"")</f>
        <v>19.5</v>
      </c>
      <c r="BB70" s="51">
        <f>IFERROR(LOOKUP(BB$15,HourlyTimeseries!$A:$A,HourlyTimeseries!$P:$P),"")</f>
        <v>19.5</v>
      </c>
      <c r="BC70" s="51">
        <f>IFERROR(LOOKUP(BC$15,HourlyTimeseries!$A:$A,HourlyTimeseries!$P:$P),"")</f>
        <v>19.5</v>
      </c>
      <c r="BD70" s="51">
        <f>IFERROR(LOOKUP(BD$15,HourlyTimeseries!$A:$A,HourlyTimeseries!$P:$P),"")</f>
        <v>19.5</v>
      </c>
      <c r="BE70" s="51">
        <f>IFERROR(LOOKUP(BE$15,HourlyTimeseries!$A:$A,HourlyTimeseries!$P:$P),"")</f>
        <v>19.5</v>
      </c>
      <c r="BF70" s="51">
        <f>IFERROR(LOOKUP(BF$15,HourlyTimeseries!$A:$A,HourlyTimeseries!$P:$P),"")</f>
        <v>19.5</v>
      </c>
      <c r="BG70" s="51">
        <f>IFERROR(LOOKUP(BG$15,HourlyTimeseries!$A:$A,HourlyTimeseries!$P:$P),"")</f>
        <v>19.5</v>
      </c>
      <c r="BH70" s="51">
        <f>IFERROR(LOOKUP(BH$15,HourlyTimeseries!$A:$A,HourlyTimeseries!$P:$P),"")</f>
        <v>19.5</v>
      </c>
      <c r="BI70" s="51">
        <f>IFERROR(LOOKUP(BI$15,HourlyTimeseries!$A:$A,HourlyTimeseries!$P:$P),"")</f>
        <v>19.5</v>
      </c>
      <c r="BJ70" s="51">
        <f>IFERROR(LOOKUP(BJ$15,HourlyTimeseries!$A:$A,HourlyTimeseries!$P:$P),"")</f>
        <v>19.5</v>
      </c>
      <c r="BK70" s="51">
        <f>IFERROR(LOOKUP(BK$15,HourlyTimeseries!$A:$A,HourlyTimeseries!$P:$P),"")</f>
        <v>19.5</v>
      </c>
      <c r="BL70" s="51">
        <f>IFERROR(LOOKUP(BL$15,HourlyTimeseries!$A:$A,HourlyTimeseries!$P:$P),"")</f>
        <v>19.5</v>
      </c>
      <c r="BM70" s="51">
        <f>IFERROR(LOOKUP(BM$15,HourlyTimeseries!$A:$A,HourlyTimeseries!$P:$P),"")</f>
        <v>19.5</v>
      </c>
      <c r="BN70" s="51">
        <f>IFERROR(LOOKUP(BN$15,HourlyTimeseries!$A:$A,HourlyTimeseries!$P:$P),"")</f>
        <v>19.5</v>
      </c>
      <c r="BO70" s="51">
        <f>IFERROR(LOOKUP(BO$15,HourlyTimeseries!$A:$A,HourlyTimeseries!$P:$P),"")</f>
        <v>19.5</v>
      </c>
      <c r="BP70" s="51">
        <f>IFERROR(LOOKUP(BP$15,HourlyTimeseries!$A:$A,HourlyTimeseries!$P:$P),"")</f>
        <v>19.5</v>
      </c>
      <c r="BQ70" s="51">
        <f>IFERROR(LOOKUP(BQ$15,HourlyTimeseries!$A:$A,HourlyTimeseries!$P:$P),"")</f>
        <v>19.5</v>
      </c>
      <c r="BR70" s="51">
        <f>IFERROR(LOOKUP(BR$15,HourlyTimeseries!$A:$A,HourlyTimeseries!$P:$P),"")</f>
        <v>19.5</v>
      </c>
      <c r="BS70" s="51">
        <f>IFERROR(LOOKUP(BS$15,HourlyTimeseries!$A:$A,HourlyTimeseries!$P:$P),"")</f>
        <v>19.5</v>
      </c>
      <c r="BT70" s="51">
        <f>IFERROR(LOOKUP(BT$15,HourlyTimeseries!$A:$A,HourlyTimeseries!$P:$P),"")</f>
        <v>19.5</v>
      </c>
      <c r="BU70" s="51">
        <f>IFERROR(LOOKUP(BU$15,HourlyTimeseries!$A:$A,HourlyTimeseries!$P:$P),"")</f>
        <v>19.5</v>
      </c>
      <c r="BV70" s="51">
        <f>IFERROR(LOOKUP(BV$15,HourlyTimeseries!$A:$A,HourlyTimeseries!$P:$P),"")</f>
        <v>19.5</v>
      </c>
      <c r="BW70" s="51">
        <f>IFERROR(LOOKUP(BW$15,HourlyTimeseries!$A:$A,HourlyTimeseries!$P:$P),"")</f>
        <v>19.5</v>
      </c>
      <c r="BX70" s="60">
        <f>IFERROR(LOOKUP(BX$15,HourlyTimeseries!$A:$A,HourlyTimeseries!$P:$P),"")</f>
        <v>19.5</v>
      </c>
      <c r="BY70" s="67">
        <f>IFERROR(LOOKUP(BY$15,HourlyTimeseries!$A:$A,HourlyTimeseries!$P:$P),"")</f>
        <v>19.5</v>
      </c>
      <c r="BZ70" s="51">
        <f>IFERROR(LOOKUP(BZ$15,HourlyTimeseries!$A:$A,HourlyTimeseries!$P:$P),"")</f>
        <v>19.5</v>
      </c>
      <c r="CA70" s="51">
        <f>IFERROR(LOOKUP(CA$15,HourlyTimeseries!$A:$A,HourlyTimeseries!$P:$P),"")</f>
        <v>19.5</v>
      </c>
      <c r="CB70" s="51">
        <f>IFERROR(LOOKUP(CB$15,HourlyTimeseries!$A:$A,HourlyTimeseries!$P:$P),"")</f>
        <v>19.5</v>
      </c>
      <c r="CC70" s="51">
        <f>IFERROR(LOOKUP(CC$15,HourlyTimeseries!$A:$A,HourlyTimeseries!$P:$P),"")</f>
        <v>19.5</v>
      </c>
      <c r="CD70" s="51">
        <f>IFERROR(LOOKUP(CD$15,HourlyTimeseries!$A:$A,HourlyTimeseries!$P:$P),"")</f>
        <v>19.5</v>
      </c>
      <c r="CE70" s="51">
        <f>IFERROR(LOOKUP(CE$15,HourlyTimeseries!$A:$A,HourlyTimeseries!$P:$P),"")</f>
        <v>19.5</v>
      </c>
      <c r="CF70" s="51">
        <f>IFERROR(LOOKUP(CF$15,HourlyTimeseries!$A:$A,HourlyTimeseries!$P:$P),"")</f>
        <v>19.5</v>
      </c>
      <c r="CG70" s="51">
        <f>IFERROR(LOOKUP(CG$15,HourlyTimeseries!$A:$A,HourlyTimeseries!$P:$P),"")</f>
        <v>19.5</v>
      </c>
      <c r="CH70" s="51">
        <f>IFERROR(LOOKUP(CH$15,HourlyTimeseries!$A:$A,HourlyTimeseries!$P:$P),"")</f>
        <v>19.5</v>
      </c>
      <c r="CI70" s="51">
        <f>IFERROR(LOOKUP(CI$15,HourlyTimeseries!$A:$A,HourlyTimeseries!$P:$P),"")</f>
        <v>19.5</v>
      </c>
      <c r="CJ70" s="51">
        <f>IFERROR(LOOKUP(CJ$15,HourlyTimeseries!$A:$A,HourlyTimeseries!$P:$P),"")</f>
        <v>19.5</v>
      </c>
      <c r="CK70" s="51">
        <f>IFERROR(LOOKUP(CK$15,HourlyTimeseries!$A:$A,HourlyTimeseries!$P:$P),"")</f>
        <v>19.5</v>
      </c>
      <c r="CL70" s="51">
        <f>IFERROR(LOOKUP(CL$15,HourlyTimeseries!$A:$A,HourlyTimeseries!$P:$P),"")</f>
        <v>19.5</v>
      </c>
      <c r="CM70" s="51">
        <f>IFERROR(LOOKUP(CM$15,HourlyTimeseries!$A:$A,HourlyTimeseries!$P:$P),"")</f>
        <v>19.5</v>
      </c>
      <c r="CN70" s="51">
        <f>IFERROR(LOOKUP(CN$15,HourlyTimeseries!$A:$A,HourlyTimeseries!$P:$P),"")</f>
        <v>19.5</v>
      </c>
      <c r="CO70" s="51">
        <f>IFERROR(LOOKUP(CO$15,HourlyTimeseries!$A:$A,HourlyTimeseries!$P:$P),"")</f>
        <v>19.5</v>
      </c>
      <c r="CP70" s="51">
        <f>IFERROR(LOOKUP(CP$15,HourlyTimeseries!$A:$A,HourlyTimeseries!$P:$P),"")</f>
        <v>19.5</v>
      </c>
      <c r="CQ70" s="51">
        <f>IFERROR(LOOKUP(CQ$15,HourlyTimeseries!$A:$A,HourlyTimeseries!$P:$P),"")</f>
        <v>19.5</v>
      </c>
      <c r="CR70" s="51">
        <f>IFERROR(LOOKUP(CR$15,HourlyTimeseries!$A:$A,HourlyTimeseries!$P:$P),"")</f>
        <v>19.5</v>
      </c>
      <c r="CS70" s="51">
        <f>IFERROR(LOOKUP(CS$15,HourlyTimeseries!$A:$A,HourlyTimeseries!$P:$P),"")</f>
        <v>19.5</v>
      </c>
      <c r="CT70" s="51">
        <f>IFERROR(LOOKUP(CT$15,HourlyTimeseries!$A:$A,HourlyTimeseries!$P:$P),"")</f>
        <v>19.5</v>
      </c>
      <c r="CU70" s="51">
        <f>IFERROR(LOOKUP(CU$15,HourlyTimeseries!$A:$A,HourlyTimeseries!$P:$P),"")</f>
        <v>19.5</v>
      </c>
      <c r="CV70" s="60">
        <f>IFERROR(LOOKUP(CV$15,HourlyTimeseries!$A:$A,HourlyTimeseries!$P:$P),"")</f>
        <v>19.5</v>
      </c>
      <c r="CW70" s="67">
        <f>IFERROR(LOOKUP(CW$15,HourlyTimeseries!$A:$A,HourlyTimeseries!$P:$P),"")</f>
        <v>19.5</v>
      </c>
      <c r="CX70" s="51">
        <f>IFERROR(LOOKUP(CX$15,HourlyTimeseries!$A:$A,HourlyTimeseries!$P:$P),"")</f>
        <v>19.5</v>
      </c>
      <c r="CY70" s="51">
        <f>IFERROR(LOOKUP(CY$15,HourlyTimeseries!$A:$A,HourlyTimeseries!$P:$P),"")</f>
        <v>19.5</v>
      </c>
      <c r="CZ70" s="51">
        <f>IFERROR(LOOKUP(CZ$15,HourlyTimeseries!$A:$A,HourlyTimeseries!$P:$P),"")</f>
        <v>19.5</v>
      </c>
      <c r="DA70" s="51">
        <f>IFERROR(LOOKUP(DA$15,HourlyTimeseries!$A:$A,HourlyTimeseries!$P:$P),"")</f>
        <v>19.5</v>
      </c>
      <c r="DB70" s="51">
        <f>IFERROR(LOOKUP(DB$15,HourlyTimeseries!$A:$A,HourlyTimeseries!$P:$P),"")</f>
        <v>19.5</v>
      </c>
      <c r="DC70" s="51">
        <f>IFERROR(LOOKUP(DC$15,HourlyTimeseries!$A:$A,HourlyTimeseries!$P:$P),"")</f>
        <v>19.5</v>
      </c>
      <c r="DD70" s="51">
        <f>IFERROR(LOOKUP(DD$15,HourlyTimeseries!$A:$A,HourlyTimeseries!$P:$P),"")</f>
        <v>19.5</v>
      </c>
      <c r="DE70" s="51">
        <f>IFERROR(LOOKUP(DE$15,HourlyTimeseries!$A:$A,HourlyTimeseries!$P:$P),"")</f>
        <v>19.5</v>
      </c>
      <c r="DF70" s="51">
        <f>IFERROR(LOOKUP(DF$15,HourlyTimeseries!$A:$A,HourlyTimeseries!$P:$P),"")</f>
        <v>19.5</v>
      </c>
      <c r="DG70" s="51">
        <f>IFERROR(LOOKUP(DG$15,HourlyTimeseries!$A:$A,HourlyTimeseries!$P:$P),"")</f>
        <v>19.5</v>
      </c>
      <c r="DH70" s="51">
        <f>IFERROR(LOOKUP(DH$15,HourlyTimeseries!$A:$A,HourlyTimeseries!$P:$P),"")</f>
        <v>19.5</v>
      </c>
      <c r="DI70" s="51">
        <f>IFERROR(LOOKUP(DI$15,HourlyTimeseries!$A:$A,HourlyTimeseries!$P:$P),"")</f>
        <v>19.5</v>
      </c>
      <c r="DJ70" s="51">
        <f>IFERROR(LOOKUP(DJ$15,HourlyTimeseries!$A:$A,HourlyTimeseries!$P:$P),"")</f>
        <v>19.5</v>
      </c>
      <c r="DK70" s="51">
        <f>IFERROR(LOOKUP(DK$15,HourlyTimeseries!$A:$A,HourlyTimeseries!$P:$P),"")</f>
        <v>19.5</v>
      </c>
      <c r="DL70" s="51">
        <f>IFERROR(LOOKUP(DL$15,HourlyTimeseries!$A:$A,HourlyTimeseries!$P:$P),"")</f>
        <v>19.5</v>
      </c>
      <c r="DM70" s="51">
        <f>IFERROR(LOOKUP(DM$15,HourlyTimeseries!$A:$A,HourlyTimeseries!$P:$P),"")</f>
        <v>19.5</v>
      </c>
      <c r="DN70" s="51">
        <f>IFERROR(LOOKUP(DN$15,HourlyTimeseries!$A:$A,HourlyTimeseries!$P:$P),"")</f>
        <v>19.5</v>
      </c>
      <c r="DO70" s="51">
        <f>IFERROR(LOOKUP(DO$15,HourlyTimeseries!$A:$A,HourlyTimeseries!$P:$P),"")</f>
        <v>19.5</v>
      </c>
      <c r="DP70" s="51">
        <f>IFERROR(LOOKUP(DP$15,HourlyTimeseries!$A:$A,HourlyTimeseries!$P:$P),"")</f>
        <v>19.5</v>
      </c>
      <c r="DQ70" s="51">
        <f>IFERROR(LOOKUP(DQ$15,HourlyTimeseries!$A:$A,HourlyTimeseries!$P:$P),"")</f>
        <v>19.5</v>
      </c>
      <c r="DR70" s="51">
        <f>IFERROR(LOOKUP(DR$15,HourlyTimeseries!$A:$A,HourlyTimeseries!$P:$P),"")</f>
        <v>19.5</v>
      </c>
      <c r="DS70" s="51">
        <f>IFERROR(LOOKUP(DS$15,HourlyTimeseries!$A:$A,HourlyTimeseries!$P:$P),"")</f>
        <v>19.5</v>
      </c>
      <c r="DT70" s="60">
        <f>IFERROR(LOOKUP(DT$15,HourlyTimeseries!$A:$A,HourlyTimeseries!$P:$P),"")</f>
        <v>19.5</v>
      </c>
      <c r="DU70" s="67">
        <f>IFERROR(LOOKUP(DU$15,HourlyTimeseries!$A:$A,HourlyTimeseries!$P:$P),"")</f>
        <v>19.5</v>
      </c>
      <c r="DV70" s="51">
        <f>IFERROR(LOOKUP(DV$15,HourlyTimeseries!$A:$A,HourlyTimeseries!$P:$P),"")</f>
        <v>19.5</v>
      </c>
      <c r="DW70" s="51">
        <f>IFERROR(LOOKUP(DW$15,HourlyTimeseries!$A:$A,HourlyTimeseries!$P:$P),"")</f>
        <v>19.5</v>
      </c>
      <c r="DX70" s="51">
        <f>IFERROR(LOOKUP(DX$15,HourlyTimeseries!$A:$A,HourlyTimeseries!$P:$P),"")</f>
        <v>19.5</v>
      </c>
      <c r="DY70" s="51">
        <f>IFERROR(LOOKUP(DY$15,HourlyTimeseries!$A:$A,HourlyTimeseries!$P:$P),"")</f>
        <v>19.5</v>
      </c>
      <c r="DZ70" s="51">
        <f>IFERROR(LOOKUP(DZ$15,HourlyTimeseries!$A:$A,HourlyTimeseries!$P:$P),"")</f>
        <v>19.5</v>
      </c>
      <c r="EA70" s="51">
        <f>IFERROR(LOOKUP(EA$15,HourlyTimeseries!$A:$A,HourlyTimeseries!$P:$P),"")</f>
        <v>19.5</v>
      </c>
      <c r="EB70" s="51">
        <f>IFERROR(LOOKUP(EB$15,HourlyTimeseries!$A:$A,HourlyTimeseries!$P:$P),"")</f>
        <v>19.5</v>
      </c>
      <c r="EC70" s="51">
        <f>IFERROR(LOOKUP(EC$15,HourlyTimeseries!$A:$A,HourlyTimeseries!$P:$P),"")</f>
        <v>19.5</v>
      </c>
      <c r="ED70" s="51">
        <f>IFERROR(LOOKUP(ED$15,HourlyTimeseries!$A:$A,HourlyTimeseries!$P:$P),"")</f>
        <v>19.5</v>
      </c>
      <c r="EE70" s="51">
        <f>IFERROR(LOOKUP(EE$15,HourlyTimeseries!$A:$A,HourlyTimeseries!$P:$P),"")</f>
        <v>19.5</v>
      </c>
      <c r="EF70" s="51">
        <f>IFERROR(LOOKUP(EF$15,HourlyTimeseries!$A:$A,HourlyTimeseries!$P:$P),"")</f>
        <v>19.5</v>
      </c>
      <c r="EG70" s="51">
        <f>IFERROR(LOOKUP(EG$15,HourlyTimeseries!$A:$A,HourlyTimeseries!$P:$P),"")</f>
        <v>19.5</v>
      </c>
      <c r="EH70" s="51">
        <f>IFERROR(LOOKUP(EH$15,HourlyTimeseries!$A:$A,HourlyTimeseries!$P:$P),"")</f>
        <v>19.5</v>
      </c>
      <c r="EI70" s="51">
        <f>IFERROR(LOOKUP(EI$15,HourlyTimeseries!$A:$A,HourlyTimeseries!$P:$P),"")</f>
        <v>19.5</v>
      </c>
      <c r="EJ70" s="51">
        <f>IFERROR(LOOKUP(EJ$15,HourlyTimeseries!$A:$A,HourlyTimeseries!$P:$P),"")</f>
        <v>19.5</v>
      </c>
      <c r="EK70" s="51">
        <f>IFERROR(LOOKUP(EK$15,HourlyTimeseries!$A:$A,HourlyTimeseries!$P:$P),"")</f>
        <v>19.5</v>
      </c>
      <c r="EL70" s="51">
        <f>IFERROR(LOOKUP(EL$15,HourlyTimeseries!$A:$A,HourlyTimeseries!$P:$P),"")</f>
        <v>19.5</v>
      </c>
      <c r="EM70" s="51">
        <f>IFERROR(LOOKUP(EM$15,HourlyTimeseries!$A:$A,HourlyTimeseries!$P:$P),"")</f>
        <v>19.5</v>
      </c>
      <c r="EN70" s="51">
        <f>IFERROR(LOOKUP(EN$15,HourlyTimeseries!$A:$A,HourlyTimeseries!$P:$P),"")</f>
        <v>19.5</v>
      </c>
      <c r="EO70" s="51">
        <f>IFERROR(LOOKUP(EO$15,HourlyTimeseries!$A:$A,HourlyTimeseries!$P:$P),"")</f>
        <v>19.5</v>
      </c>
      <c r="EP70" s="51">
        <f>IFERROR(LOOKUP(EP$15,HourlyTimeseries!$A:$A,HourlyTimeseries!$P:$P),"")</f>
        <v>19.5</v>
      </c>
      <c r="EQ70" s="51">
        <f>IFERROR(LOOKUP(EQ$15,HourlyTimeseries!$A:$A,HourlyTimeseries!$P:$P),"")</f>
        <v>19.5</v>
      </c>
      <c r="ER70" s="60">
        <f>IFERROR(LOOKUP(ER$15,HourlyTimeseries!$A:$A,HourlyTimeseries!$P:$P),"")</f>
        <v>19.5</v>
      </c>
      <c r="ES70" s="67">
        <f>IFERROR(LOOKUP(ES$15,HourlyTimeseries!$A:$A,HourlyTimeseries!$P:$P),"")</f>
        <v>19.5</v>
      </c>
      <c r="ET70" s="51">
        <f>IFERROR(LOOKUP(ET$15,HourlyTimeseries!$A:$A,HourlyTimeseries!$P:$P),"")</f>
        <v>19.5</v>
      </c>
      <c r="EU70" s="51">
        <f>IFERROR(LOOKUP(EU$15,HourlyTimeseries!$A:$A,HourlyTimeseries!$P:$P),"")</f>
        <v>19.5</v>
      </c>
      <c r="EV70" s="51">
        <f>IFERROR(LOOKUP(EV$15,HourlyTimeseries!$A:$A,HourlyTimeseries!$P:$P),"")</f>
        <v>19.5</v>
      </c>
      <c r="EW70" s="51">
        <f>IFERROR(LOOKUP(EW$15,HourlyTimeseries!$A:$A,HourlyTimeseries!$P:$P),"")</f>
        <v>19.5</v>
      </c>
      <c r="EX70" s="51">
        <f>IFERROR(LOOKUP(EX$15,HourlyTimeseries!$A:$A,HourlyTimeseries!$P:$P),"")</f>
        <v>19.5</v>
      </c>
      <c r="EY70" s="51">
        <f>IFERROR(LOOKUP(EY$15,HourlyTimeseries!$A:$A,HourlyTimeseries!$P:$P),"")</f>
        <v>19.5</v>
      </c>
      <c r="EZ70" s="51">
        <f>IFERROR(LOOKUP(EZ$15,HourlyTimeseries!$A:$A,HourlyTimeseries!$P:$P),"")</f>
        <v>19.5</v>
      </c>
      <c r="FA70" s="51">
        <f>IFERROR(LOOKUP(FA$15,HourlyTimeseries!$A:$A,HourlyTimeseries!$P:$P),"")</f>
        <v>19.5</v>
      </c>
      <c r="FB70" s="51">
        <f>IFERROR(LOOKUP(FB$15,HourlyTimeseries!$A:$A,HourlyTimeseries!$P:$P),"")</f>
        <v>19.5</v>
      </c>
      <c r="FC70" s="51">
        <f>IFERROR(LOOKUP(FC$15,HourlyTimeseries!$A:$A,HourlyTimeseries!$P:$P),"")</f>
        <v>19.5</v>
      </c>
      <c r="FD70" s="51">
        <f>IFERROR(LOOKUP(FD$15,HourlyTimeseries!$A:$A,HourlyTimeseries!$P:$P),"")</f>
        <v>19.5</v>
      </c>
      <c r="FE70" s="51">
        <f>IFERROR(LOOKUP(FE$15,HourlyTimeseries!$A:$A,HourlyTimeseries!$P:$P),"")</f>
        <v>19.5</v>
      </c>
      <c r="FF70" s="51">
        <f>IFERROR(LOOKUP(FF$15,HourlyTimeseries!$A:$A,HourlyTimeseries!$P:$P),"")</f>
        <v>19.5</v>
      </c>
      <c r="FG70" s="51">
        <f>IFERROR(LOOKUP(FG$15,HourlyTimeseries!$A:$A,HourlyTimeseries!$P:$P),"")</f>
        <v>19.5</v>
      </c>
      <c r="FH70" s="51">
        <f>IFERROR(LOOKUP(FH$15,HourlyTimeseries!$A:$A,HourlyTimeseries!$P:$P),"")</f>
        <v>19.5</v>
      </c>
      <c r="FI70" s="51">
        <f>IFERROR(LOOKUP(FI$15,HourlyTimeseries!$A:$A,HourlyTimeseries!$P:$P),"")</f>
        <v>19.5</v>
      </c>
      <c r="FJ70" s="51">
        <f>IFERROR(LOOKUP(FJ$15,HourlyTimeseries!$A:$A,HourlyTimeseries!$P:$P),"")</f>
        <v>19.5</v>
      </c>
      <c r="FK70" s="51">
        <f>IFERROR(LOOKUP(FK$15,HourlyTimeseries!$A:$A,HourlyTimeseries!$P:$P),"")</f>
        <v>19.5</v>
      </c>
      <c r="FL70" s="51">
        <f>IFERROR(LOOKUP(FL$15,HourlyTimeseries!$A:$A,HourlyTimeseries!$P:$P),"")</f>
        <v>19.5</v>
      </c>
      <c r="FM70" s="51">
        <f>IFERROR(LOOKUP(FM$15,HourlyTimeseries!$A:$A,HourlyTimeseries!$P:$P),"")</f>
        <v>19.5</v>
      </c>
      <c r="FN70" s="51">
        <f>IFERROR(LOOKUP(FN$15,HourlyTimeseries!$A:$A,HourlyTimeseries!$P:$P),"")</f>
        <v>19.5</v>
      </c>
      <c r="FO70" s="51">
        <f>IFERROR(LOOKUP(FO$15,HourlyTimeseries!$A:$A,HourlyTimeseries!$P:$P),"")</f>
        <v>19.5</v>
      </c>
      <c r="FP70" s="60">
        <f>IFERROR(LOOKUP(FP$15,HourlyTimeseries!$A:$A,HourlyTimeseries!$P:$P),"")</f>
        <v>19.5</v>
      </c>
    </row>
    <row r="71" spans="1:172">
      <c r="A71" s="15" t="s">
        <v>34</v>
      </c>
      <c r="B71" s="2" t="s">
        <v>168</v>
      </c>
      <c r="C71" s="8" t="s">
        <v>135</v>
      </c>
      <c r="D71" s="2"/>
      <c r="E71" s="51">
        <f>IFERROR(LOOKUP(E$15,HourlyTimeseries!$A:$A,HourlyTimeseries!$O:$O),"")</f>
        <v>13.5</v>
      </c>
      <c r="F71" s="51">
        <f>IFERROR(LOOKUP(F$15,HourlyTimeseries!$A:$A,HourlyTimeseries!$O:$O),"")</f>
        <v>13.5</v>
      </c>
      <c r="G71" s="51">
        <f>IFERROR(LOOKUP(G$15,HourlyTimeseries!$A:$A,HourlyTimeseries!$O:$O),"")</f>
        <v>13.5</v>
      </c>
      <c r="H71" s="51">
        <f>IFERROR(LOOKUP(H$15,HourlyTimeseries!$A:$A,HourlyTimeseries!$O:$O),"")</f>
        <v>13.5</v>
      </c>
      <c r="I71" s="51">
        <f>IFERROR(LOOKUP(I$15,HourlyTimeseries!$A:$A,HourlyTimeseries!$O:$O),"")</f>
        <v>13.5</v>
      </c>
      <c r="J71" s="51">
        <f>IFERROR(LOOKUP(J$15,HourlyTimeseries!$A:$A,HourlyTimeseries!$O:$O),"")</f>
        <v>13.5</v>
      </c>
      <c r="K71" s="51">
        <f>IFERROR(LOOKUP(K$15,HourlyTimeseries!$A:$A,HourlyTimeseries!$O:$O),"")</f>
        <v>13.5</v>
      </c>
      <c r="L71" s="51">
        <f>IFERROR(LOOKUP(L$15,HourlyTimeseries!$A:$A,HourlyTimeseries!$O:$O),"")</f>
        <v>13.5</v>
      </c>
      <c r="M71" s="51">
        <f>IFERROR(LOOKUP(M$15,HourlyTimeseries!$A:$A,HourlyTimeseries!$O:$O),"")</f>
        <v>13.5</v>
      </c>
      <c r="N71" s="51">
        <f>IFERROR(LOOKUP(N$15,HourlyTimeseries!$A:$A,HourlyTimeseries!$O:$O),"")</f>
        <v>13.5</v>
      </c>
      <c r="O71" s="51">
        <f>IFERROR(LOOKUP(O$15,HourlyTimeseries!$A:$A,HourlyTimeseries!$O:$O),"")</f>
        <v>13.5</v>
      </c>
      <c r="P71" s="51">
        <f>IFERROR(LOOKUP(P$15,HourlyTimeseries!$A:$A,HourlyTimeseries!$O:$O),"")</f>
        <v>13.5</v>
      </c>
      <c r="Q71" s="51">
        <f>IFERROR(LOOKUP(Q$15,HourlyTimeseries!$A:$A,HourlyTimeseries!$O:$O),"")</f>
        <v>13.5</v>
      </c>
      <c r="R71" s="51">
        <f>IFERROR(LOOKUP(R$15,HourlyTimeseries!$A:$A,HourlyTimeseries!$O:$O),"")</f>
        <v>13.5</v>
      </c>
      <c r="S71" s="51">
        <f>IFERROR(LOOKUP(S$15,HourlyTimeseries!$A:$A,HourlyTimeseries!$O:$O),"")</f>
        <v>13.5</v>
      </c>
      <c r="T71" s="51">
        <f>IFERROR(LOOKUP(T$15,HourlyTimeseries!$A:$A,HourlyTimeseries!$O:$O),"")</f>
        <v>13.5</v>
      </c>
      <c r="U71" s="51">
        <f>IFERROR(LOOKUP(U$15,HourlyTimeseries!$A:$A,HourlyTimeseries!$O:$O),"")</f>
        <v>13.5</v>
      </c>
      <c r="V71" s="51">
        <f>IFERROR(LOOKUP(V$15,HourlyTimeseries!$A:$A,HourlyTimeseries!$O:$O),"")</f>
        <v>13.5</v>
      </c>
      <c r="W71" s="51">
        <f>IFERROR(LOOKUP(W$15,HourlyTimeseries!$A:$A,HourlyTimeseries!$O:$O),"")</f>
        <v>13.5</v>
      </c>
      <c r="X71" s="51">
        <f>IFERROR(LOOKUP(X$15,HourlyTimeseries!$A:$A,HourlyTimeseries!$O:$O),"")</f>
        <v>13.5</v>
      </c>
      <c r="Y71" s="51">
        <f>IFERROR(LOOKUP(Y$15,HourlyTimeseries!$A:$A,HourlyTimeseries!$O:$O),"")</f>
        <v>13.5</v>
      </c>
      <c r="Z71" s="51">
        <f>IFERROR(LOOKUP(Z$15,HourlyTimeseries!$A:$A,HourlyTimeseries!$O:$O),"")</f>
        <v>13.5</v>
      </c>
      <c r="AA71" s="51">
        <f>IFERROR(LOOKUP(AA$15,HourlyTimeseries!$A:$A,HourlyTimeseries!$O:$O),"")</f>
        <v>13.5</v>
      </c>
      <c r="AB71" s="60">
        <f>IFERROR(LOOKUP(AB$15,HourlyTimeseries!$A:$A,HourlyTimeseries!$O:$O),"")</f>
        <v>13.5</v>
      </c>
      <c r="AC71" s="67">
        <f>IFERROR(LOOKUP(AC$15,HourlyTimeseries!$A:$A,HourlyTimeseries!$O:$O),"")</f>
        <v>13.5</v>
      </c>
      <c r="AD71" s="51">
        <f>IFERROR(LOOKUP(AD$15,HourlyTimeseries!$A:$A,HourlyTimeseries!$O:$O),"")</f>
        <v>13.5</v>
      </c>
      <c r="AE71" s="51">
        <f>IFERROR(LOOKUP(AE$15,HourlyTimeseries!$A:$A,HourlyTimeseries!$O:$O),"")</f>
        <v>13.5</v>
      </c>
      <c r="AF71" s="51">
        <f>IFERROR(LOOKUP(AF$15,HourlyTimeseries!$A:$A,HourlyTimeseries!$O:$O),"")</f>
        <v>13.5</v>
      </c>
      <c r="AG71" s="51">
        <f>IFERROR(LOOKUP(AG$15,HourlyTimeseries!$A:$A,HourlyTimeseries!$O:$O),"")</f>
        <v>13.5</v>
      </c>
      <c r="AH71" s="51">
        <f>IFERROR(LOOKUP(AH$15,HourlyTimeseries!$A:$A,HourlyTimeseries!$O:$O),"")</f>
        <v>13.5</v>
      </c>
      <c r="AI71" s="51">
        <f>IFERROR(LOOKUP(AI$15,HourlyTimeseries!$A:$A,HourlyTimeseries!$O:$O),"")</f>
        <v>13.5</v>
      </c>
      <c r="AJ71" s="51">
        <f>IFERROR(LOOKUP(AJ$15,HourlyTimeseries!$A:$A,HourlyTimeseries!$O:$O),"")</f>
        <v>13.5</v>
      </c>
      <c r="AK71" s="51">
        <f>IFERROR(LOOKUP(AK$15,HourlyTimeseries!$A:$A,HourlyTimeseries!$O:$O),"")</f>
        <v>13.5</v>
      </c>
      <c r="AL71" s="51">
        <f>IFERROR(LOOKUP(AL$15,HourlyTimeseries!$A:$A,HourlyTimeseries!$O:$O),"")</f>
        <v>13.5</v>
      </c>
      <c r="AM71" s="51">
        <f>IFERROR(LOOKUP(AM$15,HourlyTimeseries!$A:$A,HourlyTimeseries!$O:$O),"")</f>
        <v>13.5</v>
      </c>
      <c r="AN71" s="51">
        <f>IFERROR(LOOKUP(AN$15,HourlyTimeseries!$A:$A,HourlyTimeseries!$O:$O),"")</f>
        <v>13.5</v>
      </c>
      <c r="AO71" s="51">
        <f>IFERROR(LOOKUP(AO$15,HourlyTimeseries!$A:$A,HourlyTimeseries!$O:$O),"")</f>
        <v>13.5</v>
      </c>
      <c r="AP71" s="51">
        <f>IFERROR(LOOKUP(AP$15,HourlyTimeseries!$A:$A,HourlyTimeseries!$O:$O),"")</f>
        <v>13.5</v>
      </c>
      <c r="AQ71" s="51">
        <f>IFERROR(LOOKUP(AQ$15,HourlyTimeseries!$A:$A,HourlyTimeseries!$O:$O),"")</f>
        <v>13.5</v>
      </c>
      <c r="AR71" s="51">
        <f>IFERROR(LOOKUP(AR$15,HourlyTimeseries!$A:$A,HourlyTimeseries!$O:$O),"")</f>
        <v>13.5</v>
      </c>
      <c r="AS71" s="51">
        <f>IFERROR(LOOKUP(AS$15,HourlyTimeseries!$A:$A,HourlyTimeseries!$O:$O),"")</f>
        <v>13.5</v>
      </c>
      <c r="AT71" s="51">
        <f>IFERROR(LOOKUP(AT$15,HourlyTimeseries!$A:$A,HourlyTimeseries!$O:$O),"")</f>
        <v>13.5</v>
      </c>
      <c r="AU71" s="51">
        <f>IFERROR(LOOKUP(AU$15,HourlyTimeseries!$A:$A,HourlyTimeseries!$O:$O),"")</f>
        <v>13.5</v>
      </c>
      <c r="AV71" s="51">
        <f>IFERROR(LOOKUP(AV$15,HourlyTimeseries!$A:$A,HourlyTimeseries!$O:$O),"")</f>
        <v>13.5</v>
      </c>
      <c r="AW71" s="51">
        <f>IFERROR(LOOKUP(AW$15,HourlyTimeseries!$A:$A,HourlyTimeseries!$O:$O),"")</f>
        <v>13.5</v>
      </c>
      <c r="AX71" s="51">
        <f>IFERROR(LOOKUP(AX$15,HourlyTimeseries!$A:$A,HourlyTimeseries!$O:$O),"")</f>
        <v>13.5</v>
      </c>
      <c r="AY71" s="51">
        <f>IFERROR(LOOKUP(AY$15,HourlyTimeseries!$A:$A,HourlyTimeseries!$O:$O),"")</f>
        <v>13.5</v>
      </c>
      <c r="AZ71" s="60">
        <f>IFERROR(LOOKUP(AZ$15,HourlyTimeseries!$A:$A,HourlyTimeseries!$O:$O),"")</f>
        <v>13.5</v>
      </c>
      <c r="BA71" s="67">
        <f>IFERROR(LOOKUP(BA$15,HourlyTimeseries!$A:$A,HourlyTimeseries!$O:$O),"")</f>
        <v>13.5</v>
      </c>
      <c r="BB71" s="51">
        <f>IFERROR(LOOKUP(BB$15,HourlyTimeseries!$A:$A,HourlyTimeseries!$O:$O),"")</f>
        <v>13.5</v>
      </c>
      <c r="BC71" s="51">
        <f>IFERROR(LOOKUP(BC$15,HourlyTimeseries!$A:$A,HourlyTimeseries!$O:$O),"")</f>
        <v>13.5</v>
      </c>
      <c r="BD71" s="51">
        <f>IFERROR(LOOKUP(BD$15,HourlyTimeseries!$A:$A,HourlyTimeseries!$O:$O),"")</f>
        <v>13.5</v>
      </c>
      <c r="BE71" s="51">
        <f>IFERROR(LOOKUP(BE$15,HourlyTimeseries!$A:$A,HourlyTimeseries!$O:$O),"")</f>
        <v>13.5</v>
      </c>
      <c r="BF71" s="51">
        <f>IFERROR(LOOKUP(BF$15,HourlyTimeseries!$A:$A,HourlyTimeseries!$O:$O),"")</f>
        <v>13.5</v>
      </c>
      <c r="BG71" s="51">
        <f>IFERROR(LOOKUP(BG$15,HourlyTimeseries!$A:$A,HourlyTimeseries!$O:$O),"")</f>
        <v>13.5</v>
      </c>
      <c r="BH71" s="51">
        <f>IFERROR(LOOKUP(BH$15,HourlyTimeseries!$A:$A,HourlyTimeseries!$O:$O),"")</f>
        <v>13.5</v>
      </c>
      <c r="BI71" s="51">
        <f>IFERROR(LOOKUP(BI$15,HourlyTimeseries!$A:$A,HourlyTimeseries!$O:$O),"")</f>
        <v>13.5</v>
      </c>
      <c r="BJ71" s="51">
        <f>IFERROR(LOOKUP(BJ$15,HourlyTimeseries!$A:$A,HourlyTimeseries!$O:$O),"")</f>
        <v>13.5</v>
      </c>
      <c r="BK71" s="51">
        <f>IFERROR(LOOKUP(BK$15,HourlyTimeseries!$A:$A,HourlyTimeseries!$O:$O),"")</f>
        <v>13.5</v>
      </c>
      <c r="BL71" s="51">
        <f>IFERROR(LOOKUP(BL$15,HourlyTimeseries!$A:$A,HourlyTimeseries!$O:$O),"")</f>
        <v>13.5</v>
      </c>
      <c r="BM71" s="51">
        <f>IFERROR(LOOKUP(BM$15,HourlyTimeseries!$A:$A,HourlyTimeseries!$O:$O),"")</f>
        <v>13.5</v>
      </c>
      <c r="BN71" s="51">
        <f>IFERROR(LOOKUP(BN$15,HourlyTimeseries!$A:$A,HourlyTimeseries!$O:$O),"")</f>
        <v>13.5</v>
      </c>
      <c r="BO71" s="51">
        <f>IFERROR(LOOKUP(BO$15,HourlyTimeseries!$A:$A,HourlyTimeseries!$O:$O),"")</f>
        <v>13.5</v>
      </c>
      <c r="BP71" s="51">
        <f>IFERROR(LOOKUP(BP$15,HourlyTimeseries!$A:$A,HourlyTimeseries!$O:$O),"")</f>
        <v>13.5</v>
      </c>
      <c r="BQ71" s="51">
        <f>IFERROR(LOOKUP(BQ$15,HourlyTimeseries!$A:$A,HourlyTimeseries!$O:$O),"")</f>
        <v>13.5</v>
      </c>
      <c r="BR71" s="51">
        <f>IFERROR(LOOKUP(BR$15,HourlyTimeseries!$A:$A,HourlyTimeseries!$O:$O),"")</f>
        <v>13.5</v>
      </c>
      <c r="BS71" s="51">
        <f>IFERROR(LOOKUP(BS$15,HourlyTimeseries!$A:$A,HourlyTimeseries!$O:$O),"")</f>
        <v>13.5</v>
      </c>
      <c r="BT71" s="51">
        <f>IFERROR(LOOKUP(BT$15,HourlyTimeseries!$A:$A,HourlyTimeseries!$O:$O),"")</f>
        <v>13.5</v>
      </c>
      <c r="BU71" s="51">
        <f>IFERROR(LOOKUP(BU$15,HourlyTimeseries!$A:$A,HourlyTimeseries!$O:$O),"")</f>
        <v>13.5</v>
      </c>
      <c r="BV71" s="51">
        <f>IFERROR(LOOKUP(BV$15,HourlyTimeseries!$A:$A,HourlyTimeseries!$O:$O),"")</f>
        <v>13.5</v>
      </c>
      <c r="BW71" s="51">
        <f>IFERROR(LOOKUP(BW$15,HourlyTimeseries!$A:$A,HourlyTimeseries!$O:$O),"")</f>
        <v>13.5</v>
      </c>
      <c r="BX71" s="60">
        <f>IFERROR(LOOKUP(BX$15,HourlyTimeseries!$A:$A,HourlyTimeseries!$O:$O),"")</f>
        <v>13.5</v>
      </c>
      <c r="BY71" s="67">
        <f>IFERROR(LOOKUP(BY$15,HourlyTimeseries!$A:$A,HourlyTimeseries!$O:$O),"")</f>
        <v>13.5</v>
      </c>
      <c r="BZ71" s="51">
        <f>IFERROR(LOOKUP(BZ$15,HourlyTimeseries!$A:$A,HourlyTimeseries!$O:$O),"")</f>
        <v>13.5</v>
      </c>
      <c r="CA71" s="51">
        <f>IFERROR(LOOKUP(CA$15,HourlyTimeseries!$A:$A,HourlyTimeseries!$O:$O),"")</f>
        <v>13.5</v>
      </c>
      <c r="CB71" s="51">
        <f>IFERROR(LOOKUP(CB$15,HourlyTimeseries!$A:$A,HourlyTimeseries!$O:$O),"")</f>
        <v>13.5</v>
      </c>
      <c r="CC71" s="51">
        <f>IFERROR(LOOKUP(CC$15,HourlyTimeseries!$A:$A,HourlyTimeseries!$O:$O),"")</f>
        <v>13.5</v>
      </c>
      <c r="CD71" s="51">
        <f>IFERROR(LOOKUP(CD$15,HourlyTimeseries!$A:$A,HourlyTimeseries!$O:$O),"")</f>
        <v>13.5</v>
      </c>
      <c r="CE71" s="51">
        <f>IFERROR(LOOKUP(CE$15,HourlyTimeseries!$A:$A,HourlyTimeseries!$O:$O),"")</f>
        <v>13.5</v>
      </c>
      <c r="CF71" s="51">
        <f>IFERROR(LOOKUP(CF$15,HourlyTimeseries!$A:$A,HourlyTimeseries!$O:$O),"")</f>
        <v>13.5</v>
      </c>
      <c r="CG71" s="51">
        <f>IFERROR(LOOKUP(CG$15,HourlyTimeseries!$A:$A,HourlyTimeseries!$O:$O),"")</f>
        <v>13.5</v>
      </c>
      <c r="CH71" s="51">
        <f>IFERROR(LOOKUP(CH$15,HourlyTimeseries!$A:$A,HourlyTimeseries!$O:$O),"")</f>
        <v>13.5</v>
      </c>
      <c r="CI71" s="51">
        <f>IFERROR(LOOKUP(CI$15,HourlyTimeseries!$A:$A,HourlyTimeseries!$O:$O),"")</f>
        <v>13.5</v>
      </c>
      <c r="CJ71" s="51">
        <f>IFERROR(LOOKUP(CJ$15,HourlyTimeseries!$A:$A,HourlyTimeseries!$O:$O),"")</f>
        <v>13.5</v>
      </c>
      <c r="CK71" s="51">
        <f>IFERROR(LOOKUP(CK$15,HourlyTimeseries!$A:$A,HourlyTimeseries!$O:$O),"")</f>
        <v>13.5</v>
      </c>
      <c r="CL71" s="51">
        <f>IFERROR(LOOKUP(CL$15,HourlyTimeseries!$A:$A,HourlyTimeseries!$O:$O),"")</f>
        <v>13.5</v>
      </c>
      <c r="CM71" s="51">
        <f>IFERROR(LOOKUP(CM$15,HourlyTimeseries!$A:$A,HourlyTimeseries!$O:$O),"")</f>
        <v>13.5</v>
      </c>
      <c r="CN71" s="51">
        <f>IFERROR(LOOKUP(CN$15,HourlyTimeseries!$A:$A,HourlyTimeseries!$O:$O),"")</f>
        <v>13.5</v>
      </c>
      <c r="CO71" s="51">
        <f>IFERROR(LOOKUP(CO$15,HourlyTimeseries!$A:$A,HourlyTimeseries!$O:$O),"")</f>
        <v>13.5</v>
      </c>
      <c r="CP71" s="51">
        <f>IFERROR(LOOKUP(CP$15,HourlyTimeseries!$A:$A,HourlyTimeseries!$O:$O),"")</f>
        <v>13.5</v>
      </c>
      <c r="CQ71" s="51">
        <f>IFERROR(LOOKUP(CQ$15,HourlyTimeseries!$A:$A,HourlyTimeseries!$O:$O),"")</f>
        <v>13.5</v>
      </c>
      <c r="CR71" s="51">
        <f>IFERROR(LOOKUP(CR$15,HourlyTimeseries!$A:$A,HourlyTimeseries!$O:$O),"")</f>
        <v>13.5</v>
      </c>
      <c r="CS71" s="51">
        <f>IFERROR(LOOKUP(CS$15,HourlyTimeseries!$A:$A,HourlyTimeseries!$O:$O),"")</f>
        <v>13.5</v>
      </c>
      <c r="CT71" s="51">
        <f>IFERROR(LOOKUP(CT$15,HourlyTimeseries!$A:$A,HourlyTimeseries!$O:$O),"")</f>
        <v>13.5</v>
      </c>
      <c r="CU71" s="51">
        <f>IFERROR(LOOKUP(CU$15,HourlyTimeseries!$A:$A,HourlyTimeseries!$O:$O),"")</f>
        <v>13.5</v>
      </c>
      <c r="CV71" s="60">
        <f>IFERROR(LOOKUP(CV$15,HourlyTimeseries!$A:$A,HourlyTimeseries!$O:$O),"")</f>
        <v>13.5</v>
      </c>
      <c r="CW71" s="67">
        <f>IFERROR(LOOKUP(CW$15,HourlyTimeseries!$A:$A,HourlyTimeseries!$O:$O),"")</f>
        <v>13.5</v>
      </c>
      <c r="CX71" s="51">
        <f>IFERROR(LOOKUP(CX$15,HourlyTimeseries!$A:$A,HourlyTimeseries!$O:$O),"")</f>
        <v>13.5</v>
      </c>
      <c r="CY71" s="51">
        <f>IFERROR(LOOKUP(CY$15,HourlyTimeseries!$A:$A,HourlyTimeseries!$O:$O),"")</f>
        <v>13.5</v>
      </c>
      <c r="CZ71" s="51">
        <f>IFERROR(LOOKUP(CZ$15,HourlyTimeseries!$A:$A,HourlyTimeseries!$O:$O),"")</f>
        <v>13.5</v>
      </c>
      <c r="DA71" s="51">
        <f>IFERROR(LOOKUP(DA$15,HourlyTimeseries!$A:$A,HourlyTimeseries!$O:$O),"")</f>
        <v>13.5</v>
      </c>
      <c r="DB71" s="51">
        <f>IFERROR(LOOKUP(DB$15,HourlyTimeseries!$A:$A,HourlyTimeseries!$O:$O),"")</f>
        <v>13.5</v>
      </c>
      <c r="DC71" s="51">
        <f>IFERROR(LOOKUP(DC$15,HourlyTimeseries!$A:$A,HourlyTimeseries!$O:$O),"")</f>
        <v>13.5</v>
      </c>
      <c r="DD71" s="51">
        <f>IFERROR(LOOKUP(DD$15,HourlyTimeseries!$A:$A,HourlyTimeseries!$O:$O),"")</f>
        <v>13.5</v>
      </c>
      <c r="DE71" s="51">
        <f>IFERROR(LOOKUP(DE$15,HourlyTimeseries!$A:$A,HourlyTimeseries!$O:$O),"")</f>
        <v>13.5</v>
      </c>
      <c r="DF71" s="51">
        <f>IFERROR(LOOKUP(DF$15,HourlyTimeseries!$A:$A,HourlyTimeseries!$O:$O),"")</f>
        <v>13.5</v>
      </c>
      <c r="DG71" s="51">
        <f>IFERROR(LOOKUP(DG$15,HourlyTimeseries!$A:$A,HourlyTimeseries!$O:$O),"")</f>
        <v>13.5</v>
      </c>
      <c r="DH71" s="51">
        <f>IFERROR(LOOKUP(DH$15,HourlyTimeseries!$A:$A,HourlyTimeseries!$O:$O),"")</f>
        <v>13.5</v>
      </c>
      <c r="DI71" s="51">
        <f>IFERROR(LOOKUP(DI$15,HourlyTimeseries!$A:$A,HourlyTimeseries!$O:$O),"")</f>
        <v>13.5</v>
      </c>
      <c r="DJ71" s="51">
        <f>IFERROR(LOOKUP(DJ$15,HourlyTimeseries!$A:$A,HourlyTimeseries!$O:$O),"")</f>
        <v>13.5</v>
      </c>
      <c r="DK71" s="51">
        <f>IFERROR(LOOKUP(DK$15,HourlyTimeseries!$A:$A,HourlyTimeseries!$O:$O),"")</f>
        <v>13.5</v>
      </c>
      <c r="DL71" s="51">
        <f>IFERROR(LOOKUP(DL$15,HourlyTimeseries!$A:$A,HourlyTimeseries!$O:$O),"")</f>
        <v>13.5</v>
      </c>
      <c r="DM71" s="51">
        <f>IFERROR(LOOKUP(DM$15,HourlyTimeseries!$A:$A,HourlyTimeseries!$O:$O),"")</f>
        <v>13.5</v>
      </c>
      <c r="DN71" s="51">
        <f>IFERROR(LOOKUP(DN$15,HourlyTimeseries!$A:$A,HourlyTimeseries!$O:$O),"")</f>
        <v>13.5</v>
      </c>
      <c r="DO71" s="51">
        <f>IFERROR(LOOKUP(DO$15,HourlyTimeseries!$A:$A,HourlyTimeseries!$O:$O),"")</f>
        <v>13.5</v>
      </c>
      <c r="DP71" s="51">
        <f>IFERROR(LOOKUP(DP$15,HourlyTimeseries!$A:$A,HourlyTimeseries!$O:$O),"")</f>
        <v>13.5</v>
      </c>
      <c r="DQ71" s="51">
        <f>IFERROR(LOOKUP(DQ$15,HourlyTimeseries!$A:$A,HourlyTimeseries!$O:$O),"")</f>
        <v>13.5</v>
      </c>
      <c r="DR71" s="51">
        <f>IFERROR(LOOKUP(DR$15,HourlyTimeseries!$A:$A,HourlyTimeseries!$O:$O),"")</f>
        <v>13.5</v>
      </c>
      <c r="DS71" s="51">
        <f>IFERROR(LOOKUP(DS$15,HourlyTimeseries!$A:$A,HourlyTimeseries!$O:$O),"")</f>
        <v>13.5</v>
      </c>
      <c r="DT71" s="60">
        <f>IFERROR(LOOKUP(DT$15,HourlyTimeseries!$A:$A,HourlyTimeseries!$O:$O),"")</f>
        <v>13.5</v>
      </c>
      <c r="DU71" s="67">
        <f>IFERROR(LOOKUP(DU$15,HourlyTimeseries!$A:$A,HourlyTimeseries!$O:$O),"")</f>
        <v>13.5</v>
      </c>
      <c r="DV71" s="51">
        <f>IFERROR(LOOKUP(DV$15,HourlyTimeseries!$A:$A,HourlyTimeseries!$O:$O),"")</f>
        <v>13.5</v>
      </c>
      <c r="DW71" s="51">
        <f>IFERROR(LOOKUP(DW$15,HourlyTimeseries!$A:$A,HourlyTimeseries!$O:$O),"")</f>
        <v>13.5</v>
      </c>
      <c r="DX71" s="51">
        <f>IFERROR(LOOKUP(DX$15,HourlyTimeseries!$A:$A,HourlyTimeseries!$O:$O),"")</f>
        <v>13.5</v>
      </c>
      <c r="DY71" s="51">
        <f>IFERROR(LOOKUP(DY$15,HourlyTimeseries!$A:$A,HourlyTimeseries!$O:$O),"")</f>
        <v>13.5</v>
      </c>
      <c r="DZ71" s="51">
        <f>IFERROR(LOOKUP(DZ$15,HourlyTimeseries!$A:$A,HourlyTimeseries!$O:$O),"")</f>
        <v>13.5</v>
      </c>
      <c r="EA71" s="51">
        <f>IFERROR(LOOKUP(EA$15,HourlyTimeseries!$A:$A,HourlyTimeseries!$O:$O),"")</f>
        <v>13.5</v>
      </c>
      <c r="EB71" s="51">
        <f>IFERROR(LOOKUP(EB$15,HourlyTimeseries!$A:$A,HourlyTimeseries!$O:$O),"")</f>
        <v>13.5</v>
      </c>
      <c r="EC71" s="51">
        <f>IFERROR(LOOKUP(EC$15,HourlyTimeseries!$A:$A,HourlyTimeseries!$O:$O),"")</f>
        <v>13.5</v>
      </c>
      <c r="ED71" s="51">
        <f>IFERROR(LOOKUP(ED$15,HourlyTimeseries!$A:$A,HourlyTimeseries!$O:$O),"")</f>
        <v>13.5</v>
      </c>
      <c r="EE71" s="51">
        <f>IFERROR(LOOKUP(EE$15,HourlyTimeseries!$A:$A,HourlyTimeseries!$O:$O),"")</f>
        <v>13.5</v>
      </c>
      <c r="EF71" s="51">
        <f>IFERROR(LOOKUP(EF$15,HourlyTimeseries!$A:$A,HourlyTimeseries!$O:$O),"")</f>
        <v>13.5</v>
      </c>
      <c r="EG71" s="51">
        <f>IFERROR(LOOKUP(EG$15,HourlyTimeseries!$A:$A,HourlyTimeseries!$O:$O),"")</f>
        <v>13.5</v>
      </c>
      <c r="EH71" s="51">
        <f>IFERROR(LOOKUP(EH$15,HourlyTimeseries!$A:$A,HourlyTimeseries!$O:$O),"")</f>
        <v>13.5</v>
      </c>
      <c r="EI71" s="51">
        <f>IFERROR(LOOKUP(EI$15,HourlyTimeseries!$A:$A,HourlyTimeseries!$O:$O),"")</f>
        <v>13.5</v>
      </c>
      <c r="EJ71" s="51">
        <f>IFERROR(LOOKUP(EJ$15,HourlyTimeseries!$A:$A,HourlyTimeseries!$O:$O),"")</f>
        <v>13.5</v>
      </c>
      <c r="EK71" s="51">
        <f>IFERROR(LOOKUP(EK$15,HourlyTimeseries!$A:$A,HourlyTimeseries!$O:$O),"")</f>
        <v>13.5</v>
      </c>
      <c r="EL71" s="51">
        <f>IFERROR(LOOKUP(EL$15,HourlyTimeseries!$A:$A,HourlyTimeseries!$O:$O),"")</f>
        <v>13.5</v>
      </c>
      <c r="EM71" s="51">
        <f>IFERROR(LOOKUP(EM$15,HourlyTimeseries!$A:$A,HourlyTimeseries!$O:$O),"")</f>
        <v>13.5</v>
      </c>
      <c r="EN71" s="51">
        <f>IFERROR(LOOKUP(EN$15,HourlyTimeseries!$A:$A,HourlyTimeseries!$O:$O),"")</f>
        <v>13.5</v>
      </c>
      <c r="EO71" s="51">
        <f>IFERROR(LOOKUP(EO$15,HourlyTimeseries!$A:$A,HourlyTimeseries!$O:$O),"")</f>
        <v>13.5</v>
      </c>
      <c r="EP71" s="51">
        <f>IFERROR(LOOKUP(EP$15,HourlyTimeseries!$A:$A,HourlyTimeseries!$O:$O),"")</f>
        <v>13.5</v>
      </c>
      <c r="EQ71" s="51">
        <f>IFERROR(LOOKUP(EQ$15,HourlyTimeseries!$A:$A,HourlyTimeseries!$O:$O),"")</f>
        <v>13.5</v>
      </c>
      <c r="ER71" s="60">
        <f>IFERROR(LOOKUP(ER$15,HourlyTimeseries!$A:$A,HourlyTimeseries!$O:$O),"")</f>
        <v>13.5</v>
      </c>
      <c r="ES71" s="67">
        <f>IFERROR(LOOKUP(ES$15,HourlyTimeseries!$A:$A,HourlyTimeseries!$O:$O),"")</f>
        <v>13.5</v>
      </c>
      <c r="ET71" s="51">
        <f>IFERROR(LOOKUP(ET$15,HourlyTimeseries!$A:$A,HourlyTimeseries!$O:$O),"")</f>
        <v>13.5</v>
      </c>
      <c r="EU71" s="51">
        <f>IFERROR(LOOKUP(EU$15,HourlyTimeseries!$A:$A,HourlyTimeseries!$O:$O),"")</f>
        <v>13.5</v>
      </c>
      <c r="EV71" s="51">
        <f>IFERROR(LOOKUP(EV$15,HourlyTimeseries!$A:$A,HourlyTimeseries!$O:$O),"")</f>
        <v>13.5</v>
      </c>
      <c r="EW71" s="51">
        <f>IFERROR(LOOKUP(EW$15,HourlyTimeseries!$A:$A,HourlyTimeseries!$O:$O),"")</f>
        <v>13.5</v>
      </c>
      <c r="EX71" s="51">
        <f>IFERROR(LOOKUP(EX$15,HourlyTimeseries!$A:$A,HourlyTimeseries!$O:$O),"")</f>
        <v>13.5</v>
      </c>
      <c r="EY71" s="51">
        <f>IFERROR(LOOKUP(EY$15,HourlyTimeseries!$A:$A,HourlyTimeseries!$O:$O),"")</f>
        <v>13.5</v>
      </c>
      <c r="EZ71" s="51">
        <f>IFERROR(LOOKUP(EZ$15,HourlyTimeseries!$A:$A,HourlyTimeseries!$O:$O),"")</f>
        <v>13.5</v>
      </c>
      <c r="FA71" s="51">
        <f>IFERROR(LOOKUP(FA$15,HourlyTimeseries!$A:$A,HourlyTimeseries!$O:$O),"")</f>
        <v>13.5</v>
      </c>
      <c r="FB71" s="51">
        <f>IFERROR(LOOKUP(FB$15,HourlyTimeseries!$A:$A,HourlyTimeseries!$O:$O),"")</f>
        <v>13.5</v>
      </c>
      <c r="FC71" s="51">
        <f>IFERROR(LOOKUP(FC$15,HourlyTimeseries!$A:$A,HourlyTimeseries!$O:$O),"")</f>
        <v>13.5</v>
      </c>
      <c r="FD71" s="51">
        <f>IFERROR(LOOKUP(FD$15,HourlyTimeseries!$A:$A,HourlyTimeseries!$O:$O),"")</f>
        <v>13.5</v>
      </c>
      <c r="FE71" s="51">
        <f>IFERROR(LOOKUP(FE$15,HourlyTimeseries!$A:$A,HourlyTimeseries!$O:$O),"")</f>
        <v>13.5</v>
      </c>
      <c r="FF71" s="51">
        <f>IFERROR(LOOKUP(FF$15,HourlyTimeseries!$A:$A,HourlyTimeseries!$O:$O),"")</f>
        <v>13.5</v>
      </c>
      <c r="FG71" s="51">
        <f>IFERROR(LOOKUP(FG$15,HourlyTimeseries!$A:$A,HourlyTimeseries!$O:$O),"")</f>
        <v>13.5</v>
      </c>
      <c r="FH71" s="51">
        <f>IFERROR(LOOKUP(FH$15,HourlyTimeseries!$A:$A,HourlyTimeseries!$O:$O),"")</f>
        <v>13.5</v>
      </c>
      <c r="FI71" s="51">
        <f>IFERROR(LOOKUP(FI$15,HourlyTimeseries!$A:$A,HourlyTimeseries!$O:$O),"")</f>
        <v>13.5</v>
      </c>
      <c r="FJ71" s="51">
        <f>IFERROR(LOOKUP(FJ$15,HourlyTimeseries!$A:$A,HourlyTimeseries!$O:$O),"")</f>
        <v>13.5</v>
      </c>
      <c r="FK71" s="51">
        <f>IFERROR(LOOKUP(FK$15,HourlyTimeseries!$A:$A,HourlyTimeseries!$O:$O),"")</f>
        <v>13.5</v>
      </c>
      <c r="FL71" s="51">
        <f>IFERROR(LOOKUP(FL$15,HourlyTimeseries!$A:$A,HourlyTimeseries!$O:$O),"")</f>
        <v>13.5</v>
      </c>
      <c r="FM71" s="51">
        <f>IFERROR(LOOKUP(FM$15,HourlyTimeseries!$A:$A,HourlyTimeseries!$O:$O),"")</f>
        <v>13.5</v>
      </c>
      <c r="FN71" s="51">
        <f>IFERROR(LOOKUP(FN$15,HourlyTimeseries!$A:$A,HourlyTimeseries!$O:$O),"")</f>
        <v>13.5</v>
      </c>
      <c r="FO71" s="51">
        <f>IFERROR(LOOKUP(FO$15,HourlyTimeseries!$A:$A,HourlyTimeseries!$O:$O),"")</f>
        <v>13.5</v>
      </c>
      <c r="FP71" s="60">
        <f>IFERROR(LOOKUP(FP$15,HourlyTimeseries!$A:$A,HourlyTimeseries!$O:$O),"")</f>
        <v>13.5</v>
      </c>
    </row>
    <row r="72" spans="1:172">
      <c r="A72" s="15" t="s">
        <v>37</v>
      </c>
      <c r="B72" s="2" t="s">
        <v>3</v>
      </c>
      <c r="C72" s="41" t="s">
        <v>136</v>
      </c>
      <c r="D72" s="2"/>
      <c r="E72" s="51">
        <f>IFERROR(LOOKUP(E$15,HourlyTimeseries!$A:$A,HourlyTimeseries!$Q:$Q),"")</f>
        <v>2.707571404320853</v>
      </c>
      <c r="F72" s="51">
        <f>IFERROR(LOOKUP(F$15,HourlyTimeseries!$A:$A,HourlyTimeseries!$Q:$Q),"")</f>
        <v>2.6045714105878557</v>
      </c>
      <c r="G72" s="51">
        <f>IFERROR(LOOKUP(G$15,HourlyTimeseries!$A:$A,HourlyTimeseries!$Q:$Q),"")</f>
        <v>2.5119999476841519</v>
      </c>
      <c r="H72" s="51">
        <f>IFERROR(LOOKUP(H$15,HourlyTimeseries!$A:$A,HourlyTimeseries!$Q:$Q),"")</f>
        <v>2.3667143072400774</v>
      </c>
      <c r="I72" s="51">
        <f>IFERROR(LOOKUP(I$15,HourlyTimeseries!$A:$A,HourlyTimeseries!$Q:$Q),"")</f>
        <v>2.2025713920593262</v>
      </c>
      <c r="J72" s="51">
        <f>IFERROR(LOOKUP(J$15,HourlyTimeseries!$A:$A,HourlyTimeseries!$Q:$Q),"")</f>
        <v>2.0452857358115062</v>
      </c>
      <c r="K72" s="51">
        <f>IFERROR(LOOKUP(K$15,HourlyTimeseries!$A:$A,HourlyTimeseries!$Q:$Q),"")</f>
        <v>1.9314285516738892</v>
      </c>
      <c r="L72" s="51">
        <f>IFERROR(LOOKUP(L$15,HourlyTimeseries!$A:$A,HourlyTimeseries!$Q:$Q),"")</f>
        <v>1.8508571556636266</v>
      </c>
      <c r="M72" s="51">
        <f>IFERROR(LOOKUP(M$15,HourlyTimeseries!$A:$A,HourlyTimeseries!$Q:$Q),"")</f>
        <v>1.7464285748345512</v>
      </c>
      <c r="N72" s="51">
        <f>IFERROR(LOOKUP(N$15,HourlyTimeseries!$A:$A,HourlyTimeseries!$Q:$Q),"")</f>
        <v>1.6497142996106828</v>
      </c>
      <c r="O72" s="51">
        <f>IFERROR(LOOKUP(O$15,HourlyTimeseries!$A:$A,HourlyTimeseries!$Q:$Q),"")</f>
        <v>1.5668571165629797</v>
      </c>
      <c r="P72" s="51">
        <f>IFERROR(LOOKUP(P$15,HourlyTimeseries!$A:$A,HourlyTimeseries!$Q:$Q),"")</f>
        <v>1.4631428718566895</v>
      </c>
      <c r="Q72" s="51">
        <f>IFERROR(LOOKUP(Q$15,HourlyTimeseries!$A:$A,HourlyTimeseries!$Q:$Q),"")</f>
        <v>1.3304285662514823</v>
      </c>
      <c r="R72" s="51">
        <f>IFERROR(LOOKUP(R$15,HourlyTimeseries!$A:$A,HourlyTimeseries!$Q:$Q),"")</f>
        <v>1.1667142765862601</v>
      </c>
      <c r="S72" s="51">
        <f>IFERROR(LOOKUP(S$15,HourlyTimeseries!$A:$A,HourlyTimeseries!$Q:$Q),"")</f>
        <v>0.98814284801483154</v>
      </c>
      <c r="T72" s="51">
        <f>IFERROR(LOOKUP(T$15,HourlyTimeseries!$A:$A,HourlyTimeseries!$Q:$Q),"")</f>
        <v>0.82557142632348202</v>
      </c>
      <c r="U72" s="51">
        <f>IFERROR(LOOKUP(U$15,HourlyTimeseries!$A:$A,HourlyTimeseries!$Q:$Q),"")</f>
        <v>0.73714286088943481</v>
      </c>
      <c r="V72" s="51">
        <f>IFERROR(LOOKUP(V$15,HourlyTimeseries!$A:$A,HourlyTimeseries!$Q:$Q),"")</f>
        <v>0.86971428564616615</v>
      </c>
      <c r="W72" s="51">
        <f>IFERROR(LOOKUP(W$15,HourlyTimeseries!$A:$A,HourlyTimeseries!$Q:$Q),"")</f>
        <v>1.2285714319774084</v>
      </c>
      <c r="X72" s="51">
        <f>IFERROR(LOOKUP(X$15,HourlyTimeseries!$A:$A,HourlyTimeseries!$Q:$Q),"")</f>
        <v>1.949428609439305</v>
      </c>
      <c r="Y72" s="51">
        <f>IFERROR(LOOKUP(Y$15,HourlyTimeseries!$A:$A,HourlyTimeseries!$Q:$Q),"")</f>
        <v>2.732428584780012</v>
      </c>
      <c r="Z72" s="51">
        <f>IFERROR(LOOKUP(Z$15,HourlyTimeseries!$A:$A,HourlyTimeseries!$Q:$Q),"")</f>
        <v>2.9708571093423024</v>
      </c>
      <c r="AA72" s="51">
        <f>IFERROR(LOOKUP(AA$15,HourlyTimeseries!$A:$A,HourlyTimeseries!$Q:$Q),"")</f>
        <v>2.9297142710004533</v>
      </c>
      <c r="AB72" s="60">
        <f>IFERROR(LOOKUP(AB$15,HourlyTimeseries!$A:$A,HourlyTimeseries!$Q:$Q),"")</f>
        <v>2.8045714242117747</v>
      </c>
      <c r="AC72" s="67">
        <f>IFERROR(LOOKUP(AC$15,HourlyTimeseries!$A:$A,HourlyTimeseries!$Q:$Q),"")</f>
        <v>2.707571404320853</v>
      </c>
      <c r="AD72" s="51">
        <f>IFERROR(LOOKUP(AD$15,HourlyTimeseries!$A:$A,HourlyTimeseries!$Q:$Q),"")</f>
        <v>2.6045714105878557</v>
      </c>
      <c r="AE72" s="51">
        <f>IFERROR(LOOKUP(AE$15,HourlyTimeseries!$A:$A,HourlyTimeseries!$Q:$Q),"")</f>
        <v>2.5119999476841519</v>
      </c>
      <c r="AF72" s="51">
        <f>IFERROR(LOOKUP(AF$15,HourlyTimeseries!$A:$A,HourlyTimeseries!$Q:$Q),"")</f>
        <v>2.3667143072400774</v>
      </c>
      <c r="AG72" s="51">
        <f>IFERROR(LOOKUP(AG$15,HourlyTimeseries!$A:$A,HourlyTimeseries!$Q:$Q),"")</f>
        <v>2.2025713920593262</v>
      </c>
      <c r="AH72" s="51">
        <f>IFERROR(LOOKUP(AH$15,HourlyTimeseries!$A:$A,HourlyTimeseries!$Q:$Q),"")</f>
        <v>2.0452857358115062</v>
      </c>
      <c r="AI72" s="51">
        <f>IFERROR(LOOKUP(AI$15,HourlyTimeseries!$A:$A,HourlyTimeseries!$Q:$Q),"")</f>
        <v>1.9314285516738892</v>
      </c>
      <c r="AJ72" s="51">
        <f>IFERROR(LOOKUP(AJ$15,HourlyTimeseries!$A:$A,HourlyTimeseries!$Q:$Q),"")</f>
        <v>1.8508571556636266</v>
      </c>
      <c r="AK72" s="51">
        <f>IFERROR(LOOKUP(AK$15,HourlyTimeseries!$A:$A,HourlyTimeseries!$Q:$Q),"")</f>
        <v>1.7464285748345512</v>
      </c>
      <c r="AL72" s="51">
        <f>IFERROR(LOOKUP(AL$15,HourlyTimeseries!$A:$A,HourlyTimeseries!$Q:$Q),"")</f>
        <v>1.6497142996106828</v>
      </c>
      <c r="AM72" s="51">
        <f>IFERROR(LOOKUP(AM$15,HourlyTimeseries!$A:$A,HourlyTimeseries!$Q:$Q),"")</f>
        <v>1.5668571165629797</v>
      </c>
      <c r="AN72" s="51">
        <f>IFERROR(LOOKUP(AN$15,HourlyTimeseries!$A:$A,HourlyTimeseries!$Q:$Q),"")</f>
        <v>1.4631428718566895</v>
      </c>
      <c r="AO72" s="51">
        <f>IFERROR(LOOKUP(AO$15,HourlyTimeseries!$A:$A,HourlyTimeseries!$Q:$Q),"")</f>
        <v>1.3304285662514823</v>
      </c>
      <c r="AP72" s="51">
        <f>IFERROR(LOOKUP(AP$15,HourlyTimeseries!$A:$A,HourlyTimeseries!$Q:$Q),"")</f>
        <v>1.1667142765862601</v>
      </c>
      <c r="AQ72" s="51">
        <f>IFERROR(LOOKUP(AQ$15,HourlyTimeseries!$A:$A,HourlyTimeseries!$Q:$Q),"")</f>
        <v>0.98814284801483154</v>
      </c>
      <c r="AR72" s="51">
        <f>IFERROR(LOOKUP(AR$15,HourlyTimeseries!$A:$A,HourlyTimeseries!$Q:$Q),"")</f>
        <v>0.82557142632348202</v>
      </c>
      <c r="AS72" s="51">
        <f>IFERROR(LOOKUP(AS$15,HourlyTimeseries!$A:$A,HourlyTimeseries!$Q:$Q),"")</f>
        <v>0.73714286088943481</v>
      </c>
      <c r="AT72" s="51">
        <f>IFERROR(LOOKUP(AT$15,HourlyTimeseries!$A:$A,HourlyTimeseries!$Q:$Q),"")</f>
        <v>0.86971428564616615</v>
      </c>
      <c r="AU72" s="51">
        <f>IFERROR(LOOKUP(AU$15,HourlyTimeseries!$A:$A,HourlyTimeseries!$Q:$Q),"")</f>
        <v>1.2285714319774084</v>
      </c>
      <c r="AV72" s="51">
        <f>IFERROR(LOOKUP(AV$15,HourlyTimeseries!$A:$A,HourlyTimeseries!$Q:$Q),"")</f>
        <v>1.949428609439305</v>
      </c>
      <c r="AW72" s="51">
        <f>IFERROR(LOOKUP(AW$15,HourlyTimeseries!$A:$A,HourlyTimeseries!$Q:$Q),"")</f>
        <v>2.732428584780012</v>
      </c>
      <c r="AX72" s="51">
        <f>IFERROR(LOOKUP(AX$15,HourlyTimeseries!$A:$A,HourlyTimeseries!$Q:$Q),"")</f>
        <v>2.9708571093423024</v>
      </c>
      <c r="AY72" s="51">
        <f>IFERROR(LOOKUP(AY$15,HourlyTimeseries!$A:$A,HourlyTimeseries!$Q:$Q),"")</f>
        <v>2.9297142710004533</v>
      </c>
      <c r="AZ72" s="60">
        <f>IFERROR(LOOKUP(AZ$15,HourlyTimeseries!$A:$A,HourlyTimeseries!$Q:$Q),"")</f>
        <v>2.8045714242117747</v>
      </c>
      <c r="BA72" s="67">
        <f>IFERROR(LOOKUP(BA$15,HourlyTimeseries!$A:$A,HourlyTimeseries!$Q:$Q),"")</f>
        <v>2.707571404320853</v>
      </c>
      <c r="BB72" s="51">
        <f>IFERROR(LOOKUP(BB$15,HourlyTimeseries!$A:$A,HourlyTimeseries!$Q:$Q),"")</f>
        <v>2.6045714105878557</v>
      </c>
      <c r="BC72" s="51">
        <f>IFERROR(LOOKUP(BC$15,HourlyTimeseries!$A:$A,HourlyTimeseries!$Q:$Q),"")</f>
        <v>2.5119999476841519</v>
      </c>
      <c r="BD72" s="51">
        <f>IFERROR(LOOKUP(BD$15,HourlyTimeseries!$A:$A,HourlyTimeseries!$Q:$Q),"")</f>
        <v>2.3667143072400774</v>
      </c>
      <c r="BE72" s="51">
        <f>IFERROR(LOOKUP(BE$15,HourlyTimeseries!$A:$A,HourlyTimeseries!$Q:$Q),"")</f>
        <v>2.2025713920593262</v>
      </c>
      <c r="BF72" s="51">
        <f>IFERROR(LOOKUP(BF$15,HourlyTimeseries!$A:$A,HourlyTimeseries!$Q:$Q),"")</f>
        <v>2.0452857358115062</v>
      </c>
      <c r="BG72" s="51">
        <f>IFERROR(LOOKUP(BG$15,HourlyTimeseries!$A:$A,HourlyTimeseries!$Q:$Q),"")</f>
        <v>1.9314285516738892</v>
      </c>
      <c r="BH72" s="51">
        <f>IFERROR(LOOKUP(BH$15,HourlyTimeseries!$A:$A,HourlyTimeseries!$Q:$Q),"")</f>
        <v>1.8508571556636266</v>
      </c>
      <c r="BI72" s="51">
        <f>IFERROR(LOOKUP(BI$15,HourlyTimeseries!$A:$A,HourlyTimeseries!$Q:$Q),"")</f>
        <v>1.7464285748345512</v>
      </c>
      <c r="BJ72" s="51">
        <f>IFERROR(LOOKUP(BJ$15,HourlyTimeseries!$A:$A,HourlyTimeseries!$Q:$Q),"")</f>
        <v>1.6497142996106828</v>
      </c>
      <c r="BK72" s="51">
        <f>IFERROR(LOOKUP(BK$15,HourlyTimeseries!$A:$A,HourlyTimeseries!$Q:$Q),"")</f>
        <v>1.5668571165629797</v>
      </c>
      <c r="BL72" s="51">
        <f>IFERROR(LOOKUP(BL$15,HourlyTimeseries!$A:$A,HourlyTimeseries!$Q:$Q),"")</f>
        <v>1.4631428718566895</v>
      </c>
      <c r="BM72" s="51">
        <f>IFERROR(LOOKUP(BM$15,HourlyTimeseries!$A:$A,HourlyTimeseries!$Q:$Q),"")</f>
        <v>1.3304285662514823</v>
      </c>
      <c r="BN72" s="51">
        <f>IFERROR(LOOKUP(BN$15,HourlyTimeseries!$A:$A,HourlyTimeseries!$Q:$Q),"")</f>
        <v>1.1667142765862601</v>
      </c>
      <c r="BO72" s="51">
        <f>IFERROR(LOOKUP(BO$15,HourlyTimeseries!$A:$A,HourlyTimeseries!$Q:$Q),"")</f>
        <v>0.98814284801483154</v>
      </c>
      <c r="BP72" s="51">
        <f>IFERROR(LOOKUP(BP$15,HourlyTimeseries!$A:$A,HourlyTimeseries!$Q:$Q),"")</f>
        <v>0.82557142632348202</v>
      </c>
      <c r="BQ72" s="51">
        <f>IFERROR(LOOKUP(BQ$15,HourlyTimeseries!$A:$A,HourlyTimeseries!$Q:$Q),"")</f>
        <v>0.73714286088943481</v>
      </c>
      <c r="BR72" s="51">
        <f>IFERROR(LOOKUP(BR$15,HourlyTimeseries!$A:$A,HourlyTimeseries!$Q:$Q),"")</f>
        <v>0.86971428564616615</v>
      </c>
      <c r="BS72" s="51">
        <f>IFERROR(LOOKUP(BS$15,HourlyTimeseries!$A:$A,HourlyTimeseries!$Q:$Q),"")</f>
        <v>1.2285714319774084</v>
      </c>
      <c r="BT72" s="51">
        <f>IFERROR(LOOKUP(BT$15,HourlyTimeseries!$A:$A,HourlyTimeseries!$Q:$Q),"")</f>
        <v>1.949428609439305</v>
      </c>
      <c r="BU72" s="51">
        <f>IFERROR(LOOKUP(BU$15,HourlyTimeseries!$A:$A,HourlyTimeseries!$Q:$Q),"")</f>
        <v>2.732428584780012</v>
      </c>
      <c r="BV72" s="51">
        <f>IFERROR(LOOKUP(BV$15,HourlyTimeseries!$A:$A,HourlyTimeseries!$Q:$Q),"")</f>
        <v>2.9708571093423024</v>
      </c>
      <c r="BW72" s="51">
        <f>IFERROR(LOOKUP(BW$15,HourlyTimeseries!$A:$A,HourlyTimeseries!$Q:$Q),"")</f>
        <v>2.9297142710004533</v>
      </c>
      <c r="BX72" s="60">
        <f>IFERROR(LOOKUP(BX$15,HourlyTimeseries!$A:$A,HourlyTimeseries!$Q:$Q),"")</f>
        <v>2.8045714242117747</v>
      </c>
      <c r="BY72" s="67">
        <f>IFERROR(LOOKUP(BY$15,HourlyTimeseries!$A:$A,HourlyTimeseries!$Q:$Q),"")</f>
        <v>2.707571404320853</v>
      </c>
      <c r="BZ72" s="51">
        <f>IFERROR(LOOKUP(BZ$15,HourlyTimeseries!$A:$A,HourlyTimeseries!$Q:$Q),"")</f>
        <v>2.6045714105878557</v>
      </c>
      <c r="CA72" s="51">
        <f>IFERROR(LOOKUP(CA$15,HourlyTimeseries!$A:$A,HourlyTimeseries!$Q:$Q),"")</f>
        <v>2.5119999476841519</v>
      </c>
      <c r="CB72" s="51">
        <f>IFERROR(LOOKUP(CB$15,HourlyTimeseries!$A:$A,HourlyTimeseries!$Q:$Q),"")</f>
        <v>2.3667143072400774</v>
      </c>
      <c r="CC72" s="51">
        <f>IFERROR(LOOKUP(CC$15,HourlyTimeseries!$A:$A,HourlyTimeseries!$Q:$Q),"")</f>
        <v>2.2025713920593262</v>
      </c>
      <c r="CD72" s="51">
        <f>IFERROR(LOOKUP(CD$15,HourlyTimeseries!$A:$A,HourlyTimeseries!$Q:$Q),"")</f>
        <v>2.0452857358115062</v>
      </c>
      <c r="CE72" s="51">
        <f>IFERROR(LOOKUP(CE$15,HourlyTimeseries!$A:$A,HourlyTimeseries!$Q:$Q),"")</f>
        <v>1.9314285516738892</v>
      </c>
      <c r="CF72" s="51">
        <f>IFERROR(LOOKUP(CF$15,HourlyTimeseries!$A:$A,HourlyTimeseries!$Q:$Q),"")</f>
        <v>1.8508571556636266</v>
      </c>
      <c r="CG72" s="51">
        <f>IFERROR(LOOKUP(CG$15,HourlyTimeseries!$A:$A,HourlyTimeseries!$Q:$Q),"")</f>
        <v>1.7464285748345512</v>
      </c>
      <c r="CH72" s="51">
        <f>IFERROR(LOOKUP(CH$15,HourlyTimeseries!$A:$A,HourlyTimeseries!$Q:$Q),"")</f>
        <v>1.6497142996106828</v>
      </c>
      <c r="CI72" s="51">
        <f>IFERROR(LOOKUP(CI$15,HourlyTimeseries!$A:$A,HourlyTimeseries!$Q:$Q),"")</f>
        <v>1.5668571165629797</v>
      </c>
      <c r="CJ72" s="51">
        <f>IFERROR(LOOKUP(CJ$15,HourlyTimeseries!$A:$A,HourlyTimeseries!$Q:$Q),"")</f>
        <v>1.4631428718566895</v>
      </c>
      <c r="CK72" s="51">
        <f>IFERROR(LOOKUP(CK$15,HourlyTimeseries!$A:$A,HourlyTimeseries!$Q:$Q),"")</f>
        <v>1.3304285662514823</v>
      </c>
      <c r="CL72" s="51">
        <f>IFERROR(LOOKUP(CL$15,HourlyTimeseries!$A:$A,HourlyTimeseries!$Q:$Q),"")</f>
        <v>1.1667142765862601</v>
      </c>
      <c r="CM72" s="51">
        <f>IFERROR(LOOKUP(CM$15,HourlyTimeseries!$A:$A,HourlyTimeseries!$Q:$Q),"")</f>
        <v>0.98814284801483154</v>
      </c>
      <c r="CN72" s="51">
        <f>IFERROR(LOOKUP(CN$15,HourlyTimeseries!$A:$A,HourlyTimeseries!$Q:$Q),"")</f>
        <v>0.82557142632348202</v>
      </c>
      <c r="CO72" s="51">
        <f>IFERROR(LOOKUP(CO$15,HourlyTimeseries!$A:$A,HourlyTimeseries!$Q:$Q),"")</f>
        <v>0.73714286088943481</v>
      </c>
      <c r="CP72" s="51">
        <f>IFERROR(LOOKUP(CP$15,HourlyTimeseries!$A:$A,HourlyTimeseries!$Q:$Q),"")</f>
        <v>0.86971428564616615</v>
      </c>
      <c r="CQ72" s="51">
        <f>IFERROR(LOOKUP(CQ$15,HourlyTimeseries!$A:$A,HourlyTimeseries!$Q:$Q),"")</f>
        <v>1.2285714319774084</v>
      </c>
      <c r="CR72" s="51">
        <f>IFERROR(LOOKUP(CR$15,HourlyTimeseries!$A:$A,HourlyTimeseries!$Q:$Q),"")</f>
        <v>1.949428609439305</v>
      </c>
      <c r="CS72" s="51">
        <f>IFERROR(LOOKUP(CS$15,HourlyTimeseries!$A:$A,HourlyTimeseries!$Q:$Q),"")</f>
        <v>2.732428584780012</v>
      </c>
      <c r="CT72" s="51">
        <f>IFERROR(LOOKUP(CT$15,HourlyTimeseries!$A:$A,HourlyTimeseries!$Q:$Q),"")</f>
        <v>2.9708571093423024</v>
      </c>
      <c r="CU72" s="51">
        <f>IFERROR(LOOKUP(CU$15,HourlyTimeseries!$A:$A,HourlyTimeseries!$Q:$Q),"")</f>
        <v>2.9297142710004533</v>
      </c>
      <c r="CV72" s="60">
        <f>IFERROR(LOOKUP(CV$15,HourlyTimeseries!$A:$A,HourlyTimeseries!$Q:$Q),"")</f>
        <v>2.8045714242117747</v>
      </c>
      <c r="CW72" s="67">
        <f>IFERROR(LOOKUP(CW$15,HourlyTimeseries!$A:$A,HourlyTimeseries!$Q:$Q),"")</f>
        <v>2.707571404320853</v>
      </c>
      <c r="CX72" s="51">
        <f>IFERROR(LOOKUP(CX$15,HourlyTimeseries!$A:$A,HourlyTimeseries!$Q:$Q),"")</f>
        <v>2.6045714105878557</v>
      </c>
      <c r="CY72" s="51">
        <f>IFERROR(LOOKUP(CY$15,HourlyTimeseries!$A:$A,HourlyTimeseries!$Q:$Q),"")</f>
        <v>2.5119999476841519</v>
      </c>
      <c r="CZ72" s="51">
        <f>IFERROR(LOOKUP(CZ$15,HourlyTimeseries!$A:$A,HourlyTimeseries!$Q:$Q),"")</f>
        <v>2.3667143072400774</v>
      </c>
      <c r="DA72" s="51">
        <f>IFERROR(LOOKUP(DA$15,HourlyTimeseries!$A:$A,HourlyTimeseries!$Q:$Q),"")</f>
        <v>2.2025713920593262</v>
      </c>
      <c r="DB72" s="51">
        <f>IFERROR(LOOKUP(DB$15,HourlyTimeseries!$A:$A,HourlyTimeseries!$Q:$Q),"")</f>
        <v>2.0452857358115062</v>
      </c>
      <c r="DC72" s="51">
        <f>IFERROR(LOOKUP(DC$15,HourlyTimeseries!$A:$A,HourlyTimeseries!$Q:$Q),"")</f>
        <v>1.9314285516738892</v>
      </c>
      <c r="DD72" s="51">
        <f>IFERROR(LOOKUP(DD$15,HourlyTimeseries!$A:$A,HourlyTimeseries!$Q:$Q),"")</f>
        <v>1.8508571556636266</v>
      </c>
      <c r="DE72" s="51">
        <f>IFERROR(LOOKUP(DE$15,HourlyTimeseries!$A:$A,HourlyTimeseries!$Q:$Q),"")</f>
        <v>1.7464285748345512</v>
      </c>
      <c r="DF72" s="51">
        <f>IFERROR(LOOKUP(DF$15,HourlyTimeseries!$A:$A,HourlyTimeseries!$Q:$Q),"")</f>
        <v>1.6497142996106828</v>
      </c>
      <c r="DG72" s="51">
        <f>IFERROR(LOOKUP(DG$15,HourlyTimeseries!$A:$A,HourlyTimeseries!$Q:$Q),"")</f>
        <v>1.5668571165629797</v>
      </c>
      <c r="DH72" s="51">
        <f>IFERROR(LOOKUP(DH$15,HourlyTimeseries!$A:$A,HourlyTimeseries!$Q:$Q),"")</f>
        <v>1.4631428718566895</v>
      </c>
      <c r="DI72" s="51">
        <f>IFERROR(LOOKUP(DI$15,HourlyTimeseries!$A:$A,HourlyTimeseries!$Q:$Q),"")</f>
        <v>1.3304285662514823</v>
      </c>
      <c r="DJ72" s="51">
        <f>IFERROR(LOOKUP(DJ$15,HourlyTimeseries!$A:$A,HourlyTimeseries!$Q:$Q),"")</f>
        <v>1.1667142765862601</v>
      </c>
      <c r="DK72" s="51">
        <f>IFERROR(LOOKUP(DK$15,HourlyTimeseries!$A:$A,HourlyTimeseries!$Q:$Q),"")</f>
        <v>0.98814284801483154</v>
      </c>
      <c r="DL72" s="51">
        <f>IFERROR(LOOKUP(DL$15,HourlyTimeseries!$A:$A,HourlyTimeseries!$Q:$Q),"")</f>
        <v>0.82557142632348202</v>
      </c>
      <c r="DM72" s="51">
        <f>IFERROR(LOOKUP(DM$15,HourlyTimeseries!$A:$A,HourlyTimeseries!$Q:$Q),"")</f>
        <v>0.73714286088943481</v>
      </c>
      <c r="DN72" s="51">
        <f>IFERROR(LOOKUP(DN$15,HourlyTimeseries!$A:$A,HourlyTimeseries!$Q:$Q),"")</f>
        <v>0.86971428564616615</v>
      </c>
      <c r="DO72" s="51">
        <f>IFERROR(LOOKUP(DO$15,HourlyTimeseries!$A:$A,HourlyTimeseries!$Q:$Q),"")</f>
        <v>1.2285714319774084</v>
      </c>
      <c r="DP72" s="51">
        <f>IFERROR(LOOKUP(DP$15,HourlyTimeseries!$A:$A,HourlyTimeseries!$Q:$Q),"")</f>
        <v>1.949428609439305</v>
      </c>
      <c r="DQ72" s="51">
        <f>IFERROR(LOOKUP(DQ$15,HourlyTimeseries!$A:$A,HourlyTimeseries!$Q:$Q),"")</f>
        <v>2.732428584780012</v>
      </c>
      <c r="DR72" s="51">
        <f>IFERROR(LOOKUP(DR$15,HourlyTimeseries!$A:$A,HourlyTimeseries!$Q:$Q),"")</f>
        <v>2.9708571093423024</v>
      </c>
      <c r="DS72" s="51">
        <f>IFERROR(LOOKUP(DS$15,HourlyTimeseries!$A:$A,HourlyTimeseries!$Q:$Q),"")</f>
        <v>2.9297142710004533</v>
      </c>
      <c r="DT72" s="60">
        <f>IFERROR(LOOKUP(DT$15,HourlyTimeseries!$A:$A,HourlyTimeseries!$Q:$Q),"")</f>
        <v>2.8045714242117747</v>
      </c>
      <c r="DU72" s="67">
        <f>IFERROR(LOOKUP(DU$15,HourlyTimeseries!$A:$A,HourlyTimeseries!$Q:$Q),"")</f>
        <v>2.707571404320853</v>
      </c>
      <c r="DV72" s="51">
        <f>IFERROR(LOOKUP(DV$15,HourlyTimeseries!$A:$A,HourlyTimeseries!$Q:$Q),"")</f>
        <v>2.6045714105878557</v>
      </c>
      <c r="DW72" s="51">
        <f>IFERROR(LOOKUP(DW$15,HourlyTimeseries!$A:$A,HourlyTimeseries!$Q:$Q),"")</f>
        <v>2.5119999476841519</v>
      </c>
      <c r="DX72" s="51">
        <f>IFERROR(LOOKUP(DX$15,HourlyTimeseries!$A:$A,HourlyTimeseries!$Q:$Q),"")</f>
        <v>2.3667143072400774</v>
      </c>
      <c r="DY72" s="51">
        <f>IFERROR(LOOKUP(DY$15,HourlyTimeseries!$A:$A,HourlyTimeseries!$Q:$Q),"")</f>
        <v>2.2025713920593262</v>
      </c>
      <c r="DZ72" s="51">
        <f>IFERROR(LOOKUP(DZ$15,HourlyTimeseries!$A:$A,HourlyTimeseries!$Q:$Q),"")</f>
        <v>2.0452857358115062</v>
      </c>
      <c r="EA72" s="51">
        <f>IFERROR(LOOKUP(EA$15,HourlyTimeseries!$A:$A,HourlyTimeseries!$Q:$Q),"")</f>
        <v>1.9314285516738892</v>
      </c>
      <c r="EB72" s="51">
        <f>IFERROR(LOOKUP(EB$15,HourlyTimeseries!$A:$A,HourlyTimeseries!$Q:$Q),"")</f>
        <v>1.8508571556636266</v>
      </c>
      <c r="EC72" s="51">
        <f>IFERROR(LOOKUP(EC$15,HourlyTimeseries!$A:$A,HourlyTimeseries!$Q:$Q),"")</f>
        <v>1.7464285748345512</v>
      </c>
      <c r="ED72" s="51">
        <f>IFERROR(LOOKUP(ED$15,HourlyTimeseries!$A:$A,HourlyTimeseries!$Q:$Q),"")</f>
        <v>1.6497142996106828</v>
      </c>
      <c r="EE72" s="51">
        <f>IFERROR(LOOKUP(EE$15,HourlyTimeseries!$A:$A,HourlyTimeseries!$Q:$Q),"")</f>
        <v>1.5668571165629797</v>
      </c>
      <c r="EF72" s="51">
        <f>IFERROR(LOOKUP(EF$15,HourlyTimeseries!$A:$A,HourlyTimeseries!$Q:$Q),"")</f>
        <v>1.4631428718566895</v>
      </c>
      <c r="EG72" s="51">
        <f>IFERROR(LOOKUP(EG$15,HourlyTimeseries!$A:$A,HourlyTimeseries!$Q:$Q),"")</f>
        <v>1.3304285662514823</v>
      </c>
      <c r="EH72" s="51">
        <f>IFERROR(LOOKUP(EH$15,HourlyTimeseries!$A:$A,HourlyTimeseries!$Q:$Q),"")</f>
        <v>1.1667142765862601</v>
      </c>
      <c r="EI72" s="51">
        <f>IFERROR(LOOKUP(EI$15,HourlyTimeseries!$A:$A,HourlyTimeseries!$Q:$Q),"")</f>
        <v>0.98814284801483154</v>
      </c>
      <c r="EJ72" s="51">
        <f>IFERROR(LOOKUP(EJ$15,HourlyTimeseries!$A:$A,HourlyTimeseries!$Q:$Q),"")</f>
        <v>0.82557142632348202</v>
      </c>
      <c r="EK72" s="51">
        <f>IFERROR(LOOKUP(EK$15,HourlyTimeseries!$A:$A,HourlyTimeseries!$Q:$Q),"")</f>
        <v>0.73714286088943481</v>
      </c>
      <c r="EL72" s="51">
        <f>IFERROR(LOOKUP(EL$15,HourlyTimeseries!$A:$A,HourlyTimeseries!$Q:$Q),"")</f>
        <v>0.86971428564616615</v>
      </c>
      <c r="EM72" s="51">
        <f>IFERROR(LOOKUP(EM$15,HourlyTimeseries!$A:$A,HourlyTimeseries!$Q:$Q),"")</f>
        <v>1.2285714319774084</v>
      </c>
      <c r="EN72" s="51">
        <f>IFERROR(LOOKUP(EN$15,HourlyTimeseries!$A:$A,HourlyTimeseries!$Q:$Q),"")</f>
        <v>1.949428609439305</v>
      </c>
      <c r="EO72" s="51">
        <f>IFERROR(LOOKUP(EO$15,HourlyTimeseries!$A:$A,HourlyTimeseries!$Q:$Q),"")</f>
        <v>2.732428584780012</v>
      </c>
      <c r="EP72" s="51">
        <f>IFERROR(LOOKUP(EP$15,HourlyTimeseries!$A:$A,HourlyTimeseries!$Q:$Q),"")</f>
        <v>2.9708571093423024</v>
      </c>
      <c r="EQ72" s="51">
        <f>IFERROR(LOOKUP(EQ$15,HourlyTimeseries!$A:$A,HourlyTimeseries!$Q:$Q),"")</f>
        <v>2.9297142710004533</v>
      </c>
      <c r="ER72" s="60">
        <f>IFERROR(LOOKUP(ER$15,HourlyTimeseries!$A:$A,HourlyTimeseries!$Q:$Q),"")</f>
        <v>2.8045714242117747</v>
      </c>
      <c r="ES72" s="67">
        <f>IFERROR(LOOKUP(ES$15,HourlyTimeseries!$A:$A,HourlyTimeseries!$Q:$Q),"")</f>
        <v>2.707571404320853</v>
      </c>
      <c r="ET72" s="51">
        <f>IFERROR(LOOKUP(ET$15,HourlyTimeseries!$A:$A,HourlyTimeseries!$Q:$Q),"")</f>
        <v>2.6045714105878557</v>
      </c>
      <c r="EU72" s="51">
        <f>IFERROR(LOOKUP(EU$15,HourlyTimeseries!$A:$A,HourlyTimeseries!$Q:$Q),"")</f>
        <v>2.5119999476841519</v>
      </c>
      <c r="EV72" s="51">
        <f>IFERROR(LOOKUP(EV$15,HourlyTimeseries!$A:$A,HourlyTimeseries!$Q:$Q),"")</f>
        <v>2.3667143072400774</v>
      </c>
      <c r="EW72" s="51">
        <f>IFERROR(LOOKUP(EW$15,HourlyTimeseries!$A:$A,HourlyTimeseries!$Q:$Q),"")</f>
        <v>2.2025713920593262</v>
      </c>
      <c r="EX72" s="51">
        <f>IFERROR(LOOKUP(EX$15,HourlyTimeseries!$A:$A,HourlyTimeseries!$Q:$Q),"")</f>
        <v>2.0452857358115062</v>
      </c>
      <c r="EY72" s="51">
        <f>IFERROR(LOOKUP(EY$15,HourlyTimeseries!$A:$A,HourlyTimeseries!$Q:$Q),"")</f>
        <v>1.9314285516738892</v>
      </c>
      <c r="EZ72" s="51">
        <f>IFERROR(LOOKUP(EZ$15,HourlyTimeseries!$A:$A,HourlyTimeseries!$Q:$Q),"")</f>
        <v>1.8508571556636266</v>
      </c>
      <c r="FA72" s="51">
        <f>IFERROR(LOOKUP(FA$15,HourlyTimeseries!$A:$A,HourlyTimeseries!$Q:$Q),"")</f>
        <v>1.7464285748345512</v>
      </c>
      <c r="FB72" s="51">
        <f>IFERROR(LOOKUP(FB$15,HourlyTimeseries!$A:$A,HourlyTimeseries!$Q:$Q),"")</f>
        <v>1.6497142996106828</v>
      </c>
      <c r="FC72" s="51">
        <f>IFERROR(LOOKUP(FC$15,HourlyTimeseries!$A:$A,HourlyTimeseries!$Q:$Q),"")</f>
        <v>1.5668571165629797</v>
      </c>
      <c r="FD72" s="51">
        <f>IFERROR(LOOKUP(FD$15,HourlyTimeseries!$A:$A,HourlyTimeseries!$Q:$Q),"")</f>
        <v>1.4631428718566895</v>
      </c>
      <c r="FE72" s="51">
        <f>IFERROR(LOOKUP(FE$15,HourlyTimeseries!$A:$A,HourlyTimeseries!$Q:$Q),"")</f>
        <v>1.3304285662514823</v>
      </c>
      <c r="FF72" s="51">
        <f>IFERROR(LOOKUP(FF$15,HourlyTimeseries!$A:$A,HourlyTimeseries!$Q:$Q),"")</f>
        <v>1.1667142765862601</v>
      </c>
      <c r="FG72" s="51">
        <f>IFERROR(LOOKUP(FG$15,HourlyTimeseries!$A:$A,HourlyTimeseries!$Q:$Q),"")</f>
        <v>0.98814284801483154</v>
      </c>
      <c r="FH72" s="51">
        <f>IFERROR(LOOKUP(FH$15,HourlyTimeseries!$A:$A,HourlyTimeseries!$Q:$Q),"")</f>
        <v>0.82557142632348202</v>
      </c>
      <c r="FI72" s="51">
        <f>IFERROR(LOOKUP(FI$15,HourlyTimeseries!$A:$A,HourlyTimeseries!$Q:$Q),"")</f>
        <v>0.73714286088943481</v>
      </c>
      <c r="FJ72" s="51">
        <f>IFERROR(LOOKUP(FJ$15,HourlyTimeseries!$A:$A,HourlyTimeseries!$Q:$Q),"")</f>
        <v>0.86971428564616615</v>
      </c>
      <c r="FK72" s="51">
        <f>IFERROR(LOOKUP(FK$15,HourlyTimeseries!$A:$A,HourlyTimeseries!$Q:$Q),"")</f>
        <v>1.2285714319774084</v>
      </c>
      <c r="FL72" s="51">
        <f>IFERROR(LOOKUP(FL$15,HourlyTimeseries!$A:$A,HourlyTimeseries!$Q:$Q),"")</f>
        <v>1.949428609439305</v>
      </c>
      <c r="FM72" s="51">
        <f>IFERROR(LOOKUP(FM$15,HourlyTimeseries!$A:$A,HourlyTimeseries!$Q:$Q),"")</f>
        <v>2.732428584780012</v>
      </c>
      <c r="FN72" s="51">
        <f>IFERROR(LOOKUP(FN$15,HourlyTimeseries!$A:$A,HourlyTimeseries!$Q:$Q),"")</f>
        <v>2.9708571093423024</v>
      </c>
      <c r="FO72" s="51">
        <f>IFERROR(LOOKUP(FO$15,HourlyTimeseries!$A:$A,HourlyTimeseries!$Q:$Q),"")</f>
        <v>2.9297142710004533</v>
      </c>
      <c r="FP72" s="60">
        <f>IFERROR(LOOKUP(FP$15,HourlyTimeseries!$A:$A,HourlyTimeseries!$Q:$Q),"")</f>
        <v>2.8045714242117747</v>
      </c>
    </row>
    <row r="73" spans="1:172" ht="19" thickBot="1">
      <c r="A73" s="15"/>
      <c r="B73" s="3"/>
      <c r="C73" s="3"/>
      <c r="D73" s="3"/>
      <c r="E73" s="3" t="s">
        <v>365</v>
      </c>
      <c r="F73" s="3" t="s">
        <v>366</v>
      </c>
      <c r="G73" s="3" t="s">
        <v>367</v>
      </c>
      <c r="H73" s="3" t="s">
        <v>368</v>
      </c>
      <c r="I73" s="3" t="s">
        <v>369</v>
      </c>
      <c r="J73" s="3" t="s">
        <v>370</v>
      </c>
      <c r="K73" s="3" t="s">
        <v>371</v>
      </c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69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69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69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69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69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69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</row>
    <row r="74" spans="1:172" ht="16" thickTop="1">
      <c r="A74" s="15" t="s">
        <v>38</v>
      </c>
      <c r="B74" s="2" t="s">
        <v>169</v>
      </c>
      <c r="C74" s="42" t="s">
        <v>135</v>
      </c>
      <c r="D74" s="54"/>
      <c r="E74" s="51">
        <f>IFERROR(LOOKUP(E$17,DailyTimeseries!$A:$A,DailyTimeseries!$D:$D),"")</f>
        <v>15.5</v>
      </c>
      <c r="F74" s="51">
        <f>IFERROR(LOOKUP(F$17,DailyTimeseries!$A:$A,DailyTimeseries!$D:$D),"")</f>
        <v>15.5</v>
      </c>
      <c r="G74" s="51">
        <f>IFERROR(LOOKUP(G$17,DailyTimeseries!$A:$A,DailyTimeseries!$D:$D),"")</f>
        <v>15.5</v>
      </c>
      <c r="H74" s="51">
        <f>IFERROR(LOOKUP(H$17,DailyTimeseries!$A:$A,DailyTimeseries!$D:$D),"")</f>
        <v>15.5</v>
      </c>
      <c r="I74" s="51">
        <f>IFERROR(LOOKUP(I$17,DailyTimeseries!$A:$A,DailyTimeseries!$D:$D),"")</f>
        <v>15.5</v>
      </c>
      <c r="J74" s="51">
        <f>IFERROR(LOOKUP(J$17,DailyTimeseries!$A:$A,DailyTimeseries!$D:$D),"")</f>
        <v>15.5</v>
      </c>
      <c r="K74" s="51">
        <f>IFERROR(LOOKUP(K$17,DailyTimeseries!$A:$A,DailyTimeseries!$D:$D),"")</f>
        <v>15.5</v>
      </c>
    </row>
    <row r="75" spans="1:172">
      <c r="A75" s="15" t="s">
        <v>39</v>
      </c>
      <c r="B75" s="2" t="s">
        <v>4</v>
      </c>
      <c r="C75" s="8" t="s">
        <v>136</v>
      </c>
      <c r="D75" s="55"/>
      <c r="E75" s="53">
        <f t="shared" ref="E75:K75" si="8">SUMIFS($E$72:$FP$72,$E$16:$FP$16,E18)/24</f>
        <v>1.8825178525987123</v>
      </c>
      <c r="F75" s="53">
        <f t="shared" si="8"/>
        <v>1.8825178525987123</v>
      </c>
      <c r="G75" s="53">
        <f t="shared" si="8"/>
        <v>1.8825178525987123</v>
      </c>
      <c r="H75" s="53">
        <f t="shared" si="8"/>
        <v>1.8825178525987123</v>
      </c>
      <c r="I75" s="53">
        <f t="shared" si="8"/>
        <v>1.8825178525987123</v>
      </c>
      <c r="J75" s="53">
        <f t="shared" si="8"/>
        <v>1.8825178525987123</v>
      </c>
      <c r="K75" s="53">
        <f t="shared" si="8"/>
        <v>1.8825178525987123</v>
      </c>
    </row>
    <row r="77" spans="1:172" ht="21" thickBot="1">
      <c r="A77" s="1" t="s">
        <v>86</v>
      </c>
      <c r="B77" s="7" t="s">
        <v>32</v>
      </c>
      <c r="C77" s="3" t="s">
        <v>132</v>
      </c>
      <c r="D77" s="7"/>
      <c r="E77" s="3" t="s">
        <v>7</v>
      </c>
      <c r="F77" s="3" t="s">
        <v>8</v>
      </c>
      <c r="G77" s="3" t="s">
        <v>9</v>
      </c>
      <c r="H77" s="3" t="s">
        <v>10</v>
      </c>
      <c r="I77" s="3" t="s">
        <v>11</v>
      </c>
      <c r="J77" s="3" t="s">
        <v>12</v>
      </c>
      <c r="K77" s="3" t="s">
        <v>13</v>
      </c>
      <c r="L77" s="3" t="s">
        <v>14</v>
      </c>
      <c r="M77" s="3" t="s">
        <v>15</v>
      </c>
      <c r="N77" s="3" t="s">
        <v>16</v>
      </c>
      <c r="O77" s="3" t="s">
        <v>17</v>
      </c>
      <c r="P77" s="3" t="s">
        <v>18</v>
      </c>
      <c r="Q77" s="3" t="s">
        <v>19</v>
      </c>
      <c r="R77" s="3" t="s">
        <v>20</v>
      </c>
      <c r="S77" s="3" t="s">
        <v>21</v>
      </c>
      <c r="T77" s="3" t="s">
        <v>22</v>
      </c>
      <c r="U77" s="3" t="s">
        <v>23</v>
      </c>
      <c r="V77" s="3" t="s">
        <v>24</v>
      </c>
      <c r="W77" s="3" t="s">
        <v>25</v>
      </c>
      <c r="X77" s="3" t="s">
        <v>26</v>
      </c>
      <c r="Y77" s="3" t="s">
        <v>27</v>
      </c>
      <c r="Z77" s="3" t="s">
        <v>28</v>
      </c>
      <c r="AA77" s="3" t="s">
        <v>29</v>
      </c>
      <c r="AB77" s="3" t="s">
        <v>30</v>
      </c>
      <c r="AC77" s="65" t="s">
        <v>221</v>
      </c>
      <c r="AD77" s="3" t="s">
        <v>222</v>
      </c>
      <c r="AE77" s="3" t="s">
        <v>223</v>
      </c>
      <c r="AF77" s="3" t="s">
        <v>224</v>
      </c>
      <c r="AG77" s="3" t="s">
        <v>225</v>
      </c>
      <c r="AH77" s="3" t="s">
        <v>226</v>
      </c>
      <c r="AI77" s="3" t="s">
        <v>227</v>
      </c>
      <c r="AJ77" s="3" t="s">
        <v>228</v>
      </c>
      <c r="AK77" s="3" t="s">
        <v>229</v>
      </c>
      <c r="AL77" s="3" t="s">
        <v>230</v>
      </c>
      <c r="AM77" s="3" t="s">
        <v>231</v>
      </c>
      <c r="AN77" s="3" t="s">
        <v>232</v>
      </c>
      <c r="AO77" s="3" t="s">
        <v>233</v>
      </c>
      <c r="AP77" s="3" t="s">
        <v>234</v>
      </c>
      <c r="AQ77" s="3" t="s">
        <v>235</v>
      </c>
      <c r="AR77" s="3" t="s">
        <v>236</v>
      </c>
      <c r="AS77" s="3" t="s">
        <v>237</v>
      </c>
      <c r="AT77" s="3" t="s">
        <v>238</v>
      </c>
      <c r="AU77" s="3" t="s">
        <v>239</v>
      </c>
      <c r="AV77" s="3" t="s">
        <v>240</v>
      </c>
      <c r="AW77" s="3" t="s">
        <v>241</v>
      </c>
      <c r="AX77" s="3" t="s">
        <v>242</v>
      </c>
      <c r="AY77" s="3" t="s">
        <v>243</v>
      </c>
      <c r="AZ77" s="3" t="s">
        <v>244</v>
      </c>
      <c r="BA77" s="65" t="s">
        <v>245</v>
      </c>
      <c r="BB77" s="3" t="s">
        <v>246</v>
      </c>
      <c r="BC77" s="3" t="s">
        <v>247</v>
      </c>
      <c r="BD77" s="3" t="s">
        <v>248</v>
      </c>
      <c r="BE77" s="3" t="s">
        <v>249</v>
      </c>
      <c r="BF77" s="3" t="s">
        <v>250</v>
      </c>
      <c r="BG77" s="3" t="s">
        <v>251</v>
      </c>
      <c r="BH77" s="3" t="s">
        <v>252</v>
      </c>
      <c r="BI77" s="3" t="s">
        <v>253</v>
      </c>
      <c r="BJ77" s="3" t="s">
        <v>254</v>
      </c>
      <c r="BK77" s="3" t="s">
        <v>255</v>
      </c>
      <c r="BL77" s="3" t="s">
        <v>256</v>
      </c>
      <c r="BM77" s="3" t="s">
        <v>257</v>
      </c>
      <c r="BN77" s="3" t="s">
        <v>258</v>
      </c>
      <c r="BO77" s="3" t="s">
        <v>259</v>
      </c>
      <c r="BP77" s="3" t="s">
        <v>260</v>
      </c>
      <c r="BQ77" s="3" t="s">
        <v>261</v>
      </c>
      <c r="BR77" s="3" t="s">
        <v>262</v>
      </c>
      <c r="BS77" s="3" t="s">
        <v>263</v>
      </c>
      <c r="BT77" s="3" t="s">
        <v>264</v>
      </c>
      <c r="BU77" s="3" t="s">
        <v>265</v>
      </c>
      <c r="BV77" s="3" t="s">
        <v>266</v>
      </c>
      <c r="BW77" s="3" t="s">
        <v>267</v>
      </c>
      <c r="BX77" s="3" t="s">
        <v>268</v>
      </c>
      <c r="BY77" s="65" t="s">
        <v>269</v>
      </c>
      <c r="BZ77" s="3" t="s">
        <v>270</v>
      </c>
      <c r="CA77" s="3" t="s">
        <v>271</v>
      </c>
      <c r="CB77" s="3" t="s">
        <v>272</v>
      </c>
      <c r="CC77" s="3" t="s">
        <v>273</v>
      </c>
      <c r="CD77" s="3" t="s">
        <v>274</v>
      </c>
      <c r="CE77" s="3" t="s">
        <v>275</v>
      </c>
      <c r="CF77" s="3" t="s">
        <v>276</v>
      </c>
      <c r="CG77" s="3" t="s">
        <v>277</v>
      </c>
      <c r="CH77" s="3" t="s">
        <v>278</v>
      </c>
      <c r="CI77" s="3" t="s">
        <v>279</v>
      </c>
      <c r="CJ77" s="3" t="s">
        <v>280</v>
      </c>
      <c r="CK77" s="3" t="s">
        <v>281</v>
      </c>
      <c r="CL77" s="3" t="s">
        <v>282</v>
      </c>
      <c r="CM77" s="3" t="s">
        <v>283</v>
      </c>
      <c r="CN77" s="3" t="s">
        <v>284</v>
      </c>
      <c r="CO77" s="3" t="s">
        <v>285</v>
      </c>
      <c r="CP77" s="3" t="s">
        <v>286</v>
      </c>
      <c r="CQ77" s="3" t="s">
        <v>287</v>
      </c>
      <c r="CR77" s="3" t="s">
        <v>288</v>
      </c>
      <c r="CS77" s="3" t="s">
        <v>289</v>
      </c>
      <c r="CT77" s="3" t="s">
        <v>290</v>
      </c>
      <c r="CU77" s="3" t="s">
        <v>291</v>
      </c>
      <c r="CV77" s="3" t="s">
        <v>292</v>
      </c>
      <c r="CW77" s="65" t="s">
        <v>293</v>
      </c>
      <c r="CX77" s="3" t="s">
        <v>294</v>
      </c>
      <c r="CY77" s="3" t="s">
        <v>295</v>
      </c>
      <c r="CZ77" s="3" t="s">
        <v>296</v>
      </c>
      <c r="DA77" s="3" t="s">
        <v>297</v>
      </c>
      <c r="DB77" s="3" t="s">
        <v>298</v>
      </c>
      <c r="DC77" s="3" t="s">
        <v>299</v>
      </c>
      <c r="DD77" s="3" t="s">
        <v>300</v>
      </c>
      <c r="DE77" s="3" t="s">
        <v>301</v>
      </c>
      <c r="DF77" s="3" t="s">
        <v>302</v>
      </c>
      <c r="DG77" s="3" t="s">
        <v>303</v>
      </c>
      <c r="DH77" s="3" t="s">
        <v>304</v>
      </c>
      <c r="DI77" s="3" t="s">
        <v>305</v>
      </c>
      <c r="DJ77" s="3" t="s">
        <v>306</v>
      </c>
      <c r="DK77" s="3" t="s">
        <v>307</v>
      </c>
      <c r="DL77" s="3" t="s">
        <v>308</v>
      </c>
      <c r="DM77" s="3" t="s">
        <v>309</v>
      </c>
      <c r="DN77" s="3" t="s">
        <v>310</v>
      </c>
      <c r="DO77" s="3" t="s">
        <v>311</v>
      </c>
      <c r="DP77" s="3" t="s">
        <v>312</v>
      </c>
      <c r="DQ77" s="3" t="s">
        <v>313</v>
      </c>
      <c r="DR77" s="3" t="s">
        <v>314</v>
      </c>
      <c r="DS77" s="3" t="s">
        <v>315</v>
      </c>
      <c r="DT77" s="3" t="s">
        <v>316</v>
      </c>
      <c r="DU77" s="65" t="s">
        <v>317</v>
      </c>
      <c r="DV77" s="3" t="s">
        <v>318</v>
      </c>
      <c r="DW77" s="3" t="s">
        <v>319</v>
      </c>
      <c r="DX77" s="3" t="s">
        <v>320</v>
      </c>
      <c r="DY77" s="3" t="s">
        <v>321</v>
      </c>
      <c r="DZ77" s="3" t="s">
        <v>322</v>
      </c>
      <c r="EA77" s="3" t="s">
        <v>323</v>
      </c>
      <c r="EB77" s="3" t="s">
        <v>324</v>
      </c>
      <c r="EC77" s="3" t="s">
        <v>325</v>
      </c>
      <c r="ED77" s="3" t="s">
        <v>326</v>
      </c>
      <c r="EE77" s="3" t="s">
        <v>327</v>
      </c>
      <c r="EF77" s="3" t="s">
        <v>328</v>
      </c>
      <c r="EG77" s="3" t="s">
        <v>329</v>
      </c>
      <c r="EH77" s="3" t="s">
        <v>330</v>
      </c>
      <c r="EI77" s="3" t="s">
        <v>331</v>
      </c>
      <c r="EJ77" s="3" t="s">
        <v>332</v>
      </c>
      <c r="EK77" s="3" t="s">
        <v>333</v>
      </c>
      <c r="EL77" s="3" t="s">
        <v>334</v>
      </c>
      <c r="EM77" s="3" t="s">
        <v>335</v>
      </c>
      <c r="EN77" s="3" t="s">
        <v>336</v>
      </c>
      <c r="EO77" s="3" t="s">
        <v>337</v>
      </c>
      <c r="EP77" s="3" t="s">
        <v>338</v>
      </c>
      <c r="EQ77" s="3" t="s">
        <v>339</v>
      </c>
      <c r="ER77" s="3" t="s">
        <v>340</v>
      </c>
      <c r="ES77" s="65" t="s">
        <v>341</v>
      </c>
      <c r="ET77" s="3" t="s">
        <v>342</v>
      </c>
      <c r="EU77" s="3" t="s">
        <v>343</v>
      </c>
      <c r="EV77" s="3" t="s">
        <v>344</v>
      </c>
      <c r="EW77" s="3" t="s">
        <v>345</v>
      </c>
      <c r="EX77" s="3" t="s">
        <v>346</v>
      </c>
      <c r="EY77" s="3" t="s">
        <v>347</v>
      </c>
      <c r="EZ77" s="3" t="s">
        <v>348</v>
      </c>
      <c r="FA77" s="3" t="s">
        <v>349</v>
      </c>
      <c r="FB77" s="3" t="s">
        <v>350</v>
      </c>
      <c r="FC77" s="3" t="s">
        <v>351</v>
      </c>
      <c r="FD77" s="3" t="s">
        <v>352</v>
      </c>
      <c r="FE77" s="3" t="s">
        <v>353</v>
      </c>
      <c r="FF77" s="3" t="s">
        <v>354</v>
      </c>
      <c r="FG77" s="3" t="s">
        <v>355</v>
      </c>
      <c r="FH77" s="3" t="s">
        <v>356</v>
      </c>
      <c r="FI77" s="3" t="s">
        <v>357</v>
      </c>
      <c r="FJ77" s="3" t="s">
        <v>358</v>
      </c>
      <c r="FK77" s="3" t="s">
        <v>359</v>
      </c>
      <c r="FL77" s="3" t="s">
        <v>360</v>
      </c>
      <c r="FM77" s="3" t="s">
        <v>361</v>
      </c>
      <c r="FN77" s="3" t="s">
        <v>362</v>
      </c>
      <c r="FO77" s="3" t="s">
        <v>363</v>
      </c>
      <c r="FP77" s="3" t="s">
        <v>364</v>
      </c>
    </row>
    <row r="78" spans="1:172" ht="16" thickTop="1">
      <c r="A78" t="s">
        <v>87</v>
      </c>
      <c r="B78" s="2" t="s">
        <v>89</v>
      </c>
      <c r="C78" s="8" t="s">
        <v>133</v>
      </c>
      <c r="D78" s="44"/>
      <c r="E78" s="51">
        <f>IFERROR(LOOKUP(E$15,HourlyTimeseries!$A:$A,HourlyTimeseries!$R:$R),"")</f>
        <v>10</v>
      </c>
      <c r="F78" s="51">
        <f>IFERROR(LOOKUP(F$15,HourlyTimeseries!$A:$A,HourlyTimeseries!$R:$R),"")</f>
        <v>10</v>
      </c>
      <c r="G78" s="51">
        <f>IFERROR(LOOKUP(G$15,HourlyTimeseries!$A:$A,HourlyTimeseries!$R:$R),"")</f>
        <v>10</v>
      </c>
      <c r="H78" s="51">
        <f>IFERROR(LOOKUP(H$15,HourlyTimeseries!$A:$A,HourlyTimeseries!$R:$R),"")</f>
        <v>10</v>
      </c>
      <c r="I78" s="51">
        <f>IFERROR(LOOKUP(I$15,HourlyTimeseries!$A:$A,HourlyTimeseries!$R:$R),"")</f>
        <v>10</v>
      </c>
      <c r="J78" s="51">
        <f>IFERROR(LOOKUP(J$15,HourlyTimeseries!$A:$A,HourlyTimeseries!$R:$R),"")</f>
        <v>10</v>
      </c>
      <c r="K78" s="51">
        <f>IFERROR(LOOKUP(K$15,HourlyTimeseries!$A:$A,HourlyTimeseries!$R:$R),"")</f>
        <v>10</v>
      </c>
      <c r="L78" s="51">
        <f>IFERROR(LOOKUP(L$15,HourlyTimeseries!$A:$A,HourlyTimeseries!$R:$R),"")</f>
        <v>10</v>
      </c>
      <c r="M78" s="51">
        <f>IFERROR(LOOKUP(M$15,HourlyTimeseries!$A:$A,HourlyTimeseries!$R:$R),"")</f>
        <v>10</v>
      </c>
      <c r="N78" s="51">
        <f>IFERROR(LOOKUP(N$15,HourlyTimeseries!$A:$A,HourlyTimeseries!$R:$R),"")</f>
        <v>10</v>
      </c>
      <c r="O78" s="51">
        <f>IFERROR(LOOKUP(O$15,HourlyTimeseries!$A:$A,HourlyTimeseries!$R:$R),"")</f>
        <v>10</v>
      </c>
      <c r="P78" s="51">
        <f>IFERROR(LOOKUP(P$15,HourlyTimeseries!$A:$A,HourlyTimeseries!$R:$R),"")</f>
        <v>10</v>
      </c>
      <c r="Q78" s="51">
        <f>IFERROR(LOOKUP(Q$15,HourlyTimeseries!$A:$A,HourlyTimeseries!$R:$R),"")</f>
        <v>10</v>
      </c>
      <c r="R78" s="51">
        <f>IFERROR(LOOKUP(R$15,HourlyTimeseries!$A:$A,HourlyTimeseries!$R:$R),"")</f>
        <v>10</v>
      </c>
      <c r="S78" s="51">
        <f>IFERROR(LOOKUP(S$15,HourlyTimeseries!$A:$A,HourlyTimeseries!$R:$R),"")</f>
        <v>10</v>
      </c>
      <c r="T78" s="51">
        <f>IFERROR(LOOKUP(T$15,HourlyTimeseries!$A:$A,HourlyTimeseries!$R:$R),"")</f>
        <v>10</v>
      </c>
      <c r="U78" s="51">
        <f>IFERROR(LOOKUP(U$15,HourlyTimeseries!$A:$A,HourlyTimeseries!$R:$R),"")</f>
        <v>10</v>
      </c>
      <c r="V78" s="51">
        <f>IFERROR(LOOKUP(V$15,HourlyTimeseries!$A:$A,HourlyTimeseries!$R:$R),"")</f>
        <v>10</v>
      </c>
      <c r="W78" s="51">
        <f>IFERROR(LOOKUP(W$15,HourlyTimeseries!$A:$A,HourlyTimeseries!$R:$R),"")</f>
        <v>10</v>
      </c>
      <c r="X78" s="51">
        <f>IFERROR(LOOKUP(X$15,HourlyTimeseries!$A:$A,HourlyTimeseries!$R:$R),"")</f>
        <v>10</v>
      </c>
      <c r="Y78" s="51">
        <f>IFERROR(LOOKUP(Y$15,HourlyTimeseries!$A:$A,HourlyTimeseries!$R:$R),"")</f>
        <v>10</v>
      </c>
      <c r="Z78" s="51">
        <f>IFERROR(LOOKUP(Z$15,HourlyTimeseries!$A:$A,HourlyTimeseries!$R:$R),"")</f>
        <v>10</v>
      </c>
      <c r="AA78" s="51">
        <f>IFERROR(LOOKUP(AA$15,HourlyTimeseries!$A:$A,HourlyTimeseries!$R:$R),"")</f>
        <v>10</v>
      </c>
      <c r="AB78" s="51">
        <f>IFERROR(LOOKUP(AB$15,HourlyTimeseries!$A:$A,HourlyTimeseries!$R:$R),"")</f>
        <v>10</v>
      </c>
      <c r="AC78" s="51">
        <f>IFERROR(LOOKUP(AC$15,HourlyTimeseries!$A:$A,HourlyTimeseries!$R:$R),"")</f>
        <v>10</v>
      </c>
      <c r="AD78" s="51">
        <f>IFERROR(LOOKUP(AD$15,HourlyTimeseries!$A:$A,HourlyTimeseries!$R:$R),"")</f>
        <v>10</v>
      </c>
      <c r="AE78" s="51">
        <f>IFERROR(LOOKUP(AE$15,HourlyTimeseries!$A:$A,HourlyTimeseries!$R:$R),"")</f>
        <v>10</v>
      </c>
      <c r="AF78" s="51">
        <f>IFERROR(LOOKUP(AF$15,HourlyTimeseries!$A:$A,HourlyTimeseries!$R:$R),"")</f>
        <v>10</v>
      </c>
      <c r="AG78" s="51">
        <f>IFERROR(LOOKUP(AG$15,HourlyTimeseries!$A:$A,HourlyTimeseries!$R:$R),"")</f>
        <v>10</v>
      </c>
      <c r="AH78" s="51">
        <f>IFERROR(LOOKUP(AH$15,HourlyTimeseries!$A:$A,HourlyTimeseries!$R:$R),"")</f>
        <v>10</v>
      </c>
      <c r="AI78" s="51">
        <f>IFERROR(LOOKUP(AI$15,HourlyTimeseries!$A:$A,HourlyTimeseries!$R:$R),"")</f>
        <v>10</v>
      </c>
      <c r="AJ78" s="51">
        <f>IFERROR(LOOKUP(AJ$15,HourlyTimeseries!$A:$A,HourlyTimeseries!$R:$R),"")</f>
        <v>10</v>
      </c>
      <c r="AK78" s="51">
        <f>IFERROR(LOOKUP(AK$15,HourlyTimeseries!$A:$A,HourlyTimeseries!$R:$R),"")</f>
        <v>10</v>
      </c>
      <c r="AL78" s="51">
        <f>IFERROR(LOOKUP(AL$15,HourlyTimeseries!$A:$A,HourlyTimeseries!$R:$R),"")</f>
        <v>10</v>
      </c>
      <c r="AM78" s="51">
        <f>IFERROR(LOOKUP(AM$15,HourlyTimeseries!$A:$A,HourlyTimeseries!$R:$R),"")</f>
        <v>10</v>
      </c>
      <c r="AN78" s="51">
        <f>IFERROR(LOOKUP(AN$15,HourlyTimeseries!$A:$A,HourlyTimeseries!$R:$R),"")</f>
        <v>10</v>
      </c>
      <c r="AO78" s="51">
        <f>IFERROR(LOOKUP(AO$15,HourlyTimeseries!$A:$A,HourlyTimeseries!$R:$R),"")</f>
        <v>10</v>
      </c>
      <c r="AP78" s="51">
        <f>IFERROR(LOOKUP(AP$15,HourlyTimeseries!$A:$A,HourlyTimeseries!$R:$R),"")</f>
        <v>10</v>
      </c>
      <c r="AQ78" s="51">
        <f>IFERROR(LOOKUP(AQ$15,HourlyTimeseries!$A:$A,HourlyTimeseries!$R:$R),"")</f>
        <v>10</v>
      </c>
      <c r="AR78" s="51">
        <f>IFERROR(LOOKUP(AR$15,HourlyTimeseries!$A:$A,HourlyTimeseries!$R:$R),"")</f>
        <v>10</v>
      </c>
      <c r="AS78" s="51">
        <f>IFERROR(LOOKUP(AS$15,HourlyTimeseries!$A:$A,HourlyTimeseries!$R:$R),"")</f>
        <v>10</v>
      </c>
      <c r="AT78" s="51">
        <f>IFERROR(LOOKUP(AT$15,HourlyTimeseries!$A:$A,HourlyTimeseries!$R:$R),"")</f>
        <v>10</v>
      </c>
      <c r="AU78" s="51">
        <f>IFERROR(LOOKUP(AU$15,HourlyTimeseries!$A:$A,HourlyTimeseries!$R:$R),"")</f>
        <v>10</v>
      </c>
      <c r="AV78" s="51">
        <f>IFERROR(LOOKUP(AV$15,HourlyTimeseries!$A:$A,HourlyTimeseries!$R:$R),"")</f>
        <v>10</v>
      </c>
      <c r="AW78" s="51">
        <f>IFERROR(LOOKUP(AW$15,HourlyTimeseries!$A:$A,HourlyTimeseries!$R:$R),"")</f>
        <v>10</v>
      </c>
      <c r="AX78" s="51">
        <f>IFERROR(LOOKUP(AX$15,HourlyTimeseries!$A:$A,HourlyTimeseries!$R:$R),"")</f>
        <v>10</v>
      </c>
      <c r="AY78" s="51">
        <f>IFERROR(LOOKUP(AY$15,HourlyTimeseries!$A:$A,HourlyTimeseries!$R:$R),"")</f>
        <v>10</v>
      </c>
      <c r="AZ78" s="51">
        <f>IFERROR(LOOKUP(AZ$15,HourlyTimeseries!$A:$A,HourlyTimeseries!$R:$R),"")</f>
        <v>10</v>
      </c>
      <c r="BA78" s="51">
        <f>IFERROR(LOOKUP(BA$15,HourlyTimeseries!$A:$A,HourlyTimeseries!$R:$R),"")</f>
        <v>10</v>
      </c>
      <c r="BB78" s="51">
        <f>IFERROR(LOOKUP(BB$15,HourlyTimeseries!$A:$A,HourlyTimeseries!$R:$R),"")</f>
        <v>10</v>
      </c>
      <c r="BC78" s="51">
        <f>IFERROR(LOOKUP(BC$15,HourlyTimeseries!$A:$A,HourlyTimeseries!$R:$R),"")</f>
        <v>10</v>
      </c>
      <c r="BD78" s="51">
        <f>IFERROR(LOOKUP(BD$15,HourlyTimeseries!$A:$A,HourlyTimeseries!$R:$R),"")</f>
        <v>10</v>
      </c>
      <c r="BE78" s="51">
        <f>IFERROR(LOOKUP(BE$15,HourlyTimeseries!$A:$A,HourlyTimeseries!$R:$R),"")</f>
        <v>10</v>
      </c>
      <c r="BF78" s="51">
        <f>IFERROR(LOOKUP(BF$15,HourlyTimeseries!$A:$A,HourlyTimeseries!$R:$R),"")</f>
        <v>10</v>
      </c>
      <c r="BG78" s="51">
        <f>IFERROR(LOOKUP(BG$15,HourlyTimeseries!$A:$A,HourlyTimeseries!$R:$R),"")</f>
        <v>10</v>
      </c>
      <c r="BH78" s="51">
        <f>IFERROR(LOOKUP(BH$15,HourlyTimeseries!$A:$A,HourlyTimeseries!$R:$R),"")</f>
        <v>10</v>
      </c>
      <c r="BI78" s="51">
        <f>IFERROR(LOOKUP(BI$15,HourlyTimeseries!$A:$A,HourlyTimeseries!$R:$R),"")</f>
        <v>10</v>
      </c>
      <c r="BJ78" s="51">
        <f>IFERROR(LOOKUP(BJ$15,HourlyTimeseries!$A:$A,HourlyTimeseries!$R:$R),"")</f>
        <v>10</v>
      </c>
      <c r="BK78" s="51">
        <f>IFERROR(LOOKUP(BK$15,HourlyTimeseries!$A:$A,HourlyTimeseries!$R:$R),"")</f>
        <v>10</v>
      </c>
      <c r="BL78" s="51">
        <f>IFERROR(LOOKUP(BL$15,HourlyTimeseries!$A:$A,HourlyTimeseries!$R:$R),"")</f>
        <v>10</v>
      </c>
      <c r="BM78" s="51">
        <f>IFERROR(LOOKUP(BM$15,HourlyTimeseries!$A:$A,HourlyTimeseries!$R:$R),"")</f>
        <v>10</v>
      </c>
      <c r="BN78" s="51">
        <f>IFERROR(LOOKUP(BN$15,HourlyTimeseries!$A:$A,HourlyTimeseries!$R:$R),"")</f>
        <v>10</v>
      </c>
      <c r="BO78" s="51">
        <f>IFERROR(LOOKUP(BO$15,HourlyTimeseries!$A:$A,HourlyTimeseries!$R:$R),"")</f>
        <v>10</v>
      </c>
      <c r="BP78" s="51">
        <f>IFERROR(LOOKUP(BP$15,HourlyTimeseries!$A:$A,HourlyTimeseries!$R:$R),"")</f>
        <v>10</v>
      </c>
      <c r="BQ78" s="51">
        <f>IFERROR(LOOKUP(BQ$15,HourlyTimeseries!$A:$A,HourlyTimeseries!$R:$R),"")</f>
        <v>10</v>
      </c>
      <c r="BR78" s="51">
        <f>IFERROR(LOOKUP(BR$15,HourlyTimeseries!$A:$A,HourlyTimeseries!$R:$R),"")</f>
        <v>10</v>
      </c>
      <c r="BS78" s="51">
        <f>IFERROR(LOOKUP(BS$15,HourlyTimeseries!$A:$A,HourlyTimeseries!$R:$R),"")</f>
        <v>10</v>
      </c>
      <c r="BT78" s="51">
        <f>IFERROR(LOOKUP(BT$15,HourlyTimeseries!$A:$A,HourlyTimeseries!$R:$R),"")</f>
        <v>10</v>
      </c>
      <c r="BU78" s="51">
        <f>IFERROR(LOOKUP(BU$15,HourlyTimeseries!$A:$A,HourlyTimeseries!$R:$R),"")</f>
        <v>10</v>
      </c>
      <c r="BV78" s="51">
        <f>IFERROR(LOOKUP(BV$15,HourlyTimeseries!$A:$A,HourlyTimeseries!$R:$R),"")</f>
        <v>10</v>
      </c>
      <c r="BW78" s="51">
        <f>IFERROR(LOOKUP(BW$15,HourlyTimeseries!$A:$A,HourlyTimeseries!$R:$R),"")</f>
        <v>10</v>
      </c>
      <c r="BX78" s="51">
        <f>IFERROR(LOOKUP(BX$15,HourlyTimeseries!$A:$A,HourlyTimeseries!$R:$R),"")</f>
        <v>10</v>
      </c>
      <c r="BY78" s="51">
        <f>IFERROR(LOOKUP(BY$15,HourlyTimeseries!$A:$A,HourlyTimeseries!$R:$R),"")</f>
        <v>10</v>
      </c>
      <c r="BZ78" s="51">
        <f>IFERROR(LOOKUP(BZ$15,HourlyTimeseries!$A:$A,HourlyTimeseries!$R:$R),"")</f>
        <v>10</v>
      </c>
      <c r="CA78" s="51">
        <f>IFERROR(LOOKUP(CA$15,HourlyTimeseries!$A:$A,HourlyTimeseries!$R:$R),"")</f>
        <v>10</v>
      </c>
      <c r="CB78" s="51">
        <f>IFERROR(LOOKUP(CB$15,HourlyTimeseries!$A:$A,HourlyTimeseries!$R:$R),"")</f>
        <v>10</v>
      </c>
      <c r="CC78" s="51">
        <f>IFERROR(LOOKUP(CC$15,HourlyTimeseries!$A:$A,HourlyTimeseries!$R:$R),"")</f>
        <v>10</v>
      </c>
      <c r="CD78" s="51">
        <f>IFERROR(LOOKUP(CD$15,HourlyTimeseries!$A:$A,HourlyTimeseries!$R:$R),"")</f>
        <v>10</v>
      </c>
      <c r="CE78" s="51">
        <f>IFERROR(LOOKUP(CE$15,HourlyTimeseries!$A:$A,HourlyTimeseries!$R:$R),"")</f>
        <v>10</v>
      </c>
      <c r="CF78" s="51">
        <f>IFERROR(LOOKUP(CF$15,HourlyTimeseries!$A:$A,HourlyTimeseries!$R:$R),"")</f>
        <v>10</v>
      </c>
      <c r="CG78" s="51">
        <f>IFERROR(LOOKUP(CG$15,HourlyTimeseries!$A:$A,HourlyTimeseries!$R:$R),"")</f>
        <v>10</v>
      </c>
      <c r="CH78" s="51">
        <f>IFERROR(LOOKUP(CH$15,HourlyTimeseries!$A:$A,HourlyTimeseries!$R:$R),"")</f>
        <v>10</v>
      </c>
      <c r="CI78" s="51">
        <f>IFERROR(LOOKUP(CI$15,HourlyTimeseries!$A:$A,HourlyTimeseries!$R:$R),"")</f>
        <v>10</v>
      </c>
      <c r="CJ78" s="51">
        <f>IFERROR(LOOKUP(CJ$15,HourlyTimeseries!$A:$A,HourlyTimeseries!$R:$R),"")</f>
        <v>10</v>
      </c>
      <c r="CK78" s="51">
        <f>IFERROR(LOOKUP(CK$15,HourlyTimeseries!$A:$A,HourlyTimeseries!$R:$R),"")</f>
        <v>10</v>
      </c>
      <c r="CL78" s="51">
        <f>IFERROR(LOOKUP(CL$15,HourlyTimeseries!$A:$A,HourlyTimeseries!$R:$R),"")</f>
        <v>10</v>
      </c>
      <c r="CM78" s="51">
        <f>IFERROR(LOOKUP(CM$15,HourlyTimeseries!$A:$A,HourlyTimeseries!$R:$R),"")</f>
        <v>10</v>
      </c>
      <c r="CN78" s="51">
        <f>IFERROR(LOOKUP(CN$15,HourlyTimeseries!$A:$A,HourlyTimeseries!$R:$R),"")</f>
        <v>10</v>
      </c>
      <c r="CO78" s="51">
        <f>IFERROR(LOOKUP(CO$15,HourlyTimeseries!$A:$A,HourlyTimeseries!$R:$R),"")</f>
        <v>10</v>
      </c>
      <c r="CP78" s="51">
        <f>IFERROR(LOOKUP(CP$15,HourlyTimeseries!$A:$A,HourlyTimeseries!$R:$R),"")</f>
        <v>10</v>
      </c>
      <c r="CQ78" s="51">
        <f>IFERROR(LOOKUP(CQ$15,HourlyTimeseries!$A:$A,HourlyTimeseries!$R:$R),"")</f>
        <v>10</v>
      </c>
      <c r="CR78" s="51">
        <f>IFERROR(LOOKUP(CR$15,HourlyTimeseries!$A:$A,HourlyTimeseries!$R:$R),"")</f>
        <v>10</v>
      </c>
      <c r="CS78" s="51">
        <f>IFERROR(LOOKUP(CS$15,HourlyTimeseries!$A:$A,HourlyTimeseries!$R:$R),"")</f>
        <v>10</v>
      </c>
      <c r="CT78" s="51">
        <f>IFERROR(LOOKUP(CT$15,HourlyTimeseries!$A:$A,HourlyTimeseries!$R:$R),"")</f>
        <v>10</v>
      </c>
      <c r="CU78" s="51">
        <f>IFERROR(LOOKUP(CU$15,HourlyTimeseries!$A:$A,HourlyTimeseries!$R:$R),"")</f>
        <v>10</v>
      </c>
      <c r="CV78" s="51">
        <f>IFERROR(LOOKUP(CV$15,HourlyTimeseries!$A:$A,HourlyTimeseries!$R:$R),"")</f>
        <v>10</v>
      </c>
      <c r="CW78" s="51">
        <f>IFERROR(LOOKUP(CW$15,HourlyTimeseries!$A:$A,HourlyTimeseries!$R:$R),"")</f>
        <v>10</v>
      </c>
      <c r="CX78" s="51">
        <f>IFERROR(LOOKUP(CX$15,HourlyTimeseries!$A:$A,HourlyTimeseries!$R:$R),"")</f>
        <v>10</v>
      </c>
      <c r="CY78" s="51">
        <f>IFERROR(LOOKUP(CY$15,HourlyTimeseries!$A:$A,HourlyTimeseries!$R:$R),"")</f>
        <v>10</v>
      </c>
      <c r="CZ78" s="51">
        <f>IFERROR(LOOKUP(CZ$15,HourlyTimeseries!$A:$A,HourlyTimeseries!$R:$R),"")</f>
        <v>10</v>
      </c>
      <c r="DA78" s="51">
        <f>IFERROR(LOOKUP(DA$15,HourlyTimeseries!$A:$A,HourlyTimeseries!$R:$R),"")</f>
        <v>10</v>
      </c>
      <c r="DB78" s="51">
        <f>IFERROR(LOOKUP(DB$15,HourlyTimeseries!$A:$A,HourlyTimeseries!$R:$R),"")</f>
        <v>10</v>
      </c>
      <c r="DC78" s="51">
        <f>IFERROR(LOOKUP(DC$15,HourlyTimeseries!$A:$A,HourlyTimeseries!$R:$R),"")</f>
        <v>10</v>
      </c>
      <c r="DD78" s="51">
        <f>IFERROR(LOOKUP(DD$15,HourlyTimeseries!$A:$A,HourlyTimeseries!$R:$R),"")</f>
        <v>10</v>
      </c>
      <c r="DE78" s="51">
        <f>IFERROR(LOOKUP(DE$15,HourlyTimeseries!$A:$A,HourlyTimeseries!$R:$R),"")</f>
        <v>10</v>
      </c>
      <c r="DF78" s="51">
        <f>IFERROR(LOOKUP(DF$15,HourlyTimeseries!$A:$A,HourlyTimeseries!$R:$R),"")</f>
        <v>10</v>
      </c>
      <c r="DG78" s="51">
        <f>IFERROR(LOOKUP(DG$15,HourlyTimeseries!$A:$A,HourlyTimeseries!$R:$R),"")</f>
        <v>10</v>
      </c>
      <c r="DH78" s="51">
        <f>IFERROR(LOOKUP(DH$15,HourlyTimeseries!$A:$A,HourlyTimeseries!$R:$R),"")</f>
        <v>10</v>
      </c>
      <c r="DI78" s="51">
        <f>IFERROR(LOOKUP(DI$15,HourlyTimeseries!$A:$A,HourlyTimeseries!$R:$R),"")</f>
        <v>10</v>
      </c>
      <c r="DJ78" s="51">
        <f>IFERROR(LOOKUP(DJ$15,HourlyTimeseries!$A:$A,HourlyTimeseries!$R:$R),"")</f>
        <v>10</v>
      </c>
      <c r="DK78" s="51">
        <f>IFERROR(LOOKUP(DK$15,HourlyTimeseries!$A:$A,HourlyTimeseries!$R:$R),"")</f>
        <v>10</v>
      </c>
      <c r="DL78" s="51">
        <f>IFERROR(LOOKUP(DL$15,HourlyTimeseries!$A:$A,HourlyTimeseries!$R:$R),"")</f>
        <v>10</v>
      </c>
      <c r="DM78" s="51">
        <f>IFERROR(LOOKUP(DM$15,HourlyTimeseries!$A:$A,HourlyTimeseries!$R:$R),"")</f>
        <v>10</v>
      </c>
      <c r="DN78" s="51">
        <f>IFERROR(LOOKUP(DN$15,HourlyTimeseries!$A:$A,HourlyTimeseries!$R:$R),"")</f>
        <v>10</v>
      </c>
      <c r="DO78" s="51">
        <f>IFERROR(LOOKUP(DO$15,HourlyTimeseries!$A:$A,HourlyTimeseries!$R:$R),"")</f>
        <v>10</v>
      </c>
      <c r="DP78" s="51">
        <f>IFERROR(LOOKUP(DP$15,HourlyTimeseries!$A:$A,HourlyTimeseries!$R:$R),"")</f>
        <v>10</v>
      </c>
      <c r="DQ78" s="51">
        <f>IFERROR(LOOKUP(DQ$15,HourlyTimeseries!$A:$A,HourlyTimeseries!$R:$R),"")</f>
        <v>10</v>
      </c>
      <c r="DR78" s="51">
        <f>IFERROR(LOOKUP(DR$15,HourlyTimeseries!$A:$A,HourlyTimeseries!$R:$R),"")</f>
        <v>10</v>
      </c>
      <c r="DS78" s="51">
        <f>IFERROR(LOOKUP(DS$15,HourlyTimeseries!$A:$A,HourlyTimeseries!$R:$R),"")</f>
        <v>10</v>
      </c>
      <c r="DT78" s="51">
        <f>IFERROR(LOOKUP(DT$15,HourlyTimeseries!$A:$A,HourlyTimeseries!$R:$R),"")</f>
        <v>10</v>
      </c>
      <c r="DU78" s="51">
        <f>IFERROR(LOOKUP(DU$15,HourlyTimeseries!$A:$A,HourlyTimeseries!$R:$R),"")</f>
        <v>10</v>
      </c>
      <c r="DV78" s="51">
        <f>IFERROR(LOOKUP(DV$15,HourlyTimeseries!$A:$A,HourlyTimeseries!$R:$R),"")</f>
        <v>10</v>
      </c>
      <c r="DW78" s="51">
        <f>IFERROR(LOOKUP(DW$15,HourlyTimeseries!$A:$A,HourlyTimeseries!$R:$R),"")</f>
        <v>10</v>
      </c>
      <c r="DX78" s="51">
        <f>IFERROR(LOOKUP(DX$15,HourlyTimeseries!$A:$A,HourlyTimeseries!$R:$R),"")</f>
        <v>10</v>
      </c>
      <c r="DY78" s="51">
        <f>IFERROR(LOOKUP(DY$15,HourlyTimeseries!$A:$A,HourlyTimeseries!$R:$R),"")</f>
        <v>10</v>
      </c>
      <c r="DZ78" s="51">
        <f>IFERROR(LOOKUP(DZ$15,HourlyTimeseries!$A:$A,HourlyTimeseries!$R:$R),"")</f>
        <v>10</v>
      </c>
      <c r="EA78" s="51">
        <f>IFERROR(LOOKUP(EA$15,HourlyTimeseries!$A:$A,HourlyTimeseries!$R:$R),"")</f>
        <v>10</v>
      </c>
      <c r="EB78" s="51">
        <f>IFERROR(LOOKUP(EB$15,HourlyTimeseries!$A:$A,HourlyTimeseries!$R:$R),"")</f>
        <v>10</v>
      </c>
      <c r="EC78" s="51">
        <f>IFERROR(LOOKUP(EC$15,HourlyTimeseries!$A:$A,HourlyTimeseries!$R:$R),"")</f>
        <v>10</v>
      </c>
      <c r="ED78" s="51">
        <f>IFERROR(LOOKUP(ED$15,HourlyTimeseries!$A:$A,HourlyTimeseries!$R:$R),"")</f>
        <v>10</v>
      </c>
      <c r="EE78" s="51">
        <f>IFERROR(LOOKUP(EE$15,HourlyTimeseries!$A:$A,HourlyTimeseries!$R:$R),"")</f>
        <v>10</v>
      </c>
      <c r="EF78" s="51">
        <f>IFERROR(LOOKUP(EF$15,HourlyTimeseries!$A:$A,HourlyTimeseries!$R:$R),"")</f>
        <v>10</v>
      </c>
      <c r="EG78" s="51">
        <f>IFERROR(LOOKUP(EG$15,HourlyTimeseries!$A:$A,HourlyTimeseries!$R:$R),"")</f>
        <v>10</v>
      </c>
      <c r="EH78" s="51">
        <f>IFERROR(LOOKUP(EH$15,HourlyTimeseries!$A:$A,HourlyTimeseries!$R:$R),"")</f>
        <v>10</v>
      </c>
      <c r="EI78" s="51">
        <f>IFERROR(LOOKUP(EI$15,HourlyTimeseries!$A:$A,HourlyTimeseries!$R:$R),"")</f>
        <v>10</v>
      </c>
      <c r="EJ78" s="51">
        <f>IFERROR(LOOKUP(EJ$15,HourlyTimeseries!$A:$A,HourlyTimeseries!$R:$R),"")</f>
        <v>10</v>
      </c>
      <c r="EK78" s="51">
        <f>IFERROR(LOOKUP(EK$15,HourlyTimeseries!$A:$A,HourlyTimeseries!$R:$R),"")</f>
        <v>10</v>
      </c>
      <c r="EL78" s="51">
        <f>IFERROR(LOOKUP(EL$15,HourlyTimeseries!$A:$A,HourlyTimeseries!$R:$R),"")</f>
        <v>10</v>
      </c>
      <c r="EM78" s="51">
        <f>IFERROR(LOOKUP(EM$15,HourlyTimeseries!$A:$A,HourlyTimeseries!$R:$R),"")</f>
        <v>10</v>
      </c>
      <c r="EN78" s="51">
        <f>IFERROR(LOOKUP(EN$15,HourlyTimeseries!$A:$A,HourlyTimeseries!$R:$R),"")</f>
        <v>10</v>
      </c>
      <c r="EO78" s="51">
        <f>IFERROR(LOOKUP(EO$15,HourlyTimeseries!$A:$A,HourlyTimeseries!$R:$R),"")</f>
        <v>10</v>
      </c>
      <c r="EP78" s="51">
        <f>IFERROR(LOOKUP(EP$15,HourlyTimeseries!$A:$A,HourlyTimeseries!$R:$R),"")</f>
        <v>10</v>
      </c>
      <c r="EQ78" s="51">
        <f>IFERROR(LOOKUP(EQ$15,HourlyTimeseries!$A:$A,HourlyTimeseries!$R:$R),"")</f>
        <v>10</v>
      </c>
      <c r="ER78" s="51">
        <f>IFERROR(LOOKUP(ER$15,HourlyTimeseries!$A:$A,HourlyTimeseries!$R:$R),"")</f>
        <v>10</v>
      </c>
      <c r="ES78" s="51">
        <f>IFERROR(LOOKUP(ES$15,HourlyTimeseries!$A:$A,HourlyTimeseries!$R:$R),"")</f>
        <v>10</v>
      </c>
      <c r="ET78" s="51">
        <f>IFERROR(LOOKUP(ET$15,HourlyTimeseries!$A:$A,HourlyTimeseries!$R:$R),"")</f>
        <v>10</v>
      </c>
      <c r="EU78" s="51">
        <f>IFERROR(LOOKUP(EU$15,HourlyTimeseries!$A:$A,HourlyTimeseries!$R:$R),"")</f>
        <v>10</v>
      </c>
      <c r="EV78" s="51">
        <f>IFERROR(LOOKUP(EV$15,HourlyTimeseries!$A:$A,HourlyTimeseries!$R:$R),"")</f>
        <v>10</v>
      </c>
      <c r="EW78" s="51">
        <f>IFERROR(LOOKUP(EW$15,HourlyTimeseries!$A:$A,HourlyTimeseries!$R:$R),"")</f>
        <v>10</v>
      </c>
      <c r="EX78" s="51">
        <f>IFERROR(LOOKUP(EX$15,HourlyTimeseries!$A:$A,HourlyTimeseries!$R:$R),"")</f>
        <v>10</v>
      </c>
      <c r="EY78" s="51">
        <f>IFERROR(LOOKUP(EY$15,HourlyTimeseries!$A:$A,HourlyTimeseries!$R:$R),"")</f>
        <v>10</v>
      </c>
      <c r="EZ78" s="51">
        <f>IFERROR(LOOKUP(EZ$15,HourlyTimeseries!$A:$A,HourlyTimeseries!$R:$R),"")</f>
        <v>10</v>
      </c>
      <c r="FA78" s="51">
        <f>IFERROR(LOOKUP(FA$15,HourlyTimeseries!$A:$A,HourlyTimeseries!$R:$R),"")</f>
        <v>10</v>
      </c>
      <c r="FB78" s="51">
        <f>IFERROR(LOOKUP(FB$15,HourlyTimeseries!$A:$A,HourlyTimeseries!$R:$R),"")</f>
        <v>10</v>
      </c>
      <c r="FC78" s="51">
        <f>IFERROR(LOOKUP(FC$15,HourlyTimeseries!$A:$A,HourlyTimeseries!$R:$R),"")</f>
        <v>10</v>
      </c>
      <c r="FD78" s="51">
        <f>IFERROR(LOOKUP(FD$15,HourlyTimeseries!$A:$A,HourlyTimeseries!$R:$R),"")</f>
        <v>10</v>
      </c>
      <c r="FE78" s="51">
        <f>IFERROR(LOOKUP(FE$15,HourlyTimeseries!$A:$A,HourlyTimeseries!$R:$R),"")</f>
        <v>10</v>
      </c>
      <c r="FF78" s="51">
        <f>IFERROR(LOOKUP(FF$15,HourlyTimeseries!$A:$A,HourlyTimeseries!$R:$R),"")</f>
        <v>10</v>
      </c>
      <c r="FG78" s="51">
        <f>IFERROR(LOOKUP(FG$15,HourlyTimeseries!$A:$A,HourlyTimeseries!$R:$R),"")</f>
        <v>10</v>
      </c>
      <c r="FH78" s="51">
        <f>IFERROR(LOOKUP(FH$15,HourlyTimeseries!$A:$A,HourlyTimeseries!$R:$R),"")</f>
        <v>10</v>
      </c>
      <c r="FI78" s="51">
        <f>IFERROR(LOOKUP(FI$15,HourlyTimeseries!$A:$A,HourlyTimeseries!$R:$R),"")</f>
        <v>10</v>
      </c>
      <c r="FJ78" s="51">
        <f>IFERROR(LOOKUP(FJ$15,HourlyTimeseries!$A:$A,HourlyTimeseries!$R:$R),"")</f>
        <v>10</v>
      </c>
      <c r="FK78" s="51">
        <f>IFERROR(LOOKUP(FK$15,HourlyTimeseries!$A:$A,HourlyTimeseries!$R:$R),"")</f>
        <v>10</v>
      </c>
      <c r="FL78" s="51">
        <f>IFERROR(LOOKUP(FL$15,HourlyTimeseries!$A:$A,HourlyTimeseries!$R:$R),"")</f>
        <v>10</v>
      </c>
      <c r="FM78" s="51">
        <f>IFERROR(LOOKUP(FM$15,HourlyTimeseries!$A:$A,HourlyTimeseries!$R:$R),"")</f>
        <v>10</v>
      </c>
      <c r="FN78" s="51">
        <f>IFERROR(LOOKUP(FN$15,HourlyTimeseries!$A:$A,HourlyTimeseries!$R:$R),"")</f>
        <v>10</v>
      </c>
      <c r="FO78" s="51">
        <f>IFERROR(LOOKUP(FO$15,HourlyTimeseries!$A:$A,HourlyTimeseries!$R:$R),"")</f>
        <v>10</v>
      </c>
      <c r="FP78" s="51">
        <f>IFERROR(LOOKUP(FP$15,HourlyTimeseries!$A:$A,HourlyTimeseries!$R:$R),"")</f>
        <v>10</v>
      </c>
    </row>
    <row r="79" spans="1:172">
      <c r="A79" t="s">
        <v>88</v>
      </c>
      <c r="B79" s="2" t="s">
        <v>90</v>
      </c>
      <c r="C79" s="41" t="s">
        <v>133</v>
      </c>
      <c r="D79" s="56"/>
      <c r="E79" s="51">
        <f>IFERROR(LOOKUP(E$15,HourlyTimeseries!$A:$A,HourlyTimeseries!$S:$S),"")</f>
        <v>1000</v>
      </c>
      <c r="F79" s="51">
        <f>IFERROR(LOOKUP(F$15,HourlyTimeseries!$A:$A,HourlyTimeseries!$S:$S),"")</f>
        <v>1000</v>
      </c>
      <c r="G79" s="51">
        <f>IFERROR(LOOKUP(G$15,HourlyTimeseries!$A:$A,HourlyTimeseries!$S:$S),"")</f>
        <v>1000</v>
      </c>
      <c r="H79" s="51">
        <f>IFERROR(LOOKUP(H$15,HourlyTimeseries!$A:$A,HourlyTimeseries!$S:$S),"")</f>
        <v>1000</v>
      </c>
      <c r="I79" s="51">
        <f>IFERROR(LOOKUP(I$15,HourlyTimeseries!$A:$A,HourlyTimeseries!$S:$S),"")</f>
        <v>1000</v>
      </c>
      <c r="J79" s="51">
        <f>IFERROR(LOOKUP(J$15,HourlyTimeseries!$A:$A,HourlyTimeseries!$S:$S),"")</f>
        <v>1000</v>
      </c>
      <c r="K79" s="51">
        <f>IFERROR(LOOKUP(K$15,HourlyTimeseries!$A:$A,HourlyTimeseries!$S:$S),"")</f>
        <v>1000</v>
      </c>
      <c r="L79" s="51">
        <f>IFERROR(LOOKUP(L$15,HourlyTimeseries!$A:$A,HourlyTimeseries!$S:$S),"")</f>
        <v>1000</v>
      </c>
      <c r="M79" s="51">
        <f>IFERROR(LOOKUP(M$15,HourlyTimeseries!$A:$A,HourlyTimeseries!$S:$S),"")</f>
        <v>1000</v>
      </c>
      <c r="N79" s="51">
        <f>IFERROR(LOOKUP(N$15,HourlyTimeseries!$A:$A,HourlyTimeseries!$S:$S),"")</f>
        <v>1000</v>
      </c>
      <c r="O79" s="51">
        <f>IFERROR(LOOKUP(O$15,HourlyTimeseries!$A:$A,HourlyTimeseries!$S:$S),"")</f>
        <v>1000</v>
      </c>
      <c r="P79" s="51">
        <f>IFERROR(LOOKUP(P$15,HourlyTimeseries!$A:$A,HourlyTimeseries!$S:$S),"")</f>
        <v>1000</v>
      </c>
      <c r="Q79" s="51">
        <f>IFERROR(LOOKUP(Q$15,HourlyTimeseries!$A:$A,HourlyTimeseries!$S:$S),"")</f>
        <v>1000</v>
      </c>
      <c r="R79" s="51">
        <f>IFERROR(LOOKUP(R$15,HourlyTimeseries!$A:$A,HourlyTimeseries!$S:$S),"")</f>
        <v>1000</v>
      </c>
      <c r="S79" s="51">
        <f>IFERROR(LOOKUP(S$15,HourlyTimeseries!$A:$A,HourlyTimeseries!$S:$S),"")</f>
        <v>1000</v>
      </c>
      <c r="T79" s="51">
        <f>IFERROR(LOOKUP(T$15,HourlyTimeseries!$A:$A,HourlyTimeseries!$S:$S),"")</f>
        <v>1000</v>
      </c>
      <c r="U79" s="51">
        <f>IFERROR(LOOKUP(U$15,HourlyTimeseries!$A:$A,HourlyTimeseries!$S:$S),"")</f>
        <v>1000</v>
      </c>
      <c r="V79" s="51">
        <f>IFERROR(LOOKUP(V$15,HourlyTimeseries!$A:$A,HourlyTimeseries!$S:$S),"")</f>
        <v>1000</v>
      </c>
      <c r="W79" s="51">
        <f>IFERROR(LOOKUP(W$15,HourlyTimeseries!$A:$A,HourlyTimeseries!$S:$S),"")</f>
        <v>1000</v>
      </c>
      <c r="X79" s="51">
        <f>IFERROR(LOOKUP(X$15,HourlyTimeseries!$A:$A,HourlyTimeseries!$S:$S),"")</f>
        <v>1000</v>
      </c>
      <c r="Y79" s="51">
        <f>IFERROR(LOOKUP(Y$15,HourlyTimeseries!$A:$A,HourlyTimeseries!$S:$S),"")</f>
        <v>1000</v>
      </c>
      <c r="Z79" s="51">
        <f>IFERROR(LOOKUP(Z$15,HourlyTimeseries!$A:$A,HourlyTimeseries!$S:$S),"")</f>
        <v>1000</v>
      </c>
      <c r="AA79" s="51">
        <f>IFERROR(LOOKUP(AA$15,HourlyTimeseries!$A:$A,HourlyTimeseries!$S:$S),"")</f>
        <v>1000</v>
      </c>
      <c r="AB79" s="51">
        <f>IFERROR(LOOKUP(AB$15,HourlyTimeseries!$A:$A,HourlyTimeseries!$S:$S),"")</f>
        <v>1000</v>
      </c>
      <c r="AC79" s="51">
        <f>IFERROR(LOOKUP(AC$15,HourlyTimeseries!$A:$A,HourlyTimeseries!$S:$S),"")</f>
        <v>1000</v>
      </c>
      <c r="AD79" s="51">
        <f>IFERROR(LOOKUP(AD$15,HourlyTimeseries!$A:$A,HourlyTimeseries!$S:$S),"")</f>
        <v>1000</v>
      </c>
      <c r="AE79" s="51">
        <f>IFERROR(LOOKUP(AE$15,HourlyTimeseries!$A:$A,HourlyTimeseries!$S:$S),"")</f>
        <v>1000</v>
      </c>
      <c r="AF79" s="51">
        <f>IFERROR(LOOKUP(AF$15,HourlyTimeseries!$A:$A,HourlyTimeseries!$S:$S),"")</f>
        <v>1000</v>
      </c>
      <c r="AG79" s="51">
        <f>IFERROR(LOOKUP(AG$15,HourlyTimeseries!$A:$A,HourlyTimeseries!$S:$S),"")</f>
        <v>1000</v>
      </c>
      <c r="AH79" s="51">
        <f>IFERROR(LOOKUP(AH$15,HourlyTimeseries!$A:$A,HourlyTimeseries!$S:$S),"")</f>
        <v>1000</v>
      </c>
      <c r="AI79" s="51">
        <f>IFERROR(LOOKUP(AI$15,HourlyTimeseries!$A:$A,HourlyTimeseries!$S:$S),"")</f>
        <v>1000</v>
      </c>
      <c r="AJ79" s="51">
        <f>IFERROR(LOOKUP(AJ$15,HourlyTimeseries!$A:$A,HourlyTimeseries!$S:$S),"")</f>
        <v>1000</v>
      </c>
      <c r="AK79" s="51">
        <f>IFERROR(LOOKUP(AK$15,HourlyTimeseries!$A:$A,HourlyTimeseries!$S:$S),"")</f>
        <v>1000</v>
      </c>
      <c r="AL79" s="51">
        <f>IFERROR(LOOKUP(AL$15,HourlyTimeseries!$A:$A,HourlyTimeseries!$S:$S),"")</f>
        <v>1000</v>
      </c>
      <c r="AM79" s="51">
        <f>IFERROR(LOOKUP(AM$15,HourlyTimeseries!$A:$A,HourlyTimeseries!$S:$S),"")</f>
        <v>1000</v>
      </c>
      <c r="AN79" s="51">
        <f>IFERROR(LOOKUP(AN$15,HourlyTimeseries!$A:$A,HourlyTimeseries!$S:$S),"")</f>
        <v>1000</v>
      </c>
      <c r="AO79" s="51">
        <f>IFERROR(LOOKUP(AO$15,HourlyTimeseries!$A:$A,HourlyTimeseries!$S:$S),"")</f>
        <v>1000</v>
      </c>
      <c r="AP79" s="51">
        <f>IFERROR(LOOKUP(AP$15,HourlyTimeseries!$A:$A,HourlyTimeseries!$S:$S),"")</f>
        <v>1000</v>
      </c>
      <c r="AQ79" s="51">
        <f>IFERROR(LOOKUP(AQ$15,HourlyTimeseries!$A:$A,HourlyTimeseries!$S:$S),"")</f>
        <v>1000</v>
      </c>
      <c r="AR79" s="51">
        <f>IFERROR(LOOKUP(AR$15,HourlyTimeseries!$A:$A,HourlyTimeseries!$S:$S),"")</f>
        <v>1000</v>
      </c>
      <c r="AS79" s="51">
        <f>IFERROR(LOOKUP(AS$15,HourlyTimeseries!$A:$A,HourlyTimeseries!$S:$S),"")</f>
        <v>1000</v>
      </c>
      <c r="AT79" s="51">
        <f>IFERROR(LOOKUP(AT$15,HourlyTimeseries!$A:$A,HourlyTimeseries!$S:$S),"")</f>
        <v>1000</v>
      </c>
      <c r="AU79" s="51">
        <f>IFERROR(LOOKUP(AU$15,HourlyTimeseries!$A:$A,HourlyTimeseries!$S:$S),"")</f>
        <v>1000</v>
      </c>
      <c r="AV79" s="51">
        <f>IFERROR(LOOKUP(AV$15,HourlyTimeseries!$A:$A,HourlyTimeseries!$S:$S),"")</f>
        <v>1000</v>
      </c>
      <c r="AW79" s="51">
        <f>IFERROR(LOOKUP(AW$15,HourlyTimeseries!$A:$A,HourlyTimeseries!$S:$S),"")</f>
        <v>1000</v>
      </c>
      <c r="AX79" s="51">
        <f>IFERROR(LOOKUP(AX$15,HourlyTimeseries!$A:$A,HourlyTimeseries!$S:$S),"")</f>
        <v>1000</v>
      </c>
      <c r="AY79" s="51">
        <f>IFERROR(LOOKUP(AY$15,HourlyTimeseries!$A:$A,HourlyTimeseries!$S:$S),"")</f>
        <v>1000</v>
      </c>
      <c r="AZ79" s="51">
        <f>IFERROR(LOOKUP(AZ$15,HourlyTimeseries!$A:$A,HourlyTimeseries!$S:$S),"")</f>
        <v>1000</v>
      </c>
      <c r="BA79" s="51">
        <f>IFERROR(LOOKUP(BA$15,HourlyTimeseries!$A:$A,HourlyTimeseries!$S:$S),"")</f>
        <v>1000</v>
      </c>
      <c r="BB79" s="51">
        <f>IFERROR(LOOKUP(BB$15,HourlyTimeseries!$A:$A,HourlyTimeseries!$S:$S),"")</f>
        <v>1000</v>
      </c>
      <c r="BC79" s="51">
        <f>IFERROR(LOOKUP(BC$15,HourlyTimeseries!$A:$A,HourlyTimeseries!$S:$S),"")</f>
        <v>1000</v>
      </c>
      <c r="BD79" s="51">
        <f>IFERROR(LOOKUP(BD$15,HourlyTimeseries!$A:$A,HourlyTimeseries!$S:$S),"")</f>
        <v>1000</v>
      </c>
      <c r="BE79" s="51">
        <f>IFERROR(LOOKUP(BE$15,HourlyTimeseries!$A:$A,HourlyTimeseries!$S:$S),"")</f>
        <v>1000</v>
      </c>
      <c r="BF79" s="51">
        <f>IFERROR(LOOKUP(BF$15,HourlyTimeseries!$A:$A,HourlyTimeseries!$S:$S),"")</f>
        <v>1000</v>
      </c>
      <c r="BG79" s="51">
        <f>IFERROR(LOOKUP(BG$15,HourlyTimeseries!$A:$A,HourlyTimeseries!$S:$S),"")</f>
        <v>1000</v>
      </c>
      <c r="BH79" s="51">
        <f>IFERROR(LOOKUP(BH$15,HourlyTimeseries!$A:$A,HourlyTimeseries!$S:$S),"")</f>
        <v>1000</v>
      </c>
      <c r="BI79" s="51">
        <f>IFERROR(LOOKUP(BI$15,HourlyTimeseries!$A:$A,HourlyTimeseries!$S:$S),"")</f>
        <v>1000</v>
      </c>
      <c r="BJ79" s="51">
        <f>IFERROR(LOOKUP(BJ$15,HourlyTimeseries!$A:$A,HourlyTimeseries!$S:$S),"")</f>
        <v>1000</v>
      </c>
      <c r="BK79" s="51">
        <f>IFERROR(LOOKUP(BK$15,HourlyTimeseries!$A:$A,HourlyTimeseries!$S:$S),"")</f>
        <v>1000</v>
      </c>
      <c r="BL79" s="51">
        <f>IFERROR(LOOKUP(BL$15,HourlyTimeseries!$A:$A,HourlyTimeseries!$S:$S),"")</f>
        <v>1000</v>
      </c>
      <c r="BM79" s="51">
        <f>IFERROR(LOOKUP(BM$15,HourlyTimeseries!$A:$A,HourlyTimeseries!$S:$S),"")</f>
        <v>1000</v>
      </c>
      <c r="BN79" s="51">
        <f>IFERROR(LOOKUP(BN$15,HourlyTimeseries!$A:$A,HourlyTimeseries!$S:$S),"")</f>
        <v>1000</v>
      </c>
      <c r="BO79" s="51">
        <f>IFERROR(LOOKUP(BO$15,HourlyTimeseries!$A:$A,HourlyTimeseries!$S:$S),"")</f>
        <v>1000</v>
      </c>
      <c r="BP79" s="51">
        <f>IFERROR(LOOKUP(BP$15,HourlyTimeseries!$A:$A,HourlyTimeseries!$S:$S),"")</f>
        <v>1000</v>
      </c>
      <c r="BQ79" s="51">
        <f>IFERROR(LOOKUP(BQ$15,HourlyTimeseries!$A:$A,HourlyTimeseries!$S:$S),"")</f>
        <v>1000</v>
      </c>
      <c r="BR79" s="51">
        <f>IFERROR(LOOKUP(BR$15,HourlyTimeseries!$A:$A,HourlyTimeseries!$S:$S),"")</f>
        <v>1000</v>
      </c>
      <c r="BS79" s="51">
        <f>IFERROR(LOOKUP(BS$15,HourlyTimeseries!$A:$A,HourlyTimeseries!$S:$S),"")</f>
        <v>1000</v>
      </c>
      <c r="BT79" s="51">
        <f>IFERROR(LOOKUP(BT$15,HourlyTimeseries!$A:$A,HourlyTimeseries!$S:$S),"")</f>
        <v>1000</v>
      </c>
      <c r="BU79" s="51">
        <f>IFERROR(LOOKUP(BU$15,HourlyTimeseries!$A:$A,HourlyTimeseries!$S:$S),"")</f>
        <v>1000</v>
      </c>
      <c r="BV79" s="51">
        <f>IFERROR(LOOKUP(BV$15,HourlyTimeseries!$A:$A,HourlyTimeseries!$S:$S),"")</f>
        <v>1000</v>
      </c>
      <c r="BW79" s="51">
        <f>IFERROR(LOOKUP(BW$15,HourlyTimeseries!$A:$A,HourlyTimeseries!$S:$S),"")</f>
        <v>1000</v>
      </c>
      <c r="BX79" s="51">
        <f>IFERROR(LOOKUP(BX$15,HourlyTimeseries!$A:$A,HourlyTimeseries!$S:$S),"")</f>
        <v>1000</v>
      </c>
      <c r="BY79" s="51">
        <f>IFERROR(LOOKUP(BY$15,HourlyTimeseries!$A:$A,HourlyTimeseries!$S:$S),"")</f>
        <v>1000</v>
      </c>
      <c r="BZ79" s="51">
        <f>IFERROR(LOOKUP(BZ$15,HourlyTimeseries!$A:$A,HourlyTimeseries!$S:$S),"")</f>
        <v>1000</v>
      </c>
      <c r="CA79" s="51">
        <f>IFERROR(LOOKUP(CA$15,HourlyTimeseries!$A:$A,HourlyTimeseries!$S:$S),"")</f>
        <v>1000</v>
      </c>
      <c r="CB79" s="51">
        <f>IFERROR(LOOKUP(CB$15,HourlyTimeseries!$A:$A,HourlyTimeseries!$S:$S),"")</f>
        <v>1000</v>
      </c>
      <c r="CC79" s="51">
        <f>IFERROR(LOOKUP(CC$15,HourlyTimeseries!$A:$A,HourlyTimeseries!$S:$S),"")</f>
        <v>1000</v>
      </c>
      <c r="CD79" s="51">
        <f>IFERROR(LOOKUP(CD$15,HourlyTimeseries!$A:$A,HourlyTimeseries!$S:$S),"")</f>
        <v>1000</v>
      </c>
      <c r="CE79" s="51">
        <f>IFERROR(LOOKUP(CE$15,HourlyTimeseries!$A:$A,HourlyTimeseries!$S:$S),"")</f>
        <v>1000</v>
      </c>
      <c r="CF79" s="51">
        <f>IFERROR(LOOKUP(CF$15,HourlyTimeseries!$A:$A,HourlyTimeseries!$S:$S),"")</f>
        <v>1000</v>
      </c>
      <c r="CG79" s="51">
        <f>IFERROR(LOOKUP(CG$15,HourlyTimeseries!$A:$A,HourlyTimeseries!$S:$S),"")</f>
        <v>1000</v>
      </c>
      <c r="CH79" s="51">
        <f>IFERROR(LOOKUP(CH$15,HourlyTimeseries!$A:$A,HourlyTimeseries!$S:$S),"")</f>
        <v>1000</v>
      </c>
      <c r="CI79" s="51">
        <f>IFERROR(LOOKUP(CI$15,HourlyTimeseries!$A:$A,HourlyTimeseries!$S:$S),"")</f>
        <v>1000</v>
      </c>
      <c r="CJ79" s="51">
        <f>IFERROR(LOOKUP(CJ$15,HourlyTimeseries!$A:$A,HourlyTimeseries!$S:$S),"")</f>
        <v>1000</v>
      </c>
      <c r="CK79" s="51">
        <f>IFERROR(LOOKUP(CK$15,HourlyTimeseries!$A:$A,HourlyTimeseries!$S:$S),"")</f>
        <v>1000</v>
      </c>
      <c r="CL79" s="51">
        <f>IFERROR(LOOKUP(CL$15,HourlyTimeseries!$A:$A,HourlyTimeseries!$S:$S),"")</f>
        <v>1000</v>
      </c>
      <c r="CM79" s="51">
        <f>IFERROR(LOOKUP(CM$15,HourlyTimeseries!$A:$A,HourlyTimeseries!$S:$S),"")</f>
        <v>1000</v>
      </c>
      <c r="CN79" s="51">
        <f>IFERROR(LOOKUP(CN$15,HourlyTimeseries!$A:$A,HourlyTimeseries!$S:$S),"")</f>
        <v>1000</v>
      </c>
      <c r="CO79" s="51">
        <f>IFERROR(LOOKUP(CO$15,HourlyTimeseries!$A:$A,HourlyTimeseries!$S:$S),"")</f>
        <v>1000</v>
      </c>
      <c r="CP79" s="51">
        <f>IFERROR(LOOKUP(CP$15,HourlyTimeseries!$A:$A,HourlyTimeseries!$S:$S),"")</f>
        <v>1000</v>
      </c>
      <c r="CQ79" s="51">
        <f>IFERROR(LOOKUP(CQ$15,HourlyTimeseries!$A:$A,HourlyTimeseries!$S:$S),"")</f>
        <v>1000</v>
      </c>
      <c r="CR79" s="51">
        <f>IFERROR(LOOKUP(CR$15,HourlyTimeseries!$A:$A,HourlyTimeseries!$S:$S),"")</f>
        <v>1000</v>
      </c>
      <c r="CS79" s="51">
        <f>IFERROR(LOOKUP(CS$15,HourlyTimeseries!$A:$A,HourlyTimeseries!$S:$S),"")</f>
        <v>1000</v>
      </c>
      <c r="CT79" s="51">
        <f>IFERROR(LOOKUP(CT$15,HourlyTimeseries!$A:$A,HourlyTimeseries!$S:$S),"")</f>
        <v>1000</v>
      </c>
      <c r="CU79" s="51">
        <f>IFERROR(LOOKUP(CU$15,HourlyTimeseries!$A:$A,HourlyTimeseries!$S:$S),"")</f>
        <v>1000</v>
      </c>
      <c r="CV79" s="51">
        <f>IFERROR(LOOKUP(CV$15,HourlyTimeseries!$A:$A,HourlyTimeseries!$S:$S),"")</f>
        <v>1000</v>
      </c>
      <c r="CW79" s="51">
        <f>IFERROR(LOOKUP(CW$15,HourlyTimeseries!$A:$A,HourlyTimeseries!$S:$S),"")</f>
        <v>1000</v>
      </c>
      <c r="CX79" s="51">
        <f>IFERROR(LOOKUP(CX$15,HourlyTimeseries!$A:$A,HourlyTimeseries!$S:$S),"")</f>
        <v>1000</v>
      </c>
      <c r="CY79" s="51">
        <f>IFERROR(LOOKUP(CY$15,HourlyTimeseries!$A:$A,HourlyTimeseries!$S:$S),"")</f>
        <v>1000</v>
      </c>
      <c r="CZ79" s="51">
        <f>IFERROR(LOOKUP(CZ$15,HourlyTimeseries!$A:$A,HourlyTimeseries!$S:$S),"")</f>
        <v>1000</v>
      </c>
      <c r="DA79" s="51">
        <f>IFERROR(LOOKUP(DA$15,HourlyTimeseries!$A:$A,HourlyTimeseries!$S:$S),"")</f>
        <v>1000</v>
      </c>
      <c r="DB79" s="51">
        <f>IFERROR(LOOKUP(DB$15,HourlyTimeseries!$A:$A,HourlyTimeseries!$S:$S),"")</f>
        <v>1000</v>
      </c>
      <c r="DC79" s="51">
        <f>IFERROR(LOOKUP(DC$15,HourlyTimeseries!$A:$A,HourlyTimeseries!$S:$S),"")</f>
        <v>1000</v>
      </c>
      <c r="DD79" s="51">
        <f>IFERROR(LOOKUP(DD$15,HourlyTimeseries!$A:$A,HourlyTimeseries!$S:$S),"")</f>
        <v>1000</v>
      </c>
      <c r="DE79" s="51">
        <f>IFERROR(LOOKUP(DE$15,HourlyTimeseries!$A:$A,HourlyTimeseries!$S:$S),"")</f>
        <v>1000</v>
      </c>
      <c r="DF79" s="51">
        <f>IFERROR(LOOKUP(DF$15,HourlyTimeseries!$A:$A,HourlyTimeseries!$S:$S),"")</f>
        <v>1000</v>
      </c>
      <c r="DG79" s="51">
        <f>IFERROR(LOOKUP(DG$15,HourlyTimeseries!$A:$A,HourlyTimeseries!$S:$S),"")</f>
        <v>1000</v>
      </c>
      <c r="DH79" s="51">
        <f>IFERROR(LOOKUP(DH$15,HourlyTimeseries!$A:$A,HourlyTimeseries!$S:$S),"")</f>
        <v>1000</v>
      </c>
      <c r="DI79" s="51">
        <f>IFERROR(LOOKUP(DI$15,HourlyTimeseries!$A:$A,HourlyTimeseries!$S:$S),"")</f>
        <v>1000</v>
      </c>
      <c r="DJ79" s="51">
        <f>IFERROR(LOOKUP(DJ$15,HourlyTimeseries!$A:$A,HourlyTimeseries!$S:$S),"")</f>
        <v>1000</v>
      </c>
      <c r="DK79" s="51">
        <f>IFERROR(LOOKUP(DK$15,HourlyTimeseries!$A:$A,HourlyTimeseries!$S:$S),"")</f>
        <v>1000</v>
      </c>
      <c r="DL79" s="51">
        <f>IFERROR(LOOKUP(DL$15,HourlyTimeseries!$A:$A,HourlyTimeseries!$S:$S),"")</f>
        <v>1000</v>
      </c>
      <c r="DM79" s="51">
        <f>IFERROR(LOOKUP(DM$15,HourlyTimeseries!$A:$A,HourlyTimeseries!$S:$S),"")</f>
        <v>1000</v>
      </c>
      <c r="DN79" s="51">
        <f>IFERROR(LOOKUP(DN$15,HourlyTimeseries!$A:$A,HourlyTimeseries!$S:$S),"")</f>
        <v>1000</v>
      </c>
      <c r="DO79" s="51">
        <f>IFERROR(LOOKUP(DO$15,HourlyTimeseries!$A:$A,HourlyTimeseries!$S:$S),"")</f>
        <v>1000</v>
      </c>
      <c r="DP79" s="51">
        <f>IFERROR(LOOKUP(DP$15,HourlyTimeseries!$A:$A,HourlyTimeseries!$S:$S),"")</f>
        <v>1000</v>
      </c>
      <c r="DQ79" s="51">
        <f>IFERROR(LOOKUP(DQ$15,HourlyTimeseries!$A:$A,HourlyTimeseries!$S:$S),"")</f>
        <v>1000</v>
      </c>
      <c r="DR79" s="51">
        <f>IFERROR(LOOKUP(DR$15,HourlyTimeseries!$A:$A,HourlyTimeseries!$S:$S),"")</f>
        <v>1000</v>
      </c>
      <c r="DS79" s="51">
        <f>IFERROR(LOOKUP(DS$15,HourlyTimeseries!$A:$A,HourlyTimeseries!$S:$S),"")</f>
        <v>1000</v>
      </c>
      <c r="DT79" s="51">
        <f>IFERROR(LOOKUP(DT$15,HourlyTimeseries!$A:$A,HourlyTimeseries!$S:$S),"")</f>
        <v>1000</v>
      </c>
      <c r="DU79" s="51">
        <f>IFERROR(LOOKUP(DU$15,HourlyTimeseries!$A:$A,HourlyTimeseries!$S:$S),"")</f>
        <v>1000</v>
      </c>
      <c r="DV79" s="51">
        <f>IFERROR(LOOKUP(DV$15,HourlyTimeseries!$A:$A,HourlyTimeseries!$S:$S),"")</f>
        <v>1000</v>
      </c>
      <c r="DW79" s="51">
        <f>IFERROR(LOOKUP(DW$15,HourlyTimeseries!$A:$A,HourlyTimeseries!$S:$S),"")</f>
        <v>1000</v>
      </c>
      <c r="DX79" s="51">
        <f>IFERROR(LOOKUP(DX$15,HourlyTimeseries!$A:$A,HourlyTimeseries!$S:$S),"")</f>
        <v>1000</v>
      </c>
      <c r="DY79" s="51">
        <f>IFERROR(LOOKUP(DY$15,HourlyTimeseries!$A:$A,HourlyTimeseries!$S:$S),"")</f>
        <v>1000</v>
      </c>
      <c r="DZ79" s="51">
        <f>IFERROR(LOOKUP(DZ$15,HourlyTimeseries!$A:$A,HourlyTimeseries!$S:$S),"")</f>
        <v>1000</v>
      </c>
      <c r="EA79" s="51">
        <f>IFERROR(LOOKUP(EA$15,HourlyTimeseries!$A:$A,HourlyTimeseries!$S:$S),"")</f>
        <v>1000</v>
      </c>
      <c r="EB79" s="51">
        <f>IFERROR(LOOKUP(EB$15,HourlyTimeseries!$A:$A,HourlyTimeseries!$S:$S),"")</f>
        <v>1000</v>
      </c>
      <c r="EC79" s="51">
        <f>IFERROR(LOOKUP(EC$15,HourlyTimeseries!$A:$A,HourlyTimeseries!$S:$S),"")</f>
        <v>1000</v>
      </c>
      <c r="ED79" s="51">
        <f>IFERROR(LOOKUP(ED$15,HourlyTimeseries!$A:$A,HourlyTimeseries!$S:$S),"")</f>
        <v>1000</v>
      </c>
      <c r="EE79" s="51">
        <f>IFERROR(LOOKUP(EE$15,HourlyTimeseries!$A:$A,HourlyTimeseries!$S:$S),"")</f>
        <v>1000</v>
      </c>
      <c r="EF79" s="51">
        <f>IFERROR(LOOKUP(EF$15,HourlyTimeseries!$A:$A,HourlyTimeseries!$S:$S),"")</f>
        <v>1000</v>
      </c>
      <c r="EG79" s="51">
        <f>IFERROR(LOOKUP(EG$15,HourlyTimeseries!$A:$A,HourlyTimeseries!$S:$S),"")</f>
        <v>1000</v>
      </c>
      <c r="EH79" s="51">
        <f>IFERROR(LOOKUP(EH$15,HourlyTimeseries!$A:$A,HourlyTimeseries!$S:$S),"")</f>
        <v>1000</v>
      </c>
      <c r="EI79" s="51">
        <f>IFERROR(LOOKUP(EI$15,HourlyTimeseries!$A:$A,HourlyTimeseries!$S:$S),"")</f>
        <v>1000</v>
      </c>
      <c r="EJ79" s="51">
        <f>IFERROR(LOOKUP(EJ$15,HourlyTimeseries!$A:$A,HourlyTimeseries!$S:$S),"")</f>
        <v>1000</v>
      </c>
      <c r="EK79" s="51">
        <f>IFERROR(LOOKUP(EK$15,HourlyTimeseries!$A:$A,HourlyTimeseries!$S:$S),"")</f>
        <v>1000</v>
      </c>
      <c r="EL79" s="51">
        <f>IFERROR(LOOKUP(EL$15,HourlyTimeseries!$A:$A,HourlyTimeseries!$S:$S),"")</f>
        <v>1000</v>
      </c>
      <c r="EM79" s="51">
        <f>IFERROR(LOOKUP(EM$15,HourlyTimeseries!$A:$A,HourlyTimeseries!$S:$S),"")</f>
        <v>1000</v>
      </c>
      <c r="EN79" s="51">
        <f>IFERROR(LOOKUP(EN$15,HourlyTimeseries!$A:$A,HourlyTimeseries!$S:$S),"")</f>
        <v>1000</v>
      </c>
      <c r="EO79" s="51">
        <f>IFERROR(LOOKUP(EO$15,HourlyTimeseries!$A:$A,HourlyTimeseries!$S:$S),"")</f>
        <v>1000</v>
      </c>
      <c r="EP79" s="51">
        <f>IFERROR(LOOKUP(EP$15,HourlyTimeseries!$A:$A,HourlyTimeseries!$S:$S),"")</f>
        <v>1000</v>
      </c>
      <c r="EQ79" s="51">
        <f>IFERROR(LOOKUP(EQ$15,HourlyTimeseries!$A:$A,HourlyTimeseries!$S:$S),"")</f>
        <v>1000</v>
      </c>
      <c r="ER79" s="51">
        <f>IFERROR(LOOKUP(ER$15,HourlyTimeseries!$A:$A,HourlyTimeseries!$S:$S),"")</f>
        <v>1000</v>
      </c>
      <c r="ES79" s="51">
        <f>IFERROR(LOOKUP(ES$15,HourlyTimeseries!$A:$A,HourlyTimeseries!$S:$S),"")</f>
        <v>1000</v>
      </c>
      <c r="ET79" s="51">
        <f>IFERROR(LOOKUP(ET$15,HourlyTimeseries!$A:$A,HourlyTimeseries!$S:$S),"")</f>
        <v>1000</v>
      </c>
      <c r="EU79" s="51">
        <f>IFERROR(LOOKUP(EU$15,HourlyTimeseries!$A:$A,HourlyTimeseries!$S:$S),"")</f>
        <v>1000</v>
      </c>
      <c r="EV79" s="51">
        <f>IFERROR(LOOKUP(EV$15,HourlyTimeseries!$A:$A,HourlyTimeseries!$S:$S),"")</f>
        <v>1000</v>
      </c>
      <c r="EW79" s="51">
        <f>IFERROR(LOOKUP(EW$15,HourlyTimeseries!$A:$A,HourlyTimeseries!$S:$S),"")</f>
        <v>1000</v>
      </c>
      <c r="EX79" s="51">
        <f>IFERROR(LOOKUP(EX$15,HourlyTimeseries!$A:$A,HourlyTimeseries!$S:$S),"")</f>
        <v>1000</v>
      </c>
      <c r="EY79" s="51">
        <f>IFERROR(LOOKUP(EY$15,HourlyTimeseries!$A:$A,HourlyTimeseries!$S:$S),"")</f>
        <v>1000</v>
      </c>
      <c r="EZ79" s="51">
        <f>IFERROR(LOOKUP(EZ$15,HourlyTimeseries!$A:$A,HourlyTimeseries!$S:$S),"")</f>
        <v>1000</v>
      </c>
      <c r="FA79" s="51">
        <f>IFERROR(LOOKUP(FA$15,HourlyTimeseries!$A:$A,HourlyTimeseries!$S:$S),"")</f>
        <v>1000</v>
      </c>
      <c r="FB79" s="51">
        <f>IFERROR(LOOKUP(FB$15,HourlyTimeseries!$A:$A,HourlyTimeseries!$S:$S),"")</f>
        <v>1000</v>
      </c>
      <c r="FC79" s="51">
        <f>IFERROR(LOOKUP(FC$15,HourlyTimeseries!$A:$A,HourlyTimeseries!$S:$S),"")</f>
        <v>1000</v>
      </c>
      <c r="FD79" s="51">
        <f>IFERROR(LOOKUP(FD$15,HourlyTimeseries!$A:$A,HourlyTimeseries!$S:$S),"")</f>
        <v>1000</v>
      </c>
      <c r="FE79" s="51">
        <f>IFERROR(LOOKUP(FE$15,HourlyTimeseries!$A:$A,HourlyTimeseries!$S:$S),"")</f>
        <v>1000</v>
      </c>
      <c r="FF79" s="51">
        <f>IFERROR(LOOKUP(FF$15,HourlyTimeseries!$A:$A,HourlyTimeseries!$S:$S),"")</f>
        <v>1000</v>
      </c>
      <c r="FG79" s="51">
        <f>IFERROR(LOOKUP(FG$15,HourlyTimeseries!$A:$A,HourlyTimeseries!$S:$S),"")</f>
        <v>1000</v>
      </c>
      <c r="FH79" s="51">
        <f>IFERROR(LOOKUP(FH$15,HourlyTimeseries!$A:$A,HourlyTimeseries!$S:$S),"")</f>
        <v>1000</v>
      </c>
      <c r="FI79" s="51">
        <f>IFERROR(LOOKUP(FI$15,HourlyTimeseries!$A:$A,HourlyTimeseries!$S:$S),"")</f>
        <v>1000</v>
      </c>
      <c r="FJ79" s="51">
        <f>IFERROR(LOOKUP(FJ$15,HourlyTimeseries!$A:$A,HourlyTimeseries!$S:$S),"")</f>
        <v>1000</v>
      </c>
      <c r="FK79" s="51">
        <f>IFERROR(LOOKUP(FK$15,HourlyTimeseries!$A:$A,HourlyTimeseries!$S:$S),"")</f>
        <v>1000</v>
      </c>
      <c r="FL79" s="51">
        <f>IFERROR(LOOKUP(FL$15,HourlyTimeseries!$A:$A,HourlyTimeseries!$S:$S),"")</f>
        <v>1000</v>
      </c>
      <c r="FM79" s="51">
        <f>IFERROR(LOOKUP(FM$15,HourlyTimeseries!$A:$A,HourlyTimeseries!$S:$S),"")</f>
        <v>1000</v>
      </c>
      <c r="FN79" s="51">
        <f>IFERROR(LOOKUP(FN$15,HourlyTimeseries!$A:$A,HourlyTimeseries!$S:$S),"")</f>
        <v>1000</v>
      </c>
      <c r="FO79" s="51">
        <f>IFERROR(LOOKUP(FO$15,HourlyTimeseries!$A:$A,HourlyTimeseries!$S:$S),"")</f>
        <v>1000</v>
      </c>
      <c r="FP79" s="51">
        <f>IFERROR(LOOKUP(FP$15,HourlyTimeseries!$A:$A,HourlyTimeseries!$S:$S),"")</f>
        <v>1000</v>
      </c>
    </row>
    <row r="80" spans="1:172" ht="19" thickBot="1">
      <c r="B80" s="3"/>
      <c r="C80" s="3"/>
      <c r="D80" s="57"/>
      <c r="E80" s="3" t="s">
        <v>365</v>
      </c>
      <c r="F80" s="3" t="s">
        <v>366</v>
      </c>
      <c r="G80" s="3" t="s">
        <v>367</v>
      </c>
      <c r="H80" s="3" t="s">
        <v>368</v>
      </c>
      <c r="I80" s="3" t="s">
        <v>369</v>
      </c>
      <c r="J80" s="3" t="s">
        <v>370</v>
      </c>
      <c r="K80" s="3" t="s">
        <v>371</v>
      </c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70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70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70"/>
      <c r="BZ80" s="45"/>
      <c r="CA80" s="45"/>
      <c r="CB80" s="45"/>
      <c r="CC80" s="45"/>
      <c r="CD80" s="45"/>
      <c r="CE80" s="45"/>
      <c r="CF80" s="45"/>
      <c r="CG80" s="45"/>
      <c r="CH80" s="45"/>
      <c r="CI80" s="45"/>
      <c r="CJ80" s="45"/>
      <c r="CK80" s="45"/>
      <c r="CL80" s="45"/>
      <c r="CM80" s="45"/>
      <c r="CN80" s="45"/>
      <c r="CO80" s="45"/>
      <c r="CP80" s="45"/>
      <c r="CQ80" s="45"/>
      <c r="CR80" s="45"/>
      <c r="CS80" s="45"/>
      <c r="CT80" s="45"/>
      <c r="CU80" s="45"/>
      <c r="CV80" s="45"/>
      <c r="CW80" s="70"/>
      <c r="CX80" s="45"/>
      <c r="CY80" s="45"/>
      <c r="CZ80" s="45"/>
      <c r="DA80" s="45"/>
      <c r="DB80" s="45"/>
      <c r="DC80" s="45"/>
      <c r="DD80" s="45"/>
      <c r="DE80" s="45"/>
      <c r="DF80" s="45"/>
      <c r="DG80" s="45"/>
      <c r="DH80" s="45"/>
      <c r="DI80" s="45"/>
      <c r="DJ80" s="45"/>
      <c r="DK80" s="45"/>
      <c r="DL80" s="45"/>
      <c r="DM80" s="45"/>
      <c r="DN80" s="45"/>
      <c r="DO80" s="45"/>
      <c r="DP80" s="45"/>
      <c r="DQ80" s="45"/>
      <c r="DR80" s="45"/>
      <c r="DS80" s="45"/>
      <c r="DT80" s="45"/>
      <c r="DU80" s="70"/>
      <c r="DV80" s="45"/>
      <c r="DW80" s="45"/>
      <c r="DX80" s="45"/>
      <c r="DY80" s="45"/>
      <c r="DZ80" s="45"/>
      <c r="EA80" s="45"/>
      <c r="EB80" s="45"/>
      <c r="EC80" s="45"/>
      <c r="ED80" s="45"/>
      <c r="EE80" s="45"/>
      <c r="EF80" s="45"/>
      <c r="EG80" s="45"/>
      <c r="EH80" s="45"/>
      <c r="EI80" s="45"/>
      <c r="EJ80" s="45"/>
      <c r="EK80" s="45"/>
      <c r="EL80" s="45"/>
      <c r="EM80" s="45"/>
      <c r="EN80" s="45"/>
      <c r="EO80" s="45"/>
      <c r="EP80" s="45"/>
      <c r="EQ80" s="45"/>
      <c r="ER80" s="45"/>
      <c r="ES80" s="70"/>
      <c r="ET80" s="45"/>
      <c r="EU80" s="45"/>
      <c r="EV80" s="45"/>
      <c r="EW80" s="45"/>
      <c r="EX80" s="45"/>
      <c r="EY80" s="45"/>
      <c r="EZ80" s="45"/>
      <c r="FA80" s="45"/>
      <c r="FB80" s="45"/>
      <c r="FC80" s="45"/>
      <c r="FD80" s="45"/>
      <c r="FE80" s="45"/>
      <c r="FF80" s="45"/>
      <c r="FG80" s="45"/>
      <c r="FH80" s="45"/>
      <c r="FI80" s="45"/>
      <c r="FJ80" s="45"/>
      <c r="FK80" s="45"/>
      <c r="FL80" s="45"/>
      <c r="FM80" s="45"/>
      <c r="FN80" s="45"/>
      <c r="FO80" s="45"/>
      <c r="FP80" s="45"/>
    </row>
    <row r="81" spans="1:172" ht="16" thickTop="1">
      <c r="A81" t="s">
        <v>57</v>
      </c>
      <c r="B81" s="2" t="s">
        <v>56</v>
      </c>
      <c r="C81" s="42" t="s">
        <v>133</v>
      </c>
      <c r="D81" s="58"/>
      <c r="E81" s="73">
        <f>IFERROR(LOOKUP(E$17,DailyTimeseries!$A:$A,DailyTimeseries!$E:$E),"")</f>
        <v>3.2565162051417691E-2</v>
      </c>
      <c r="F81" s="73">
        <f>IFERROR(LOOKUP(F$17,DailyTimeseries!$A:$A,DailyTimeseries!$E:$E),"")</f>
        <v>3.2565162051417691E-2</v>
      </c>
      <c r="G81" s="73">
        <f>IFERROR(LOOKUP(G$17,DailyTimeseries!$A:$A,DailyTimeseries!$E:$E),"")</f>
        <v>3.2565162051417691E-2</v>
      </c>
      <c r="H81" s="73">
        <f>IFERROR(LOOKUP(H$17,DailyTimeseries!$A:$A,DailyTimeseries!$E:$E),"")</f>
        <v>3.2565162051417691E-2</v>
      </c>
      <c r="I81" s="73">
        <f>IFERROR(LOOKUP(I$17,DailyTimeseries!$A:$A,DailyTimeseries!$E:$E),"")</f>
        <v>3.2565162051417691E-2</v>
      </c>
      <c r="J81" s="73">
        <f>IFERROR(LOOKUP(J$17,DailyTimeseries!$A:$A,DailyTimeseries!$E:$E),"")</f>
        <v>3.2565162051417691E-2</v>
      </c>
      <c r="K81" s="73">
        <f>IFERROR(LOOKUP(K$17,DailyTimeseries!$A:$A,DailyTimeseries!$E:$E),"")</f>
        <v>3.2565162051417691E-2</v>
      </c>
    </row>
    <row r="83" spans="1:172" ht="21" thickBot="1">
      <c r="A83" s="1" t="s">
        <v>121</v>
      </c>
      <c r="B83" s="7" t="s">
        <v>32</v>
      </c>
      <c r="C83" s="3" t="s">
        <v>132</v>
      </c>
      <c r="D83" s="7"/>
      <c r="E83" s="3" t="s">
        <v>7</v>
      </c>
      <c r="F83" s="3" t="s">
        <v>8</v>
      </c>
      <c r="G83" s="3" t="s">
        <v>9</v>
      </c>
      <c r="H83" s="3" t="s">
        <v>10</v>
      </c>
      <c r="I83" s="3" t="s">
        <v>11</v>
      </c>
      <c r="J83" s="3" t="s">
        <v>12</v>
      </c>
      <c r="K83" s="3" t="s">
        <v>13</v>
      </c>
      <c r="L83" s="3" t="s">
        <v>14</v>
      </c>
      <c r="M83" s="3" t="s">
        <v>15</v>
      </c>
      <c r="N83" s="3" t="s">
        <v>16</v>
      </c>
      <c r="O83" s="3" t="s">
        <v>17</v>
      </c>
      <c r="P83" s="3" t="s">
        <v>18</v>
      </c>
      <c r="Q83" s="3" t="s">
        <v>19</v>
      </c>
      <c r="R83" s="3" t="s">
        <v>20</v>
      </c>
      <c r="S83" s="3" t="s">
        <v>21</v>
      </c>
      <c r="T83" s="3" t="s">
        <v>22</v>
      </c>
      <c r="U83" s="3" t="s">
        <v>23</v>
      </c>
      <c r="V83" s="3" t="s">
        <v>24</v>
      </c>
      <c r="W83" s="3" t="s">
        <v>25</v>
      </c>
      <c r="X83" s="3" t="s">
        <v>26</v>
      </c>
      <c r="Y83" s="3" t="s">
        <v>27</v>
      </c>
      <c r="Z83" s="3" t="s">
        <v>28</v>
      </c>
      <c r="AA83" s="3" t="s">
        <v>29</v>
      </c>
      <c r="AB83" s="3" t="s">
        <v>30</v>
      </c>
      <c r="AC83" s="65" t="s">
        <v>221</v>
      </c>
      <c r="AD83" s="3" t="s">
        <v>222</v>
      </c>
      <c r="AE83" s="3" t="s">
        <v>223</v>
      </c>
      <c r="AF83" s="3" t="s">
        <v>224</v>
      </c>
      <c r="AG83" s="3" t="s">
        <v>225</v>
      </c>
      <c r="AH83" s="3" t="s">
        <v>226</v>
      </c>
      <c r="AI83" s="3" t="s">
        <v>227</v>
      </c>
      <c r="AJ83" s="3" t="s">
        <v>228</v>
      </c>
      <c r="AK83" s="3" t="s">
        <v>229</v>
      </c>
      <c r="AL83" s="3" t="s">
        <v>230</v>
      </c>
      <c r="AM83" s="3" t="s">
        <v>231</v>
      </c>
      <c r="AN83" s="3" t="s">
        <v>232</v>
      </c>
      <c r="AO83" s="3" t="s">
        <v>233</v>
      </c>
      <c r="AP83" s="3" t="s">
        <v>234</v>
      </c>
      <c r="AQ83" s="3" t="s">
        <v>235</v>
      </c>
      <c r="AR83" s="3" t="s">
        <v>236</v>
      </c>
      <c r="AS83" s="3" t="s">
        <v>237</v>
      </c>
      <c r="AT83" s="3" t="s">
        <v>238</v>
      </c>
      <c r="AU83" s="3" t="s">
        <v>239</v>
      </c>
      <c r="AV83" s="3" t="s">
        <v>240</v>
      </c>
      <c r="AW83" s="3" t="s">
        <v>241</v>
      </c>
      <c r="AX83" s="3" t="s">
        <v>242</v>
      </c>
      <c r="AY83" s="3" t="s">
        <v>243</v>
      </c>
      <c r="AZ83" s="3" t="s">
        <v>244</v>
      </c>
      <c r="BA83" s="65" t="s">
        <v>245</v>
      </c>
      <c r="BB83" s="3" t="s">
        <v>246</v>
      </c>
      <c r="BC83" s="3" t="s">
        <v>247</v>
      </c>
      <c r="BD83" s="3" t="s">
        <v>248</v>
      </c>
      <c r="BE83" s="3" t="s">
        <v>249</v>
      </c>
      <c r="BF83" s="3" t="s">
        <v>250</v>
      </c>
      <c r="BG83" s="3" t="s">
        <v>251</v>
      </c>
      <c r="BH83" s="3" t="s">
        <v>252</v>
      </c>
      <c r="BI83" s="3" t="s">
        <v>253</v>
      </c>
      <c r="BJ83" s="3" t="s">
        <v>254</v>
      </c>
      <c r="BK83" s="3" t="s">
        <v>255</v>
      </c>
      <c r="BL83" s="3" t="s">
        <v>256</v>
      </c>
      <c r="BM83" s="3" t="s">
        <v>257</v>
      </c>
      <c r="BN83" s="3" t="s">
        <v>258</v>
      </c>
      <c r="BO83" s="3" t="s">
        <v>259</v>
      </c>
      <c r="BP83" s="3" t="s">
        <v>260</v>
      </c>
      <c r="BQ83" s="3" t="s">
        <v>261</v>
      </c>
      <c r="BR83" s="3" t="s">
        <v>262</v>
      </c>
      <c r="BS83" s="3" t="s">
        <v>263</v>
      </c>
      <c r="BT83" s="3" t="s">
        <v>264</v>
      </c>
      <c r="BU83" s="3" t="s">
        <v>265</v>
      </c>
      <c r="BV83" s="3" t="s">
        <v>266</v>
      </c>
      <c r="BW83" s="3" t="s">
        <v>267</v>
      </c>
      <c r="BX83" s="3" t="s">
        <v>268</v>
      </c>
      <c r="BY83" s="65" t="s">
        <v>269</v>
      </c>
      <c r="BZ83" s="3" t="s">
        <v>270</v>
      </c>
      <c r="CA83" s="3" t="s">
        <v>271</v>
      </c>
      <c r="CB83" s="3" t="s">
        <v>272</v>
      </c>
      <c r="CC83" s="3" t="s">
        <v>273</v>
      </c>
      <c r="CD83" s="3" t="s">
        <v>274</v>
      </c>
      <c r="CE83" s="3" t="s">
        <v>275</v>
      </c>
      <c r="CF83" s="3" t="s">
        <v>276</v>
      </c>
      <c r="CG83" s="3" t="s">
        <v>277</v>
      </c>
      <c r="CH83" s="3" t="s">
        <v>278</v>
      </c>
      <c r="CI83" s="3" t="s">
        <v>279</v>
      </c>
      <c r="CJ83" s="3" t="s">
        <v>280</v>
      </c>
      <c r="CK83" s="3" t="s">
        <v>281</v>
      </c>
      <c r="CL83" s="3" t="s">
        <v>282</v>
      </c>
      <c r="CM83" s="3" t="s">
        <v>283</v>
      </c>
      <c r="CN83" s="3" t="s">
        <v>284</v>
      </c>
      <c r="CO83" s="3" t="s">
        <v>285</v>
      </c>
      <c r="CP83" s="3" t="s">
        <v>286</v>
      </c>
      <c r="CQ83" s="3" t="s">
        <v>287</v>
      </c>
      <c r="CR83" s="3" t="s">
        <v>288</v>
      </c>
      <c r="CS83" s="3" t="s">
        <v>289</v>
      </c>
      <c r="CT83" s="3" t="s">
        <v>290</v>
      </c>
      <c r="CU83" s="3" t="s">
        <v>291</v>
      </c>
      <c r="CV83" s="3" t="s">
        <v>292</v>
      </c>
      <c r="CW83" s="65" t="s">
        <v>293</v>
      </c>
      <c r="CX83" s="3" t="s">
        <v>294</v>
      </c>
      <c r="CY83" s="3" t="s">
        <v>295</v>
      </c>
      <c r="CZ83" s="3" t="s">
        <v>296</v>
      </c>
      <c r="DA83" s="3" t="s">
        <v>297</v>
      </c>
      <c r="DB83" s="3" t="s">
        <v>298</v>
      </c>
      <c r="DC83" s="3" t="s">
        <v>299</v>
      </c>
      <c r="DD83" s="3" t="s">
        <v>300</v>
      </c>
      <c r="DE83" s="3" t="s">
        <v>301</v>
      </c>
      <c r="DF83" s="3" t="s">
        <v>302</v>
      </c>
      <c r="DG83" s="3" t="s">
        <v>303</v>
      </c>
      <c r="DH83" s="3" t="s">
        <v>304</v>
      </c>
      <c r="DI83" s="3" t="s">
        <v>305</v>
      </c>
      <c r="DJ83" s="3" t="s">
        <v>306</v>
      </c>
      <c r="DK83" s="3" t="s">
        <v>307</v>
      </c>
      <c r="DL83" s="3" t="s">
        <v>308</v>
      </c>
      <c r="DM83" s="3" t="s">
        <v>309</v>
      </c>
      <c r="DN83" s="3" t="s">
        <v>310</v>
      </c>
      <c r="DO83" s="3" t="s">
        <v>311</v>
      </c>
      <c r="DP83" s="3" t="s">
        <v>312</v>
      </c>
      <c r="DQ83" s="3" t="s">
        <v>313</v>
      </c>
      <c r="DR83" s="3" t="s">
        <v>314</v>
      </c>
      <c r="DS83" s="3" t="s">
        <v>315</v>
      </c>
      <c r="DT83" s="3" t="s">
        <v>316</v>
      </c>
      <c r="DU83" s="65" t="s">
        <v>317</v>
      </c>
      <c r="DV83" s="3" t="s">
        <v>318</v>
      </c>
      <c r="DW83" s="3" t="s">
        <v>319</v>
      </c>
      <c r="DX83" s="3" t="s">
        <v>320</v>
      </c>
      <c r="DY83" s="3" t="s">
        <v>321</v>
      </c>
      <c r="DZ83" s="3" t="s">
        <v>322</v>
      </c>
      <c r="EA83" s="3" t="s">
        <v>323</v>
      </c>
      <c r="EB83" s="3" t="s">
        <v>324</v>
      </c>
      <c r="EC83" s="3" t="s">
        <v>325</v>
      </c>
      <c r="ED83" s="3" t="s">
        <v>326</v>
      </c>
      <c r="EE83" s="3" t="s">
        <v>327</v>
      </c>
      <c r="EF83" s="3" t="s">
        <v>328</v>
      </c>
      <c r="EG83" s="3" t="s">
        <v>329</v>
      </c>
      <c r="EH83" s="3" t="s">
        <v>330</v>
      </c>
      <c r="EI83" s="3" t="s">
        <v>331</v>
      </c>
      <c r="EJ83" s="3" t="s">
        <v>332</v>
      </c>
      <c r="EK83" s="3" t="s">
        <v>333</v>
      </c>
      <c r="EL83" s="3" t="s">
        <v>334</v>
      </c>
      <c r="EM83" s="3" t="s">
        <v>335</v>
      </c>
      <c r="EN83" s="3" t="s">
        <v>336</v>
      </c>
      <c r="EO83" s="3" t="s">
        <v>337</v>
      </c>
      <c r="EP83" s="3" t="s">
        <v>338</v>
      </c>
      <c r="EQ83" s="3" t="s">
        <v>339</v>
      </c>
      <c r="ER83" s="3" t="s">
        <v>340</v>
      </c>
      <c r="ES83" s="65" t="s">
        <v>341</v>
      </c>
      <c r="ET83" s="3" t="s">
        <v>342</v>
      </c>
      <c r="EU83" s="3" t="s">
        <v>343</v>
      </c>
      <c r="EV83" s="3" t="s">
        <v>344</v>
      </c>
      <c r="EW83" s="3" t="s">
        <v>345</v>
      </c>
      <c r="EX83" s="3" t="s">
        <v>346</v>
      </c>
      <c r="EY83" s="3" t="s">
        <v>347</v>
      </c>
      <c r="EZ83" s="3" t="s">
        <v>348</v>
      </c>
      <c r="FA83" s="3" t="s">
        <v>349</v>
      </c>
      <c r="FB83" s="3" t="s">
        <v>350</v>
      </c>
      <c r="FC83" s="3" t="s">
        <v>351</v>
      </c>
      <c r="FD83" s="3" t="s">
        <v>352</v>
      </c>
      <c r="FE83" s="3" t="s">
        <v>353</v>
      </c>
      <c r="FF83" s="3" t="s">
        <v>354</v>
      </c>
      <c r="FG83" s="3" t="s">
        <v>355</v>
      </c>
      <c r="FH83" s="3" t="s">
        <v>356</v>
      </c>
      <c r="FI83" s="3" t="s">
        <v>357</v>
      </c>
      <c r="FJ83" s="3" t="s">
        <v>358</v>
      </c>
      <c r="FK83" s="3" t="s">
        <v>359</v>
      </c>
      <c r="FL83" s="3" t="s">
        <v>360</v>
      </c>
      <c r="FM83" s="3" t="s">
        <v>361</v>
      </c>
      <c r="FN83" s="3" t="s">
        <v>362</v>
      </c>
      <c r="FO83" s="3" t="s">
        <v>363</v>
      </c>
      <c r="FP83" s="3" t="s">
        <v>364</v>
      </c>
    </row>
    <row r="84" spans="1:172" ht="16" thickTop="1">
      <c r="A84" t="s">
        <v>55</v>
      </c>
      <c r="B84" s="2" t="s">
        <v>54</v>
      </c>
      <c r="C84" s="8" t="s">
        <v>134</v>
      </c>
      <c r="D84" s="2"/>
      <c r="E84" s="51">
        <f>IFERROR(LOOKUP(E$15,HourlyTimeseries!$A:$A,HourlyTimeseries!$T:$T),"")</f>
        <v>297.2244</v>
      </c>
      <c r="F84" s="51">
        <f>IFERROR(LOOKUP(F$15,HourlyTimeseries!$A:$A,HourlyTimeseries!$T:$T),"")</f>
        <v>295.12680000000006</v>
      </c>
      <c r="G84" s="51">
        <f>IFERROR(LOOKUP(G$15,HourlyTimeseries!$A:$A,HourlyTimeseries!$T:$T),"")</f>
        <v>295.12680000000006</v>
      </c>
      <c r="H84" s="51">
        <f>IFERROR(LOOKUP(H$15,HourlyTimeseries!$A:$A,HourlyTimeseries!$T:$T),"")</f>
        <v>295.12680000000006</v>
      </c>
      <c r="I84" s="51">
        <f>IFERROR(LOOKUP(I$15,HourlyTimeseries!$A:$A,HourlyTimeseries!$T:$T),"")</f>
        <v>295.12680000000006</v>
      </c>
      <c r="J84" s="51">
        <f>IFERROR(LOOKUP(J$15,HourlyTimeseries!$A:$A,HourlyTimeseries!$T:$T),"")</f>
        <v>295.12680000000006</v>
      </c>
      <c r="K84" s="51">
        <f>IFERROR(LOOKUP(K$15,HourlyTimeseries!$A:$A,HourlyTimeseries!$T:$T),"")</f>
        <v>295.12680000000006</v>
      </c>
      <c r="L84" s="51">
        <f>IFERROR(LOOKUP(L$15,HourlyTimeseries!$A:$A,HourlyTimeseries!$T:$T),"")</f>
        <v>295.12680000000006</v>
      </c>
      <c r="M84" s="51">
        <f>IFERROR(LOOKUP(M$15,HourlyTimeseries!$A:$A,HourlyTimeseries!$T:$T),"")</f>
        <v>295.12680000000006</v>
      </c>
      <c r="N84" s="51">
        <f>IFERROR(LOOKUP(N$15,HourlyTimeseries!$A:$A,HourlyTimeseries!$T:$T),"")</f>
        <v>295.12680000000006</v>
      </c>
      <c r="O84" s="51">
        <f>IFERROR(LOOKUP(O$15,HourlyTimeseries!$A:$A,HourlyTimeseries!$T:$T),"")</f>
        <v>295.12680000000006</v>
      </c>
      <c r="P84" s="51">
        <f>IFERROR(LOOKUP(P$15,HourlyTimeseries!$A:$A,HourlyTimeseries!$T:$T),"")</f>
        <v>295.12680000000006</v>
      </c>
      <c r="Q84" s="51">
        <f>IFERROR(LOOKUP(Q$15,HourlyTimeseries!$A:$A,HourlyTimeseries!$T:$T),"")</f>
        <v>295.12680000000006</v>
      </c>
      <c r="R84" s="51">
        <f>IFERROR(LOOKUP(R$15,HourlyTimeseries!$A:$A,HourlyTimeseries!$T:$T),"")</f>
        <v>295.12680000000006</v>
      </c>
      <c r="S84" s="51">
        <f>IFERROR(LOOKUP(S$15,HourlyTimeseries!$A:$A,HourlyTimeseries!$T:$T),"")</f>
        <v>295.12680000000006</v>
      </c>
      <c r="T84" s="51">
        <f>IFERROR(LOOKUP(T$15,HourlyTimeseries!$A:$A,HourlyTimeseries!$T:$T),"")</f>
        <v>347.07460000000003</v>
      </c>
      <c r="U84" s="51">
        <f>IFERROR(LOOKUP(U$15,HourlyTimeseries!$A:$A,HourlyTimeseries!$T:$T),"")</f>
        <v>406.27384000000001</v>
      </c>
      <c r="V84" s="51">
        <f>IFERROR(LOOKUP(V$15,HourlyTimeseries!$A:$A,HourlyTimeseries!$T:$T),"")</f>
        <v>521.92427999999995</v>
      </c>
      <c r="W84" s="51">
        <f>IFERROR(LOOKUP(W$15,HourlyTimeseries!$A:$A,HourlyTimeseries!$T:$T),"")</f>
        <v>521.92427999999995</v>
      </c>
      <c r="X84" s="51">
        <f>IFERROR(LOOKUP(X$15,HourlyTimeseries!$A:$A,HourlyTimeseries!$T:$T),"")</f>
        <v>521.92427999999995</v>
      </c>
      <c r="Y84" s="51">
        <f>IFERROR(LOOKUP(Y$15,HourlyTimeseries!$A:$A,HourlyTimeseries!$T:$T),"")</f>
        <v>521.92427999999995</v>
      </c>
      <c r="Z84" s="51">
        <f>IFERROR(LOOKUP(Z$15,HourlyTimeseries!$A:$A,HourlyTimeseries!$T:$T),"")</f>
        <v>521.92427999999995</v>
      </c>
      <c r="AA84" s="51">
        <f>IFERROR(LOOKUP(AA$15,HourlyTimeseries!$A:$A,HourlyTimeseries!$T:$T),"")</f>
        <v>447.02432000000005</v>
      </c>
      <c r="AB84" s="60">
        <f>IFERROR(LOOKUP(AB$15,HourlyTimeseries!$A:$A,HourlyTimeseries!$T:$T),"")</f>
        <v>372.12436000000002</v>
      </c>
      <c r="AC84" s="67">
        <f>IFERROR(LOOKUP(AC$15,HourlyTimeseries!$A:$A,HourlyTimeseries!$T:$T),"")</f>
        <v>297.2244</v>
      </c>
      <c r="AD84" s="51">
        <f>IFERROR(LOOKUP(AD$15,HourlyTimeseries!$A:$A,HourlyTimeseries!$T:$T),"")</f>
        <v>295.12680000000006</v>
      </c>
      <c r="AE84" s="51">
        <f>IFERROR(LOOKUP(AE$15,HourlyTimeseries!$A:$A,HourlyTimeseries!$T:$T),"")</f>
        <v>295.12680000000006</v>
      </c>
      <c r="AF84" s="51">
        <f>IFERROR(LOOKUP(AF$15,HourlyTimeseries!$A:$A,HourlyTimeseries!$T:$T),"")</f>
        <v>295.12680000000006</v>
      </c>
      <c r="AG84" s="51">
        <f>IFERROR(LOOKUP(AG$15,HourlyTimeseries!$A:$A,HourlyTimeseries!$T:$T),"")</f>
        <v>295.12680000000006</v>
      </c>
      <c r="AH84" s="51">
        <f>IFERROR(LOOKUP(AH$15,HourlyTimeseries!$A:$A,HourlyTimeseries!$T:$T),"")</f>
        <v>295.12680000000006</v>
      </c>
      <c r="AI84" s="51">
        <f>IFERROR(LOOKUP(AI$15,HourlyTimeseries!$A:$A,HourlyTimeseries!$T:$T),"")</f>
        <v>295.12680000000006</v>
      </c>
      <c r="AJ84" s="51">
        <f>IFERROR(LOOKUP(AJ$15,HourlyTimeseries!$A:$A,HourlyTimeseries!$T:$T),"")</f>
        <v>295.12680000000006</v>
      </c>
      <c r="AK84" s="51">
        <f>IFERROR(LOOKUP(AK$15,HourlyTimeseries!$A:$A,HourlyTimeseries!$T:$T),"")</f>
        <v>295.12680000000006</v>
      </c>
      <c r="AL84" s="51">
        <f>IFERROR(LOOKUP(AL$15,HourlyTimeseries!$A:$A,HourlyTimeseries!$T:$T),"")</f>
        <v>295.12680000000006</v>
      </c>
      <c r="AM84" s="51">
        <f>IFERROR(LOOKUP(AM$15,HourlyTimeseries!$A:$A,HourlyTimeseries!$T:$T),"")</f>
        <v>295.12680000000006</v>
      </c>
      <c r="AN84" s="51">
        <f>IFERROR(LOOKUP(AN$15,HourlyTimeseries!$A:$A,HourlyTimeseries!$T:$T),"")</f>
        <v>295.12680000000006</v>
      </c>
      <c r="AO84" s="51">
        <f>IFERROR(LOOKUP(AO$15,HourlyTimeseries!$A:$A,HourlyTimeseries!$T:$T),"")</f>
        <v>295.12680000000006</v>
      </c>
      <c r="AP84" s="51">
        <f>IFERROR(LOOKUP(AP$15,HourlyTimeseries!$A:$A,HourlyTimeseries!$T:$T),"")</f>
        <v>295.12680000000006</v>
      </c>
      <c r="AQ84" s="51">
        <f>IFERROR(LOOKUP(AQ$15,HourlyTimeseries!$A:$A,HourlyTimeseries!$T:$T),"")</f>
        <v>295.12680000000006</v>
      </c>
      <c r="AR84" s="51">
        <f>IFERROR(LOOKUP(AR$15,HourlyTimeseries!$A:$A,HourlyTimeseries!$T:$T),"")</f>
        <v>384.35300000000001</v>
      </c>
      <c r="AS84" s="51">
        <f>IFERROR(LOOKUP(AS$15,HourlyTimeseries!$A:$A,HourlyTimeseries!$T:$T),"")</f>
        <v>475.29131999999998</v>
      </c>
      <c r="AT84" s="51">
        <f>IFERROR(LOOKUP(AT$15,HourlyTimeseries!$A:$A,HourlyTimeseries!$T:$T),"")</f>
        <v>475.29131999999998</v>
      </c>
      <c r="AU84" s="51">
        <f>IFERROR(LOOKUP(AU$15,HourlyTimeseries!$A:$A,HourlyTimeseries!$T:$T),"")</f>
        <v>521.92427999999995</v>
      </c>
      <c r="AV84" s="51">
        <f>IFERROR(LOOKUP(AV$15,HourlyTimeseries!$A:$A,HourlyTimeseries!$T:$T),"")</f>
        <v>521.92427999999995</v>
      </c>
      <c r="AW84" s="51">
        <f>IFERROR(LOOKUP(AW$15,HourlyTimeseries!$A:$A,HourlyTimeseries!$T:$T),"")</f>
        <v>519.82668000000001</v>
      </c>
      <c r="AX84" s="51">
        <f>IFERROR(LOOKUP(AX$15,HourlyTimeseries!$A:$A,HourlyTimeseries!$T:$T),"")</f>
        <v>444.92671999999999</v>
      </c>
      <c r="AY84" s="51">
        <f>IFERROR(LOOKUP(AY$15,HourlyTimeseries!$A:$A,HourlyTimeseries!$T:$T),"")</f>
        <v>370.02675999999997</v>
      </c>
      <c r="AZ84" s="60">
        <f>IFERROR(LOOKUP(AZ$15,HourlyTimeseries!$A:$A,HourlyTimeseries!$T:$T),"")</f>
        <v>295.12680000000006</v>
      </c>
      <c r="BA84" s="67">
        <f>IFERROR(LOOKUP(BA$15,HourlyTimeseries!$A:$A,HourlyTimeseries!$T:$T),"")</f>
        <v>297.2244</v>
      </c>
      <c r="BB84" s="51">
        <f>IFERROR(LOOKUP(BB$15,HourlyTimeseries!$A:$A,HourlyTimeseries!$T:$T),"")</f>
        <v>295.12680000000006</v>
      </c>
      <c r="BC84" s="51">
        <f>IFERROR(LOOKUP(BC$15,HourlyTimeseries!$A:$A,HourlyTimeseries!$T:$T),"")</f>
        <v>295.12680000000006</v>
      </c>
      <c r="BD84" s="51">
        <f>IFERROR(LOOKUP(BD$15,HourlyTimeseries!$A:$A,HourlyTimeseries!$T:$T),"")</f>
        <v>295.12680000000006</v>
      </c>
      <c r="BE84" s="51">
        <f>IFERROR(LOOKUP(BE$15,HourlyTimeseries!$A:$A,HourlyTimeseries!$T:$T),"")</f>
        <v>295.12680000000006</v>
      </c>
      <c r="BF84" s="51">
        <f>IFERROR(LOOKUP(BF$15,HourlyTimeseries!$A:$A,HourlyTimeseries!$T:$T),"")</f>
        <v>295.12680000000006</v>
      </c>
      <c r="BG84" s="51">
        <f>IFERROR(LOOKUP(BG$15,HourlyTimeseries!$A:$A,HourlyTimeseries!$T:$T),"")</f>
        <v>295.12680000000006</v>
      </c>
      <c r="BH84" s="51">
        <f>IFERROR(LOOKUP(BH$15,HourlyTimeseries!$A:$A,HourlyTimeseries!$T:$T),"")</f>
        <v>295.12680000000006</v>
      </c>
      <c r="BI84" s="51">
        <f>IFERROR(LOOKUP(BI$15,HourlyTimeseries!$A:$A,HourlyTimeseries!$T:$T),"")</f>
        <v>295.12680000000006</v>
      </c>
      <c r="BJ84" s="51">
        <f>IFERROR(LOOKUP(BJ$15,HourlyTimeseries!$A:$A,HourlyTimeseries!$T:$T),"")</f>
        <v>295.12680000000006</v>
      </c>
      <c r="BK84" s="51">
        <f>IFERROR(LOOKUP(BK$15,HourlyTimeseries!$A:$A,HourlyTimeseries!$T:$T),"")</f>
        <v>295.12680000000006</v>
      </c>
      <c r="BL84" s="51">
        <f>IFERROR(LOOKUP(BL$15,HourlyTimeseries!$A:$A,HourlyTimeseries!$T:$T),"")</f>
        <v>295.12680000000006</v>
      </c>
      <c r="BM84" s="51">
        <f>IFERROR(LOOKUP(BM$15,HourlyTimeseries!$A:$A,HourlyTimeseries!$T:$T),"")</f>
        <v>295.12680000000006</v>
      </c>
      <c r="BN84" s="51">
        <f>IFERROR(LOOKUP(BN$15,HourlyTimeseries!$A:$A,HourlyTimeseries!$T:$T),"")</f>
        <v>295.12680000000006</v>
      </c>
      <c r="BO84" s="51">
        <f>IFERROR(LOOKUP(BO$15,HourlyTimeseries!$A:$A,HourlyTimeseries!$T:$T),"")</f>
        <v>402.08416</v>
      </c>
      <c r="BP84" s="51">
        <f>IFERROR(LOOKUP(BP$15,HourlyTimeseries!$A:$A,HourlyTimeseries!$T:$T),"")</f>
        <v>521.92427999999995</v>
      </c>
      <c r="BQ84" s="51">
        <f>IFERROR(LOOKUP(BQ$15,HourlyTimeseries!$A:$A,HourlyTimeseries!$T:$T),"")</f>
        <v>521.92427999999995</v>
      </c>
      <c r="BR84" s="51">
        <f>IFERROR(LOOKUP(BR$15,HourlyTimeseries!$A:$A,HourlyTimeseries!$T:$T),"")</f>
        <v>521.92427999999995</v>
      </c>
      <c r="BS84" s="51">
        <f>IFERROR(LOOKUP(BS$15,HourlyTimeseries!$A:$A,HourlyTimeseries!$T:$T),"")</f>
        <v>521.92427999999995</v>
      </c>
      <c r="BT84" s="51">
        <f>IFERROR(LOOKUP(BT$15,HourlyTimeseries!$A:$A,HourlyTimeseries!$T:$T),"")</f>
        <v>521.92427999999995</v>
      </c>
      <c r="BU84" s="51">
        <f>IFERROR(LOOKUP(BU$15,HourlyTimeseries!$A:$A,HourlyTimeseries!$T:$T),"")</f>
        <v>521.92427999999995</v>
      </c>
      <c r="BV84" s="51">
        <f>IFERROR(LOOKUP(BV$15,HourlyTimeseries!$A:$A,HourlyTimeseries!$T:$T),"")</f>
        <v>521.92427999999995</v>
      </c>
      <c r="BW84" s="51">
        <f>IFERROR(LOOKUP(BW$15,HourlyTimeseries!$A:$A,HourlyTimeseries!$T:$T),"")</f>
        <v>447.02432000000005</v>
      </c>
      <c r="BX84" s="60">
        <f>IFERROR(LOOKUP(BX$15,HourlyTimeseries!$A:$A,HourlyTimeseries!$T:$T),"")</f>
        <v>372.12436000000002</v>
      </c>
      <c r="BY84" s="67">
        <f>IFERROR(LOOKUP(BY$15,HourlyTimeseries!$A:$A,HourlyTimeseries!$T:$T),"")</f>
        <v>297.2244</v>
      </c>
      <c r="BZ84" s="51">
        <f>IFERROR(LOOKUP(BZ$15,HourlyTimeseries!$A:$A,HourlyTimeseries!$T:$T),"")</f>
        <v>295.12680000000006</v>
      </c>
      <c r="CA84" s="51">
        <f>IFERROR(LOOKUP(CA$15,HourlyTimeseries!$A:$A,HourlyTimeseries!$T:$T),"")</f>
        <v>295.12680000000006</v>
      </c>
      <c r="CB84" s="51">
        <f>IFERROR(LOOKUP(CB$15,HourlyTimeseries!$A:$A,HourlyTimeseries!$T:$T),"")</f>
        <v>295.12680000000006</v>
      </c>
      <c r="CC84" s="51">
        <f>IFERROR(LOOKUP(CC$15,HourlyTimeseries!$A:$A,HourlyTimeseries!$T:$T),"")</f>
        <v>295.12680000000006</v>
      </c>
      <c r="CD84" s="51">
        <f>IFERROR(LOOKUP(CD$15,HourlyTimeseries!$A:$A,HourlyTimeseries!$T:$T),"")</f>
        <v>295.12680000000006</v>
      </c>
      <c r="CE84" s="51">
        <f>IFERROR(LOOKUP(CE$15,HourlyTimeseries!$A:$A,HourlyTimeseries!$T:$T),"")</f>
        <v>295.12680000000006</v>
      </c>
      <c r="CF84" s="51">
        <f>IFERROR(LOOKUP(CF$15,HourlyTimeseries!$A:$A,HourlyTimeseries!$T:$T),"")</f>
        <v>295.12680000000006</v>
      </c>
      <c r="CG84" s="51">
        <f>IFERROR(LOOKUP(CG$15,HourlyTimeseries!$A:$A,HourlyTimeseries!$T:$T),"")</f>
        <v>295.12680000000006</v>
      </c>
      <c r="CH84" s="51">
        <f>IFERROR(LOOKUP(CH$15,HourlyTimeseries!$A:$A,HourlyTimeseries!$T:$T),"")</f>
        <v>295.12680000000006</v>
      </c>
      <c r="CI84" s="51">
        <f>IFERROR(LOOKUP(CI$15,HourlyTimeseries!$A:$A,HourlyTimeseries!$T:$T),"")</f>
        <v>295.12680000000006</v>
      </c>
      <c r="CJ84" s="51">
        <f>IFERROR(LOOKUP(CJ$15,HourlyTimeseries!$A:$A,HourlyTimeseries!$T:$T),"")</f>
        <v>295.12680000000006</v>
      </c>
      <c r="CK84" s="51">
        <f>IFERROR(LOOKUP(CK$15,HourlyTimeseries!$A:$A,HourlyTimeseries!$T:$T),"")</f>
        <v>295.12680000000006</v>
      </c>
      <c r="CL84" s="51">
        <f>IFERROR(LOOKUP(CL$15,HourlyTimeseries!$A:$A,HourlyTimeseries!$T:$T),"")</f>
        <v>295.12680000000006</v>
      </c>
      <c r="CM84" s="51">
        <f>IFERROR(LOOKUP(CM$15,HourlyTimeseries!$A:$A,HourlyTimeseries!$T:$T),"")</f>
        <v>402.08416</v>
      </c>
      <c r="CN84" s="51">
        <f>IFERROR(LOOKUP(CN$15,HourlyTimeseries!$A:$A,HourlyTimeseries!$T:$T),"")</f>
        <v>521.92427999999995</v>
      </c>
      <c r="CO84" s="51">
        <f>IFERROR(LOOKUP(CO$15,HourlyTimeseries!$A:$A,HourlyTimeseries!$T:$T),"")</f>
        <v>521.92427999999995</v>
      </c>
      <c r="CP84" s="51">
        <f>IFERROR(LOOKUP(CP$15,HourlyTimeseries!$A:$A,HourlyTimeseries!$T:$T),"")</f>
        <v>521.92427999999995</v>
      </c>
      <c r="CQ84" s="51">
        <f>IFERROR(LOOKUP(CQ$15,HourlyTimeseries!$A:$A,HourlyTimeseries!$T:$T),"")</f>
        <v>521.92427999999995</v>
      </c>
      <c r="CR84" s="51">
        <f>IFERROR(LOOKUP(CR$15,HourlyTimeseries!$A:$A,HourlyTimeseries!$T:$T),"")</f>
        <v>521.92427999999995</v>
      </c>
      <c r="CS84" s="51">
        <f>IFERROR(LOOKUP(CS$15,HourlyTimeseries!$A:$A,HourlyTimeseries!$T:$T),"")</f>
        <v>521.92427999999995</v>
      </c>
      <c r="CT84" s="51">
        <f>IFERROR(LOOKUP(CT$15,HourlyTimeseries!$A:$A,HourlyTimeseries!$T:$T),"")</f>
        <v>521.92427999999995</v>
      </c>
      <c r="CU84" s="51">
        <f>IFERROR(LOOKUP(CU$15,HourlyTimeseries!$A:$A,HourlyTimeseries!$T:$T),"")</f>
        <v>447.02432000000005</v>
      </c>
      <c r="CV84" s="60">
        <f>IFERROR(LOOKUP(CV$15,HourlyTimeseries!$A:$A,HourlyTimeseries!$T:$T),"")</f>
        <v>372.12436000000002</v>
      </c>
      <c r="CW84" s="67">
        <f>IFERROR(LOOKUP(CW$15,HourlyTimeseries!$A:$A,HourlyTimeseries!$T:$T),"")</f>
        <v>297.2244</v>
      </c>
      <c r="CX84" s="51">
        <f>IFERROR(LOOKUP(CX$15,HourlyTimeseries!$A:$A,HourlyTimeseries!$T:$T),"")</f>
        <v>295.12680000000006</v>
      </c>
      <c r="CY84" s="51">
        <f>IFERROR(LOOKUP(CY$15,HourlyTimeseries!$A:$A,HourlyTimeseries!$T:$T),"")</f>
        <v>295.12680000000006</v>
      </c>
      <c r="CZ84" s="51">
        <f>IFERROR(LOOKUP(CZ$15,HourlyTimeseries!$A:$A,HourlyTimeseries!$T:$T),"")</f>
        <v>295.12680000000006</v>
      </c>
      <c r="DA84" s="51">
        <f>IFERROR(LOOKUP(DA$15,HourlyTimeseries!$A:$A,HourlyTimeseries!$T:$T),"")</f>
        <v>295.12680000000006</v>
      </c>
      <c r="DB84" s="51">
        <f>IFERROR(LOOKUP(DB$15,HourlyTimeseries!$A:$A,HourlyTimeseries!$T:$T),"")</f>
        <v>295.12680000000006</v>
      </c>
      <c r="DC84" s="51">
        <f>IFERROR(LOOKUP(DC$15,HourlyTimeseries!$A:$A,HourlyTimeseries!$T:$T),"")</f>
        <v>295.12680000000006</v>
      </c>
      <c r="DD84" s="51">
        <f>IFERROR(LOOKUP(DD$15,HourlyTimeseries!$A:$A,HourlyTimeseries!$T:$T),"")</f>
        <v>295.12680000000006</v>
      </c>
      <c r="DE84" s="51">
        <f>IFERROR(LOOKUP(DE$15,HourlyTimeseries!$A:$A,HourlyTimeseries!$T:$T),"")</f>
        <v>295.12680000000006</v>
      </c>
      <c r="DF84" s="51">
        <f>IFERROR(LOOKUP(DF$15,HourlyTimeseries!$A:$A,HourlyTimeseries!$T:$T),"")</f>
        <v>295.12680000000006</v>
      </c>
      <c r="DG84" s="51">
        <f>IFERROR(LOOKUP(DG$15,HourlyTimeseries!$A:$A,HourlyTimeseries!$T:$T),"")</f>
        <v>295.12680000000006</v>
      </c>
      <c r="DH84" s="51">
        <f>IFERROR(LOOKUP(DH$15,HourlyTimeseries!$A:$A,HourlyTimeseries!$T:$T),"")</f>
        <v>295.12680000000006</v>
      </c>
      <c r="DI84" s="51">
        <f>IFERROR(LOOKUP(DI$15,HourlyTimeseries!$A:$A,HourlyTimeseries!$T:$T),"")</f>
        <v>295.12680000000006</v>
      </c>
      <c r="DJ84" s="51">
        <f>IFERROR(LOOKUP(DJ$15,HourlyTimeseries!$A:$A,HourlyTimeseries!$T:$T),"")</f>
        <v>295.12680000000006</v>
      </c>
      <c r="DK84" s="51">
        <f>IFERROR(LOOKUP(DK$15,HourlyTimeseries!$A:$A,HourlyTimeseries!$T:$T),"")</f>
        <v>402.08416</v>
      </c>
      <c r="DL84" s="51">
        <f>IFERROR(LOOKUP(DL$15,HourlyTimeseries!$A:$A,HourlyTimeseries!$T:$T),"")</f>
        <v>521.92427999999995</v>
      </c>
      <c r="DM84" s="51">
        <f>IFERROR(LOOKUP(DM$15,HourlyTimeseries!$A:$A,HourlyTimeseries!$T:$T),"")</f>
        <v>521.92427999999995</v>
      </c>
      <c r="DN84" s="51">
        <f>IFERROR(LOOKUP(DN$15,HourlyTimeseries!$A:$A,HourlyTimeseries!$T:$T),"")</f>
        <v>521.92427999999995</v>
      </c>
      <c r="DO84" s="51">
        <f>IFERROR(LOOKUP(DO$15,HourlyTimeseries!$A:$A,HourlyTimeseries!$T:$T),"")</f>
        <v>521.92427999999995</v>
      </c>
      <c r="DP84" s="51">
        <f>IFERROR(LOOKUP(DP$15,HourlyTimeseries!$A:$A,HourlyTimeseries!$T:$T),"")</f>
        <v>521.92427999999995</v>
      </c>
      <c r="DQ84" s="51">
        <f>IFERROR(LOOKUP(DQ$15,HourlyTimeseries!$A:$A,HourlyTimeseries!$T:$T),"")</f>
        <v>521.92427999999995</v>
      </c>
      <c r="DR84" s="51">
        <f>IFERROR(LOOKUP(DR$15,HourlyTimeseries!$A:$A,HourlyTimeseries!$T:$T),"")</f>
        <v>521.92427999999995</v>
      </c>
      <c r="DS84" s="51">
        <f>IFERROR(LOOKUP(DS$15,HourlyTimeseries!$A:$A,HourlyTimeseries!$T:$T),"")</f>
        <v>447.02432000000005</v>
      </c>
      <c r="DT84" s="60">
        <f>IFERROR(LOOKUP(DT$15,HourlyTimeseries!$A:$A,HourlyTimeseries!$T:$T),"")</f>
        <v>372.12436000000002</v>
      </c>
      <c r="DU84" s="67">
        <f>IFERROR(LOOKUP(DU$15,HourlyTimeseries!$A:$A,HourlyTimeseries!$T:$T),"")</f>
        <v>297.2244</v>
      </c>
      <c r="DV84" s="51">
        <f>IFERROR(LOOKUP(DV$15,HourlyTimeseries!$A:$A,HourlyTimeseries!$T:$T),"")</f>
        <v>295.12680000000006</v>
      </c>
      <c r="DW84" s="51">
        <f>IFERROR(LOOKUP(DW$15,HourlyTimeseries!$A:$A,HourlyTimeseries!$T:$T),"")</f>
        <v>295.12680000000006</v>
      </c>
      <c r="DX84" s="51">
        <f>IFERROR(LOOKUP(DX$15,HourlyTimeseries!$A:$A,HourlyTimeseries!$T:$T),"")</f>
        <v>295.12680000000006</v>
      </c>
      <c r="DY84" s="51">
        <f>IFERROR(LOOKUP(DY$15,HourlyTimeseries!$A:$A,HourlyTimeseries!$T:$T),"")</f>
        <v>295.12680000000006</v>
      </c>
      <c r="DZ84" s="51">
        <f>IFERROR(LOOKUP(DZ$15,HourlyTimeseries!$A:$A,HourlyTimeseries!$T:$T),"")</f>
        <v>295.12680000000006</v>
      </c>
      <c r="EA84" s="51">
        <f>IFERROR(LOOKUP(EA$15,HourlyTimeseries!$A:$A,HourlyTimeseries!$T:$T),"")</f>
        <v>295.12680000000006</v>
      </c>
      <c r="EB84" s="51">
        <f>IFERROR(LOOKUP(EB$15,HourlyTimeseries!$A:$A,HourlyTimeseries!$T:$T),"")</f>
        <v>295.12680000000006</v>
      </c>
      <c r="EC84" s="51">
        <f>IFERROR(LOOKUP(EC$15,HourlyTimeseries!$A:$A,HourlyTimeseries!$T:$T),"")</f>
        <v>295.12680000000006</v>
      </c>
      <c r="ED84" s="51">
        <f>IFERROR(LOOKUP(ED$15,HourlyTimeseries!$A:$A,HourlyTimeseries!$T:$T),"")</f>
        <v>295.12680000000006</v>
      </c>
      <c r="EE84" s="51">
        <f>IFERROR(LOOKUP(EE$15,HourlyTimeseries!$A:$A,HourlyTimeseries!$T:$T),"")</f>
        <v>295.12680000000006</v>
      </c>
      <c r="EF84" s="51">
        <f>IFERROR(LOOKUP(EF$15,HourlyTimeseries!$A:$A,HourlyTimeseries!$T:$T),"")</f>
        <v>295.12680000000006</v>
      </c>
      <c r="EG84" s="51">
        <f>IFERROR(LOOKUP(EG$15,HourlyTimeseries!$A:$A,HourlyTimeseries!$T:$T),"")</f>
        <v>295.12680000000006</v>
      </c>
      <c r="EH84" s="51">
        <f>IFERROR(LOOKUP(EH$15,HourlyTimeseries!$A:$A,HourlyTimeseries!$T:$T),"")</f>
        <v>295.12680000000006</v>
      </c>
      <c r="EI84" s="51">
        <f>IFERROR(LOOKUP(EI$15,HourlyTimeseries!$A:$A,HourlyTimeseries!$T:$T),"")</f>
        <v>402.08416</v>
      </c>
      <c r="EJ84" s="51">
        <f>IFERROR(LOOKUP(EJ$15,HourlyTimeseries!$A:$A,HourlyTimeseries!$T:$T),"")</f>
        <v>521.92427999999995</v>
      </c>
      <c r="EK84" s="51">
        <f>IFERROR(LOOKUP(EK$15,HourlyTimeseries!$A:$A,HourlyTimeseries!$T:$T),"")</f>
        <v>521.92427999999995</v>
      </c>
      <c r="EL84" s="51">
        <f>IFERROR(LOOKUP(EL$15,HourlyTimeseries!$A:$A,HourlyTimeseries!$T:$T),"")</f>
        <v>521.92427999999995</v>
      </c>
      <c r="EM84" s="51">
        <f>IFERROR(LOOKUP(EM$15,HourlyTimeseries!$A:$A,HourlyTimeseries!$T:$T),"")</f>
        <v>521.92427999999995</v>
      </c>
      <c r="EN84" s="51">
        <f>IFERROR(LOOKUP(EN$15,HourlyTimeseries!$A:$A,HourlyTimeseries!$T:$T),"")</f>
        <v>521.92427999999995</v>
      </c>
      <c r="EO84" s="51">
        <f>IFERROR(LOOKUP(EO$15,HourlyTimeseries!$A:$A,HourlyTimeseries!$T:$T),"")</f>
        <v>521.92427999999995</v>
      </c>
      <c r="EP84" s="51">
        <f>IFERROR(LOOKUP(EP$15,HourlyTimeseries!$A:$A,HourlyTimeseries!$T:$T),"")</f>
        <v>521.92427999999995</v>
      </c>
      <c r="EQ84" s="51">
        <f>IFERROR(LOOKUP(EQ$15,HourlyTimeseries!$A:$A,HourlyTimeseries!$T:$T),"")</f>
        <v>447.02432000000005</v>
      </c>
      <c r="ER84" s="60">
        <f>IFERROR(LOOKUP(ER$15,HourlyTimeseries!$A:$A,HourlyTimeseries!$T:$T),"")</f>
        <v>372.12436000000002</v>
      </c>
      <c r="ES84" s="67">
        <f>IFERROR(LOOKUP(ES$15,HourlyTimeseries!$A:$A,HourlyTimeseries!$T:$T),"")</f>
        <v>297.2244</v>
      </c>
      <c r="ET84" s="51">
        <f>IFERROR(LOOKUP(ET$15,HourlyTimeseries!$A:$A,HourlyTimeseries!$T:$T),"")</f>
        <v>295.12680000000006</v>
      </c>
      <c r="EU84" s="51">
        <f>IFERROR(LOOKUP(EU$15,HourlyTimeseries!$A:$A,HourlyTimeseries!$T:$T),"")</f>
        <v>295.12680000000006</v>
      </c>
      <c r="EV84" s="51">
        <f>IFERROR(LOOKUP(EV$15,HourlyTimeseries!$A:$A,HourlyTimeseries!$T:$T),"")</f>
        <v>295.12680000000006</v>
      </c>
      <c r="EW84" s="51">
        <f>IFERROR(LOOKUP(EW$15,HourlyTimeseries!$A:$A,HourlyTimeseries!$T:$T),"")</f>
        <v>295.12680000000006</v>
      </c>
      <c r="EX84" s="51">
        <f>IFERROR(LOOKUP(EX$15,HourlyTimeseries!$A:$A,HourlyTimeseries!$T:$T),"")</f>
        <v>295.12680000000006</v>
      </c>
      <c r="EY84" s="51">
        <f>IFERROR(LOOKUP(EY$15,HourlyTimeseries!$A:$A,HourlyTimeseries!$T:$T),"")</f>
        <v>295.12680000000006</v>
      </c>
      <c r="EZ84" s="51">
        <f>IFERROR(LOOKUP(EZ$15,HourlyTimeseries!$A:$A,HourlyTimeseries!$T:$T),"")</f>
        <v>295.12680000000006</v>
      </c>
      <c r="FA84" s="51">
        <f>IFERROR(LOOKUP(FA$15,HourlyTimeseries!$A:$A,HourlyTimeseries!$T:$T),"")</f>
        <v>295.12680000000006</v>
      </c>
      <c r="FB84" s="51">
        <f>IFERROR(LOOKUP(FB$15,HourlyTimeseries!$A:$A,HourlyTimeseries!$T:$T),"")</f>
        <v>295.12680000000006</v>
      </c>
      <c r="FC84" s="51">
        <f>IFERROR(LOOKUP(FC$15,HourlyTimeseries!$A:$A,HourlyTimeseries!$T:$T),"")</f>
        <v>295.12680000000006</v>
      </c>
      <c r="FD84" s="51">
        <f>IFERROR(LOOKUP(FD$15,HourlyTimeseries!$A:$A,HourlyTimeseries!$T:$T),"")</f>
        <v>295.12680000000006</v>
      </c>
      <c r="FE84" s="51">
        <f>IFERROR(LOOKUP(FE$15,HourlyTimeseries!$A:$A,HourlyTimeseries!$T:$T),"")</f>
        <v>295.12680000000006</v>
      </c>
      <c r="FF84" s="51">
        <f>IFERROR(LOOKUP(FF$15,HourlyTimeseries!$A:$A,HourlyTimeseries!$T:$T),"")</f>
        <v>295.12680000000006</v>
      </c>
      <c r="FG84" s="51">
        <f>IFERROR(LOOKUP(FG$15,HourlyTimeseries!$A:$A,HourlyTimeseries!$T:$T),"")</f>
        <v>402.08416</v>
      </c>
      <c r="FH84" s="51">
        <f>IFERROR(LOOKUP(FH$15,HourlyTimeseries!$A:$A,HourlyTimeseries!$T:$T),"")</f>
        <v>521.92427999999995</v>
      </c>
      <c r="FI84" s="51">
        <f>IFERROR(LOOKUP(FI$15,HourlyTimeseries!$A:$A,HourlyTimeseries!$T:$T),"")</f>
        <v>521.92427999999995</v>
      </c>
      <c r="FJ84" s="51">
        <f>IFERROR(LOOKUP(FJ$15,HourlyTimeseries!$A:$A,HourlyTimeseries!$T:$T),"")</f>
        <v>521.92427999999995</v>
      </c>
      <c r="FK84" s="51">
        <f>IFERROR(LOOKUP(FK$15,HourlyTimeseries!$A:$A,HourlyTimeseries!$T:$T),"")</f>
        <v>521.92427999999995</v>
      </c>
      <c r="FL84" s="51">
        <f>IFERROR(LOOKUP(FL$15,HourlyTimeseries!$A:$A,HourlyTimeseries!$T:$T),"")</f>
        <v>521.92427999999995</v>
      </c>
      <c r="FM84" s="51">
        <f>IFERROR(LOOKUP(FM$15,HourlyTimeseries!$A:$A,HourlyTimeseries!$T:$T),"")</f>
        <v>521.92427999999995</v>
      </c>
      <c r="FN84" s="51">
        <f>IFERROR(LOOKUP(FN$15,HourlyTimeseries!$A:$A,HourlyTimeseries!$T:$T),"")</f>
        <v>521.92427999999995</v>
      </c>
      <c r="FO84" s="51">
        <f>IFERROR(LOOKUP(FO$15,HourlyTimeseries!$A:$A,HourlyTimeseries!$T:$T),"")</f>
        <v>447.02432000000005</v>
      </c>
      <c r="FP84" s="60">
        <f>IFERROR(LOOKUP(FP$15,HourlyTimeseries!$A:$A,HourlyTimeseries!$T:$T),"")</f>
        <v>372.12436000000002</v>
      </c>
    </row>
    <row r="86" spans="1:172" ht="21" thickBot="1">
      <c r="A86" s="1" t="s">
        <v>40</v>
      </c>
      <c r="B86" s="7" t="s">
        <v>32</v>
      </c>
      <c r="C86" s="3" t="s">
        <v>132</v>
      </c>
      <c r="D86" s="7"/>
      <c r="E86" s="3" t="s">
        <v>7</v>
      </c>
      <c r="F86" s="3" t="s">
        <v>8</v>
      </c>
      <c r="G86" s="3" t="s">
        <v>9</v>
      </c>
      <c r="H86" s="3" t="s">
        <v>10</v>
      </c>
      <c r="I86" s="3" t="s">
        <v>11</v>
      </c>
      <c r="J86" s="3" t="s">
        <v>12</v>
      </c>
      <c r="K86" s="3" t="s">
        <v>13</v>
      </c>
      <c r="L86" s="3" t="s">
        <v>14</v>
      </c>
      <c r="M86" s="3" t="s">
        <v>15</v>
      </c>
      <c r="N86" s="3" t="s">
        <v>16</v>
      </c>
      <c r="O86" s="3" t="s">
        <v>17</v>
      </c>
      <c r="P86" s="3" t="s">
        <v>18</v>
      </c>
      <c r="Q86" s="3" t="s">
        <v>19</v>
      </c>
      <c r="R86" s="3" t="s">
        <v>20</v>
      </c>
      <c r="S86" s="3" t="s">
        <v>21</v>
      </c>
      <c r="T86" s="3" t="s">
        <v>22</v>
      </c>
      <c r="U86" s="3" t="s">
        <v>23</v>
      </c>
      <c r="V86" s="3" t="s">
        <v>24</v>
      </c>
      <c r="W86" s="3" t="s">
        <v>25</v>
      </c>
      <c r="X86" s="3" t="s">
        <v>26</v>
      </c>
      <c r="Y86" s="3" t="s">
        <v>27</v>
      </c>
      <c r="Z86" s="3" t="s">
        <v>28</v>
      </c>
      <c r="AA86" s="3" t="s">
        <v>29</v>
      </c>
      <c r="AB86" s="3" t="s">
        <v>30</v>
      </c>
      <c r="AC86" s="65" t="s">
        <v>221</v>
      </c>
      <c r="AD86" s="3" t="s">
        <v>222</v>
      </c>
      <c r="AE86" s="3" t="s">
        <v>223</v>
      </c>
      <c r="AF86" s="3" t="s">
        <v>224</v>
      </c>
      <c r="AG86" s="3" t="s">
        <v>225</v>
      </c>
      <c r="AH86" s="3" t="s">
        <v>226</v>
      </c>
      <c r="AI86" s="3" t="s">
        <v>227</v>
      </c>
      <c r="AJ86" s="3" t="s">
        <v>228</v>
      </c>
      <c r="AK86" s="3" t="s">
        <v>229</v>
      </c>
      <c r="AL86" s="3" t="s">
        <v>230</v>
      </c>
      <c r="AM86" s="3" t="s">
        <v>231</v>
      </c>
      <c r="AN86" s="3" t="s">
        <v>232</v>
      </c>
      <c r="AO86" s="3" t="s">
        <v>233</v>
      </c>
      <c r="AP86" s="3" t="s">
        <v>234</v>
      </c>
      <c r="AQ86" s="3" t="s">
        <v>235</v>
      </c>
      <c r="AR86" s="3" t="s">
        <v>236</v>
      </c>
      <c r="AS86" s="3" t="s">
        <v>237</v>
      </c>
      <c r="AT86" s="3" t="s">
        <v>238</v>
      </c>
      <c r="AU86" s="3" t="s">
        <v>239</v>
      </c>
      <c r="AV86" s="3" t="s">
        <v>240</v>
      </c>
      <c r="AW86" s="3" t="s">
        <v>241</v>
      </c>
      <c r="AX86" s="3" t="s">
        <v>242</v>
      </c>
      <c r="AY86" s="3" t="s">
        <v>243</v>
      </c>
      <c r="AZ86" s="3" t="s">
        <v>244</v>
      </c>
      <c r="BA86" s="65" t="s">
        <v>245</v>
      </c>
      <c r="BB86" s="3" t="s">
        <v>246</v>
      </c>
      <c r="BC86" s="3" t="s">
        <v>247</v>
      </c>
      <c r="BD86" s="3" t="s">
        <v>248</v>
      </c>
      <c r="BE86" s="3" t="s">
        <v>249</v>
      </c>
      <c r="BF86" s="3" t="s">
        <v>250</v>
      </c>
      <c r="BG86" s="3" t="s">
        <v>251</v>
      </c>
      <c r="BH86" s="3" t="s">
        <v>252</v>
      </c>
      <c r="BI86" s="3" t="s">
        <v>253</v>
      </c>
      <c r="BJ86" s="3" t="s">
        <v>254</v>
      </c>
      <c r="BK86" s="3" t="s">
        <v>255</v>
      </c>
      <c r="BL86" s="3" t="s">
        <v>256</v>
      </c>
      <c r="BM86" s="3" t="s">
        <v>257</v>
      </c>
      <c r="BN86" s="3" t="s">
        <v>258</v>
      </c>
      <c r="BO86" s="3" t="s">
        <v>259</v>
      </c>
      <c r="BP86" s="3" t="s">
        <v>260</v>
      </c>
      <c r="BQ86" s="3" t="s">
        <v>261</v>
      </c>
      <c r="BR86" s="3" t="s">
        <v>262</v>
      </c>
      <c r="BS86" s="3" t="s">
        <v>263</v>
      </c>
      <c r="BT86" s="3" t="s">
        <v>264</v>
      </c>
      <c r="BU86" s="3" t="s">
        <v>265</v>
      </c>
      <c r="BV86" s="3" t="s">
        <v>266</v>
      </c>
      <c r="BW86" s="3" t="s">
        <v>267</v>
      </c>
      <c r="BX86" s="3" t="s">
        <v>268</v>
      </c>
      <c r="BY86" s="65" t="s">
        <v>269</v>
      </c>
      <c r="BZ86" s="3" t="s">
        <v>270</v>
      </c>
      <c r="CA86" s="3" t="s">
        <v>271</v>
      </c>
      <c r="CB86" s="3" t="s">
        <v>272</v>
      </c>
      <c r="CC86" s="3" t="s">
        <v>273</v>
      </c>
      <c r="CD86" s="3" t="s">
        <v>274</v>
      </c>
      <c r="CE86" s="3" t="s">
        <v>275</v>
      </c>
      <c r="CF86" s="3" t="s">
        <v>276</v>
      </c>
      <c r="CG86" s="3" t="s">
        <v>277</v>
      </c>
      <c r="CH86" s="3" t="s">
        <v>278</v>
      </c>
      <c r="CI86" s="3" t="s">
        <v>279</v>
      </c>
      <c r="CJ86" s="3" t="s">
        <v>280</v>
      </c>
      <c r="CK86" s="3" t="s">
        <v>281</v>
      </c>
      <c r="CL86" s="3" t="s">
        <v>282</v>
      </c>
      <c r="CM86" s="3" t="s">
        <v>283</v>
      </c>
      <c r="CN86" s="3" t="s">
        <v>284</v>
      </c>
      <c r="CO86" s="3" t="s">
        <v>285</v>
      </c>
      <c r="CP86" s="3" t="s">
        <v>286</v>
      </c>
      <c r="CQ86" s="3" t="s">
        <v>287</v>
      </c>
      <c r="CR86" s="3" t="s">
        <v>288</v>
      </c>
      <c r="CS86" s="3" t="s">
        <v>289</v>
      </c>
      <c r="CT86" s="3" t="s">
        <v>290</v>
      </c>
      <c r="CU86" s="3" t="s">
        <v>291</v>
      </c>
      <c r="CV86" s="3" t="s">
        <v>292</v>
      </c>
      <c r="CW86" s="65" t="s">
        <v>293</v>
      </c>
      <c r="CX86" s="3" t="s">
        <v>294</v>
      </c>
      <c r="CY86" s="3" t="s">
        <v>295</v>
      </c>
      <c r="CZ86" s="3" t="s">
        <v>296</v>
      </c>
      <c r="DA86" s="3" t="s">
        <v>297</v>
      </c>
      <c r="DB86" s="3" t="s">
        <v>298</v>
      </c>
      <c r="DC86" s="3" t="s">
        <v>299</v>
      </c>
      <c r="DD86" s="3" t="s">
        <v>300</v>
      </c>
      <c r="DE86" s="3" t="s">
        <v>301</v>
      </c>
      <c r="DF86" s="3" t="s">
        <v>302</v>
      </c>
      <c r="DG86" s="3" t="s">
        <v>303</v>
      </c>
      <c r="DH86" s="3" t="s">
        <v>304</v>
      </c>
      <c r="DI86" s="3" t="s">
        <v>305</v>
      </c>
      <c r="DJ86" s="3" t="s">
        <v>306</v>
      </c>
      <c r="DK86" s="3" t="s">
        <v>307</v>
      </c>
      <c r="DL86" s="3" t="s">
        <v>308</v>
      </c>
      <c r="DM86" s="3" t="s">
        <v>309</v>
      </c>
      <c r="DN86" s="3" t="s">
        <v>310</v>
      </c>
      <c r="DO86" s="3" t="s">
        <v>311</v>
      </c>
      <c r="DP86" s="3" t="s">
        <v>312</v>
      </c>
      <c r="DQ86" s="3" t="s">
        <v>313</v>
      </c>
      <c r="DR86" s="3" t="s">
        <v>314</v>
      </c>
      <c r="DS86" s="3" t="s">
        <v>315</v>
      </c>
      <c r="DT86" s="3" t="s">
        <v>316</v>
      </c>
      <c r="DU86" s="65" t="s">
        <v>317</v>
      </c>
      <c r="DV86" s="3" t="s">
        <v>318</v>
      </c>
      <c r="DW86" s="3" t="s">
        <v>319</v>
      </c>
      <c r="DX86" s="3" t="s">
        <v>320</v>
      </c>
      <c r="DY86" s="3" t="s">
        <v>321</v>
      </c>
      <c r="DZ86" s="3" t="s">
        <v>322</v>
      </c>
      <c r="EA86" s="3" t="s">
        <v>323</v>
      </c>
      <c r="EB86" s="3" t="s">
        <v>324</v>
      </c>
      <c r="EC86" s="3" t="s">
        <v>325</v>
      </c>
      <c r="ED86" s="3" t="s">
        <v>326</v>
      </c>
      <c r="EE86" s="3" t="s">
        <v>327</v>
      </c>
      <c r="EF86" s="3" t="s">
        <v>328</v>
      </c>
      <c r="EG86" s="3" t="s">
        <v>329</v>
      </c>
      <c r="EH86" s="3" t="s">
        <v>330</v>
      </c>
      <c r="EI86" s="3" t="s">
        <v>331</v>
      </c>
      <c r="EJ86" s="3" t="s">
        <v>332</v>
      </c>
      <c r="EK86" s="3" t="s">
        <v>333</v>
      </c>
      <c r="EL86" s="3" t="s">
        <v>334</v>
      </c>
      <c r="EM86" s="3" t="s">
        <v>335</v>
      </c>
      <c r="EN86" s="3" t="s">
        <v>336</v>
      </c>
      <c r="EO86" s="3" t="s">
        <v>337</v>
      </c>
      <c r="EP86" s="3" t="s">
        <v>338</v>
      </c>
      <c r="EQ86" s="3" t="s">
        <v>339</v>
      </c>
      <c r="ER86" s="3" t="s">
        <v>340</v>
      </c>
      <c r="ES86" s="65" t="s">
        <v>341</v>
      </c>
      <c r="ET86" s="3" t="s">
        <v>342</v>
      </c>
      <c r="EU86" s="3" t="s">
        <v>343</v>
      </c>
      <c r="EV86" s="3" t="s">
        <v>344</v>
      </c>
      <c r="EW86" s="3" t="s">
        <v>345</v>
      </c>
      <c r="EX86" s="3" t="s">
        <v>346</v>
      </c>
      <c r="EY86" s="3" t="s">
        <v>347</v>
      </c>
      <c r="EZ86" s="3" t="s">
        <v>348</v>
      </c>
      <c r="FA86" s="3" t="s">
        <v>349</v>
      </c>
      <c r="FB86" s="3" t="s">
        <v>350</v>
      </c>
      <c r="FC86" s="3" t="s">
        <v>351</v>
      </c>
      <c r="FD86" s="3" t="s">
        <v>352</v>
      </c>
      <c r="FE86" s="3" t="s">
        <v>353</v>
      </c>
      <c r="FF86" s="3" t="s">
        <v>354</v>
      </c>
      <c r="FG86" s="3" t="s">
        <v>355</v>
      </c>
      <c r="FH86" s="3" t="s">
        <v>356</v>
      </c>
      <c r="FI86" s="3" t="s">
        <v>357</v>
      </c>
      <c r="FJ86" s="3" t="s">
        <v>358</v>
      </c>
      <c r="FK86" s="3" t="s">
        <v>359</v>
      </c>
      <c r="FL86" s="3" t="s">
        <v>360</v>
      </c>
      <c r="FM86" s="3" t="s">
        <v>361</v>
      </c>
      <c r="FN86" s="3" t="s">
        <v>362</v>
      </c>
      <c r="FO86" s="3" t="s">
        <v>363</v>
      </c>
      <c r="FP86" s="3" t="s">
        <v>364</v>
      </c>
    </row>
    <row r="87" spans="1:172" ht="16" thickTop="1">
      <c r="A87" t="s">
        <v>31</v>
      </c>
      <c r="B87" s="2" t="s">
        <v>2</v>
      </c>
      <c r="C87" s="8" t="s">
        <v>134</v>
      </c>
      <c r="D87" s="2"/>
      <c r="E87" s="51">
        <f>IFERROR(LOOKUP(E$15,HourlyTimeseries!$A:$A,HourlyTimeseries!$U:$U),"")</f>
        <v>16487.929141199998</v>
      </c>
      <c r="F87" s="51">
        <f>IFERROR(LOOKUP(F$15,HourlyTimeseries!$A:$A,HourlyTimeseries!$U:$U),"")</f>
        <v>15981.706473600003</v>
      </c>
      <c r="G87" s="51">
        <f>IFERROR(LOOKUP(G$15,HourlyTimeseries!$A:$A,HourlyTimeseries!$U:$U),"")</f>
        <v>15430.704738000002</v>
      </c>
      <c r="H87" s="51">
        <f>IFERROR(LOOKUP(H$15,HourlyTimeseries!$A:$A,HourlyTimeseries!$U:$U),"")</f>
        <v>15495.632634000003</v>
      </c>
      <c r="I87" s="51">
        <f>IFERROR(LOOKUP(I$15,HourlyTimeseries!$A:$A,HourlyTimeseries!$U:$U),"")</f>
        <v>15580.924279200002</v>
      </c>
      <c r="J87" s="51">
        <f>IFERROR(LOOKUP(J$15,HourlyTimeseries!$A:$A,HourlyTimeseries!$U:$U),"")</f>
        <v>15706.058042400004</v>
      </c>
      <c r="K87" s="51">
        <f>IFERROR(LOOKUP(K$15,HourlyTimeseries!$A:$A,HourlyTimeseries!$U:$U),"")</f>
        <v>19680.235531200004</v>
      </c>
      <c r="L87" s="51">
        <f>IFERROR(LOOKUP(L$15,HourlyTimeseries!$A:$A,HourlyTimeseries!$U:$U),"")</f>
        <v>18329.440167600005</v>
      </c>
      <c r="M87" s="51">
        <f>IFERROR(LOOKUP(M$15,HourlyTimeseries!$A:$A,HourlyTimeseries!$U:$U),"")</f>
        <v>15066.223140000002</v>
      </c>
      <c r="N87" s="51">
        <f>IFERROR(LOOKUP(N$15,HourlyTimeseries!$A:$A,HourlyTimeseries!$U:$U),"")</f>
        <v>13543.663978800003</v>
      </c>
      <c r="O87" s="51">
        <f>IFERROR(LOOKUP(O$15,HourlyTimeseries!$A:$A,HourlyTimeseries!$U:$U),"")</f>
        <v>13519.168454400002</v>
      </c>
      <c r="P87" s="51">
        <f>IFERROR(LOOKUP(P$15,HourlyTimeseries!$A:$A,HourlyTimeseries!$U:$U),"")</f>
        <v>13493.492422800002</v>
      </c>
      <c r="Q87" s="51">
        <f>IFERROR(LOOKUP(Q$15,HourlyTimeseries!$A:$A,HourlyTimeseries!$U:$U),"")</f>
        <v>13497.624198000003</v>
      </c>
      <c r="R87" s="51">
        <f>IFERROR(LOOKUP(R$15,HourlyTimeseries!$A:$A,HourlyTimeseries!$U:$U),"")</f>
        <v>13523.005102800002</v>
      </c>
      <c r="S87" s="51">
        <f>IFERROR(LOOKUP(S$15,HourlyTimeseries!$A:$A,HourlyTimeseries!$U:$U),"")</f>
        <v>13610.952889200003</v>
      </c>
      <c r="T87" s="51">
        <f>IFERROR(LOOKUP(T$15,HourlyTimeseries!$A:$A,HourlyTimeseries!$U:$U),"")</f>
        <v>17934.732880400003</v>
      </c>
      <c r="U87" s="51">
        <f>IFERROR(LOOKUP(U$15,HourlyTimeseries!$A:$A,HourlyTimeseries!$U:$U),"")</f>
        <v>24574.692033920001</v>
      </c>
      <c r="V87" s="51">
        <f>IFERROR(LOOKUP(V$15,HourlyTimeseries!$A:$A,HourlyTimeseries!$U:$U),"")</f>
        <v>43053.011932919995</v>
      </c>
      <c r="W87" s="51">
        <f>IFERROR(LOOKUP(W$15,HourlyTimeseries!$A:$A,HourlyTimeseries!$U:$U),"")</f>
        <v>63421.628884199992</v>
      </c>
      <c r="X87" s="51">
        <f>IFERROR(LOOKUP(X$15,HourlyTimeseries!$A:$A,HourlyTimeseries!$U:$U),"")</f>
        <v>68432.101972200006</v>
      </c>
      <c r="Y87" s="51">
        <f>IFERROR(LOOKUP(Y$15,HourlyTimeseries!$A:$A,HourlyTimeseries!$U:$U),"")</f>
        <v>60683.092187039998</v>
      </c>
      <c r="Z87" s="51">
        <f>IFERROR(LOOKUP(Z$15,HourlyTimeseries!$A:$A,HourlyTimeseries!$U:$U),"")</f>
        <v>49717.463064239993</v>
      </c>
      <c r="AA87" s="51">
        <f>IFERROR(LOOKUP(AA$15,HourlyTimeseries!$A:$A,HourlyTimeseries!$U:$U),"")</f>
        <v>27025.302289920004</v>
      </c>
      <c r="AB87" s="60">
        <f>IFERROR(LOOKUP(AB$15,HourlyTimeseries!$A:$A,HourlyTimeseries!$U:$U),"")</f>
        <v>20353.341870200002</v>
      </c>
      <c r="AC87" s="67">
        <f>IFERROR(LOOKUP(AC$15,HourlyTimeseries!$A:$A,HourlyTimeseries!$U:$U),"")</f>
        <v>16465.042862400001</v>
      </c>
      <c r="AD87" s="51">
        <f>IFERROR(LOOKUP(AD$15,HourlyTimeseries!$A:$A,HourlyTimeseries!$U:$U),"")</f>
        <v>15879.592600800002</v>
      </c>
      <c r="AE87" s="51">
        <f>IFERROR(LOOKUP(AE$15,HourlyTimeseries!$A:$A,HourlyTimeseries!$U:$U),"")</f>
        <v>15515.701256400003</v>
      </c>
      <c r="AF87" s="51">
        <f>IFERROR(LOOKUP(AF$15,HourlyTimeseries!$A:$A,HourlyTimeseries!$U:$U),"")</f>
        <v>15142.956108000004</v>
      </c>
      <c r="AG87" s="51">
        <f>IFERROR(LOOKUP(AG$15,HourlyTimeseries!$A:$A,HourlyTimeseries!$U:$U),"")</f>
        <v>15692.777336400004</v>
      </c>
      <c r="AH87" s="51">
        <f>IFERROR(LOOKUP(AH$15,HourlyTimeseries!$A:$A,HourlyTimeseries!$U:$U),"")</f>
        <v>16038.961072800003</v>
      </c>
      <c r="AI87" s="51">
        <f>IFERROR(LOOKUP(AI$15,HourlyTimeseries!$A:$A,HourlyTimeseries!$U:$U),"")</f>
        <v>20378.800666800005</v>
      </c>
      <c r="AJ87" s="51">
        <f>IFERROR(LOOKUP(AJ$15,HourlyTimeseries!$A:$A,HourlyTimeseries!$U:$U),"")</f>
        <v>17926.592085600001</v>
      </c>
      <c r="AK87" s="51">
        <f>IFERROR(LOOKUP(AK$15,HourlyTimeseries!$A:$A,HourlyTimeseries!$U:$U),"")</f>
        <v>15446.641585200003</v>
      </c>
      <c r="AL87" s="51">
        <f>IFERROR(LOOKUP(AL$15,HourlyTimeseries!$A:$A,HourlyTimeseries!$U:$U),"")</f>
        <v>13546.615246800004</v>
      </c>
      <c r="AM87" s="51">
        <f>IFERROR(LOOKUP(AM$15,HourlyTimeseries!$A:$A,HourlyTimeseries!$U:$U),"")</f>
        <v>13514.151298800001</v>
      </c>
      <c r="AN87" s="51">
        <f>IFERROR(LOOKUP(AN$15,HourlyTimeseries!$A:$A,HourlyTimeseries!$U:$U),"")</f>
        <v>13498.509578400002</v>
      </c>
      <c r="AO87" s="51">
        <f>IFERROR(LOOKUP(AO$15,HourlyTimeseries!$A:$A,HourlyTimeseries!$U:$U),"")</f>
        <v>13497.919324800001</v>
      </c>
      <c r="AP87" s="51">
        <f>IFERROR(LOOKUP(AP$15,HourlyTimeseries!$A:$A,HourlyTimeseries!$U:$U),"")</f>
        <v>13525.366117200003</v>
      </c>
      <c r="AQ87" s="51">
        <f>IFERROR(LOOKUP(AQ$15,HourlyTimeseries!$A:$A,HourlyTimeseries!$U:$U),"")</f>
        <v>14151.034933200002</v>
      </c>
      <c r="AR87" s="51">
        <f>IFERROR(LOOKUP(AR$15,HourlyTimeseries!$A:$A,HourlyTimeseries!$U:$U),"")</f>
        <v>20589.021504</v>
      </c>
      <c r="AS87" s="51">
        <f>IFERROR(LOOKUP(AS$15,HourlyTimeseries!$A:$A,HourlyTimeseries!$U:$U),"")</f>
        <v>31854.974849040002</v>
      </c>
      <c r="AT87" s="51">
        <f>IFERROR(LOOKUP(AT$15,HourlyTimeseries!$A:$A,HourlyTimeseries!$U:$U),"")</f>
        <v>41441.125482119998</v>
      </c>
      <c r="AU87" s="51">
        <f>IFERROR(LOOKUP(AU$15,HourlyTimeseries!$A:$A,HourlyTimeseries!$U:$U),"")</f>
        <v>56599.034696039991</v>
      </c>
      <c r="AV87" s="51">
        <f>IFERROR(LOOKUP(AV$15,HourlyTimeseries!$A:$A,HourlyTimeseries!$U:$U),"")</f>
        <v>64978.007087159996</v>
      </c>
      <c r="AW87" s="51">
        <f>IFERROR(LOOKUP(AW$15,HourlyTimeseries!$A:$A,HourlyTimeseries!$U:$U),"")</f>
        <v>61197.635556360001</v>
      </c>
      <c r="AX87" s="51">
        <f>IFERROR(LOOKUP(AX$15,HourlyTimeseries!$A:$A,HourlyTimeseries!$U:$U),"")</f>
        <v>45470.176003840003</v>
      </c>
      <c r="AY87" s="51">
        <f>IFERROR(LOOKUP(AY$15,HourlyTimeseries!$A:$A,HourlyTimeseries!$U:$U),"")</f>
        <v>24705.206658160001</v>
      </c>
      <c r="AZ87" s="60">
        <f>IFERROR(LOOKUP(AZ$15,HourlyTimeseries!$A:$A,HourlyTimeseries!$U:$U),"")</f>
        <v>18122.851407600003</v>
      </c>
      <c r="BA87" s="67">
        <f>IFERROR(LOOKUP(BA$15,HourlyTimeseries!$A:$A,HourlyTimeseries!$U:$U),"")</f>
        <v>17505.031038000001</v>
      </c>
      <c r="BB87" s="51">
        <f>IFERROR(LOOKUP(BB$15,HourlyTimeseries!$A:$A,HourlyTimeseries!$U:$U),"")</f>
        <v>17131.225359600001</v>
      </c>
      <c r="BC87" s="51">
        <f>IFERROR(LOOKUP(BC$15,HourlyTimeseries!$A:$A,HourlyTimeseries!$U:$U),"")</f>
        <v>16459.811889600001</v>
      </c>
      <c r="BD87" s="51">
        <f>IFERROR(LOOKUP(BD$15,HourlyTimeseries!$A:$A,HourlyTimeseries!$U:$U),"")</f>
        <v>16610.326557600001</v>
      </c>
      <c r="BE87" s="51">
        <f>IFERROR(LOOKUP(BE$15,HourlyTimeseries!$A:$A,HourlyTimeseries!$U:$U),"")</f>
        <v>16544.513281200001</v>
      </c>
      <c r="BF87" s="51">
        <f>IFERROR(LOOKUP(BF$15,HourlyTimeseries!$A:$A,HourlyTimeseries!$U:$U),"")</f>
        <v>17128.569218400004</v>
      </c>
      <c r="BG87" s="51">
        <f>IFERROR(LOOKUP(BG$15,HourlyTimeseries!$A:$A,HourlyTimeseries!$U:$U),"")</f>
        <v>20766.892408800006</v>
      </c>
      <c r="BH87" s="51">
        <f>IFERROR(LOOKUP(BH$15,HourlyTimeseries!$A:$A,HourlyTimeseries!$U:$U),"")</f>
        <v>19169.666167200001</v>
      </c>
      <c r="BI87" s="51">
        <f>IFERROR(LOOKUP(BI$15,HourlyTimeseries!$A:$A,HourlyTimeseries!$U:$U),"")</f>
        <v>15860.999612400004</v>
      </c>
      <c r="BJ87" s="51">
        <f>IFERROR(LOOKUP(BJ$15,HourlyTimeseries!$A:$A,HourlyTimeseries!$U:$U),"")</f>
        <v>15713.436212400004</v>
      </c>
      <c r="BK87" s="51">
        <f>IFERROR(LOOKUP(BK$15,HourlyTimeseries!$A:$A,HourlyTimeseries!$U:$U),"")</f>
        <v>14369.723892000002</v>
      </c>
      <c r="BL87" s="51">
        <f>IFERROR(LOOKUP(BL$15,HourlyTimeseries!$A:$A,HourlyTimeseries!$U:$U),"")</f>
        <v>14137.459100400003</v>
      </c>
      <c r="BM87" s="51">
        <f>IFERROR(LOOKUP(BM$15,HourlyTimeseries!$A:$A,HourlyTimeseries!$U:$U),"")</f>
        <v>14242.819368000002</v>
      </c>
      <c r="BN87" s="51">
        <f>IFERROR(LOOKUP(BN$15,HourlyTimeseries!$A:$A,HourlyTimeseries!$U:$U),"")</f>
        <v>16280.669922000003</v>
      </c>
      <c r="BO87" s="51">
        <f>IFERROR(LOOKUP(BO$15,HourlyTimeseries!$A:$A,HourlyTimeseries!$U:$U),"")</f>
        <v>27023.674309440001</v>
      </c>
      <c r="BP87" s="51">
        <f>IFERROR(LOOKUP(BP$15,HourlyTimeseries!$A:$A,HourlyTimeseries!$U:$U),"")</f>
        <v>38276.36092236</v>
      </c>
      <c r="BQ87" s="51">
        <f>IFERROR(LOOKUP(BQ$15,HourlyTimeseries!$A:$A,HourlyTimeseries!$U:$U),"")</f>
        <v>45879.753833399998</v>
      </c>
      <c r="BR87" s="51">
        <f>IFERROR(LOOKUP(BR$15,HourlyTimeseries!$A:$A,HourlyTimeseries!$U:$U),"")</f>
        <v>57850.609119479988</v>
      </c>
      <c r="BS87" s="51">
        <f>IFERROR(LOOKUP(BS$15,HourlyTimeseries!$A:$A,HourlyTimeseries!$U:$U),"")</f>
        <v>71088.174633119997</v>
      </c>
      <c r="BT87" s="51">
        <f>IFERROR(LOOKUP(BT$15,HourlyTimeseries!$A:$A,HourlyTimeseries!$U:$U),"")</f>
        <v>75540.188741520004</v>
      </c>
      <c r="BU87" s="51">
        <f>IFERROR(LOOKUP(BU$15,HourlyTimeseries!$A:$A,HourlyTimeseries!$U:$U),"")</f>
        <v>69176.365995479995</v>
      </c>
      <c r="BV87" s="51">
        <f>IFERROR(LOOKUP(BV$15,HourlyTimeseries!$A:$A,HourlyTimeseries!$U:$U),"")</f>
        <v>56417.405046599997</v>
      </c>
      <c r="BW87" s="51">
        <f>IFERROR(LOOKUP(BW$15,HourlyTimeseries!$A:$A,HourlyTimeseries!$U:$U),"")</f>
        <v>29850.49599232</v>
      </c>
      <c r="BX87" s="60">
        <f>IFERROR(LOOKUP(BX$15,HourlyTimeseries!$A:$A,HourlyTimeseries!$U:$U),"")</f>
        <v>22421.236938720001</v>
      </c>
      <c r="BY87" s="67">
        <f>IFERROR(LOOKUP(BY$15,HourlyTimeseries!$A:$A,HourlyTimeseries!$U:$U),"")</f>
        <v>17505.031038000001</v>
      </c>
      <c r="BZ87" s="51">
        <f>IFERROR(LOOKUP(BZ$15,HourlyTimeseries!$A:$A,HourlyTimeseries!$U:$U),"")</f>
        <v>17131.225359600001</v>
      </c>
      <c r="CA87" s="51">
        <f>IFERROR(LOOKUP(CA$15,HourlyTimeseries!$A:$A,HourlyTimeseries!$U:$U),"")</f>
        <v>16459.811889600001</v>
      </c>
      <c r="CB87" s="51">
        <f>IFERROR(LOOKUP(CB$15,HourlyTimeseries!$A:$A,HourlyTimeseries!$U:$U),"")</f>
        <v>16610.326557600001</v>
      </c>
      <c r="CC87" s="51">
        <f>IFERROR(LOOKUP(CC$15,HourlyTimeseries!$A:$A,HourlyTimeseries!$U:$U),"")</f>
        <v>16544.513281200001</v>
      </c>
      <c r="CD87" s="51">
        <f>IFERROR(LOOKUP(CD$15,HourlyTimeseries!$A:$A,HourlyTimeseries!$U:$U),"")</f>
        <v>17128.569218400004</v>
      </c>
      <c r="CE87" s="51">
        <f>IFERROR(LOOKUP(CE$15,HourlyTimeseries!$A:$A,HourlyTimeseries!$U:$U),"")</f>
        <v>20766.892408800006</v>
      </c>
      <c r="CF87" s="51">
        <f>IFERROR(LOOKUP(CF$15,HourlyTimeseries!$A:$A,HourlyTimeseries!$U:$U),"")</f>
        <v>19169.666167200001</v>
      </c>
      <c r="CG87" s="51">
        <f>IFERROR(LOOKUP(CG$15,HourlyTimeseries!$A:$A,HourlyTimeseries!$U:$U),"")</f>
        <v>15860.999612400004</v>
      </c>
      <c r="CH87" s="51">
        <f>IFERROR(LOOKUP(CH$15,HourlyTimeseries!$A:$A,HourlyTimeseries!$U:$U),"")</f>
        <v>15713.436212400004</v>
      </c>
      <c r="CI87" s="51">
        <f>IFERROR(LOOKUP(CI$15,HourlyTimeseries!$A:$A,HourlyTimeseries!$U:$U),"")</f>
        <v>14369.723892000002</v>
      </c>
      <c r="CJ87" s="51">
        <f>IFERROR(LOOKUP(CJ$15,HourlyTimeseries!$A:$A,HourlyTimeseries!$U:$U),"")</f>
        <v>14137.459100400003</v>
      </c>
      <c r="CK87" s="51">
        <f>IFERROR(LOOKUP(CK$15,HourlyTimeseries!$A:$A,HourlyTimeseries!$U:$U),"")</f>
        <v>14242.819368000002</v>
      </c>
      <c r="CL87" s="51">
        <f>IFERROR(LOOKUP(CL$15,HourlyTimeseries!$A:$A,HourlyTimeseries!$U:$U),"")</f>
        <v>16280.669922000003</v>
      </c>
      <c r="CM87" s="51">
        <f>IFERROR(LOOKUP(CM$15,HourlyTimeseries!$A:$A,HourlyTimeseries!$U:$U),"")</f>
        <v>27023.674309440001</v>
      </c>
      <c r="CN87" s="51">
        <f>IFERROR(LOOKUP(CN$15,HourlyTimeseries!$A:$A,HourlyTimeseries!$U:$U),"")</f>
        <v>38276.36092236</v>
      </c>
      <c r="CO87" s="51">
        <f>IFERROR(LOOKUP(CO$15,HourlyTimeseries!$A:$A,HourlyTimeseries!$U:$U),"")</f>
        <v>45879.753833399998</v>
      </c>
      <c r="CP87" s="51">
        <f>IFERROR(LOOKUP(CP$15,HourlyTimeseries!$A:$A,HourlyTimeseries!$U:$U),"")</f>
        <v>57850.609119479988</v>
      </c>
      <c r="CQ87" s="51">
        <f>IFERROR(LOOKUP(CQ$15,HourlyTimeseries!$A:$A,HourlyTimeseries!$U:$U),"")</f>
        <v>71088.174633119997</v>
      </c>
      <c r="CR87" s="51">
        <f>IFERROR(LOOKUP(CR$15,HourlyTimeseries!$A:$A,HourlyTimeseries!$U:$U),"")</f>
        <v>75540.188741520004</v>
      </c>
      <c r="CS87" s="51">
        <f>IFERROR(LOOKUP(CS$15,HourlyTimeseries!$A:$A,HourlyTimeseries!$U:$U),"")</f>
        <v>69176.365995479995</v>
      </c>
      <c r="CT87" s="51">
        <f>IFERROR(LOOKUP(CT$15,HourlyTimeseries!$A:$A,HourlyTimeseries!$U:$U),"")</f>
        <v>56417.405046599997</v>
      </c>
      <c r="CU87" s="51">
        <f>IFERROR(LOOKUP(CU$15,HourlyTimeseries!$A:$A,HourlyTimeseries!$U:$U),"")</f>
        <v>29850.49599232</v>
      </c>
      <c r="CV87" s="60">
        <f>IFERROR(LOOKUP(CV$15,HourlyTimeseries!$A:$A,HourlyTimeseries!$U:$U),"")</f>
        <v>22421.236938720001</v>
      </c>
      <c r="CW87" s="67">
        <f>IFERROR(LOOKUP(CW$15,HourlyTimeseries!$A:$A,HourlyTimeseries!$U:$U),"")</f>
        <v>17505.031038000001</v>
      </c>
      <c r="CX87" s="51">
        <f>IFERROR(LOOKUP(CX$15,HourlyTimeseries!$A:$A,HourlyTimeseries!$U:$U),"")</f>
        <v>17131.225359600001</v>
      </c>
      <c r="CY87" s="51">
        <f>IFERROR(LOOKUP(CY$15,HourlyTimeseries!$A:$A,HourlyTimeseries!$U:$U),"")</f>
        <v>16459.811889600001</v>
      </c>
      <c r="CZ87" s="51">
        <f>IFERROR(LOOKUP(CZ$15,HourlyTimeseries!$A:$A,HourlyTimeseries!$U:$U),"")</f>
        <v>16610.326557600001</v>
      </c>
      <c r="DA87" s="51">
        <f>IFERROR(LOOKUP(DA$15,HourlyTimeseries!$A:$A,HourlyTimeseries!$U:$U),"")</f>
        <v>16544.513281200001</v>
      </c>
      <c r="DB87" s="51">
        <f>IFERROR(LOOKUP(DB$15,HourlyTimeseries!$A:$A,HourlyTimeseries!$U:$U),"")</f>
        <v>17128.569218400004</v>
      </c>
      <c r="DC87" s="51">
        <f>IFERROR(LOOKUP(DC$15,HourlyTimeseries!$A:$A,HourlyTimeseries!$U:$U),"")</f>
        <v>20766.892408800006</v>
      </c>
      <c r="DD87" s="51">
        <f>IFERROR(LOOKUP(DD$15,HourlyTimeseries!$A:$A,HourlyTimeseries!$U:$U),"")</f>
        <v>19169.666167200001</v>
      </c>
      <c r="DE87" s="51">
        <f>IFERROR(LOOKUP(DE$15,HourlyTimeseries!$A:$A,HourlyTimeseries!$U:$U),"")</f>
        <v>15860.999612400004</v>
      </c>
      <c r="DF87" s="51">
        <f>IFERROR(LOOKUP(DF$15,HourlyTimeseries!$A:$A,HourlyTimeseries!$U:$U),"")</f>
        <v>15713.436212400004</v>
      </c>
      <c r="DG87" s="51">
        <f>IFERROR(LOOKUP(DG$15,HourlyTimeseries!$A:$A,HourlyTimeseries!$U:$U),"")</f>
        <v>14369.723892000002</v>
      </c>
      <c r="DH87" s="51">
        <f>IFERROR(LOOKUP(DH$15,HourlyTimeseries!$A:$A,HourlyTimeseries!$U:$U),"")</f>
        <v>14137.459100400003</v>
      </c>
      <c r="DI87" s="51">
        <f>IFERROR(LOOKUP(DI$15,HourlyTimeseries!$A:$A,HourlyTimeseries!$U:$U),"")</f>
        <v>14242.819368000002</v>
      </c>
      <c r="DJ87" s="51">
        <f>IFERROR(LOOKUP(DJ$15,HourlyTimeseries!$A:$A,HourlyTimeseries!$U:$U),"")</f>
        <v>16280.669922000003</v>
      </c>
      <c r="DK87" s="51">
        <f>IFERROR(LOOKUP(DK$15,HourlyTimeseries!$A:$A,HourlyTimeseries!$U:$U),"")</f>
        <v>27023.674309440001</v>
      </c>
      <c r="DL87" s="51">
        <f>IFERROR(LOOKUP(DL$15,HourlyTimeseries!$A:$A,HourlyTimeseries!$U:$U),"")</f>
        <v>38276.36092236</v>
      </c>
      <c r="DM87" s="51">
        <f>IFERROR(LOOKUP(DM$15,HourlyTimeseries!$A:$A,HourlyTimeseries!$U:$U),"")</f>
        <v>45879.753833399998</v>
      </c>
      <c r="DN87" s="51">
        <f>IFERROR(LOOKUP(DN$15,HourlyTimeseries!$A:$A,HourlyTimeseries!$U:$U),"")</f>
        <v>57850.609119479988</v>
      </c>
      <c r="DO87" s="51">
        <f>IFERROR(LOOKUP(DO$15,HourlyTimeseries!$A:$A,HourlyTimeseries!$U:$U),"")</f>
        <v>71088.174633119997</v>
      </c>
      <c r="DP87" s="51">
        <f>IFERROR(LOOKUP(DP$15,HourlyTimeseries!$A:$A,HourlyTimeseries!$U:$U),"")</f>
        <v>75540.188741520004</v>
      </c>
      <c r="DQ87" s="51">
        <f>IFERROR(LOOKUP(DQ$15,HourlyTimeseries!$A:$A,HourlyTimeseries!$U:$U),"")</f>
        <v>69176.365995479995</v>
      </c>
      <c r="DR87" s="51">
        <f>IFERROR(LOOKUP(DR$15,HourlyTimeseries!$A:$A,HourlyTimeseries!$U:$U),"")</f>
        <v>56417.405046599997</v>
      </c>
      <c r="DS87" s="51">
        <f>IFERROR(LOOKUP(DS$15,HourlyTimeseries!$A:$A,HourlyTimeseries!$U:$U),"")</f>
        <v>29850.49599232</v>
      </c>
      <c r="DT87" s="60">
        <f>IFERROR(LOOKUP(DT$15,HourlyTimeseries!$A:$A,HourlyTimeseries!$U:$U),"")</f>
        <v>22421.236938720001</v>
      </c>
      <c r="DU87" s="67">
        <f>IFERROR(LOOKUP(DU$15,HourlyTimeseries!$A:$A,HourlyTimeseries!$U:$U),"")</f>
        <v>17505.031038000001</v>
      </c>
      <c r="DV87" s="51">
        <f>IFERROR(LOOKUP(DV$15,HourlyTimeseries!$A:$A,HourlyTimeseries!$U:$U),"")</f>
        <v>17131.225359600001</v>
      </c>
      <c r="DW87" s="51">
        <f>IFERROR(LOOKUP(DW$15,HourlyTimeseries!$A:$A,HourlyTimeseries!$U:$U),"")</f>
        <v>16459.811889600001</v>
      </c>
      <c r="DX87" s="51">
        <f>IFERROR(LOOKUP(DX$15,HourlyTimeseries!$A:$A,HourlyTimeseries!$U:$U),"")</f>
        <v>16610.326557600001</v>
      </c>
      <c r="DY87" s="51">
        <f>IFERROR(LOOKUP(DY$15,HourlyTimeseries!$A:$A,HourlyTimeseries!$U:$U),"")</f>
        <v>16544.513281200001</v>
      </c>
      <c r="DZ87" s="51">
        <f>IFERROR(LOOKUP(DZ$15,HourlyTimeseries!$A:$A,HourlyTimeseries!$U:$U),"")</f>
        <v>17128.569218400004</v>
      </c>
      <c r="EA87" s="51">
        <f>IFERROR(LOOKUP(EA$15,HourlyTimeseries!$A:$A,HourlyTimeseries!$U:$U),"")</f>
        <v>20766.892408800006</v>
      </c>
      <c r="EB87" s="51">
        <f>IFERROR(LOOKUP(EB$15,HourlyTimeseries!$A:$A,HourlyTimeseries!$U:$U),"")</f>
        <v>19169.666167200001</v>
      </c>
      <c r="EC87" s="51">
        <f>IFERROR(LOOKUP(EC$15,HourlyTimeseries!$A:$A,HourlyTimeseries!$U:$U),"")</f>
        <v>15860.999612400004</v>
      </c>
      <c r="ED87" s="51">
        <f>IFERROR(LOOKUP(ED$15,HourlyTimeseries!$A:$A,HourlyTimeseries!$U:$U),"")</f>
        <v>15713.436212400004</v>
      </c>
      <c r="EE87" s="51">
        <f>IFERROR(LOOKUP(EE$15,HourlyTimeseries!$A:$A,HourlyTimeseries!$U:$U),"")</f>
        <v>14369.723892000002</v>
      </c>
      <c r="EF87" s="51">
        <f>IFERROR(LOOKUP(EF$15,HourlyTimeseries!$A:$A,HourlyTimeseries!$U:$U),"")</f>
        <v>14137.459100400003</v>
      </c>
      <c r="EG87" s="51">
        <f>IFERROR(LOOKUP(EG$15,HourlyTimeseries!$A:$A,HourlyTimeseries!$U:$U),"")</f>
        <v>14242.819368000002</v>
      </c>
      <c r="EH87" s="51">
        <f>IFERROR(LOOKUP(EH$15,HourlyTimeseries!$A:$A,HourlyTimeseries!$U:$U),"")</f>
        <v>16280.669922000003</v>
      </c>
      <c r="EI87" s="51">
        <f>IFERROR(LOOKUP(EI$15,HourlyTimeseries!$A:$A,HourlyTimeseries!$U:$U),"")</f>
        <v>27023.674309440001</v>
      </c>
      <c r="EJ87" s="51">
        <f>IFERROR(LOOKUP(EJ$15,HourlyTimeseries!$A:$A,HourlyTimeseries!$U:$U),"")</f>
        <v>38276.36092236</v>
      </c>
      <c r="EK87" s="51">
        <f>IFERROR(LOOKUP(EK$15,HourlyTimeseries!$A:$A,HourlyTimeseries!$U:$U),"")</f>
        <v>45879.753833399998</v>
      </c>
      <c r="EL87" s="51">
        <f>IFERROR(LOOKUP(EL$15,HourlyTimeseries!$A:$A,HourlyTimeseries!$U:$U),"")</f>
        <v>57850.609119479988</v>
      </c>
      <c r="EM87" s="51">
        <f>IFERROR(LOOKUP(EM$15,HourlyTimeseries!$A:$A,HourlyTimeseries!$U:$U),"")</f>
        <v>71088.174633119997</v>
      </c>
      <c r="EN87" s="51">
        <f>IFERROR(LOOKUP(EN$15,HourlyTimeseries!$A:$A,HourlyTimeseries!$U:$U),"")</f>
        <v>75540.188741520004</v>
      </c>
      <c r="EO87" s="51">
        <f>IFERROR(LOOKUP(EO$15,HourlyTimeseries!$A:$A,HourlyTimeseries!$U:$U),"")</f>
        <v>69176.365995479995</v>
      </c>
      <c r="EP87" s="51">
        <f>IFERROR(LOOKUP(EP$15,HourlyTimeseries!$A:$A,HourlyTimeseries!$U:$U),"")</f>
        <v>56417.405046599997</v>
      </c>
      <c r="EQ87" s="51">
        <f>IFERROR(LOOKUP(EQ$15,HourlyTimeseries!$A:$A,HourlyTimeseries!$U:$U),"")</f>
        <v>29850.49599232</v>
      </c>
      <c r="ER87" s="60">
        <f>IFERROR(LOOKUP(ER$15,HourlyTimeseries!$A:$A,HourlyTimeseries!$U:$U),"")</f>
        <v>22421.236938720001</v>
      </c>
      <c r="ES87" s="67">
        <f>IFERROR(LOOKUP(ES$15,HourlyTimeseries!$A:$A,HourlyTimeseries!$U:$U),"")</f>
        <v>17505.031038000001</v>
      </c>
      <c r="ET87" s="51">
        <f>IFERROR(LOOKUP(ET$15,HourlyTimeseries!$A:$A,HourlyTimeseries!$U:$U),"")</f>
        <v>17131.225359600001</v>
      </c>
      <c r="EU87" s="51">
        <f>IFERROR(LOOKUP(EU$15,HourlyTimeseries!$A:$A,HourlyTimeseries!$U:$U),"")</f>
        <v>16459.811889600001</v>
      </c>
      <c r="EV87" s="51">
        <f>IFERROR(LOOKUP(EV$15,HourlyTimeseries!$A:$A,HourlyTimeseries!$U:$U),"")</f>
        <v>16610.326557600001</v>
      </c>
      <c r="EW87" s="51">
        <f>IFERROR(LOOKUP(EW$15,HourlyTimeseries!$A:$A,HourlyTimeseries!$U:$U),"")</f>
        <v>16544.513281200001</v>
      </c>
      <c r="EX87" s="51">
        <f>IFERROR(LOOKUP(EX$15,HourlyTimeseries!$A:$A,HourlyTimeseries!$U:$U),"")</f>
        <v>17128.569218400004</v>
      </c>
      <c r="EY87" s="51">
        <f>IFERROR(LOOKUP(EY$15,HourlyTimeseries!$A:$A,HourlyTimeseries!$U:$U),"")</f>
        <v>20766.892408800006</v>
      </c>
      <c r="EZ87" s="51">
        <f>IFERROR(LOOKUP(EZ$15,HourlyTimeseries!$A:$A,HourlyTimeseries!$U:$U),"")</f>
        <v>19169.666167200001</v>
      </c>
      <c r="FA87" s="51">
        <f>IFERROR(LOOKUP(FA$15,HourlyTimeseries!$A:$A,HourlyTimeseries!$U:$U),"")</f>
        <v>15860.999612400004</v>
      </c>
      <c r="FB87" s="51">
        <f>IFERROR(LOOKUP(FB$15,HourlyTimeseries!$A:$A,HourlyTimeseries!$U:$U),"")</f>
        <v>15713.436212400004</v>
      </c>
      <c r="FC87" s="51">
        <f>IFERROR(LOOKUP(FC$15,HourlyTimeseries!$A:$A,HourlyTimeseries!$U:$U),"")</f>
        <v>14369.723892000002</v>
      </c>
      <c r="FD87" s="51">
        <f>IFERROR(LOOKUP(FD$15,HourlyTimeseries!$A:$A,HourlyTimeseries!$U:$U),"")</f>
        <v>14137.459100400003</v>
      </c>
      <c r="FE87" s="51">
        <f>IFERROR(LOOKUP(FE$15,HourlyTimeseries!$A:$A,HourlyTimeseries!$U:$U),"")</f>
        <v>14242.819368000002</v>
      </c>
      <c r="FF87" s="51">
        <f>IFERROR(LOOKUP(FF$15,HourlyTimeseries!$A:$A,HourlyTimeseries!$U:$U),"")</f>
        <v>16280.669922000003</v>
      </c>
      <c r="FG87" s="51">
        <f>IFERROR(LOOKUP(FG$15,HourlyTimeseries!$A:$A,HourlyTimeseries!$U:$U),"")</f>
        <v>27023.674309440001</v>
      </c>
      <c r="FH87" s="51">
        <f>IFERROR(LOOKUP(FH$15,HourlyTimeseries!$A:$A,HourlyTimeseries!$U:$U),"")</f>
        <v>38276.36092236</v>
      </c>
      <c r="FI87" s="51">
        <f>IFERROR(LOOKUP(FI$15,HourlyTimeseries!$A:$A,HourlyTimeseries!$U:$U),"")</f>
        <v>45879.753833399998</v>
      </c>
      <c r="FJ87" s="51">
        <f>IFERROR(LOOKUP(FJ$15,HourlyTimeseries!$A:$A,HourlyTimeseries!$U:$U),"")</f>
        <v>57850.609119479988</v>
      </c>
      <c r="FK87" s="51">
        <f>IFERROR(LOOKUP(FK$15,HourlyTimeseries!$A:$A,HourlyTimeseries!$U:$U),"")</f>
        <v>71088.174633119997</v>
      </c>
      <c r="FL87" s="51">
        <f>IFERROR(LOOKUP(FL$15,HourlyTimeseries!$A:$A,HourlyTimeseries!$U:$U),"")</f>
        <v>75540.188741520004</v>
      </c>
      <c r="FM87" s="51">
        <f>IFERROR(LOOKUP(FM$15,HourlyTimeseries!$A:$A,HourlyTimeseries!$U:$U),"")</f>
        <v>69176.365995479995</v>
      </c>
      <c r="FN87" s="51">
        <f>IFERROR(LOOKUP(FN$15,HourlyTimeseries!$A:$A,HourlyTimeseries!$U:$U),"")</f>
        <v>56417.405046599997</v>
      </c>
      <c r="FO87" s="51">
        <f>IFERROR(LOOKUP(FO$15,HourlyTimeseries!$A:$A,HourlyTimeseries!$U:$U),"")</f>
        <v>29850.49599232</v>
      </c>
      <c r="FP87" s="60">
        <f>IFERROR(LOOKUP(FP$15,HourlyTimeseries!$A:$A,HourlyTimeseries!$U:$U),"")</f>
        <v>22421.236938720001</v>
      </c>
    </row>
    <row r="88" spans="1:172">
      <c r="A88" t="s">
        <v>47</v>
      </c>
      <c r="B88" s="2" t="s">
        <v>41</v>
      </c>
      <c r="C88" s="8" t="s">
        <v>133</v>
      </c>
      <c r="D88" s="5">
        <v>0</v>
      </c>
      <c r="E88" s="22" t="str">
        <f>IF(AND(D37=TRUE,D88&lt;0),"the penalty cost should be in range 0-25","")</f>
        <v/>
      </c>
    </row>
    <row r="89" spans="1:172">
      <c r="A89" t="s">
        <v>48</v>
      </c>
      <c r="B89" s="2" t="s">
        <v>42</v>
      </c>
      <c r="C89" s="8" t="s">
        <v>133</v>
      </c>
      <c r="D89" s="5">
        <v>0</v>
      </c>
      <c r="E89" s="22" t="str">
        <f>IF(AND(D37=TRUE,D89&lt;0),"the penalty cost should be in range 0-25","")</f>
        <v/>
      </c>
    </row>
    <row r="90" spans="1:172">
      <c r="A90" t="s">
        <v>49</v>
      </c>
      <c r="B90" s="2" t="s">
        <v>43</v>
      </c>
      <c r="C90" s="8" t="s">
        <v>133</v>
      </c>
      <c r="D90" s="5">
        <v>0.1</v>
      </c>
      <c r="E90" s="22" t="str">
        <f>IF(AND(D47=TRUE,D90&lt;0),"the penalty cost should be in range 0-25","")</f>
        <v/>
      </c>
    </row>
    <row r="91" spans="1:172">
      <c r="A91" t="s">
        <v>50</v>
      </c>
      <c r="B91" s="2" t="s">
        <v>44</v>
      </c>
      <c r="C91" s="8" t="s">
        <v>133</v>
      </c>
      <c r="D91" s="5">
        <v>0.1</v>
      </c>
      <c r="E91" s="22" t="str">
        <f>IF(AND(D47=TRUE,D91&lt;0),"the penalty cost should be in range 0-25","")</f>
        <v/>
      </c>
    </row>
    <row r="92" spans="1:172">
      <c r="A92" t="s">
        <v>51</v>
      </c>
      <c r="B92" s="2" t="s">
        <v>45</v>
      </c>
      <c r="C92" s="8" t="s">
        <v>133</v>
      </c>
      <c r="D92" s="5">
        <v>0</v>
      </c>
      <c r="E92" s="22" t="str">
        <f>IF(AND(D53=TRUE,D92&lt;0),"the penalty cost should be in range 0-25","")</f>
        <v/>
      </c>
    </row>
    <row r="93" spans="1:172">
      <c r="A93" t="s">
        <v>52</v>
      </c>
      <c r="B93" s="2" t="s">
        <v>46</v>
      </c>
      <c r="C93" s="8" t="s">
        <v>133</v>
      </c>
      <c r="D93" s="5">
        <v>0</v>
      </c>
      <c r="E93" s="22" t="str">
        <f>IF(AND(D53=TRUE,D93&lt;0),"the penalty cost should be in range 0-25","")</f>
        <v/>
      </c>
    </row>
    <row r="94" spans="1:172">
      <c r="A94" t="s">
        <v>185</v>
      </c>
      <c r="B94" s="2" t="s">
        <v>183</v>
      </c>
      <c r="C94" s="8" t="s">
        <v>135</v>
      </c>
      <c r="D94" s="5">
        <v>0</v>
      </c>
    </row>
    <row r="95" spans="1:172">
      <c r="A95" t="s">
        <v>186</v>
      </c>
      <c r="B95" s="2" t="s">
        <v>184</v>
      </c>
      <c r="C95" s="8" t="s">
        <v>135</v>
      </c>
      <c r="D95" s="5">
        <v>0</v>
      </c>
    </row>
  </sheetData>
  <phoneticPr fontId="7" type="noConversion"/>
  <conditionalFormatting sqref="D9">
    <cfRule type="cellIs" dxfId="45" priority="63" operator="equal">
      <formula>FALSE</formula>
    </cfRule>
    <cfRule type="cellIs" dxfId="44" priority="64" operator="equal">
      <formula>TRUE</formula>
    </cfRule>
  </conditionalFormatting>
  <conditionalFormatting sqref="D10">
    <cfRule type="cellIs" dxfId="43" priority="61" operator="equal">
      <formula>FALSE</formula>
    </cfRule>
    <cfRule type="cellIs" dxfId="42" priority="62" operator="equal">
      <formula>TRUE</formula>
    </cfRule>
  </conditionalFormatting>
  <conditionalFormatting sqref="D35">
    <cfRule type="cellIs" dxfId="41" priority="21" operator="equal">
      <formula>FALSE</formula>
    </cfRule>
    <cfRule type="cellIs" dxfId="40" priority="22" operator="equal">
      <formula>TRUE</formula>
    </cfRule>
  </conditionalFormatting>
  <conditionalFormatting sqref="D37 D58 D69 D43 D47 D52:D53">
    <cfRule type="cellIs" dxfId="39" priority="19" operator="equal">
      <formula>FALSE</formula>
    </cfRule>
    <cfRule type="cellIs" dxfId="38" priority="20" operator="equal">
      <formula>TRUE</formula>
    </cfRule>
  </conditionalFormatting>
  <conditionalFormatting sqref="D38:D39">
    <cfRule type="expression" dxfId="37" priority="16">
      <formula>$D$37=FALSE</formula>
    </cfRule>
  </conditionalFormatting>
  <conditionalFormatting sqref="D36">
    <cfRule type="expression" dxfId="36" priority="15">
      <formula>$D$35=FALSE</formula>
    </cfRule>
  </conditionalFormatting>
  <conditionalFormatting sqref="D48:D49">
    <cfRule type="expression" dxfId="35" priority="14">
      <formula>$D$47=FALSE</formula>
    </cfRule>
  </conditionalFormatting>
  <conditionalFormatting sqref="D54:D55">
    <cfRule type="expression" dxfId="34" priority="13">
      <formula>$D$53=FALSE</formula>
    </cfRule>
  </conditionalFormatting>
  <conditionalFormatting sqref="D44:D46">
    <cfRule type="expression" dxfId="33" priority="12">
      <formula>$D$37=FALSE</formula>
    </cfRule>
  </conditionalFormatting>
  <conditionalFormatting sqref="D44:D46">
    <cfRule type="expression" dxfId="32" priority="9">
      <formula>$D$10="LP"</formula>
    </cfRule>
  </conditionalFormatting>
  <conditionalFormatting sqref="D60:D61">
    <cfRule type="expression" dxfId="31" priority="8">
      <formula>$D$53=FALSE</formula>
    </cfRule>
  </conditionalFormatting>
  <conditionalFormatting sqref="D59">
    <cfRule type="cellIs" dxfId="30" priority="6" operator="equal">
      <formula>FALSE</formula>
    </cfRule>
    <cfRule type="cellIs" dxfId="29" priority="7" operator="equal">
      <formula>TRUE</formula>
    </cfRule>
  </conditionalFormatting>
  <conditionalFormatting sqref="D64">
    <cfRule type="cellIs" dxfId="28" priority="4" operator="equal">
      <formula>FALSE</formula>
    </cfRule>
    <cfRule type="cellIs" dxfId="27" priority="5" operator="equal">
      <formula>TRUE</formula>
    </cfRule>
  </conditionalFormatting>
  <conditionalFormatting sqref="D30">
    <cfRule type="cellIs" dxfId="26" priority="2" operator="equal">
      <formula>FALSE</formula>
    </cfRule>
    <cfRule type="cellIs" dxfId="25" priority="3" operator="equal">
      <formula>TRUE</formula>
    </cfRule>
  </conditionalFormatting>
  <conditionalFormatting sqref="D11">
    <cfRule type="expression" dxfId="24" priority="1">
      <formula>$D$37=FALSE</formula>
    </cfRule>
  </conditionalFormatting>
  <dataValidations count="2">
    <dataValidation type="list" allowBlank="1" showInputMessage="1" showErrorMessage="1" sqref="D9 D30 D64 D58:D59 D35 D47 D37 D52:D53 D43 D6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Tables'!$W$5:$W$22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Inputs!E87:FP87</xm:f>
              <xm:sqref>D87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Inputs!E41:FP41</xm:f>
              <xm:sqref>D41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Inputs!E31:FP31</xm:f>
              <xm:sqref>D31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Inputs!E40:FP40</xm:f>
              <xm:sqref>D40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Inputs!E34:K34</xm:f>
              <xm:sqref>D34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Inputs!E36:K36</xm:f>
              <xm:sqref>D36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Inputs!E62:FP62</xm:f>
              <xm:sqref>D62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Inputs!E63:FP63</xm:f>
              <xm:sqref>D63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Inputs!E57:FP57</xm:f>
              <xm:sqref>D57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Inputs!E56:FP56</xm:f>
              <xm:sqref>D56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Inputs!E51:FP51</xm:f>
              <xm:sqref>D51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Inputs!E50:FP50</xm:f>
              <xm:sqref>D50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Inputs!E42:FP42</xm:f>
              <xm:sqref>D42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Inputs!E32:FP32</xm:f>
              <xm:sqref>D32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Inputs!E68:FP68</xm:f>
              <xm:sqref>D68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Inputs!E70:FP70</xm:f>
              <xm:sqref>D70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Inputs!E74:K74</xm:f>
              <xm:sqref>D74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Inputs!E75:K75</xm:f>
              <xm:sqref>D75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Inputs!E78:FP78</xm:f>
              <xm:sqref>D78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Inputs!E79:FP79</xm:f>
              <xm:sqref>D79</xm:sqref>
            </x14:sparkline>
          </x14:sparklines>
        </x14:sparklineGroup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Inputs!E84:FP84</xm:f>
              <xm:sqref>D84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302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U3" sqref="U3"/>
    </sheetView>
  </sheetViews>
  <sheetFormatPr baseColWidth="10" defaultColWidth="8.6640625" defaultRowHeight="15"/>
  <cols>
    <col min="1" max="1" width="15.5" bestFit="1" customWidth="1"/>
    <col min="2" max="14" width="10.6640625" customWidth="1"/>
    <col min="15" max="17" width="11.6640625" customWidth="1"/>
    <col min="18" max="23" width="10.6640625" customWidth="1"/>
  </cols>
  <sheetData>
    <row r="1" spans="1:24" s="31" customFormat="1" ht="112"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378</v>
      </c>
    </row>
    <row r="2" spans="1:24" ht="16" thickBot="1">
      <c r="A2" t="s">
        <v>213</v>
      </c>
      <c r="B2" s="113" t="s">
        <v>136</v>
      </c>
      <c r="C2" s="113" t="s">
        <v>136</v>
      </c>
      <c r="D2" s="113" t="s">
        <v>133</v>
      </c>
      <c r="E2" s="113" t="s">
        <v>133</v>
      </c>
      <c r="F2" s="113" t="s">
        <v>133</v>
      </c>
      <c r="G2" s="113" t="s">
        <v>133</v>
      </c>
      <c r="H2" s="113" t="s">
        <v>133</v>
      </c>
      <c r="I2" s="113" t="s">
        <v>133</v>
      </c>
      <c r="J2" s="113" t="s">
        <v>133</v>
      </c>
      <c r="K2" s="113" t="s">
        <v>135</v>
      </c>
      <c r="L2" s="113" t="s">
        <v>135</v>
      </c>
      <c r="M2" s="113" t="s">
        <v>133</v>
      </c>
      <c r="N2" s="113" t="s">
        <v>133</v>
      </c>
      <c r="O2" s="113" t="s">
        <v>135</v>
      </c>
      <c r="P2" s="113" t="s">
        <v>135</v>
      </c>
      <c r="Q2" s="113" t="s">
        <v>136</v>
      </c>
      <c r="R2" s="113" t="s">
        <v>133</v>
      </c>
      <c r="S2" s="113" t="s">
        <v>133</v>
      </c>
      <c r="T2" s="113" t="s">
        <v>134</v>
      </c>
      <c r="U2" s="113" t="s">
        <v>134</v>
      </c>
      <c r="V2">
        <f>AVERAGE(V3:V26)</f>
        <v>3.0499999999999994</v>
      </c>
      <c r="W2">
        <f>AVERAGE(W3:W26)</f>
        <v>3.0499999999999994</v>
      </c>
    </row>
    <row r="3" spans="1:24" ht="16" thickBot="1">
      <c r="A3" s="120">
        <v>45836</v>
      </c>
      <c r="B3" s="114">
        <v>5000</v>
      </c>
      <c r="C3" s="114">
        <v>25000</v>
      </c>
      <c r="D3" s="114">
        <v>0</v>
      </c>
      <c r="E3" s="114">
        <v>0</v>
      </c>
      <c r="F3" s="114">
        <v>0</v>
      </c>
      <c r="G3" s="114">
        <v>2400</v>
      </c>
      <c r="H3" s="114">
        <v>25000</v>
      </c>
      <c r="I3" s="114">
        <v>5000</v>
      </c>
      <c r="J3" s="114">
        <v>25000</v>
      </c>
      <c r="K3" s="114">
        <v>5000</v>
      </c>
      <c r="L3" s="114">
        <v>25000</v>
      </c>
      <c r="M3" s="115">
        <f>VLOOKUP(DATE(YEAR(A3),MONTH(A3),DAY(A3)),FY24_Temp[],4,FALSE)</f>
        <v>8.4</v>
      </c>
      <c r="N3" s="115">
        <f>VLOOKUP(DATE(YEAR(A3),MONTH(A3),DAY(A3)),FY24_Temp[],3,FALSE)</f>
        <v>12.8</v>
      </c>
      <c r="O3" s="115">
        <v>13</v>
      </c>
      <c r="P3" s="115">
        <v>19.5</v>
      </c>
      <c r="Q3" s="116">
        <f>VLOOKUP(VLOOKUP(DATEVALUE(TEXT(A3,"m/d/yyyy")),FY24_Temp[],5,FALSE)&amp;TEXT(A3,"-h"),Table6[],4,FALSE)</f>
        <v>0.5</v>
      </c>
      <c r="R3" s="117">
        <v>10</v>
      </c>
      <c r="S3" s="117">
        <v>1000</v>
      </c>
      <c r="T3" s="100">
        <f>VLOOKUP(TEXT(A3,"yy-mm")&amp;"-"&amp;IF(AND(WEEKDAY(A3)&gt;1,WEEKDAY(A3)&lt;7),"Wkd",TEXT(A3,"Ddd"))&amp;"-"&amp;TEXT(A3,"hh"),LoadTable[],5,FALSE)*0.92</f>
        <v>279.25312000000002</v>
      </c>
      <c r="U3" s="118">
        <f>VLOOKUP(TEXT(A3,"yy-mm")&amp;"-"&amp;IF(AND(WEEKDAY(A3)&gt;1,WEEKDAY(A3)&lt;7),"Wkd",TEXT(A3,"Ddd"))&amp;"-"&amp;TEXT(A3,"hh"),LoadTable[],6,FALSE)*T3</f>
        <v>13845.648942720001</v>
      </c>
      <c r="V3" s="117">
        <v>3</v>
      </c>
      <c r="W3" s="117">
        <v>3.2</v>
      </c>
      <c r="X3" s="119">
        <v>2.5569288999999999</v>
      </c>
    </row>
    <row r="4" spans="1:24">
      <c r="A4" s="29">
        <f>A3+TIME(1,0,0)</f>
        <v>45836.041666666664</v>
      </c>
      <c r="B4" s="42">
        <v>5000</v>
      </c>
      <c r="C4" s="42">
        <v>25000</v>
      </c>
      <c r="D4" s="42">
        <v>0</v>
      </c>
      <c r="E4" s="42">
        <v>0</v>
      </c>
      <c r="F4" s="42">
        <v>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8.4</v>
      </c>
      <c r="N4" s="86">
        <f>VLOOKUP(DATE(YEAR(A4),MONTH(A4),DAY(A4)),FY24_Temp[],3,FALSE)</f>
        <v>12.8</v>
      </c>
      <c r="O4" s="86">
        <v>13</v>
      </c>
      <c r="P4" s="86">
        <v>19.5</v>
      </c>
      <c r="Q4" s="87">
        <f>VLOOKUP(VLOOKUP(DATEVALUE(TEXT(A4,"m/d/yyyy")),FY24_Temp[],5,FALSE)&amp;TEXT(A4,"-h"),Table6[],4,FALSE)</f>
        <v>0.5</v>
      </c>
      <c r="R4">
        <v>10</v>
      </c>
      <c r="S4">
        <v>1000</v>
      </c>
      <c r="T4" s="99">
        <f>VLOOKUP(TEXT(A4,"yy-mm")&amp;"-"&amp;IF(AND(WEEKDAY(A4)&gt;1,WEEKDAY(A4)&lt;7),"Wkd",TEXT(A4,"Ddd"))&amp;"-"&amp;TEXT(A4,"hh"),LoadTable[],5,FALSE)*0.92</f>
        <v>279.25312000000002</v>
      </c>
      <c r="U4" s="104">
        <f>VLOOKUP(TEXT(A4,"yy-mm")&amp;"-"&amp;IF(AND(WEEKDAY(A4)&gt;1,WEEKDAY(A4)&lt;7),"Wkd",TEXT(A4,"Ddd"))&amp;"-"&amp;TEXT(A4,"hh"),LoadTable[],6,FALSE)*T4</f>
        <v>13695.131511040001</v>
      </c>
      <c r="V4">
        <v>2.6</v>
      </c>
      <c r="W4">
        <v>3.2</v>
      </c>
      <c r="X4" s="86">
        <v>2.5728320999999998</v>
      </c>
    </row>
    <row r="5" spans="1:24">
      <c r="A5" s="29">
        <f t="shared" ref="A5:A68" si="0">A4+TIME(1,0,0)</f>
        <v>45836.083333333328</v>
      </c>
      <c r="B5" s="8">
        <v>5000</v>
      </c>
      <c r="C5" s="8">
        <v>25000</v>
      </c>
      <c r="D5" s="8">
        <v>0</v>
      </c>
      <c r="E5" s="8">
        <v>0</v>
      </c>
      <c r="F5" s="8">
        <v>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8.4</v>
      </c>
      <c r="N5" s="9">
        <f>VLOOKUP(DATE(YEAR(A5),MONTH(A5),DAY(A5)),FY24_Temp[],3,FALSE)</f>
        <v>12.8</v>
      </c>
      <c r="O5" s="9">
        <v>13</v>
      </c>
      <c r="P5" s="9">
        <v>19.5</v>
      </c>
      <c r="Q5" s="79">
        <f>VLOOKUP(VLOOKUP(DATEVALUE(TEXT(A5,"m/d/yyyy")),FY24_Temp[],5,FALSE)&amp;TEXT(A5,"-h"),Table6[],4,FALSE)</f>
        <v>0.5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VLOOKUP(TEXT(A5,"yy-mm")&amp;"-"&amp;IF(AND(WEEKDAY(A5)&gt;1,WEEKDAY(A5)&lt;7),"Wkd",TEXT(A5,"Ddd"))&amp;"-"&amp;TEXT(A5,"hh"),LoadTable[],5,FALSE)*0.92</f>
        <v>279.25312000000002</v>
      </c>
      <c r="U5" s="104">
        <f>VLOOKUP(TEXT(A5,"yy-mm")&amp;"-"&amp;IF(AND(WEEKDAY(A5)&gt;1,WEEKDAY(A5)&lt;7),"Wkd",TEXT(A5,"Ddd"))&amp;"-"&amp;TEXT(A5,"hh"),LoadTable[],6,FALSE)*T5</f>
        <v>13726.12860736</v>
      </c>
      <c r="V5">
        <v>2.8</v>
      </c>
      <c r="W5">
        <v>3.2</v>
      </c>
      <c r="X5" s="9">
        <v>2.6065198999999999</v>
      </c>
    </row>
    <row r="6" spans="1:24">
      <c r="A6" s="29">
        <f t="shared" si="0"/>
        <v>45836.124999999993</v>
      </c>
      <c r="B6" s="8">
        <v>5000</v>
      </c>
      <c r="C6" s="8">
        <v>25000</v>
      </c>
      <c r="D6" s="8">
        <v>0</v>
      </c>
      <c r="E6" s="8">
        <v>0</v>
      </c>
      <c r="F6" s="8">
        <v>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8.4</v>
      </c>
      <c r="N6" s="9">
        <f>VLOOKUP(DATE(YEAR(A6),MONTH(A6),DAY(A6)),FY24_Temp[],3,FALSE)</f>
        <v>12.8</v>
      </c>
      <c r="O6" s="9">
        <v>13</v>
      </c>
      <c r="P6" s="9">
        <v>19.5</v>
      </c>
      <c r="Q6" s="79">
        <f>VLOOKUP(VLOOKUP(DATEVALUE(TEXT(A6,"m/d/yyyy")),FY24_Temp[],5,FALSE)&amp;TEXT(A6,"-h"),Table6[],4,FALSE)</f>
        <v>0.5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VLOOKUP(TEXT(A6,"yy-mm")&amp;"-"&amp;IF(AND(WEEKDAY(A6)&gt;1,WEEKDAY(A6)&lt;7),"Wkd",TEXT(A6,"Ddd"))&amp;"-"&amp;TEXT(A6,"hh"),LoadTable[],5,FALSE)*0.92</f>
        <v>279.25312000000002</v>
      </c>
      <c r="U6" s="104">
        <f>VLOOKUP(TEXT(A6,"yy-mm")&amp;"-"&amp;IF(AND(WEEKDAY(A6)&gt;1,WEEKDAY(A6)&lt;7),"Wkd",TEXT(A6,"Ddd"))&amp;"-"&amp;TEXT(A6,"hh"),LoadTable[],6,FALSE)*T6</f>
        <v>13756.287944320002</v>
      </c>
      <c r="V6">
        <v>2.7</v>
      </c>
      <c r="W6">
        <v>3.2</v>
      </c>
      <c r="X6" s="9">
        <v>2.6428592000000002</v>
      </c>
    </row>
    <row r="7" spans="1:24">
      <c r="A7" s="29">
        <f t="shared" si="0"/>
        <v>45836.166666666657</v>
      </c>
      <c r="B7" s="8">
        <v>5000</v>
      </c>
      <c r="C7" s="8">
        <v>25000</v>
      </c>
      <c r="D7" s="8">
        <v>0</v>
      </c>
      <c r="E7" s="8">
        <v>0</v>
      </c>
      <c r="F7" s="8">
        <v>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8.4</v>
      </c>
      <c r="N7" s="9">
        <f>VLOOKUP(DATE(YEAR(A7),MONTH(A7),DAY(A7)),FY24_Temp[],3,FALSE)</f>
        <v>12.8</v>
      </c>
      <c r="O7" s="9">
        <v>13</v>
      </c>
      <c r="P7" s="9">
        <v>19.5</v>
      </c>
      <c r="Q7" s="79">
        <f>VLOOKUP(VLOOKUP(DATEVALUE(TEXT(A7,"m/d/yyyy")),FY24_Temp[],5,FALSE)&amp;TEXT(A7,"-h"),Table6[],4,FALSE)</f>
        <v>0.5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VLOOKUP(TEXT(A7,"yy-mm")&amp;"-"&amp;IF(AND(WEEKDAY(A7)&gt;1,WEEKDAY(A7)&lt;7),"Wkd",TEXT(A7,"Ddd"))&amp;"-"&amp;TEXT(A7,"hh"),LoadTable[],5,FALSE)*0.92</f>
        <v>279.25312000000002</v>
      </c>
      <c r="U7" s="104">
        <f>VLOOKUP(TEXT(A7,"yy-mm")&amp;"-"&amp;IF(AND(WEEKDAY(A7)&gt;1,WEEKDAY(A7)&lt;7),"Wkd",TEXT(A7,"Ddd"))&amp;"-"&amp;TEXT(A7,"hh"),LoadTable[],6,FALSE)*T7</f>
        <v>13728.641885440002</v>
      </c>
      <c r="V7">
        <v>3</v>
      </c>
      <c r="W7">
        <v>3.1</v>
      </c>
      <c r="X7" s="9">
        <v>2.6824131000000002</v>
      </c>
    </row>
    <row r="8" spans="1:24">
      <c r="A8" s="29">
        <f t="shared" si="0"/>
        <v>45836.208333333321</v>
      </c>
      <c r="B8" s="8">
        <v>5000</v>
      </c>
      <c r="C8" s="8">
        <v>25000</v>
      </c>
      <c r="D8" s="8">
        <v>0</v>
      </c>
      <c r="E8" s="8">
        <v>0</v>
      </c>
      <c r="F8" s="8">
        <v>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8.4</v>
      </c>
      <c r="N8" s="9">
        <f>VLOOKUP(DATE(YEAR(A8),MONTH(A8),DAY(A8)),FY24_Temp[],3,FALSE)</f>
        <v>12.8</v>
      </c>
      <c r="O8" s="9">
        <v>13</v>
      </c>
      <c r="P8" s="9">
        <v>19.5</v>
      </c>
      <c r="Q8" s="79">
        <f>VLOOKUP(VLOOKUP(DATEVALUE(TEXT(A8,"m/d/yyyy")),FY24_Temp[],5,FALSE)&amp;TEXT(A8,"-h"),Table6[],4,FALSE)</f>
        <v>0.5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VLOOKUP(TEXT(A8,"yy-mm")&amp;"-"&amp;IF(AND(WEEKDAY(A8)&gt;1,WEEKDAY(A8)&lt;7),"Wkd",TEXT(A8,"Ddd"))&amp;"-"&amp;TEXT(A8,"hh"),LoadTable[],5,FALSE)*0.92</f>
        <v>279.25312000000002</v>
      </c>
      <c r="U8" s="104">
        <f>VLOOKUP(TEXT(A8,"yy-mm")&amp;"-"&amp;IF(AND(WEEKDAY(A8)&gt;1,WEEKDAY(A8)&lt;7),"Wkd",TEXT(A8,"Ddd"))&amp;"-"&amp;TEXT(A8,"hh"),LoadTable[],6,FALSE)*T8</f>
        <v>13828.33524928</v>
      </c>
      <c r="V8">
        <v>2.9</v>
      </c>
      <c r="W8">
        <v>3.1</v>
      </c>
      <c r="X8" s="9">
        <v>2.7804096</v>
      </c>
    </row>
    <row r="9" spans="1:24">
      <c r="A9" s="29">
        <f t="shared" si="0"/>
        <v>45836.249999999985</v>
      </c>
      <c r="B9" s="8">
        <v>8000</v>
      </c>
      <c r="C9" s="8">
        <v>25000</v>
      </c>
      <c r="D9" s="8">
        <v>0</v>
      </c>
      <c r="E9" s="8">
        <v>0</v>
      </c>
      <c r="F9" s="8">
        <v>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8.4</v>
      </c>
      <c r="N9" s="9">
        <f>VLOOKUP(DATE(YEAR(A9),MONTH(A9),DAY(A9)),FY24_Temp[],3,FALSE)</f>
        <v>12.8</v>
      </c>
      <c r="O9" s="9">
        <v>13</v>
      </c>
      <c r="P9" s="9">
        <v>19.5</v>
      </c>
      <c r="Q9" s="79">
        <f>VLOOKUP(VLOOKUP(DATEVALUE(TEXT(A9,"m/d/yyyy")),FY24_Temp[],5,FALSE)&amp;TEXT(A9,"-h"),Table6[],4,FALSE)</f>
        <v>0.5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VLOOKUP(TEXT(A9,"yy-mm")&amp;"-"&amp;IF(AND(WEEKDAY(A9)&gt;1,WEEKDAY(A9)&lt;7),"Wkd",TEXT(A9,"Ddd"))&amp;"-"&amp;TEXT(A9,"hh"),LoadTable[],5,FALSE)*0.92</f>
        <v>279.25312000000002</v>
      </c>
      <c r="U9" s="104">
        <f>VLOOKUP(TEXT(A9,"yy-mm")&amp;"-"&amp;IF(AND(WEEKDAY(A9)&gt;1,WEEKDAY(A9)&lt;7),"Wkd",TEXT(A9,"Ddd"))&amp;"-"&amp;TEXT(A9,"hh"),LoadTable[],6,FALSE)*T9</f>
        <v>21929.747513600003</v>
      </c>
      <c r="V9">
        <v>2.5</v>
      </c>
      <c r="W9">
        <v>3.1</v>
      </c>
      <c r="X9" s="9">
        <v>2.9252291000000001</v>
      </c>
    </row>
    <row r="10" spans="1:24">
      <c r="A10" s="29">
        <f t="shared" si="0"/>
        <v>45836.29166666665</v>
      </c>
      <c r="B10" s="8">
        <v>8000</v>
      </c>
      <c r="C10" s="8">
        <v>25000</v>
      </c>
      <c r="D10" s="8">
        <v>0</v>
      </c>
      <c r="E10" s="8">
        <v>0</v>
      </c>
      <c r="F10" s="8">
        <v>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8.4</v>
      </c>
      <c r="N10" s="9">
        <f>VLOOKUP(DATE(YEAR(A10),MONTH(A10),DAY(A10)),FY24_Temp[],3,FALSE)</f>
        <v>12.8</v>
      </c>
      <c r="O10" s="9">
        <v>13</v>
      </c>
      <c r="P10" s="9">
        <v>19.5</v>
      </c>
      <c r="Q10" s="79">
        <f>VLOOKUP(VLOOKUP(DATEVALUE(TEXT(A10,"m/d/yyyy")),FY24_Temp[],5,FALSE)&amp;TEXT(A10,"-h"),Table6[],4,FALSE)</f>
        <v>0.5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VLOOKUP(TEXT(A10,"yy-mm")&amp;"-"&amp;IF(AND(WEEKDAY(A10)&gt;1,WEEKDAY(A10)&lt;7),"Wkd",TEXT(A10,"Ddd"))&amp;"-"&amp;TEXT(A10,"hh"),LoadTable[],5,FALSE)*0.92</f>
        <v>279.25312000000002</v>
      </c>
      <c r="U10" s="104">
        <f>VLOOKUP(TEXT(A10,"yy-mm")&amp;"-"&amp;IF(AND(WEEKDAY(A10)&gt;1,WEEKDAY(A10)&lt;7),"Wkd",TEXT(A10,"Ddd"))&amp;"-"&amp;TEXT(A10,"hh"),LoadTable[],6,FALSE)*T10</f>
        <v>19925.827124480002</v>
      </c>
      <c r="V10">
        <v>2.5</v>
      </c>
      <c r="W10">
        <v>3.1</v>
      </c>
      <c r="X10" s="9">
        <v>3.0830164</v>
      </c>
    </row>
    <row r="11" spans="1:24">
      <c r="A11" s="29">
        <f t="shared" si="0"/>
        <v>45836.333333333314</v>
      </c>
      <c r="B11" s="8">
        <v>8000</v>
      </c>
      <c r="C11" s="8">
        <v>25000</v>
      </c>
      <c r="D11" s="8">
        <v>0</v>
      </c>
      <c r="E11" s="8">
        <v>0</v>
      </c>
      <c r="F11" s="8">
        <v>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8.4</v>
      </c>
      <c r="N11" s="9">
        <f>VLOOKUP(DATE(YEAR(A11),MONTH(A11),DAY(A11)),FY24_Temp[],3,FALSE)</f>
        <v>12.8</v>
      </c>
      <c r="O11" s="9">
        <v>13</v>
      </c>
      <c r="P11" s="9">
        <v>19.5</v>
      </c>
      <c r="Q11" s="79">
        <f>VLOOKUP(VLOOKUP(DATEVALUE(TEXT(A11,"m/d/yyyy")),FY24_Temp[],5,FALSE)&amp;TEXT(A11,"-h"),Table6[],4,FALSE)</f>
        <v>0.5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VLOOKUP(TEXT(A11,"yy-mm")&amp;"-"&amp;IF(AND(WEEKDAY(A11)&gt;1,WEEKDAY(A11)&lt;7),"Wkd",TEXT(A11,"Ddd"))&amp;"-"&amp;TEXT(A11,"hh"),LoadTable[],5,FALSE)*0.92</f>
        <v>279.25312000000002</v>
      </c>
      <c r="U11" s="104">
        <f>VLOOKUP(TEXT(A11,"yy-mm")&amp;"-"&amp;IF(AND(WEEKDAY(A11)&gt;1,WEEKDAY(A11)&lt;7),"Wkd",TEXT(A11,"Ddd"))&amp;"-"&amp;TEXT(A11,"hh"),LoadTable[],6,FALSE)*T11</f>
        <v>15771.37845824</v>
      </c>
      <c r="V11">
        <v>3.2</v>
      </c>
      <c r="W11">
        <v>3</v>
      </c>
      <c r="X11" s="9">
        <v>3.1579742</v>
      </c>
    </row>
    <row r="12" spans="1:24">
      <c r="A12" s="29">
        <f t="shared" si="0"/>
        <v>45836.374999999978</v>
      </c>
      <c r="B12" s="8">
        <v>8000</v>
      </c>
      <c r="C12" s="8">
        <v>25000</v>
      </c>
      <c r="D12" s="8">
        <v>0</v>
      </c>
      <c r="E12" s="8">
        <v>0</v>
      </c>
      <c r="F12" s="8">
        <v>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8.4</v>
      </c>
      <c r="N12" s="9">
        <f>VLOOKUP(DATE(YEAR(A12),MONTH(A12),DAY(A12)),FY24_Temp[],3,FALSE)</f>
        <v>12.8</v>
      </c>
      <c r="O12" s="9">
        <v>13</v>
      </c>
      <c r="P12" s="9">
        <v>19.5</v>
      </c>
      <c r="Q12" s="79">
        <f>VLOOKUP(VLOOKUP(DATEVALUE(TEXT(A12,"m/d/yyyy")),FY24_Temp[],5,FALSE)&amp;TEXT(A12,"-h"),Table6[],4,FALSE)</f>
        <v>0.5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VLOOKUP(TEXT(A12,"yy-mm")&amp;"-"&amp;IF(AND(WEEKDAY(A12)&gt;1,WEEKDAY(A12)&lt;7),"Wkd",TEXT(A12,"Ddd"))&amp;"-"&amp;TEXT(A12,"hh"),LoadTable[],5,FALSE)*0.92</f>
        <v>279.25312000000002</v>
      </c>
      <c r="U12" s="104">
        <f>VLOOKUP(TEXT(A12,"yy-mm")&amp;"-"&amp;IF(AND(WEEKDAY(A12)&gt;1,WEEKDAY(A12)&lt;7),"Wkd",TEXT(A12,"Ddd"))&amp;"-"&amp;TEXT(A12,"hh"),LoadTable[],6,FALSE)*T12</f>
        <v>13260.61365632</v>
      </c>
      <c r="V12">
        <v>2.9</v>
      </c>
      <c r="W12">
        <v>3</v>
      </c>
      <c r="X12" s="9">
        <v>3.2167728000000002</v>
      </c>
    </row>
    <row r="13" spans="1:24">
      <c r="A13" s="29">
        <f t="shared" si="0"/>
        <v>45836.416666666642</v>
      </c>
      <c r="B13" s="8">
        <v>8000</v>
      </c>
      <c r="C13" s="8">
        <v>25000</v>
      </c>
      <c r="D13" s="8">
        <v>0</v>
      </c>
      <c r="E13" s="8">
        <v>0</v>
      </c>
      <c r="F13" s="8">
        <v>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8.4</v>
      </c>
      <c r="N13" s="9">
        <f>VLOOKUP(DATE(YEAR(A13),MONTH(A13),DAY(A13)),FY24_Temp[],3,FALSE)</f>
        <v>12.8</v>
      </c>
      <c r="O13" s="9">
        <v>13</v>
      </c>
      <c r="P13" s="9">
        <v>19.5</v>
      </c>
      <c r="Q13" s="79">
        <f>VLOOKUP(VLOOKUP(DATEVALUE(TEXT(A13,"m/d/yyyy")),FY24_Temp[],5,FALSE)&amp;TEXT(A13,"-h"),Table6[],4,FALSE)</f>
        <v>0.5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VLOOKUP(TEXT(A13,"yy-mm")&amp;"-"&amp;IF(AND(WEEKDAY(A13)&gt;1,WEEKDAY(A13)&lt;7),"Wkd",TEXT(A13,"Ddd"))&amp;"-"&amp;TEXT(A13,"hh"),LoadTable[],5,FALSE)*0.92</f>
        <v>279.25312000000002</v>
      </c>
      <c r="U13" s="104">
        <f>VLOOKUP(TEXT(A13,"yy-mm")&amp;"-"&amp;IF(AND(WEEKDAY(A13)&gt;1,WEEKDAY(A13)&lt;7),"Wkd",TEXT(A13,"Ddd"))&amp;"-"&amp;TEXT(A13,"hh"),LoadTable[],6,FALSE)*T13</f>
        <v>12908.475472000002</v>
      </c>
      <c r="V13">
        <v>2.9</v>
      </c>
      <c r="W13">
        <v>3</v>
      </c>
      <c r="X13" s="9">
        <v>3.2937151999999998</v>
      </c>
    </row>
    <row r="14" spans="1:24">
      <c r="A14" s="29">
        <f t="shared" si="0"/>
        <v>45836.458333333307</v>
      </c>
      <c r="B14" s="8">
        <v>8000</v>
      </c>
      <c r="C14" s="8">
        <v>25000</v>
      </c>
      <c r="D14" s="8">
        <v>0</v>
      </c>
      <c r="E14" s="8">
        <v>0</v>
      </c>
      <c r="F14" s="8">
        <v>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8.4</v>
      </c>
      <c r="N14" s="9">
        <f>VLOOKUP(DATE(YEAR(A14),MONTH(A14),DAY(A14)),FY24_Temp[],3,FALSE)</f>
        <v>12.8</v>
      </c>
      <c r="O14" s="9">
        <v>13</v>
      </c>
      <c r="P14" s="9">
        <v>19.5</v>
      </c>
      <c r="Q14" s="79">
        <f>VLOOKUP(VLOOKUP(DATEVALUE(TEXT(A14,"m/d/yyyy")),FY24_Temp[],5,FALSE)&amp;TEXT(A14,"-h"),Table6[],4,FALSE)</f>
        <v>0.5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VLOOKUP(TEXT(A14,"yy-mm")&amp;"-"&amp;IF(AND(WEEKDAY(A14)&gt;1,WEEKDAY(A14)&lt;7),"Wkd",TEXT(A14,"Ddd"))&amp;"-"&amp;TEXT(A14,"hh"),LoadTable[],5,FALSE)*0.92</f>
        <v>279.25312000000002</v>
      </c>
      <c r="U14" s="104">
        <f>VLOOKUP(TEXT(A14,"yy-mm")&amp;"-"&amp;IF(AND(WEEKDAY(A14)&gt;1,WEEKDAY(A14)&lt;7),"Wkd",TEXT(A14,"Ddd"))&amp;"-"&amp;TEXT(A14,"hh"),LoadTable[],6,FALSE)*T14</f>
        <v>12893.395803520001</v>
      </c>
      <c r="V14">
        <v>3.4</v>
      </c>
      <c r="W14">
        <v>3</v>
      </c>
      <c r="X14" s="9">
        <v>3.2510406999999999</v>
      </c>
    </row>
    <row r="15" spans="1:24">
      <c r="A15" s="29">
        <f t="shared" si="0"/>
        <v>45836.499999999971</v>
      </c>
      <c r="B15" s="8">
        <v>8000</v>
      </c>
      <c r="C15" s="8">
        <v>25000</v>
      </c>
      <c r="D15" s="8">
        <v>0</v>
      </c>
      <c r="E15" s="8">
        <v>0</v>
      </c>
      <c r="F15" s="8">
        <v>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8.4</v>
      </c>
      <c r="N15" s="9">
        <f>VLOOKUP(DATE(YEAR(A15),MONTH(A15),DAY(A15)),FY24_Temp[],3,FALSE)</f>
        <v>12.8</v>
      </c>
      <c r="O15" s="9">
        <v>13</v>
      </c>
      <c r="P15" s="9">
        <v>19.5</v>
      </c>
      <c r="Q15" s="79">
        <f>VLOOKUP(VLOOKUP(DATEVALUE(TEXT(A15,"m/d/yyyy")),FY24_Temp[],5,FALSE)&amp;TEXT(A15,"-h"),Table6[],4,FALSE)</f>
        <v>0.5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VLOOKUP(TEXT(A15,"yy-mm")&amp;"-"&amp;IF(AND(WEEKDAY(A15)&gt;1,WEEKDAY(A15)&lt;7),"Wkd",TEXT(A15,"Ddd"))&amp;"-"&amp;TEXT(A15,"hh"),LoadTable[],5,FALSE)*0.92</f>
        <v>279.25312000000002</v>
      </c>
      <c r="U15" s="104">
        <f>VLOOKUP(TEXT(A15,"yy-mm")&amp;"-"&amp;IF(AND(WEEKDAY(A15)&gt;1,WEEKDAY(A15)&lt;7),"Wkd",TEXT(A15,"Ddd"))&amp;"-"&amp;TEXT(A15,"hh"),LoadTable[],6,FALSE)*T15</f>
        <v>12888.648500480002</v>
      </c>
      <c r="V15">
        <v>3.1</v>
      </c>
      <c r="W15">
        <v>2.9</v>
      </c>
      <c r="X15" s="9">
        <v>3.1067328000000001</v>
      </c>
    </row>
    <row r="16" spans="1:24">
      <c r="A16" s="29">
        <f t="shared" si="0"/>
        <v>45836.541666666635</v>
      </c>
      <c r="B16" s="8">
        <v>8000</v>
      </c>
      <c r="C16" s="8">
        <v>25000</v>
      </c>
      <c r="D16" s="8">
        <v>0</v>
      </c>
      <c r="E16" s="8">
        <v>0</v>
      </c>
      <c r="F16" s="8">
        <v>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8.4</v>
      </c>
      <c r="N16" s="9">
        <f>VLOOKUP(DATE(YEAR(A16),MONTH(A16),DAY(A16)),FY24_Temp[],3,FALSE)</f>
        <v>12.8</v>
      </c>
      <c r="O16" s="9">
        <v>13</v>
      </c>
      <c r="P16" s="9">
        <v>19.5</v>
      </c>
      <c r="Q16" s="79">
        <f>VLOOKUP(VLOOKUP(DATEVALUE(TEXT(A16,"m/d/yyyy")),FY24_Temp[],5,FALSE)&amp;TEXT(A16,"-h"),Table6[],4,FALSE)</f>
        <v>0.5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VLOOKUP(TEXT(A16,"yy-mm")&amp;"-"&amp;IF(AND(WEEKDAY(A16)&gt;1,WEEKDAY(A16)&lt;7),"Wkd",TEXT(A16,"Ddd"))&amp;"-"&amp;TEXT(A16,"hh"),LoadTable[],5,FALSE)*0.92</f>
        <v>279.25312000000002</v>
      </c>
      <c r="U16" s="104">
        <f>VLOOKUP(TEXT(A16,"yy-mm")&amp;"-"&amp;IF(AND(WEEKDAY(A16)&gt;1,WEEKDAY(A16)&lt;7),"Wkd",TEXT(A16,"Ddd"))&amp;"-"&amp;TEXT(A16,"hh"),LoadTable[],6,FALSE)*T16</f>
        <v>12892.837297280001</v>
      </c>
      <c r="V16">
        <v>3.2</v>
      </c>
      <c r="W16">
        <v>2.9</v>
      </c>
      <c r="X16" s="9">
        <v>2.9126077000000001</v>
      </c>
    </row>
    <row r="17" spans="1:24">
      <c r="A17" s="29">
        <f t="shared" si="0"/>
        <v>45836.583333333299</v>
      </c>
      <c r="B17" s="8">
        <v>8000</v>
      </c>
      <c r="C17" s="8">
        <v>25000</v>
      </c>
      <c r="D17" s="8">
        <v>0</v>
      </c>
      <c r="E17" s="8">
        <v>0</v>
      </c>
      <c r="F17" s="8">
        <v>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8.4</v>
      </c>
      <c r="N17" s="9">
        <f>VLOOKUP(DATE(YEAR(A17),MONTH(A17),DAY(A17)),FY24_Temp[],3,FALSE)</f>
        <v>12.8</v>
      </c>
      <c r="O17" s="9">
        <v>13</v>
      </c>
      <c r="P17" s="9">
        <v>19.5</v>
      </c>
      <c r="Q17" s="79">
        <f>VLOOKUP(VLOOKUP(DATEVALUE(TEXT(A17,"m/d/yyyy")),FY24_Temp[],5,FALSE)&amp;TEXT(A17,"-h"),Table6[],4,FALSE)</f>
        <v>0.5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VLOOKUP(TEXT(A17,"yy-mm")&amp;"-"&amp;IF(AND(WEEKDAY(A17)&gt;1,WEEKDAY(A17)&lt;7),"Wkd",TEXT(A17,"Ddd"))&amp;"-"&amp;TEXT(A17,"hh"),LoadTable[],5,FALSE)*0.92</f>
        <v>279.25312000000002</v>
      </c>
      <c r="U17" s="104">
        <f>VLOOKUP(TEXT(A17,"yy-mm")&amp;"-"&amp;IF(AND(WEEKDAY(A17)&gt;1,WEEKDAY(A17)&lt;7),"Wkd",TEXT(A17,"Ddd"))&amp;"-"&amp;TEXT(A17,"hh"),LoadTable[],6,FALSE)*T17</f>
        <v>12904.007422080002</v>
      </c>
      <c r="V17">
        <v>3.5</v>
      </c>
      <c r="W17">
        <v>2.9</v>
      </c>
      <c r="X17" s="9">
        <v>2.8376633999999998</v>
      </c>
    </row>
    <row r="18" spans="1:24">
      <c r="A18" s="29">
        <f t="shared" si="0"/>
        <v>45836.624999999964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8.4</v>
      </c>
      <c r="N18" s="9">
        <f>VLOOKUP(DATE(YEAR(A18),MONTH(A18),DAY(A18)),FY24_Temp[],3,FALSE)</f>
        <v>12.8</v>
      </c>
      <c r="O18" s="9">
        <v>13</v>
      </c>
      <c r="P18" s="9">
        <v>19.5</v>
      </c>
      <c r="Q18" s="79">
        <f>VLOOKUP(VLOOKUP(DATEVALUE(TEXT(A18,"m/d/yyyy")),FY24_Temp[],5,FALSE)&amp;TEXT(A18,"-h"),Table6[],4,FALSE)</f>
        <v>0.5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VLOOKUP(TEXT(A18,"yy-mm")&amp;"-"&amp;IF(AND(WEEKDAY(A18)&gt;1,WEEKDAY(A18)&lt;7),"Wkd",TEXT(A18,"Ddd"))&amp;"-"&amp;TEXT(A18,"hh"),LoadTable[],5,FALSE)*0.92</f>
        <v>400.56064000000003</v>
      </c>
      <c r="U18" s="104">
        <f>VLOOKUP(TEXT(A18,"yy-mm")&amp;"-"&amp;IF(AND(WEEKDAY(A18)&gt;1,WEEKDAY(A18)&lt;7),"Wkd",TEXT(A18,"Ddd"))&amp;"-"&amp;TEXT(A18,"hh"),LoadTable[],6,FALSE)*T18</f>
        <v>19679.143682559999</v>
      </c>
      <c r="V18">
        <v>3.2</v>
      </c>
      <c r="W18">
        <v>2.9</v>
      </c>
      <c r="X18" s="9">
        <v>3.1047552</v>
      </c>
    </row>
    <row r="19" spans="1:24">
      <c r="A19" s="29">
        <f t="shared" si="0"/>
        <v>45836.666666666628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8.4</v>
      </c>
      <c r="N19" s="9">
        <f>VLOOKUP(DATE(YEAR(A19),MONTH(A19),DAY(A19)),FY24_Temp[],3,FALSE)</f>
        <v>12.8</v>
      </c>
      <c r="O19" s="9">
        <v>13</v>
      </c>
      <c r="P19" s="9">
        <v>19.5</v>
      </c>
      <c r="Q19" s="79">
        <f>VLOOKUP(VLOOKUP(DATEVALUE(TEXT(A19,"m/d/yyyy")),FY24_Temp[],5,FALSE)&amp;TEXT(A19,"-h"),Table6[],4,FALSE)</f>
        <v>0.5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VLOOKUP(TEXT(A19,"yy-mm")&amp;"-"&amp;IF(AND(WEEKDAY(A19)&gt;1,WEEKDAY(A19)&lt;7),"Wkd",TEXT(A19,"Ddd"))&amp;"-"&amp;TEXT(A19,"hh"),LoadTable[],5,FALSE)*0.92</f>
        <v>447.97376000000003</v>
      </c>
      <c r="U19" s="104">
        <f>VLOOKUP(TEXT(A19,"yy-mm")&amp;"-"&amp;IF(AND(WEEKDAY(A19)&gt;1,WEEKDAY(A19)&lt;7),"Wkd",TEXT(A19,"Ddd"))&amp;"-"&amp;TEXT(A19,"hh"),LoadTable[],6,FALSE)*T19</f>
        <v>28334.788293760001</v>
      </c>
      <c r="V19">
        <v>3.5</v>
      </c>
      <c r="W19">
        <v>3</v>
      </c>
      <c r="X19" s="9">
        <v>3.0114662999999999</v>
      </c>
    </row>
    <row r="20" spans="1:24">
      <c r="A20" s="29">
        <f t="shared" si="0"/>
        <v>45836.708333333292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8.4</v>
      </c>
      <c r="N20" s="9">
        <f>VLOOKUP(DATE(YEAR(A20),MONTH(A20),DAY(A20)),FY24_Temp[],3,FALSE)</f>
        <v>12.8</v>
      </c>
      <c r="O20" s="9">
        <v>13</v>
      </c>
      <c r="P20" s="9">
        <v>19.5</v>
      </c>
      <c r="Q20" s="79">
        <f>VLOOKUP(VLOOKUP(DATEVALUE(TEXT(A20,"m/d/yyyy")),FY24_Temp[],5,FALSE)&amp;TEXT(A20,"-h"),Table6[],4,FALSE)</f>
        <v>0.5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VLOOKUP(TEXT(A20,"yy-mm")&amp;"-"&amp;IF(AND(WEEKDAY(A20)&gt;1,WEEKDAY(A20)&lt;7),"Wkd",TEXT(A20,"Ddd"))&amp;"-"&amp;TEXT(A20,"hh"),LoadTable[],5,FALSE)*0.92</f>
        <v>494.57360000000006</v>
      </c>
      <c r="U20" s="104">
        <f>VLOOKUP(TEXT(A20,"yy-mm")&amp;"-"&amp;IF(AND(WEEKDAY(A20)&gt;1,WEEKDAY(A20)&lt;7),"Wkd",TEXT(A20,"Ddd"))&amp;"-"&amp;TEXT(A20,"hh"),LoadTable[],6,FALSE)*T20</f>
        <v>41619.852160800008</v>
      </c>
      <c r="V20">
        <v>3.6</v>
      </c>
      <c r="W20">
        <v>3</v>
      </c>
      <c r="X20" s="9">
        <v>2.9133406000000002</v>
      </c>
    </row>
    <row r="21" spans="1:24">
      <c r="A21" s="29">
        <f t="shared" si="0"/>
        <v>45836.749999999956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8.4</v>
      </c>
      <c r="N21" s="9">
        <f>VLOOKUP(DATE(YEAR(A21),MONTH(A21),DAY(A21)),FY24_Temp[],3,FALSE)</f>
        <v>12.8</v>
      </c>
      <c r="O21" s="9">
        <v>13</v>
      </c>
      <c r="P21" s="9">
        <v>19.5</v>
      </c>
      <c r="Q21" s="79">
        <f>VLOOKUP(VLOOKUP(DATEVALUE(TEXT(A21,"m/d/yyyy")),FY24_Temp[],5,FALSE)&amp;TEXT(A21,"-h"),Table6[],4,FALSE)</f>
        <v>0.5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VLOOKUP(TEXT(A21,"yy-mm")&amp;"-"&amp;IF(AND(WEEKDAY(A21)&gt;1,WEEKDAY(A21)&lt;7),"Wkd",TEXT(A21,"Ddd"))&amp;"-"&amp;TEXT(A21,"hh"),LoadTable[],5,FALSE)*0.92</f>
        <v>494.57360000000006</v>
      </c>
      <c r="U21" s="104">
        <f>VLOOKUP(TEXT(A21,"yy-mm")&amp;"-"&amp;IF(AND(WEEKDAY(A21)&gt;1,WEEKDAY(A21)&lt;7),"Wkd",TEXT(A21,"Ddd"))&amp;"-"&amp;TEXT(A21,"hh"),LoadTable[],6,FALSE)*T21</f>
        <v>52802.655830400006</v>
      </c>
      <c r="V21">
        <v>2.9</v>
      </c>
      <c r="W21">
        <v>3</v>
      </c>
      <c r="X21" s="9">
        <v>2.8793196999999999</v>
      </c>
    </row>
    <row r="22" spans="1:24">
      <c r="A22" s="29">
        <f t="shared" si="0"/>
        <v>45836.791666666621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8.4</v>
      </c>
      <c r="N22" s="9">
        <f>VLOOKUP(DATE(YEAR(A22),MONTH(A22),DAY(A22)),FY24_Temp[],3,FALSE)</f>
        <v>12.8</v>
      </c>
      <c r="O22" s="9">
        <v>13</v>
      </c>
      <c r="P22" s="9">
        <v>19.5</v>
      </c>
      <c r="Q22" s="79">
        <f>VLOOKUP(VLOOKUP(DATEVALUE(TEXT(A22,"m/d/yyyy")),FY24_Temp[],5,FALSE)&amp;TEXT(A22,"-h"),Table6[],4,FALSE)</f>
        <v>0.5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VLOOKUP(TEXT(A22,"yy-mm")&amp;"-"&amp;IF(AND(WEEKDAY(A22)&gt;1,WEEKDAY(A22)&lt;7),"Wkd",TEXT(A22,"Ddd"))&amp;"-"&amp;TEXT(A22,"hh"),LoadTable[],5,FALSE)*0.92</f>
        <v>494.57360000000006</v>
      </c>
      <c r="U22" s="104">
        <f>VLOOKUP(TEXT(A22,"yy-mm")&amp;"-"&amp;IF(AND(WEEKDAY(A22)&gt;1,WEEKDAY(A22)&lt;7),"Wkd",TEXT(A22,"Ddd"))&amp;"-"&amp;TEXT(A22,"hh"),LoadTable[],6,FALSE)*T22</f>
        <v>56766.168660800009</v>
      </c>
      <c r="V22">
        <v>3</v>
      </c>
      <c r="W22">
        <v>3</v>
      </c>
      <c r="X22" s="9">
        <v>2.8393845999999998</v>
      </c>
    </row>
    <row r="23" spans="1:24">
      <c r="A23" s="29">
        <f t="shared" si="0"/>
        <v>45836.833333333285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8.4</v>
      </c>
      <c r="N23" s="9">
        <f>VLOOKUP(DATE(YEAR(A23),MONTH(A23),DAY(A23)),FY24_Temp[],3,FALSE)</f>
        <v>12.8</v>
      </c>
      <c r="O23" s="9">
        <v>13</v>
      </c>
      <c r="P23" s="9">
        <v>19.5</v>
      </c>
      <c r="Q23" s="79">
        <f>VLOOKUP(VLOOKUP(DATEVALUE(TEXT(A23,"m/d/yyyy")),FY24_Temp[],5,FALSE)&amp;TEXT(A23,"-h"),Table6[],4,FALSE)</f>
        <v>0.5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VLOOKUP(TEXT(A23,"yy-mm")&amp;"-"&amp;IF(AND(WEEKDAY(A23)&gt;1,WEEKDAY(A23)&lt;7),"Wkd",TEXT(A23,"Ddd"))&amp;"-"&amp;TEXT(A23,"hh"),LoadTable[],5,FALSE)*0.92</f>
        <v>494.57360000000006</v>
      </c>
      <c r="U23" s="104">
        <f>VLOOKUP(TEXT(A23,"yy-mm")&amp;"-"&amp;IF(AND(WEEKDAY(A23)&gt;1,WEEKDAY(A23)&lt;7),"Wkd",TEXT(A23,"Ddd"))&amp;"-"&amp;TEXT(A23,"hh"),LoadTable[],6,FALSE)*T23</f>
        <v>58951.194825600003</v>
      </c>
      <c r="V23">
        <v>2.8</v>
      </c>
      <c r="W23">
        <v>3.1</v>
      </c>
      <c r="X23" s="9">
        <v>2.8001990000000001</v>
      </c>
    </row>
    <row r="24" spans="1:24">
      <c r="A24" s="29">
        <f t="shared" si="0"/>
        <v>45836.874999999949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8.4</v>
      </c>
      <c r="N24" s="9">
        <f>VLOOKUP(DATE(YEAR(A24),MONTH(A24),DAY(A24)),FY24_Temp[],3,FALSE)</f>
        <v>12.8</v>
      </c>
      <c r="O24" s="9">
        <v>13</v>
      </c>
      <c r="P24" s="9">
        <v>19.5</v>
      </c>
      <c r="Q24" s="79">
        <f>VLOOKUP(VLOOKUP(DATEVALUE(TEXT(A24,"m/d/yyyy")),FY24_Temp[],5,FALSE)&amp;TEXT(A24,"-h"),Table6[],4,FALSE)</f>
        <v>0.5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VLOOKUP(TEXT(A24,"yy-mm")&amp;"-"&amp;IF(AND(WEEKDAY(A24)&gt;1,WEEKDAY(A24)&lt;7),"Wkd",TEXT(A24,"Ddd"))&amp;"-"&amp;TEXT(A24,"hh"),LoadTable[],5,FALSE)*0.92</f>
        <v>494.57360000000006</v>
      </c>
      <c r="U24" s="104">
        <f>VLOOKUP(TEXT(A24,"yy-mm")&amp;"-"&amp;IF(AND(WEEKDAY(A24)&gt;1,WEEKDAY(A24)&lt;7),"Wkd",TEXT(A24,"Ddd"))&amp;"-"&amp;TEXT(A24,"hh"),LoadTable[],6,FALSE)*T24</f>
        <v>55655.850928800006</v>
      </c>
      <c r="V24">
        <v>3.5</v>
      </c>
      <c r="W24">
        <v>3.1</v>
      </c>
      <c r="X24" s="9">
        <v>2.7702776999999998</v>
      </c>
    </row>
    <row r="25" spans="1:24">
      <c r="A25" s="29">
        <f t="shared" si="0"/>
        <v>45836.916666666613</v>
      </c>
      <c r="B25" s="8">
        <v>5000</v>
      </c>
      <c r="C25" s="8">
        <v>25000</v>
      </c>
      <c r="D25" s="8">
        <v>0</v>
      </c>
      <c r="E25" s="8">
        <v>0</v>
      </c>
      <c r="F25" s="8">
        <v>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8.4</v>
      </c>
      <c r="N25" s="9">
        <f>VLOOKUP(DATE(YEAR(A25),MONTH(A25),DAY(A25)),FY24_Temp[],3,FALSE)</f>
        <v>12.8</v>
      </c>
      <c r="O25" s="9">
        <v>13</v>
      </c>
      <c r="P25" s="9">
        <v>19.5</v>
      </c>
      <c r="Q25" s="79">
        <f>VLOOKUP(VLOOKUP(DATEVALUE(TEXT(A25,"m/d/yyyy")),FY24_Temp[],5,FALSE)&amp;TEXT(A25,"-h"),Table6[],4,FALSE)</f>
        <v>0.5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VLOOKUP(TEXT(A25,"yy-mm")&amp;"-"&amp;IF(AND(WEEKDAY(A25)&gt;1,WEEKDAY(A25)&lt;7),"Wkd",TEXT(A25,"Ddd"))&amp;"-"&amp;TEXT(A25,"hh"),LoadTable[],5,FALSE)*0.92</f>
        <v>418.75640000000004</v>
      </c>
      <c r="U25" s="104">
        <f>VLOOKUP(TEXT(A25,"yy-mm")&amp;"-"&amp;IF(AND(WEEKDAY(A25)&gt;1,WEEKDAY(A25)&lt;7),"Wkd",TEXT(A25,"Ddd"))&amp;"-"&amp;TEXT(A25,"hh"),LoadTable[],6,FALSE)*T25</f>
        <v>25450.757722800005</v>
      </c>
      <c r="V25">
        <v>2.9</v>
      </c>
      <c r="W25">
        <v>3.1</v>
      </c>
      <c r="X25" s="9">
        <v>2.7435879999999999</v>
      </c>
    </row>
    <row r="26" spans="1:24">
      <c r="A26" s="29">
        <f t="shared" si="0"/>
        <v>45836.958333333278</v>
      </c>
      <c r="B26" s="8">
        <v>5000</v>
      </c>
      <c r="C26" s="8">
        <v>25000</v>
      </c>
      <c r="D26" s="8">
        <v>0</v>
      </c>
      <c r="E26" s="8">
        <v>0</v>
      </c>
      <c r="F26" s="8">
        <v>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f>VLOOKUP(DATE(YEAR(A26),MONTH(A26),DAY(A26)),FY24_Temp[],4,FALSE)</f>
        <v>8.4</v>
      </c>
      <c r="N26" s="9">
        <f>VLOOKUP(DATE(YEAR(A26),MONTH(A26),DAY(A26)),FY24_Temp[],3,FALSE)</f>
        <v>12.8</v>
      </c>
      <c r="O26" s="9">
        <v>13</v>
      </c>
      <c r="P26" s="9">
        <v>19.5</v>
      </c>
      <c r="Q26" s="79">
        <f>VLOOKUP(VLOOKUP(DATEVALUE(TEXT(A26,"m/d/yyyy")),FY24_Temp[],5,FALSE)&amp;TEXT(A26,"-h"),Table6[],4,FALSE)</f>
        <v>0.5</v>
      </c>
      <c r="R26">
        <v>10</v>
      </c>
      <c r="S26">
        <v>1000</v>
      </c>
      <c r="T26" s="5">
        <f>VLOOKUP(TEXT(A26,"yy-mm")&amp;"-"&amp;IF(AND(WEEKDAY(A26)&gt;1,WEEKDAY(A26)&lt;7),"Wkd",TEXT(A26,"Ddd"))&amp;"-"&amp;TEXT(A26,"hh"),LoadTable[],5,FALSE)*0.92</f>
        <v>342.93920000000003</v>
      </c>
      <c r="U26" s="104">
        <f>VLOOKUP(TEXT(A26,"yy-mm")&amp;"-"&amp;IF(AND(WEEKDAY(A26)&gt;1,WEEKDAY(A26)&lt;7),"Wkd",TEXT(A26,"Ddd"))&amp;"-"&amp;TEXT(A26,"hh"),LoadTable[],6,FALSE)*T26</f>
        <v>19353.430812800001</v>
      </c>
      <c r="V26">
        <v>3.6</v>
      </c>
      <c r="W26">
        <v>3.1</v>
      </c>
      <c r="X26" s="9">
        <v>2.6532247</v>
      </c>
    </row>
    <row r="27" spans="1:24">
      <c r="A27" s="29">
        <f t="shared" si="0"/>
        <v>45836.999999999942</v>
      </c>
      <c r="B27" s="30">
        <f>B3</f>
        <v>5000</v>
      </c>
      <c r="C27" s="8">
        <v>25000</v>
      </c>
      <c r="D27" s="8">
        <v>0</v>
      </c>
      <c r="E27" s="8">
        <v>0</v>
      </c>
      <c r="F27" s="8">
        <v>0</v>
      </c>
      <c r="G27" s="30">
        <f>G3</f>
        <v>2400</v>
      </c>
      <c r="H27" s="8">
        <v>25000</v>
      </c>
      <c r="I27" s="30">
        <f>I3</f>
        <v>5000</v>
      </c>
      <c r="J27" s="8">
        <v>25000</v>
      </c>
      <c r="K27" s="30">
        <f>K3</f>
        <v>5000</v>
      </c>
      <c r="L27" s="8">
        <v>25000</v>
      </c>
      <c r="M27" s="9">
        <f>VLOOKUP(DATE(YEAR(A27),MONTH(A27),DAY(A27)),FY24_Temp[],4,FALSE)</f>
        <v>8.4</v>
      </c>
      <c r="N27" s="9">
        <f>VLOOKUP(DATE(YEAR(A27),MONTH(A27),DAY(A27)),FY24_Temp[],3,FALSE)</f>
        <v>12.8</v>
      </c>
      <c r="O27" s="9">
        <v>13</v>
      </c>
      <c r="P27" s="9">
        <v>19.5</v>
      </c>
      <c r="Q27" s="79">
        <f>VLOOKUP(VLOOKUP(DATEVALUE(TEXT(A27,"m/d/yyyy")),FY24_Temp[],5,FALSE)&amp;TEXT(A27,"-h"),Table6[],4,FALSE)</f>
        <v>0.5</v>
      </c>
      <c r="R27">
        <v>10</v>
      </c>
      <c r="S27">
        <v>1000</v>
      </c>
      <c r="T27" s="5">
        <f>VLOOKUP(TEXT(A27,"yy-mm")&amp;"-"&amp;IF(AND(WEEKDAY(A27)&gt;1,WEEKDAY(A27)&lt;7),"Wkd",TEXT(A27,"Ddd"))&amp;"-"&amp;TEXT(A27,"hh"),LoadTable[],5,FALSE)*0.92</f>
        <v>279.25312000000002</v>
      </c>
      <c r="U27" s="104">
        <f>VLOOKUP(TEXT(A27,"yy-mm")&amp;"-"&amp;IF(AND(WEEKDAY(A27)&gt;1,WEEKDAY(A27)&lt;7),"Wkd",TEXT(A27,"Ddd"))&amp;"-"&amp;TEXT(A27,"hh"),LoadTable[],6,FALSE)*T27</f>
        <v>13653.802049280001</v>
      </c>
      <c r="V27">
        <f>V3</f>
        <v>3</v>
      </c>
      <c r="W27">
        <f>W3</f>
        <v>3.2</v>
      </c>
      <c r="X27" s="9">
        <v>2.5673892</v>
      </c>
    </row>
    <row r="28" spans="1:24">
      <c r="A28" s="29">
        <f t="shared" si="0"/>
        <v>45837.041666666606</v>
      </c>
      <c r="B28" s="30">
        <f t="shared" ref="B28:B91" si="1">B4</f>
        <v>5000</v>
      </c>
      <c r="C28" s="8">
        <v>25000</v>
      </c>
      <c r="D28" s="8">
        <v>0</v>
      </c>
      <c r="E28" s="8">
        <v>0</v>
      </c>
      <c r="F28" s="8">
        <v>0</v>
      </c>
      <c r="G28" s="30">
        <f t="shared" ref="G28:G91" si="2">G4</f>
        <v>2400</v>
      </c>
      <c r="H28" s="8">
        <v>25000</v>
      </c>
      <c r="I28" s="30">
        <f t="shared" ref="I28:I91" si="3">I4</f>
        <v>5000</v>
      </c>
      <c r="J28" s="8">
        <v>25000</v>
      </c>
      <c r="K28" s="30">
        <f t="shared" ref="K28:K91" si="4">K4</f>
        <v>5000</v>
      </c>
      <c r="L28" s="8">
        <v>25000</v>
      </c>
      <c r="M28" s="9">
        <f>VLOOKUP(DATE(YEAR(A28),MONTH(A28),DAY(A28)),FY24_Temp[],4,FALSE)</f>
        <v>8.4</v>
      </c>
      <c r="N28" s="9">
        <f>VLOOKUP(DATE(YEAR(A28),MONTH(A28),DAY(A28)),FY24_Temp[],3,FALSE)</f>
        <v>12.8</v>
      </c>
      <c r="O28" s="9">
        <v>13</v>
      </c>
      <c r="P28" s="9">
        <v>19.5</v>
      </c>
      <c r="Q28" s="79">
        <f>VLOOKUP(VLOOKUP(DATEVALUE(TEXT(A28,"m/d/yyyy")),FY24_Temp[],5,FALSE)&amp;TEXT(A28,"-h"),Table6[],4,FALSE)</f>
        <v>0.5</v>
      </c>
      <c r="R28">
        <v>10</v>
      </c>
      <c r="S28">
        <v>1000</v>
      </c>
      <c r="T28" s="5">
        <f>VLOOKUP(TEXT(A28,"yy-mm")&amp;"-"&amp;IF(AND(WEEKDAY(A28)&gt;1,WEEKDAY(A28)&lt;7),"Wkd",TEXT(A28,"Ddd"))&amp;"-"&amp;TEXT(A28,"hh"),LoadTable[],5,FALSE)*0.92</f>
        <v>279.25312000000002</v>
      </c>
      <c r="U28" s="104">
        <f>VLOOKUP(TEXT(A28,"yy-mm")&amp;"-"&amp;IF(AND(WEEKDAY(A28)&gt;1,WEEKDAY(A28)&lt;7),"Wkd",TEXT(A28,"Ddd"))&amp;"-"&amp;TEXT(A28,"hh"),LoadTable[],6,FALSE)*T28</f>
        <v>13616.102878080001</v>
      </c>
      <c r="V28">
        <f t="shared" ref="V28:W28" si="5">V4</f>
        <v>2.6</v>
      </c>
      <c r="W28">
        <f t="shared" si="5"/>
        <v>3.2</v>
      </c>
      <c r="X28" s="9">
        <v>2.502424</v>
      </c>
    </row>
    <row r="29" spans="1:24">
      <c r="A29" s="29">
        <f t="shared" si="0"/>
        <v>45837.08333333327</v>
      </c>
      <c r="B29" s="30">
        <f t="shared" si="1"/>
        <v>5000</v>
      </c>
      <c r="C29" s="8">
        <v>25000</v>
      </c>
      <c r="D29" s="8">
        <v>0</v>
      </c>
      <c r="E29" s="8">
        <v>0</v>
      </c>
      <c r="F29" s="8">
        <v>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8.4</v>
      </c>
      <c r="N29" s="9">
        <f>VLOOKUP(DATE(YEAR(A29),MONTH(A29),DAY(A29)),FY24_Temp[],3,FALSE)</f>
        <v>12.8</v>
      </c>
      <c r="O29" s="9">
        <v>13</v>
      </c>
      <c r="P29" s="9">
        <v>19.5</v>
      </c>
      <c r="Q29" s="79">
        <f>VLOOKUP(VLOOKUP(DATEVALUE(TEXT(A29,"m/d/yyyy")),FY24_Temp[],5,FALSE)&amp;TEXT(A29,"-h"),Table6[],4,FALSE)</f>
        <v>0.5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VLOOKUP(TEXT(A29,"yy-mm")&amp;"-"&amp;IF(AND(WEEKDAY(A29)&gt;1,WEEKDAY(A29)&lt;7),"Wkd",TEXT(A29,"Ddd"))&amp;"-"&amp;TEXT(A29,"hh"),LoadTable[],5,FALSE)*0.92</f>
        <v>279.25312000000002</v>
      </c>
      <c r="U29" s="104">
        <f>VLOOKUP(TEXT(A29,"yy-mm")&amp;"-"&amp;IF(AND(WEEKDAY(A29)&gt;1,WEEKDAY(A29)&lt;7),"Wkd",TEXT(A29,"Ddd"))&amp;"-"&amp;TEXT(A29,"hh"),LoadTable[],6,FALSE)*T29</f>
        <v>13493.510758400002</v>
      </c>
      <c r="V29">
        <f t="shared" ref="V29:W29" si="6">V5</f>
        <v>2.8</v>
      </c>
      <c r="W29">
        <f t="shared" si="6"/>
        <v>3.2</v>
      </c>
      <c r="X29" s="9">
        <v>2.6049666</v>
      </c>
    </row>
    <row r="30" spans="1:24">
      <c r="A30" s="29">
        <f t="shared" si="0"/>
        <v>45837.124999999935</v>
      </c>
      <c r="B30" s="30">
        <f t="shared" si="1"/>
        <v>5000</v>
      </c>
      <c r="C30" s="8">
        <v>25000</v>
      </c>
      <c r="D30" s="8">
        <v>0</v>
      </c>
      <c r="E30" s="8">
        <v>0</v>
      </c>
      <c r="F30" s="8">
        <v>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8.4</v>
      </c>
      <c r="N30" s="9">
        <f>VLOOKUP(DATE(YEAR(A30),MONTH(A30),DAY(A30)),FY24_Temp[],3,FALSE)</f>
        <v>12.8</v>
      </c>
      <c r="O30" s="9">
        <v>13</v>
      </c>
      <c r="P30" s="9">
        <v>19.5</v>
      </c>
      <c r="Q30" s="79">
        <f>VLOOKUP(VLOOKUP(DATEVALUE(TEXT(A30,"m/d/yyyy")),FY24_Temp[],5,FALSE)&amp;TEXT(A30,"-h"),Table6[],4,FALSE)</f>
        <v>0.5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VLOOKUP(TEXT(A30,"yy-mm")&amp;"-"&amp;IF(AND(WEEKDAY(A30)&gt;1,WEEKDAY(A30)&lt;7),"Wkd",TEXT(A30,"Ddd"))&amp;"-"&amp;TEXT(A30,"hh"),LoadTable[],5,FALSE)*0.92</f>
        <v>279.25312000000002</v>
      </c>
      <c r="U30" s="104">
        <f>VLOOKUP(TEXT(A30,"yy-mm")&amp;"-"&amp;IF(AND(WEEKDAY(A30)&gt;1,WEEKDAY(A30)&lt;7),"Wkd",TEXT(A30,"Ddd"))&amp;"-"&amp;TEXT(A30,"hh"),LoadTable[],6,FALSE)*T30</f>
        <v>13424.255984640002</v>
      </c>
      <c r="V30">
        <f t="shared" ref="V30:W30" si="7">V6</f>
        <v>2.7</v>
      </c>
      <c r="W30">
        <f t="shared" si="7"/>
        <v>3.2</v>
      </c>
      <c r="X30" s="9">
        <v>2.6881697</v>
      </c>
    </row>
    <row r="31" spans="1:24">
      <c r="A31" s="29">
        <f t="shared" si="0"/>
        <v>45837.166666666599</v>
      </c>
      <c r="B31" s="30">
        <f t="shared" si="1"/>
        <v>5000</v>
      </c>
      <c r="C31" s="8">
        <v>25000</v>
      </c>
      <c r="D31" s="8">
        <v>0</v>
      </c>
      <c r="E31" s="8">
        <v>0</v>
      </c>
      <c r="F31" s="8">
        <v>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8.4</v>
      </c>
      <c r="N31" s="9">
        <f>VLOOKUP(DATE(YEAR(A31),MONTH(A31),DAY(A31)),FY24_Temp[],3,FALSE)</f>
        <v>12.8</v>
      </c>
      <c r="O31" s="9">
        <v>13</v>
      </c>
      <c r="P31" s="9">
        <v>19.5</v>
      </c>
      <c r="Q31" s="79">
        <f>VLOOKUP(VLOOKUP(DATEVALUE(TEXT(A31,"m/d/yyyy")),FY24_Temp[],5,FALSE)&amp;TEXT(A31,"-h"),Table6[],4,FALSE)</f>
        <v>0.5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VLOOKUP(TEXT(A31,"yy-mm")&amp;"-"&amp;IF(AND(WEEKDAY(A31)&gt;1,WEEKDAY(A31)&lt;7),"Wkd",TEXT(A31,"Ddd"))&amp;"-"&amp;TEXT(A31,"hh"),LoadTable[],5,FALSE)*0.92</f>
        <v>279.25312000000002</v>
      </c>
      <c r="U31" s="104">
        <f>VLOOKUP(TEXT(A31,"yy-mm")&amp;"-"&amp;IF(AND(WEEKDAY(A31)&gt;1,WEEKDAY(A31)&lt;7),"Wkd",TEXT(A31,"Ddd"))&amp;"-"&amp;TEXT(A31,"hh"),LoadTable[],6,FALSE)*T31</f>
        <v>13538.470510720002</v>
      </c>
      <c r="V31">
        <f t="shared" ref="V31:W31" si="8">V7</f>
        <v>3</v>
      </c>
      <c r="W31">
        <f t="shared" si="8"/>
        <v>3.1</v>
      </c>
      <c r="X31" s="9">
        <v>2.7356929999999999</v>
      </c>
    </row>
    <row r="32" spans="1:24">
      <c r="A32" s="29">
        <f t="shared" si="0"/>
        <v>45837.208333333263</v>
      </c>
      <c r="B32" s="30">
        <f t="shared" si="1"/>
        <v>5000</v>
      </c>
      <c r="C32" s="8">
        <v>25000</v>
      </c>
      <c r="D32" s="8">
        <v>0</v>
      </c>
      <c r="E32" s="8">
        <v>0</v>
      </c>
      <c r="F32" s="8">
        <v>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8.4</v>
      </c>
      <c r="N32" s="9">
        <f>VLOOKUP(DATE(YEAR(A32),MONTH(A32),DAY(A32)),FY24_Temp[],3,FALSE)</f>
        <v>12.8</v>
      </c>
      <c r="O32" s="9">
        <v>13</v>
      </c>
      <c r="P32" s="9">
        <v>19.5</v>
      </c>
      <c r="Q32" s="79">
        <f>VLOOKUP(VLOOKUP(DATEVALUE(TEXT(A32,"m/d/yyyy")),FY24_Temp[],5,FALSE)&amp;TEXT(A32,"-h"),Table6[],4,FALSE)</f>
        <v>0.5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VLOOKUP(TEXT(A32,"yy-mm")&amp;"-"&amp;IF(AND(WEEKDAY(A32)&gt;1,WEEKDAY(A32)&lt;7),"Wkd",TEXT(A32,"Ddd"))&amp;"-"&amp;TEXT(A32,"hh"),LoadTable[],5,FALSE)*0.92</f>
        <v>279.25312000000002</v>
      </c>
      <c r="U32" s="104">
        <f>VLOOKUP(TEXT(A32,"yy-mm")&amp;"-"&amp;IF(AND(WEEKDAY(A32)&gt;1,WEEKDAY(A32)&lt;7),"Wkd",TEXT(A32,"Ddd"))&amp;"-"&amp;TEXT(A32,"hh"),LoadTable[],6,FALSE)*T32</f>
        <v>13637.605368320001</v>
      </c>
      <c r="V32">
        <f t="shared" ref="V32:W32" si="9">V8</f>
        <v>2.9</v>
      </c>
      <c r="W32">
        <f t="shared" si="9"/>
        <v>3.1</v>
      </c>
      <c r="X32" s="9">
        <v>2.8319869</v>
      </c>
    </row>
    <row r="33" spans="1:24">
      <c r="A33" s="29">
        <f t="shared" si="0"/>
        <v>45837.249999999927</v>
      </c>
      <c r="B33" s="30">
        <f t="shared" si="1"/>
        <v>8000</v>
      </c>
      <c r="C33" s="8">
        <v>25000</v>
      </c>
      <c r="D33" s="8">
        <v>0</v>
      </c>
      <c r="E33" s="8">
        <v>0</v>
      </c>
      <c r="F33" s="8">
        <v>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8.4</v>
      </c>
      <c r="N33" s="9">
        <f>VLOOKUP(DATE(YEAR(A33),MONTH(A33),DAY(A33)),FY24_Temp[],3,FALSE)</f>
        <v>12.8</v>
      </c>
      <c r="O33" s="9">
        <v>13</v>
      </c>
      <c r="P33" s="9">
        <v>19.5</v>
      </c>
      <c r="Q33" s="79">
        <f>VLOOKUP(VLOOKUP(DATEVALUE(TEXT(A33,"m/d/yyyy")),FY24_Temp[],5,FALSE)&amp;TEXT(A33,"-h"),Table6[],4,FALSE)</f>
        <v>0.5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VLOOKUP(TEXT(A33,"yy-mm")&amp;"-"&amp;IF(AND(WEEKDAY(A33)&gt;1,WEEKDAY(A33)&lt;7),"Wkd",TEXT(A33,"Ddd"))&amp;"-"&amp;TEXT(A33,"hh"),LoadTable[],5,FALSE)*0.92</f>
        <v>279.25312000000002</v>
      </c>
      <c r="U33" s="104">
        <f>VLOOKUP(TEXT(A33,"yy-mm")&amp;"-"&amp;IF(AND(WEEKDAY(A33)&gt;1,WEEKDAY(A33)&lt;7),"Wkd",TEXT(A33,"Ddd"))&amp;"-"&amp;TEXT(A33,"hh"),LoadTable[],6,FALSE)*T33</f>
        <v>15015.99876864</v>
      </c>
      <c r="V33">
        <f t="shared" ref="V33:W33" si="10">V9</f>
        <v>2.5</v>
      </c>
      <c r="W33">
        <f t="shared" si="10"/>
        <v>3.1</v>
      </c>
      <c r="X33" s="9">
        <v>2.9732997000000001</v>
      </c>
    </row>
    <row r="34" spans="1:24">
      <c r="A34" s="29">
        <f t="shared" si="0"/>
        <v>45837.291666666591</v>
      </c>
      <c r="B34" s="30">
        <f t="shared" si="1"/>
        <v>8000</v>
      </c>
      <c r="C34" s="8">
        <v>25000</v>
      </c>
      <c r="D34" s="8">
        <v>0</v>
      </c>
      <c r="E34" s="8">
        <v>0</v>
      </c>
      <c r="F34" s="8">
        <v>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8.4</v>
      </c>
      <c r="N34" s="9">
        <f>VLOOKUP(DATE(YEAR(A34),MONTH(A34),DAY(A34)),FY24_Temp[],3,FALSE)</f>
        <v>12.8</v>
      </c>
      <c r="O34" s="9">
        <v>13</v>
      </c>
      <c r="P34" s="9">
        <v>19.5</v>
      </c>
      <c r="Q34" s="79">
        <f>VLOOKUP(VLOOKUP(DATEVALUE(TEXT(A34,"m/d/yyyy")),FY24_Temp[],5,FALSE)&amp;TEXT(A34,"-h"),Table6[],4,FALSE)</f>
        <v>0.5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VLOOKUP(TEXT(A34,"yy-mm")&amp;"-"&amp;IF(AND(WEEKDAY(A34)&gt;1,WEEKDAY(A34)&lt;7),"Wkd",TEXT(A34,"Ddd"))&amp;"-"&amp;TEXT(A34,"hh"),LoadTable[],5,FALSE)*0.92</f>
        <v>279.25312000000002</v>
      </c>
      <c r="U34" s="104">
        <f>VLOOKUP(TEXT(A34,"yy-mm")&amp;"-"&amp;IF(AND(WEEKDAY(A34)&gt;1,WEEKDAY(A34)&lt;7),"Wkd",TEXT(A34,"Ddd"))&amp;"-"&amp;TEXT(A34,"hh"),LoadTable[],6,FALSE)*T34</f>
        <v>13166.505354880001</v>
      </c>
      <c r="V34">
        <f t="shared" ref="V34:W34" si="11">V10</f>
        <v>2.5</v>
      </c>
      <c r="W34">
        <f t="shared" si="11"/>
        <v>3.1</v>
      </c>
      <c r="X34" s="9">
        <v>3.1290011</v>
      </c>
    </row>
    <row r="35" spans="1:24">
      <c r="A35" s="29">
        <f t="shared" si="0"/>
        <v>45837.333333333256</v>
      </c>
      <c r="B35" s="30">
        <f t="shared" si="1"/>
        <v>8000</v>
      </c>
      <c r="C35" s="8">
        <v>25000</v>
      </c>
      <c r="D35" s="8">
        <v>0</v>
      </c>
      <c r="E35" s="8">
        <v>0</v>
      </c>
      <c r="F35" s="8">
        <v>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8.4</v>
      </c>
      <c r="N35" s="9">
        <f>VLOOKUP(DATE(YEAR(A35),MONTH(A35),DAY(A35)),FY24_Temp[],3,FALSE)</f>
        <v>12.8</v>
      </c>
      <c r="O35" s="9">
        <v>13</v>
      </c>
      <c r="P35" s="9">
        <v>19.5</v>
      </c>
      <c r="Q35" s="79">
        <f>VLOOKUP(VLOOKUP(DATEVALUE(TEXT(A35,"m/d/yyyy")),FY24_Temp[],5,FALSE)&amp;TEXT(A35,"-h"),Table6[],4,FALSE)</f>
        <v>0.5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VLOOKUP(TEXT(A35,"yy-mm")&amp;"-"&amp;IF(AND(WEEKDAY(A35)&gt;1,WEEKDAY(A35)&lt;7),"Wkd",TEXT(A35,"Ddd"))&amp;"-"&amp;TEXT(A35,"hh"),LoadTable[],5,FALSE)*0.92</f>
        <v>279.25312000000002</v>
      </c>
      <c r="U35" s="104">
        <f>VLOOKUP(TEXT(A35,"yy-mm")&amp;"-"&amp;IF(AND(WEEKDAY(A35)&gt;1,WEEKDAY(A35)&lt;7),"Wkd",TEXT(A35,"Ddd"))&amp;"-"&amp;TEXT(A35,"hh"),LoadTable[],6,FALSE)*T35</f>
        <v>12889.20700672</v>
      </c>
      <c r="V35">
        <f t="shared" ref="V35:W35" si="12">V11</f>
        <v>3.2</v>
      </c>
      <c r="W35">
        <f t="shared" si="12"/>
        <v>3</v>
      </c>
      <c r="X35" s="9">
        <v>3.2024976999999999</v>
      </c>
    </row>
    <row r="36" spans="1:24">
      <c r="A36" s="29">
        <f t="shared" si="0"/>
        <v>45837.37499999992</v>
      </c>
      <c r="B36" s="30">
        <f t="shared" si="1"/>
        <v>8000</v>
      </c>
      <c r="C36" s="8">
        <v>25000</v>
      </c>
      <c r="D36" s="8">
        <v>0</v>
      </c>
      <c r="E36" s="8">
        <v>0</v>
      </c>
      <c r="F36" s="8">
        <v>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8.4</v>
      </c>
      <c r="N36" s="9">
        <f>VLOOKUP(DATE(YEAR(A36),MONTH(A36),DAY(A36)),FY24_Temp[],3,FALSE)</f>
        <v>12.8</v>
      </c>
      <c r="O36" s="9">
        <v>13</v>
      </c>
      <c r="P36" s="9">
        <v>19.5</v>
      </c>
      <c r="Q36" s="79">
        <f>VLOOKUP(VLOOKUP(DATEVALUE(TEXT(A36,"m/d/yyyy")),FY24_Temp[],5,FALSE)&amp;TEXT(A36,"-h"),Table6[],4,FALSE)</f>
        <v>0.5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VLOOKUP(TEXT(A36,"yy-mm")&amp;"-"&amp;IF(AND(WEEKDAY(A36)&gt;1,WEEKDAY(A36)&lt;7),"Wkd",TEXT(A36,"Ddd"))&amp;"-"&amp;TEXT(A36,"hh"),LoadTable[],5,FALSE)*0.92</f>
        <v>279.25312000000002</v>
      </c>
      <c r="U36" s="104">
        <f>VLOOKUP(TEXT(A36,"yy-mm")&amp;"-"&amp;IF(AND(WEEKDAY(A36)&gt;1,WEEKDAY(A36)&lt;7),"Wkd",TEXT(A36,"Ddd"))&amp;"-"&amp;TEXT(A36,"hh"),LoadTable[],6,FALSE)*T36</f>
        <v>12852.904101120002</v>
      </c>
      <c r="V36">
        <f t="shared" ref="V36:W36" si="13">V12</f>
        <v>2.9</v>
      </c>
      <c r="W36">
        <f t="shared" si="13"/>
        <v>3</v>
      </c>
      <c r="X36" s="9">
        <v>3.2471429999999999</v>
      </c>
    </row>
    <row r="37" spans="1:24">
      <c r="A37" s="29">
        <f t="shared" si="0"/>
        <v>45837.416666666584</v>
      </c>
      <c r="B37" s="30">
        <f t="shared" si="1"/>
        <v>8000</v>
      </c>
      <c r="C37" s="8">
        <v>25000</v>
      </c>
      <c r="D37" s="8">
        <v>0</v>
      </c>
      <c r="E37" s="8">
        <v>0</v>
      </c>
      <c r="F37" s="8">
        <v>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8.4</v>
      </c>
      <c r="N37" s="9">
        <f>VLOOKUP(DATE(YEAR(A37),MONTH(A37),DAY(A37)),FY24_Temp[],3,FALSE)</f>
        <v>12.8</v>
      </c>
      <c r="O37" s="9">
        <v>13</v>
      </c>
      <c r="P37" s="9">
        <v>19.5</v>
      </c>
      <c r="Q37" s="79">
        <f>VLOOKUP(VLOOKUP(DATEVALUE(TEXT(A37,"m/d/yyyy")),FY24_Temp[],5,FALSE)&amp;TEXT(A37,"-h"),Table6[],4,FALSE)</f>
        <v>0.5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VLOOKUP(TEXT(A37,"yy-mm")&amp;"-"&amp;IF(AND(WEEKDAY(A37)&gt;1,WEEKDAY(A37)&lt;7),"Wkd",TEXT(A37,"Ddd"))&amp;"-"&amp;TEXT(A37,"hh"),LoadTable[],5,FALSE)*0.92</f>
        <v>279.25312000000002</v>
      </c>
      <c r="U37" s="104">
        <f>VLOOKUP(TEXT(A37,"yy-mm")&amp;"-"&amp;IF(AND(WEEKDAY(A37)&gt;1,WEEKDAY(A37)&lt;7),"Wkd",TEXT(A37,"Ddd"))&amp;"-"&amp;TEXT(A37,"hh"),LoadTable[],6,FALSE)*T37</f>
        <v>12842.57173568</v>
      </c>
      <c r="V37">
        <f t="shared" ref="V37:W37" si="14">V13</f>
        <v>2.9</v>
      </c>
      <c r="W37">
        <f t="shared" si="14"/>
        <v>3</v>
      </c>
      <c r="X37" s="9">
        <v>3.3226513999999998</v>
      </c>
    </row>
    <row r="38" spans="1:24">
      <c r="A38" s="29">
        <f t="shared" si="0"/>
        <v>45837.458333333248</v>
      </c>
      <c r="B38" s="30">
        <f t="shared" si="1"/>
        <v>8000</v>
      </c>
      <c r="C38" s="8">
        <v>25000</v>
      </c>
      <c r="D38" s="8">
        <v>0</v>
      </c>
      <c r="E38" s="8">
        <v>0</v>
      </c>
      <c r="F38" s="8">
        <v>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8.4</v>
      </c>
      <c r="N38" s="9">
        <f>VLOOKUP(DATE(YEAR(A38),MONTH(A38),DAY(A38)),FY24_Temp[],3,FALSE)</f>
        <v>12.8</v>
      </c>
      <c r="O38" s="9">
        <v>13</v>
      </c>
      <c r="P38" s="9">
        <v>19.5</v>
      </c>
      <c r="Q38" s="79">
        <f>VLOOKUP(VLOOKUP(DATEVALUE(TEXT(A38,"m/d/yyyy")),FY24_Temp[],5,FALSE)&amp;TEXT(A38,"-h"),Table6[],4,FALSE)</f>
        <v>0.5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VLOOKUP(TEXT(A38,"yy-mm")&amp;"-"&amp;IF(AND(WEEKDAY(A38)&gt;1,WEEKDAY(A38)&lt;7),"Wkd",TEXT(A38,"Ddd"))&amp;"-"&amp;TEXT(A38,"hh"),LoadTable[],5,FALSE)*0.92</f>
        <v>279.25312000000002</v>
      </c>
      <c r="U38" s="104">
        <f>VLOOKUP(TEXT(A38,"yy-mm")&amp;"-"&amp;IF(AND(WEEKDAY(A38)&gt;1,WEEKDAY(A38)&lt;7),"Wkd",TEXT(A38,"Ddd"))&amp;"-"&amp;TEXT(A38,"hh"),LoadTable[],6,FALSE)*T38</f>
        <v>12828.050573440001</v>
      </c>
      <c r="V38">
        <f t="shared" ref="V38:W38" si="15">V14</f>
        <v>3.4</v>
      </c>
      <c r="W38">
        <f t="shared" si="15"/>
        <v>3</v>
      </c>
      <c r="X38" s="9">
        <v>3.2720126999999999</v>
      </c>
    </row>
    <row r="39" spans="1:24">
      <c r="A39" s="29">
        <f t="shared" si="0"/>
        <v>45837.499999999913</v>
      </c>
      <c r="B39" s="30">
        <f t="shared" si="1"/>
        <v>8000</v>
      </c>
      <c r="C39" s="8">
        <v>25000</v>
      </c>
      <c r="D39" s="8">
        <v>0</v>
      </c>
      <c r="E39" s="8">
        <v>0</v>
      </c>
      <c r="F39" s="8">
        <v>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8.4</v>
      </c>
      <c r="N39" s="9">
        <f>VLOOKUP(DATE(YEAR(A39),MONTH(A39),DAY(A39)),FY24_Temp[],3,FALSE)</f>
        <v>12.8</v>
      </c>
      <c r="O39" s="9">
        <v>13</v>
      </c>
      <c r="P39" s="9">
        <v>19.5</v>
      </c>
      <c r="Q39" s="79">
        <f>VLOOKUP(VLOOKUP(DATEVALUE(TEXT(A39,"m/d/yyyy")),FY24_Temp[],5,FALSE)&amp;TEXT(A39,"-h"),Table6[],4,FALSE)</f>
        <v>0.5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VLOOKUP(TEXT(A39,"yy-mm")&amp;"-"&amp;IF(AND(WEEKDAY(A39)&gt;1,WEEKDAY(A39)&lt;7),"Wkd",TEXT(A39,"Ddd"))&amp;"-"&amp;TEXT(A39,"hh"),LoadTable[],5,FALSE)*0.92</f>
        <v>279.25312000000002</v>
      </c>
      <c r="U39" s="104">
        <f>VLOOKUP(TEXT(A39,"yy-mm")&amp;"-"&amp;IF(AND(WEEKDAY(A39)&gt;1,WEEKDAY(A39)&lt;7),"Wkd",TEXT(A39,"Ddd"))&amp;"-"&amp;TEXT(A39,"hh"),LoadTable[],6,FALSE)*T39</f>
        <v>12824.141029760001</v>
      </c>
      <c r="V39">
        <f t="shared" ref="V39:W39" si="16">V15</f>
        <v>3.1</v>
      </c>
      <c r="W39">
        <f t="shared" si="16"/>
        <v>2.9</v>
      </c>
      <c r="X39" s="9">
        <v>3.1224072</v>
      </c>
    </row>
    <row r="40" spans="1:24">
      <c r="A40" s="29">
        <f t="shared" si="0"/>
        <v>45837.541666666577</v>
      </c>
      <c r="B40" s="30">
        <f t="shared" si="1"/>
        <v>8000</v>
      </c>
      <c r="C40" s="8">
        <v>25000</v>
      </c>
      <c r="D40" s="8">
        <v>0</v>
      </c>
      <c r="E40" s="8">
        <v>0</v>
      </c>
      <c r="F40" s="8">
        <v>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8.4</v>
      </c>
      <c r="N40" s="9">
        <f>VLOOKUP(DATE(YEAR(A40),MONTH(A40),DAY(A40)),FY24_Temp[],3,FALSE)</f>
        <v>12.8</v>
      </c>
      <c r="O40" s="9">
        <v>13</v>
      </c>
      <c r="P40" s="9">
        <v>19.5</v>
      </c>
      <c r="Q40" s="79">
        <f>VLOOKUP(VLOOKUP(DATEVALUE(TEXT(A40,"m/d/yyyy")),FY24_Temp[],5,FALSE)&amp;TEXT(A40,"-h"),Table6[],4,FALSE)</f>
        <v>0.5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VLOOKUP(TEXT(A40,"yy-mm")&amp;"-"&amp;IF(AND(WEEKDAY(A40)&gt;1,WEEKDAY(A40)&lt;7),"Wkd",TEXT(A40,"Ddd"))&amp;"-"&amp;TEXT(A40,"hh"),LoadTable[],5,FALSE)*0.92</f>
        <v>279.25312000000002</v>
      </c>
      <c r="U40" s="104">
        <f>VLOOKUP(TEXT(A40,"yy-mm")&amp;"-"&amp;IF(AND(WEEKDAY(A40)&gt;1,WEEKDAY(A40)&lt;7),"Wkd",TEXT(A40,"Ddd"))&amp;"-"&amp;TEXT(A40,"hh"),LoadTable[],6,FALSE)*T40</f>
        <v>12831.401610880001</v>
      </c>
      <c r="V40">
        <f t="shared" ref="V40:W40" si="17">V16</f>
        <v>3.2</v>
      </c>
      <c r="W40">
        <f t="shared" si="17"/>
        <v>2.9</v>
      </c>
      <c r="X40" s="9">
        <v>2.9144735000000002</v>
      </c>
    </row>
    <row r="41" spans="1:24">
      <c r="A41" s="29">
        <f t="shared" si="0"/>
        <v>45837.583333333241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8.4</v>
      </c>
      <c r="N41" s="9">
        <f>VLOOKUP(DATE(YEAR(A41),MONTH(A41),DAY(A41)),FY24_Temp[],3,FALSE)</f>
        <v>12.8</v>
      </c>
      <c r="O41" s="9">
        <v>13</v>
      </c>
      <c r="P41" s="9">
        <v>19.5</v>
      </c>
      <c r="Q41" s="79">
        <f>VLOOKUP(VLOOKUP(DATEVALUE(TEXT(A41,"m/d/yyyy")),FY24_Temp[],5,FALSE)&amp;TEXT(A41,"-h"),Table6[],4,FALSE)</f>
        <v>0.5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VLOOKUP(TEXT(A41,"yy-mm")&amp;"-"&amp;IF(AND(WEEKDAY(A41)&gt;1,WEEKDAY(A41)&lt;7),"Wkd",TEXT(A41,"Ddd"))&amp;"-"&amp;TEXT(A41,"hh"),LoadTable[],5,FALSE)*0.92</f>
        <v>279.25312000000002</v>
      </c>
      <c r="U41" s="104">
        <f>VLOOKUP(TEXT(A41,"yy-mm")&amp;"-"&amp;IF(AND(WEEKDAY(A41)&gt;1,WEEKDAY(A41)&lt;7),"Wkd",TEXT(A41,"Ddd"))&amp;"-"&amp;TEXT(A41,"hh"),LoadTable[],6,FALSE)*T41</f>
        <v>12856.25513856</v>
      </c>
      <c r="V41">
        <f t="shared" ref="V41:W41" si="18">V17</f>
        <v>3.5</v>
      </c>
      <c r="W41">
        <f t="shared" si="18"/>
        <v>2.9</v>
      </c>
      <c r="X41" s="9">
        <v>2.8631462999999999</v>
      </c>
    </row>
    <row r="42" spans="1:24">
      <c r="A42" s="29">
        <f t="shared" si="0"/>
        <v>45837.624999999905</v>
      </c>
      <c r="B42" s="30">
        <f t="shared" si="1"/>
        <v>8000</v>
      </c>
      <c r="C42" s="8">
        <v>25000</v>
      </c>
      <c r="D42" s="8">
        <v>0</v>
      </c>
      <c r="E42" s="8">
        <v>0</v>
      </c>
      <c r="F42" s="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8.4</v>
      </c>
      <c r="N42" s="9">
        <f>VLOOKUP(DATE(YEAR(A42),MONTH(A42),DAY(A42)),FY24_Temp[],3,FALSE)</f>
        <v>12.8</v>
      </c>
      <c r="O42" s="9">
        <v>13</v>
      </c>
      <c r="P42" s="9">
        <v>19.5</v>
      </c>
      <c r="Q42" s="79">
        <f>VLOOKUP(VLOOKUP(DATEVALUE(TEXT(A42,"m/d/yyyy")),FY24_Temp[],5,FALSE)&amp;TEXT(A42,"-h"),Table6[],4,FALSE)</f>
        <v>0.5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VLOOKUP(TEXT(A42,"yy-mm")&amp;"-"&amp;IF(AND(WEEKDAY(A42)&gt;1,WEEKDAY(A42)&lt;7),"Wkd",TEXT(A42,"Ddd"))&amp;"-"&amp;TEXT(A42,"hh"),LoadTable[],5,FALSE)*0.92</f>
        <v>400.56064000000003</v>
      </c>
      <c r="U42" s="104">
        <f>VLOOKUP(TEXT(A42,"yy-mm")&amp;"-"&amp;IF(AND(WEEKDAY(A42)&gt;1,WEEKDAY(A42)&lt;7),"Wkd",TEXT(A42,"Ddd"))&amp;"-"&amp;TEXT(A42,"hh"),LoadTable[],6,FALSE)*T42</f>
        <v>18478.262883840001</v>
      </c>
      <c r="V42">
        <f t="shared" ref="V42:W42" si="19">V18</f>
        <v>3.2</v>
      </c>
      <c r="W42">
        <f t="shared" si="19"/>
        <v>2.9</v>
      </c>
      <c r="X42" s="9">
        <v>3.1547307999999998</v>
      </c>
    </row>
    <row r="43" spans="1:24">
      <c r="A43" s="29">
        <f t="shared" si="0"/>
        <v>45837.66666666657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8.4</v>
      </c>
      <c r="N43" s="9">
        <f>VLOOKUP(DATE(YEAR(A43),MONTH(A43),DAY(A43)),FY24_Temp[],3,FALSE)</f>
        <v>12.8</v>
      </c>
      <c r="O43" s="9">
        <v>13</v>
      </c>
      <c r="P43" s="9">
        <v>19.5</v>
      </c>
      <c r="Q43" s="79">
        <f>VLOOKUP(VLOOKUP(DATEVALUE(TEXT(A43,"m/d/yyyy")),FY24_Temp[],5,FALSE)&amp;TEXT(A43,"-h"),Table6[],4,FALSE)</f>
        <v>0.5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VLOOKUP(TEXT(A43,"yy-mm")&amp;"-"&amp;IF(AND(WEEKDAY(A43)&gt;1,WEEKDAY(A43)&lt;7),"Wkd",TEXT(A43,"Ddd"))&amp;"-"&amp;TEXT(A43,"hh"),LoadTable[],5,FALSE)*0.92</f>
        <v>473.62059999999997</v>
      </c>
      <c r="U43" s="104">
        <f>VLOOKUP(TEXT(A43,"yy-mm")&amp;"-"&amp;IF(AND(WEEKDAY(A43)&gt;1,WEEKDAY(A43)&lt;7),"Wkd",TEXT(A43,"Ddd"))&amp;"-"&amp;TEXT(A43,"hh"),LoadTable[],6,FALSE)*T43</f>
        <v>22424.040927599995</v>
      </c>
      <c r="V43">
        <f t="shared" ref="V43:W43" si="20">V19</f>
        <v>3.5</v>
      </c>
      <c r="W43">
        <f t="shared" si="20"/>
        <v>3</v>
      </c>
      <c r="X43" s="9">
        <v>3.0276139</v>
      </c>
    </row>
    <row r="44" spans="1:24">
      <c r="A44" s="29">
        <f t="shared" si="0"/>
        <v>45837.708333333234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8.4</v>
      </c>
      <c r="N44" s="9">
        <f>VLOOKUP(DATE(YEAR(A44),MONTH(A44),DAY(A44)),FY24_Temp[],3,FALSE)</f>
        <v>12.8</v>
      </c>
      <c r="O44" s="9">
        <v>13</v>
      </c>
      <c r="P44" s="9">
        <v>19.5</v>
      </c>
      <c r="Q44" s="79">
        <f>VLOOKUP(VLOOKUP(DATEVALUE(TEXT(A44,"m/d/yyyy")),FY24_Temp[],5,FALSE)&amp;TEXT(A44,"-h"),Table6[],4,FALSE)</f>
        <v>0.5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VLOOKUP(TEXT(A44,"yy-mm")&amp;"-"&amp;IF(AND(WEEKDAY(A44)&gt;1,WEEKDAY(A44)&lt;7),"Wkd",TEXT(A44,"Ddd"))&amp;"-"&amp;TEXT(A44,"hh"),LoadTable[],5,FALSE)*0.92</f>
        <v>473.62059999999997</v>
      </c>
      <c r="U44" s="104">
        <f>VLOOKUP(TEXT(A44,"yy-mm")&amp;"-"&amp;IF(AND(WEEKDAY(A44)&gt;1,WEEKDAY(A44)&lt;7),"Wkd",TEXT(A44,"Ddd"))&amp;"-"&amp;TEXT(A44,"hh"),LoadTable[],6,FALSE)*T44</f>
        <v>25901.363372799999</v>
      </c>
      <c r="V44">
        <f t="shared" ref="V44:W44" si="21">V20</f>
        <v>3.6</v>
      </c>
      <c r="W44">
        <f t="shared" si="21"/>
        <v>3</v>
      </c>
      <c r="X44" s="9">
        <v>2.9296717999999999</v>
      </c>
    </row>
    <row r="45" spans="1:24">
      <c r="A45" s="29">
        <f t="shared" si="0"/>
        <v>45837.749999999898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8.4</v>
      </c>
      <c r="N45" s="9">
        <f>VLOOKUP(DATE(YEAR(A45),MONTH(A45),DAY(A45)),FY24_Temp[],3,FALSE)</f>
        <v>12.8</v>
      </c>
      <c r="O45" s="9">
        <v>13</v>
      </c>
      <c r="P45" s="9">
        <v>19.5</v>
      </c>
      <c r="Q45" s="79">
        <f>VLOOKUP(VLOOKUP(DATEVALUE(TEXT(A45,"m/d/yyyy")),FY24_Temp[],5,FALSE)&amp;TEXT(A45,"-h"),Table6[],4,FALSE)</f>
        <v>0.5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VLOOKUP(TEXT(A45,"yy-mm")&amp;"-"&amp;IF(AND(WEEKDAY(A45)&gt;1,WEEKDAY(A45)&lt;7),"Wkd",TEXT(A45,"Ddd"))&amp;"-"&amp;TEXT(A45,"hh"),LoadTable[],5,FALSE)*0.92</f>
        <v>494.57360000000006</v>
      </c>
      <c r="U45" s="104">
        <f>VLOOKUP(TEXT(A45,"yy-mm")&amp;"-"&amp;IF(AND(WEEKDAY(A45)&gt;1,WEEKDAY(A45)&lt;7),"Wkd",TEXT(A45,"Ddd"))&amp;"-"&amp;TEXT(A45,"hh"),LoadTable[],6,FALSE)*T45</f>
        <v>34985.641890400009</v>
      </c>
      <c r="V45">
        <f t="shared" ref="V45:W45" si="22">V21</f>
        <v>2.9</v>
      </c>
      <c r="W45">
        <f t="shared" si="22"/>
        <v>3</v>
      </c>
      <c r="X45" s="9">
        <v>2.9017328999999998</v>
      </c>
    </row>
    <row r="46" spans="1:24">
      <c r="A46" s="29">
        <f t="shared" si="0"/>
        <v>45837.791666666562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8.4</v>
      </c>
      <c r="N46" s="9">
        <f>VLOOKUP(DATE(YEAR(A46),MONTH(A46),DAY(A46)),FY24_Temp[],3,FALSE)</f>
        <v>12.8</v>
      </c>
      <c r="O46" s="9">
        <v>13</v>
      </c>
      <c r="P46" s="9">
        <v>19.5</v>
      </c>
      <c r="Q46" s="79">
        <f>VLOOKUP(VLOOKUP(DATEVALUE(TEXT(A46,"m/d/yyyy")),FY24_Temp[],5,FALSE)&amp;TEXT(A46,"-h"),Table6[],4,FALSE)</f>
        <v>0.5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VLOOKUP(TEXT(A46,"yy-mm")&amp;"-"&amp;IF(AND(WEEKDAY(A46)&gt;1,WEEKDAY(A46)&lt;7),"Wkd",TEXT(A46,"Ddd"))&amp;"-"&amp;TEXT(A46,"hh"),LoadTable[],5,FALSE)*0.92</f>
        <v>494.57360000000006</v>
      </c>
      <c r="U46" s="104">
        <f>VLOOKUP(TEXT(A46,"yy-mm")&amp;"-"&amp;IF(AND(WEEKDAY(A46)&gt;1,WEEKDAY(A46)&lt;7),"Wkd",TEXT(A46,"Ddd"))&amp;"-"&amp;TEXT(A46,"hh"),LoadTable[],6,FALSE)*T46</f>
        <v>41988.804066400007</v>
      </c>
      <c r="V46">
        <f t="shared" ref="V46:W46" si="23">V22</f>
        <v>3</v>
      </c>
      <c r="W46">
        <f t="shared" si="23"/>
        <v>3</v>
      </c>
      <c r="X46" s="9">
        <v>2.8596317999999998</v>
      </c>
    </row>
    <row r="47" spans="1:24">
      <c r="A47" s="29">
        <f t="shared" si="0"/>
        <v>45837.833333333227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8.4</v>
      </c>
      <c r="N47" s="9">
        <f>VLOOKUP(DATE(YEAR(A47),MONTH(A47),DAY(A47)),FY24_Temp[],3,FALSE)</f>
        <v>12.8</v>
      </c>
      <c r="O47" s="9">
        <v>13</v>
      </c>
      <c r="P47" s="9">
        <v>19.5</v>
      </c>
      <c r="Q47" s="79">
        <f>VLOOKUP(VLOOKUP(DATEVALUE(TEXT(A47,"m/d/yyyy")),FY24_Temp[],5,FALSE)&amp;TEXT(A47,"-h"),Table6[],4,FALSE)</f>
        <v>0.5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VLOOKUP(TEXT(A47,"yy-mm")&amp;"-"&amp;IF(AND(WEEKDAY(A47)&gt;1,WEEKDAY(A47)&lt;7),"Wkd",TEXT(A47,"Ddd"))&amp;"-"&amp;TEXT(A47,"hh"),LoadTable[],5,FALSE)*0.92</f>
        <v>494.57360000000006</v>
      </c>
      <c r="U47" s="104">
        <f>VLOOKUP(TEXT(A47,"yy-mm")&amp;"-"&amp;IF(AND(WEEKDAY(A47)&gt;1,WEEKDAY(A47)&lt;7),"Wkd",TEXT(A47,"Ddd"))&amp;"-"&amp;TEXT(A47,"hh"),LoadTable[],6,FALSE)*T47</f>
        <v>41403.723497600004</v>
      </c>
      <c r="V47">
        <f t="shared" ref="V47:W47" si="24">V23</f>
        <v>2.8</v>
      </c>
      <c r="W47">
        <f t="shared" si="24"/>
        <v>3.1</v>
      </c>
      <c r="X47" s="9">
        <v>2.8210294</v>
      </c>
    </row>
    <row r="48" spans="1:24">
      <c r="A48" s="29">
        <f t="shared" si="0"/>
        <v>45837.874999999891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8.4</v>
      </c>
      <c r="N48" s="9">
        <f>VLOOKUP(DATE(YEAR(A48),MONTH(A48),DAY(A48)),FY24_Temp[],3,FALSE)</f>
        <v>12.8</v>
      </c>
      <c r="O48" s="9">
        <v>13</v>
      </c>
      <c r="P48" s="9">
        <v>19.5</v>
      </c>
      <c r="Q48" s="79">
        <f>VLOOKUP(VLOOKUP(DATEVALUE(TEXT(A48,"m/d/yyyy")),FY24_Temp[],5,FALSE)&amp;TEXT(A48,"-h"),Table6[],4,FALSE)</f>
        <v>0.5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VLOOKUP(TEXT(A48,"yy-mm")&amp;"-"&amp;IF(AND(WEEKDAY(A48)&gt;1,WEEKDAY(A48)&lt;7),"Wkd",TEXT(A48,"Ddd"))&amp;"-"&amp;TEXT(A48,"hh"),LoadTable[],5,FALSE)*0.92</f>
        <v>418.75640000000004</v>
      </c>
      <c r="U48" s="104">
        <f>VLOOKUP(TEXT(A48,"yy-mm")&amp;"-"&amp;IF(AND(WEEKDAY(A48)&gt;1,WEEKDAY(A48)&lt;7),"Wkd",TEXT(A48,"Ddd"))&amp;"-"&amp;TEXT(A48,"hh"),LoadTable[],6,FALSE)*T48</f>
        <v>31234.202363200002</v>
      </c>
      <c r="V48">
        <f t="shared" ref="V48:W48" si="25">V24</f>
        <v>3.5</v>
      </c>
      <c r="W48">
        <f t="shared" si="25"/>
        <v>3.1</v>
      </c>
      <c r="X48" s="9">
        <v>2.7868301999999998</v>
      </c>
    </row>
    <row r="49" spans="1:24">
      <c r="A49" s="29">
        <f t="shared" si="0"/>
        <v>45837.916666666555</v>
      </c>
      <c r="B49" s="30">
        <f t="shared" si="1"/>
        <v>5000</v>
      </c>
      <c r="C49" s="8">
        <v>25000</v>
      </c>
      <c r="D49" s="8">
        <v>0</v>
      </c>
      <c r="E49" s="8">
        <v>0</v>
      </c>
      <c r="F49" s="8">
        <v>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8.4</v>
      </c>
      <c r="N49" s="9">
        <f>VLOOKUP(DATE(YEAR(A49),MONTH(A49),DAY(A49)),FY24_Temp[],3,FALSE)</f>
        <v>12.8</v>
      </c>
      <c r="O49" s="9">
        <v>13</v>
      </c>
      <c r="P49" s="9">
        <v>19.5</v>
      </c>
      <c r="Q49" s="79">
        <f>VLOOKUP(VLOOKUP(DATEVALUE(TEXT(A49,"m/d/yyyy")),FY24_Temp[],5,FALSE)&amp;TEXT(A49,"-h"),Table6[],4,FALSE)</f>
        <v>0.5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VLOOKUP(TEXT(A49,"yy-mm")&amp;"-"&amp;IF(AND(WEEKDAY(A49)&gt;1,WEEKDAY(A49)&lt;7),"Wkd",TEXT(A49,"Ddd"))&amp;"-"&amp;TEXT(A49,"hh"),LoadTable[],5,FALSE)*0.92</f>
        <v>342.93920000000003</v>
      </c>
      <c r="U49" s="104">
        <f>VLOOKUP(TEXT(A49,"yy-mm")&amp;"-"&amp;IF(AND(WEEKDAY(A49)&gt;1,WEEKDAY(A49)&lt;7),"Wkd",TEXT(A49,"Ddd"))&amp;"-"&amp;TEXT(A49,"hh"),LoadTable[],6,FALSE)*T49</f>
        <v>19376.4077392</v>
      </c>
      <c r="V49">
        <f t="shared" ref="V49:W49" si="26">V25</f>
        <v>2.9</v>
      </c>
      <c r="W49">
        <f t="shared" si="26"/>
        <v>3.1</v>
      </c>
      <c r="X49" s="9">
        <v>2.7539375000000001</v>
      </c>
    </row>
    <row r="50" spans="1:24">
      <c r="A50" s="29">
        <f t="shared" si="0"/>
        <v>45837.958333333219</v>
      </c>
      <c r="B50" s="30">
        <f t="shared" si="1"/>
        <v>5000</v>
      </c>
      <c r="C50" s="8">
        <v>25000</v>
      </c>
      <c r="D50" s="8">
        <v>0</v>
      </c>
      <c r="E50" s="8">
        <v>0</v>
      </c>
      <c r="F50" s="8">
        <v>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8.4</v>
      </c>
      <c r="N50" s="9">
        <f>VLOOKUP(DATE(YEAR(A50),MONTH(A50),DAY(A50)),FY24_Temp[],3,FALSE)</f>
        <v>12.8</v>
      </c>
      <c r="O50" s="9">
        <v>13</v>
      </c>
      <c r="P50" s="9">
        <v>19.5</v>
      </c>
      <c r="Q50" s="79">
        <f>VLOOKUP(VLOOKUP(DATEVALUE(TEXT(A50,"m/d/yyyy")),FY24_Temp[],5,FALSE)&amp;TEXT(A50,"-h"),Table6[],4,FALSE)</f>
        <v>0.5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VLOOKUP(TEXT(A50,"yy-mm")&amp;"-"&amp;IF(AND(WEEKDAY(A50)&gt;1,WEEKDAY(A50)&lt;7),"Wkd",TEXT(A50,"Ddd"))&amp;"-"&amp;TEXT(A50,"hh"),LoadTable[],5,FALSE)*0.92</f>
        <v>279.25312000000002</v>
      </c>
      <c r="U50" s="104">
        <f>VLOOKUP(TEXT(A50,"yy-mm")&amp;"-"&amp;IF(AND(WEEKDAY(A50)&gt;1,WEEKDAY(A50)&lt;7),"Wkd",TEXT(A50,"Ddd"))&amp;"-"&amp;TEXT(A50,"hh"),LoadTable[],6,FALSE)*T50</f>
        <v>14528.981327360001</v>
      </c>
      <c r="V50">
        <f t="shared" ref="V50:W50" si="27">V26</f>
        <v>3.6</v>
      </c>
      <c r="W50">
        <f t="shared" si="27"/>
        <v>3.1</v>
      </c>
      <c r="X50" s="9">
        <v>2.6527672</v>
      </c>
    </row>
    <row r="51" spans="1:24">
      <c r="A51" s="29">
        <f t="shared" si="0"/>
        <v>45837.999999999884</v>
      </c>
      <c r="B51" s="30">
        <f t="shared" si="1"/>
        <v>5000</v>
      </c>
      <c r="C51" s="8">
        <v>25000</v>
      </c>
      <c r="D51" s="8">
        <v>0</v>
      </c>
      <c r="E51" s="8">
        <v>0</v>
      </c>
      <c r="F51" s="8">
        <v>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8.4</v>
      </c>
      <c r="N51" s="9">
        <f>VLOOKUP(DATE(YEAR(A51),MONTH(A51),DAY(A51)),FY24_Temp[],3,FALSE)</f>
        <v>12.8</v>
      </c>
      <c r="O51" s="9">
        <v>13</v>
      </c>
      <c r="P51" s="9">
        <v>19.5</v>
      </c>
      <c r="Q51" s="79">
        <f>VLOOKUP(VLOOKUP(DATEVALUE(TEXT(A51,"m/d/yyyy")),FY24_Temp[],5,FALSE)&amp;TEXT(A51,"-h"),Table6[],4,FALSE)</f>
        <v>0.5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VLOOKUP(TEXT(A51,"yy-mm")&amp;"-"&amp;IF(AND(WEEKDAY(A51)&gt;1,WEEKDAY(A51)&lt;7),"Wkd",TEXT(A51,"Ddd"))&amp;"-"&amp;TEXT(A51,"hh"),LoadTable[],5,FALSE)*0.92</f>
        <v>279.25312000000002</v>
      </c>
      <c r="U51" s="104">
        <f>VLOOKUP(TEXT(A51,"yy-mm")&amp;"-"&amp;IF(AND(WEEKDAY(A51)&gt;1,WEEKDAY(A51)&lt;7),"Wkd",TEXT(A51,"Ddd"))&amp;"-"&amp;TEXT(A51,"hh"),LoadTable[],6,FALSE)*T51</f>
        <v>14895.640673920001</v>
      </c>
      <c r="V51">
        <f t="shared" ref="V51:W51" si="28">V27</f>
        <v>3</v>
      </c>
      <c r="W51">
        <f t="shared" si="28"/>
        <v>3.2</v>
      </c>
      <c r="X51" s="9">
        <v>2.5805712000000001</v>
      </c>
    </row>
    <row r="52" spans="1:24">
      <c r="A52" s="29">
        <f t="shared" si="0"/>
        <v>45838.041666666548</v>
      </c>
      <c r="B52" s="30">
        <f t="shared" si="1"/>
        <v>5000</v>
      </c>
      <c r="C52" s="8">
        <v>25000</v>
      </c>
      <c r="D52" s="8">
        <v>0</v>
      </c>
      <c r="E52" s="8">
        <v>0</v>
      </c>
      <c r="F52" s="8">
        <v>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8.4</v>
      </c>
      <c r="N52" s="9">
        <f>VLOOKUP(DATE(YEAR(A52),MONTH(A52),DAY(A52)),FY24_Temp[],3,FALSE)</f>
        <v>12.8</v>
      </c>
      <c r="O52" s="9">
        <v>13</v>
      </c>
      <c r="P52" s="9">
        <v>19.5</v>
      </c>
      <c r="Q52" s="79">
        <f>VLOOKUP(VLOOKUP(DATEVALUE(TEXT(A52,"m/d/yyyy")),FY24_Temp[],5,FALSE)&amp;TEXT(A52,"-h"),Table6[],4,FALSE)</f>
        <v>0.5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VLOOKUP(TEXT(A52,"yy-mm")&amp;"-"&amp;IF(AND(WEEKDAY(A52)&gt;1,WEEKDAY(A52)&lt;7),"Wkd",TEXT(A52,"Ddd"))&amp;"-"&amp;TEXT(A52,"hh"),LoadTable[],5,FALSE)*0.92</f>
        <v>279.25312000000002</v>
      </c>
      <c r="U52" s="104">
        <f>VLOOKUP(TEXT(A52,"yy-mm")&amp;"-"&amp;IF(AND(WEEKDAY(A52)&gt;1,WEEKDAY(A52)&lt;7),"Wkd",TEXT(A52,"Ddd"))&amp;"-"&amp;TEXT(A52,"hh"),LoadTable[],6,FALSE)*T52</f>
        <v>14470.896678400002</v>
      </c>
      <c r="V52">
        <f t="shared" ref="V52:W52" si="29">V28</f>
        <v>2.6</v>
      </c>
      <c r="W52">
        <f t="shared" si="29"/>
        <v>3.2</v>
      </c>
      <c r="X52" s="9">
        <v>2.5404591999999999</v>
      </c>
    </row>
    <row r="53" spans="1:24">
      <c r="A53" s="29">
        <f t="shared" si="0"/>
        <v>45838.083333333212</v>
      </c>
      <c r="B53" s="30">
        <f t="shared" si="1"/>
        <v>5000</v>
      </c>
      <c r="C53" s="8">
        <v>25000</v>
      </c>
      <c r="D53" s="8">
        <v>0</v>
      </c>
      <c r="E53" s="8">
        <v>0</v>
      </c>
      <c r="F53" s="8">
        <v>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8.4</v>
      </c>
      <c r="N53" s="9">
        <f>VLOOKUP(DATE(YEAR(A53),MONTH(A53),DAY(A53)),FY24_Temp[],3,FALSE)</f>
        <v>12.8</v>
      </c>
      <c r="O53" s="9">
        <v>13</v>
      </c>
      <c r="P53" s="9">
        <v>19.5</v>
      </c>
      <c r="Q53" s="79">
        <f>VLOOKUP(VLOOKUP(DATEVALUE(TEXT(A53,"m/d/yyyy")),FY24_Temp[],5,FALSE)&amp;TEXT(A53,"-h"),Table6[],4,FALSE)</f>
        <v>0.5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VLOOKUP(TEXT(A53,"yy-mm")&amp;"-"&amp;IF(AND(WEEKDAY(A53)&gt;1,WEEKDAY(A53)&lt;7),"Wkd",TEXT(A53,"Ddd"))&amp;"-"&amp;TEXT(A53,"hh"),LoadTable[],5,FALSE)*0.92</f>
        <v>279.25312000000002</v>
      </c>
      <c r="U53" s="104">
        <f>VLOOKUP(TEXT(A53,"yy-mm")&amp;"-"&amp;IF(AND(WEEKDAY(A53)&gt;1,WEEKDAY(A53)&lt;7),"Wkd",TEXT(A53,"Ddd"))&amp;"-"&amp;TEXT(A53,"hh"),LoadTable[],6,FALSE)*T53</f>
        <v>14154.50289344</v>
      </c>
      <c r="V53">
        <f t="shared" ref="V53:W53" si="30">V29</f>
        <v>2.8</v>
      </c>
      <c r="W53">
        <f t="shared" si="30"/>
        <v>3.2</v>
      </c>
      <c r="X53" s="9">
        <v>2.6293432999999999</v>
      </c>
    </row>
    <row r="54" spans="1:24">
      <c r="A54" s="29">
        <f t="shared" si="0"/>
        <v>45838.124999999876</v>
      </c>
      <c r="B54" s="30">
        <f t="shared" si="1"/>
        <v>5000</v>
      </c>
      <c r="C54" s="8">
        <v>25000</v>
      </c>
      <c r="D54" s="8">
        <v>0</v>
      </c>
      <c r="E54" s="8">
        <v>0</v>
      </c>
      <c r="F54" s="8">
        <v>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8.4</v>
      </c>
      <c r="N54" s="9">
        <f>VLOOKUP(DATE(YEAR(A54),MONTH(A54),DAY(A54)),FY24_Temp[],3,FALSE)</f>
        <v>12.8</v>
      </c>
      <c r="O54" s="9">
        <v>13</v>
      </c>
      <c r="P54" s="9">
        <v>19.5</v>
      </c>
      <c r="Q54" s="79">
        <f>VLOOKUP(VLOOKUP(DATEVALUE(TEXT(A54,"m/d/yyyy")),FY24_Temp[],5,FALSE)&amp;TEXT(A54,"-h"),Table6[],4,FALSE)</f>
        <v>0.5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VLOOKUP(TEXT(A54,"yy-mm")&amp;"-"&amp;IF(AND(WEEKDAY(A54)&gt;1,WEEKDAY(A54)&lt;7),"Wkd",TEXT(A54,"Ddd"))&amp;"-"&amp;TEXT(A54,"hh"),LoadTable[],5,FALSE)*0.92</f>
        <v>279.25312000000002</v>
      </c>
      <c r="U54" s="104">
        <f>VLOOKUP(TEXT(A54,"yy-mm")&amp;"-"&amp;IF(AND(WEEKDAY(A54)&gt;1,WEEKDAY(A54)&lt;7),"Wkd",TEXT(A54,"Ddd"))&amp;"-"&amp;TEXT(A54,"hh"),LoadTable[],6,FALSE)*T54</f>
        <v>14206.443973760001</v>
      </c>
      <c r="V54">
        <f t="shared" ref="V54:W54" si="31">V30</f>
        <v>2.7</v>
      </c>
      <c r="W54">
        <f t="shared" si="31"/>
        <v>3.2</v>
      </c>
      <c r="X54" s="9">
        <v>2.6928030999999999</v>
      </c>
    </row>
    <row r="55" spans="1:24">
      <c r="A55" s="29">
        <f t="shared" si="0"/>
        <v>45838.166666666541</v>
      </c>
      <c r="B55" s="30">
        <f t="shared" si="1"/>
        <v>5000</v>
      </c>
      <c r="C55" s="8">
        <v>25000</v>
      </c>
      <c r="D55" s="8">
        <v>0</v>
      </c>
      <c r="E55" s="8">
        <v>0</v>
      </c>
      <c r="F55" s="8">
        <v>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8.4</v>
      </c>
      <c r="N55" s="9">
        <f>VLOOKUP(DATE(YEAR(A55),MONTH(A55),DAY(A55)),FY24_Temp[],3,FALSE)</f>
        <v>12.8</v>
      </c>
      <c r="O55" s="9">
        <v>13</v>
      </c>
      <c r="P55" s="9">
        <v>19.5</v>
      </c>
      <c r="Q55" s="79">
        <f>VLOOKUP(VLOOKUP(DATEVALUE(TEXT(A55,"m/d/yyyy")),FY24_Temp[],5,FALSE)&amp;TEXT(A55,"-h"),Table6[],4,FALSE)</f>
        <v>0.5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VLOOKUP(TEXT(A55,"yy-mm")&amp;"-"&amp;IF(AND(WEEKDAY(A55)&gt;1,WEEKDAY(A55)&lt;7),"Wkd",TEXT(A55,"Ddd"))&amp;"-"&amp;TEXT(A55,"hh"),LoadTable[],5,FALSE)*0.92</f>
        <v>279.25312000000002</v>
      </c>
      <c r="U55" s="104">
        <f>VLOOKUP(TEXT(A55,"yy-mm")&amp;"-"&amp;IF(AND(WEEKDAY(A55)&gt;1,WEEKDAY(A55)&lt;7),"Wkd",TEXT(A55,"Ddd"))&amp;"-"&amp;TEXT(A55,"hh"),LoadTable[],6,FALSE)*T55</f>
        <v>14229.063476480002</v>
      </c>
      <c r="V55">
        <f t="shared" ref="V55:W55" si="32">V31</f>
        <v>3</v>
      </c>
      <c r="W55">
        <f t="shared" si="32"/>
        <v>3.1</v>
      </c>
      <c r="X55" s="9">
        <v>2.7318921</v>
      </c>
    </row>
    <row r="56" spans="1:24">
      <c r="A56" s="29">
        <f t="shared" si="0"/>
        <v>45838.208333333205</v>
      </c>
      <c r="B56" s="30">
        <f t="shared" si="1"/>
        <v>5000</v>
      </c>
      <c r="C56" s="8">
        <v>25000</v>
      </c>
      <c r="D56" s="8">
        <v>0</v>
      </c>
      <c r="E56" s="8">
        <v>0</v>
      </c>
      <c r="F56" s="8">
        <v>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8.4</v>
      </c>
      <c r="N56" s="9">
        <f>VLOOKUP(DATE(YEAR(A56),MONTH(A56),DAY(A56)),FY24_Temp[],3,FALSE)</f>
        <v>12.8</v>
      </c>
      <c r="O56" s="9">
        <v>13</v>
      </c>
      <c r="P56" s="9">
        <v>19.5</v>
      </c>
      <c r="Q56" s="79">
        <f>VLOOKUP(VLOOKUP(DATEVALUE(TEXT(A56,"m/d/yyyy")),FY24_Temp[],5,FALSE)&amp;TEXT(A56,"-h"),Table6[],4,FALSE)</f>
        <v>0.5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VLOOKUP(TEXT(A56,"yy-mm")&amp;"-"&amp;IF(AND(WEEKDAY(A56)&gt;1,WEEKDAY(A56)&lt;7),"Wkd",TEXT(A56,"Ddd"))&amp;"-"&amp;TEXT(A56,"hh"),LoadTable[],5,FALSE)*0.92</f>
        <v>279.25312000000002</v>
      </c>
      <c r="U56" s="104">
        <f>VLOOKUP(TEXT(A56,"yy-mm")&amp;"-"&amp;IF(AND(WEEKDAY(A56)&gt;1,WEEKDAY(A56)&lt;7),"Wkd",TEXT(A56,"Ddd"))&amp;"-"&amp;TEXT(A56,"hh"),LoadTable[],6,FALSE)*T56</f>
        <v>14735.070129920001</v>
      </c>
      <c r="V56">
        <f t="shared" ref="V56:W56" si="33">V32</f>
        <v>2.9</v>
      </c>
      <c r="W56">
        <f t="shared" si="33"/>
        <v>3.1</v>
      </c>
      <c r="X56" s="9">
        <v>2.8205574000000002</v>
      </c>
    </row>
    <row r="57" spans="1:24">
      <c r="A57" s="29">
        <f t="shared" si="0"/>
        <v>45838.249999999869</v>
      </c>
      <c r="B57" s="30">
        <f t="shared" si="1"/>
        <v>8000</v>
      </c>
      <c r="C57" s="8">
        <v>25000</v>
      </c>
      <c r="D57" s="8">
        <v>0</v>
      </c>
      <c r="E57" s="8">
        <v>0</v>
      </c>
      <c r="F57" s="8">
        <v>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8.4</v>
      </c>
      <c r="N57" s="9">
        <f>VLOOKUP(DATE(YEAR(A57),MONTH(A57),DAY(A57)),FY24_Temp[],3,FALSE)</f>
        <v>12.8</v>
      </c>
      <c r="O57" s="9">
        <v>13</v>
      </c>
      <c r="P57" s="9">
        <v>19.5</v>
      </c>
      <c r="Q57" s="79">
        <f>VLOOKUP(VLOOKUP(DATEVALUE(TEXT(A57,"m/d/yyyy")),FY24_Temp[],5,FALSE)&amp;TEXT(A57,"-h"),Table6[],4,FALSE)</f>
        <v>0.5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VLOOKUP(TEXT(A57,"yy-mm")&amp;"-"&amp;IF(AND(WEEKDAY(A57)&gt;1,WEEKDAY(A57)&lt;7),"Wkd",TEXT(A57,"Ddd"))&amp;"-"&amp;TEXT(A57,"hh"),LoadTable[],5,FALSE)*0.92</f>
        <v>279.25312000000002</v>
      </c>
      <c r="U57" s="104">
        <f>VLOOKUP(TEXT(A57,"yy-mm")&amp;"-"&amp;IF(AND(WEEKDAY(A57)&gt;1,WEEKDAY(A57)&lt;7),"Wkd",TEXT(A57,"Ddd"))&amp;"-"&amp;TEXT(A57,"hh"),LoadTable[],6,FALSE)*T57</f>
        <v>26238.902408320002</v>
      </c>
      <c r="V57">
        <f t="shared" ref="V57:W57" si="34">V33</f>
        <v>2.5</v>
      </c>
      <c r="W57">
        <f t="shared" si="34"/>
        <v>3.1</v>
      </c>
      <c r="X57" s="9">
        <v>2.9507203</v>
      </c>
    </row>
    <row r="58" spans="1:24">
      <c r="A58" s="29">
        <f t="shared" si="0"/>
        <v>45838.291666666533</v>
      </c>
      <c r="B58" s="30">
        <f t="shared" si="1"/>
        <v>8000</v>
      </c>
      <c r="C58" s="8">
        <v>25000</v>
      </c>
      <c r="D58" s="8">
        <v>0</v>
      </c>
      <c r="E58" s="8">
        <v>0</v>
      </c>
      <c r="F58" s="8">
        <v>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8.4</v>
      </c>
      <c r="N58" s="9">
        <f>VLOOKUP(DATE(YEAR(A58),MONTH(A58),DAY(A58)),FY24_Temp[],3,FALSE)</f>
        <v>12.8</v>
      </c>
      <c r="O58" s="9">
        <v>13</v>
      </c>
      <c r="P58" s="9">
        <v>19.5</v>
      </c>
      <c r="Q58" s="79">
        <f>VLOOKUP(VLOOKUP(DATEVALUE(TEXT(A58,"m/d/yyyy")),FY24_Temp[],5,FALSE)&amp;TEXT(A58,"-h"),Table6[],4,FALSE)</f>
        <v>0.5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VLOOKUP(TEXT(A58,"yy-mm")&amp;"-"&amp;IF(AND(WEEKDAY(A58)&gt;1,WEEKDAY(A58)&lt;7),"Wkd",TEXT(A58,"Ddd"))&amp;"-"&amp;TEXT(A58,"hh"),LoadTable[],5,FALSE)*0.92</f>
        <v>279.25312000000002</v>
      </c>
      <c r="U58" s="104">
        <f>VLOOKUP(TEXT(A58,"yy-mm")&amp;"-"&amp;IF(AND(WEEKDAY(A58)&gt;1,WEEKDAY(A58)&lt;7),"Wkd",TEXT(A58,"Ddd"))&amp;"-"&amp;TEXT(A58,"hh"),LoadTable[],6,FALSE)*T58</f>
        <v>22145.051669120003</v>
      </c>
      <c r="V58">
        <f t="shared" ref="V58:W58" si="35">V34</f>
        <v>2.5</v>
      </c>
      <c r="W58">
        <f t="shared" si="35"/>
        <v>3.1</v>
      </c>
      <c r="X58" s="9">
        <v>3.0952516000000001</v>
      </c>
    </row>
    <row r="59" spans="1:24">
      <c r="A59" s="29">
        <f t="shared" si="0"/>
        <v>45838.333333333198</v>
      </c>
      <c r="B59" s="30">
        <f t="shared" si="1"/>
        <v>8000</v>
      </c>
      <c r="C59" s="8">
        <v>25000</v>
      </c>
      <c r="D59" s="8">
        <v>0</v>
      </c>
      <c r="E59" s="8">
        <v>0</v>
      </c>
      <c r="F59" s="8">
        <v>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8.4</v>
      </c>
      <c r="N59" s="9">
        <f>VLOOKUP(DATE(YEAR(A59),MONTH(A59),DAY(A59)),FY24_Temp[],3,FALSE)</f>
        <v>12.8</v>
      </c>
      <c r="O59" s="9">
        <v>13</v>
      </c>
      <c r="P59" s="9">
        <v>19.5</v>
      </c>
      <c r="Q59" s="79">
        <f>VLOOKUP(VLOOKUP(DATEVALUE(TEXT(A59,"m/d/yyyy")),FY24_Temp[],5,FALSE)&amp;TEXT(A59,"-h"),Table6[],4,FALSE)</f>
        <v>0.5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VLOOKUP(TEXT(A59,"yy-mm")&amp;"-"&amp;IF(AND(WEEKDAY(A59)&gt;1,WEEKDAY(A59)&lt;7),"Wkd",TEXT(A59,"Ddd"))&amp;"-"&amp;TEXT(A59,"hh"),LoadTable[],5,FALSE)*0.92</f>
        <v>279.25312000000002</v>
      </c>
      <c r="U59" s="104">
        <f>VLOOKUP(TEXT(A59,"yy-mm")&amp;"-"&amp;IF(AND(WEEKDAY(A59)&gt;1,WEEKDAY(A59)&lt;7),"Wkd",TEXT(A59,"Ddd"))&amp;"-"&amp;TEXT(A59,"hh"),LoadTable[],6,FALSE)*T59</f>
        <v>17686.77560832</v>
      </c>
      <c r="V59">
        <f t="shared" ref="V59:W59" si="36">V35</f>
        <v>3.2</v>
      </c>
      <c r="W59">
        <f t="shared" si="36"/>
        <v>3</v>
      </c>
      <c r="X59" s="9">
        <v>3.1802052999999999</v>
      </c>
    </row>
    <row r="60" spans="1:24">
      <c r="A60" s="29">
        <f t="shared" si="0"/>
        <v>45838.374999999862</v>
      </c>
      <c r="B60" s="30">
        <f t="shared" si="1"/>
        <v>8000</v>
      </c>
      <c r="C60" s="8">
        <v>25000</v>
      </c>
      <c r="D60" s="8">
        <v>0</v>
      </c>
      <c r="E60" s="8">
        <v>0</v>
      </c>
      <c r="F60" s="8">
        <v>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8.4</v>
      </c>
      <c r="N60" s="9">
        <f>VLOOKUP(DATE(YEAR(A60),MONTH(A60),DAY(A60)),FY24_Temp[],3,FALSE)</f>
        <v>12.8</v>
      </c>
      <c r="O60" s="9">
        <v>13</v>
      </c>
      <c r="P60" s="9">
        <v>19.5</v>
      </c>
      <c r="Q60" s="79">
        <f>VLOOKUP(VLOOKUP(DATEVALUE(TEXT(A60,"m/d/yyyy")),FY24_Temp[],5,FALSE)&amp;TEXT(A60,"-h"),Table6[],4,FALSE)</f>
        <v>0.5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VLOOKUP(TEXT(A60,"yy-mm")&amp;"-"&amp;IF(AND(WEEKDAY(A60)&gt;1,WEEKDAY(A60)&lt;7),"Wkd",TEXT(A60,"Ddd"))&amp;"-"&amp;TEXT(A60,"hh"),LoadTable[],5,FALSE)*0.92</f>
        <v>279.25312000000002</v>
      </c>
      <c r="U60" s="104">
        <f>VLOOKUP(TEXT(A60,"yy-mm")&amp;"-"&amp;IF(AND(WEEKDAY(A60)&gt;1,WEEKDAY(A60)&lt;7),"Wkd",TEXT(A60,"Ddd"))&amp;"-"&amp;TEXT(A60,"hh"),LoadTable[],6,FALSE)*T60</f>
        <v>14265.924888320002</v>
      </c>
      <c r="V60">
        <f t="shared" ref="V60:W60" si="37">V36</f>
        <v>2.9</v>
      </c>
      <c r="W60">
        <f t="shared" si="37"/>
        <v>3</v>
      </c>
      <c r="X60" s="9">
        <v>3.215414</v>
      </c>
    </row>
    <row r="61" spans="1:24">
      <c r="A61" s="29">
        <f t="shared" si="0"/>
        <v>45838.416666666526</v>
      </c>
      <c r="B61" s="30">
        <f t="shared" si="1"/>
        <v>8000</v>
      </c>
      <c r="C61" s="8">
        <v>25000</v>
      </c>
      <c r="D61" s="8">
        <v>0</v>
      </c>
      <c r="E61" s="8">
        <v>0</v>
      </c>
      <c r="F61" s="8">
        <v>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8.4</v>
      </c>
      <c r="N61" s="9">
        <f>VLOOKUP(DATE(YEAR(A61),MONTH(A61),DAY(A61)),FY24_Temp[],3,FALSE)</f>
        <v>12.8</v>
      </c>
      <c r="O61" s="9">
        <v>13</v>
      </c>
      <c r="P61" s="9">
        <v>19.5</v>
      </c>
      <c r="Q61" s="79">
        <f>VLOOKUP(VLOOKUP(DATEVALUE(TEXT(A61,"m/d/yyyy")),FY24_Temp[],5,FALSE)&amp;TEXT(A61,"-h"),Table6[],4,FALSE)</f>
        <v>0.5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VLOOKUP(TEXT(A61,"yy-mm")&amp;"-"&amp;IF(AND(WEEKDAY(A61)&gt;1,WEEKDAY(A61)&lt;7),"Wkd",TEXT(A61,"Ddd"))&amp;"-"&amp;TEXT(A61,"hh"),LoadTable[],5,FALSE)*0.92</f>
        <v>279.25312000000002</v>
      </c>
      <c r="U61" s="104">
        <f>VLOOKUP(TEXT(A61,"yy-mm")&amp;"-"&amp;IF(AND(WEEKDAY(A61)&gt;1,WEEKDAY(A61)&lt;7),"Wkd",TEXT(A61,"Ddd"))&amp;"-"&amp;TEXT(A61,"hh"),LoadTable[],6,FALSE)*T61</f>
        <v>13649.054746240003</v>
      </c>
      <c r="V61">
        <f t="shared" ref="V61:W61" si="38">V37</f>
        <v>2.9</v>
      </c>
      <c r="W61">
        <f t="shared" si="38"/>
        <v>3</v>
      </c>
      <c r="X61" s="9">
        <v>3.2890793999999999</v>
      </c>
    </row>
    <row r="62" spans="1:24">
      <c r="A62" s="29">
        <f t="shared" si="0"/>
        <v>45838.45833333319</v>
      </c>
      <c r="B62" s="30">
        <f t="shared" si="1"/>
        <v>8000</v>
      </c>
      <c r="C62" s="8">
        <v>25000</v>
      </c>
      <c r="D62" s="8">
        <v>0</v>
      </c>
      <c r="E62" s="8">
        <v>0</v>
      </c>
      <c r="F62" s="8">
        <v>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8.4</v>
      </c>
      <c r="N62" s="9">
        <f>VLOOKUP(DATE(YEAR(A62),MONTH(A62),DAY(A62)),FY24_Temp[],3,FALSE)</f>
        <v>12.8</v>
      </c>
      <c r="O62" s="9">
        <v>13</v>
      </c>
      <c r="P62" s="9">
        <v>19.5</v>
      </c>
      <c r="Q62" s="79">
        <f>VLOOKUP(VLOOKUP(DATEVALUE(TEXT(A62,"m/d/yyyy")),FY24_Temp[],5,FALSE)&amp;TEXT(A62,"-h"),Table6[],4,FALSE)</f>
        <v>0.5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VLOOKUP(TEXT(A62,"yy-mm")&amp;"-"&amp;IF(AND(WEEKDAY(A62)&gt;1,WEEKDAY(A62)&lt;7),"Wkd",TEXT(A62,"Ddd"))&amp;"-"&amp;TEXT(A62,"hh"),LoadTable[],5,FALSE)*0.92</f>
        <v>279.25312000000002</v>
      </c>
      <c r="U62" s="104">
        <f>VLOOKUP(TEXT(A62,"yy-mm")&amp;"-"&amp;IF(AND(WEEKDAY(A62)&gt;1,WEEKDAY(A62)&lt;7),"Wkd",TEXT(A62,"Ddd"))&amp;"-"&amp;TEXT(A62,"hh"),LoadTable[],6,FALSE)*T62</f>
        <v>13153.938964480001</v>
      </c>
      <c r="V62">
        <f t="shared" ref="V62:W62" si="39">V38</f>
        <v>3.4</v>
      </c>
      <c r="W62">
        <f t="shared" si="39"/>
        <v>3</v>
      </c>
      <c r="X62" s="9">
        <v>3.2425677999999998</v>
      </c>
    </row>
    <row r="63" spans="1:24">
      <c r="A63" s="29">
        <f t="shared" si="0"/>
        <v>45838.499999999854</v>
      </c>
      <c r="B63" s="30">
        <f t="shared" si="1"/>
        <v>8000</v>
      </c>
      <c r="C63" s="8">
        <v>25000</v>
      </c>
      <c r="D63" s="8">
        <v>0</v>
      </c>
      <c r="E63" s="8">
        <v>0</v>
      </c>
      <c r="F63" s="8">
        <v>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8.4</v>
      </c>
      <c r="N63" s="9">
        <f>VLOOKUP(DATE(YEAR(A63),MONTH(A63),DAY(A63)),FY24_Temp[],3,FALSE)</f>
        <v>12.8</v>
      </c>
      <c r="O63" s="9">
        <v>13</v>
      </c>
      <c r="P63" s="9">
        <v>19.5</v>
      </c>
      <c r="Q63" s="79">
        <f>VLOOKUP(VLOOKUP(DATEVALUE(TEXT(A63,"m/d/yyyy")),FY24_Temp[],5,FALSE)&amp;TEXT(A63,"-h"),Table6[],4,FALSE)</f>
        <v>0.5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VLOOKUP(TEXT(A63,"yy-mm")&amp;"-"&amp;IF(AND(WEEKDAY(A63)&gt;1,WEEKDAY(A63)&lt;7),"Wkd",TEXT(A63,"Ddd"))&amp;"-"&amp;TEXT(A63,"hh"),LoadTable[],5,FALSE)*0.92</f>
        <v>279.25312000000002</v>
      </c>
      <c r="U63" s="104">
        <f>VLOOKUP(TEXT(A63,"yy-mm")&amp;"-"&amp;IF(AND(WEEKDAY(A63)&gt;1,WEEKDAY(A63)&lt;7),"Wkd",TEXT(A63,"Ddd"))&amp;"-"&amp;TEXT(A63,"hh"),LoadTable[],6,FALSE)*T63</f>
        <v>13898.427782400002</v>
      </c>
      <c r="V63">
        <f t="shared" ref="V63:W63" si="40">V39</f>
        <v>3.1</v>
      </c>
      <c r="W63">
        <f t="shared" si="40"/>
        <v>2.9</v>
      </c>
      <c r="X63" s="9">
        <v>3.0969331000000002</v>
      </c>
    </row>
    <row r="64" spans="1:24">
      <c r="A64" s="29">
        <f t="shared" si="0"/>
        <v>45838.541666666519</v>
      </c>
      <c r="B64" s="30">
        <f t="shared" si="1"/>
        <v>8000</v>
      </c>
      <c r="C64" s="8">
        <v>25000</v>
      </c>
      <c r="D64" s="8">
        <v>0</v>
      </c>
      <c r="E64" s="8">
        <v>0</v>
      </c>
      <c r="F64" s="8">
        <v>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8.4</v>
      </c>
      <c r="N64" s="9">
        <f>VLOOKUP(DATE(YEAR(A64),MONTH(A64),DAY(A64)),FY24_Temp[],3,FALSE)</f>
        <v>12.8</v>
      </c>
      <c r="O64" s="9">
        <v>13</v>
      </c>
      <c r="P64" s="9">
        <v>19.5</v>
      </c>
      <c r="Q64" s="79">
        <f>VLOOKUP(VLOOKUP(DATEVALUE(TEXT(A64,"m/d/yyyy")),FY24_Temp[],5,FALSE)&amp;TEXT(A64,"-h"),Table6[],4,FALSE)</f>
        <v>0.5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VLOOKUP(TEXT(A64,"yy-mm")&amp;"-"&amp;IF(AND(WEEKDAY(A64)&gt;1,WEEKDAY(A64)&lt;7),"Wkd",TEXT(A64,"Ddd"))&amp;"-"&amp;TEXT(A64,"hh"),LoadTable[],5,FALSE)*0.92</f>
        <v>279.25312000000002</v>
      </c>
      <c r="U64" s="104">
        <f>VLOOKUP(TEXT(A64,"yy-mm")&amp;"-"&amp;IF(AND(WEEKDAY(A64)&gt;1,WEEKDAY(A64)&lt;7),"Wkd",TEXT(A64,"Ddd"))&amp;"-"&amp;TEXT(A64,"hh"),LoadTable[],6,FALSE)*T64</f>
        <v>16526.1996416</v>
      </c>
      <c r="V64">
        <f t="shared" ref="V64:W64" si="41">V40</f>
        <v>3.2</v>
      </c>
      <c r="W64">
        <f t="shared" si="41"/>
        <v>2.9</v>
      </c>
      <c r="X64" s="9">
        <v>2.8885793999999998</v>
      </c>
    </row>
    <row r="65" spans="1:24">
      <c r="A65" s="29">
        <f t="shared" si="0"/>
        <v>45838.583333333183</v>
      </c>
      <c r="B65" s="30">
        <f t="shared" si="1"/>
        <v>8000</v>
      </c>
      <c r="C65" s="8">
        <v>25000</v>
      </c>
      <c r="D65" s="8">
        <v>0</v>
      </c>
      <c r="E65" s="8">
        <v>0</v>
      </c>
      <c r="F65" s="8"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8.4</v>
      </c>
      <c r="N65" s="9">
        <f>VLOOKUP(DATE(YEAR(A65),MONTH(A65),DAY(A65)),FY24_Temp[],3,FALSE)</f>
        <v>12.8</v>
      </c>
      <c r="O65" s="9">
        <v>13</v>
      </c>
      <c r="P65" s="9">
        <v>19.5</v>
      </c>
      <c r="Q65" s="79">
        <f>VLOOKUP(VLOOKUP(DATEVALUE(TEXT(A65,"m/d/yyyy")),FY24_Temp[],5,FALSE)&amp;TEXT(A65,"-h"),Table6[],4,FALSE)</f>
        <v>0.5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VLOOKUP(TEXT(A65,"yy-mm")&amp;"-"&amp;IF(AND(WEEKDAY(A65)&gt;1,WEEKDAY(A65)&lt;7),"Wkd",TEXT(A65,"Ddd"))&amp;"-"&amp;TEXT(A65,"hh"),LoadTable[],5,FALSE)*0.92</f>
        <v>373.26607999999999</v>
      </c>
      <c r="U65" s="104">
        <f>VLOOKUP(TEXT(A65,"yy-mm")&amp;"-"&amp;IF(AND(WEEKDAY(A65)&gt;1,WEEKDAY(A65)&lt;7),"Wkd",TEXT(A65,"Ddd"))&amp;"-"&amp;TEXT(A65,"hh"),LoadTable[],6,FALSE)*T65</f>
        <v>27132.338089119996</v>
      </c>
      <c r="V65">
        <f t="shared" ref="V65:W65" si="42">V41</f>
        <v>3.5</v>
      </c>
      <c r="W65">
        <f t="shared" si="42"/>
        <v>2.9</v>
      </c>
      <c r="X65" s="9">
        <v>2.7654122999999999</v>
      </c>
    </row>
    <row r="66" spans="1:24">
      <c r="A66" s="29">
        <f t="shared" si="0"/>
        <v>45838.624999999847</v>
      </c>
      <c r="B66" s="30">
        <f t="shared" si="1"/>
        <v>8000</v>
      </c>
      <c r="C66" s="8">
        <v>25000</v>
      </c>
      <c r="D66" s="8">
        <v>0</v>
      </c>
      <c r="E66" s="8">
        <v>0</v>
      </c>
      <c r="F66" s="8"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8.4</v>
      </c>
      <c r="N66" s="9">
        <f>VLOOKUP(DATE(YEAR(A66),MONTH(A66),DAY(A66)),FY24_Temp[],3,FALSE)</f>
        <v>12.8</v>
      </c>
      <c r="O66" s="9">
        <v>13</v>
      </c>
      <c r="P66" s="9">
        <v>19.5</v>
      </c>
      <c r="Q66" s="79">
        <f>VLOOKUP(VLOOKUP(DATEVALUE(TEXT(A66,"m/d/yyyy")),FY24_Temp[],5,FALSE)&amp;TEXT(A66,"-h"),Table6[],4,FALSE)</f>
        <v>0.5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VLOOKUP(TEXT(A66,"yy-mm")&amp;"-"&amp;IF(AND(WEEKDAY(A66)&gt;1,WEEKDAY(A66)&lt;7),"Wkd",TEXT(A66,"Ddd"))&amp;"-"&amp;TEXT(A66,"hh"),LoadTable[],5,FALSE)*0.92</f>
        <v>494.57360000000006</v>
      </c>
      <c r="U66" s="104">
        <f>VLOOKUP(TEXT(A66,"yy-mm")&amp;"-"&amp;IF(AND(WEEKDAY(A66)&gt;1,WEEKDAY(A66)&lt;7),"Wkd",TEXT(A66,"Ddd"))&amp;"-"&amp;TEXT(A66,"hh"),LoadTable[],6,FALSE)*T66</f>
        <v>42310.771480000003</v>
      </c>
      <c r="V66">
        <f t="shared" ref="V66:W66" si="43">V42</f>
        <v>3.2</v>
      </c>
      <c r="W66">
        <f t="shared" si="43"/>
        <v>2.9</v>
      </c>
      <c r="X66" s="9">
        <v>2.8434377</v>
      </c>
    </row>
    <row r="67" spans="1:24">
      <c r="A67" s="29">
        <f t="shared" si="0"/>
        <v>45838.666666666511</v>
      </c>
      <c r="B67" s="30">
        <f t="shared" si="1"/>
        <v>8000</v>
      </c>
      <c r="C67" s="8">
        <v>25000</v>
      </c>
      <c r="D67" s="8">
        <v>0</v>
      </c>
      <c r="E67" s="8">
        <v>0</v>
      </c>
      <c r="F67" s="8"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8.4</v>
      </c>
      <c r="N67" s="9">
        <f>VLOOKUP(DATE(YEAR(A67),MONTH(A67),DAY(A67)),FY24_Temp[],3,FALSE)</f>
        <v>12.8</v>
      </c>
      <c r="O67" s="9">
        <v>13</v>
      </c>
      <c r="P67" s="9">
        <v>19.5</v>
      </c>
      <c r="Q67" s="79">
        <f>VLOOKUP(VLOOKUP(DATEVALUE(TEXT(A67,"m/d/yyyy")),FY24_Temp[],5,FALSE)&amp;TEXT(A67,"-h"),Table6[],4,FALSE)</f>
        <v>0.5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VLOOKUP(TEXT(A67,"yy-mm")&amp;"-"&amp;IF(AND(WEEKDAY(A67)&gt;1,WEEKDAY(A67)&lt;7),"Wkd",TEXT(A67,"Ddd"))&amp;"-"&amp;TEXT(A67,"hh"),LoadTable[],5,FALSE)*0.92</f>
        <v>494.57360000000006</v>
      </c>
      <c r="U67" s="104">
        <f>VLOOKUP(TEXT(A67,"yy-mm")&amp;"-"&amp;IF(AND(WEEKDAY(A67)&gt;1,WEEKDAY(A67)&lt;7),"Wkd",TEXT(A67,"Ddd"))&amp;"-"&amp;TEXT(A67,"hh"),LoadTable[],6,FALSE)*T67</f>
        <v>50694.28857360001</v>
      </c>
      <c r="V67">
        <f t="shared" ref="V67:W67" si="44">V43</f>
        <v>3.5</v>
      </c>
      <c r="W67">
        <f t="shared" si="44"/>
        <v>3</v>
      </c>
      <c r="X67" s="9">
        <v>3.1390566999999998</v>
      </c>
    </row>
    <row r="68" spans="1:24">
      <c r="A68" s="29">
        <f t="shared" si="0"/>
        <v>45838.708333333176</v>
      </c>
      <c r="B68" s="30">
        <f t="shared" si="1"/>
        <v>8000</v>
      </c>
      <c r="C68" s="8">
        <v>25000</v>
      </c>
      <c r="D68" s="8">
        <v>0</v>
      </c>
      <c r="E68" s="8">
        <v>0</v>
      </c>
      <c r="F68" s="8"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8.4</v>
      </c>
      <c r="N68" s="9">
        <f>VLOOKUP(DATE(YEAR(A68),MONTH(A68),DAY(A68)),FY24_Temp[],3,FALSE)</f>
        <v>12.8</v>
      </c>
      <c r="O68" s="9">
        <v>13</v>
      </c>
      <c r="P68" s="9">
        <v>19.5</v>
      </c>
      <c r="Q68" s="79">
        <f>VLOOKUP(VLOOKUP(DATEVALUE(TEXT(A68,"m/d/yyyy")),FY24_Temp[],5,FALSE)&amp;TEXT(A68,"-h"),Table6[],4,FALSE)</f>
        <v>0.5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VLOOKUP(TEXT(A68,"yy-mm")&amp;"-"&amp;IF(AND(WEEKDAY(A68)&gt;1,WEEKDAY(A68)&lt;7),"Wkd",TEXT(A68,"Ddd"))&amp;"-"&amp;TEXT(A68,"hh"),LoadTable[],5,FALSE)*0.92</f>
        <v>494.57360000000006</v>
      </c>
      <c r="U68" s="104">
        <f>VLOOKUP(TEXT(A68,"yy-mm")&amp;"-"&amp;IF(AND(WEEKDAY(A68)&gt;1,WEEKDAY(A68)&lt;7),"Wkd",TEXT(A68,"Ddd"))&amp;"-"&amp;TEXT(A68,"hh"),LoadTable[],6,FALSE)*T68</f>
        <v>56025.791981600007</v>
      </c>
      <c r="V68">
        <f t="shared" ref="V68:W68" si="45">V44</f>
        <v>3.6</v>
      </c>
      <c r="W68">
        <f t="shared" si="45"/>
        <v>3</v>
      </c>
      <c r="X68" s="9">
        <v>2.9951669999999999</v>
      </c>
    </row>
    <row r="69" spans="1:24">
      <c r="A69" s="29">
        <f t="shared" ref="A69:A132" si="46">A68+TIME(1,0,0)</f>
        <v>45838.74999999984</v>
      </c>
      <c r="B69" s="30">
        <f t="shared" si="1"/>
        <v>5000</v>
      </c>
      <c r="C69" s="8">
        <v>25000</v>
      </c>
      <c r="D69" s="8">
        <v>0</v>
      </c>
      <c r="E69" s="8">
        <v>0</v>
      </c>
      <c r="F69" s="8"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8.4</v>
      </c>
      <c r="N69" s="9">
        <f>VLOOKUP(DATE(YEAR(A69),MONTH(A69),DAY(A69)),FY24_Temp[],3,FALSE)</f>
        <v>12.8</v>
      </c>
      <c r="O69" s="9">
        <v>13</v>
      </c>
      <c r="P69" s="9">
        <v>19.5</v>
      </c>
      <c r="Q69" s="79">
        <f>VLOOKUP(VLOOKUP(DATEVALUE(TEXT(A69,"m/d/yyyy")),FY24_Temp[],5,FALSE)&amp;TEXT(A69,"-h"),Table6[],4,FALSE)</f>
        <v>0.5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VLOOKUP(TEXT(A69,"yy-mm")&amp;"-"&amp;IF(AND(WEEKDAY(A69)&gt;1,WEEKDAY(A69)&lt;7),"Wkd",TEXT(A69,"Ddd"))&amp;"-"&amp;TEXT(A69,"hh"),LoadTable[],5,FALSE)*0.92</f>
        <v>494.57360000000006</v>
      </c>
      <c r="U69" s="104">
        <f>VLOOKUP(TEXT(A69,"yy-mm")&amp;"-"&amp;IF(AND(WEEKDAY(A69)&gt;1,WEEKDAY(A69)&lt;7),"Wkd",TEXT(A69,"Ddd"))&amp;"-"&amp;TEXT(A69,"hh"),LoadTable[],6,FALSE)*T69</f>
        <v>60164.383866400007</v>
      </c>
      <c r="V69">
        <f t="shared" ref="V69:W69" si="47">V45</f>
        <v>2.9</v>
      </c>
      <c r="W69">
        <f t="shared" si="47"/>
        <v>3</v>
      </c>
      <c r="X69" s="9">
        <v>2.9305412999999998</v>
      </c>
    </row>
    <row r="70" spans="1:24">
      <c r="A70" s="29">
        <f t="shared" si="46"/>
        <v>45838.791666666504</v>
      </c>
      <c r="B70" s="30">
        <f t="shared" si="1"/>
        <v>5000</v>
      </c>
      <c r="C70" s="8">
        <v>25000</v>
      </c>
      <c r="D70" s="8">
        <v>0</v>
      </c>
      <c r="E70" s="8">
        <v>0</v>
      </c>
      <c r="F70" s="8"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8.4</v>
      </c>
      <c r="N70" s="9">
        <f>VLOOKUP(DATE(YEAR(A70),MONTH(A70),DAY(A70)),FY24_Temp[],3,FALSE)</f>
        <v>12.8</v>
      </c>
      <c r="O70" s="9">
        <v>13</v>
      </c>
      <c r="P70" s="9">
        <v>19.5</v>
      </c>
      <c r="Q70" s="79">
        <f>VLOOKUP(VLOOKUP(DATEVALUE(TEXT(A70,"m/d/yyyy")),FY24_Temp[],5,FALSE)&amp;TEXT(A70,"-h"),Table6[],4,FALSE)</f>
        <v>0.5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VLOOKUP(TEXT(A70,"yy-mm")&amp;"-"&amp;IF(AND(WEEKDAY(A70)&gt;1,WEEKDAY(A70)&lt;7),"Wkd",TEXT(A70,"Ddd"))&amp;"-"&amp;TEXT(A70,"hh"),LoadTable[],5,FALSE)*0.92</f>
        <v>494.57360000000006</v>
      </c>
      <c r="U70" s="104">
        <f>VLOOKUP(TEXT(A70,"yy-mm")&amp;"-"&amp;IF(AND(WEEKDAY(A70)&gt;1,WEEKDAY(A70)&lt;7),"Wkd",TEXT(A70,"Ddd"))&amp;"-"&amp;TEXT(A70,"hh"),LoadTable[],6,FALSE)*T70</f>
        <v>60548.172980000003</v>
      </c>
      <c r="V70">
        <f t="shared" ref="V70:W70" si="48">V46</f>
        <v>3</v>
      </c>
      <c r="W70">
        <f t="shared" si="48"/>
        <v>3</v>
      </c>
      <c r="X70" s="9">
        <v>2.9572932999999999</v>
      </c>
    </row>
    <row r="71" spans="1:24">
      <c r="A71" s="29">
        <f t="shared" si="46"/>
        <v>45838.833333333168</v>
      </c>
      <c r="B71" s="30">
        <f t="shared" si="1"/>
        <v>5000</v>
      </c>
      <c r="C71" s="8">
        <v>25000</v>
      </c>
      <c r="D71" s="8">
        <v>0</v>
      </c>
      <c r="E71" s="8">
        <v>0</v>
      </c>
      <c r="F71" s="8"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8.4</v>
      </c>
      <c r="N71" s="9">
        <f>VLOOKUP(DATE(YEAR(A71),MONTH(A71),DAY(A71)),FY24_Temp[],3,FALSE)</f>
        <v>12.8</v>
      </c>
      <c r="O71" s="9">
        <v>13</v>
      </c>
      <c r="P71" s="9">
        <v>19.5</v>
      </c>
      <c r="Q71" s="79">
        <f>VLOOKUP(VLOOKUP(DATEVALUE(TEXT(A71,"m/d/yyyy")),FY24_Temp[],5,FALSE)&amp;TEXT(A71,"-h"),Table6[],4,FALSE)</f>
        <v>0.5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VLOOKUP(TEXT(A71,"yy-mm")&amp;"-"&amp;IF(AND(WEEKDAY(A71)&gt;1,WEEKDAY(A71)&lt;7),"Wkd",TEXT(A71,"Ddd"))&amp;"-"&amp;TEXT(A71,"hh"),LoadTable[],5,FALSE)*0.92</f>
        <v>494.57360000000006</v>
      </c>
      <c r="U71" s="104">
        <f>VLOOKUP(TEXT(A71,"yy-mm")&amp;"-"&amp;IF(AND(WEEKDAY(A71)&gt;1,WEEKDAY(A71)&lt;7),"Wkd",TEXT(A71,"Ddd"))&amp;"-"&amp;TEXT(A71,"hh"),LoadTable[],6,FALSE)*T71</f>
        <v>60532.346624800004</v>
      </c>
      <c r="V71">
        <f t="shared" ref="V71:W71" si="49">V47</f>
        <v>2.8</v>
      </c>
      <c r="W71">
        <f t="shared" si="49"/>
        <v>3.1</v>
      </c>
      <c r="X71" s="9">
        <v>2.9727991</v>
      </c>
    </row>
    <row r="72" spans="1:24">
      <c r="A72" s="29">
        <f t="shared" si="46"/>
        <v>45838.874999999833</v>
      </c>
      <c r="B72" s="30">
        <f t="shared" si="1"/>
        <v>5000</v>
      </c>
      <c r="C72" s="8">
        <v>25000</v>
      </c>
      <c r="D72" s="8">
        <v>0</v>
      </c>
      <c r="E72" s="8">
        <v>0</v>
      </c>
      <c r="F72" s="8"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8.4</v>
      </c>
      <c r="N72" s="9">
        <f>VLOOKUP(DATE(YEAR(A72),MONTH(A72),DAY(A72)),FY24_Temp[],3,FALSE)</f>
        <v>12.8</v>
      </c>
      <c r="O72" s="9">
        <v>13</v>
      </c>
      <c r="P72" s="9">
        <v>19.5</v>
      </c>
      <c r="Q72" s="79">
        <f>VLOOKUP(VLOOKUP(DATEVALUE(TEXT(A72,"m/d/yyyy")),FY24_Temp[],5,FALSE)&amp;TEXT(A72,"-h"),Table6[],4,FALSE)</f>
        <v>0.5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VLOOKUP(TEXT(A72,"yy-mm")&amp;"-"&amp;IF(AND(WEEKDAY(A72)&gt;1,WEEKDAY(A72)&lt;7),"Wkd",TEXT(A72,"Ddd"))&amp;"-"&amp;TEXT(A72,"hh"),LoadTable[],5,FALSE)*0.92</f>
        <v>494.57360000000006</v>
      </c>
      <c r="U72" s="104">
        <f>VLOOKUP(TEXT(A72,"yy-mm")&amp;"-"&amp;IF(AND(WEEKDAY(A72)&gt;1,WEEKDAY(A72)&lt;7),"Wkd",TEXT(A72,"Ddd"))&amp;"-"&amp;TEXT(A72,"hh"),LoadTable[],6,FALSE)*T72</f>
        <v>58481.349905600007</v>
      </c>
      <c r="V72">
        <f t="shared" ref="V72:W72" si="50">V48</f>
        <v>3.5</v>
      </c>
      <c r="W72">
        <f t="shared" si="50"/>
        <v>3.1</v>
      </c>
      <c r="X72" s="9">
        <v>2.9689014</v>
      </c>
    </row>
    <row r="73" spans="1:24">
      <c r="A73" s="29">
        <f t="shared" si="46"/>
        <v>45838.916666666497</v>
      </c>
      <c r="B73" s="30">
        <f t="shared" si="1"/>
        <v>5000</v>
      </c>
      <c r="C73" s="8">
        <v>25000</v>
      </c>
      <c r="D73" s="8">
        <v>0</v>
      </c>
      <c r="E73" s="8">
        <v>0</v>
      </c>
      <c r="F73" s="8">
        <v>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8.4</v>
      </c>
      <c r="N73" s="9">
        <f>VLOOKUP(DATE(YEAR(A73),MONTH(A73),DAY(A73)),FY24_Temp[],3,FALSE)</f>
        <v>12.8</v>
      </c>
      <c r="O73" s="9">
        <v>13</v>
      </c>
      <c r="P73" s="9">
        <v>19.5</v>
      </c>
      <c r="Q73" s="79">
        <f>VLOOKUP(VLOOKUP(DATEVALUE(TEXT(A73,"m/d/yyyy")),FY24_Temp[],5,FALSE)&amp;TEXT(A73,"-h"),Table6[],4,FALSE)</f>
        <v>0.5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VLOOKUP(TEXT(A73,"yy-mm")&amp;"-"&amp;IF(AND(WEEKDAY(A73)&gt;1,WEEKDAY(A73)&lt;7),"Wkd",TEXT(A73,"Ddd"))&amp;"-"&amp;TEXT(A73,"hh"),LoadTable[],5,FALSE)*0.92</f>
        <v>418.75640000000004</v>
      </c>
      <c r="U73" s="104">
        <f>VLOOKUP(TEXT(A73,"yy-mm")&amp;"-"&amp;IF(AND(WEEKDAY(A73)&gt;1,WEEKDAY(A73)&lt;7),"Wkd",TEXT(A73,"Ddd"))&amp;"-"&amp;TEXT(A73,"hh"),LoadTable[],6,FALSE)*T73</f>
        <v>27547.889774000003</v>
      </c>
      <c r="V73">
        <f t="shared" ref="V73:W73" si="51">V49</f>
        <v>2.9</v>
      </c>
      <c r="W73">
        <f t="shared" si="51"/>
        <v>3.1</v>
      </c>
      <c r="X73" s="9">
        <v>2.9532452</v>
      </c>
    </row>
    <row r="74" spans="1:24">
      <c r="A74" s="29">
        <f t="shared" si="46"/>
        <v>45838.958333333161</v>
      </c>
      <c r="B74" s="30">
        <f t="shared" si="1"/>
        <v>5000</v>
      </c>
      <c r="C74" s="8">
        <v>25000</v>
      </c>
      <c r="D74" s="8">
        <v>0</v>
      </c>
      <c r="E74" s="8">
        <v>0</v>
      </c>
      <c r="F74" s="8">
        <v>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8.4</v>
      </c>
      <c r="N74" s="9">
        <f>VLOOKUP(DATE(YEAR(A74),MONTH(A74),DAY(A74)),FY24_Temp[],3,FALSE)</f>
        <v>12.8</v>
      </c>
      <c r="O74" s="9">
        <v>13</v>
      </c>
      <c r="P74" s="9">
        <v>19.5</v>
      </c>
      <c r="Q74" s="79">
        <f>VLOOKUP(VLOOKUP(DATEVALUE(TEXT(A74,"m/d/yyyy")),FY24_Temp[],5,FALSE)&amp;TEXT(A74,"-h"),Table6[],4,FALSE)</f>
        <v>0.5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VLOOKUP(TEXT(A74,"yy-mm")&amp;"-"&amp;IF(AND(WEEKDAY(A74)&gt;1,WEEKDAY(A74)&lt;7),"Wkd",TEXT(A74,"Ddd"))&amp;"-"&amp;TEXT(A74,"hh"),LoadTable[],5,FALSE)*0.92</f>
        <v>342.93920000000003</v>
      </c>
      <c r="U74" s="104">
        <f>VLOOKUP(TEXT(A74,"yy-mm")&amp;"-"&amp;IF(AND(WEEKDAY(A74)&gt;1,WEEKDAY(A74)&lt;7),"Wkd",TEXT(A74,"Ddd"))&amp;"-"&amp;TEXT(A74,"hh"),LoadTable[],6,FALSE)*T74</f>
        <v>19873.669579200003</v>
      </c>
      <c r="V74">
        <f t="shared" ref="V74:W74" si="52">V50</f>
        <v>3.6</v>
      </c>
      <c r="W74">
        <f t="shared" si="52"/>
        <v>3.1</v>
      </c>
      <c r="X74" s="9">
        <v>2.8432143000000001</v>
      </c>
    </row>
    <row r="75" spans="1:24">
      <c r="A75" s="29">
        <f t="shared" si="46"/>
        <v>45838.999999999825</v>
      </c>
      <c r="B75" s="30">
        <f t="shared" si="1"/>
        <v>5000</v>
      </c>
      <c r="C75" s="8">
        <v>25000</v>
      </c>
      <c r="D75" s="8">
        <v>0</v>
      </c>
      <c r="E75" s="8">
        <v>0</v>
      </c>
      <c r="F75" s="8">
        <v>0</v>
      </c>
      <c r="G75" s="30">
        <f t="shared" si="2"/>
        <v>2400</v>
      </c>
      <c r="H75" s="8">
        <v>25000</v>
      </c>
      <c r="I75" s="30">
        <f t="shared" si="3"/>
        <v>5000</v>
      </c>
      <c r="J75" s="8">
        <v>25000</v>
      </c>
      <c r="K75" s="30">
        <f t="shared" si="4"/>
        <v>5000</v>
      </c>
      <c r="L75" s="8">
        <v>25000</v>
      </c>
      <c r="M75" s="9">
        <f>VLOOKUP(DATE(YEAR(A75),MONTH(A75),DAY(A75)),FY24_Temp[],4,FALSE)</f>
        <v>8.4</v>
      </c>
      <c r="N75" s="9">
        <f>VLOOKUP(DATE(YEAR(A75),MONTH(A75),DAY(A75)),FY24_Temp[],3,FALSE)</f>
        <v>12.8</v>
      </c>
      <c r="O75" s="9">
        <v>13</v>
      </c>
      <c r="P75" s="9">
        <v>19.5</v>
      </c>
      <c r="Q75" s="79">
        <f>VLOOKUP(VLOOKUP(DATEVALUE(TEXT(A75,"m/d/yyyy")),FY24_Temp[],5,FALSE)&amp;TEXT(A75,"-h"),Table6[],4,FALSE)</f>
        <v>0.5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VLOOKUP(TEXT(A75,"yy-mm")&amp;"-"&amp;IF(AND(WEEKDAY(A75)&gt;1,WEEKDAY(A75)&lt;7),"Wkd",TEXT(A75,"Ddd"))&amp;"-"&amp;TEXT(A75,"hh"),LoadTable[],5,FALSE)*0.92</f>
        <v>279.25312000000002</v>
      </c>
      <c r="U75" s="104">
        <f>VLOOKUP(TEXT(A75,"yy-mm")&amp;"-"&amp;IF(AND(WEEKDAY(A75)&gt;1,WEEKDAY(A75)&lt;7),"Wkd",TEXT(A75,"Ddd"))&amp;"-"&amp;TEXT(A75,"hh"),LoadTable[],6,FALSE)*T75</f>
        <v>14895.640673920001</v>
      </c>
      <c r="V75">
        <f t="shared" ref="V75:W75" si="53">V51</f>
        <v>3</v>
      </c>
      <c r="W75">
        <f t="shared" si="53"/>
        <v>3.2</v>
      </c>
      <c r="X75" s="9">
        <v>2.8213556</v>
      </c>
    </row>
    <row r="76" spans="1:24">
      <c r="A76" s="29">
        <f t="shared" si="46"/>
        <v>45839.04166666649</v>
      </c>
      <c r="B76" s="30">
        <f t="shared" si="1"/>
        <v>5000</v>
      </c>
      <c r="C76" s="8">
        <v>25000</v>
      </c>
      <c r="D76" s="8">
        <v>0</v>
      </c>
      <c r="E76" s="8">
        <v>0</v>
      </c>
      <c r="F76" s="8">
        <v>0</v>
      </c>
      <c r="G76" s="30">
        <f t="shared" si="2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4"/>
        <v>5000</v>
      </c>
      <c r="L76" s="8">
        <v>25000</v>
      </c>
      <c r="M76" s="9">
        <f>VLOOKUP(DATE(YEAR(A76),MONTH(A76),DAY(A76)),FY24_Temp[],4,FALSE)</f>
        <v>8.4</v>
      </c>
      <c r="N76" s="9">
        <f>VLOOKUP(DATE(YEAR(A76),MONTH(A76),DAY(A76)),FY24_Temp[],3,FALSE)</f>
        <v>12.8</v>
      </c>
      <c r="O76" s="9">
        <v>13</v>
      </c>
      <c r="P76" s="9">
        <v>19.5</v>
      </c>
      <c r="Q76" s="79">
        <f>VLOOKUP(VLOOKUP(DATEVALUE(TEXT(A76,"m/d/yyyy")),FY24_Temp[],5,FALSE)&amp;TEXT(A76,"-h"),Table6[],4,FALSE)</f>
        <v>0.5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VLOOKUP(TEXT(A76,"yy-mm")&amp;"-"&amp;IF(AND(WEEKDAY(A76)&gt;1,WEEKDAY(A76)&lt;7),"Wkd",TEXT(A76,"Ddd"))&amp;"-"&amp;TEXT(A76,"hh"),LoadTable[],5,FALSE)*0.92</f>
        <v>279.25312000000002</v>
      </c>
      <c r="U76" s="104">
        <f>VLOOKUP(TEXT(A76,"yy-mm")&amp;"-"&amp;IF(AND(WEEKDAY(A76)&gt;1,WEEKDAY(A76)&lt;7),"Wkd",TEXT(A76,"Ddd"))&amp;"-"&amp;TEXT(A76,"hh"),LoadTable[],6,FALSE)*T76</f>
        <v>14470.896678400002</v>
      </c>
      <c r="V76">
        <f t="shared" ref="V76:W76" si="54">V52</f>
        <v>2.6</v>
      </c>
      <c r="W76">
        <f t="shared" si="54"/>
        <v>3.2</v>
      </c>
      <c r="X76" s="9">
        <v>2.8904147</v>
      </c>
    </row>
    <row r="77" spans="1:24">
      <c r="A77" s="29">
        <f t="shared" si="46"/>
        <v>45839.083333333154</v>
      </c>
      <c r="B77" s="30">
        <f t="shared" si="1"/>
        <v>5000</v>
      </c>
      <c r="C77" s="8">
        <v>25000</v>
      </c>
      <c r="D77" s="8">
        <v>0</v>
      </c>
      <c r="E77" s="8">
        <v>0</v>
      </c>
      <c r="F77" s="8">
        <v>0</v>
      </c>
      <c r="G77" s="30">
        <f t="shared" si="2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4"/>
        <v>5000</v>
      </c>
      <c r="L77" s="8">
        <v>25000</v>
      </c>
      <c r="M77" s="9">
        <f>VLOOKUP(DATE(YEAR(A77),MONTH(A77),DAY(A77)),FY24_Temp[],4,FALSE)</f>
        <v>8.4</v>
      </c>
      <c r="N77" s="9">
        <f>VLOOKUP(DATE(YEAR(A77),MONTH(A77),DAY(A77)),FY24_Temp[],3,FALSE)</f>
        <v>12.8</v>
      </c>
      <c r="O77" s="9">
        <v>13</v>
      </c>
      <c r="P77" s="9">
        <v>19.5</v>
      </c>
      <c r="Q77" s="79">
        <f>VLOOKUP(VLOOKUP(DATEVALUE(TEXT(A77,"m/d/yyyy")),FY24_Temp[],5,FALSE)&amp;TEXT(A77,"-h"),Table6[],4,FALSE)</f>
        <v>0.5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VLOOKUP(TEXT(A77,"yy-mm")&amp;"-"&amp;IF(AND(WEEKDAY(A77)&gt;1,WEEKDAY(A77)&lt;7),"Wkd",TEXT(A77,"Ddd"))&amp;"-"&amp;TEXT(A77,"hh"),LoadTable[],5,FALSE)*0.92</f>
        <v>279.25312000000002</v>
      </c>
      <c r="U77" s="104">
        <f>VLOOKUP(TEXT(A77,"yy-mm")&amp;"-"&amp;IF(AND(WEEKDAY(A77)&gt;1,WEEKDAY(A77)&lt;7),"Wkd",TEXT(A77,"Ddd"))&amp;"-"&amp;TEXT(A77,"hh"),LoadTable[],6,FALSE)*T77</f>
        <v>14154.50289344</v>
      </c>
      <c r="V77">
        <f t="shared" ref="V77:W77" si="55">V53</f>
        <v>2.8</v>
      </c>
      <c r="W77">
        <f t="shared" si="55"/>
        <v>3.2</v>
      </c>
      <c r="X77" s="9">
        <v>2.9694748</v>
      </c>
    </row>
    <row r="78" spans="1:24">
      <c r="A78" s="29">
        <f t="shared" si="46"/>
        <v>45839.124999999818</v>
      </c>
      <c r="B78" s="30">
        <f t="shared" si="1"/>
        <v>5000</v>
      </c>
      <c r="C78" s="8">
        <v>25000</v>
      </c>
      <c r="D78" s="8">
        <v>0</v>
      </c>
      <c r="E78" s="8">
        <v>0</v>
      </c>
      <c r="F78" s="8">
        <v>0</v>
      </c>
      <c r="G78" s="30">
        <f t="shared" si="2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4"/>
        <v>5000</v>
      </c>
      <c r="L78" s="8">
        <v>25000</v>
      </c>
      <c r="M78" s="9">
        <f>VLOOKUP(DATE(YEAR(A78),MONTH(A78),DAY(A78)),FY24_Temp[],4,FALSE)</f>
        <v>8.4</v>
      </c>
      <c r="N78" s="9">
        <f>VLOOKUP(DATE(YEAR(A78),MONTH(A78),DAY(A78)),FY24_Temp[],3,FALSE)</f>
        <v>12.8</v>
      </c>
      <c r="O78" s="9">
        <v>13</v>
      </c>
      <c r="P78" s="9">
        <v>19.5</v>
      </c>
      <c r="Q78" s="79">
        <f>VLOOKUP(VLOOKUP(DATEVALUE(TEXT(A78,"m/d/yyyy")),FY24_Temp[],5,FALSE)&amp;TEXT(A78,"-h"),Table6[],4,FALSE)</f>
        <v>0.5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VLOOKUP(TEXT(A78,"yy-mm")&amp;"-"&amp;IF(AND(WEEKDAY(A78)&gt;1,WEEKDAY(A78)&lt;7),"Wkd",TEXT(A78,"Ddd"))&amp;"-"&amp;TEXT(A78,"hh"),LoadTable[],5,FALSE)*0.92</f>
        <v>279.25312000000002</v>
      </c>
      <c r="U78" s="104">
        <f>VLOOKUP(TEXT(A78,"yy-mm")&amp;"-"&amp;IF(AND(WEEKDAY(A78)&gt;1,WEEKDAY(A78)&lt;7),"Wkd",TEXT(A78,"Ddd"))&amp;"-"&amp;TEXT(A78,"hh"),LoadTable[],6,FALSE)*T78</f>
        <v>14206.443973760001</v>
      </c>
      <c r="V78">
        <f t="shared" ref="V78:W78" si="56">V54</f>
        <v>2.7</v>
      </c>
      <c r="W78">
        <f t="shared" si="56"/>
        <v>3.2</v>
      </c>
      <c r="X78" s="9">
        <v>3.0386495999999998</v>
      </c>
    </row>
    <row r="79" spans="1:24">
      <c r="A79" s="29">
        <f t="shared" si="46"/>
        <v>45839.166666666482</v>
      </c>
      <c r="B79" s="30">
        <f t="shared" si="1"/>
        <v>5000</v>
      </c>
      <c r="C79" s="8">
        <v>25000</v>
      </c>
      <c r="D79" s="8">
        <v>0</v>
      </c>
      <c r="E79" s="8">
        <v>0</v>
      </c>
      <c r="F79" s="8">
        <v>0</v>
      </c>
      <c r="G79" s="30">
        <f t="shared" si="2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4"/>
        <v>5000</v>
      </c>
      <c r="L79" s="8">
        <v>25000</v>
      </c>
      <c r="M79" s="9">
        <f>VLOOKUP(DATE(YEAR(A79),MONTH(A79),DAY(A79)),FY24_Temp[],4,FALSE)</f>
        <v>8.4</v>
      </c>
      <c r="N79" s="9">
        <f>VLOOKUP(DATE(YEAR(A79),MONTH(A79),DAY(A79)),FY24_Temp[],3,FALSE)</f>
        <v>12.8</v>
      </c>
      <c r="O79" s="9">
        <v>13</v>
      </c>
      <c r="P79" s="9">
        <v>19.5</v>
      </c>
      <c r="Q79" s="79">
        <f>VLOOKUP(VLOOKUP(DATEVALUE(TEXT(A79,"m/d/yyyy")),FY24_Temp[],5,FALSE)&amp;TEXT(A79,"-h"),Table6[],4,FALSE)</f>
        <v>0.5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VLOOKUP(TEXT(A79,"yy-mm")&amp;"-"&amp;IF(AND(WEEKDAY(A79)&gt;1,WEEKDAY(A79)&lt;7),"Wkd",TEXT(A79,"Ddd"))&amp;"-"&amp;TEXT(A79,"hh"),LoadTable[],5,FALSE)*0.92</f>
        <v>279.25312000000002</v>
      </c>
      <c r="U79" s="104">
        <f>VLOOKUP(TEXT(A79,"yy-mm")&amp;"-"&amp;IF(AND(WEEKDAY(A79)&gt;1,WEEKDAY(A79)&lt;7),"Wkd",TEXT(A79,"Ddd"))&amp;"-"&amp;TEXT(A79,"hh"),LoadTable[],6,FALSE)*T79</f>
        <v>14229.063476480002</v>
      </c>
      <c r="V79">
        <f t="shared" ref="V79:W79" si="57">V55</f>
        <v>3</v>
      </c>
      <c r="W79">
        <f t="shared" si="57"/>
        <v>3.1</v>
      </c>
      <c r="X79" s="9">
        <v>3.0793051999999999</v>
      </c>
    </row>
    <row r="80" spans="1:24">
      <c r="A80" s="29">
        <f t="shared" si="46"/>
        <v>45839.208333333147</v>
      </c>
      <c r="B80" s="30">
        <f t="shared" si="1"/>
        <v>5000</v>
      </c>
      <c r="C80" s="8">
        <v>25000</v>
      </c>
      <c r="D80" s="8">
        <v>0</v>
      </c>
      <c r="E80" s="8">
        <v>0</v>
      </c>
      <c r="F80" s="8">
        <v>0</v>
      </c>
      <c r="G80" s="30">
        <f t="shared" si="2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4"/>
        <v>5000</v>
      </c>
      <c r="L80" s="8">
        <v>25000</v>
      </c>
      <c r="M80" s="9">
        <f>VLOOKUP(DATE(YEAR(A80),MONTH(A80),DAY(A80)),FY24_Temp[],4,FALSE)</f>
        <v>8.4</v>
      </c>
      <c r="N80" s="9">
        <f>VLOOKUP(DATE(YEAR(A80),MONTH(A80),DAY(A80)),FY24_Temp[],3,FALSE)</f>
        <v>12.8</v>
      </c>
      <c r="O80" s="9">
        <v>13</v>
      </c>
      <c r="P80" s="9">
        <v>19.5</v>
      </c>
      <c r="Q80" s="79">
        <f>VLOOKUP(VLOOKUP(DATEVALUE(TEXT(A80,"m/d/yyyy")),FY24_Temp[],5,FALSE)&amp;TEXT(A80,"-h"),Table6[],4,FALSE)</f>
        <v>0.5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VLOOKUP(TEXT(A80,"yy-mm")&amp;"-"&amp;IF(AND(WEEKDAY(A80)&gt;1,WEEKDAY(A80)&lt;7),"Wkd",TEXT(A80,"Ddd"))&amp;"-"&amp;TEXT(A80,"hh"),LoadTable[],5,FALSE)*0.92</f>
        <v>279.25312000000002</v>
      </c>
      <c r="U80" s="104">
        <f>VLOOKUP(TEXT(A80,"yy-mm")&amp;"-"&amp;IF(AND(WEEKDAY(A80)&gt;1,WEEKDAY(A80)&lt;7),"Wkd",TEXT(A80,"Ddd"))&amp;"-"&amp;TEXT(A80,"hh"),LoadTable[],6,FALSE)*T80</f>
        <v>14735.070129920001</v>
      </c>
      <c r="V80">
        <f t="shared" ref="V80:W80" si="58">V56</f>
        <v>2.9</v>
      </c>
      <c r="W80">
        <f t="shared" si="58"/>
        <v>3.1</v>
      </c>
      <c r="X80" s="9">
        <v>3.1517681999999998</v>
      </c>
    </row>
    <row r="81" spans="1:24">
      <c r="A81" s="29">
        <f t="shared" si="46"/>
        <v>45839.249999999811</v>
      </c>
      <c r="B81" s="30">
        <f t="shared" si="1"/>
        <v>8000</v>
      </c>
      <c r="C81" s="8">
        <v>25000</v>
      </c>
      <c r="D81" s="8">
        <v>0</v>
      </c>
      <c r="E81" s="8">
        <v>0</v>
      </c>
      <c r="F81" s="8">
        <v>0</v>
      </c>
      <c r="G81" s="30">
        <f t="shared" si="2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4"/>
        <v>8000</v>
      </c>
      <c r="L81" s="8">
        <v>25000</v>
      </c>
      <c r="M81" s="9">
        <f>VLOOKUP(DATE(YEAR(A81),MONTH(A81),DAY(A81)),FY24_Temp[],4,FALSE)</f>
        <v>8.4</v>
      </c>
      <c r="N81" s="9">
        <f>VLOOKUP(DATE(YEAR(A81),MONTH(A81),DAY(A81)),FY24_Temp[],3,FALSE)</f>
        <v>12.8</v>
      </c>
      <c r="O81" s="9">
        <v>13</v>
      </c>
      <c r="P81" s="9">
        <v>19.5</v>
      </c>
      <c r="Q81" s="79">
        <f>VLOOKUP(VLOOKUP(DATEVALUE(TEXT(A81,"m/d/yyyy")),FY24_Temp[],5,FALSE)&amp;TEXT(A81,"-h"),Table6[],4,FALSE)</f>
        <v>0.5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VLOOKUP(TEXT(A81,"yy-mm")&amp;"-"&amp;IF(AND(WEEKDAY(A81)&gt;1,WEEKDAY(A81)&lt;7),"Wkd",TEXT(A81,"Ddd"))&amp;"-"&amp;TEXT(A81,"hh"),LoadTable[],5,FALSE)*0.92</f>
        <v>279.25312000000002</v>
      </c>
      <c r="U81" s="104">
        <f>VLOOKUP(TEXT(A81,"yy-mm")&amp;"-"&amp;IF(AND(WEEKDAY(A81)&gt;1,WEEKDAY(A81)&lt;7),"Wkd",TEXT(A81,"Ddd"))&amp;"-"&amp;TEXT(A81,"hh"),LoadTable[],6,FALSE)*T81</f>
        <v>26238.902408320002</v>
      </c>
      <c r="V81">
        <f t="shared" ref="V81:W81" si="59">V57</f>
        <v>2.5</v>
      </c>
      <c r="W81">
        <f t="shared" si="59"/>
        <v>3.1</v>
      </c>
      <c r="X81" s="9">
        <v>3.2295308</v>
      </c>
    </row>
    <row r="82" spans="1:24">
      <c r="A82" s="29">
        <f t="shared" si="46"/>
        <v>45839.291666666475</v>
      </c>
      <c r="B82" s="30">
        <f t="shared" si="1"/>
        <v>8000</v>
      </c>
      <c r="C82" s="8">
        <v>25000</v>
      </c>
      <c r="D82" s="8">
        <v>0</v>
      </c>
      <c r="E82" s="8">
        <v>0</v>
      </c>
      <c r="F82" s="8">
        <v>0</v>
      </c>
      <c r="G82" s="30">
        <f t="shared" si="2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4"/>
        <v>8000</v>
      </c>
      <c r="L82" s="8">
        <v>25000</v>
      </c>
      <c r="M82" s="9">
        <f>VLOOKUP(DATE(YEAR(A82),MONTH(A82),DAY(A82)),FY24_Temp[],4,FALSE)</f>
        <v>8.4</v>
      </c>
      <c r="N82" s="9">
        <f>VLOOKUP(DATE(YEAR(A82),MONTH(A82),DAY(A82)),FY24_Temp[],3,FALSE)</f>
        <v>12.8</v>
      </c>
      <c r="O82" s="9">
        <v>13</v>
      </c>
      <c r="P82" s="9">
        <v>19.5</v>
      </c>
      <c r="Q82" s="79">
        <f>VLOOKUP(VLOOKUP(DATEVALUE(TEXT(A82,"m/d/yyyy")),FY24_Temp[],5,FALSE)&amp;TEXT(A82,"-h"),Table6[],4,FALSE)</f>
        <v>0.5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VLOOKUP(TEXT(A82,"yy-mm")&amp;"-"&amp;IF(AND(WEEKDAY(A82)&gt;1,WEEKDAY(A82)&lt;7),"Wkd",TEXT(A82,"Ddd"))&amp;"-"&amp;TEXT(A82,"hh"),LoadTable[],5,FALSE)*0.92</f>
        <v>279.25312000000002</v>
      </c>
      <c r="U82" s="104">
        <f>VLOOKUP(TEXT(A82,"yy-mm")&amp;"-"&amp;IF(AND(WEEKDAY(A82)&gt;1,WEEKDAY(A82)&lt;7),"Wkd",TEXT(A82,"Ddd"))&amp;"-"&amp;TEXT(A82,"hh"),LoadTable[],6,FALSE)*T82</f>
        <v>22145.051669120003</v>
      </c>
      <c r="V82">
        <f t="shared" ref="V82:W82" si="60">V58</f>
        <v>2.5</v>
      </c>
      <c r="W82">
        <f t="shared" si="60"/>
        <v>3.1</v>
      </c>
      <c r="X82" s="9">
        <v>3.2418556000000001</v>
      </c>
    </row>
    <row r="83" spans="1:24">
      <c r="A83" s="29">
        <f t="shared" si="46"/>
        <v>45839.333333333139</v>
      </c>
      <c r="B83" s="30">
        <f t="shared" si="1"/>
        <v>8000</v>
      </c>
      <c r="C83" s="8">
        <v>25000</v>
      </c>
      <c r="D83" s="8">
        <v>0</v>
      </c>
      <c r="E83" s="8">
        <v>0</v>
      </c>
      <c r="F83" s="8">
        <v>0</v>
      </c>
      <c r="G83" s="30">
        <f t="shared" si="2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4"/>
        <v>8000</v>
      </c>
      <c r="L83" s="8">
        <v>25000</v>
      </c>
      <c r="M83" s="9">
        <f>VLOOKUP(DATE(YEAR(A83),MONTH(A83),DAY(A83)),FY24_Temp[],4,FALSE)</f>
        <v>8.4</v>
      </c>
      <c r="N83" s="9">
        <f>VLOOKUP(DATE(YEAR(A83),MONTH(A83),DAY(A83)),FY24_Temp[],3,FALSE)</f>
        <v>12.8</v>
      </c>
      <c r="O83" s="9">
        <v>13</v>
      </c>
      <c r="P83" s="9">
        <v>19.5</v>
      </c>
      <c r="Q83" s="79">
        <f>VLOOKUP(VLOOKUP(DATEVALUE(TEXT(A83,"m/d/yyyy")),FY24_Temp[],5,FALSE)&amp;TEXT(A83,"-h"),Table6[],4,FALSE)</f>
        <v>0.5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VLOOKUP(TEXT(A83,"yy-mm")&amp;"-"&amp;IF(AND(WEEKDAY(A83)&gt;1,WEEKDAY(A83)&lt;7),"Wkd",TEXT(A83,"Ddd"))&amp;"-"&amp;TEXT(A83,"hh"),LoadTable[],5,FALSE)*0.92</f>
        <v>279.25312000000002</v>
      </c>
      <c r="U83" s="104">
        <f>VLOOKUP(TEXT(A83,"yy-mm")&amp;"-"&amp;IF(AND(WEEKDAY(A83)&gt;1,WEEKDAY(A83)&lt;7),"Wkd",TEXT(A83,"Ddd"))&amp;"-"&amp;TEXT(A83,"hh"),LoadTable[],6,FALSE)*T83</f>
        <v>17686.77560832</v>
      </c>
      <c r="V83">
        <f t="shared" ref="V83:W83" si="61">V59</f>
        <v>3.2</v>
      </c>
      <c r="W83">
        <f t="shared" si="61"/>
        <v>3</v>
      </c>
      <c r="X83" s="9">
        <v>3.2957519999999998</v>
      </c>
    </row>
    <row r="84" spans="1:24">
      <c r="A84" s="29">
        <f t="shared" si="46"/>
        <v>45839.374999999804</v>
      </c>
      <c r="B84" s="30">
        <f t="shared" si="1"/>
        <v>8000</v>
      </c>
      <c r="C84" s="8">
        <v>25000</v>
      </c>
      <c r="D84" s="8">
        <v>0</v>
      </c>
      <c r="E84" s="8">
        <v>0</v>
      </c>
      <c r="F84" s="8">
        <v>0</v>
      </c>
      <c r="G84" s="30">
        <f t="shared" si="2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4"/>
        <v>8000</v>
      </c>
      <c r="L84" s="8">
        <v>25000</v>
      </c>
      <c r="M84" s="9">
        <f>VLOOKUP(DATE(YEAR(A84),MONTH(A84),DAY(A84)),FY24_Temp[],4,FALSE)</f>
        <v>8.4</v>
      </c>
      <c r="N84" s="9">
        <f>VLOOKUP(DATE(YEAR(A84),MONTH(A84),DAY(A84)),FY24_Temp[],3,FALSE)</f>
        <v>12.8</v>
      </c>
      <c r="O84" s="9">
        <v>13</v>
      </c>
      <c r="P84" s="9">
        <v>19.5</v>
      </c>
      <c r="Q84" s="79">
        <f>VLOOKUP(VLOOKUP(DATEVALUE(TEXT(A84,"m/d/yyyy")),FY24_Temp[],5,FALSE)&amp;TEXT(A84,"-h"),Table6[],4,FALSE)</f>
        <v>0.5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VLOOKUP(TEXT(A84,"yy-mm")&amp;"-"&amp;IF(AND(WEEKDAY(A84)&gt;1,WEEKDAY(A84)&lt;7),"Wkd",TEXT(A84,"Ddd"))&amp;"-"&amp;TEXT(A84,"hh"),LoadTable[],5,FALSE)*0.92</f>
        <v>279.25312000000002</v>
      </c>
      <c r="U84" s="104">
        <f>VLOOKUP(TEXT(A84,"yy-mm")&amp;"-"&amp;IF(AND(WEEKDAY(A84)&gt;1,WEEKDAY(A84)&lt;7),"Wkd",TEXT(A84,"Ddd"))&amp;"-"&amp;TEXT(A84,"hh"),LoadTable[],6,FALSE)*T84</f>
        <v>14265.924888320002</v>
      </c>
      <c r="V84">
        <f t="shared" ref="V84:W84" si="62">V60</f>
        <v>2.9</v>
      </c>
      <c r="W84">
        <f t="shared" si="62"/>
        <v>3</v>
      </c>
      <c r="X84" s="9">
        <v>3.3775605999999998</v>
      </c>
    </row>
    <row r="85" spans="1:24">
      <c r="A85" s="29">
        <f t="shared" si="46"/>
        <v>45839.416666666468</v>
      </c>
      <c r="B85" s="30">
        <f t="shared" si="1"/>
        <v>8000</v>
      </c>
      <c r="C85" s="8">
        <v>25000</v>
      </c>
      <c r="D85" s="8">
        <v>0</v>
      </c>
      <c r="E85" s="8">
        <v>0</v>
      </c>
      <c r="F85" s="8">
        <v>0</v>
      </c>
      <c r="G85" s="30">
        <f t="shared" si="2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4"/>
        <v>8000</v>
      </c>
      <c r="L85" s="8">
        <v>25000</v>
      </c>
      <c r="M85" s="9">
        <f>VLOOKUP(DATE(YEAR(A85),MONTH(A85),DAY(A85)),FY24_Temp[],4,FALSE)</f>
        <v>8.4</v>
      </c>
      <c r="N85" s="9">
        <f>VLOOKUP(DATE(YEAR(A85),MONTH(A85),DAY(A85)),FY24_Temp[],3,FALSE)</f>
        <v>12.8</v>
      </c>
      <c r="O85" s="9">
        <v>13</v>
      </c>
      <c r="P85" s="9">
        <v>19.5</v>
      </c>
      <c r="Q85" s="79">
        <f>VLOOKUP(VLOOKUP(DATEVALUE(TEXT(A85,"m/d/yyyy")),FY24_Temp[],5,FALSE)&amp;TEXT(A85,"-h"),Table6[],4,FALSE)</f>
        <v>0.5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VLOOKUP(TEXT(A85,"yy-mm")&amp;"-"&amp;IF(AND(WEEKDAY(A85)&gt;1,WEEKDAY(A85)&lt;7),"Wkd",TEXT(A85,"Ddd"))&amp;"-"&amp;TEXT(A85,"hh"),LoadTable[],5,FALSE)*0.92</f>
        <v>279.25312000000002</v>
      </c>
      <c r="U85" s="104">
        <f>VLOOKUP(TEXT(A85,"yy-mm")&amp;"-"&amp;IF(AND(WEEKDAY(A85)&gt;1,WEEKDAY(A85)&lt;7),"Wkd",TEXT(A85,"Ddd"))&amp;"-"&amp;TEXT(A85,"hh"),LoadTable[],6,FALSE)*T85</f>
        <v>13649.054746240003</v>
      </c>
      <c r="V85">
        <f t="shared" ref="V85:W85" si="63">V61</f>
        <v>2.9</v>
      </c>
      <c r="W85">
        <f t="shared" si="63"/>
        <v>3</v>
      </c>
      <c r="X85" s="9">
        <v>3.3921852000000001</v>
      </c>
    </row>
    <row r="86" spans="1:24">
      <c r="A86" s="29">
        <f t="shared" si="46"/>
        <v>45839.458333333132</v>
      </c>
      <c r="B86" s="30">
        <f t="shared" si="1"/>
        <v>8000</v>
      </c>
      <c r="C86" s="8">
        <v>25000</v>
      </c>
      <c r="D86" s="8">
        <v>0</v>
      </c>
      <c r="E86" s="8">
        <v>0</v>
      </c>
      <c r="F86" s="8">
        <v>0</v>
      </c>
      <c r="G86" s="30">
        <f t="shared" si="2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4"/>
        <v>8000</v>
      </c>
      <c r="L86" s="8">
        <v>25000</v>
      </c>
      <c r="M86" s="9">
        <f>VLOOKUP(DATE(YEAR(A86),MONTH(A86),DAY(A86)),FY24_Temp[],4,FALSE)</f>
        <v>8.4</v>
      </c>
      <c r="N86" s="9">
        <f>VLOOKUP(DATE(YEAR(A86),MONTH(A86),DAY(A86)),FY24_Temp[],3,FALSE)</f>
        <v>12.8</v>
      </c>
      <c r="O86" s="9">
        <v>13</v>
      </c>
      <c r="P86" s="9">
        <v>19.5</v>
      </c>
      <c r="Q86" s="79">
        <f>VLOOKUP(VLOOKUP(DATEVALUE(TEXT(A86,"m/d/yyyy")),FY24_Temp[],5,FALSE)&amp;TEXT(A86,"-h"),Table6[],4,FALSE)</f>
        <v>0.5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VLOOKUP(TEXT(A86,"yy-mm")&amp;"-"&amp;IF(AND(WEEKDAY(A86)&gt;1,WEEKDAY(A86)&lt;7),"Wkd",TEXT(A86,"Ddd"))&amp;"-"&amp;TEXT(A86,"hh"),LoadTable[],5,FALSE)*0.92</f>
        <v>279.25312000000002</v>
      </c>
      <c r="U86" s="104">
        <f>VLOOKUP(TEXT(A86,"yy-mm")&amp;"-"&amp;IF(AND(WEEKDAY(A86)&gt;1,WEEKDAY(A86)&lt;7),"Wkd",TEXT(A86,"Ddd"))&amp;"-"&amp;TEXT(A86,"hh"),LoadTable[],6,FALSE)*T86</f>
        <v>13153.938964480001</v>
      </c>
      <c r="V86">
        <f t="shared" ref="V86:W86" si="64">V62</f>
        <v>3.4</v>
      </c>
      <c r="W86">
        <f t="shared" si="64"/>
        <v>3</v>
      </c>
      <c r="X86" s="9">
        <v>3.2445099000000002</v>
      </c>
    </row>
    <row r="87" spans="1:24">
      <c r="A87" s="29">
        <f t="shared" si="46"/>
        <v>45839.499999999796</v>
      </c>
      <c r="B87" s="30">
        <f t="shared" si="1"/>
        <v>8000</v>
      </c>
      <c r="C87" s="8">
        <v>25000</v>
      </c>
      <c r="D87" s="8">
        <v>0</v>
      </c>
      <c r="E87" s="8">
        <v>0</v>
      </c>
      <c r="F87" s="8">
        <v>0</v>
      </c>
      <c r="G87" s="30">
        <f t="shared" si="2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4"/>
        <v>8000</v>
      </c>
      <c r="L87" s="8">
        <v>25000</v>
      </c>
      <c r="M87" s="9">
        <f>VLOOKUP(DATE(YEAR(A87),MONTH(A87),DAY(A87)),FY24_Temp[],4,FALSE)</f>
        <v>8.4</v>
      </c>
      <c r="N87" s="9">
        <f>VLOOKUP(DATE(YEAR(A87),MONTH(A87),DAY(A87)),FY24_Temp[],3,FALSE)</f>
        <v>12.8</v>
      </c>
      <c r="O87" s="9">
        <v>13</v>
      </c>
      <c r="P87" s="9">
        <v>19.5</v>
      </c>
      <c r="Q87" s="79">
        <f>VLOOKUP(VLOOKUP(DATEVALUE(TEXT(A87,"m/d/yyyy")),FY24_Temp[],5,FALSE)&amp;TEXT(A87,"-h"),Table6[],4,FALSE)</f>
        <v>0.5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VLOOKUP(TEXT(A87,"yy-mm")&amp;"-"&amp;IF(AND(WEEKDAY(A87)&gt;1,WEEKDAY(A87)&lt;7),"Wkd",TEXT(A87,"Ddd"))&amp;"-"&amp;TEXT(A87,"hh"),LoadTable[],5,FALSE)*0.92</f>
        <v>279.25312000000002</v>
      </c>
      <c r="U87" s="104">
        <f>VLOOKUP(TEXT(A87,"yy-mm")&amp;"-"&amp;IF(AND(WEEKDAY(A87)&gt;1,WEEKDAY(A87)&lt;7),"Wkd",TEXT(A87,"Ddd"))&amp;"-"&amp;TEXT(A87,"hh"),LoadTable[],6,FALSE)*T87</f>
        <v>13898.427782400002</v>
      </c>
      <c r="V87">
        <f t="shared" ref="V87:W87" si="65">V63</f>
        <v>3.1</v>
      </c>
      <c r="W87">
        <f t="shared" si="65"/>
        <v>2.9</v>
      </c>
      <c r="X87" s="9">
        <v>3.0543528000000002</v>
      </c>
    </row>
    <row r="88" spans="1:24">
      <c r="A88" s="29">
        <f t="shared" si="46"/>
        <v>45839.541666666461</v>
      </c>
      <c r="B88" s="30">
        <f t="shared" si="1"/>
        <v>8000</v>
      </c>
      <c r="C88" s="8">
        <v>25000</v>
      </c>
      <c r="D88" s="8">
        <v>0</v>
      </c>
      <c r="E88" s="8">
        <v>0</v>
      </c>
      <c r="F88" s="8">
        <v>0</v>
      </c>
      <c r="G88" s="30">
        <f t="shared" si="2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4"/>
        <v>8000</v>
      </c>
      <c r="L88" s="8">
        <v>25000</v>
      </c>
      <c r="M88" s="9">
        <f>VLOOKUP(DATE(YEAR(A88),MONTH(A88),DAY(A88)),FY24_Temp[],4,FALSE)</f>
        <v>8.4</v>
      </c>
      <c r="N88" s="9">
        <f>VLOOKUP(DATE(YEAR(A88),MONTH(A88),DAY(A88)),FY24_Temp[],3,FALSE)</f>
        <v>12.8</v>
      </c>
      <c r="O88" s="9">
        <v>13</v>
      </c>
      <c r="P88" s="9">
        <v>19.5</v>
      </c>
      <c r="Q88" s="79">
        <f>VLOOKUP(VLOOKUP(DATEVALUE(TEXT(A88,"m/d/yyyy")),FY24_Temp[],5,FALSE)&amp;TEXT(A88,"-h"),Table6[],4,FALSE)</f>
        <v>0.5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VLOOKUP(TEXT(A88,"yy-mm")&amp;"-"&amp;IF(AND(WEEKDAY(A88)&gt;1,WEEKDAY(A88)&lt;7),"Wkd",TEXT(A88,"Ddd"))&amp;"-"&amp;TEXT(A88,"hh"),LoadTable[],5,FALSE)*0.92</f>
        <v>279.25312000000002</v>
      </c>
      <c r="U88" s="104">
        <f>VLOOKUP(TEXT(A88,"yy-mm")&amp;"-"&amp;IF(AND(WEEKDAY(A88)&gt;1,WEEKDAY(A88)&lt;7),"Wkd",TEXT(A88,"Ddd"))&amp;"-"&amp;TEXT(A88,"hh"),LoadTable[],6,FALSE)*T88</f>
        <v>16526.1996416</v>
      </c>
      <c r="V88">
        <f t="shared" ref="V88:W88" si="66">V64</f>
        <v>3.2</v>
      </c>
      <c r="W88">
        <f t="shared" si="66"/>
        <v>2.9</v>
      </c>
      <c r="X88" s="9">
        <v>2.8603538999999998</v>
      </c>
    </row>
    <row r="89" spans="1:24">
      <c r="A89" s="29">
        <f t="shared" si="46"/>
        <v>45839.583333333125</v>
      </c>
      <c r="B89" s="30">
        <f t="shared" si="1"/>
        <v>8000</v>
      </c>
      <c r="C89" s="8">
        <v>25000</v>
      </c>
      <c r="D89" s="8">
        <v>0</v>
      </c>
      <c r="E89" s="8">
        <v>0</v>
      </c>
      <c r="F89" s="8">
        <v>0</v>
      </c>
      <c r="G89" s="30">
        <f t="shared" si="2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4"/>
        <v>8000</v>
      </c>
      <c r="L89" s="8">
        <v>25000</v>
      </c>
      <c r="M89" s="9">
        <f>VLOOKUP(DATE(YEAR(A89),MONTH(A89),DAY(A89)),FY24_Temp[],4,FALSE)</f>
        <v>8.4</v>
      </c>
      <c r="N89" s="9">
        <f>VLOOKUP(DATE(YEAR(A89),MONTH(A89),DAY(A89)),FY24_Temp[],3,FALSE)</f>
        <v>12.8</v>
      </c>
      <c r="O89" s="9">
        <v>13</v>
      </c>
      <c r="P89" s="9">
        <v>19.5</v>
      </c>
      <c r="Q89" s="79">
        <f>VLOOKUP(VLOOKUP(DATEVALUE(TEXT(A89,"m/d/yyyy")),FY24_Temp[],5,FALSE)&amp;TEXT(A89,"-h"),Table6[],4,FALSE)</f>
        <v>0.5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VLOOKUP(TEXT(A89,"yy-mm")&amp;"-"&amp;IF(AND(WEEKDAY(A89)&gt;1,WEEKDAY(A89)&lt;7),"Wkd",TEXT(A89,"Ddd"))&amp;"-"&amp;TEXT(A89,"hh"),LoadTable[],5,FALSE)*0.92</f>
        <v>373.26607999999999</v>
      </c>
      <c r="U89" s="104">
        <f>VLOOKUP(TEXT(A89,"yy-mm")&amp;"-"&amp;IF(AND(WEEKDAY(A89)&gt;1,WEEKDAY(A89)&lt;7),"Wkd",TEXT(A89,"Ddd"))&amp;"-"&amp;TEXT(A89,"hh"),LoadTable[],6,FALSE)*T89</f>
        <v>27132.338089119996</v>
      </c>
      <c r="V89">
        <f t="shared" ref="V89:W89" si="67">V65</f>
        <v>3.5</v>
      </c>
      <c r="W89">
        <f t="shared" si="67"/>
        <v>2.9</v>
      </c>
      <c r="X89" s="9">
        <v>2.8694513000000001</v>
      </c>
    </row>
    <row r="90" spans="1:24">
      <c r="A90" s="29">
        <f t="shared" si="46"/>
        <v>45839.624999999789</v>
      </c>
      <c r="B90" s="30">
        <f t="shared" si="1"/>
        <v>8000</v>
      </c>
      <c r="C90" s="8">
        <v>25000</v>
      </c>
      <c r="D90" s="8">
        <v>0</v>
      </c>
      <c r="E90" s="8">
        <v>0</v>
      </c>
      <c r="F90" s="8">
        <v>0</v>
      </c>
      <c r="G90" s="30">
        <f t="shared" si="2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4"/>
        <v>8000</v>
      </c>
      <c r="L90" s="8">
        <v>25000</v>
      </c>
      <c r="M90" s="9">
        <f>VLOOKUP(DATE(YEAR(A90),MONTH(A90),DAY(A90)),FY24_Temp[],4,FALSE)</f>
        <v>8.4</v>
      </c>
      <c r="N90" s="9">
        <f>VLOOKUP(DATE(YEAR(A90),MONTH(A90),DAY(A90)),FY24_Temp[],3,FALSE)</f>
        <v>12.8</v>
      </c>
      <c r="O90" s="9">
        <v>13</v>
      </c>
      <c r="P90" s="9">
        <v>19.5</v>
      </c>
      <c r="Q90" s="79">
        <f>VLOOKUP(VLOOKUP(DATEVALUE(TEXT(A90,"m/d/yyyy")),FY24_Temp[],5,FALSE)&amp;TEXT(A90,"-h"),Table6[],4,FALSE)</f>
        <v>0.5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VLOOKUP(TEXT(A90,"yy-mm")&amp;"-"&amp;IF(AND(WEEKDAY(A90)&gt;1,WEEKDAY(A90)&lt;7),"Wkd",TEXT(A90,"Ddd"))&amp;"-"&amp;TEXT(A90,"hh"),LoadTable[],5,FALSE)*0.92</f>
        <v>494.57360000000006</v>
      </c>
      <c r="U90" s="104">
        <f>VLOOKUP(TEXT(A90,"yy-mm")&amp;"-"&amp;IF(AND(WEEKDAY(A90)&gt;1,WEEKDAY(A90)&lt;7),"Wkd",TEXT(A90,"Ddd"))&amp;"-"&amp;TEXT(A90,"hh"),LoadTable[],6,FALSE)*T90</f>
        <v>42310.771480000003</v>
      </c>
      <c r="V90">
        <f t="shared" ref="V90:W90" si="68">V66</f>
        <v>3.2</v>
      </c>
      <c r="W90">
        <f t="shared" si="68"/>
        <v>2.9</v>
      </c>
      <c r="X90" s="9">
        <v>3.1699421000000001</v>
      </c>
    </row>
    <row r="91" spans="1:24">
      <c r="A91" s="29">
        <f t="shared" si="46"/>
        <v>45839.666666666453</v>
      </c>
      <c r="B91" s="30">
        <f t="shared" si="1"/>
        <v>8000</v>
      </c>
      <c r="C91" s="8">
        <v>25000</v>
      </c>
      <c r="D91" s="8">
        <v>0</v>
      </c>
      <c r="E91" s="8">
        <v>0</v>
      </c>
      <c r="F91" s="8">
        <v>0</v>
      </c>
      <c r="G91" s="30">
        <f t="shared" si="2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4"/>
        <v>8000</v>
      </c>
      <c r="L91" s="8">
        <v>25000</v>
      </c>
      <c r="M91" s="9">
        <f>VLOOKUP(DATE(YEAR(A91),MONTH(A91),DAY(A91)),FY24_Temp[],4,FALSE)</f>
        <v>8.4</v>
      </c>
      <c r="N91" s="9">
        <f>VLOOKUP(DATE(YEAR(A91),MONTH(A91),DAY(A91)),FY24_Temp[],3,FALSE)</f>
        <v>12.8</v>
      </c>
      <c r="O91" s="9">
        <v>13</v>
      </c>
      <c r="P91" s="9">
        <v>19.5</v>
      </c>
      <c r="Q91" s="79">
        <f>VLOOKUP(VLOOKUP(DATEVALUE(TEXT(A91,"m/d/yyyy")),FY24_Temp[],5,FALSE)&amp;TEXT(A91,"-h"),Table6[],4,FALSE)</f>
        <v>0.5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VLOOKUP(TEXT(A91,"yy-mm")&amp;"-"&amp;IF(AND(WEEKDAY(A91)&gt;1,WEEKDAY(A91)&lt;7),"Wkd",TEXT(A91,"Ddd"))&amp;"-"&amp;TEXT(A91,"hh"),LoadTable[],5,FALSE)*0.92</f>
        <v>494.57360000000006</v>
      </c>
      <c r="U91" s="104">
        <f>VLOOKUP(TEXT(A91,"yy-mm")&amp;"-"&amp;IF(AND(WEEKDAY(A91)&gt;1,WEEKDAY(A91)&lt;7),"Wkd",TEXT(A91,"Ddd"))&amp;"-"&amp;TEXT(A91,"hh"),LoadTable[],6,FALSE)*T91</f>
        <v>50694.28857360001</v>
      </c>
      <c r="V91">
        <f t="shared" ref="V91:W91" si="69">V67</f>
        <v>3.5</v>
      </c>
      <c r="W91">
        <f t="shared" si="69"/>
        <v>3</v>
      </c>
      <c r="X91" s="9">
        <v>3.0392420000000002</v>
      </c>
    </row>
    <row r="92" spans="1:24">
      <c r="A92" s="29">
        <f t="shared" si="46"/>
        <v>45839.708333333117</v>
      </c>
      <c r="B92" s="30">
        <f t="shared" ref="B92:B155" si="70">B68</f>
        <v>8000</v>
      </c>
      <c r="C92" s="8">
        <v>25000</v>
      </c>
      <c r="D92" s="8">
        <v>0</v>
      </c>
      <c r="E92" s="8">
        <v>0</v>
      </c>
      <c r="F92" s="8">
        <v>0</v>
      </c>
      <c r="G92" s="30">
        <f t="shared" ref="G92:G155" si="71">G68</f>
        <v>2400</v>
      </c>
      <c r="H92" s="8">
        <v>25000</v>
      </c>
      <c r="I92" s="30">
        <f t="shared" ref="I92:I155" si="72">I68</f>
        <v>8000</v>
      </c>
      <c r="J92" s="8">
        <v>25000</v>
      </c>
      <c r="K92" s="30">
        <f t="shared" ref="K92:K155" si="73">K68</f>
        <v>8000</v>
      </c>
      <c r="L92" s="8">
        <v>25000</v>
      </c>
      <c r="M92" s="9">
        <f>VLOOKUP(DATE(YEAR(A92),MONTH(A92),DAY(A92)),FY24_Temp[],4,FALSE)</f>
        <v>8.4</v>
      </c>
      <c r="N92" s="9">
        <f>VLOOKUP(DATE(YEAR(A92),MONTH(A92),DAY(A92)),FY24_Temp[],3,FALSE)</f>
        <v>12.8</v>
      </c>
      <c r="O92" s="9">
        <v>13</v>
      </c>
      <c r="P92" s="9">
        <v>19.5</v>
      </c>
      <c r="Q92" s="79">
        <f>VLOOKUP(VLOOKUP(DATEVALUE(TEXT(A92,"m/d/yyyy")),FY24_Temp[],5,FALSE)&amp;TEXT(A92,"-h"),Table6[],4,FALSE)</f>
        <v>0.5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VLOOKUP(TEXT(A92,"yy-mm")&amp;"-"&amp;IF(AND(WEEKDAY(A92)&gt;1,WEEKDAY(A92)&lt;7),"Wkd",TEXT(A92,"Ddd"))&amp;"-"&amp;TEXT(A92,"hh"),LoadTable[],5,FALSE)*0.92</f>
        <v>494.57360000000006</v>
      </c>
      <c r="U92" s="104">
        <f>VLOOKUP(TEXT(A92,"yy-mm")&amp;"-"&amp;IF(AND(WEEKDAY(A92)&gt;1,WEEKDAY(A92)&lt;7),"Wkd",TEXT(A92,"Ddd"))&amp;"-"&amp;TEXT(A92,"hh"),LoadTable[],6,FALSE)*T92</f>
        <v>56025.791981600007</v>
      </c>
      <c r="V92">
        <f t="shared" ref="V92:W92" si="74">V68</f>
        <v>3.6</v>
      </c>
      <c r="W92">
        <f t="shared" si="74"/>
        <v>3</v>
      </c>
      <c r="X92" s="9">
        <v>2.9573767000000002</v>
      </c>
    </row>
    <row r="93" spans="1:24">
      <c r="A93" s="29">
        <f t="shared" si="46"/>
        <v>45839.749999999782</v>
      </c>
      <c r="B93" s="30">
        <f t="shared" si="70"/>
        <v>5000</v>
      </c>
      <c r="C93" s="8">
        <v>25000</v>
      </c>
      <c r="D93" s="8">
        <v>0</v>
      </c>
      <c r="E93" s="8">
        <v>0</v>
      </c>
      <c r="F93" s="8">
        <v>0</v>
      </c>
      <c r="G93" s="30">
        <f t="shared" si="71"/>
        <v>2400</v>
      </c>
      <c r="H93" s="8">
        <v>25000</v>
      </c>
      <c r="I93" s="30">
        <f t="shared" si="72"/>
        <v>5000</v>
      </c>
      <c r="J93" s="8">
        <v>25000</v>
      </c>
      <c r="K93" s="30">
        <f t="shared" si="73"/>
        <v>5000</v>
      </c>
      <c r="L93" s="8">
        <v>25000</v>
      </c>
      <c r="M93" s="9">
        <f>VLOOKUP(DATE(YEAR(A93),MONTH(A93),DAY(A93)),FY24_Temp[],4,FALSE)</f>
        <v>8.4</v>
      </c>
      <c r="N93" s="9">
        <f>VLOOKUP(DATE(YEAR(A93),MONTH(A93),DAY(A93)),FY24_Temp[],3,FALSE)</f>
        <v>12.8</v>
      </c>
      <c r="O93" s="9">
        <v>13</v>
      </c>
      <c r="P93" s="9">
        <v>19.5</v>
      </c>
      <c r="Q93" s="79">
        <f>VLOOKUP(VLOOKUP(DATEVALUE(TEXT(A93,"m/d/yyyy")),FY24_Temp[],5,FALSE)&amp;TEXT(A93,"-h"),Table6[],4,FALSE)</f>
        <v>0.5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VLOOKUP(TEXT(A93,"yy-mm")&amp;"-"&amp;IF(AND(WEEKDAY(A93)&gt;1,WEEKDAY(A93)&lt;7),"Wkd",TEXT(A93,"Ddd"))&amp;"-"&amp;TEXT(A93,"hh"),LoadTable[],5,FALSE)*0.92</f>
        <v>494.57360000000006</v>
      </c>
      <c r="U93" s="104">
        <f>VLOOKUP(TEXT(A93,"yy-mm")&amp;"-"&amp;IF(AND(WEEKDAY(A93)&gt;1,WEEKDAY(A93)&lt;7),"Wkd",TEXT(A93,"Ddd"))&amp;"-"&amp;TEXT(A93,"hh"),LoadTable[],6,FALSE)*T93</f>
        <v>60164.383866400007</v>
      </c>
      <c r="V93">
        <f t="shared" ref="V93:W93" si="75">V69</f>
        <v>2.9</v>
      </c>
      <c r="W93">
        <f t="shared" si="75"/>
        <v>3</v>
      </c>
      <c r="X93" s="9">
        <v>2.9339179999999998</v>
      </c>
    </row>
    <row r="94" spans="1:24">
      <c r="A94" s="29">
        <f t="shared" si="46"/>
        <v>45839.791666666446</v>
      </c>
      <c r="B94" s="30">
        <f t="shared" si="70"/>
        <v>5000</v>
      </c>
      <c r="C94" s="8">
        <v>25000</v>
      </c>
      <c r="D94" s="8">
        <v>0</v>
      </c>
      <c r="E94" s="8">
        <v>0</v>
      </c>
      <c r="F94" s="8">
        <v>0</v>
      </c>
      <c r="G94" s="30">
        <f t="shared" si="71"/>
        <v>2400</v>
      </c>
      <c r="H94" s="8">
        <v>25000</v>
      </c>
      <c r="I94" s="30">
        <f t="shared" si="72"/>
        <v>5000</v>
      </c>
      <c r="J94" s="8">
        <v>25000</v>
      </c>
      <c r="K94" s="30">
        <f t="shared" si="73"/>
        <v>5000</v>
      </c>
      <c r="L94" s="8">
        <v>25000</v>
      </c>
      <c r="M94" s="9">
        <f>VLOOKUP(DATE(YEAR(A94),MONTH(A94),DAY(A94)),FY24_Temp[],4,FALSE)</f>
        <v>8.4</v>
      </c>
      <c r="N94" s="9">
        <f>VLOOKUP(DATE(YEAR(A94),MONTH(A94),DAY(A94)),FY24_Temp[],3,FALSE)</f>
        <v>12.8</v>
      </c>
      <c r="O94" s="9">
        <v>13</v>
      </c>
      <c r="P94" s="9">
        <v>19.5</v>
      </c>
      <c r="Q94" s="79">
        <f>VLOOKUP(VLOOKUP(DATEVALUE(TEXT(A94,"m/d/yyyy")),FY24_Temp[],5,FALSE)&amp;TEXT(A94,"-h"),Table6[],4,FALSE)</f>
        <v>0.5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VLOOKUP(TEXT(A94,"yy-mm")&amp;"-"&amp;IF(AND(WEEKDAY(A94)&gt;1,WEEKDAY(A94)&lt;7),"Wkd",TEXT(A94,"Ddd"))&amp;"-"&amp;TEXT(A94,"hh"),LoadTable[],5,FALSE)*0.92</f>
        <v>494.57360000000006</v>
      </c>
      <c r="U94" s="104">
        <f>VLOOKUP(TEXT(A94,"yy-mm")&amp;"-"&amp;IF(AND(WEEKDAY(A94)&gt;1,WEEKDAY(A94)&lt;7),"Wkd",TEXT(A94,"Ddd"))&amp;"-"&amp;TEXT(A94,"hh"),LoadTable[],6,FALSE)*T94</f>
        <v>60548.172980000003</v>
      </c>
      <c r="V94">
        <f t="shared" ref="V94:W94" si="76">V70</f>
        <v>3</v>
      </c>
      <c r="W94">
        <f t="shared" si="76"/>
        <v>3</v>
      </c>
      <c r="X94" s="9">
        <v>2.8894134</v>
      </c>
    </row>
    <row r="95" spans="1:24">
      <c r="A95" s="29">
        <f t="shared" si="46"/>
        <v>45839.83333333311</v>
      </c>
      <c r="B95" s="30">
        <f t="shared" si="70"/>
        <v>5000</v>
      </c>
      <c r="C95" s="8">
        <v>25000</v>
      </c>
      <c r="D95" s="8">
        <v>0</v>
      </c>
      <c r="E95" s="8">
        <v>0</v>
      </c>
      <c r="F95" s="8">
        <v>0</v>
      </c>
      <c r="G95" s="30">
        <f t="shared" si="71"/>
        <v>2400</v>
      </c>
      <c r="H95" s="8">
        <v>25000</v>
      </c>
      <c r="I95" s="30">
        <f t="shared" si="72"/>
        <v>5000</v>
      </c>
      <c r="J95" s="8">
        <v>25000</v>
      </c>
      <c r="K95" s="30">
        <f t="shared" si="73"/>
        <v>5000</v>
      </c>
      <c r="L95" s="8">
        <v>25000</v>
      </c>
      <c r="M95" s="9">
        <f>VLOOKUP(DATE(YEAR(A95),MONTH(A95),DAY(A95)),FY24_Temp[],4,FALSE)</f>
        <v>8.4</v>
      </c>
      <c r="N95" s="9">
        <f>VLOOKUP(DATE(YEAR(A95),MONTH(A95),DAY(A95)),FY24_Temp[],3,FALSE)</f>
        <v>12.8</v>
      </c>
      <c r="O95" s="9">
        <v>13</v>
      </c>
      <c r="P95" s="9">
        <v>19.5</v>
      </c>
      <c r="Q95" s="79">
        <f>VLOOKUP(VLOOKUP(DATEVALUE(TEXT(A95,"m/d/yyyy")),FY24_Temp[],5,FALSE)&amp;TEXT(A95,"-h"),Table6[],4,FALSE)</f>
        <v>0.5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VLOOKUP(TEXT(A95,"yy-mm")&amp;"-"&amp;IF(AND(WEEKDAY(A95)&gt;1,WEEKDAY(A95)&lt;7),"Wkd",TEXT(A95,"Ddd"))&amp;"-"&amp;TEXT(A95,"hh"),LoadTable[],5,FALSE)*0.92</f>
        <v>494.57360000000006</v>
      </c>
      <c r="U95" s="104">
        <f>VLOOKUP(TEXT(A95,"yy-mm")&amp;"-"&amp;IF(AND(WEEKDAY(A95)&gt;1,WEEKDAY(A95)&lt;7),"Wkd",TEXT(A95,"Ddd"))&amp;"-"&amp;TEXT(A95,"hh"),LoadTable[],6,FALSE)*T95</f>
        <v>60532.346624800004</v>
      </c>
      <c r="V95">
        <f t="shared" ref="V95:W95" si="77">V71</f>
        <v>2.8</v>
      </c>
      <c r="W95">
        <f t="shared" si="77"/>
        <v>3.1</v>
      </c>
      <c r="X95" s="9">
        <v>2.8498321</v>
      </c>
    </row>
    <row r="96" spans="1:24">
      <c r="A96" s="29">
        <f t="shared" si="46"/>
        <v>45839.874999999774</v>
      </c>
      <c r="B96" s="30">
        <f t="shared" si="70"/>
        <v>5000</v>
      </c>
      <c r="C96" s="8">
        <v>25000</v>
      </c>
      <c r="D96" s="8">
        <v>0</v>
      </c>
      <c r="E96" s="8">
        <v>0</v>
      </c>
      <c r="F96" s="8">
        <v>0</v>
      </c>
      <c r="G96" s="30">
        <f t="shared" si="71"/>
        <v>2400</v>
      </c>
      <c r="H96" s="8">
        <v>25000</v>
      </c>
      <c r="I96" s="30">
        <f t="shared" si="72"/>
        <v>5000</v>
      </c>
      <c r="J96" s="8">
        <v>25000</v>
      </c>
      <c r="K96" s="30">
        <f t="shared" si="73"/>
        <v>5000</v>
      </c>
      <c r="L96" s="8">
        <v>25000</v>
      </c>
      <c r="M96" s="9">
        <f>VLOOKUP(DATE(YEAR(A96),MONTH(A96),DAY(A96)),FY24_Temp[],4,FALSE)</f>
        <v>8.4</v>
      </c>
      <c r="N96" s="9">
        <f>VLOOKUP(DATE(YEAR(A96),MONTH(A96),DAY(A96)),FY24_Temp[],3,FALSE)</f>
        <v>12.8</v>
      </c>
      <c r="O96" s="9">
        <v>13</v>
      </c>
      <c r="P96" s="9">
        <v>19.5</v>
      </c>
      <c r="Q96" s="79">
        <f>VLOOKUP(VLOOKUP(DATEVALUE(TEXT(A96,"m/d/yyyy")),FY24_Temp[],5,FALSE)&amp;TEXT(A96,"-h"),Table6[],4,FALSE)</f>
        <v>0.5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VLOOKUP(TEXT(A96,"yy-mm")&amp;"-"&amp;IF(AND(WEEKDAY(A96)&gt;1,WEEKDAY(A96)&lt;7),"Wkd",TEXT(A96,"Ddd"))&amp;"-"&amp;TEXT(A96,"hh"),LoadTable[],5,FALSE)*0.92</f>
        <v>494.57360000000006</v>
      </c>
      <c r="U96" s="104">
        <f>VLOOKUP(TEXT(A96,"yy-mm")&amp;"-"&amp;IF(AND(WEEKDAY(A96)&gt;1,WEEKDAY(A96)&lt;7),"Wkd",TEXT(A96,"Ddd"))&amp;"-"&amp;TEXT(A96,"hh"),LoadTable[],6,FALSE)*T96</f>
        <v>58481.349905600007</v>
      </c>
      <c r="V96">
        <f t="shared" ref="V96:W96" si="78">V72</f>
        <v>3.5</v>
      </c>
      <c r="W96">
        <f t="shared" si="78"/>
        <v>3.1</v>
      </c>
      <c r="X96" s="9">
        <v>2.8110211000000001</v>
      </c>
    </row>
    <row r="97" spans="1:24">
      <c r="A97" s="29">
        <f t="shared" si="46"/>
        <v>45839.916666666439</v>
      </c>
      <c r="B97" s="30">
        <f t="shared" si="70"/>
        <v>5000</v>
      </c>
      <c r="C97" s="8">
        <v>25000</v>
      </c>
      <c r="D97" s="8">
        <v>0</v>
      </c>
      <c r="E97" s="8">
        <v>0</v>
      </c>
      <c r="F97" s="8">
        <v>0</v>
      </c>
      <c r="G97" s="30">
        <f t="shared" si="71"/>
        <v>2400</v>
      </c>
      <c r="H97" s="8">
        <v>25000</v>
      </c>
      <c r="I97" s="30">
        <f t="shared" si="72"/>
        <v>5000</v>
      </c>
      <c r="J97" s="8">
        <v>25000</v>
      </c>
      <c r="K97" s="30">
        <f t="shared" si="73"/>
        <v>5000</v>
      </c>
      <c r="L97" s="8">
        <v>25000</v>
      </c>
      <c r="M97" s="9">
        <f>VLOOKUP(DATE(YEAR(A97),MONTH(A97),DAY(A97)),FY24_Temp[],4,FALSE)</f>
        <v>8.4</v>
      </c>
      <c r="N97" s="9">
        <f>VLOOKUP(DATE(YEAR(A97),MONTH(A97),DAY(A97)),FY24_Temp[],3,FALSE)</f>
        <v>12.8</v>
      </c>
      <c r="O97" s="9">
        <v>13</v>
      </c>
      <c r="P97" s="9">
        <v>19.5</v>
      </c>
      <c r="Q97" s="79">
        <f>VLOOKUP(VLOOKUP(DATEVALUE(TEXT(A97,"m/d/yyyy")),FY24_Temp[],5,FALSE)&amp;TEXT(A97,"-h"),Table6[],4,FALSE)</f>
        <v>0.5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VLOOKUP(TEXT(A97,"yy-mm")&amp;"-"&amp;IF(AND(WEEKDAY(A97)&gt;1,WEEKDAY(A97)&lt;7),"Wkd",TEXT(A97,"Ddd"))&amp;"-"&amp;TEXT(A97,"hh"),LoadTable[],5,FALSE)*0.92</f>
        <v>418.75640000000004</v>
      </c>
      <c r="U97" s="104">
        <f>VLOOKUP(TEXT(A97,"yy-mm")&amp;"-"&amp;IF(AND(WEEKDAY(A97)&gt;1,WEEKDAY(A97)&lt;7),"Wkd",TEXT(A97,"Ddd"))&amp;"-"&amp;TEXT(A97,"hh"),LoadTable[],6,FALSE)*T97</f>
        <v>27547.889774000003</v>
      </c>
      <c r="V97">
        <f t="shared" ref="V97:W97" si="79">V73</f>
        <v>2.9</v>
      </c>
      <c r="W97">
        <f t="shared" si="79"/>
        <v>3.1</v>
      </c>
      <c r="X97" s="9">
        <v>2.7649466999999999</v>
      </c>
    </row>
    <row r="98" spans="1:24">
      <c r="A98" s="29">
        <f t="shared" si="46"/>
        <v>45839.958333333103</v>
      </c>
      <c r="B98" s="30">
        <f t="shared" si="70"/>
        <v>5000</v>
      </c>
      <c r="C98" s="8">
        <v>25000</v>
      </c>
      <c r="D98" s="8">
        <v>0</v>
      </c>
      <c r="E98" s="8">
        <v>0</v>
      </c>
      <c r="F98" s="8">
        <v>0</v>
      </c>
      <c r="G98" s="30">
        <f t="shared" si="71"/>
        <v>2400</v>
      </c>
      <c r="H98" s="8">
        <v>25000</v>
      </c>
      <c r="I98" s="30">
        <f t="shared" si="72"/>
        <v>5000</v>
      </c>
      <c r="J98" s="8">
        <v>25000</v>
      </c>
      <c r="K98" s="30">
        <f t="shared" si="73"/>
        <v>5000</v>
      </c>
      <c r="L98" s="8">
        <v>25000</v>
      </c>
      <c r="M98" s="9">
        <f>VLOOKUP(DATE(YEAR(A98),MONTH(A98),DAY(A98)),FY24_Temp[],4,FALSE)</f>
        <v>8.4</v>
      </c>
      <c r="N98" s="9">
        <f>VLOOKUP(DATE(YEAR(A98),MONTH(A98),DAY(A98)),FY24_Temp[],3,FALSE)</f>
        <v>12.8</v>
      </c>
      <c r="O98" s="9">
        <v>13</v>
      </c>
      <c r="P98" s="9">
        <v>19.5</v>
      </c>
      <c r="Q98" s="79">
        <f>VLOOKUP(VLOOKUP(DATEVALUE(TEXT(A98,"m/d/yyyy")),FY24_Temp[],5,FALSE)&amp;TEXT(A98,"-h"),Table6[],4,FALSE)</f>
        <v>0.5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VLOOKUP(TEXT(A98,"yy-mm")&amp;"-"&amp;IF(AND(WEEKDAY(A98)&gt;1,WEEKDAY(A98)&lt;7),"Wkd",TEXT(A98,"Ddd"))&amp;"-"&amp;TEXT(A98,"hh"),LoadTable[],5,FALSE)*0.92</f>
        <v>342.93920000000003</v>
      </c>
      <c r="U98" s="104">
        <f>VLOOKUP(TEXT(A98,"yy-mm")&amp;"-"&amp;IF(AND(WEEKDAY(A98)&gt;1,WEEKDAY(A98)&lt;7),"Wkd",TEXT(A98,"Ddd"))&amp;"-"&amp;TEXT(A98,"hh"),LoadTable[],6,FALSE)*T98</f>
        <v>19873.669579200003</v>
      </c>
      <c r="V98">
        <f t="shared" ref="V98:W98" si="80">V74</f>
        <v>3.6</v>
      </c>
      <c r="W98">
        <f t="shared" si="80"/>
        <v>3.1</v>
      </c>
      <c r="X98" s="9">
        <v>2.6774939999999998</v>
      </c>
    </row>
    <row r="99" spans="1:24">
      <c r="A99" s="29">
        <f t="shared" si="46"/>
        <v>45839.999999999767</v>
      </c>
      <c r="B99" s="30">
        <f t="shared" si="70"/>
        <v>5000</v>
      </c>
      <c r="C99" s="8">
        <v>25000</v>
      </c>
      <c r="D99" s="8">
        <v>0</v>
      </c>
      <c r="E99" s="8">
        <v>0</v>
      </c>
      <c r="F99" s="8">
        <v>0</v>
      </c>
      <c r="G99" s="30">
        <f t="shared" si="71"/>
        <v>2400</v>
      </c>
      <c r="H99" s="8">
        <v>25000</v>
      </c>
      <c r="I99" s="30">
        <f t="shared" si="72"/>
        <v>5000</v>
      </c>
      <c r="J99" s="8">
        <v>25000</v>
      </c>
      <c r="K99" s="30">
        <f t="shared" si="73"/>
        <v>5000</v>
      </c>
      <c r="L99" s="8">
        <v>25000</v>
      </c>
      <c r="M99" s="9">
        <f>VLOOKUP(DATE(YEAR(A99),MONTH(A99),DAY(A99)),FY24_Temp[],4,FALSE)</f>
        <v>8.4</v>
      </c>
      <c r="N99" s="9">
        <f>VLOOKUP(DATE(YEAR(A99),MONTH(A99),DAY(A99)),FY24_Temp[],3,FALSE)</f>
        <v>12.8</v>
      </c>
      <c r="O99" s="9">
        <v>13</v>
      </c>
      <c r="P99" s="9">
        <v>19.5</v>
      </c>
      <c r="Q99" s="79">
        <f>VLOOKUP(VLOOKUP(DATEVALUE(TEXT(A99,"m/d/yyyy")),FY24_Temp[],5,FALSE)&amp;TEXT(A99,"-h"),Table6[],4,FALSE)</f>
        <v>0.5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VLOOKUP(TEXT(A99,"yy-mm")&amp;"-"&amp;IF(AND(WEEKDAY(A99)&gt;1,WEEKDAY(A99)&lt;7),"Wkd",TEXT(A99,"Ddd"))&amp;"-"&amp;TEXT(A99,"hh"),LoadTable[],5,FALSE)*0.92</f>
        <v>279.25312000000002</v>
      </c>
      <c r="U99" s="104">
        <f>VLOOKUP(TEXT(A99,"yy-mm")&amp;"-"&amp;IF(AND(WEEKDAY(A99)&gt;1,WEEKDAY(A99)&lt;7),"Wkd",TEXT(A99,"Ddd"))&amp;"-"&amp;TEXT(A99,"hh"),LoadTable[],6,FALSE)*T99</f>
        <v>14895.640673920001</v>
      </c>
      <c r="V99">
        <f t="shared" ref="V99:W99" si="81">V75</f>
        <v>3</v>
      </c>
      <c r="W99">
        <f t="shared" si="81"/>
        <v>3.2</v>
      </c>
      <c r="X99" s="9">
        <v>2.6094290999999998</v>
      </c>
    </row>
    <row r="100" spans="1:24">
      <c r="A100" s="29">
        <f t="shared" si="46"/>
        <v>45840.041666666431</v>
      </c>
      <c r="B100" s="30">
        <f t="shared" si="70"/>
        <v>5000</v>
      </c>
      <c r="C100" s="8">
        <v>25000</v>
      </c>
      <c r="D100" s="8">
        <v>0</v>
      </c>
      <c r="E100" s="8">
        <v>0</v>
      </c>
      <c r="F100" s="8">
        <v>0</v>
      </c>
      <c r="G100" s="30">
        <f t="shared" si="71"/>
        <v>2400</v>
      </c>
      <c r="H100" s="8">
        <v>25000</v>
      </c>
      <c r="I100" s="30">
        <f t="shared" si="72"/>
        <v>5000</v>
      </c>
      <c r="J100" s="8">
        <v>25000</v>
      </c>
      <c r="K100" s="30">
        <f t="shared" si="73"/>
        <v>5000</v>
      </c>
      <c r="L100" s="8">
        <v>25000</v>
      </c>
      <c r="M100" s="9">
        <f>VLOOKUP(DATE(YEAR(A100),MONTH(A100),DAY(A100)),FY24_Temp[],4,FALSE)</f>
        <v>8.4</v>
      </c>
      <c r="N100" s="9">
        <f>VLOOKUP(DATE(YEAR(A100),MONTH(A100),DAY(A100)),FY24_Temp[],3,FALSE)</f>
        <v>12.8</v>
      </c>
      <c r="O100" s="9">
        <v>13</v>
      </c>
      <c r="P100" s="9">
        <v>19.5</v>
      </c>
      <c r="Q100" s="79">
        <f>VLOOKUP(VLOOKUP(DATEVALUE(TEXT(A100,"m/d/yyyy")),FY24_Temp[],5,FALSE)&amp;TEXT(A100,"-h"),Table6[],4,FALSE)</f>
        <v>0.5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VLOOKUP(TEXT(A100,"yy-mm")&amp;"-"&amp;IF(AND(WEEKDAY(A100)&gt;1,WEEKDAY(A100)&lt;7),"Wkd",TEXT(A100,"Ddd"))&amp;"-"&amp;TEXT(A100,"hh"),LoadTable[],5,FALSE)*0.92</f>
        <v>279.25312000000002</v>
      </c>
      <c r="U100" s="104">
        <f>VLOOKUP(TEXT(A100,"yy-mm")&amp;"-"&amp;IF(AND(WEEKDAY(A100)&gt;1,WEEKDAY(A100)&lt;7),"Wkd",TEXT(A100,"Ddd"))&amp;"-"&amp;TEXT(A100,"hh"),LoadTable[],6,FALSE)*T100</f>
        <v>14470.896678400002</v>
      </c>
      <c r="V100">
        <f t="shared" ref="V100:W100" si="82">V76</f>
        <v>2.6</v>
      </c>
      <c r="W100">
        <f t="shared" si="82"/>
        <v>3.2</v>
      </c>
      <c r="X100" s="9">
        <v>2.5623564999999999</v>
      </c>
    </row>
    <row r="101" spans="1:24">
      <c r="A101" s="29">
        <f t="shared" si="46"/>
        <v>45840.083333333096</v>
      </c>
      <c r="B101" s="30">
        <f t="shared" si="70"/>
        <v>5000</v>
      </c>
      <c r="C101" s="8">
        <v>25000</v>
      </c>
      <c r="D101" s="8">
        <v>0</v>
      </c>
      <c r="E101" s="8">
        <v>0</v>
      </c>
      <c r="F101" s="8">
        <v>0</v>
      </c>
      <c r="G101" s="30">
        <f t="shared" si="71"/>
        <v>2400</v>
      </c>
      <c r="H101" s="8">
        <v>25000</v>
      </c>
      <c r="I101" s="30">
        <f t="shared" si="72"/>
        <v>5000</v>
      </c>
      <c r="J101" s="8">
        <v>25000</v>
      </c>
      <c r="K101" s="30">
        <f t="shared" si="73"/>
        <v>5000</v>
      </c>
      <c r="L101" s="8">
        <v>25000</v>
      </c>
      <c r="M101" s="9">
        <f>VLOOKUP(DATE(YEAR(A101),MONTH(A101),DAY(A101)),FY24_Temp[],4,FALSE)</f>
        <v>8.4</v>
      </c>
      <c r="N101" s="9">
        <f>VLOOKUP(DATE(YEAR(A101),MONTH(A101),DAY(A101)),FY24_Temp[],3,FALSE)</f>
        <v>12.8</v>
      </c>
      <c r="O101" s="9">
        <v>13</v>
      </c>
      <c r="P101" s="9">
        <v>19.5</v>
      </c>
      <c r="Q101" s="79">
        <f>VLOOKUP(VLOOKUP(DATEVALUE(TEXT(A101,"m/d/yyyy")),FY24_Temp[],5,FALSE)&amp;TEXT(A101,"-h"),Table6[],4,FALSE)</f>
        <v>0.5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VLOOKUP(TEXT(A101,"yy-mm")&amp;"-"&amp;IF(AND(WEEKDAY(A101)&gt;1,WEEKDAY(A101)&lt;7),"Wkd",TEXT(A101,"Ddd"))&amp;"-"&amp;TEXT(A101,"hh"),LoadTable[],5,FALSE)*0.92</f>
        <v>279.25312000000002</v>
      </c>
      <c r="U101" s="104">
        <f>VLOOKUP(TEXT(A101,"yy-mm")&amp;"-"&amp;IF(AND(WEEKDAY(A101)&gt;1,WEEKDAY(A101)&lt;7),"Wkd",TEXT(A101,"Ddd"))&amp;"-"&amp;TEXT(A101,"hh"),LoadTable[],6,FALSE)*T101</f>
        <v>14154.50289344</v>
      </c>
      <c r="V101">
        <f t="shared" ref="V101:W101" si="83">V77</f>
        <v>2.8</v>
      </c>
      <c r="W101">
        <f t="shared" si="83"/>
        <v>3.2</v>
      </c>
      <c r="X101" s="9">
        <v>2.6493833000000002</v>
      </c>
    </row>
    <row r="102" spans="1:24">
      <c r="A102" s="29">
        <f t="shared" si="46"/>
        <v>45840.12499999976</v>
      </c>
      <c r="B102" s="30">
        <f t="shared" si="70"/>
        <v>5000</v>
      </c>
      <c r="C102" s="8">
        <v>25000</v>
      </c>
      <c r="D102" s="8">
        <v>0</v>
      </c>
      <c r="E102" s="8">
        <v>0</v>
      </c>
      <c r="F102" s="8">
        <v>0</v>
      </c>
      <c r="G102" s="30">
        <f t="shared" si="71"/>
        <v>2400</v>
      </c>
      <c r="H102" s="8">
        <v>25000</v>
      </c>
      <c r="I102" s="30">
        <f t="shared" si="72"/>
        <v>5000</v>
      </c>
      <c r="J102" s="8">
        <v>25000</v>
      </c>
      <c r="K102" s="30">
        <f t="shared" si="73"/>
        <v>5000</v>
      </c>
      <c r="L102" s="8">
        <v>25000</v>
      </c>
      <c r="M102" s="9">
        <f>VLOOKUP(DATE(YEAR(A102),MONTH(A102),DAY(A102)),FY24_Temp[],4,FALSE)</f>
        <v>8.4</v>
      </c>
      <c r="N102" s="9">
        <f>VLOOKUP(DATE(YEAR(A102),MONTH(A102),DAY(A102)),FY24_Temp[],3,FALSE)</f>
        <v>12.8</v>
      </c>
      <c r="O102" s="9">
        <v>13</v>
      </c>
      <c r="P102" s="9">
        <v>19.5</v>
      </c>
      <c r="Q102" s="79">
        <f>VLOOKUP(VLOOKUP(DATEVALUE(TEXT(A102,"m/d/yyyy")),FY24_Temp[],5,FALSE)&amp;TEXT(A102,"-h"),Table6[],4,FALSE)</f>
        <v>0.5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VLOOKUP(TEXT(A102,"yy-mm")&amp;"-"&amp;IF(AND(WEEKDAY(A102)&gt;1,WEEKDAY(A102)&lt;7),"Wkd",TEXT(A102,"Ddd"))&amp;"-"&amp;TEXT(A102,"hh"),LoadTable[],5,FALSE)*0.92</f>
        <v>279.25312000000002</v>
      </c>
      <c r="U102" s="104">
        <f>VLOOKUP(TEXT(A102,"yy-mm")&amp;"-"&amp;IF(AND(WEEKDAY(A102)&gt;1,WEEKDAY(A102)&lt;7),"Wkd",TEXT(A102,"Ddd"))&amp;"-"&amp;TEXT(A102,"hh"),LoadTable[],6,FALSE)*T102</f>
        <v>14206.443973760001</v>
      </c>
      <c r="V102">
        <f t="shared" ref="V102:W102" si="84">V78</f>
        <v>2.7</v>
      </c>
      <c r="W102">
        <f t="shared" si="84"/>
        <v>3.2</v>
      </c>
      <c r="X102" s="9">
        <v>2.7149241000000002</v>
      </c>
    </row>
    <row r="103" spans="1:24">
      <c r="A103" s="29">
        <f t="shared" si="46"/>
        <v>45840.166666666424</v>
      </c>
      <c r="B103" s="30">
        <f t="shared" si="70"/>
        <v>5000</v>
      </c>
      <c r="C103" s="8">
        <v>25000</v>
      </c>
      <c r="D103" s="8">
        <v>0</v>
      </c>
      <c r="E103" s="8">
        <v>0</v>
      </c>
      <c r="F103" s="8">
        <v>0</v>
      </c>
      <c r="G103" s="30">
        <f t="shared" si="71"/>
        <v>2400</v>
      </c>
      <c r="H103" s="8">
        <v>25000</v>
      </c>
      <c r="I103" s="30">
        <f t="shared" si="72"/>
        <v>5000</v>
      </c>
      <c r="J103" s="8">
        <v>25000</v>
      </c>
      <c r="K103" s="30">
        <f t="shared" si="73"/>
        <v>5000</v>
      </c>
      <c r="L103" s="8">
        <v>25000</v>
      </c>
      <c r="M103" s="9">
        <f>VLOOKUP(DATE(YEAR(A103),MONTH(A103),DAY(A103)),FY24_Temp[],4,FALSE)</f>
        <v>8.4</v>
      </c>
      <c r="N103" s="9">
        <f>VLOOKUP(DATE(YEAR(A103),MONTH(A103),DAY(A103)),FY24_Temp[],3,FALSE)</f>
        <v>12.8</v>
      </c>
      <c r="O103" s="9">
        <v>13</v>
      </c>
      <c r="P103" s="9">
        <v>19.5</v>
      </c>
      <c r="Q103" s="79">
        <f>VLOOKUP(VLOOKUP(DATEVALUE(TEXT(A103,"m/d/yyyy")),FY24_Temp[],5,FALSE)&amp;TEXT(A103,"-h"),Table6[],4,FALSE)</f>
        <v>0.5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VLOOKUP(TEXT(A103,"yy-mm")&amp;"-"&amp;IF(AND(WEEKDAY(A103)&gt;1,WEEKDAY(A103)&lt;7),"Wkd",TEXT(A103,"Ddd"))&amp;"-"&amp;TEXT(A103,"hh"),LoadTable[],5,FALSE)*0.92</f>
        <v>279.25312000000002</v>
      </c>
      <c r="U103" s="104">
        <f>VLOOKUP(TEXT(A103,"yy-mm")&amp;"-"&amp;IF(AND(WEEKDAY(A103)&gt;1,WEEKDAY(A103)&lt;7),"Wkd",TEXT(A103,"Ddd"))&amp;"-"&amp;TEXT(A103,"hh"),LoadTable[],6,FALSE)*T103</f>
        <v>14229.063476480002</v>
      </c>
      <c r="V103">
        <f t="shared" ref="V103:W103" si="85">V79</f>
        <v>3</v>
      </c>
      <c r="W103">
        <f t="shared" si="85"/>
        <v>3.1</v>
      </c>
      <c r="X103" s="9">
        <v>2.7563605</v>
      </c>
    </row>
    <row r="104" spans="1:24">
      <c r="A104" s="29">
        <f t="shared" si="46"/>
        <v>45840.208333333088</v>
      </c>
      <c r="B104" s="30">
        <f t="shared" si="70"/>
        <v>5000</v>
      </c>
      <c r="C104" s="8">
        <v>25000</v>
      </c>
      <c r="D104" s="8">
        <v>0</v>
      </c>
      <c r="E104" s="8">
        <v>0</v>
      </c>
      <c r="F104" s="8">
        <v>0</v>
      </c>
      <c r="G104" s="30">
        <f t="shared" si="71"/>
        <v>2400</v>
      </c>
      <c r="H104" s="8">
        <v>25000</v>
      </c>
      <c r="I104" s="30">
        <f t="shared" si="72"/>
        <v>5000</v>
      </c>
      <c r="J104" s="8">
        <v>25000</v>
      </c>
      <c r="K104" s="30">
        <f t="shared" si="73"/>
        <v>5000</v>
      </c>
      <c r="L104" s="8">
        <v>25000</v>
      </c>
      <c r="M104" s="9">
        <f>VLOOKUP(DATE(YEAR(A104),MONTH(A104),DAY(A104)),FY24_Temp[],4,FALSE)</f>
        <v>8.4</v>
      </c>
      <c r="N104" s="9">
        <f>VLOOKUP(DATE(YEAR(A104),MONTH(A104),DAY(A104)),FY24_Temp[],3,FALSE)</f>
        <v>12.8</v>
      </c>
      <c r="O104" s="9">
        <v>13</v>
      </c>
      <c r="P104" s="9">
        <v>19.5</v>
      </c>
      <c r="Q104" s="79">
        <f>VLOOKUP(VLOOKUP(DATEVALUE(TEXT(A104,"m/d/yyyy")),FY24_Temp[],5,FALSE)&amp;TEXT(A104,"-h"),Table6[],4,FALSE)</f>
        <v>0.5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VLOOKUP(TEXT(A104,"yy-mm")&amp;"-"&amp;IF(AND(WEEKDAY(A104)&gt;1,WEEKDAY(A104)&lt;7),"Wkd",TEXT(A104,"Ddd"))&amp;"-"&amp;TEXT(A104,"hh"),LoadTable[],5,FALSE)*0.92</f>
        <v>279.25312000000002</v>
      </c>
      <c r="U104" s="104">
        <f>VLOOKUP(TEXT(A104,"yy-mm")&amp;"-"&amp;IF(AND(WEEKDAY(A104)&gt;1,WEEKDAY(A104)&lt;7),"Wkd",TEXT(A104,"Ddd"))&amp;"-"&amp;TEXT(A104,"hh"),LoadTable[],6,FALSE)*T104</f>
        <v>14735.070129920001</v>
      </c>
      <c r="V104">
        <f t="shared" ref="V104:W104" si="86">V80</f>
        <v>2.9</v>
      </c>
      <c r="W104">
        <f t="shared" si="86"/>
        <v>3.1</v>
      </c>
      <c r="X104" s="9">
        <v>2.8510411000000002</v>
      </c>
    </row>
    <row r="105" spans="1:24">
      <c r="A105" s="29">
        <f t="shared" si="46"/>
        <v>45840.249999999753</v>
      </c>
      <c r="B105" s="30">
        <f t="shared" si="70"/>
        <v>8000</v>
      </c>
      <c r="C105" s="8">
        <v>25000</v>
      </c>
      <c r="D105" s="8">
        <v>0</v>
      </c>
      <c r="E105" s="8">
        <v>0</v>
      </c>
      <c r="F105" s="8">
        <v>0</v>
      </c>
      <c r="G105" s="30">
        <f t="shared" si="71"/>
        <v>2400</v>
      </c>
      <c r="H105" s="8">
        <v>25000</v>
      </c>
      <c r="I105" s="30">
        <f t="shared" si="72"/>
        <v>8000</v>
      </c>
      <c r="J105" s="8">
        <v>25000</v>
      </c>
      <c r="K105" s="30">
        <f t="shared" si="73"/>
        <v>8000</v>
      </c>
      <c r="L105" s="8">
        <v>25000</v>
      </c>
      <c r="M105" s="9">
        <f>VLOOKUP(DATE(YEAR(A105),MONTH(A105),DAY(A105)),FY24_Temp[],4,FALSE)</f>
        <v>8.4</v>
      </c>
      <c r="N105" s="9">
        <f>VLOOKUP(DATE(YEAR(A105),MONTH(A105),DAY(A105)),FY24_Temp[],3,FALSE)</f>
        <v>12.8</v>
      </c>
      <c r="O105" s="9">
        <v>13</v>
      </c>
      <c r="P105" s="9">
        <v>19.5</v>
      </c>
      <c r="Q105" s="79">
        <f>VLOOKUP(VLOOKUP(DATEVALUE(TEXT(A105,"m/d/yyyy")),FY24_Temp[],5,FALSE)&amp;TEXT(A105,"-h"),Table6[],4,FALSE)</f>
        <v>0.5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VLOOKUP(TEXT(A105,"yy-mm")&amp;"-"&amp;IF(AND(WEEKDAY(A105)&gt;1,WEEKDAY(A105)&lt;7),"Wkd",TEXT(A105,"Ddd"))&amp;"-"&amp;TEXT(A105,"hh"),LoadTable[],5,FALSE)*0.92</f>
        <v>279.25312000000002</v>
      </c>
      <c r="U105" s="104">
        <f>VLOOKUP(TEXT(A105,"yy-mm")&amp;"-"&amp;IF(AND(WEEKDAY(A105)&gt;1,WEEKDAY(A105)&lt;7),"Wkd",TEXT(A105,"Ddd"))&amp;"-"&amp;TEXT(A105,"hh"),LoadTable[],6,FALSE)*T105</f>
        <v>26238.902408320002</v>
      </c>
      <c r="V105">
        <f t="shared" ref="V105:W105" si="87">V81</f>
        <v>2.5</v>
      </c>
      <c r="W105">
        <f t="shared" si="87"/>
        <v>3.1</v>
      </c>
      <c r="X105" s="9">
        <v>2.9912312000000001</v>
      </c>
    </row>
    <row r="106" spans="1:24">
      <c r="A106" s="29">
        <f t="shared" si="46"/>
        <v>45840.291666666417</v>
      </c>
      <c r="B106" s="30">
        <f t="shared" si="70"/>
        <v>8000</v>
      </c>
      <c r="C106" s="8">
        <v>25000</v>
      </c>
      <c r="D106" s="8">
        <v>0</v>
      </c>
      <c r="E106" s="8">
        <v>0</v>
      </c>
      <c r="F106" s="8">
        <v>0</v>
      </c>
      <c r="G106" s="30">
        <f t="shared" si="71"/>
        <v>2400</v>
      </c>
      <c r="H106" s="8">
        <v>25000</v>
      </c>
      <c r="I106" s="30">
        <f t="shared" si="72"/>
        <v>8000</v>
      </c>
      <c r="J106" s="8">
        <v>25000</v>
      </c>
      <c r="K106" s="30">
        <f t="shared" si="73"/>
        <v>8000</v>
      </c>
      <c r="L106" s="8">
        <v>25000</v>
      </c>
      <c r="M106" s="9">
        <f>VLOOKUP(DATE(YEAR(A106),MONTH(A106),DAY(A106)),FY24_Temp[],4,FALSE)</f>
        <v>8.4</v>
      </c>
      <c r="N106" s="9">
        <f>VLOOKUP(DATE(YEAR(A106),MONTH(A106),DAY(A106)),FY24_Temp[],3,FALSE)</f>
        <v>12.8</v>
      </c>
      <c r="O106" s="9">
        <v>13</v>
      </c>
      <c r="P106" s="9">
        <v>19.5</v>
      </c>
      <c r="Q106" s="79">
        <f>VLOOKUP(VLOOKUP(DATEVALUE(TEXT(A106,"m/d/yyyy")),FY24_Temp[],5,FALSE)&amp;TEXT(A106,"-h"),Table6[],4,FALSE)</f>
        <v>0.5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VLOOKUP(TEXT(A106,"yy-mm")&amp;"-"&amp;IF(AND(WEEKDAY(A106)&gt;1,WEEKDAY(A106)&lt;7),"Wkd",TEXT(A106,"Ddd"))&amp;"-"&amp;TEXT(A106,"hh"),LoadTable[],5,FALSE)*0.92</f>
        <v>279.25312000000002</v>
      </c>
      <c r="U106" s="104">
        <f>VLOOKUP(TEXT(A106,"yy-mm")&amp;"-"&amp;IF(AND(WEEKDAY(A106)&gt;1,WEEKDAY(A106)&lt;7),"Wkd",TEXT(A106,"Ddd"))&amp;"-"&amp;TEXT(A106,"hh"),LoadTable[],6,FALSE)*T106</f>
        <v>22145.051669120003</v>
      </c>
      <c r="V106">
        <f t="shared" ref="V106:W106" si="88">V82</f>
        <v>2.5</v>
      </c>
      <c r="W106">
        <f t="shared" si="88"/>
        <v>3.1</v>
      </c>
      <c r="X106" s="9">
        <v>3.1457856</v>
      </c>
    </row>
    <row r="107" spans="1:24">
      <c r="A107" s="29">
        <f t="shared" si="46"/>
        <v>45840.333333333081</v>
      </c>
      <c r="B107" s="30">
        <f t="shared" si="70"/>
        <v>8000</v>
      </c>
      <c r="C107" s="8">
        <v>25000</v>
      </c>
      <c r="D107" s="8">
        <v>0</v>
      </c>
      <c r="E107" s="8">
        <v>0</v>
      </c>
      <c r="F107" s="8">
        <v>0</v>
      </c>
      <c r="G107" s="30">
        <f t="shared" si="71"/>
        <v>2400</v>
      </c>
      <c r="H107" s="8">
        <v>25000</v>
      </c>
      <c r="I107" s="30">
        <f t="shared" si="72"/>
        <v>8000</v>
      </c>
      <c r="J107" s="8">
        <v>25000</v>
      </c>
      <c r="K107" s="30">
        <f t="shared" si="73"/>
        <v>8000</v>
      </c>
      <c r="L107" s="8">
        <v>25000</v>
      </c>
      <c r="M107" s="9">
        <f>VLOOKUP(DATE(YEAR(A107),MONTH(A107),DAY(A107)),FY24_Temp[],4,FALSE)</f>
        <v>8.4</v>
      </c>
      <c r="N107" s="9">
        <f>VLOOKUP(DATE(YEAR(A107),MONTH(A107),DAY(A107)),FY24_Temp[],3,FALSE)</f>
        <v>12.8</v>
      </c>
      <c r="O107" s="9">
        <v>13</v>
      </c>
      <c r="P107" s="9">
        <v>19.5</v>
      </c>
      <c r="Q107" s="79">
        <f>VLOOKUP(VLOOKUP(DATEVALUE(TEXT(A107,"m/d/yyyy")),FY24_Temp[],5,FALSE)&amp;TEXT(A107,"-h"),Table6[],4,FALSE)</f>
        <v>0.5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VLOOKUP(TEXT(A107,"yy-mm")&amp;"-"&amp;IF(AND(WEEKDAY(A107)&gt;1,WEEKDAY(A107)&lt;7),"Wkd",TEXT(A107,"Ddd"))&amp;"-"&amp;TEXT(A107,"hh"),LoadTable[],5,FALSE)*0.92</f>
        <v>279.25312000000002</v>
      </c>
      <c r="U107" s="104">
        <f>VLOOKUP(TEXT(A107,"yy-mm")&amp;"-"&amp;IF(AND(WEEKDAY(A107)&gt;1,WEEKDAY(A107)&lt;7),"Wkd",TEXT(A107,"Ddd"))&amp;"-"&amp;TEXT(A107,"hh"),LoadTable[],6,FALSE)*T107</f>
        <v>17686.77560832</v>
      </c>
      <c r="V107">
        <f t="shared" ref="V107:W107" si="89">V83</f>
        <v>3.2</v>
      </c>
      <c r="W107">
        <f t="shared" si="89"/>
        <v>3</v>
      </c>
      <c r="X107" s="9">
        <v>3.2171774000000002</v>
      </c>
    </row>
    <row r="108" spans="1:24">
      <c r="A108" s="29">
        <f t="shared" si="46"/>
        <v>45840.374999999745</v>
      </c>
      <c r="B108" s="30">
        <f t="shared" si="70"/>
        <v>8000</v>
      </c>
      <c r="C108" s="8">
        <v>25000</v>
      </c>
      <c r="D108" s="8">
        <v>0</v>
      </c>
      <c r="E108" s="8">
        <v>0</v>
      </c>
      <c r="F108" s="8">
        <v>0</v>
      </c>
      <c r="G108" s="30">
        <f t="shared" si="71"/>
        <v>2400</v>
      </c>
      <c r="H108" s="8">
        <v>25000</v>
      </c>
      <c r="I108" s="30">
        <f t="shared" si="72"/>
        <v>8000</v>
      </c>
      <c r="J108" s="8">
        <v>25000</v>
      </c>
      <c r="K108" s="30">
        <f t="shared" si="73"/>
        <v>8000</v>
      </c>
      <c r="L108" s="8">
        <v>25000</v>
      </c>
      <c r="M108" s="9">
        <f>VLOOKUP(DATE(YEAR(A108),MONTH(A108),DAY(A108)),FY24_Temp[],4,FALSE)</f>
        <v>8.4</v>
      </c>
      <c r="N108" s="9">
        <f>VLOOKUP(DATE(YEAR(A108),MONTH(A108),DAY(A108)),FY24_Temp[],3,FALSE)</f>
        <v>12.8</v>
      </c>
      <c r="O108" s="9">
        <v>13</v>
      </c>
      <c r="P108" s="9">
        <v>19.5</v>
      </c>
      <c r="Q108" s="79">
        <f>VLOOKUP(VLOOKUP(DATEVALUE(TEXT(A108,"m/d/yyyy")),FY24_Temp[],5,FALSE)&amp;TEXT(A108,"-h"),Table6[],4,FALSE)</f>
        <v>0.5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VLOOKUP(TEXT(A108,"yy-mm")&amp;"-"&amp;IF(AND(WEEKDAY(A108)&gt;1,WEEKDAY(A108)&lt;7),"Wkd",TEXT(A108,"Ddd"))&amp;"-"&amp;TEXT(A108,"hh"),LoadTable[],5,FALSE)*0.92</f>
        <v>279.25312000000002</v>
      </c>
      <c r="U108" s="104">
        <f>VLOOKUP(TEXT(A108,"yy-mm")&amp;"-"&amp;IF(AND(WEEKDAY(A108)&gt;1,WEEKDAY(A108)&lt;7),"Wkd",TEXT(A108,"Ddd"))&amp;"-"&amp;TEXT(A108,"hh"),LoadTable[],6,FALSE)*T108</f>
        <v>14265.924888320002</v>
      </c>
      <c r="V108">
        <f t="shared" ref="V108:W108" si="90">V84</f>
        <v>2.9</v>
      </c>
      <c r="W108">
        <f t="shared" si="90"/>
        <v>3</v>
      </c>
      <c r="X108" s="9">
        <v>3.2655444</v>
      </c>
    </row>
    <row r="109" spans="1:24">
      <c r="A109" s="29">
        <f t="shared" si="46"/>
        <v>45840.41666666641</v>
      </c>
      <c r="B109" s="30">
        <f t="shared" si="70"/>
        <v>8000</v>
      </c>
      <c r="C109" s="8">
        <v>25000</v>
      </c>
      <c r="D109" s="8">
        <v>0</v>
      </c>
      <c r="E109" s="8">
        <v>0</v>
      </c>
      <c r="F109" s="8">
        <v>0</v>
      </c>
      <c r="G109" s="30">
        <f t="shared" si="71"/>
        <v>2400</v>
      </c>
      <c r="H109" s="8">
        <v>25000</v>
      </c>
      <c r="I109" s="30">
        <f t="shared" si="72"/>
        <v>8000</v>
      </c>
      <c r="J109" s="8">
        <v>25000</v>
      </c>
      <c r="K109" s="30">
        <f t="shared" si="73"/>
        <v>8000</v>
      </c>
      <c r="L109" s="8">
        <v>25000</v>
      </c>
      <c r="M109" s="9">
        <f>VLOOKUP(DATE(YEAR(A109),MONTH(A109),DAY(A109)),FY24_Temp[],4,FALSE)</f>
        <v>8.4</v>
      </c>
      <c r="N109" s="9">
        <f>VLOOKUP(DATE(YEAR(A109),MONTH(A109),DAY(A109)),FY24_Temp[],3,FALSE)</f>
        <v>12.8</v>
      </c>
      <c r="O109" s="9">
        <v>13</v>
      </c>
      <c r="P109" s="9">
        <v>19.5</v>
      </c>
      <c r="Q109" s="79">
        <f>VLOOKUP(VLOOKUP(DATEVALUE(TEXT(A109,"m/d/yyyy")),FY24_Temp[],5,FALSE)&amp;TEXT(A109,"-h"),Table6[],4,FALSE)</f>
        <v>0.5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VLOOKUP(TEXT(A109,"yy-mm")&amp;"-"&amp;IF(AND(WEEKDAY(A109)&gt;1,WEEKDAY(A109)&lt;7),"Wkd",TEXT(A109,"Ddd"))&amp;"-"&amp;TEXT(A109,"hh"),LoadTable[],5,FALSE)*0.92</f>
        <v>279.25312000000002</v>
      </c>
      <c r="U109" s="104">
        <f>VLOOKUP(TEXT(A109,"yy-mm")&amp;"-"&amp;IF(AND(WEEKDAY(A109)&gt;1,WEEKDAY(A109)&lt;7),"Wkd",TEXT(A109,"Ddd"))&amp;"-"&amp;TEXT(A109,"hh"),LoadTable[],6,FALSE)*T109</f>
        <v>13649.054746240003</v>
      </c>
      <c r="V109">
        <f t="shared" ref="V109:W109" si="91">V85</f>
        <v>2.9</v>
      </c>
      <c r="W109">
        <f t="shared" si="91"/>
        <v>3</v>
      </c>
      <c r="X109" s="9">
        <v>3.3397256999999998</v>
      </c>
    </row>
    <row r="110" spans="1:24">
      <c r="A110" s="29">
        <f t="shared" si="46"/>
        <v>45840.458333333074</v>
      </c>
      <c r="B110" s="30">
        <f t="shared" si="70"/>
        <v>8000</v>
      </c>
      <c r="C110" s="8">
        <v>25000</v>
      </c>
      <c r="D110" s="8">
        <v>0</v>
      </c>
      <c r="E110" s="8">
        <v>0</v>
      </c>
      <c r="F110" s="8">
        <v>0</v>
      </c>
      <c r="G110" s="30">
        <f t="shared" si="71"/>
        <v>2400</v>
      </c>
      <c r="H110" s="8">
        <v>25000</v>
      </c>
      <c r="I110" s="30">
        <f t="shared" si="72"/>
        <v>8000</v>
      </c>
      <c r="J110" s="8">
        <v>25000</v>
      </c>
      <c r="K110" s="30">
        <f t="shared" si="73"/>
        <v>8000</v>
      </c>
      <c r="L110" s="8">
        <v>25000</v>
      </c>
      <c r="M110" s="9">
        <f>VLOOKUP(DATE(YEAR(A110),MONTH(A110),DAY(A110)),FY24_Temp[],4,FALSE)</f>
        <v>8.4</v>
      </c>
      <c r="N110" s="9">
        <f>VLOOKUP(DATE(YEAR(A110),MONTH(A110),DAY(A110)),FY24_Temp[],3,FALSE)</f>
        <v>12.8</v>
      </c>
      <c r="O110" s="9">
        <v>13</v>
      </c>
      <c r="P110" s="9">
        <v>19.5</v>
      </c>
      <c r="Q110" s="79">
        <f>VLOOKUP(VLOOKUP(DATEVALUE(TEXT(A110,"m/d/yyyy")),FY24_Temp[],5,FALSE)&amp;TEXT(A110,"-h"),Table6[],4,FALSE)</f>
        <v>0.5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VLOOKUP(TEXT(A110,"yy-mm")&amp;"-"&amp;IF(AND(WEEKDAY(A110)&gt;1,WEEKDAY(A110)&lt;7),"Wkd",TEXT(A110,"Ddd"))&amp;"-"&amp;TEXT(A110,"hh"),LoadTable[],5,FALSE)*0.92</f>
        <v>279.25312000000002</v>
      </c>
      <c r="U110" s="104">
        <f>VLOOKUP(TEXT(A110,"yy-mm")&amp;"-"&amp;IF(AND(WEEKDAY(A110)&gt;1,WEEKDAY(A110)&lt;7),"Wkd",TEXT(A110,"Ddd"))&amp;"-"&amp;TEXT(A110,"hh"),LoadTable[],6,FALSE)*T110</f>
        <v>13153.938964480001</v>
      </c>
      <c r="V110">
        <f t="shared" ref="V110:W110" si="92">V86</f>
        <v>3.4</v>
      </c>
      <c r="W110">
        <f t="shared" si="92"/>
        <v>3</v>
      </c>
      <c r="X110" s="9">
        <v>3.2940686000000001</v>
      </c>
    </row>
    <row r="111" spans="1:24">
      <c r="A111" s="29">
        <f t="shared" si="46"/>
        <v>45840.499999999738</v>
      </c>
      <c r="B111" s="30">
        <f t="shared" si="70"/>
        <v>8000</v>
      </c>
      <c r="C111" s="8">
        <v>25000</v>
      </c>
      <c r="D111" s="8">
        <v>0</v>
      </c>
      <c r="E111" s="8">
        <v>0</v>
      </c>
      <c r="F111" s="8">
        <v>0</v>
      </c>
      <c r="G111" s="30">
        <f t="shared" si="71"/>
        <v>2400</v>
      </c>
      <c r="H111" s="8">
        <v>25000</v>
      </c>
      <c r="I111" s="30">
        <f t="shared" si="72"/>
        <v>8000</v>
      </c>
      <c r="J111" s="8">
        <v>25000</v>
      </c>
      <c r="K111" s="30">
        <f t="shared" si="73"/>
        <v>8000</v>
      </c>
      <c r="L111" s="8">
        <v>25000</v>
      </c>
      <c r="M111" s="9">
        <f>VLOOKUP(DATE(YEAR(A111),MONTH(A111),DAY(A111)),FY24_Temp[],4,FALSE)</f>
        <v>8.4</v>
      </c>
      <c r="N111" s="9">
        <f>VLOOKUP(DATE(YEAR(A111),MONTH(A111),DAY(A111)),FY24_Temp[],3,FALSE)</f>
        <v>12.8</v>
      </c>
      <c r="O111" s="9">
        <v>13</v>
      </c>
      <c r="P111" s="9">
        <v>19.5</v>
      </c>
      <c r="Q111" s="79">
        <f>VLOOKUP(VLOOKUP(DATEVALUE(TEXT(A111,"m/d/yyyy")),FY24_Temp[],5,FALSE)&amp;TEXT(A111,"-h"),Table6[],4,FALSE)</f>
        <v>0.5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VLOOKUP(TEXT(A111,"yy-mm")&amp;"-"&amp;IF(AND(WEEKDAY(A111)&gt;1,WEEKDAY(A111)&lt;7),"Wkd",TEXT(A111,"Ddd"))&amp;"-"&amp;TEXT(A111,"hh"),LoadTable[],5,FALSE)*0.92</f>
        <v>279.25312000000002</v>
      </c>
      <c r="U111" s="104">
        <f>VLOOKUP(TEXT(A111,"yy-mm")&amp;"-"&amp;IF(AND(WEEKDAY(A111)&gt;1,WEEKDAY(A111)&lt;7),"Wkd",TEXT(A111,"Ddd"))&amp;"-"&amp;TEXT(A111,"hh"),LoadTable[],6,FALSE)*T111</f>
        <v>13898.427782400002</v>
      </c>
      <c r="V111">
        <f t="shared" ref="V111:W111" si="93">V87</f>
        <v>3.1</v>
      </c>
      <c r="W111">
        <f t="shared" si="93"/>
        <v>2.9</v>
      </c>
      <c r="X111" s="9">
        <v>3.1533601</v>
      </c>
    </row>
    <row r="112" spans="1:24">
      <c r="A112" s="29">
        <f t="shared" si="46"/>
        <v>45840.541666666402</v>
      </c>
      <c r="B112" s="30">
        <f t="shared" si="70"/>
        <v>8000</v>
      </c>
      <c r="C112" s="8">
        <v>25000</v>
      </c>
      <c r="D112" s="8">
        <v>0</v>
      </c>
      <c r="E112" s="8">
        <v>0</v>
      </c>
      <c r="F112" s="8">
        <v>0</v>
      </c>
      <c r="G112" s="30">
        <f t="shared" si="71"/>
        <v>2400</v>
      </c>
      <c r="H112" s="8">
        <v>25000</v>
      </c>
      <c r="I112" s="30">
        <f t="shared" si="72"/>
        <v>8000</v>
      </c>
      <c r="J112" s="8">
        <v>25000</v>
      </c>
      <c r="K112" s="30">
        <f t="shared" si="73"/>
        <v>8000</v>
      </c>
      <c r="L112" s="8">
        <v>25000</v>
      </c>
      <c r="M112" s="9">
        <f>VLOOKUP(DATE(YEAR(A112),MONTH(A112),DAY(A112)),FY24_Temp[],4,FALSE)</f>
        <v>8.4</v>
      </c>
      <c r="N112" s="9">
        <f>VLOOKUP(DATE(YEAR(A112),MONTH(A112),DAY(A112)),FY24_Temp[],3,FALSE)</f>
        <v>12.8</v>
      </c>
      <c r="O112" s="9">
        <v>13</v>
      </c>
      <c r="P112" s="9">
        <v>19.5</v>
      </c>
      <c r="Q112" s="79">
        <f>VLOOKUP(VLOOKUP(DATEVALUE(TEXT(A112,"m/d/yyyy")),FY24_Temp[],5,FALSE)&amp;TEXT(A112,"-h"),Table6[],4,FALSE)</f>
        <v>0.5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VLOOKUP(TEXT(A112,"yy-mm")&amp;"-"&amp;IF(AND(WEEKDAY(A112)&gt;1,WEEKDAY(A112)&lt;7),"Wkd",TEXT(A112,"Ddd"))&amp;"-"&amp;TEXT(A112,"hh"),LoadTable[],5,FALSE)*0.92</f>
        <v>279.25312000000002</v>
      </c>
      <c r="U112" s="104">
        <f>VLOOKUP(TEXT(A112,"yy-mm")&amp;"-"&amp;IF(AND(WEEKDAY(A112)&gt;1,WEEKDAY(A112)&lt;7),"Wkd",TEXT(A112,"Ddd"))&amp;"-"&amp;TEXT(A112,"hh"),LoadTable[],6,FALSE)*T112</f>
        <v>16526.1996416</v>
      </c>
      <c r="V112">
        <f t="shared" ref="V112:W112" si="94">V88</f>
        <v>3.2</v>
      </c>
      <c r="W112">
        <f t="shared" si="94"/>
        <v>2.9</v>
      </c>
      <c r="X112" s="9">
        <v>2.9550394999999998</v>
      </c>
    </row>
    <row r="113" spans="1:24">
      <c r="A113" s="29">
        <f t="shared" si="46"/>
        <v>45840.583333333067</v>
      </c>
      <c r="B113" s="30">
        <f t="shared" si="70"/>
        <v>8000</v>
      </c>
      <c r="C113" s="8">
        <v>25000</v>
      </c>
      <c r="D113" s="8">
        <v>0</v>
      </c>
      <c r="E113" s="8">
        <v>0</v>
      </c>
      <c r="F113" s="8">
        <v>0</v>
      </c>
      <c r="G113" s="30">
        <f t="shared" si="71"/>
        <v>2400</v>
      </c>
      <c r="H113" s="8">
        <v>25000</v>
      </c>
      <c r="I113" s="30">
        <f t="shared" si="72"/>
        <v>8000</v>
      </c>
      <c r="J113" s="8">
        <v>25000</v>
      </c>
      <c r="K113" s="30">
        <f t="shared" si="73"/>
        <v>8000</v>
      </c>
      <c r="L113" s="8">
        <v>25000</v>
      </c>
      <c r="M113" s="9">
        <f>VLOOKUP(DATE(YEAR(A113),MONTH(A113),DAY(A113)),FY24_Temp[],4,FALSE)</f>
        <v>8.4</v>
      </c>
      <c r="N113" s="9">
        <f>VLOOKUP(DATE(YEAR(A113),MONTH(A113),DAY(A113)),FY24_Temp[],3,FALSE)</f>
        <v>12.8</v>
      </c>
      <c r="O113" s="9">
        <v>13</v>
      </c>
      <c r="P113" s="9">
        <v>19.5</v>
      </c>
      <c r="Q113" s="79">
        <f>VLOOKUP(VLOOKUP(DATEVALUE(TEXT(A113,"m/d/yyyy")),FY24_Temp[],5,FALSE)&amp;TEXT(A113,"-h"),Table6[],4,FALSE)</f>
        <v>0.5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VLOOKUP(TEXT(A113,"yy-mm")&amp;"-"&amp;IF(AND(WEEKDAY(A113)&gt;1,WEEKDAY(A113)&lt;7),"Wkd",TEXT(A113,"Ddd"))&amp;"-"&amp;TEXT(A113,"hh"),LoadTable[],5,FALSE)*0.92</f>
        <v>373.26607999999999</v>
      </c>
      <c r="U113" s="104">
        <f>VLOOKUP(TEXT(A113,"yy-mm")&amp;"-"&amp;IF(AND(WEEKDAY(A113)&gt;1,WEEKDAY(A113)&lt;7),"Wkd",TEXT(A113,"Ddd"))&amp;"-"&amp;TEXT(A113,"hh"),LoadTable[],6,FALSE)*T113</f>
        <v>27132.338089119996</v>
      </c>
      <c r="V113">
        <f t="shared" ref="V113:W113" si="95">V89</f>
        <v>3.5</v>
      </c>
      <c r="W113">
        <f t="shared" si="95"/>
        <v>2.9</v>
      </c>
      <c r="X113" s="9">
        <v>2.8380632000000001</v>
      </c>
    </row>
    <row r="114" spans="1:24">
      <c r="A114" s="29">
        <f t="shared" si="46"/>
        <v>45840.624999999731</v>
      </c>
      <c r="B114" s="30">
        <f t="shared" si="70"/>
        <v>8000</v>
      </c>
      <c r="C114" s="8">
        <v>25000</v>
      </c>
      <c r="D114" s="8">
        <v>0</v>
      </c>
      <c r="E114" s="8">
        <v>0</v>
      </c>
      <c r="F114" s="8">
        <v>0</v>
      </c>
      <c r="G114" s="30">
        <f t="shared" si="71"/>
        <v>2400</v>
      </c>
      <c r="H114" s="8">
        <v>25000</v>
      </c>
      <c r="I114" s="30">
        <f t="shared" si="72"/>
        <v>8000</v>
      </c>
      <c r="J114" s="8">
        <v>25000</v>
      </c>
      <c r="K114" s="30">
        <f t="shared" si="73"/>
        <v>8000</v>
      </c>
      <c r="L114" s="8">
        <v>25000</v>
      </c>
      <c r="M114" s="9">
        <f>VLOOKUP(DATE(YEAR(A114),MONTH(A114),DAY(A114)),FY24_Temp[],4,FALSE)</f>
        <v>8.4</v>
      </c>
      <c r="N114" s="9">
        <f>VLOOKUP(DATE(YEAR(A114),MONTH(A114),DAY(A114)),FY24_Temp[],3,FALSE)</f>
        <v>12.8</v>
      </c>
      <c r="O114" s="9">
        <v>13</v>
      </c>
      <c r="P114" s="9">
        <v>19.5</v>
      </c>
      <c r="Q114" s="79">
        <f>VLOOKUP(VLOOKUP(DATEVALUE(TEXT(A114,"m/d/yyyy")),FY24_Temp[],5,FALSE)&amp;TEXT(A114,"-h"),Table6[],4,FALSE)</f>
        <v>0.5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VLOOKUP(TEXT(A114,"yy-mm")&amp;"-"&amp;IF(AND(WEEKDAY(A114)&gt;1,WEEKDAY(A114)&lt;7),"Wkd",TEXT(A114,"Ddd"))&amp;"-"&amp;TEXT(A114,"hh"),LoadTable[],5,FALSE)*0.92</f>
        <v>494.57360000000006</v>
      </c>
      <c r="U114" s="104">
        <f>VLOOKUP(TEXT(A114,"yy-mm")&amp;"-"&amp;IF(AND(WEEKDAY(A114)&gt;1,WEEKDAY(A114)&lt;7),"Wkd",TEXT(A114,"Ddd"))&amp;"-"&amp;TEXT(A114,"hh"),LoadTable[],6,FALSE)*T114</f>
        <v>42310.771480000003</v>
      </c>
      <c r="V114">
        <f t="shared" ref="V114:W114" si="96">V90</f>
        <v>3.2</v>
      </c>
      <c r="W114">
        <f t="shared" si="96"/>
        <v>2.9</v>
      </c>
      <c r="X114" s="9">
        <v>2.9475136000000002</v>
      </c>
    </row>
    <row r="115" spans="1:24">
      <c r="A115" s="29">
        <f t="shared" si="46"/>
        <v>45840.666666666395</v>
      </c>
      <c r="B115" s="30">
        <f t="shared" si="70"/>
        <v>8000</v>
      </c>
      <c r="C115" s="8">
        <v>25000</v>
      </c>
      <c r="D115" s="8">
        <v>0</v>
      </c>
      <c r="E115" s="8">
        <v>0</v>
      </c>
      <c r="F115" s="8">
        <v>0</v>
      </c>
      <c r="G115" s="30">
        <f t="shared" si="71"/>
        <v>2400</v>
      </c>
      <c r="H115" s="8">
        <v>25000</v>
      </c>
      <c r="I115" s="30">
        <f t="shared" si="72"/>
        <v>8000</v>
      </c>
      <c r="J115" s="8">
        <v>25000</v>
      </c>
      <c r="K115" s="30">
        <f t="shared" si="73"/>
        <v>8000</v>
      </c>
      <c r="L115" s="8">
        <v>25000</v>
      </c>
      <c r="M115" s="9">
        <f>VLOOKUP(DATE(YEAR(A115),MONTH(A115),DAY(A115)),FY24_Temp[],4,FALSE)</f>
        <v>8.4</v>
      </c>
      <c r="N115" s="9">
        <f>VLOOKUP(DATE(YEAR(A115),MONTH(A115),DAY(A115)),FY24_Temp[],3,FALSE)</f>
        <v>12.8</v>
      </c>
      <c r="O115" s="9">
        <v>13</v>
      </c>
      <c r="P115" s="9">
        <v>19.5</v>
      </c>
      <c r="Q115" s="79">
        <f>VLOOKUP(VLOOKUP(DATEVALUE(TEXT(A115,"m/d/yyyy")),FY24_Temp[],5,FALSE)&amp;TEXT(A115,"-h"),Table6[],4,FALSE)</f>
        <v>0.5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VLOOKUP(TEXT(A115,"yy-mm")&amp;"-"&amp;IF(AND(WEEKDAY(A115)&gt;1,WEEKDAY(A115)&lt;7),"Wkd",TEXT(A115,"Ddd"))&amp;"-"&amp;TEXT(A115,"hh"),LoadTable[],5,FALSE)*0.92</f>
        <v>494.57360000000006</v>
      </c>
      <c r="U115" s="104">
        <f>VLOOKUP(TEXT(A115,"yy-mm")&amp;"-"&amp;IF(AND(WEEKDAY(A115)&gt;1,WEEKDAY(A115)&lt;7),"Wkd",TEXT(A115,"Ddd"))&amp;"-"&amp;TEXT(A115,"hh"),LoadTable[],6,FALSE)*T115</f>
        <v>50694.28857360001</v>
      </c>
      <c r="V115">
        <f t="shared" ref="V115:W115" si="97">V91</f>
        <v>3.5</v>
      </c>
      <c r="W115">
        <f t="shared" si="97"/>
        <v>3</v>
      </c>
      <c r="X115" s="9">
        <v>3.1970005000000001</v>
      </c>
    </row>
    <row r="116" spans="1:24">
      <c r="A116" s="29">
        <f t="shared" si="46"/>
        <v>45840.708333333059</v>
      </c>
      <c r="B116" s="30">
        <f t="shared" si="70"/>
        <v>8000</v>
      </c>
      <c r="C116" s="8">
        <v>25000</v>
      </c>
      <c r="D116" s="8">
        <v>0</v>
      </c>
      <c r="E116" s="8">
        <v>0</v>
      </c>
      <c r="F116" s="8">
        <v>0</v>
      </c>
      <c r="G116" s="30">
        <f t="shared" si="71"/>
        <v>2400</v>
      </c>
      <c r="H116" s="8">
        <v>25000</v>
      </c>
      <c r="I116" s="30">
        <f t="shared" si="72"/>
        <v>8000</v>
      </c>
      <c r="J116" s="8">
        <v>25000</v>
      </c>
      <c r="K116" s="30">
        <f t="shared" si="73"/>
        <v>8000</v>
      </c>
      <c r="L116" s="8">
        <v>25000</v>
      </c>
      <c r="M116" s="9">
        <f>VLOOKUP(DATE(YEAR(A116),MONTH(A116),DAY(A116)),FY24_Temp[],4,FALSE)</f>
        <v>8.4</v>
      </c>
      <c r="N116" s="9">
        <f>VLOOKUP(DATE(YEAR(A116),MONTH(A116),DAY(A116)),FY24_Temp[],3,FALSE)</f>
        <v>12.8</v>
      </c>
      <c r="O116" s="9">
        <v>13</v>
      </c>
      <c r="P116" s="9">
        <v>19.5</v>
      </c>
      <c r="Q116" s="79">
        <f>VLOOKUP(VLOOKUP(DATEVALUE(TEXT(A116,"m/d/yyyy")),FY24_Temp[],5,FALSE)&amp;TEXT(A116,"-h"),Table6[],4,FALSE)</f>
        <v>0.5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VLOOKUP(TEXT(A116,"yy-mm")&amp;"-"&amp;IF(AND(WEEKDAY(A116)&gt;1,WEEKDAY(A116)&lt;7),"Wkd",TEXT(A116,"Ddd"))&amp;"-"&amp;TEXT(A116,"hh"),LoadTable[],5,FALSE)*0.92</f>
        <v>494.57360000000006</v>
      </c>
      <c r="U116" s="104">
        <f>VLOOKUP(TEXT(A116,"yy-mm")&amp;"-"&amp;IF(AND(WEEKDAY(A116)&gt;1,WEEKDAY(A116)&lt;7),"Wkd",TEXT(A116,"Ddd"))&amp;"-"&amp;TEXT(A116,"hh"),LoadTable[],6,FALSE)*T116</f>
        <v>56025.791981600007</v>
      </c>
      <c r="V116">
        <f t="shared" ref="V116:W116" si="98">V92</f>
        <v>3.6</v>
      </c>
      <c r="W116">
        <f t="shared" si="98"/>
        <v>3</v>
      </c>
      <c r="X116" s="9">
        <v>3.0768627999999998</v>
      </c>
    </row>
    <row r="117" spans="1:24">
      <c r="A117" s="29">
        <f t="shared" si="46"/>
        <v>45840.749999999724</v>
      </c>
      <c r="B117" s="30">
        <f t="shared" si="70"/>
        <v>5000</v>
      </c>
      <c r="C117" s="8">
        <v>25000</v>
      </c>
      <c r="D117" s="8">
        <v>0</v>
      </c>
      <c r="E117" s="8">
        <v>0</v>
      </c>
      <c r="F117" s="8">
        <v>0</v>
      </c>
      <c r="G117" s="30">
        <f t="shared" si="71"/>
        <v>2400</v>
      </c>
      <c r="H117" s="8">
        <v>25000</v>
      </c>
      <c r="I117" s="30">
        <f t="shared" si="72"/>
        <v>5000</v>
      </c>
      <c r="J117" s="8">
        <v>25000</v>
      </c>
      <c r="K117" s="30">
        <f t="shared" si="73"/>
        <v>5000</v>
      </c>
      <c r="L117" s="8">
        <v>25000</v>
      </c>
      <c r="M117" s="9">
        <f>VLOOKUP(DATE(YEAR(A117),MONTH(A117),DAY(A117)),FY24_Temp[],4,FALSE)</f>
        <v>8.4</v>
      </c>
      <c r="N117" s="9">
        <f>VLOOKUP(DATE(YEAR(A117),MONTH(A117),DAY(A117)),FY24_Temp[],3,FALSE)</f>
        <v>12.8</v>
      </c>
      <c r="O117" s="9">
        <v>13</v>
      </c>
      <c r="P117" s="9">
        <v>19.5</v>
      </c>
      <c r="Q117" s="79">
        <f>VLOOKUP(VLOOKUP(DATEVALUE(TEXT(A117,"m/d/yyyy")),FY24_Temp[],5,FALSE)&amp;TEXT(A117,"-h"),Table6[],4,FALSE)</f>
        <v>0.5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VLOOKUP(TEXT(A117,"yy-mm")&amp;"-"&amp;IF(AND(WEEKDAY(A117)&gt;1,WEEKDAY(A117)&lt;7),"Wkd",TEXT(A117,"Ddd"))&amp;"-"&amp;TEXT(A117,"hh"),LoadTable[],5,FALSE)*0.92</f>
        <v>494.57360000000006</v>
      </c>
      <c r="U117" s="104">
        <f>VLOOKUP(TEXT(A117,"yy-mm")&amp;"-"&amp;IF(AND(WEEKDAY(A117)&gt;1,WEEKDAY(A117)&lt;7),"Wkd",TEXT(A117,"Ddd"))&amp;"-"&amp;TEXT(A117,"hh"),LoadTable[],6,FALSE)*T117</f>
        <v>60164.383866400007</v>
      </c>
      <c r="V117">
        <f t="shared" ref="V117:W117" si="99">V93</f>
        <v>2.9</v>
      </c>
      <c r="W117">
        <f t="shared" si="99"/>
        <v>3</v>
      </c>
      <c r="X117" s="9">
        <v>3.0157039000000001</v>
      </c>
    </row>
    <row r="118" spans="1:24">
      <c r="A118" s="29">
        <f t="shared" si="46"/>
        <v>45840.791666666388</v>
      </c>
      <c r="B118" s="30">
        <f t="shared" si="70"/>
        <v>5000</v>
      </c>
      <c r="C118" s="8">
        <v>25000</v>
      </c>
      <c r="D118" s="8">
        <v>0</v>
      </c>
      <c r="E118" s="8">
        <v>0</v>
      </c>
      <c r="F118" s="8">
        <v>0</v>
      </c>
      <c r="G118" s="30">
        <f t="shared" si="71"/>
        <v>2400</v>
      </c>
      <c r="H118" s="8">
        <v>25000</v>
      </c>
      <c r="I118" s="30">
        <f t="shared" si="72"/>
        <v>5000</v>
      </c>
      <c r="J118" s="8">
        <v>25000</v>
      </c>
      <c r="K118" s="30">
        <f t="shared" si="73"/>
        <v>5000</v>
      </c>
      <c r="L118" s="8">
        <v>25000</v>
      </c>
      <c r="M118" s="9">
        <f>VLOOKUP(DATE(YEAR(A118),MONTH(A118),DAY(A118)),FY24_Temp[],4,FALSE)</f>
        <v>8.4</v>
      </c>
      <c r="N118" s="9">
        <f>VLOOKUP(DATE(YEAR(A118),MONTH(A118),DAY(A118)),FY24_Temp[],3,FALSE)</f>
        <v>12.8</v>
      </c>
      <c r="O118" s="9">
        <v>13</v>
      </c>
      <c r="P118" s="9">
        <v>19.5</v>
      </c>
      <c r="Q118" s="79">
        <f>VLOOKUP(VLOOKUP(DATEVALUE(TEXT(A118,"m/d/yyyy")),FY24_Temp[],5,FALSE)&amp;TEXT(A118,"-h"),Table6[],4,FALSE)</f>
        <v>0.5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VLOOKUP(TEXT(A118,"yy-mm")&amp;"-"&amp;IF(AND(WEEKDAY(A118)&gt;1,WEEKDAY(A118)&lt;7),"Wkd",TEXT(A118,"Ddd"))&amp;"-"&amp;TEXT(A118,"hh"),LoadTable[],5,FALSE)*0.92</f>
        <v>494.57360000000006</v>
      </c>
      <c r="U118" s="104">
        <f>VLOOKUP(TEXT(A118,"yy-mm")&amp;"-"&amp;IF(AND(WEEKDAY(A118)&gt;1,WEEKDAY(A118)&lt;7),"Wkd",TEXT(A118,"Ddd"))&amp;"-"&amp;TEXT(A118,"hh"),LoadTable[],6,FALSE)*T118</f>
        <v>60548.172980000003</v>
      </c>
      <c r="V118">
        <f t="shared" ref="V118:W118" si="100">V94</f>
        <v>3</v>
      </c>
      <c r="W118">
        <f t="shared" si="100"/>
        <v>3</v>
      </c>
      <c r="X118" s="9">
        <v>3.037318</v>
      </c>
    </row>
    <row r="119" spans="1:24">
      <c r="A119" s="29">
        <f t="shared" si="46"/>
        <v>45840.833333333052</v>
      </c>
      <c r="B119" s="30">
        <f t="shared" si="70"/>
        <v>5000</v>
      </c>
      <c r="C119" s="8">
        <v>25000</v>
      </c>
      <c r="D119" s="8">
        <v>0</v>
      </c>
      <c r="E119" s="8">
        <v>0</v>
      </c>
      <c r="F119" s="8">
        <v>0</v>
      </c>
      <c r="G119" s="30">
        <f t="shared" si="71"/>
        <v>2400</v>
      </c>
      <c r="H119" s="8">
        <v>25000</v>
      </c>
      <c r="I119" s="30">
        <f t="shared" si="72"/>
        <v>5000</v>
      </c>
      <c r="J119" s="8">
        <v>25000</v>
      </c>
      <c r="K119" s="30">
        <f t="shared" si="73"/>
        <v>5000</v>
      </c>
      <c r="L119" s="8">
        <v>25000</v>
      </c>
      <c r="M119" s="9">
        <f>VLOOKUP(DATE(YEAR(A119),MONTH(A119),DAY(A119)),FY24_Temp[],4,FALSE)</f>
        <v>8.4</v>
      </c>
      <c r="N119" s="9">
        <f>VLOOKUP(DATE(YEAR(A119),MONTH(A119),DAY(A119)),FY24_Temp[],3,FALSE)</f>
        <v>12.8</v>
      </c>
      <c r="O119" s="9">
        <v>13</v>
      </c>
      <c r="P119" s="9">
        <v>19.5</v>
      </c>
      <c r="Q119" s="79">
        <f>VLOOKUP(VLOOKUP(DATEVALUE(TEXT(A119,"m/d/yyyy")),FY24_Temp[],5,FALSE)&amp;TEXT(A119,"-h"),Table6[],4,FALSE)</f>
        <v>0.5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VLOOKUP(TEXT(A119,"yy-mm")&amp;"-"&amp;IF(AND(WEEKDAY(A119)&gt;1,WEEKDAY(A119)&lt;7),"Wkd",TEXT(A119,"Ddd"))&amp;"-"&amp;TEXT(A119,"hh"),LoadTable[],5,FALSE)*0.92</f>
        <v>494.57360000000006</v>
      </c>
      <c r="U119" s="104">
        <f>VLOOKUP(TEXT(A119,"yy-mm")&amp;"-"&amp;IF(AND(WEEKDAY(A119)&gt;1,WEEKDAY(A119)&lt;7),"Wkd",TEXT(A119,"Ddd"))&amp;"-"&amp;TEXT(A119,"hh"),LoadTable[],6,FALSE)*T119</f>
        <v>60532.346624800004</v>
      </c>
      <c r="V119">
        <f t="shared" ref="V119:W119" si="101">V95</f>
        <v>2.8</v>
      </c>
      <c r="W119">
        <f t="shared" si="101"/>
        <v>3.1</v>
      </c>
      <c r="X119" s="9">
        <v>3.0483321999999999</v>
      </c>
    </row>
    <row r="120" spans="1:24">
      <c r="A120" s="29">
        <f t="shared" si="46"/>
        <v>45840.874999999716</v>
      </c>
      <c r="B120" s="30">
        <f t="shared" si="70"/>
        <v>5000</v>
      </c>
      <c r="C120" s="8">
        <v>25000</v>
      </c>
      <c r="D120" s="8">
        <v>0</v>
      </c>
      <c r="E120" s="8">
        <v>0</v>
      </c>
      <c r="F120" s="8">
        <v>0</v>
      </c>
      <c r="G120" s="30">
        <f t="shared" si="71"/>
        <v>2400</v>
      </c>
      <c r="H120" s="8">
        <v>25000</v>
      </c>
      <c r="I120" s="30">
        <f t="shared" si="72"/>
        <v>5000</v>
      </c>
      <c r="J120" s="8">
        <v>25000</v>
      </c>
      <c r="K120" s="30">
        <f t="shared" si="73"/>
        <v>5000</v>
      </c>
      <c r="L120" s="8">
        <v>25000</v>
      </c>
      <c r="M120" s="9">
        <f>VLOOKUP(DATE(YEAR(A120),MONTH(A120),DAY(A120)),FY24_Temp[],4,FALSE)</f>
        <v>8.4</v>
      </c>
      <c r="N120" s="9">
        <f>VLOOKUP(DATE(YEAR(A120),MONTH(A120),DAY(A120)),FY24_Temp[],3,FALSE)</f>
        <v>12.8</v>
      </c>
      <c r="O120" s="9">
        <v>13</v>
      </c>
      <c r="P120" s="9">
        <v>19.5</v>
      </c>
      <c r="Q120" s="79">
        <f>VLOOKUP(VLOOKUP(DATEVALUE(TEXT(A120,"m/d/yyyy")),FY24_Temp[],5,FALSE)&amp;TEXT(A120,"-h"),Table6[],4,FALSE)</f>
        <v>0.5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VLOOKUP(TEXT(A120,"yy-mm")&amp;"-"&amp;IF(AND(WEEKDAY(A120)&gt;1,WEEKDAY(A120)&lt;7),"Wkd",TEXT(A120,"Ddd"))&amp;"-"&amp;TEXT(A120,"hh"),LoadTable[],5,FALSE)*0.92</f>
        <v>494.57360000000006</v>
      </c>
      <c r="U120" s="104">
        <f>VLOOKUP(TEXT(A120,"yy-mm")&amp;"-"&amp;IF(AND(WEEKDAY(A120)&gt;1,WEEKDAY(A120)&lt;7),"Wkd",TEXT(A120,"Ddd"))&amp;"-"&amp;TEXT(A120,"hh"),LoadTable[],6,FALSE)*T120</f>
        <v>58481.349905600007</v>
      </c>
      <c r="V120">
        <f t="shared" ref="V120:W120" si="102">V96</f>
        <v>3.5</v>
      </c>
      <c r="W120">
        <f t="shared" si="102"/>
        <v>3.1</v>
      </c>
      <c r="X120" s="9">
        <v>3.0301254000000002</v>
      </c>
    </row>
    <row r="121" spans="1:24">
      <c r="A121" s="29">
        <f t="shared" si="46"/>
        <v>45840.91666666638</v>
      </c>
      <c r="B121" s="30">
        <f t="shared" si="70"/>
        <v>5000</v>
      </c>
      <c r="C121" s="8">
        <v>25000</v>
      </c>
      <c r="D121" s="8">
        <v>0</v>
      </c>
      <c r="E121" s="8">
        <v>0</v>
      </c>
      <c r="F121" s="8">
        <v>0</v>
      </c>
      <c r="G121" s="30">
        <f t="shared" si="71"/>
        <v>2400</v>
      </c>
      <c r="H121" s="8">
        <v>25000</v>
      </c>
      <c r="I121" s="30">
        <f t="shared" si="72"/>
        <v>5000</v>
      </c>
      <c r="J121" s="8">
        <v>25000</v>
      </c>
      <c r="K121" s="30">
        <f t="shared" si="73"/>
        <v>5000</v>
      </c>
      <c r="L121" s="8">
        <v>25000</v>
      </c>
      <c r="M121" s="9">
        <f>VLOOKUP(DATE(YEAR(A121),MONTH(A121),DAY(A121)),FY24_Temp[],4,FALSE)</f>
        <v>8.4</v>
      </c>
      <c r="N121" s="9">
        <f>VLOOKUP(DATE(YEAR(A121),MONTH(A121),DAY(A121)),FY24_Temp[],3,FALSE)</f>
        <v>12.8</v>
      </c>
      <c r="O121" s="9">
        <v>13</v>
      </c>
      <c r="P121" s="9">
        <v>19.5</v>
      </c>
      <c r="Q121" s="79">
        <f>VLOOKUP(VLOOKUP(DATEVALUE(TEXT(A121,"m/d/yyyy")),FY24_Temp[],5,FALSE)&amp;TEXT(A121,"-h"),Table6[],4,FALSE)</f>
        <v>0.5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VLOOKUP(TEXT(A121,"yy-mm")&amp;"-"&amp;IF(AND(WEEKDAY(A121)&gt;1,WEEKDAY(A121)&lt;7),"Wkd",TEXT(A121,"Ddd"))&amp;"-"&amp;TEXT(A121,"hh"),LoadTable[],5,FALSE)*0.92</f>
        <v>418.75640000000004</v>
      </c>
      <c r="U121" s="104">
        <f>VLOOKUP(TEXT(A121,"yy-mm")&amp;"-"&amp;IF(AND(WEEKDAY(A121)&gt;1,WEEKDAY(A121)&lt;7),"Wkd",TEXT(A121,"Ddd"))&amp;"-"&amp;TEXT(A121,"hh"),LoadTable[],6,FALSE)*T121</f>
        <v>27547.889774000003</v>
      </c>
      <c r="V121">
        <f t="shared" ref="V121:W121" si="103">V97</f>
        <v>2.9</v>
      </c>
      <c r="W121">
        <f t="shared" si="103"/>
        <v>3.1</v>
      </c>
      <c r="X121" s="9">
        <v>2.9906788</v>
      </c>
    </row>
    <row r="122" spans="1:24">
      <c r="A122" s="29">
        <f t="shared" si="46"/>
        <v>45840.958333333045</v>
      </c>
      <c r="B122" s="30">
        <f t="shared" si="70"/>
        <v>5000</v>
      </c>
      <c r="C122" s="8">
        <v>25000</v>
      </c>
      <c r="D122" s="8">
        <v>0</v>
      </c>
      <c r="E122" s="8">
        <v>0</v>
      </c>
      <c r="F122" s="8">
        <v>0</v>
      </c>
      <c r="G122" s="30">
        <f t="shared" si="71"/>
        <v>2400</v>
      </c>
      <c r="H122" s="8">
        <v>25000</v>
      </c>
      <c r="I122" s="30">
        <f t="shared" si="72"/>
        <v>5000</v>
      </c>
      <c r="J122" s="8">
        <v>25000</v>
      </c>
      <c r="K122" s="30">
        <f t="shared" si="73"/>
        <v>5000</v>
      </c>
      <c r="L122" s="8">
        <v>25000</v>
      </c>
      <c r="M122" s="9">
        <f>VLOOKUP(DATE(YEAR(A122),MONTH(A122),DAY(A122)),FY24_Temp[],4,FALSE)</f>
        <v>8.4</v>
      </c>
      <c r="N122" s="9">
        <f>VLOOKUP(DATE(YEAR(A122),MONTH(A122),DAY(A122)),FY24_Temp[],3,FALSE)</f>
        <v>12.8</v>
      </c>
      <c r="O122" s="9">
        <v>13</v>
      </c>
      <c r="P122" s="9">
        <v>19.5</v>
      </c>
      <c r="Q122" s="79">
        <f>VLOOKUP(VLOOKUP(DATEVALUE(TEXT(A122,"m/d/yyyy")),FY24_Temp[],5,FALSE)&amp;TEXT(A122,"-h"),Table6[],4,FALSE)</f>
        <v>0.5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VLOOKUP(TEXT(A122,"yy-mm")&amp;"-"&amp;IF(AND(WEEKDAY(A122)&gt;1,WEEKDAY(A122)&lt;7),"Wkd",TEXT(A122,"Ddd"))&amp;"-"&amp;TEXT(A122,"hh"),LoadTable[],5,FALSE)*0.92</f>
        <v>342.93920000000003</v>
      </c>
      <c r="U122" s="104">
        <f>VLOOKUP(TEXT(A122,"yy-mm")&amp;"-"&amp;IF(AND(WEEKDAY(A122)&gt;1,WEEKDAY(A122)&lt;7),"Wkd",TEXT(A122,"Ddd"))&amp;"-"&amp;TEXT(A122,"hh"),LoadTable[],6,FALSE)*T122</f>
        <v>19873.669579200003</v>
      </c>
      <c r="V122">
        <f t="shared" ref="V122:W122" si="104">V98</f>
        <v>3.6</v>
      </c>
      <c r="W122">
        <f t="shared" si="104"/>
        <v>3.1</v>
      </c>
      <c r="X122" s="9">
        <v>2.9216700000000002</v>
      </c>
    </row>
    <row r="123" spans="1:24">
      <c r="A123" s="29">
        <f t="shared" si="46"/>
        <v>45840.999999999709</v>
      </c>
      <c r="B123" s="30">
        <f t="shared" si="70"/>
        <v>5000</v>
      </c>
      <c r="C123" s="8">
        <v>25000</v>
      </c>
      <c r="D123" s="8">
        <v>0</v>
      </c>
      <c r="E123" s="8">
        <v>0</v>
      </c>
      <c r="F123" s="8">
        <v>0</v>
      </c>
      <c r="G123" s="30">
        <f t="shared" si="71"/>
        <v>2400</v>
      </c>
      <c r="H123" s="8">
        <v>25000</v>
      </c>
      <c r="I123" s="30">
        <f t="shared" si="72"/>
        <v>5000</v>
      </c>
      <c r="J123" s="8">
        <v>25000</v>
      </c>
      <c r="K123" s="30">
        <f t="shared" si="73"/>
        <v>5000</v>
      </c>
      <c r="L123" s="8">
        <v>25000</v>
      </c>
      <c r="M123" s="9">
        <f>VLOOKUP(DATE(YEAR(A123),MONTH(A123),DAY(A123)),FY24_Temp[],4,FALSE)</f>
        <v>8.4</v>
      </c>
      <c r="N123" s="9">
        <f>VLOOKUP(DATE(YEAR(A123),MONTH(A123),DAY(A123)),FY24_Temp[],3,FALSE)</f>
        <v>12.8</v>
      </c>
      <c r="O123" s="9">
        <v>13</v>
      </c>
      <c r="P123" s="9">
        <v>19.5</v>
      </c>
      <c r="Q123" s="79">
        <f>VLOOKUP(VLOOKUP(DATEVALUE(TEXT(A123,"m/d/yyyy")),FY24_Temp[],5,FALSE)&amp;TEXT(A123,"-h"),Table6[],4,FALSE)</f>
        <v>0.5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VLOOKUP(TEXT(A123,"yy-mm")&amp;"-"&amp;IF(AND(WEEKDAY(A123)&gt;1,WEEKDAY(A123)&lt;7),"Wkd",TEXT(A123,"Ddd"))&amp;"-"&amp;TEXT(A123,"hh"),LoadTable[],5,FALSE)*0.92</f>
        <v>279.25312000000002</v>
      </c>
      <c r="U123" s="104">
        <f>VLOOKUP(TEXT(A123,"yy-mm")&amp;"-"&amp;IF(AND(WEEKDAY(A123)&gt;1,WEEKDAY(A123)&lt;7),"Wkd",TEXT(A123,"Ddd"))&amp;"-"&amp;TEXT(A123,"hh"),LoadTable[],6,FALSE)*T123</f>
        <v>14895.640673920001</v>
      </c>
      <c r="V123">
        <f t="shared" ref="V123:W123" si="105">V99</f>
        <v>3</v>
      </c>
      <c r="W123">
        <f t="shared" si="105"/>
        <v>3.2</v>
      </c>
      <c r="X123" s="9">
        <v>2.8643165000000002</v>
      </c>
    </row>
    <row r="124" spans="1:24">
      <c r="A124" s="29">
        <f t="shared" si="46"/>
        <v>45841.041666666373</v>
      </c>
      <c r="B124" s="30">
        <f t="shared" si="70"/>
        <v>5000</v>
      </c>
      <c r="C124" s="8">
        <v>25000</v>
      </c>
      <c r="D124" s="8">
        <v>0</v>
      </c>
      <c r="E124" s="8">
        <v>0</v>
      </c>
      <c r="F124" s="8">
        <v>0</v>
      </c>
      <c r="G124" s="30">
        <f t="shared" si="71"/>
        <v>2400</v>
      </c>
      <c r="H124" s="8">
        <v>25000</v>
      </c>
      <c r="I124" s="30">
        <f t="shared" si="72"/>
        <v>5000</v>
      </c>
      <c r="J124" s="8">
        <v>25000</v>
      </c>
      <c r="K124" s="30">
        <f t="shared" si="73"/>
        <v>5000</v>
      </c>
      <c r="L124" s="8">
        <v>25000</v>
      </c>
      <c r="M124" s="9">
        <f>VLOOKUP(DATE(YEAR(A124),MONTH(A124),DAY(A124)),FY24_Temp[],4,FALSE)</f>
        <v>8.4</v>
      </c>
      <c r="N124" s="9">
        <f>VLOOKUP(DATE(YEAR(A124),MONTH(A124),DAY(A124)),FY24_Temp[],3,FALSE)</f>
        <v>12.8</v>
      </c>
      <c r="O124" s="9">
        <v>13</v>
      </c>
      <c r="P124" s="9">
        <v>19.5</v>
      </c>
      <c r="Q124" s="79">
        <f>VLOOKUP(VLOOKUP(DATEVALUE(TEXT(A124,"m/d/yyyy")),FY24_Temp[],5,FALSE)&amp;TEXT(A124,"-h"),Table6[],4,FALSE)</f>
        <v>0.5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VLOOKUP(TEXT(A124,"yy-mm")&amp;"-"&amp;IF(AND(WEEKDAY(A124)&gt;1,WEEKDAY(A124)&lt;7),"Wkd",TEXT(A124,"Ddd"))&amp;"-"&amp;TEXT(A124,"hh"),LoadTable[],5,FALSE)*0.92</f>
        <v>279.25312000000002</v>
      </c>
      <c r="U124" s="104">
        <f>VLOOKUP(TEXT(A124,"yy-mm")&amp;"-"&amp;IF(AND(WEEKDAY(A124)&gt;1,WEEKDAY(A124)&lt;7),"Wkd",TEXT(A124,"Ddd"))&amp;"-"&amp;TEXT(A124,"hh"),LoadTable[],6,FALSE)*T124</f>
        <v>14470.896678400002</v>
      </c>
      <c r="V124">
        <f t="shared" ref="V124:W124" si="106">V100</f>
        <v>2.6</v>
      </c>
      <c r="W124">
        <f t="shared" si="106"/>
        <v>3.2</v>
      </c>
      <c r="X124" s="9">
        <v>2.8924701000000002</v>
      </c>
    </row>
    <row r="125" spans="1:24">
      <c r="A125" s="29">
        <f t="shared" si="46"/>
        <v>45841.083333333037</v>
      </c>
      <c r="B125" s="30">
        <f t="shared" si="70"/>
        <v>5000</v>
      </c>
      <c r="C125" s="8">
        <v>25000</v>
      </c>
      <c r="D125" s="8">
        <v>0</v>
      </c>
      <c r="E125" s="8">
        <v>0</v>
      </c>
      <c r="F125" s="8">
        <v>0</v>
      </c>
      <c r="G125" s="30">
        <f t="shared" si="71"/>
        <v>2400</v>
      </c>
      <c r="H125" s="8">
        <v>25000</v>
      </c>
      <c r="I125" s="30">
        <f t="shared" si="72"/>
        <v>5000</v>
      </c>
      <c r="J125" s="8">
        <v>25000</v>
      </c>
      <c r="K125" s="30">
        <f t="shared" si="73"/>
        <v>5000</v>
      </c>
      <c r="L125" s="8">
        <v>25000</v>
      </c>
      <c r="M125" s="9">
        <f>VLOOKUP(DATE(YEAR(A125),MONTH(A125),DAY(A125)),FY24_Temp[],4,FALSE)</f>
        <v>8.4</v>
      </c>
      <c r="N125" s="9">
        <f>VLOOKUP(DATE(YEAR(A125),MONTH(A125),DAY(A125)),FY24_Temp[],3,FALSE)</f>
        <v>12.8</v>
      </c>
      <c r="O125" s="9">
        <v>13</v>
      </c>
      <c r="P125" s="9">
        <v>19.5</v>
      </c>
      <c r="Q125" s="79">
        <f>VLOOKUP(VLOOKUP(DATEVALUE(TEXT(A125,"m/d/yyyy")),FY24_Temp[],5,FALSE)&amp;TEXT(A125,"-h"),Table6[],4,FALSE)</f>
        <v>0.5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VLOOKUP(TEXT(A125,"yy-mm")&amp;"-"&amp;IF(AND(WEEKDAY(A125)&gt;1,WEEKDAY(A125)&lt;7),"Wkd",TEXT(A125,"Ddd"))&amp;"-"&amp;TEXT(A125,"hh"),LoadTable[],5,FALSE)*0.92</f>
        <v>279.25312000000002</v>
      </c>
      <c r="U125" s="104">
        <f>VLOOKUP(TEXT(A125,"yy-mm")&amp;"-"&amp;IF(AND(WEEKDAY(A125)&gt;1,WEEKDAY(A125)&lt;7),"Wkd",TEXT(A125,"Ddd"))&amp;"-"&amp;TEXT(A125,"hh"),LoadTable[],6,FALSE)*T125</f>
        <v>14154.50289344</v>
      </c>
      <c r="V125">
        <f t="shared" ref="V125:W125" si="107">V101</f>
        <v>2.8</v>
      </c>
      <c r="W125">
        <f t="shared" si="107"/>
        <v>3.2</v>
      </c>
      <c r="X125" s="9">
        <v>2.955308</v>
      </c>
    </row>
    <row r="126" spans="1:24">
      <c r="A126" s="29">
        <f t="shared" si="46"/>
        <v>45841.124999999702</v>
      </c>
      <c r="B126" s="30">
        <f t="shared" si="70"/>
        <v>5000</v>
      </c>
      <c r="C126" s="8">
        <v>25000</v>
      </c>
      <c r="D126" s="8">
        <v>0</v>
      </c>
      <c r="E126" s="8">
        <v>0</v>
      </c>
      <c r="F126" s="8">
        <v>0</v>
      </c>
      <c r="G126" s="30">
        <f t="shared" si="71"/>
        <v>2400</v>
      </c>
      <c r="H126" s="8">
        <v>25000</v>
      </c>
      <c r="I126" s="30">
        <f t="shared" si="72"/>
        <v>5000</v>
      </c>
      <c r="J126" s="8">
        <v>25000</v>
      </c>
      <c r="K126" s="30">
        <f t="shared" si="73"/>
        <v>5000</v>
      </c>
      <c r="L126" s="8">
        <v>25000</v>
      </c>
      <c r="M126" s="9">
        <f>VLOOKUP(DATE(YEAR(A126),MONTH(A126),DAY(A126)),FY24_Temp[],4,FALSE)</f>
        <v>8.4</v>
      </c>
      <c r="N126" s="9">
        <f>VLOOKUP(DATE(YEAR(A126),MONTH(A126),DAY(A126)),FY24_Temp[],3,FALSE)</f>
        <v>12.8</v>
      </c>
      <c r="O126" s="9">
        <v>13</v>
      </c>
      <c r="P126" s="9">
        <v>19.5</v>
      </c>
      <c r="Q126" s="79">
        <f>VLOOKUP(VLOOKUP(DATEVALUE(TEXT(A126,"m/d/yyyy")),FY24_Temp[],5,FALSE)&amp;TEXT(A126,"-h"),Table6[],4,FALSE)</f>
        <v>0.5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VLOOKUP(TEXT(A126,"yy-mm")&amp;"-"&amp;IF(AND(WEEKDAY(A126)&gt;1,WEEKDAY(A126)&lt;7),"Wkd",TEXT(A126,"Ddd"))&amp;"-"&amp;TEXT(A126,"hh"),LoadTable[],5,FALSE)*0.92</f>
        <v>279.25312000000002</v>
      </c>
      <c r="U126" s="104">
        <f>VLOOKUP(TEXT(A126,"yy-mm")&amp;"-"&amp;IF(AND(WEEKDAY(A126)&gt;1,WEEKDAY(A126)&lt;7),"Wkd",TEXT(A126,"Ddd"))&amp;"-"&amp;TEXT(A126,"hh"),LoadTable[],6,FALSE)*T126</f>
        <v>14206.443973760001</v>
      </c>
      <c r="V126">
        <f t="shared" ref="V126:W126" si="108">V102</f>
        <v>2.7</v>
      </c>
      <c r="W126">
        <f t="shared" si="108"/>
        <v>3.2</v>
      </c>
      <c r="X126" s="9">
        <v>3.0358679</v>
      </c>
    </row>
    <row r="127" spans="1:24">
      <c r="A127" s="29">
        <f t="shared" si="46"/>
        <v>45841.166666666366</v>
      </c>
      <c r="B127" s="30">
        <f t="shared" si="70"/>
        <v>5000</v>
      </c>
      <c r="C127" s="8">
        <v>25000</v>
      </c>
      <c r="D127" s="8">
        <v>0</v>
      </c>
      <c r="E127" s="8">
        <v>0</v>
      </c>
      <c r="F127" s="8">
        <v>0</v>
      </c>
      <c r="G127" s="30">
        <f t="shared" si="71"/>
        <v>2400</v>
      </c>
      <c r="H127" s="8">
        <v>25000</v>
      </c>
      <c r="I127" s="30">
        <f t="shared" si="72"/>
        <v>5000</v>
      </c>
      <c r="J127" s="8">
        <v>25000</v>
      </c>
      <c r="K127" s="30">
        <f t="shared" si="73"/>
        <v>5000</v>
      </c>
      <c r="L127" s="8">
        <v>25000</v>
      </c>
      <c r="M127" s="9">
        <f>VLOOKUP(DATE(YEAR(A127),MONTH(A127),DAY(A127)),FY24_Temp[],4,FALSE)</f>
        <v>8.4</v>
      </c>
      <c r="N127" s="9">
        <f>VLOOKUP(DATE(YEAR(A127),MONTH(A127),DAY(A127)),FY24_Temp[],3,FALSE)</f>
        <v>12.8</v>
      </c>
      <c r="O127" s="9">
        <v>13</v>
      </c>
      <c r="P127" s="9">
        <v>19.5</v>
      </c>
      <c r="Q127" s="79">
        <f>VLOOKUP(VLOOKUP(DATEVALUE(TEXT(A127,"m/d/yyyy")),FY24_Temp[],5,FALSE)&amp;TEXT(A127,"-h"),Table6[],4,FALSE)</f>
        <v>0.5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VLOOKUP(TEXT(A127,"yy-mm")&amp;"-"&amp;IF(AND(WEEKDAY(A127)&gt;1,WEEKDAY(A127)&lt;7),"Wkd",TEXT(A127,"Ddd"))&amp;"-"&amp;TEXT(A127,"hh"),LoadTable[],5,FALSE)*0.92</f>
        <v>279.25312000000002</v>
      </c>
      <c r="U127" s="104">
        <f>VLOOKUP(TEXT(A127,"yy-mm")&amp;"-"&amp;IF(AND(WEEKDAY(A127)&gt;1,WEEKDAY(A127)&lt;7),"Wkd",TEXT(A127,"Ddd"))&amp;"-"&amp;TEXT(A127,"hh"),LoadTable[],6,FALSE)*T127</f>
        <v>14229.063476480002</v>
      </c>
      <c r="V127">
        <f t="shared" ref="V127:W127" si="109">V103</f>
        <v>3</v>
      </c>
      <c r="W127">
        <f t="shared" si="109"/>
        <v>3.1</v>
      </c>
      <c r="X127" s="9">
        <v>3.0781846000000002</v>
      </c>
    </row>
    <row r="128" spans="1:24">
      <c r="A128" s="29">
        <f t="shared" si="46"/>
        <v>45841.20833333303</v>
      </c>
      <c r="B128" s="30">
        <f t="shared" si="70"/>
        <v>5000</v>
      </c>
      <c r="C128" s="8">
        <v>25000</v>
      </c>
      <c r="D128" s="8">
        <v>0</v>
      </c>
      <c r="E128" s="8">
        <v>0</v>
      </c>
      <c r="F128" s="8">
        <v>0</v>
      </c>
      <c r="G128" s="30">
        <f t="shared" si="71"/>
        <v>2400</v>
      </c>
      <c r="H128" s="8">
        <v>25000</v>
      </c>
      <c r="I128" s="30">
        <f t="shared" si="72"/>
        <v>5000</v>
      </c>
      <c r="J128" s="8">
        <v>25000</v>
      </c>
      <c r="K128" s="30">
        <f t="shared" si="73"/>
        <v>5000</v>
      </c>
      <c r="L128" s="8">
        <v>25000</v>
      </c>
      <c r="M128" s="9">
        <f>VLOOKUP(DATE(YEAR(A128),MONTH(A128),DAY(A128)),FY24_Temp[],4,FALSE)</f>
        <v>8.4</v>
      </c>
      <c r="N128" s="9">
        <f>VLOOKUP(DATE(YEAR(A128),MONTH(A128),DAY(A128)),FY24_Temp[],3,FALSE)</f>
        <v>12.8</v>
      </c>
      <c r="O128" s="9">
        <v>13</v>
      </c>
      <c r="P128" s="9">
        <v>19.5</v>
      </c>
      <c r="Q128" s="79">
        <f>VLOOKUP(VLOOKUP(DATEVALUE(TEXT(A128,"m/d/yyyy")),FY24_Temp[],5,FALSE)&amp;TEXT(A128,"-h"),Table6[],4,FALSE)</f>
        <v>0.5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VLOOKUP(TEXT(A128,"yy-mm")&amp;"-"&amp;IF(AND(WEEKDAY(A128)&gt;1,WEEKDAY(A128)&lt;7),"Wkd",TEXT(A128,"Ddd"))&amp;"-"&amp;TEXT(A128,"hh"),LoadTable[],5,FALSE)*0.92</f>
        <v>279.25312000000002</v>
      </c>
      <c r="U128" s="104">
        <f>VLOOKUP(TEXT(A128,"yy-mm")&amp;"-"&amp;IF(AND(WEEKDAY(A128)&gt;1,WEEKDAY(A128)&lt;7),"Wkd",TEXT(A128,"Ddd"))&amp;"-"&amp;TEXT(A128,"hh"),LoadTable[],6,FALSE)*T128</f>
        <v>14735.070129920001</v>
      </c>
      <c r="V128">
        <f t="shared" ref="V128:W128" si="110">V104</f>
        <v>2.9</v>
      </c>
      <c r="W128">
        <f t="shared" si="110"/>
        <v>3.1</v>
      </c>
      <c r="X128" s="9">
        <v>3.1533878</v>
      </c>
    </row>
    <row r="129" spans="1:24">
      <c r="A129" s="29">
        <f t="shared" si="46"/>
        <v>45841.249999999694</v>
      </c>
      <c r="B129" s="30">
        <f t="shared" si="70"/>
        <v>8000</v>
      </c>
      <c r="C129" s="8">
        <v>25000</v>
      </c>
      <c r="D129" s="8">
        <v>0</v>
      </c>
      <c r="E129" s="8">
        <v>0</v>
      </c>
      <c r="F129" s="8">
        <v>0</v>
      </c>
      <c r="G129" s="30">
        <f t="shared" si="71"/>
        <v>2400</v>
      </c>
      <c r="H129" s="8">
        <v>25000</v>
      </c>
      <c r="I129" s="30">
        <f t="shared" si="72"/>
        <v>8000</v>
      </c>
      <c r="J129" s="8">
        <v>25000</v>
      </c>
      <c r="K129" s="30">
        <f t="shared" si="73"/>
        <v>8000</v>
      </c>
      <c r="L129" s="8">
        <v>25000</v>
      </c>
      <c r="M129" s="9">
        <f>VLOOKUP(DATE(YEAR(A129),MONTH(A129),DAY(A129)),FY24_Temp[],4,FALSE)</f>
        <v>8.4</v>
      </c>
      <c r="N129" s="9">
        <f>VLOOKUP(DATE(YEAR(A129),MONTH(A129),DAY(A129)),FY24_Temp[],3,FALSE)</f>
        <v>12.8</v>
      </c>
      <c r="O129" s="9">
        <v>13</v>
      </c>
      <c r="P129" s="9">
        <v>19.5</v>
      </c>
      <c r="Q129" s="79">
        <f>VLOOKUP(VLOOKUP(DATEVALUE(TEXT(A129,"m/d/yyyy")),FY24_Temp[],5,FALSE)&amp;TEXT(A129,"-h"),Table6[],4,FALSE)</f>
        <v>0.5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VLOOKUP(TEXT(A129,"yy-mm")&amp;"-"&amp;IF(AND(WEEKDAY(A129)&gt;1,WEEKDAY(A129)&lt;7),"Wkd",TEXT(A129,"Ddd"))&amp;"-"&amp;TEXT(A129,"hh"),LoadTable[],5,FALSE)*0.92</f>
        <v>279.25312000000002</v>
      </c>
      <c r="U129" s="104">
        <f>VLOOKUP(TEXT(A129,"yy-mm")&amp;"-"&amp;IF(AND(WEEKDAY(A129)&gt;1,WEEKDAY(A129)&lt;7),"Wkd",TEXT(A129,"Ddd"))&amp;"-"&amp;TEXT(A129,"hh"),LoadTable[],6,FALSE)*T129</f>
        <v>26238.902408320002</v>
      </c>
      <c r="V129">
        <f t="shared" ref="V129:W129" si="111">V105</f>
        <v>2.5</v>
      </c>
      <c r="W129">
        <f t="shared" si="111"/>
        <v>3.1</v>
      </c>
      <c r="X129" s="9">
        <v>3.249409</v>
      </c>
    </row>
    <row r="130" spans="1:24">
      <c r="A130" s="29">
        <f t="shared" si="46"/>
        <v>45841.291666666359</v>
      </c>
      <c r="B130" s="30">
        <f t="shared" si="70"/>
        <v>8000</v>
      </c>
      <c r="C130" s="8">
        <v>25000</v>
      </c>
      <c r="D130" s="8">
        <v>0</v>
      </c>
      <c r="E130" s="8">
        <v>0</v>
      </c>
      <c r="F130" s="8">
        <v>0</v>
      </c>
      <c r="G130" s="30">
        <f t="shared" si="71"/>
        <v>2400</v>
      </c>
      <c r="H130" s="8">
        <v>25000</v>
      </c>
      <c r="I130" s="30">
        <f t="shared" si="72"/>
        <v>8000</v>
      </c>
      <c r="J130" s="8">
        <v>25000</v>
      </c>
      <c r="K130" s="30">
        <f t="shared" si="73"/>
        <v>8000</v>
      </c>
      <c r="L130" s="8">
        <v>25000</v>
      </c>
      <c r="M130" s="9">
        <f>VLOOKUP(DATE(YEAR(A130),MONTH(A130),DAY(A130)),FY24_Temp[],4,FALSE)</f>
        <v>8.4</v>
      </c>
      <c r="N130" s="9">
        <f>VLOOKUP(DATE(YEAR(A130),MONTH(A130),DAY(A130)),FY24_Temp[],3,FALSE)</f>
        <v>12.8</v>
      </c>
      <c r="O130" s="9">
        <v>13</v>
      </c>
      <c r="P130" s="9">
        <v>19.5</v>
      </c>
      <c r="Q130" s="79">
        <f>VLOOKUP(VLOOKUP(DATEVALUE(TEXT(A130,"m/d/yyyy")),FY24_Temp[],5,FALSE)&amp;TEXT(A130,"-h"),Table6[],4,FALSE)</f>
        <v>0.5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VLOOKUP(TEXT(A130,"yy-mm")&amp;"-"&amp;IF(AND(WEEKDAY(A130)&gt;1,WEEKDAY(A130)&lt;7),"Wkd",TEXT(A130,"Ddd"))&amp;"-"&amp;TEXT(A130,"hh"),LoadTable[],5,FALSE)*0.92</f>
        <v>279.25312000000002</v>
      </c>
      <c r="U130" s="104">
        <f>VLOOKUP(TEXT(A130,"yy-mm")&amp;"-"&amp;IF(AND(WEEKDAY(A130)&gt;1,WEEKDAY(A130)&lt;7),"Wkd",TEXT(A130,"Ddd"))&amp;"-"&amp;TEXT(A130,"hh"),LoadTable[],6,FALSE)*T130</f>
        <v>22145.051669120003</v>
      </c>
      <c r="V130">
        <f t="shared" ref="V130:W130" si="112">V106</f>
        <v>2.5</v>
      </c>
      <c r="W130">
        <f t="shared" si="112"/>
        <v>3.1</v>
      </c>
      <c r="X130" s="9">
        <v>3.2506149</v>
      </c>
    </row>
    <row r="131" spans="1:24">
      <c r="A131" s="29">
        <f t="shared" si="46"/>
        <v>45841.333333333023</v>
      </c>
      <c r="B131" s="30">
        <f t="shared" si="70"/>
        <v>8000</v>
      </c>
      <c r="C131" s="8">
        <v>25000</v>
      </c>
      <c r="D131" s="8">
        <v>0</v>
      </c>
      <c r="E131" s="8">
        <v>0</v>
      </c>
      <c r="F131" s="8">
        <v>0</v>
      </c>
      <c r="G131" s="30">
        <f t="shared" si="71"/>
        <v>2400</v>
      </c>
      <c r="H131" s="8">
        <v>25000</v>
      </c>
      <c r="I131" s="30">
        <f t="shared" si="72"/>
        <v>8000</v>
      </c>
      <c r="J131" s="8">
        <v>25000</v>
      </c>
      <c r="K131" s="30">
        <f t="shared" si="73"/>
        <v>8000</v>
      </c>
      <c r="L131" s="8">
        <v>25000</v>
      </c>
      <c r="M131" s="9">
        <f>VLOOKUP(DATE(YEAR(A131),MONTH(A131),DAY(A131)),FY24_Temp[],4,FALSE)</f>
        <v>8.4</v>
      </c>
      <c r="N131" s="9">
        <f>VLOOKUP(DATE(YEAR(A131),MONTH(A131),DAY(A131)),FY24_Temp[],3,FALSE)</f>
        <v>12.8</v>
      </c>
      <c r="O131" s="9">
        <v>13</v>
      </c>
      <c r="P131" s="9">
        <v>19.5</v>
      </c>
      <c r="Q131" s="79">
        <f>VLOOKUP(VLOOKUP(DATEVALUE(TEXT(A131,"m/d/yyyy")),FY24_Temp[],5,FALSE)&amp;TEXT(A131,"-h"),Table6[],4,FALSE)</f>
        <v>0.5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VLOOKUP(TEXT(A131,"yy-mm")&amp;"-"&amp;IF(AND(WEEKDAY(A131)&gt;1,WEEKDAY(A131)&lt;7),"Wkd",TEXT(A131,"Ddd"))&amp;"-"&amp;TEXT(A131,"hh"),LoadTable[],5,FALSE)*0.92</f>
        <v>279.25312000000002</v>
      </c>
      <c r="U131" s="104">
        <f>VLOOKUP(TEXT(A131,"yy-mm")&amp;"-"&amp;IF(AND(WEEKDAY(A131)&gt;1,WEEKDAY(A131)&lt;7),"Wkd",TEXT(A131,"Ddd"))&amp;"-"&amp;TEXT(A131,"hh"),LoadTable[],6,FALSE)*T131</f>
        <v>17686.77560832</v>
      </c>
      <c r="V131">
        <f t="shared" ref="V131:W131" si="113">V107</f>
        <v>3.2</v>
      </c>
      <c r="W131">
        <f t="shared" si="113"/>
        <v>3</v>
      </c>
      <c r="X131" s="9">
        <v>3.3355350000000001</v>
      </c>
    </row>
    <row r="132" spans="1:24">
      <c r="A132" s="29">
        <f t="shared" si="46"/>
        <v>45841.374999999687</v>
      </c>
      <c r="B132" s="30">
        <f t="shared" si="70"/>
        <v>8000</v>
      </c>
      <c r="C132" s="8">
        <v>25000</v>
      </c>
      <c r="D132" s="8">
        <v>0</v>
      </c>
      <c r="E132" s="8">
        <v>0</v>
      </c>
      <c r="F132" s="8">
        <v>0</v>
      </c>
      <c r="G132" s="30">
        <f t="shared" si="71"/>
        <v>2400</v>
      </c>
      <c r="H132" s="8">
        <v>25000</v>
      </c>
      <c r="I132" s="30">
        <f t="shared" si="72"/>
        <v>8000</v>
      </c>
      <c r="J132" s="8">
        <v>25000</v>
      </c>
      <c r="K132" s="30">
        <f t="shared" si="73"/>
        <v>8000</v>
      </c>
      <c r="L132" s="8">
        <v>25000</v>
      </c>
      <c r="M132" s="9">
        <f>VLOOKUP(DATE(YEAR(A132),MONTH(A132),DAY(A132)),FY24_Temp[],4,FALSE)</f>
        <v>8.4</v>
      </c>
      <c r="N132" s="9">
        <f>VLOOKUP(DATE(YEAR(A132),MONTH(A132),DAY(A132)),FY24_Temp[],3,FALSE)</f>
        <v>12.8</v>
      </c>
      <c r="O132" s="9">
        <v>13</v>
      </c>
      <c r="P132" s="9">
        <v>19.5</v>
      </c>
      <c r="Q132" s="79">
        <f>VLOOKUP(VLOOKUP(DATEVALUE(TEXT(A132,"m/d/yyyy")),FY24_Temp[],5,FALSE)&amp;TEXT(A132,"-h"),Table6[],4,FALSE)</f>
        <v>0.5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VLOOKUP(TEXT(A132,"yy-mm")&amp;"-"&amp;IF(AND(WEEKDAY(A132)&gt;1,WEEKDAY(A132)&lt;7),"Wkd",TEXT(A132,"Ddd"))&amp;"-"&amp;TEXT(A132,"hh"),LoadTable[],5,FALSE)*0.92</f>
        <v>279.25312000000002</v>
      </c>
      <c r="U132" s="104">
        <f>VLOOKUP(TEXT(A132,"yy-mm")&amp;"-"&amp;IF(AND(WEEKDAY(A132)&gt;1,WEEKDAY(A132)&lt;7),"Wkd",TEXT(A132,"Ddd"))&amp;"-"&amp;TEXT(A132,"hh"),LoadTable[],6,FALSE)*T132</f>
        <v>14265.924888320002</v>
      </c>
      <c r="V132">
        <f t="shared" ref="V132:W132" si="114">V108</f>
        <v>2.9</v>
      </c>
      <c r="W132">
        <f t="shared" si="114"/>
        <v>3</v>
      </c>
      <c r="X132" s="9">
        <v>3.4513265999999998</v>
      </c>
    </row>
    <row r="133" spans="1:24">
      <c r="A133" s="29">
        <f t="shared" ref="A133:A196" si="115">A132+TIME(1,0,0)</f>
        <v>45841.416666666351</v>
      </c>
      <c r="B133" s="30">
        <f t="shared" si="70"/>
        <v>8000</v>
      </c>
      <c r="C133" s="8">
        <v>25000</v>
      </c>
      <c r="D133" s="8">
        <v>0</v>
      </c>
      <c r="E133" s="8">
        <v>0</v>
      </c>
      <c r="F133" s="8">
        <v>0</v>
      </c>
      <c r="G133" s="30">
        <f t="shared" si="71"/>
        <v>2400</v>
      </c>
      <c r="H133" s="8">
        <v>25000</v>
      </c>
      <c r="I133" s="30">
        <f t="shared" si="72"/>
        <v>8000</v>
      </c>
      <c r="J133" s="8">
        <v>25000</v>
      </c>
      <c r="K133" s="30">
        <f t="shared" si="73"/>
        <v>8000</v>
      </c>
      <c r="L133" s="8">
        <v>25000</v>
      </c>
      <c r="M133" s="9">
        <f>VLOOKUP(DATE(YEAR(A133),MONTH(A133),DAY(A133)),FY24_Temp[],4,FALSE)</f>
        <v>8.4</v>
      </c>
      <c r="N133" s="9">
        <f>VLOOKUP(DATE(YEAR(A133),MONTH(A133),DAY(A133)),FY24_Temp[],3,FALSE)</f>
        <v>12.8</v>
      </c>
      <c r="O133" s="9">
        <v>13</v>
      </c>
      <c r="P133" s="9">
        <v>19.5</v>
      </c>
      <c r="Q133" s="79">
        <f>VLOOKUP(VLOOKUP(DATEVALUE(TEXT(A133,"m/d/yyyy")),FY24_Temp[],5,FALSE)&amp;TEXT(A133,"-h"),Table6[],4,FALSE)</f>
        <v>0.5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VLOOKUP(TEXT(A133,"yy-mm")&amp;"-"&amp;IF(AND(WEEKDAY(A133)&gt;1,WEEKDAY(A133)&lt;7),"Wkd",TEXT(A133,"Ddd"))&amp;"-"&amp;TEXT(A133,"hh"),LoadTable[],5,FALSE)*0.92</f>
        <v>279.25312000000002</v>
      </c>
      <c r="U133" s="104">
        <f>VLOOKUP(TEXT(A133,"yy-mm")&amp;"-"&amp;IF(AND(WEEKDAY(A133)&gt;1,WEEKDAY(A133)&lt;7),"Wkd",TEXT(A133,"Ddd"))&amp;"-"&amp;TEXT(A133,"hh"),LoadTable[],6,FALSE)*T133</f>
        <v>13649.054746240003</v>
      </c>
      <c r="V133">
        <f t="shared" ref="V133:W133" si="116">V109</f>
        <v>2.9</v>
      </c>
      <c r="W133">
        <f t="shared" si="116"/>
        <v>3</v>
      </c>
      <c r="X133" s="9">
        <v>3.4450078</v>
      </c>
    </row>
    <row r="134" spans="1:24">
      <c r="A134" s="29">
        <f t="shared" si="115"/>
        <v>45841.458333333016</v>
      </c>
      <c r="B134" s="30">
        <f t="shared" si="70"/>
        <v>8000</v>
      </c>
      <c r="C134" s="8">
        <v>25000</v>
      </c>
      <c r="D134" s="8">
        <v>0</v>
      </c>
      <c r="E134" s="8">
        <v>0</v>
      </c>
      <c r="F134" s="8">
        <v>0</v>
      </c>
      <c r="G134" s="30">
        <f t="shared" si="71"/>
        <v>2400</v>
      </c>
      <c r="H134" s="8">
        <v>25000</v>
      </c>
      <c r="I134" s="30">
        <f t="shared" si="72"/>
        <v>8000</v>
      </c>
      <c r="J134" s="8">
        <v>25000</v>
      </c>
      <c r="K134" s="30">
        <f t="shared" si="73"/>
        <v>8000</v>
      </c>
      <c r="L134" s="8">
        <v>25000</v>
      </c>
      <c r="M134" s="9">
        <f>VLOOKUP(DATE(YEAR(A134),MONTH(A134),DAY(A134)),FY24_Temp[],4,FALSE)</f>
        <v>8.4</v>
      </c>
      <c r="N134" s="9">
        <f>VLOOKUP(DATE(YEAR(A134),MONTH(A134),DAY(A134)),FY24_Temp[],3,FALSE)</f>
        <v>12.8</v>
      </c>
      <c r="O134" s="9">
        <v>13</v>
      </c>
      <c r="P134" s="9">
        <v>19.5</v>
      </c>
      <c r="Q134" s="79">
        <f>VLOOKUP(VLOOKUP(DATEVALUE(TEXT(A134,"m/d/yyyy")),FY24_Temp[],5,FALSE)&amp;TEXT(A134,"-h"),Table6[],4,FALSE)</f>
        <v>0.5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VLOOKUP(TEXT(A134,"yy-mm")&amp;"-"&amp;IF(AND(WEEKDAY(A134)&gt;1,WEEKDAY(A134)&lt;7),"Wkd",TEXT(A134,"Ddd"))&amp;"-"&amp;TEXT(A134,"hh"),LoadTable[],5,FALSE)*0.92</f>
        <v>279.25312000000002</v>
      </c>
      <c r="U134" s="104">
        <f>VLOOKUP(TEXT(A134,"yy-mm")&amp;"-"&amp;IF(AND(WEEKDAY(A134)&gt;1,WEEKDAY(A134)&lt;7),"Wkd",TEXT(A134,"Ddd"))&amp;"-"&amp;TEXT(A134,"hh"),LoadTable[],6,FALSE)*T134</f>
        <v>13153.938964480001</v>
      </c>
      <c r="V134">
        <f t="shared" ref="V134:W134" si="117">V110</f>
        <v>3.4</v>
      </c>
      <c r="W134">
        <f t="shared" si="117"/>
        <v>3</v>
      </c>
      <c r="X134" s="9">
        <v>3.2603295000000001</v>
      </c>
    </row>
    <row r="135" spans="1:24">
      <c r="A135" s="29">
        <f t="shared" si="115"/>
        <v>45841.49999999968</v>
      </c>
      <c r="B135" s="30">
        <f t="shared" si="70"/>
        <v>8000</v>
      </c>
      <c r="C135" s="8">
        <v>25000</v>
      </c>
      <c r="D135" s="8">
        <v>0</v>
      </c>
      <c r="E135" s="8">
        <v>0</v>
      </c>
      <c r="F135" s="8">
        <v>0</v>
      </c>
      <c r="G135" s="30">
        <f t="shared" si="71"/>
        <v>2400</v>
      </c>
      <c r="H135" s="8">
        <v>25000</v>
      </c>
      <c r="I135" s="30">
        <f t="shared" si="72"/>
        <v>8000</v>
      </c>
      <c r="J135" s="8">
        <v>25000</v>
      </c>
      <c r="K135" s="30">
        <f t="shared" si="73"/>
        <v>8000</v>
      </c>
      <c r="L135" s="8">
        <v>25000</v>
      </c>
      <c r="M135" s="9">
        <f>VLOOKUP(DATE(YEAR(A135),MONTH(A135),DAY(A135)),FY24_Temp[],4,FALSE)</f>
        <v>8.4</v>
      </c>
      <c r="N135" s="9">
        <f>VLOOKUP(DATE(YEAR(A135),MONTH(A135),DAY(A135)),FY24_Temp[],3,FALSE)</f>
        <v>12.8</v>
      </c>
      <c r="O135" s="9">
        <v>13</v>
      </c>
      <c r="P135" s="9">
        <v>19.5</v>
      </c>
      <c r="Q135" s="79">
        <f>VLOOKUP(VLOOKUP(DATEVALUE(TEXT(A135,"m/d/yyyy")),FY24_Temp[],5,FALSE)&amp;TEXT(A135,"-h"),Table6[],4,FALSE)</f>
        <v>0.5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VLOOKUP(TEXT(A135,"yy-mm")&amp;"-"&amp;IF(AND(WEEKDAY(A135)&gt;1,WEEKDAY(A135)&lt;7),"Wkd",TEXT(A135,"Ddd"))&amp;"-"&amp;TEXT(A135,"hh"),LoadTable[],5,FALSE)*0.92</f>
        <v>279.25312000000002</v>
      </c>
      <c r="U135" s="104">
        <f>VLOOKUP(TEXT(A135,"yy-mm")&amp;"-"&amp;IF(AND(WEEKDAY(A135)&gt;1,WEEKDAY(A135)&lt;7),"Wkd",TEXT(A135,"Ddd"))&amp;"-"&amp;TEXT(A135,"hh"),LoadTable[],6,FALSE)*T135</f>
        <v>13898.427782400002</v>
      </c>
      <c r="V135">
        <f t="shared" ref="V135:W135" si="118">V111</f>
        <v>3.1</v>
      </c>
      <c r="W135">
        <f t="shared" si="118"/>
        <v>2.9</v>
      </c>
      <c r="X135" s="9">
        <v>3.0558071</v>
      </c>
    </row>
    <row r="136" spans="1:24">
      <c r="A136" s="29">
        <f t="shared" si="115"/>
        <v>45841.541666666344</v>
      </c>
      <c r="B136" s="30">
        <f t="shared" si="70"/>
        <v>8000</v>
      </c>
      <c r="C136" s="8">
        <v>25000</v>
      </c>
      <c r="D136" s="8">
        <v>0</v>
      </c>
      <c r="E136" s="8">
        <v>0</v>
      </c>
      <c r="F136" s="8">
        <v>0</v>
      </c>
      <c r="G136" s="30">
        <f t="shared" si="71"/>
        <v>2400</v>
      </c>
      <c r="H136" s="8">
        <v>25000</v>
      </c>
      <c r="I136" s="30">
        <f t="shared" si="72"/>
        <v>8000</v>
      </c>
      <c r="J136" s="8">
        <v>25000</v>
      </c>
      <c r="K136" s="30">
        <f t="shared" si="73"/>
        <v>8000</v>
      </c>
      <c r="L136" s="8">
        <v>25000</v>
      </c>
      <c r="M136" s="9">
        <f>VLOOKUP(DATE(YEAR(A136),MONTH(A136),DAY(A136)),FY24_Temp[],4,FALSE)</f>
        <v>8.4</v>
      </c>
      <c r="N136" s="9">
        <f>VLOOKUP(DATE(YEAR(A136),MONTH(A136),DAY(A136)),FY24_Temp[],3,FALSE)</f>
        <v>12.8</v>
      </c>
      <c r="O136" s="9">
        <v>13</v>
      </c>
      <c r="P136" s="9">
        <v>19.5</v>
      </c>
      <c r="Q136" s="79">
        <f>VLOOKUP(VLOOKUP(DATEVALUE(TEXT(A136,"m/d/yyyy")),FY24_Temp[],5,FALSE)&amp;TEXT(A136,"-h"),Table6[],4,FALSE)</f>
        <v>0.5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VLOOKUP(TEXT(A136,"yy-mm")&amp;"-"&amp;IF(AND(WEEKDAY(A136)&gt;1,WEEKDAY(A136)&lt;7),"Wkd",TEXT(A136,"Ddd"))&amp;"-"&amp;TEXT(A136,"hh"),LoadTable[],5,FALSE)*0.92</f>
        <v>279.25312000000002</v>
      </c>
      <c r="U136" s="104">
        <f>VLOOKUP(TEXT(A136,"yy-mm")&amp;"-"&amp;IF(AND(WEEKDAY(A136)&gt;1,WEEKDAY(A136)&lt;7),"Wkd",TEXT(A136,"Ddd"))&amp;"-"&amp;TEXT(A136,"hh"),LoadTable[],6,FALSE)*T136</f>
        <v>16526.1996416</v>
      </c>
      <c r="V136">
        <f t="shared" ref="V136:W136" si="119">V112</f>
        <v>3.2</v>
      </c>
      <c r="W136">
        <f t="shared" si="119"/>
        <v>2.9</v>
      </c>
      <c r="X136" s="9">
        <v>2.9222016000000002</v>
      </c>
    </row>
    <row r="137" spans="1:24">
      <c r="A137" s="29">
        <f t="shared" si="115"/>
        <v>45841.583333333008</v>
      </c>
      <c r="B137" s="30">
        <f t="shared" si="70"/>
        <v>8000</v>
      </c>
      <c r="C137" s="8">
        <v>25000</v>
      </c>
      <c r="D137" s="8">
        <v>0</v>
      </c>
      <c r="E137" s="8">
        <v>0</v>
      </c>
      <c r="F137" s="8">
        <v>0</v>
      </c>
      <c r="G137" s="30">
        <f t="shared" si="71"/>
        <v>2400</v>
      </c>
      <c r="H137" s="8">
        <v>25000</v>
      </c>
      <c r="I137" s="30">
        <f t="shared" si="72"/>
        <v>8000</v>
      </c>
      <c r="J137" s="8">
        <v>25000</v>
      </c>
      <c r="K137" s="30">
        <f t="shared" si="73"/>
        <v>8000</v>
      </c>
      <c r="L137" s="8">
        <v>25000</v>
      </c>
      <c r="M137" s="9">
        <f>VLOOKUP(DATE(YEAR(A137),MONTH(A137),DAY(A137)),FY24_Temp[],4,FALSE)</f>
        <v>8.4</v>
      </c>
      <c r="N137" s="9">
        <f>VLOOKUP(DATE(YEAR(A137),MONTH(A137),DAY(A137)),FY24_Temp[],3,FALSE)</f>
        <v>12.8</v>
      </c>
      <c r="O137" s="9">
        <v>13</v>
      </c>
      <c r="P137" s="9">
        <v>19.5</v>
      </c>
      <c r="Q137" s="79">
        <f>VLOOKUP(VLOOKUP(DATEVALUE(TEXT(A137,"m/d/yyyy")),FY24_Temp[],5,FALSE)&amp;TEXT(A137,"-h"),Table6[],4,FALSE)</f>
        <v>0.5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VLOOKUP(TEXT(A137,"yy-mm")&amp;"-"&amp;IF(AND(WEEKDAY(A137)&gt;1,WEEKDAY(A137)&lt;7),"Wkd",TEXT(A137,"Ddd"))&amp;"-"&amp;TEXT(A137,"hh"),LoadTable[],5,FALSE)*0.92</f>
        <v>373.26607999999999</v>
      </c>
      <c r="U137" s="104">
        <f>VLOOKUP(TEXT(A137,"yy-mm")&amp;"-"&amp;IF(AND(WEEKDAY(A137)&gt;1,WEEKDAY(A137)&lt;7),"Wkd",TEXT(A137,"Ddd"))&amp;"-"&amp;TEXT(A137,"hh"),LoadTable[],6,FALSE)*T137</f>
        <v>27132.338089119996</v>
      </c>
      <c r="V137">
        <f t="shared" ref="V137:W137" si="120">V113</f>
        <v>3.5</v>
      </c>
      <c r="W137">
        <f t="shared" si="120"/>
        <v>2.9</v>
      </c>
      <c r="X137" s="9">
        <v>2.9752865000000002</v>
      </c>
    </row>
    <row r="138" spans="1:24">
      <c r="A138" s="29">
        <f t="shared" si="115"/>
        <v>45841.624999999673</v>
      </c>
      <c r="B138" s="30">
        <f t="shared" si="70"/>
        <v>8000</v>
      </c>
      <c r="C138" s="8">
        <v>25000</v>
      </c>
      <c r="D138" s="8">
        <v>0</v>
      </c>
      <c r="E138" s="8">
        <v>0</v>
      </c>
      <c r="F138" s="8">
        <v>0</v>
      </c>
      <c r="G138" s="30">
        <f t="shared" si="71"/>
        <v>2400</v>
      </c>
      <c r="H138" s="8">
        <v>25000</v>
      </c>
      <c r="I138" s="30">
        <f t="shared" si="72"/>
        <v>8000</v>
      </c>
      <c r="J138" s="8">
        <v>25000</v>
      </c>
      <c r="K138" s="30">
        <f t="shared" si="73"/>
        <v>8000</v>
      </c>
      <c r="L138" s="8">
        <v>25000</v>
      </c>
      <c r="M138" s="9">
        <f>VLOOKUP(DATE(YEAR(A138),MONTH(A138),DAY(A138)),FY24_Temp[],4,FALSE)</f>
        <v>8.4</v>
      </c>
      <c r="N138" s="9">
        <f>VLOOKUP(DATE(YEAR(A138),MONTH(A138),DAY(A138)),FY24_Temp[],3,FALSE)</f>
        <v>12.8</v>
      </c>
      <c r="O138" s="9">
        <v>13</v>
      </c>
      <c r="P138" s="9">
        <v>19.5</v>
      </c>
      <c r="Q138" s="79">
        <f>VLOOKUP(VLOOKUP(DATEVALUE(TEXT(A138,"m/d/yyyy")),FY24_Temp[],5,FALSE)&amp;TEXT(A138,"-h"),Table6[],4,FALSE)</f>
        <v>0.5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VLOOKUP(TEXT(A138,"yy-mm")&amp;"-"&amp;IF(AND(WEEKDAY(A138)&gt;1,WEEKDAY(A138)&lt;7),"Wkd",TEXT(A138,"Ddd"))&amp;"-"&amp;TEXT(A138,"hh"),LoadTable[],5,FALSE)*0.92</f>
        <v>494.57360000000006</v>
      </c>
      <c r="U138" s="104">
        <f>VLOOKUP(TEXT(A138,"yy-mm")&amp;"-"&amp;IF(AND(WEEKDAY(A138)&gt;1,WEEKDAY(A138)&lt;7),"Wkd",TEXT(A138,"Ddd"))&amp;"-"&amp;TEXT(A138,"hh"),LoadTable[],6,FALSE)*T138</f>
        <v>42310.771480000003</v>
      </c>
      <c r="V138">
        <f t="shared" ref="V138:W138" si="121">V114</f>
        <v>3.2</v>
      </c>
      <c r="W138">
        <f t="shared" si="121"/>
        <v>2.9</v>
      </c>
      <c r="X138" s="9">
        <v>3.3345006000000001</v>
      </c>
    </row>
    <row r="139" spans="1:24">
      <c r="A139" s="29">
        <f t="shared" si="115"/>
        <v>45841.666666666337</v>
      </c>
      <c r="B139" s="30">
        <f t="shared" si="70"/>
        <v>8000</v>
      </c>
      <c r="C139" s="8">
        <v>25000</v>
      </c>
      <c r="D139" s="8">
        <v>0</v>
      </c>
      <c r="E139" s="8">
        <v>0</v>
      </c>
      <c r="F139" s="8">
        <v>0</v>
      </c>
      <c r="G139" s="30">
        <f t="shared" si="71"/>
        <v>2400</v>
      </c>
      <c r="H139" s="8">
        <v>25000</v>
      </c>
      <c r="I139" s="30">
        <f t="shared" si="72"/>
        <v>8000</v>
      </c>
      <c r="J139" s="8">
        <v>25000</v>
      </c>
      <c r="K139" s="30">
        <f t="shared" si="73"/>
        <v>8000</v>
      </c>
      <c r="L139" s="8">
        <v>25000</v>
      </c>
      <c r="M139" s="9">
        <f>VLOOKUP(DATE(YEAR(A139),MONTH(A139),DAY(A139)),FY24_Temp[],4,FALSE)</f>
        <v>8.4</v>
      </c>
      <c r="N139" s="9">
        <f>VLOOKUP(DATE(YEAR(A139),MONTH(A139),DAY(A139)),FY24_Temp[],3,FALSE)</f>
        <v>12.8</v>
      </c>
      <c r="O139" s="9">
        <v>13</v>
      </c>
      <c r="P139" s="9">
        <v>19.5</v>
      </c>
      <c r="Q139" s="79">
        <f>VLOOKUP(VLOOKUP(DATEVALUE(TEXT(A139,"m/d/yyyy")),FY24_Temp[],5,FALSE)&amp;TEXT(A139,"-h"),Table6[],4,FALSE)</f>
        <v>0.5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VLOOKUP(TEXT(A139,"yy-mm")&amp;"-"&amp;IF(AND(WEEKDAY(A139)&gt;1,WEEKDAY(A139)&lt;7),"Wkd",TEXT(A139,"Ddd"))&amp;"-"&amp;TEXT(A139,"hh"),LoadTable[],5,FALSE)*0.92</f>
        <v>494.57360000000006</v>
      </c>
      <c r="U139" s="104">
        <f>VLOOKUP(TEXT(A139,"yy-mm")&amp;"-"&amp;IF(AND(WEEKDAY(A139)&gt;1,WEEKDAY(A139)&lt;7),"Wkd",TEXT(A139,"Ddd"))&amp;"-"&amp;TEXT(A139,"hh"),LoadTable[],6,FALSE)*T139</f>
        <v>50694.28857360001</v>
      </c>
      <c r="V139">
        <f t="shared" ref="V139:W139" si="122">V115</f>
        <v>3.5</v>
      </c>
      <c r="W139">
        <f t="shared" si="122"/>
        <v>3</v>
      </c>
      <c r="X139" s="9">
        <v>3.2613257999999998</v>
      </c>
    </row>
    <row r="140" spans="1:24">
      <c r="A140" s="29">
        <f t="shared" si="115"/>
        <v>45841.708333333001</v>
      </c>
      <c r="B140" s="30">
        <f t="shared" si="70"/>
        <v>8000</v>
      </c>
      <c r="C140" s="8">
        <v>25000</v>
      </c>
      <c r="D140" s="8">
        <v>0</v>
      </c>
      <c r="E140" s="8">
        <v>0</v>
      </c>
      <c r="F140" s="8">
        <v>0</v>
      </c>
      <c r="G140" s="30">
        <f t="shared" si="71"/>
        <v>2400</v>
      </c>
      <c r="H140" s="8">
        <v>25000</v>
      </c>
      <c r="I140" s="30">
        <f t="shared" si="72"/>
        <v>8000</v>
      </c>
      <c r="J140" s="8">
        <v>25000</v>
      </c>
      <c r="K140" s="30">
        <f t="shared" si="73"/>
        <v>8000</v>
      </c>
      <c r="L140" s="8">
        <v>25000</v>
      </c>
      <c r="M140" s="9">
        <f>VLOOKUP(DATE(YEAR(A140),MONTH(A140),DAY(A140)),FY24_Temp[],4,FALSE)</f>
        <v>8.4</v>
      </c>
      <c r="N140" s="9">
        <f>VLOOKUP(DATE(YEAR(A140),MONTH(A140),DAY(A140)),FY24_Temp[],3,FALSE)</f>
        <v>12.8</v>
      </c>
      <c r="O140" s="9">
        <v>13</v>
      </c>
      <c r="P140" s="9">
        <v>19.5</v>
      </c>
      <c r="Q140" s="79">
        <f>VLOOKUP(VLOOKUP(DATEVALUE(TEXT(A140,"m/d/yyyy")),FY24_Temp[],5,FALSE)&amp;TEXT(A140,"-h"),Table6[],4,FALSE)</f>
        <v>0.5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VLOOKUP(TEXT(A140,"yy-mm")&amp;"-"&amp;IF(AND(WEEKDAY(A140)&gt;1,WEEKDAY(A140)&lt;7),"Wkd",TEXT(A140,"Ddd"))&amp;"-"&amp;TEXT(A140,"hh"),LoadTable[],5,FALSE)*0.92</f>
        <v>494.57360000000006</v>
      </c>
      <c r="U140" s="104">
        <f>VLOOKUP(TEXT(A140,"yy-mm")&amp;"-"&amp;IF(AND(WEEKDAY(A140)&gt;1,WEEKDAY(A140)&lt;7),"Wkd",TEXT(A140,"Ddd"))&amp;"-"&amp;TEXT(A140,"hh"),LoadTable[],6,FALSE)*T140</f>
        <v>56025.791981600007</v>
      </c>
      <c r="V140">
        <f t="shared" ref="V140:W140" si="123">V116</f>
        <v>3.6</v>
      </c>
      <c r="W140">
        <f t="shared" si="123"/>
        <v>3</v>
      </c>
      <c r="X140" s="9">
        <v>3.1467706999999998</v>
      </c>
    </row>
    <row r="141" spans="1:24">
      <c r="A141" s="29">
        <f t="shared" si="115"/>
        <v>45841.749999999665</v>
      </c>
      <c r="B141" s="30">
        <f t="shared" si="70"/>
        <v>5000</v>
      </c>
      <c r="C141" s="8">
        <v>25000</v>
      </c>
      <c r="D141" s="8">
        <v>0</v>
      </c>
      <c r="E141" s="8">
        <v>0</v>
      </c>
      <c r="F141" s="8">
        <v>0</v>
      </c>
      <c r="G141" s="30">
        <f t="shared" si="71"/>
        <v>2400</v>
      </c>
      <c r="H141" s="8">
        <v>25000</v>
      </c>
      <c r="I141" s="30">
        <f t="shared" si="72"/>
        <v>5000</v>
      </c>
      <c r="J141" s="8">
        <v>25000</v>
      </c>
      <c r="K141" s="30">
        <f t="shared" si="73"/>
        <v>5000</v>
      </c>
      <c r="L141" s="8">
        <v>25000</v>
      </c>
      <c r="M141" s="9">
        <f>VLOOKUP(DATE(YEAR(A141),MONTH(A141),DAY(A141)),FY24_Temp[],4,FALSE)</f>
        <v>8.4</v>
      </c>
      <c r="N141" s="9">
        <f>VLOOKUP(DATE(YEAR(A141),MONTH(A141),DAY(A141)),FY24_Temp[],3,FALSE)</f>
        <v>12.8</v>
      </c>
      <c r="O141" s="9">
        <v>13</v>
      </c>
      <c r="P141" s="9">
        <v>19.5</v>
      </c>
      <c r="Q141" s="79">
        <f>VLOOKUP(VLOOKUP(DATEVALUE(TEXT(A141,"m/d/yyyy")),FY24_Temp[],5,FALSE)&amp;TEXT(A141,"-h"),Table6[],4,FALSE)</f>
        <v>0.5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VLOOKUP(TEXT(A141,"yy-mm")&amp;"-"&amp;IF(AND(WEEKDAY(A141)&gt;1,WEEKDAY(A141)&lt;7),"Wkd",TEXT(A141,"Ddd"))&amp;"-"&amp;TEXT(A141,"hh"),LoadTable[],5,FALSE)*0.92</f>
        <v>494.57360000000006</v>
      </c>
      <c r="U141" s="104">
        <f>VLOOKUP(TEXT(A141,"yy-mm")&amp;"-"&amp;IF(AND(WEEKDAY(A141)&gt;1,WEEKDAY(A141)&lt;7),"Wkd",TEXT(A141,"Ddd"))&amp;"-"&amp;TEXT(A141,"hh"),LoadTable[],6,FALSE)*T141</f>
        <v>60164.383866400007</v>
      </c>
      <c r="V141">
        <f t="shared" ref="V141:W141" si="124">V117</f>
        <v>2.9</v>
      </c>
      <c r="W141">
        <f t="shared" si="124"/>
        <v>3</v>
      </c>
      <c r="X141" s="9">
        <v>3.1188471</v>
      </c>
    </row>
    <row r="142" spans="1:24">
      <c r="A142" s="29">
        <f t="shared" si="115"/>
        <v>45841.79166666633</v>
      </c>
      <c r="B142" s="30">
        <f t="shared" si="70"/>
        <v>5000</v>
      </c>
      <c r="C142" s="8">
        <v>25000</v>
      </c>
      <c r="D142" s="8">
        <v>0</v>
      </c>
      <c r="E142" s="8">
        <v>0</v>
      </c>
      <c r="F142" s="8">
        <v>0</v>
      </c>
      <c r="G142" s="30">
        <f t="shared" si="71"/>
        <v>2400</v>
      </c>
      <c r="H142" s="8">
        <v>25000</v>
      </c>
      <c r="I142" s="30">
        <f t="shared" si="72"/>
        <v>5000</v>
      </c>
      <c r="J142" s="8">
        <v>25000</v>
      </c>
      <c r="K142" s="30">
        <f t="shared" si="73"/>
        <v>5000</v>
      </c>
      <c r="L142" s="8">
        <v>25000</v>
      </c>
      <c r="M142" s="9">
        <f>VLOOKUP(DATE(YEAR(A142),MONTH(A142),DAY(A142)),FY24_Temp[],4,FALSE)</f>
        <v>8.4</v>
      </c>
      <c r="N142" s="9">
        <f>VLOOKUP(DATE(YEAR(A142),MONTH(A142),DAY(A142)),FY24_Temp[],3,FALSE)</f>
        <v>12.8</v>
      </c>
      <c r="O142" s="9">
        <v>13</v>
      </c>
      <c r="P142" s="9">
        <v>19.5</v>
      </c>
      <c r="Q142" s="79">
        <f>VLOOKUP(VLOOKUP(DATEVALUE(TEXT(A142,"m/d/yyyy")),FY24_Temp[],5,FALSE)&amp;TEXT(A142,"-h"),Table6[],4,FALSE)</f>
        <v>0.5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VLOOKUP(TEXT(A142,"yy-mm")&amp;"-"&amp;IF(AND(WEEKDAY(A142)&gt;1,WEEKDAY(A142)&lt;7),"Wkd",TEXT(A142,"Ddd"))&amp;"-"&amp;TEXT(A142,"hh"),LoadTable[],5,FALSE)*0.92</f>
        <v>494.57360000000006</v>
      </c>
      <c r="U142" s="104">
        <f>VLOOKUP(TEXT(A142,"yy-mm")&amp;"-"&amp;IF(AND(WEEKDAY(A142)&gt;1,WEEKDAY(A142)&lt;7),"Wkd",TEXT(A142,"Ddd"))&amp;"-"&amp;TEXT(A142,"hh"),LoadTable[],6,FALSE)*T142</f>
        <v>60548.172980000003</v>
      </c>
      <c r="V142">
        <f t="shared" ref="V142:W142" si="125">V118</f>
        <v>3</v>
      </c>
      <c r="W142">
        <f t="shared" si="125"/>
        <v>3</v>
      </c>
      <c r="X142" s="9">
        <v>3.1332140000000002</v>
      </c>
    </row>
    <row r="143" spans="1:24">
      <c r="A143" s="29">
        <f t="shared" si="115"/>
        <v>45841.833333332994</v>
      </c>
      <c r="B143" s="30">
        <f t="shared" si="70"/>
        <v>5000</v>
      </c>
      <c r="C143" s="8">
        <v>25000</v>
      </c>
      <c r="D143" s="8">
        <v>0</v>
      </c>
      <c r="E143" s="8">
        <v>0</v>
      </c>
      <c r="F143" s="8">
        <v>0</v>
      </c>
      <c r="G143" s="30">
        <f t="shared" si="71"/>
        <v>2400</v>
      </c>
      <c r="H143" s="8">
        <v>25000</v>
      </c>
      <c r="I143" s="30">
        <f t="shared" si="72"/>
        <v>5000</v>
      </c>
      <c r="J143" s="8">
        <v>25000</v>
      </c>
      <c r="K143" s="30">
        <f t="shared" si="73"/>
        <v>5000</v>
      </c>
      <c r="L143" s="8">
        <v>25000</v>
      </c>
      <c r="M143" s="9">
        <f>VLOOKUP(DATE(YEAR(A143),MONTH(A143),DAY(A143)),FY24_Temp[],4,FALSE)</f>
        <v>8.4</v>
      </c>
      <c r="N143" s="9">
        <f>VLOOKUP(DATE(YEAR(A143),MONTH(A143),DAY(A143)),FY24_Temp[],3,FALSE)</f>
        <v>12.8</v>
      </c>
      <c r="O143" s="9">
        <v>13</v>
      </c>
      <c r="P143" s="9">
        <v>19.5</v>
      </c>
      <c r="Q143" s="79">
        <f>VLOOKUP(VLOOKUP(DATEVALUE(TEXT(A143,"m/d/yyyy")),FY24_Temp[],5,FALSE)&amp;TEXT(A143,"-h"),Table6[],4,FALSE)</f>
        <v>0.5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VLOOKUP(TEXT(A143,"yy-mm")&amp;"-"&amp;IF(AND(WEEKDAY(A143)&gt;1,WEEKDAY(A143)&lt;7),"Wkd",TEXT(A143,"Ddd"))&amp;"-"&amp;TEXT(A143,"hh"),LoadTable[],5,FALSE)*0.92</f>
        <v>494.57360000000006</v>
      </c>
      <c r="U143" s="104">
        <f>VLOOKUP(TEXT(A143,"yy-mm")&amp;"-"&amp;IF(AND(WEEKDAY(A143)&gt;1,WEEKDAY(A143)&lt;7),"Wkd",TEXT(A143,"Ddd"))&amp;"-"&amp;TEXT(A143,"hh"),LoadTable[],6,FALSE)*T143</f>
        <v>60532.346624800004</v>
      </c>
      <c r="V143">
        <f t="shared" ref="V143:W143" si="126">V119</f>
        <v>2.8</v>
      </c>
      <c r="W143">
        <f t="shared" si="126"/>
        <v>3.1</v>
      </c>
      <c r="X143" s="9">
        <v>3.1204236000000001</v>
      </c>
    </row>
    <row r="144" spans="1:24">
      <c r="A144" s="29">
        <f t="shared" si="115"/>
        <v>45841.874999999658</v>
      </c>
      <c r="B144" s="30">
        <f t="shared" si="70"/>
        <v>5000</v>
      </c>
      <c r="C144" s="8">
        <v>25000</v>
      </c>
      <c r="D144" s="8">
        <v>0</v>
      </c>
      <c r="E144" s="8">
        <v>0</v>
      </c>
      <c r="F144" s="8">
        <v>0</v>
      </c>
      <c r="G144" s="30">
        <f t="shared" si="71"/>
        <v>2400</v>
      </c>
      <c r="H144" s="8">
        <v>25000</v>
      </c>
      <c r="I144" s="30">
        <f t="shared" si="72"/>
        <v>5000</v>
      </c>
      <c r="J144" s="8">
        <v>25000</v>
      </c>
      <c r="K144" s="30">
        <f t="shared" si="73"/>
        <v>5000</v>
      </c>
      <c r="L144" s="8">
        <v>25000</v>
      </c>
      <c r="M144" s="9">
        <f>VLOOKUP(DATE(YEAR(A144),MONTH(A144),DAY(A144)),FY24_Temp[],4,FALSE)</f>
        <v>8.4</v>
      </c>
      <c r="N144" s="9">
        <f>VLOOKUP(DATE(YEAR(A144),MONTH(A144),DAY(A144)),FY24_Temp[],3,FALSE)</f>
        <v>12.8</v>
      </c>
      <c r="O144" s="9">
        <v>13</v>
      </c>
      <c r="P144" s="9">
        <v>19.5</v>
      </c>
      <c r="Q144" s="79">
        <f>VLOOKUP(VLOOKUP(DATEVALUE(TEXT(A144,"m/d/yyyy")),FY24_Temp[],5,FALSE)&amp;TEXT(A144,"-h"),Table6[],4,FALSE)</f>
        <v>0.5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VLOOKUP(TEXT(A144,"yy-mm")&amp;"-"&amp;IF(AND(WEEKDAY(A144)&gt;1,WEEKDAY(A144)&lt;7),"Wkd",TEXT(A144,"Ddd"))&amp;"-"&amp;TEXT(A144,"hh"),LoadTable[],5,FALSE)*0.92</f>
        <v>494.57360000000006</v>
      </c>
      <c r="U144" s="104">
        <f>VLOOKUP(TEXT(A144,"yy-mm")&amp;"-"&amp;IF(AND(WEEKDAY(A144)&gt;1,WEEKDAY(A144)&lt;7),"Wkd",TEXT(A144,"Ddd"))&amp;"-"&amp;TEXT(A144,"hh"),LoadTable[],6,FALSE)*T144</f>
        <v>58481.349905600007</v>
      </c>
      <c r="V144">
        <f t="shared" ref="V144:W144" si="127">V120</f>
        <v>3.5</v>
      </c>
      <c r="W144">
        <f t="shared" si="127"/>
        <v>3.1</v>
      </c>
      <c r="X144" s="9">
        <v>3.0405536</v>
      </c>
    </row>
    <row r="145" spans="1:24">
      <c r="A145" s="29">
        <f t="shared" si="115"/>
        <v>45841.916666666322</v>
      </c>
      <c r="B145" s="30">
        <f t="shared" si="70"/>
        <v>5000</v>
      </c>
      <c r="C145" s="8">
        <v>25000</v>
      </c>
      <c r="D145" s="8">
        <v>0</v>
      </c>
      <c r="E145" s="8">
        <v>0</v>
      </c>
      <c r="F145" s="8">
        <v>0</v>
      </c>
      <c r="G145" s="30">
        <f t="shared" si="71"/>
        <v>2400</v>
      </c>
      <c r="H145" s="8">
        <v>25000</v>
      </c>
      <c r="I145" s="30">
        <f t="shared" si="72"/>
        <v>5000</v>
      </c>
      <c r="J145" s="8">
        <v>25000</v>
      </c>
      <c r="K145" s="30">
        <f t="shared" si="73"/>
        <v>5000</v>
      </c>
      <c r="L145" s="8">
        <v>25000</v>
      </c>
      <c r="M145" s="9">
        <f>VLOOKUP(DATE(YEAR(A145),MONTH(A145),DAY(A145)),FY24_Temp[],4,FALSE)</f>
        <v>8.4</v>
      </c>
      <c r="N145" s="9">
        <f>VLOOKUP(DATE(YEAR(A145),MONTH(A145),DAY(A145)),FY24_Temp[],3,FALSE)</f>
        <v>12.8</v>
      </c>
      <c r="O145" s="9">
        <v>13</v>
      </c>
      <c r="P145" s="9">
        <v>19.5</v>
      </c>
      <c r="Q145" s="79">
        <f>VLOOKUP(VLOOKUP(DATEVALUE(TEXT(A145,"m/d/yyyy")),FY24_Temp[],5,FALSE)&amp;TEXT(A145,"-h"),Table6[],4,FALSE)</f>
        <v>0.5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VLOOKUP(TEXT(A145,"yy-mm")&amp;"-"&amp;IF(AND(WEEKDAY(A145)&gt;1,WEEKDAY(A145)&lt;7),"Wkd",TEXT(A145,"Ddd"))&amp;"-"&amp;TEXT(A145,"hh"),LoadTable[],5,FALSE)*0.92</f>
        <v>418.75640000000004</v>
      </c>
      <c r="U145" s="104">
        <f>VLOOKUP(TEXT(A145,"yy-mm")&amp;"-"&amp;IF(AND(WEEKDAY(A145)&gt;1,WEEKDAY(A145)&lt;7),"Wkd",TEXT(A145,"Ddd"))&amp;"-"&amp;TEXT(A145,"hh"),LoadTable[],6,FALSE)*T145</f>
        <v>27547.889774000003</v>
      </c>
      <c r="V145">
        <f t="shared" ref="V145:W145" si="128">V121</f>
        <v>2.9</v>
      </c>
      <c r="W145">
        <f t="shared" si="128"/>
        <v>3.1</v>
      </c>
      <c r="X145" s="9">
        <v>2.9656753999999999</v>
      </c>
    </row>
    <row r="146" spans="1:24">
      <c r="A146" s="29">
        <f t="shared" si="115"/>
        <v>45841.958333332987</v>
      </c>
      <c r="B146" s="30">
        <f t="shared" si="70"/>
        <v>5000</v>
      </c>
      <c r="C146" s="8">
        <v>25000</v>
      </c>
      <c r="D146" s="8">
        <v>0</v>
      </c>
      <c r="E146" s="8">
        <v>0</v>
      </c>
      <c r="F146" s="8">
        <v>0</v>
      </c>
      <c r="G146" s="30">
        <f t="shared" si="71"/>
        <v>2400</v>
      </c>
      <c r="H146" s="8">
        <v>25000</v>
      </c>
      <c r="I146" s="30">
        <f t="shared" si="72"/>
        <v>5000</v>
      </c>
      <c r="J146" s="8">
        <v>25000</v>
      </c>
      <c r="K146" s="30">
        <f t="shared" si="73"/>
        <v>5000</v>
      </c>
      <c r="L146" s="8">
        <v>25000</v>
      </c>
      <c r="M146" s="9">
        <f>VLOOKUP(DATE(YEAR(A146),MONTH(A146),DAY(A146)),FY24_Temp[],4,FALSE)</f>
        <v>8.4</v>
      </c>
      <c r="N146" s="9">
        <f>VLOOKUP(DATE(YEAR(A146),MONTH(A146),DAY(A146)),FY24_Temp[],3,FALSE)</f>
        <v>12.8</v>
      </c>
      <c r="O146" s="9">
        <v>13</v>
      </c>
      <c r="P146" s="9">
        <v>19.5</v>
      </c>
      <c r="Q146" s="79">
        <f>VLOOKUP(VLOOKUP(DATEVALUE(TEXT(A146,"m/d/yyyy")),FY24_Temp[],5,FALSE)&amp;TEXT(A146,"-h"),Table6[],4,FALSE)</f>
        <v>0.5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VLOOKUP(TEXT(A146,"yy-mm")&amp;"-"&amp;IF(AND(WEEKDAY(A146)&gt;1,WEEKDAY(A146)&lt;7),"Wkd",TEXT(A146,"Ddd"))&amp;"-"&amp;TEXT(A146,"hh"),LoadTable[],5,FALSE)*0.92</f>
        <v>342.93920000000003</v>
      </c>
      <c r="U146" s="104">
        <f>VLOOKUP(TEXT(A146,"yy-mm")&amp;"-"&amp;IF(AND(WEEKDAY(A146)&gt;1,WEEKDAY(A146)&lt;7),"Wkd",TEXT(A146,"Ddd"))&amp;"-"&amp;TEXT(A146,"hh"),LoadTable[],6,FALSE)*T146</f>
        <v>19873.669579200003</v>
      </c>
      <c r="V146">
        <f t="shared" ref="V146:W146" si="129">V122</f>
        <v>3.6</v>
      </c>
      <c r="W146">
        <f t="shared" si="129"/>
        <v>3.1</v>
      </c>
      <c r="X146" s="9">
        <v>2.9095225</v>
      </c>
    </row>
    <row r="147" spans="1:24">
      <c r="A147" s="29">
        <f t="shared" si="115"/>
        <v>45841.999999999651</v>
      </c>
      <c r="B147" s="30">
        <f t="shared" si="70"/>
        <v>5000</v>
      </c>
      <c r="C147" s="8">
        <v>25000</v>
      </c>
      <c r="D147" s="8">
        <v>0</v>
      </c>
      <c r="E147" s="8">
        <v>0</v>
      </c>
      <c r="F147" s="8">
        <v>0</v>
      </c>
      <c r="G147" s="30">
        <f t="shared" si="71"/>
        <v>2400</v>
      </c>
      <c r="H147" s="8">
        <v>25000</v>
      </c>
      <c r="I147" s="30">
        <f t="shared" si="72"/>
        <v>5000</v>
      </c>
      <c r="J147" s="8">
        <v>25000</v>
      </c>
      <c r="K147" s="30">
        <f t="shared" si="73"/>
        <v>5000</v>
      </c>
      <c r="L147" s="8">
        <v>25000</v>
      </c>
      <c r="M147" s="9">
        <f>VLOOKUP(DATE(YEAR(A147),MONTH(A147),DAY(A147)),FY24_Temp[],4,FALSE)</f>
        <v>8.4</v>
      </c>
      <c r="N147" s="9">
        <f>VLOOKUP(DATE(YEAR(A147),MONTH(A147),DAY(A147)),FY24_Temp[],3,FALSE)</f>
        <v>12.8</v>
      </c>
      <c r="O147" s="9">
        <v>13</v>
      </c>
      <c r="P147" s="9">
        <v>19.5</v>
      </c>
      <c r="Q147" s="79">
        <f>VLOOKUP(VLOOKUP(DATEVALUE(TEXT(A147,"m/d/yyyy")),FY24_Temp[],5,FALSE)&amp;TEXT(A147,"-h"),Table6[],4,FALSE)</f>
        <v>0.5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VLOOKUP(TEXT(A147,"yy-mm")&amp;"-"&amp;IF(AND(WEEKDAY(A147)&gt;1,WEEKDAY(A147)&lt;7),"Wkd",TEXT(A147,"Ddd"))&amp;"-"&amp;TEXT(A147,"hh"),LoadTable[],5,FALSE)*0.92</f>
        <v>279.25312000000002</v>
      </c>
      <c r="U147" s="104">
        <f>VLOOKUP(TEXT(A147,"yy-mm")&amp;"-"&amp;IF(AND(WEEKDAY(A147)&gt;1,WEEKDAY(A147)&lt;7),"Wkd",TEXT(A147,"Ddd"))&amp;"-"&amp;TEXT(A147,"hh"),LoadTable[],6,FALSE)*T147</f>
        <v>14895.640673920001</v>
      </c>
      <c r="V147">
        <f t="shared" ref="V147:W147" si="130">V123</f>
        <v>3</v>
      </c>
      <c r="W147">
        <f t="shared" si="130"/>
        <v>3.2</v>
      </c>
      <c r="X147" s="9">
        <v>2.9282588999999999</v>
      </c>
    </row>
    <row r="148" spans="1:24">
      <c r="A148" s="29">
        <f t="shared" si="115"/>
        <v>45842.041666666315</v>
      </c>
      <c r="B148" s="30">
        <f t="shared" si="70"/>
        <v>5000</v>
      </c>
      <c r="C148" s="8">
        <v>25000</v>
      </c>
      <c r="D148" s="8">
        <v>0</v>
      </c>
      <c r="E148" s="8">
        <v>0</v>
      </c>
      <c r="F148" s="8">
        <v>0</v>
      </c>
      <c r="G148" s="30">
        <f t="shared" si="71"/>
        <v>2400</v>
      </c>
      <c r="H148" s="8">
        <v>25000</v>
      </c>
      <c r="I148" s="30">
        <f t="shared" si="72"/>
        <v>5000</v>
      </c>
      <c r="J148" s="8">
        <v>25000</v>
      </c>
      <c r="K148" s="30">
        <f t="shared" si="73"/>
        <v>5000</v>
      </c>
      <c r="L148" s="8">
        <v>25000</v>
      </c>
      <c r="M148" s="9">
        <f>VLOOKUP(DATE(YEAR(A148),MONTH(A148),DAY(A148)),FY24_Temp[],4,FALSE)</f>
        <v>8.4</v>
      </c>
      <c r="N148" s="9">
        <f>VLOOKUP(DATE(YEAR(A148),MONTH(A148),DAY(A148)),FY24_Temp[],3,FALSE)</f>
        <v>12.8</v>
      </c>
      <c r="O148" s="9">
        <v>13</v>
      </c>
      <c r="P148" s="9">
        <v>19.5</v>
      </c>
      <c r="Q148" s="79">
        <f>VLOOKUP(VLOOKUP(DATEVALUE(TEXT(A148,"m/d/yyyy")),FY24_Temp[],5,FALSE)&amp;TEXT(A148,"-h"),Table6[],4,FALSE)</f>
        <v>0.5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VLOOKUP(TEXT(A148,"yy-mm")&amp;"-"&amp;IF(AND(WEEKDAY(A148)&gt;1,WEEKDAY(A148)&lt;7),"Wkd",TEXT(A148,"Ddd"))&amp;"-"&amp;TEXT(A148,"hh"),LoadTable[],5,FALSE)*0.92</f>
        <v>279.25312000000002</v>
      </c>
      <c r="U148" s="104">
        <f>VLOOKUP(TEXT(A148,"yy-mm")&amp;"-"&amp;IF(AND(WEEKDAY(A148)&gt;1,WEEKDAY(A148)&lt;7),"Wkd",TEXT(A148,"Ddd"))&amp;"-"&amp;TEXT(A148,"hh"),LoadTable[],6,FALSE)*T148</f>
        <v>14470.896678400002</v>
      </c>
      <c r="V148">
        <f t="shared" ref="V148:W148" si="131">V124</f>
        <v>2.6</v>
      </c>
      <c r="W148">
        <f t="shared" si="131"/>
        <v>3.2</v>
      </c>
      <c r="X148" s="9">
        <v>2.9735668</v>
      </c>
    </row>
    <row r="149" spans="1:24">
      <c r="A149" s="29">
        <f t="shared" si="115"/>
        <v>45842.083333332979</v>
      </c>
      <c r="B149" s="30">
        <f t="shared" si="70"/>
        <v>5000</v>
      </c>
      <c r="C149" s="8">
        <v>25000</v>
      </c>
      <c r="D149" s="8">
        <v>0</v>
      </c>
      <c r="E149" s="8">
        <v>0</v>
      </c>
      <c r="F149" s="8">
        <v>0</v>
      </c>
      <c r="G149" s="30">
        <f t="shared" si="71"/>
        <v>2400</v>
      </c>
      <c r="H149" s="8">
        <v>25000</v>
      </c>
      <c r="I149" s="30">
        <f t="shared" si="72"/>
        <v>5000</v>
      </c>
      <c r="J149" s="8">
        <v>25000</v>
      </c>
      <c r="K149" s="30">
        <f t="shared" si="73"/>
        <v>5000</v>
      </c>
      <c r="L149" s="8">
        <v>25000</v>
      </c>
      <c r="M149" s="9">
        <f>VLOOKUP(DATE(YEAR(A149),MONTH(A149),DAY(A149)),FY24_Temp[],4,FALSE)</f>
        <v>8.4</v>
      </c>
      <c r="N149" s="9">
        <f>VLOOKUP(DATE(YEAR(A149),MONTH(A149),DAY(A149)),FY24_Temp[],3,FALSE)</f>
        <v>12.8</v>
      </c>
      <c r="O149" s="9">
        <v>13</v>
      </c>
      <c r="P149" s="9">
        <v>19.5</v>
      </c>
      <c r="Q149" s="79">
        <f>VLOOKUP(VLOOKUP(DATEVALUE(TEXT(A149,"m/d/yyyy")),FY24_Temp[],5,FALSE)&amp;TEXT(A149,"-h"),Table6[],4,FALSE)</f>
        <v>0.5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VLOOKUP(TEXT(A149,"yy-mm")&amp;"-"&amp;IF(AND(WEEKDAY(A149)&gt;1,WEEKDAY(A149)&lt;7),"Wkd",TEXT(A149,"Ddd"))&amp;"-"&amp;TEXT(A149,"hh"),LoadTable[],5,FALSE)*0.92</f>
        <v>279.25312000000002</v>
      </c>
      <c r="U149" s="104">
        <f>VLOOKUP(TEXT(A149,"yy-mm")&amp;"-"&amp;IF(AND(WEEKDAY(A149)&gt;1,WEEKDAY(A149)&lt;7),"Wkd",TEXT(A149,"Ddd"))&amp;"-"&amp;TEXT(A149,"hh"),LoadTable[],6,FALSE)*T149</f>
        <v>14154.50289344</v>
      </c>
      <c r="V149">
        <f t="shared" ref="V149:W149" si="132">V125</f>
        <v>2.8</v>
      </c>
      <c r="W149">
        <f t="shared" si="132"/>
        <v>3.2</v>
      </c>
      <c r="X149" s="9">
        <v>3.0231271</v>
      </c>
    </row>
    <row r="150" spans="1:24">
      <c r="A150" s="29">
        <f t="shared" si="115"/>
        <v>45842.124999999643</v>
      </c>
      <c r="B150" s="30">
        <f t="shared" si="70"/>
        <v>5000</v>
      </c>
      <c r="C150" s="8">
        <v>25000</v>
      </c>
      <c r="D150" s="8">
        <v>0</v>
      </c>
      <c r="E150" s="8">
        <v>0</v>
      </c>
      <c r="F150" s="8">
        <v>0</v>
      </c>
      <c r="G150" s="30">
        <f t="shared" si="71"/>
        <v>2400</v>
      </c>
      <c r="H150" s="8">
        <v>25000</v>
      </c>
      <c r="I150" s="30">
        <f t="shared" si="72"/>
        <v>5000</v>
      </c>
      <c r="J150" s="8">
        <v>25000</v>
      </c>
      <c r="K150" s="30">
        <f t="shared" si="73"/>
        <v>5000</v>
      </c>
      <c r="L150" s="8">
        <v>25000</v>
      </c>
      <c r="M150" s="9">
        <f>VLOOKUP(DATE(YEAR(A150),MONTH(A150),DAY(A150)),FY24_Temp[],4,FALSE)</f>
        <v>8.4</v>
      </c>
      <c r="N150" s="9">
        <f>VLOOKUP(DATE(YEAR(A150),MONTH(A150),DAY(A150)),FY24_Temp[],3,FALSE)</f>
        <v>12.8</v>
      </c>
      <c r="O150" s="9">
        <v>13</v>
      </c>
      <c r="P150" s="9">
        <v>19.5</v>
      </c>
      <c r="Q150" s="79">
        <f>VLOOKUP(VLOOKUP(DATEVALUE(TEXT(A150,"m/d/yyyy")),FY24_Temp[],5,FALSE)&amp;TEXT(A150,"-h"),Table6[],4,FALSE)</f>
        <v>0.5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VLOOKUP(TEXT(A150,"yy-mm")&amp;"-"&amp;IF(AND(WEEKDAY(A150)&gt;1,WEEKDAY(A150)&lt;7),"Wkd",TEXT(A150,"Ddd"))&amp;"-"&amp;TEXT(A150,"hh"),LoadTable[],5,FALSE)*0.92</f>
        <v>279.25312000000002</v>
      </c>
      <c r="U150" s="104">
        <f>VLOOKUP(TEXT(A150,"yy-mm")&amp;"-"&amp;IF(AND(WEEKDAY(A150)&gt;1,WEEKDAY(A150)&lt;7),"Wkd",TEXT(A150,"Ddd"))&amp;"-"&amp;TEXT(A150,"hh"),LoadTable[],6,FALSE)*T150</f>
        <v>14206.443973760001</v>
      </c>
      <c r="V150">
        <f t="shared" ref="V150:W150" si="133">V126</f>
        <v>2.7</v>
      </c>
      <c r="W150">
        <f t="shared" si="133"/>
        <v>3.2</v>
      </c>
      <c r="X150" s="9">
        <v>3.0643875999999999</v>
      </c>
    </row>
    <row r="151" spans="1:24">
      <c r="A151" s="29">
        <f t="shared" si="115"/>
        <v>45842.166666666308</v>
      </c>
      <c r="B151" s="30">
        <f t="shared" si="70"/>
        <v>5000</v>
      </c>
      <c r="C151" s="8">
        <v>25000</v>
      </c>
      <c r="D151" s="8">
        <v>0</v>
      </c>
      <c r="E151" s="8">
        <v>0</v>
      </c>
      <c r="F151" s="8">
        <v>0</v>
      </c>
      <c r="G151" s="30">
        <f t="shared" si="71"/>
        <v>2400</v>
      </c>
      <c r="H151" s="8">
        <v>25000</v>
      </c>
      <c r="I151" s="30">
        <f t="shared" si="72"/>
        <v>5000</v>
      </c>
      <c r="J151" s="8">
        <v>25000</v>
      </c>
      <c r="K151" s="30">
        <f t="shared" si="73"/>
        <v>5000</v>
      </c>
      <c r="L151" s="8">
        <v>25000</v>
      </c>
      <c r="M151" s="9">
        <f>VLOOKUP(DATE(YEAR(A151),MONTH(A151),DAY(A151)),FY24_Temp[],4,FALSE)</f>
        <v>8.4</v>
      </c>
      <c r="N151" s="9">
        <f>VLOOKUP(DATE(YEAR(A151),MONTH(A151),DAY(A151)),FY24_Temp[],3,FALSE)</f>
        <v>12.8</v>
      </c>
      <c r="O151" s="9">
        <v>13</v>
      </c>
      <c r="P151" s="9">
        <v>19.5</v>
      </c>
      <c r="Q151" s="79">
        <f>VLOOKUP(VLOOKUP(DATEVALUE(TEXT(A151,"m/d/yyyy")),FY24_Temp[],5,FALSE)&amp;TEXT(A151,"-h"),Table6[],4,FALSE)</f>
        <v>0.5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VLOOKUP(TEXT(A151,"yy-mm")&amp;"-"&amp;IF(AND(WEEKDAY(A151)&gt;1,WEEKDAY(A151)&lt;7),"Wkd",TEXT(A151,"Ddd"))&amp;"-"&amp;TEXT(A151,"hh"),LoadTable[],5,FALSE)*0.92</f>
        <v>279.25312000000002</v>
      </c>
      <c r="U151" s="104">
        <f>VLOOKUP(TEXT(A151,"yy-mm")&amp;"-"&amp;IF(AND(WEEKDAY(A151)&gt;1,WEEKDAY(A151)&lt;7),"Wkd",TEXT(A151,"Ddd"))&amp;"-"&amp;TEXT(A151,"hh"),LoadTable[],6,FALSE)*T151</f>
        <v>14229.063476480002</v>
      </c>
      <c r="V151">
        <f t="shared" ref="V151:W151" si="134">V127</f>
        <v>3</v>
      </c>
      <c r="W151">
        <f t="shared" si="134"/>
        <v>3.1</v>
      </c>
      <c r="X151" s="9">
        <v>3.0913295999999999</v>
      </c>
    </row>
    <row r="152" spans="1:24">
      <c r="A152" s="29">
        <f t="shared" si="115"/>
        <v>45842.208333332972</v>
      </c>
      <c r="B152" s="30">
        <f t="shared" si="70"/>
        <v>5000</v>
      </c>
      <c r="C152" s="8">
        <v>25000</v>
      </c>
      <c r="D152" s="8">
        <v>0</v>
      </c>
      <c r="E152" s="8">
        <v>0</v>
      </c>
      <c r="F152" s="8">
        <v>0</v>
      </c>
      <c r="G152" s="30">
        <f t="shared" si="71"/>
        <v>2400</v>
      </c>
      <c r="H152" s="8">
        <v>25000</v>
      </c>
      <c r="I152" s="30">
        <f t="shared" si="72"/>
        <v>5000</v>
      </c>
      <c r="J152" s="8">
        <v>25000</v>
      </c>
      <c r="K152" s="30">
        <f t="shared" si="73"/>
        <v>5000</v>
      </c>
      <c r="L152" s="8">
        <v>25000</v>
      </c>
      <c r="M152" s="9">
        <f>VLOOKUP(DATE(YEAR(A152),MONTH(A152),DAY(A152)),FY24_Temp[],4,FALSE)</f>
        <v>8.4</v>
      </c>
      <c r="N152" s="9">
        <f>VLOOKUP(DATE(YEAR(A152),MONTH(A152),DAY(A152)),FY24_Temp[],3,FALSE)</f>
        <v>12.8</v>
      </c>
      <c r="O152" s="9">
        <v>13</v>
      </c>
      <c r="P152" s="9">
        <v>19.5</v>
      </c>
      <c r="Q152" s="79">
        <f>VLOOKUP(VLOOKUP(DATEVALUE(TEXT(A152,"m/d/yyyy")),FY24_Temp[],5,FALSE)&amp;TEXT(A152,"-h"),Table6[],4,FALSE)</f>
        <v>0.5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VLOOKUP(TEXT(A152,"yy-mm")&amp;"-"&amp;IF(AND(WEEKDAY(A152)&gt;1,WEEKDAY(A152)&lt;7),"Wkd",TEXT(A152,"Ddd"))&amp;"-"&amp;TEXT(A152,"hh"),LoadTable[],5,FALSE)*0.92</f>
        <v>279.25312000000002</v>
      </c>
      <c r="U152" s="104">
        <f>VLOOKUP(TEXT(A152,"yy-mm")&amp;"-"&amp;IF(AND(WEEKDAY(A152)&gt;1,WEEKDAY(A152)&lt;7),"Wkd",TEXT(A152,"Ddd"))&amp;"-"&amp;TEXT(A152,"hh"),LoadTable[],6,FALSE)*T152</f>
        <v>14735.070129920001</v>
      </c>
      <c r="V152">
        <f t="shared" ref="V152:W152" si="135">V128</f>
        <v>2.9</v>
      </c>
      <c r="W152">
        <f t="shared" si="135"/>
        <v>3.1</v>
      </c>
      <c r="X152" s="9">
        <v>3.1555688000000002</v>
      </c>
    </row>
    <row r="153" spans="1:24">
      <c r="A153" s="29">
        <f t="shared" si="115"/>
        <v>45842.249999999636</v>
      </c>
      <c r="B153" s="30">
        <f t="shared" si="70"/>
        <v>8000</v>
      </c>
      <c r="C153" s="8">
        <v>25000</v>
      </c>
      <c r="D153" s="8">
        <v>0</v>
      </c>
      <c r="E153" s="8">
        <v>0</v>
      </c>
      <c r="F153" s="8">
        <v>0</v>
      </c>
      <c r="G153" s="30">
        <f t="shared" si="71"/>
        <v>2400</v>
      </c>
      <c r="H153" s="8">
        <v>25000</v>
      </c>
      <c r="I153" s="30">
        <f t="shared" si="72"/>
        <v>8000</v>
      </c>
      <c r="J153" s="8">
        <v>25000</v>
      </c>
      <c r="K153" s="30">
        <f t="shared" si="73"/>
        <v>8000</v>
      </c>
      <c r="L153" s="8">
        <v>25000</v>
      </c>
      <c r="M153" s="9">
        <f>VLOOKUP(DATE(YEAR(A153),MONTH(A153),DAY(A153)),FY24_Temp[],4,FALSE)</f>
        <v>8.4</v>
      </c>
      <c r="N153" s="9">
        <f>VLOOKUP(DATE(YEAR(A153),MONTH(A153),DAY(A153)),FY24_Temp[],3,FALSE)</f>
        <v>12.8</v>
      </c>
      <c r="O153" s="9">
        <v>13</v>
      </c>
      <c r="P153" s="9">
        <v>19.5</v>
      </c>
      <c r="Q153" s="79">
        <f>VLOOKUP(VLOOKUP(DATEVALUE(TEXT(A153,"m/d/yyyy")),FY24_Temp[],5,FALSE)&amp;TEXT(A153,"-h"),Table6[],4,FALSE)</f>
        <v>0.5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VLOOKUP(TEXT(A153,"yy-mm")&amp;"-"&amp;IF(AND(WEEKDAY(A153)&gt;1,WEEKDAY(A153)&lt;7),"Wkd",TEXT(A153,"Ddd"))&amp;"-"&amp;TEXT(A153,"hh"),LoadTable[],5,FALSE)*0.92</f>
        <v>279.25312000000002</v>
      </c>
      <c r="U153" s="104">
        <f>VLOOKUP(TEXT(A153,"yy-mm")&amp;"-"&amp;IF(AND(WEEKDAY(A153)&gt;1,WEEKDAY(A153)&lt;7),"Wkd",TEXT(A153,"Ddd"))&amp;"-"&amp;TEXT(A153,"hh"),LoadTable[],6,FALSE)*T153</f>
        <v>26238.902408320002</v>
      </c>
      <c r="V153">
        <f t="shared" ref="V153:W153" si="136">V129</f>
        <v>2.5</v>
      </c>
      <c r="W153">
        <f t="shared" si="136"/>
        <v>3.1</v>
      </c>
      <c r="X153" s="9">
        <v>3.2238642999999998</v>
      </c>
    </row>
    <row r="154" spans="1:24">
      <c r="A154" s="29">
        <f t="shared" si="115"/>
        <v>45842.2916666663</v>
      </c>
      <c r="B154" s="30">
        <f t="shared" si="70"/>
        <v>8000</v>
      </c>
      <c r="C154" s="8">
        <v>25000</v>
      </c>
      <c r="D154" s="8">
        <v>0</v>
      </c>
      <c r="E154" s="8">
        <v>0</v>
      </c>
      <c r="F154" s="8">
        <v>0</v>
      </c>
      <c r="G154" s="30">
        <f t="shared" si="71"/>
        <v>2400</v>
      </c>
      <c r="H154" s="8">
        <v>25000</v>
      </c>
      <c r="I154" s="30">
        <f t="shared" si="72"/>
        <v>8000</v>
      </c>
      <c r="J154" s="8">
        <v>25000</v>
      </c>
      <c r="K154" s="30">
        <f t="shared" si="73"/>
        <v>8000</v>
      </c>
      <c r="L154" s="8">
        <v>25000</v>
      </c>
      <c r="M154" s="9">
        <f>VLOOKUP(DATE(YEAR(A154),MONTH(A154),DAY(A154)),FY24_Temp[],4,FALSE)</f>
        <v>8.4</v>
      </c>
      <c r="N154" s="9">
        <f>VLOOKUP(DATE(YEAR(A154),MONTH(A154),DAY(A154)),FY24_Temp[],3,FALSE)</f>
        <v>12.8</v>
      </c>
      <c r="O154" s="9">
        <v>13</v>
      </c>
      <c r="P154" s="9">
        <v>19.5</v>
      </c>
      <c r="Q154" s="79">
        <f>VLOOKUP(VLOOKUP(DATEVALUE(TEXT(A154,"m/d/yyyy")),FY24_Temp[],5,FALSE)&amp;TEXT(A154,"-h"),Table6[],4,FALSE)</f>
        <v>0.5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VLOOKUP(TEXT(A154,"yy-mm")&amp;"-"&amp;IF(AND(WEEKDAY(A154)&gt;1,WEEKDAY(A154)&lt;7),"Wkd",TEXT(A154,"Ddd"))&amp;"-"&amp;TEXT(A154,"hh"),LoadTable[],5,FALSE)*0.92</f>
        <v>279.25312000000002</v>
      </c>
      <c r="U154" s="104">
        <f>VLOOKUP(TEXT(A154,"yy-mm")&amp;"-"&amp;IF(AND(WEEKDAY(A154)&gt;1,WEEKDAY(A154)&lt;7),"Wkd",TEXT(A154,"Ddd"))&amp;"-"&amp;TEXT(A154,"hh"),LoadTable[],6,FALSE)*T154</f>
        <v>22145.051669120003</v>
      </c>
      <c r="V154">
        <f t="shared" ref="V154:W154" si="137">V130</f>
        <v>2.5</v>
      </c>
      <c r="W154">
        <f t="shared" si="137"/>
        <v>3.1</v>
      </c>
      <c r="X154" s="9">
        <v>3.2334928999999999</v>
      </c>
    </row>
    <row r="155" spans="1:24">
      <c r="A155" s="29">
        <f t="shared" si="115"/>
        <v>45842.333333332965</v>
      </c>
      <c r="B155" s="30">
        <f t="shared" si="70"/>
        <v>8000</v>
      </c>
      <c r="C155" s="8">
        <v>25000</v>
      </c>
      <c r="D155" s="8">
        <v>0</v>
      </c>
      <c r="E155" s="8">
        <v>0</v>
      </c>
      <c r="F155" s="8">
        <v>0</v>
      </c>
      <c r="G155" s="30">
        <f t="shared" si="71"/>
        <v>2400</v>
      </c>
      <c r="H155" s="8">
        <v>25000</v>
      </c>
      <c r="I155" s="30">
        <f t="shared" si="72"/>
        <v>8000</v>
      </c>
      <c r="J155" s="8">
        <v>25000</v>
      </c>
      <c r="K155" s="30">
        <f t="shared" si="73"/>
        <v>8000</v>
      </c>
      <c r="L155" s="8">
        <v>25000</v>
      </c>
      <c r="M155" s="9">
        <f>VLOOKUP(DATE(YEAR(A155),MONTH(A155),DAY(A155)),FY24_Temp[],4,FALSE)</f>
        <v>8.4</v>
      </c>
      <c r="N155" s="9">
        <f>VLOOKUP(DATE(YEAR(A155),MONTH(A155),DAY(A155)),FY24_Temp[],3,FALSE)</f>
        <v>12.8</v>
      </c>
      <c r="O155" s="9">
        <v>13</v>
      </c>
      <c r="P155" s="9">
        <v>19.5</v>
      </c>
      <c r="Q155" s="79">
        <f>VLOOKUP(VLOOKUP(DATEVALUE(TEXT(A155,"m/d/yyyy")),FY24_Temp[],5,FALSE)&amp;TEXT(A155,"-h"),Table6[],4,FALSE)</f>
        <v>0.5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VLOOKUP(TEXT(A155,"yy-mm")&amp;"-"&amp;IF(AND(WEEKDAY(A155)&gt;1,WEEKDAY(A155)&lt;7),"Wkd",TEXT(A155,"Ddd"))&amp;"-"&amp;TEXT(A155,"hh"),LoadTable[],5,FALSE)*0.92</f>
        <v>279.25312000000002</v>
      </c>
      <c r="U155" s="104">
        <f>VLOOKUP(TEXT(A155,"yy-mm")&amp;"-"&amp;IF(AND(WEEKDAY(A155)&gt;1,WEEKDAY(A155)&lt;7),"Wkd",TEXT(A155,"Ddd"))&amp;"-"&amp;TEXT(A155,"hh"),LoadTable[],6,FALSE)*T155</f>
        <v>17686.77560832</v>
      </c>
      <c r="V155">
        <f t="shared" ref="V155:W155" si="138">V131</f>
        <v>3.2</v>
      </c>
      <c r="W155">
        <f t="shared" si="138"/>
        <v>3</v>
      </c>
      <c r="X155" s="9">
        <v>3.2846641999999999</v>
      </c>
    </row>
    <row r="156" spans="1:24">
      <c r="A156" s="29">
        <f t="shared" si="115"/>
        <v>45842.374999999629</v>
      </c>
      <c r="B156" s="30">
        <f t="shared" ref="B156:B219" si="139">B132</f>
        <v>8000</v>
      </c>
      <c r="C156" s="8">
        <v>25000</v>
      </c>
      <c r="D156" s="8">
        <v>0</v>
      </c>
      <c r="E156" s="8">
        <v>0</v>
      </c>
      <c r="F156" s="8">
        <v>0</v>
      </c>
      <c r="G156" s="30">
        <f t="shared" ref="G156:G219" si="140">G132</f>
        <v>2400</v>
      </c>
      <c r="H156" s="8">
        <v>25000</v>
      </c>
      <c r="I156" s="30">
        <f t="shared" ref="I156:I219" si="141">I132</f>
        <v>8000</v>
      </c>
      <c r="J156" s="8">
        <v>25000</v>
      </c>
      <c r="K156" s="30">
        <f t="shared" ref="K156:K219" si="142">K132</f>
        <v>8000</v>
      </c>
      <c r="L156" s="8">
        <v>25000</v>
      </c>
      <c r="M156" s="9">
        <f>VLOOKUP(DATE(YEAR(A156),MONTH(A156),DAY(A156)),FY24_Temp[],4,FALSE)</f>
        <v>8.4</v>
      </c>
      <c r="N156" s="9">
        <f>VLOOKUP(DATE(YEAR(A156),MONTH(A156),DAY(A156)),FY24_Temp[],3,FALSE)</f>
        <v>12.8</v>
      </c>
      <c r="O156" s="9">
        <v>13</v>
      </c>
      <c r="P156" s="9">
        <v>19.5</v>
      </c>
      <c r="Q156" s="79">
        <f>VLOOKUP(VLOOKUP(DATEVALUE(TEXT(A156,"m/d/yyyy")),FY24_Temp[],5,FALSE)&amp;TEXT(A156,"-h"),Table6[],4,FALSE)</f>
        <v>0.5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VLOOKUP(TEXT(A156,"yy-mm")&amp;"-"&amp;IF(AND(WEEKDAY(A156)&gt;1,WEEKDAY(A156)&lt;7),"Wkd",TEXT(A156,"Ddd"))&amp;"-"&amp;TEXT(A156,"hh"),LoadTable[],5,FALSE)*0.92</f>
        <v>279.25312000000002</v>
      </c>
      <c r="U156" s="104">
        <f>VLOOKUP(TEXT(A156,"yy-mm")&amp;"-"&amp;IF(AND(WEEKDAY(A156)&gt;1,WEEKDAY(A156)&lt;7),"Wkd",TEXT(A156,"Ddd"))&amp;"-"&amp;TEXT(A156,"hh"),LoadTable[],6,FALSE)*T156</f>
        <v>14265.924888320002</v>
      </c>
      <c r="V156">
        <f t="shared" ref="V156:W156" si="143">V132</f>
        <v>2.9</v>
      </c>
      <c r="W156">
        <f t="shared" si="143"/>
        <v>3</v>
      </c>
      <c r="X156" s="9">
        <v>3.3645716000000001</v>
      </c>
    </row>
    <row r="157" spans="1:24">
      <c r="A157" s="29">
        <f t="shared" si="115"/>
        <v>45842.416666666293</v>
      </c>
      <c r="B157" s="30">
        <f t="shared" si="139"/>
        <v>8000</v>
      </c>
      <c r="C157" s="8">
        <v>25000</v>
      </c>
      <c r="D157" s="8">
        <v>0</v>
      </c>
      <c r="E157" s="8">
        <v>0</v>
      </c>
      <c r="F157" s="8">
        <v>0</v>
      </c>
      <c r="G157" s="30">
        <f t="shared" si="140"/>
        <v>2400</v>
      </c>
      <c r="H157" s="8">
        <v>25000</v>
      </c>
      <c r="I157" s="30">
        <f t="shared" si="141"/>
        <v>8000</v>
      </c>
      <c r="J157" s="8">
        <v>25000</v>
      </c>
      <c r="K157" s="30">
        <f t="shared" si="142"/>
        <v>8000</v>
      </c>
      <c r="L157" s="8">
        <v>25000</v>
      </c>
      <c r="M157" s="9">
        <f>VLOOKUP(DATE(YEAR(A157),MONTH(A157),DAY(A157)),FY24_Temp[],4,FALSE)</f>
        <v>8.4</v>
      </c>
      <c r="N157" s="9">
        <f>VLOOKUP(DATE(YEAR(A157),MONTH(A157),DAY(A157)),FY24_Temp[],3,FALSE)</f>
        <v>12.8</v>
      </c>
      <c r="O157" s="9">
        <v>13</v>
      </c>
      <c r="P157" s="9">
        <v>19.5</v>
      </c>
      <c r="Q157" s="79">
        <f>VLOOKUP(VLOOKUP(DATEVALUE(TEXT(A157,"m/d/yyyy")),FY24_Temp[],5,FALSE)&amp;TEXT(A157,"-h"),Table6[],4,FALSE)</f>
        <v>0.5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VLOOKUP(TEXT(A157,"yy-mm")&amp;"-"&amp;IF(AND(WEEKDAY(A157)&gt;1,WEEKDAY(A157)&lt;7),"Wkd",TEXT(A157,"Ddd"))&amp;"-"&amp;TEXT(A157,"hh"),LoadTable[],5,FALSE)*0.92</f>
        <v>279.25312000000002</v>
      </c>
      <c r="U157" s="104">
        <f>VLOOKUP(TEXT(A157,"yy-mm")&amp;"-"&amp;IF(AND(WEEKDAY(A157)&gt;1,WEEKDAY(A157)&lt;7),"Wkd",TEXT(A157,"Ddd"))&amp;"-"&amp;TEXT(A157,"hh"),LoadTable[],6,FALSE)*T157</f>
        <v>13649.054746240003</v>
      </c>
      <c r="V157">
        <f t="shared" ref="V157:W157" si="144">V133</f>
        <v>2.9</v>
      </c>
      <c r="W157">
        <f t="shared" si="144"/>
        <v>3</v>
      </c>
      <c r="X157" s="9">
        <v>3.377564</v>
      </c>
    </row>
    <row r="158" spans="1:24">
      <c r="A158" s="29">
        <f t="shared" si="115"/>
        <v>45842.458333332957</v>
      </c>
      <c r="B158" s="30">
        <f t="shared" si="139"/>
        <v>8000</v>
      </c>
      <c r="C158" s="8">
        <v>25000</v>
      </c>
      <c r="D158" s="8">
        <v>0</v>
      </c>
      <c r="E158" s="8">
        <v>0</v>
      </c>
      <c r="F158" s="8">
        <v>0</v>
      </c>
      <c r="G158" s="30">
        <f t="shared" si="140"/>
        <v>2400</v>
      </c>
      <c r="H158" s="8">
        <v>25000</v>
      </c>
      <c r="I158" s="30">
        <f t="shared" si="141"/>
        <v>8000</v>
      </c>
      <c r="J158" s="8">
        <v>25000</v>
      </c>
      <c r="K158" s="30">
        <f t="shared" si="142"/>
        <v>8000</v>
      </c>
      <c r="L158" s="8">
        <v>25000</v>
      </c>
      <c r="M158" s="9">
        <f>VLOOKUP(DATE(YEAR(A158),MONTH(A158),DAY(A158)),FY24_Temp[],4,FALSE)</f>
        <v>8.4</v>
      </c>
      <c r="N158" s="9">
        <f>VLOOKUP(DATE(YEAR(A158),MONTH(A158),DAY(A158)),FY24_Temp[],3,FALSE)</f>
        <v>12.8</v>
      </c>
      <c r="O158" s="9">
        <v>13</v>
      </c>
      <c r="P158" s="9">
        <v>19.5</v>
      </c>
      <c r="Q158" s="79">
        <f>VLOOKUP(VLOOKUP(DATEVALUE(TEXT(A158,"m/d/yyyy")),FY24_Temp[],5,FALSE)&amp;TEXT(A158,"-h"),Table6[],4,FALSE)</f>
        <v>0.5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VLOOKUP(TEXT(A158,"yy-mm")&amp;"-"&amp;IF(AND(WEEKDAY(A158)&gt;1,WEEKDAY(A158)&lt;7),"Wkd",TEXT(A158,"Ddd"))&amp;"-"&amp;TEXT(A158,"hh"),LoadTable[],5,FALSE)*0.92</f>
        <v>279.25312000000002</v>
      </c>
      <c r="U158" s="104">
        <f>VLOOKUP(TEXT(A158,"yy-mm")&amp;"-"&amp;IF(AND(WEEKDAY(A158)&gt;1,WEEKDAY(A158)&lt;7),"Wkd",TEXT(A158,"Ddd"))&amp;"-"&amp;TEXT(A158,"hh"),LoadTable[],6,FALSE)*T158</f>
        <v>13153.938964480001</v>
      </c>
      <c r="V158">
        <f t="shared" ref="V158:W158" si="145">V134</f>
        <v>3.4</v>
      </c>
      <c r="W158">
        <f t="shared" si="145"/>
        <v>3</v>
      </c>
      <c r="X158" s="9">
        <v>3.2318737999999998</v>
      </c>
    </row>
    <row r="159" spans="1:24">
      <c r="A159" s="29">
        <f t="shared" si="115"/>
        <v>45842.499999999622</v>
      </c>
      <c r="B159" s="30">
        <f t="shared" si="139"/>
        <v>8000</v>
      </c>
      <c r="C159" s="8">
        <v>25000</v>
      </c>
      <c r="D159" s="8">
        <v>0</v>
      </c>
      <c r="E159" s="8">
        <v>0</v>
      </c>
      <c r="F159" s="8">
        <v>0</v>
      </c>
      <c r="G159" s="30">
        <f t="shared" si="140"/>
        <v>2400</v>
      </c>
      <c r="H159" s="8">
        <v>25000</v>
      </c>
      <c r="I159" s="30">
        <f t="shared" si="141"/>
        <v>8000</v>
      </c>
      <c r="J159" s="8">
        <v>25000</v>
      </c>
      <c r="K159" s="30">
        <f t="shared" si="142"/>
        <v>8000</v>
      </c>
      <c r="L159" s="8">
        <v>25000</v>
      </c>
      <c r="M159" s="9">
        <f>VLOOKUP(DATE(YEAR(A159),MONTH(A159),DAY(A159)),FY24_Temp[],4,FALSE)</f>
        <v>8.4</v>
      </c>
      <c r="N159" s="9">
        <f>VLOOKUP(DATE(YEAR(A159),MONTH(A159),DAY(A159)),FY24_Temp[],3,FALSE)</f>
        <v>12.8</v>
      </c>
      <c r="O159" s="9">
        <v>13</v>
      </c>
      <c r="P159" s="9">
        <v>19.5</v>
      </c>
      <c r="Q159" s="79">
        <f>VLOOKUP(VLOOKUP(DATEVALUE(TEXT(A159,"m/d/yyyy")),FY24_Temp[],5,FALSE)&amp;TEXT(A159,"-h"),Table6[],4,FALSE)</f>
        <v>0.5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VLOOKUP(TEXT(A159,"yy-mm")&amp;"-"&amp;IF(AND(WEEKDAY(A159)&gt;1,WEEKDAY(A159)&lt;7),"Wkd",TEXT(A159,"Ddd"))&amp;"-"&amp;TEXT(A159,"hh"),LoadTable[],5,FALSE)*0.92</f>
        <v>279.25312000000002</v>
      </c>
      <c r="U159" s="104">
        <f>VLOOKUP(TEXT(A159,"yy-mm")&amp;"-"&amp;IF(AND(WEEKDAY(A159)&gt;1,WEEKDAY(A159)&lt;7),"Wkd",TEXT(A159,"Ddd"))&amp;"-"&amp;TEXT(A159,"hh"),LoadTable[],6,FALSE)*T159</f>
        <v>13898.427782400002</v>
      </c>
      <c r="V159">
        <f t="shared" ref="V159:W159" si="146">V135</f>
        <v>3.1</v>
      </c>
      <c r="W159">
        <f t="shared" si="146"/>
        <v>2.9</v>
      </c>
      <c r="X159" s="9">
        <v>3.0485338999999998</v>
      </c>
    </row>
    <row r="160" spans="1:24">
      <c r="A160" s="29">
        <f t="shared" si="115"/>
        <v>45842.541666666286</v>
      </c>
      <c r="B160" s="30">
        <f t="shared" si="139"/>
        <v>8000</v>
      </c>
      <c r="C160" s="8">
        <v>25000</v>
      </c>
      <c r="D160" s="8">
        <v>0</v>
      </c>
      <c r="E160" s="8">
        <v>0</v>
      </c>
      <c r="F160" s="8">
        <v>0</v>
      </c>
      <c r="G160" s="30">
        <f t="shared" si="140"/>
        <v>2400</v>
      </c>
      <c r="H160" s="8">
        <v>25000</v>
      </c>
      <c r="I160" s="30">
        <f t="shared" si="141"/>
        <v>8000</v>
      </c>
      <c r="J160" s="8">
        <v>25000</v>
      </c>
      <c r="K160" s="30">
        <f t="shared" si="142"/>
        <v>8000</v>
      </c>
      <c r="L160" s="8">
        <v>25000</v>
      </c>
      <c r="M160" s="9">
        <f>VLOOKUP(DATE(YEAR(A160),MONTH(A160),DAY(A160)),FY24_Temp[],4,FALSE)</f>
        <v>8.4</v>
      </c>
      <c r="N160" s="9">
        <f>VLOOKUP(DATE(YEAR(A160),MONTH(A160),DAY(A160)),FY24_Temp[],3,FALSE)</f>
        <v>12.8</v>
      </c>
      <c r="O160" s="9">
        <v>13</v>
      </c>
      <c r="P160" s="9">
        <v>19.5</v>
      </c>
      <c r="Q160" s="79">
        <f>VLOOKUP(VLOOKUP(DATEVALUE(TEXT(A160,"m/d/yyyy")),FY24_Temp[],5,FALSE)&amp;TEXT(A160,"-h"),Table6[],4,FALSE)</f>
        <v>0.5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VLOOKUP(TEXT(A160,"yy-mm")&amp;"-"&amp;IF(AND(WEEKDAY(A160)&gt;1,WEEKDAY(A160)&lt;7),"Wkd",TEXT(A160,"Ddd"))&amp;"-"&amp;TEXT(A160,"hh"),LoadTable[],5,FALSE)*0.92</f>
        <v>279.25312000000002</v>
      </c>
      <c r="U160" s="104">
        <f>VLOOKUP(TEXT(A160,"yy-mm")&amp;"-"&amp;IF(AND(WEEKDAY(A160)&gt;1,WEEKDAY(A160)&lt;7),"Wkd",TEXT(A160,"Ddd"))&amp;"-"&amp;TEXT(A160,"hh"),LoadTable[],6,FALSE)*T160</f>
        <v>16526.1996416</v>
      </c>
      <c r="V160">
        <f t="shared" ref="V160:W160" si="147">V136</f>
        <v>3.2</v>
      </c>
      <c r="W160">
        <f t="shared" si="147"/>
        <v>2.9</v>
      </c>
      <c r="X160" s="9">
        <v>2.8661113</v>
      </c>
    </row>
    <row r="161" spans="1:24">
      <c r="A161" s="29">
        <f t="shared" si="115"/>
        <v>45842.58333333295</v>
      </c>
      <c r="B161" s="30">
        <f t="shared" si="139"/>
        <v>8000</v>
      </c>
      <c r="C161" s="8">
        <v>25000</v>
      </c>
      <c r="D161" s="8">
        <v>0</v>
      </c>
      <c r="E161" s="8">
        <v>0</v>
      </c>
      <c r="F161" s="8">
        <v>0</v>
      </c>
      <c r="G161" s="30">
        <f t="shared" si="140"/>
        <v>2400</v>
      </c>
      <c r="H161" s="8">
        <v>25000</v>
      </c>
      <c r="I161" s="30">
        <f t="shared" si="141"/>
        <v>8000</v>
      </c>
      <c r="J161" s="8">
        <v>25000</v>
      </c>
      <c r="K161" s="30">
        <f t="shared" si="142"/>
        <v>8000</v>
      </c>
      <c r="L161" s="8">
        <v>25000</v>
      </c>
      <c r="M161" s="9">
        <f>VLOOKUP(DATE(YEAR(A161),MONTH(A161),DAY(A161)),FY24_Temp[],4,FALSE)</f>
        <v>8.4</v>
      </c>
      <c r="N161" s="9">
        <f>VLOOKUP(DATE(YEAR(A161),MONTH(A161),DAY(A161)),FY24_Temp[],3,FALSE)</f>
        <v>12.8</v>
      </c>
      <c r="O161" s="9">
        <v>13</v>
      </c>
      <c r="P161" s="9">
        <v>19.5</v>
      </c>
      <c r="Q161" s="79">
        <f>VLOOKUP(VLOOKUP(DATEVALUE(TEXT(A161,"m/d/yyyy")),FY24_Temp[],5,FALSE)&amp;TEXT(A161,"-h"),Table6[],4,FALSE)</f>
        <v>0.5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VLOOKUP(TEXT(A161,"yy-mm")&amp;"-"&amp;IF(AND(WEEKDAY(A161)&gt;1,WEEKDAY(A161)&lt;7),"Wkd",TEXT(A161,"Ddd"))&amp;"-"&amp;TEXT(A161,"hh"),LoadTable[],5,FALSE)*0.92</f>
        <v>373.26607999999999</v>
      </c>
      <c r="U161" s="104">
        <f>VLOOKUP(TEXT(A161,"yy-mm")&amp;"-"&amp;IF(AND(WEEKDAY(A161)&gt;1,WEEKDAY(A161)&lt;7),"Wkd",TEXT(A161,"Ddd"))&amp;"-"&amp;TEXT(A161,"hh"),LoadTable[],6,FALSE)*T161</f>
        <v>27132.338089119996</v>
      </c>
      <c r="V161">
        <f t="shared" ref="V161:W161" si="148">V137</f>
        <v>3.5</v>
      </c>
      <c r="W161">
        <f t="shared" si="148"/>
        <v>2.9</v>
      </c>
      <c r="X161" s="9">
        <v>2.9089700999999999</v>
      </c>
    </row>
    <row r="162" spans="1:24">
      <c r="A162" s="29">
        <f t="shared" si="115"/>
        <v>45842.624999999614</v>
      </c>
      <c r="B162" s="30">
        <f t="shared" si="139"/>
        <v>8000</v>
      </c>
      <c r="C162" s="8">
        <v>25000</v>
      </c>
      <c r="D162" s="8">
        <v>0</v>
      </c>
      <c r="E162" s="8">
        <v>0</v>
      </c>
      <c r="F162" s="8">
        <v>0</v>
      </c>
      <c r="G162" s="30">
        <f t="shared" si="140"/>
        <v>2400</v>
      </c>
      <c r="H162" s="8">
        <v>25000</v>
      </c>
      <c r="I162" s="30">
        <f t="shared" si="141"/>
        <v>8000</v>
      </c>
      <c r="J162" s="8">
        <v>25000</v>
      </c>
      <c r="K162" s="30">
        <f t="shared" si="142"/>
        <v>8000</v>
      </c>
      <c r="L162" s="8">
        <v>25000</v>
      </c>
      <c r="M162" s="9">
        <f>VLOOKUP(DATE(YEAR(A162),MONTH(A162),DAY(A162)),FY24_Temp[],4,FALSE)</f>
        <v>8.4</v>
      </c>
      <c r="N162" s="9">
        <f>VLOOKUP(DATE(YEAR(A162),MONTH(A162),DAY(A162)),FY24_Temp[],3,FALSE)</f>
        <v>12.8</v>
      </c>
      <c r="O162" s="9">
        <v>13</v>
      </c>
      <c r="P162" s="9">
        <v>19.5</v>
      </c>
      <c r="Q162" s="79">
        <f>VLOOKUP(VLOOKUP(DATEVALUE(TEXT(A162,"m/d/yyyy")),FY24_Temp[],5,FALSE)&amp;TEXT(A162,"-h"),Table6[],4,FALSE)</f>
        <v>0.5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VLOOKUP(TEXT(A162,"yy-mm")&amp;"-"&amp;IF(AND(WEEKDAY(A162)&gt;1,WEEKDAY(A162)&lt;7),"Wkd",TEXT(A162,"Ddd"))&amp;"-"&amp;TEXT(A162,"hh"),LoadTable[],5,FALSE)*0.92</f>
        <v>494.57360000000006</v>
      </c>
      <c r="U162" s="104">
        <f>VLOOKUP(TEXT(A162,"yy-mm")&amp;"-"&amp;IF(AND(WEEKDAY(A162)&gt;1,WEEKDAY(A162)&lt;7),"Wkd",TEXT(A162,"Ddd"))&amp;"-"&amp;TEXT(A162,"hh"),LoadTable[],6,FALSE)*T162</f>
        <v>42310.771480000003</v>
      </c>
      <c r="V162">
        <f t="shared" ref="V162:W162" si="149">V138</f>
        <v>3.2</v>
      </c>
      <c r="W162">
        <f t="shared" si="149"/>
        <v>2.9</v>
      </c>
      <c r="X162" s="9">
        <v>3.2169219999999998</v>
      </c>
    </row>
    <row r="163" spans="1:24">
      <c r="A163" s="29">
        <f t="shared" si="115"/>
        <v>45842.666666666279</v>
      </c>
      <c r="B163" s="30">
        <f t="shared" si="139"/>
        <v>8000</v>
      </c>
      <c r="C163" s="8">
        <v>25000</v>
      </c>
      <c r="D163" s="8">
        <v>0</v>
      </c>
      <c r="E163" s="8">
        <v>0</v>
      </c>
      <c r="F163" s="8">
        <v>0</v>
      </c>
      <c r="G163" s="30">
        <f t="shared" si="140"/>
        <v>2400</v>
      </c>
      <c r="H163" s="8">
        <v>25000</v>
      </c>
      <c r="I163" s="30">
        <f t="shared" si="141"/>
        <v>8000</v>
      </c>
      <c r="J163" s="8">
        <v>25000</v>
      </c>
      <c r="K163" s="30">
        <f t="shared" si="142"/>
        <v>8000</v>
      </c>
      <c r="L163" s="8">
        <v>25000</v>
      </c>
      <c r="M163" s="9">
        <f>VLOOKUP(DATE(YEAR(A163),MONTH(A163),DAY(A163)),FY24_Temp[],4,FALSE)</f>
        <v>8.4</v>
      </c>
      <c r="N163" s="9">
        <f>VLOOKUP(DATE(YEAR(A163),MONTH(A163),DAY(A163)),FY24_Temp[],3,FALSE)</f>
        <v>12.8</v>
      </c>
      <c r="O163" s="9">
        <v>13</v>
      </c>
      <c r="P163" s="9">
        <v>19.5</v>
      </c>
      <c r="Q163" s="79">
        <f>VLOOKUP(VLOOKUP(DATEVALUE(TEXT(A163,"m/d/yyyy")),FY24_Temp[],5,FALSE)&amp;TEXT(A163,"-h"),Table6[],4,FALSE)</f>
        <v>0.5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VLOOKUP(TEXT(A163,"yy-mm")&amp;"-"&amp;IF(AND(WEEKDAY(A163)&gt;1,WEEKDAY(A163)&lt;7),"Wkd",TEXT(A163,"Ddd"))&amp;"-"&amp;TEXT(A163,"hh"),LoadTable[],5,FALSE)*0.92</f>
        <v>494.57360000000006</v>
      </c>
      <c r="U163" s="104">
        <f>VLOOKUP(TEXT(A163,"yy-mm")&amp;"-"&amp;IF(AND(WEEKDAY(A163)&gt;1,WEEKDAY(A163)&lt;7),"Wkd",TEXT(A163,"Ddd"))&amp;"-"&amp;TEXT(A163,"hh"),LoadTable[],6,FALSE)*T163</f>
        <v>50694.28857360001</v>
      </c>
      <c r="V163">
        <f t="shared" ref="V163:W163" si="150">V139</f>
        <v>3.5</v>
      </c>
      <c r="W163">
        <f t="shared" si="150"/>
        <v>3</v>
      </c>
      <c r="X163" s="9">
        <v>3.0791873999999999</v>
      </c>
    </row>
    <row r="164" spans="1:24">
      <c r="A164" s="29">
        <f t="shared" si="115"/>
        <v>45842.708333332943</v>
      </c>
      <c r="B164" s="30">
        <f t="shared" si="139"/>
        <v>8000</v>
      </c>
      <c r="C164" s="8">
        <v>25000</v>
      </c>
      <c r="D164" s="8">
        <v>0</v>
      </c>
      <c r="E164" s="8">
        <v>0</v>
      </c>
      <c r="F164" s="8">
        <v>0</v>
      </c>
      <c r="G164" s="30">
        <f t="shared" si="140"/>
        <v>2400</v>
      </c>
      <c r="H164" s="8">
        <v>25000</v>
      </c>
      <c r="I164" s="30">
        <f t="shared" si="141"/>
        <v>8000</v>
      </c>
      <c r="J164" s="8">
        <v>25000</v>
      </c>
      <c r="K164" s="30">
        <f t="shared" si="142"/>
        <v>8000</v>
      </c>
      <c r="L164" s="8">
        <v>25000</v>
      </c>
      <c r="M164" s="9">
        <f>VLOOKUP(DATE(YEAR(A164),MONTH(A164),DAY(A164)),FY24_Temp[],4,FALSE)</f>
        <v>8.4</v>
      </c>
      <c r="N164" s="9">
        <f>VLOOKUP(DATE(YEAR(A164),MONTH(A164),DAY(A164)),FY24_Temp[],3,FALSE)</f>
        <v>12.8</v>
      </c>
      <c r="O164" s="9">
        <v>13</v>
      </c>
      <c r="P164" s="9">
        <v>19.5</v>
      </c>
      <c r="Q164" s="79">
        <f>VLOOKUP(VLOOKUP(DATEVALUE(TEXT(A164,"m/d/yyyy")),FY24_Temp[],5,FALSE)&amp;TEXT(A164,"-h"),Table6[],4,FALSE)</f>
        <v>0.5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VLOOKUP(TEXT(A164,"yy-mm")&amp;"-"&amp;IF(AND(WEEKDAY(A164)&gt;1,WEEKDAY(A164)&lt;7),"Wkd",TEXT(A164,"Ddd"))&amp;"-"&amp;TEXT(A164,"hh"),LoadTable[],5,FALSE)*0.92</f>
        <v>494.57360000000006</v>
      </c>
      <c r="U164" s="104">
        <f>VLOOKUP(TEXT(A164,"yy-mm")&amp;"-"&amp;IF(AND(WEEKDAY(A164)&gt;1,WEEKDAY(A164)&lt;7),"Wkd",TEXT(A164,"Ddd"))&amp;"-"&amp;TEXT(A164,"hh"),LoadTable[],6,FALSE)*T164</f>
        <v>56025.791981600007</v>
      </c>
      <c r="V164">
        <f t="shared" ref="V164:W164" si="151">V140</f>
        <v>3.6</v>
      </c>
      <c r="W164">
        <f t="shared" si="151"/>
        <v>3</v>
      </c>
      <c r="X164" s="9">
        <v>3.0040752999999998</v>
      </c>
    </row>
    <row r="165" spans="1:24">
      <c r="A165" s="29">
        <f t="shared" si="115"/>
        <v>45842.749999999607</v>
      </c>
      <c r="B165" s="30">
        <f t="shared" si="139"/>
        <v>5000</v>
      </c>
      <c r="C165" s="8">
        <v>25000</v>
      </c>
      <c r="D165" s="8">
        <v>0</v>
      </c>
      <c r="E165" s="8">
        <v>0</v>
      </c>
      <c r="F165" s="8">
        <v>0</v>
      </c>
      <c r="G165" s="30">
        <f t="shared" si="140"/>
        <v>2400</v>
      </c>
      <c r="H165" s="8">
        <v>25000</v>
      </c>
      <c r="I165" s="30">
        <f t="shared" si="141"/>
        <v>5000</v>
      </c>
      <c r="J165" s="8">
        <v>25000</v>
      </c>
      <c r="K165" s="30">
        <f t="shared" si="142"/>
        <v>5000</v>
      </c>
      <c r="L165" s="8">
        <v>25000</v>
      </c>
      <c r="M165" s="9">
        <f>VLOOKUP(DATE(YEAR(A165),MONTH(A165),DAY(A165)),FY24_Temp[],4,FALSE)</f>
        <v>8.4</v>
      </c>
      <c r="N165" s="9">
        <f>VLOOKUP(DATE(YEAR(A165),MONTH(A165),DAY(A165)),FY24_Temp[],3,FALSE)</f>
        <v>12.8</v>
      </c>
      <c r="O165" s="9">
        <v>13</v>
      </c>
      <c r="P165" s="9">
        <v>19.5</v>
      </c>
      <c r="Q165" s="79">
        <f>VLOOKUP(VLOOKUP(DATEVALUE(TEXT(A165,"m/d/yyyy")),FY24_Temp[],5,FALSE)&amp;TEXT(A165,"-h"),Table6[],4,FALSE)</f>
        <v>0.5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VLOOKUP(TEXT(A165,"yy-mm")&amp;"-"&amp;IF(AND(WEEKDAY(A165)&gt;1,WEEKDAY(A165)&lt;7),"Wkd",TEXT(A165,"Ddd"))&amp;"-"&amp;TEXT(A165,"hh"),LoadTable[],5,FALSE)*0.92</f>
        <v>494.57360000000006</v>
      </c>
      <c r="U165" s="104">
        <f>VLOOKUP(TEXT(A165,"yy-mm")&amp;"-"&amp;IF(AND(WEEKDAY(A165)&gt;1,WEEKDAY(A165)&lt;7),"Wkd",TEXT(A165,"Ddd"))&amp;"-"&amp;TEXT(A165,"hh"),LoadTable[],6,FALSE)*T165</f>
        <v>60164.383866400007</v>
      </c>
      <c r="V165">
        <f t="shared" ref="V165:W165" si="152">V141</f>
        <v>2.9</v>
      </c>
      <c r="W165">
        <f t="shared" si="152"/>
        <v>3</v>
      </c>
      <c r="X165" s="9">
        <v>2.9862986</v>
      </c>
    </row>
    <row r="166" spans="1:24">
      <c r="A166" s="29">
        <f t="shared" si="115"/>
        <v>45842.791666666271</v>
      </c>
      <c r="B166" s="30">
        <f t="shared" si="139"/>
        <v>5000</v>
      </c>
      <c r="C166" s="8">
        <v>25000</v>
      </c>
      <c r="D166" s="8">
        <v>0</v>
      </c>
      <c r="E166" s="8">
        <v>0</v>
      </c>
      <c r="F166" s="8">
        <v>0</v>
      </c>
      <c r="G166" s="30">
        <f t="shared" si="140"/>
        <v>2400</v>
      </c>
      <c r="H166" s="8">
        <v>25000</v>
      </c>
      <c r="I166" s="30">
        <f t="shared" si="141"/>
        <v>5000</v>
      </c>
      <c r="J166" s="8">
        <v>25000</v>
      </c>
      <c r="K166" s="30">
        <f t="shared" si="142"/>
        <v>5000</v>
      </c>
      <c r="L166" s="8">
        <v>25000</v>
      </c>
      <c r="M166" s="9">
        <f>VLOOKUP(DATE(YEAR(A166),MONTH(A166),DAY(A166)),FY24_Temp[],4,FALSE)</f>
        <v>8.4</v>
      </c>
      <c r="N166" s="9">
        <f>VLOOKUP(DATE(YEAR(A166),MONTH(A166),DAY(A166)),FY24_Temp[],3,FALSE)</f>
        <v>12.8</v>
      </c>
      <c r="O166" s="9">
        <v>13</v>
      </c>
      <c r="P166" s="9">
        <v>19.5</v>
      </c>
      <c r="Q166" s="79">
        <f>VLOOKUP(VLOOKUP(DATEVALUE(TEXT(A166,"m/d/yyyy")),FY24_Temp[],5,FALSE)&amp;TEXT(A166,"-h"),Table6[],4,FALSE)</f>
        <v>0.5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VLOOKUP(TEXT(A166,"yy-mm")&amp;"-"&amp;IF(AND(WEEKDAY(A166)&gt;1,WEEKDAY(A166)&lt;7),"Wkd",TEXT(A166,"Ddd"))&amp;"-"&amp;TEXT(A166,"hh"),LoadTable[],5,FALSE)*0.92</f>
        <v>494.57360000000006</v>
      </c>
      <c r="U166" s="104">
        <f>VLOOKUP(TEXT(A166,"yy-mm")&amp;"-"&amp;IF(AND(WEEKDAY(A166)&gt;1,WEEKDAY(A166)&lt;7),"Wkd",TEXT(A166,"Ddd"))&amp;"-"&amp;TEXT(A166,"hh"),LoadTable[],6,FALSE)*T166</f>
        <v>60548.172980000003</v>
      </c>
      <c r="V166">
        <f t="shared" ref="V166:W166" si="153">V142</f>
        <v>3</v>
      </c>
      <c r="W166">
        <f t="shared" si="153"/>
        <v>3</v>
      </c>
      <c r="X166" s="9">
        <v>2.9415716999999999</v>
      </c>
    </row>
    <row r="167" spans="1:24">
      <c r="A167" s="29">
        <f t="shared" si="115"/>
        <v>45842.833333332936</v>
      </c>
      <c r="B167" s="30">
        <f t="shared" si="139"/>
        <v>5000</v>
      </c>
      <c r="C167" s="8">
        <v>25000</v>
      </c>
      <c r="D167" s="8">
        <v>0</v>
      </c>
      <c r="E167" s="8">
        <v>0</v>
      </c>
      <c r="F167" s="8">
        <v>0</v>
      </c>
      <c r="G167" s="30">
        <f t="shared" si="140"/>
        <v>2400</v>
      </c>
      <c r="H167" s="8">
        <v>25000</v>
      </c>
      <c r="I167" s="30">
        <f t="shared" si="141"/>
        <v>5000</v>
      </c>
      <c r="J167" s="8">
        <v>25000</v>
      </c>
      <c r="K167" s="30">
        <f t="shared" si="142"/>
        <v>5000</v>
      </c>
      <c r="L167" s="8">
        <v>25000</v>
      </c>
      <c r="M167" s="9">
        <f>VLOOKUP(DATE(YEAR(A167),MONTH(A167),DAY(A167)),FY24_Temp[],4,FALSE)</f>
        <v>8.4</v>
      </c>
      <c r="N167" s="9">
        <f>VLOOKUP(DATE(YEAR(A167),MONTH(A167),DAY(A167)),FY24_Temp[],3,FALSE)</f>
        <v>12.8</v>
      </c>
      <c r="O167" s="9">
        <v>13</v>
      </c>
      <c r="P167" s="9">
        <v>19.5</v>
      </c>
      <c r="Q167" s="79">
        <f>VLOOKUP(VLOOKUP(DATEVALUE(TEXT(A167,"m/d/yyyy")),FY24_Temp[],5,FALSE)&amp;TEXT(A167,"-h"),Table6[],4,FALSE)</f>
        <v>0.5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VLOOKUP(TEXT(A167,"yy-mm")&amp;"-"&amp;IF(AND(WEEKDAY(A167)&gt;1,WEEKDAY(A167)&lt;7),"Wkd",TEXT(A167,"Ddd"))&amp;"-"&amp;TEXT(A167,"hh"),LoadTable[],5,FALSE)*0.92</f>
        <v>494.57360000000006</v>
      </c>
      <c r="U167" s="104">
        <f>VLOOKUP(TEXT(A167,"yy-mm")&amp;"-"&amp;IF(AND(WEEKDAY(A167)&gt;1,WEEKDAY(A167)&lt;7),"Wkd",TEXT(A167,"Ddd"))&amp;"-"&amp;TEXT(A167,"hh"),LoadTable[],6,FALSE)*T167</f>
        <v>60532.346624800004</v>
      </c>
      <c r="V167">
        <f t="shared" ref="V167:W167" si="154">V143</f>
        <v>2.8</v>
      </c>
      <c r="W167">
        <f t="shared" si="154"/>
        <v>3.1</v>
      </c>
      <c r="X167" s="9">
        <v>2.9021363</v>
      </c>
    </row>
    <row r="168" spans="1:24">
      <c r="A168" s="29">
        <f t="shared" si="115"/>
        <v>45842.8749999996</v>
      </c>
      <c r="B168" s="30">
        <f t="shared" si="139"/>
        <v>5000</v>
      </c>
      <c r="C168" s="8">
        <v>25000</v>
      </c>
      <c r="D168" s="8">
        <v>0</v>
      </c>
      <c r="E168" s="8">
        <v>0</v>
      </c>
      <c r="F168" s="8">
        <v>0</v>
      </c>
      <c r="G168" s="30">
        <f t="shared" si="140"/>
        <v>2400</v>
      </c>
      <c r="H168" s="8">
        <v>25000</v>
      </c>
      <c r="I168" s="30">
        <f t="shared" si="141"/>
        <v>5000</v>
      </c>
      <c r="J168" s="8">
        <v>25000</v>
      </c>
      <c r="K168" s="30">
        <f t="shared" si="142"/>
        <v>5000</v>
      </c>
      <c r="L168" s="8">
        <v>25000</v>
      </c>
      <c r="M168" s="9">
        <f>VLOOKUP(DATE(YEAR(A168),MONTH(A168),DAY(A168)),FY24_Temp[],4,FALSE)</f>
        <v>8.4</v>
      </c>
      <c r="N168" s="9">
        <f>VLOOKUP(DATE(YEAR(A168),MONTH(A168),DAY(A168)),FY24_Temp[],3,FALSE)</f>
        <v>12.8</v>
      </c>
      <c r="O168" s="9">
        <v>13</v>
      </c>
      <c r="P168" s="9">
        <v>19.5</v>
      </c>
      <c r="Q168" s="79">
        <f>VLOOKUP(VLOOKUP(DATEVALUE(TEXT(A168,"m/d/yyyy")),FY24_Temp[],5,FALSE)&amp;TEXT(A168,"-h"),Table6[],4,FALSE)</f>
        <v>0.5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VLOOKUP(TEXT(A168,"yy-mm")&amp;"-"&amp;IF(AND(WEEKDAY(A168)&gt;1,WEEKDAY(A168)&lt;7),"Wkd",TEXT(A168,"Ddd"))&amp;"-"&amp;TEXT(A168,"hh"),LoadTable[],5,FALSE)*0.92</f>
        <v>494.57360000000006</v>
      </c>
      <c r="U168" s="104">
        <f>VLOOKUP(TEXT(A168,"yy-mm")&amp;"-"&amp;IF(AND(WEEKDAY(A168)&gt;1,WEEKDAY(A168)&lt;7),"Wkd",TEXT(A168,"Ddd"))&amp;"-"&amp;TEXT(A168,"hh"),LoadTable[],6,FALSE)*T168</f>
        <v>58481.349905600007</v>
      </c>
      <c r="V168">
        <f t="shared" ref="V168:W168" si="155">V144</f>
        <v>3.5</v>
      </c>
      <c r="W168">
        <f t="shared" si="155"/>
        <v>3.1</v>
      </c>
      <c r="X168" s="9">
        <v>2.8622622</v>
      </c>
    </row>
    <row r="169" spans="1:24">
      <c r="A169" s="29">
        <f t="shared" si="115"/>
        <v>45842.916666666264</v>
      </c>
      <c r="B169" s="30">
        <f t="shared" si="139"/>
        <v>5000</v>
      </c>
      <c r="C169" s="8">
        <v>25000</v>
      </c>
      <c r="D169" s="8">
        <v>0</v>
      </c>
      <c r="E169" s="8">
        <v>0</v>
      </c>
      <c r="F169" s="8">
        <v>0</v>
      </c>
      <c r="G169" s="30">
        <f t="shared" si="140"/>
        <v>2400</v>
      </c>
      <c r="H169" s="8">
        <v>25000</v>
      </c>
      <c r="I169" s="30">
        <f t="shared" si="141"/>
        <v>5000</v>
      </c>
      <c r="J169" s="8">
        <v>25000</v>
      </c>
      <c r="K169" s="30">
        <f t="shared" si="142"/>
        <v>5000</v>
      </c>
      <c r="L169" s="8">
        <v>25000</v>
      </c>
      <c r="M169" s="9">
        <f>VLOOKUP(DATE(YEAR(A169),MONTH(A169),DAY(A169)),FY24_Temp[],4,FALSE)</f>
        <v>8.4</v>
      </c>
      <c r="N169" s="9">
        <f>VLOOKUP(DATE(YEAR(A169),MONTH(A169),DAY(A169)),FY24_Temp[],3,FALSE)</f>
        <v>12.8</v>
      </c>
      <c r="O169" s="9">
        <v>13</v>
      </c>
      <c r="P169" s="9">
        <v>19.5</v>
      </c>
      <c r="Q169" s="79">
        <f>VLOOKUP(VLOOKUP(DATEVALUE(TEXT(A169,"m/d/yyyy")),FY24_Temp[],5,FALSE)&amp;TEXT(A169,"-h"),Table6[],4,FALSE)</f>
        <v>0.5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VLOOKUP(TEXT(A169,"yy-mm")&amp;"-"&amp;IF(AND(WEEKDAY(A169)&gt;1,WEEKDAY(A169)&lt;7),"Wkd",TEXT(A169,"Ddd"))&amp;"-"&amp;TEXT(A169,"hh"),LoadTable[],5,FALSE)*0.92</f>
        <v>418.75640000000004</v>
      </c>
      <c r="U169" s="104">
        <f>VLOOKUP(TEXT(A169,"yy-mm")&amp;"-"&amp;IF(AND(WEEKDAY(A169)&gt;1,WEEKDAY(A169)&lt;7),"Wkd",TEXT(A169,"Ddd"))&amp;"-"&amp;TEXT(A169,"hh"),LoadTable[],6,FALSE)*T169</f>
        <v>27547.889774000003</v>
      </c>
      <c r="V169">
        <f t="shared" ref="V169:W169" si="156">V145</f>
        <v>2.9</v>
      </c>
      <c r="W169">
        <f t="shared" si="156"/>
        <v>3.1</v>
      </c>
      <c r="X169" s="9">
        <v>2.8155912999999999</v>
      </c>
    </row>
    <row r="170" spans="1:24" ht="16" thickBot="1">
      <c r="A170" s="29">
        <f t="shared" si="115"/>
        <v>45842.958333332928</v>
      </c>
      <c r="B170" s="30">
        <f t="shared" si="139"/>
        <v>5000</v>
      </c>
      <c r="C170" s="8">
        <v>25000</v>
      </c>
      <c r="D170" s="8">
        <v>0</v>
      </c>
      <c r="E170" s="8">
        <v>0</v>
      </c>
      <c r="F170" s="8">
        <v>0</v>
      </c>
      <c r="G170" s="30">
        <f t="shared" si="140"/>
        <v>2400</v>
      </c>
      <c r="H170" s="8">
        <v>25000</v>
      </c>
      <c r="I170" s="30">
        <f t="shared" si="141"/>
        <v>5000</v>
      </c>
      <c r="J170" s="8">
        <v>25000</v>
      </c>
      <c r="K170" s="30">
        <f t="shared" si="142"/>
        <v>5000</v>
      </c>
      <c r="L170" s="8">
        <v>25000</v>
      </c>
      <c r="M170" s="9">
        <f>VLOOKUP(DATE(YEAR(A170),MONTH(A170),DAY(A170)),FY24_Temp[],4,FALSE)</f>
        <v>8.4</v>
      </c>
      <c r="N170" s="9">
        <f>VLOOKUP(DATE(YEAR(A170),MONTH(A170),DAY(A170)),FY24_Temp[],3,FALSE)</f>
        <v>12.8</v>
      </c>
      <c r="O170" s="9">
        <v>13</v>
      </c>
      <c r="P170" s="9">
        <v>19.5</v>
      </c>
      <c r="Q170" s="79">
        <f>VLOOKUP(VLOOKUP(DATEVALUE(TEXT(A170,"m/d/yyyy")),FY24_Temp[],5,FALSE)&amp;TEXT(A170,"-h"),Table6[],4,FALSE)</f>
        <v>0.5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VLOOKUP(TEXT(A170,"yy-mm")&amp;"-"&amp;IF(AND(WEEKDAY(A170)&gt;1,WEEKDAY(A170)&lt;7),"Wkd",TEXT(A170,"Ddd"))&amp;"-"&amp;TEXT(A170,"hh"),LoadTable[],5,FALSE)*0.92</f>
        <v>342.93920000000003</v>
      </c>
      <c r="U170" s="104">
        <f>VLOOKUP(TEXT(A170,"yy-mm")&amp;"-"&amp;IF(AND(WEEKDAY(A170)&gt;1,WEEKDAY(A170)&lt;7),"Wkd",TEXT(A170,"Ddd"))&amp;"-"&amp;TEXT(A170,"hh"),LoadTable[],6,FALSE)*T170</f>
        <v>19873.669579200003</v>
      </c>
      <c r="V170">
        <f t="shared" ref="V170:W170" si="157">V146</f>
        <v>3.6</v>
      </c>
      <c r="W170">
        <f t="shared" si="157"/>
        <v>3.1</v>
      </c>
      <c r="X170" s="9">
        <v>2.7097294000000001</v>
      </c>
    </row>
    <row r="171" spans="1:24" ht="16" thickBot="1">
      <c r="A171" s="120">
        <f t="shared" si="115"/>
        <v>45842.999999999593</v>
      </c>
      <c r="B171" s="121">
        <f t="shared" si="139"/>
        <v>5000</v>
      </c>
      <c r="C171" s="114">
        <v>25000</v>
      </c>
      <c r="D171" s="114">
        <v>0</v>
      </c>
      <c r="E171" s="114">
        <v>0</v>
      </c>
      <c r="F171" s="114">
        <v>0</v>
      </c>
      <c r="G171" s="114">
        <f t="shared" si="140"/>
        <v>2400</v>
      </c>
      <c r="H171" s="114">
        <v>25000</v>
      </c>
      <c r="I171" s="114">
        <f t="shared" si="141"/>
        <v>5000</v>
      </c>
      <c r="J171" s="114">
        <v>25000</v>
      </c>
      <c r="K171" s="114">
        <f t="shared" si="142"/>
        <v>5000</v>
      </c>
      <c r="L171" s="114">
        <v>25000</v>
      </c>
      <c r="M171" s="115">
        <f>VLOOKUP(DATE(YEAR(A171),MONTH(A171),DAY(A171)),FY24_Temp[],4,FALSE)</f>
        <v>8.4</v>
      </c>
      <c r="N171" s="115">
        <f>VLOOKUP(DATE(YEAR(A171),MONTH(A171),DAY(A171)),FY24_Temp[],3,FALSE)</f>
        <v>12.8</v>
      </c>
      <c r="O171" s="115">
        <v>13</v>
      </c>
      <c r="P171" s="115">
        <v>19.5</v>
      </c>
      <c r="Q171" s="116">
        <f>VLOOKUP(VLOOKUP(DATEVALUE(TEXT(A171,"m/d/yyyy")),FY24_Temp[],5,FALSE)&amp;TEXT(A171,"-h"),Table6[],4,FALSE)</f>
        <v>0.5</v>
      </c>
      <c r="R171" s="117">
        <v>10</v>
      </c>
      <c r="S171" s="117">
        <v>1000</v>
      </c>
      <c r="T171" s="100">
        <f>VLOOKUP(TEXT(A171,"yy-mm")&amp;"-"&amp;IF(AND(WEEKDAY(A171)&gt;1,WEEKDAY(A171)&lt;7),"Wkd",TEXT(A171,"Ddd"))&amp;"-"&amp;TEXT(A171,"hh"),LoadTable[],5,FALSE)*0.92</f>
        <v>279.25312000000002</v>
      </c>
      <c r="U171" s="118">
        <f>VLOOKUP(TEXT(A171,"yy-mm")&amp;"-"&amp;IF(AND(WEEKDAY(A171)&gt;1,WEEKDAY(A171)&lt;7),"Wkd",TEXT(A171,"Ddd"))&amp;"-"&amp;TEXT(A171,"hh"),LoadTable[],6,FALSE)*T171</f>
        <v>13845.648942720001</v>
      </c>
      <c r="V171" s="117">
        <f t="shared" ref="V171:W171" si="158">V147</f>
        <v>3</v>
      </c>
      <c r="W171" s="117">
        <f t="shared" si="158"/>
        <v>3.2</v>
      </c>
      <c r="X171" s="119">
        <v>2.6478817000000001</v>
      </c>
    </row>
    <row r="172" spans="1:24">
      <c r="A172" s="29">
        <f t="shared" si="115"/>
        <v>45843.041666666257</v>
      </c>
      <c r="B172" s="30">
        <f t="shared" si="139"/>
        <v>5000</v>
      </c>
      <c r="C172" s="8">
        <v>25000</v>
      </c>
      <c r="D172" s="8">
        <v>0</v>
      </c>
      <c r="E172" s="8">
        <v>0</v>
      </c>
      <c r="F172" s="8">
        <v>0</v>
      </c>
      <c r="G172" s="30">
        <f t="shared" si="140"/>
        <v>2400</v>
      </c>
      <c r="H172" s="8">
        <v>25000</v>
      </c>
      <c r="I172" s="30">
        <f t="shared" si="141"/>
        <v>5000</v>
      </c>
      <c r="J172" s="8">
        <v>25000</v>
      </c>
      <c r="K172" s="30">
        <f t="shared" si="142"/>
        <v>5000</v>
      </c>
      <c r="L172" s="8">
        <v>25000</v>
      </c>
      <c r="M172" s="9">
        <f>VLOOKUP(DATE(YEAR(A172),MONTH(A172),DAY(A172)),FY24_Temp[],4,FALSE)</f>
        <v>8.4</v>
      </c>
      <c r="N172" s="9">
        <f>VLOOKUP(DATE(YEAR(A172),MONTH(A172),DAY(A172)),FY24_Temp[],3,FALSE)</f>
        <v>12.8</v>
      </c>
      <c r="O172" s="9">
        <v>13</v>
      </c>
      <c r="P172" s="9">
        <v>19.5</v>
      </c>
      <c r="Q172" s="79">
        <f>VLOOKUP(VLOOKUP(DATEVALUE(TEXT(A172,"m/d/yyyy")),FY24_Temp[],5,FALSE)&amp;TEXT(A172,"-h"),Table6[],4,FALSE)</f>
        <v>0.5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VLOOKUP(TEXT(A172,"yy-mm")&amp;"-"&amp;IF(AND(WEEKDAY(A172)&gt;1,WEEKDAY(A172)&lt;7),"Wkd",TEXT(A172,"Ddd"))&amp;"-"&amp;TEXT(A172,"hh"),LoadTable[],5,FALSE)*0.92</f>
        <v>279.25312000000002</v>
      </c>
      <c r="U172" s="104">
        <f>VLOOKUP(TEXT(A172,"yy-mm")&amp;"-"&amp;IF(AND(WEEKDAY(A172)&gt;1,WEEKDAY(A172)&lt;7),"Wkd",TEXT(A172,"Ddd"))&amp;"-"&amp;TEXT(A172,"hh"),LoadTable[],6,FALSE)*T172</f>
        <v>13695.131511040001</v>
      </c>
      <c r="V172">
        <f t="shared" ref="V172:W172" si="159">V148</f>
        <v>2.6</v>
      </c>
      <c r="W172">
        <f t="shared" si="159"/>
        <v>3.2</v>
      </c>
      <c r="X172" s="9">
        <v>2.6271624999999998</v>
      </c>
    </row>
    <row r="173" spans="1:24">
      <c r="A173" s="29">
        <f t="shared" si="115"/>
        <v>45843.083333332921</v>
      </c>
      <c r="B173" s="30">
        <f t="shared" si="139"/>
        <v>5000</v>
      </c>
      <c r="C173" s="8">
        <v>25000</v>
      </c>
      <c r="D173" s="8">
        <v>0</v>
      </c>
      <c r="E173" s="8">
        <v>0</v>
      </c>
      <c r="F173" s="8">
        <v>0</v>
      </c>
      <c r="G173" s="30">
        <f t="shared" si="140"/>
        <v>2400</v>
      </c>
      <c r="H173" s="8">
        <v>25000</v>
      </c>
      <c r="I173" s="30">
        <f t="shared" si="141"/>
        <v>5000</v>
      </c>
      <c r="J173" s="8">
        <v>25000</v>
      </c>
      <c r="K173" s="30">
        <f t="shared" si="142"/>
        <v>5000</v>
      </c>
      <c r="L173" s="8">
        <v>25000</v>
      </c>
      <c r="M173" s="9">
        <f>VLOOKUP(DATE(YEAR(A173),MONTH(A173),DAY(A173)),FY24_Temp[],4,FALSE)</f>
        <v>8.4</v>
      </c>
      <c r="N173" s="9">
        <f>VLOOKUP(DATE(YEAR(A173),MONTH(A173),DAY(A173)),FY24_Temp[],3,FALSE)</f>
        <v>12.8</v>
      </c>
      <c r="O173" s="9">
        <v>13</v>
      </c>
      <c r="P173" s="9">
        <v>19.5</v>
      </c>
      <c r="Q173" s="79">
        <f>VLOOKUP(VLOOKUP(DATEVALUE(TEXT(A173,"m/d/yyyy")),FY24_Temp[],5,FALSE)&amp;TEXT(A173,"-h"),Table6[],4,FALSE)</f>
        <v>0.5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VLOOKUP(TEXT(A173,"yy-mm")&amp;"-"&amp;IF(AND(WEEKDAY(A173)&gt;1,WEEKDAY(A173)&lt;7),"Wkd",TEXT(A173,"Ddd"))&amp;"-"&amp;TEXT(A173,"hh"),LoadTable[],5,FALSE)*0.92</f>
        <v>279.25312000000002</v>
      </c>
      <c r="U173" s="104">
        <f>VLOOKUP(TEXT(A173,"yy-mm")&amp;"-"&amp;IF(AND(WEEKDAY(A173)&gt;1,WEEKDAY(A173)&lt;7),"Wkd",TEXT(A173,"Ddd"))&amp;"-"&amp;TEXT(A173,"hh"),LoadTable[],6,FALSE)*T173</f>
        <v>13726.12860736</v>
      </c>
      <c r="V173">
        <f t="shared" ref="V173:W173" si="160">V149</f>
        <v>2.8</v>
      </c>
      <c r="W173">
        <f t="shared" si="160"/>
        <v>3.2</v>
      </c>
      <c r="X173" s="9">
        <v>2.6882806000000001</v>
      </c>
    </row>
    <row r="174" spans="1:24">
      <c r="A174" s="29">
        <f t="shared" si="115"/>
        <v>45843.124999999585</v>
      </c>
      <c r="B174" s="30">
        <f t="shared" si="139"/>
        <v>5000</v>
      </c>
      <c r="C174" s="8">
        <v>25000</v>
      </c>
      <c r="D174" s="8">
        <v>0</v>
      </c>
      <c r="E174" s="8">
        <v>0</v>
      </c>
      <c r="F174" s="8">
        <v>0</v>
      </c>
      <c r="G174" s="30">
        <f t="shared" si="140"/>
        <v>2400</v>
      </c>
      <c r="H174" s="8">
        <v>25000</v>
      </c>
      <c r="I174" s="30">
        <f t="shared" si="141"/>
        <v>5000</v>
      </c>
      <c r="J174" s="8">
        <v>25000</v>
      </c>
      <c r="K174" s="30">
        <f t="shared" si="142"/>
        <v>5000</v>
      </c>
      <c r="L174" s="8">
        <v>25000</v>
      </c>
      <c r="M174" s="9">
        <f>VLOOKUP(DATE(YEAR(A174),MONTH(A174),DAY(A174)),FY24_Temp[],4,FALSE)</f>
        <v>8.4</v>
      </c>
      <c r="N174" s="9">
        <f>VLOOKUP(DATE(YEAR(A174),MONTH(A174),DAY(A174)),FY24_Temp[],3,FALSE)</f>
        <v>12.8</v>
      </c>
      <c r="O174" s="9">
        <v>13</v>
      </c>
      <c r="P174" s="9">
        <v>19.5</v>
      </c>
      <c r="Q174" s="79">
        <f>VLOOKUP(VLOOKUP(DATEVALUE(TEXT(A174,"m/d/yyyy")),FY24_Temp[],5,FALSE)&amp;TEXT(A174,"-h"),Table6[],4,FALSE)</f>
        <v>0.5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VLOOKUP(TEXT(A174,"yy-mm")&amp;"-"&amp;IF(AND(WEEKDAY(A174)&gt;1,WEEKDAY(A174)&lt;7),"Wkd",TEXT(A174,"Ddd"))&amp;"-"&amp;TEXT(A174,"hh"),LoadTable[],5,FALSE)*0.92</f>
        <v>279.25312000000002</v>
      </c>
      <c r="U174" s="104">
        <f>VLOOKUP(TEXT(A174,"yy-mm")&amp;"-"&amp;IF(AND(WEEKDAY(A174)&gt;1,WEEKDAY(A174)&lt;7),"Wkd",TEXT(A174,"Ddd"))&amp;"-"&amp;TEXT(A174,"hh"),LoadTable[],6,FALSE)*T174</f>
        <v>13756.287944320002</v>
      </c>
      <c r="V174">
        <f t="shared" ref="V174:W174" si="161">V150</f>
        <v>2.7</v>
      </c>
      <c r="W174">
        <f t="shared" si="161"/>
        <v>3.2</v>
      </c>
      <c r="X174" s="9">
        <v>2.736243</v>
      </c>
    </row>
    <row r="175" spans="1:24">
      <c r="A175" s="29">
        <f t="shared" si="115"/>
        <v>45843.16666666625</v>
      </c>
      <c r="B175" s="30">
        <f t="shared" si="139"/>
        <v>5000</v>
      </c>
      <c r="C175" s="8">
        <v>25000</v>
      </c>
      <c r="D175" s="8">
        <v>0</v>
      </c>
      <c r="E175" s="8">
        <v>0</v>
      </c>
      <c r="F175" s="8">
        <v>0</v>
      </c>
      <c r="G175" s="30">
        <f t="shared" si="140"/>
        <v>2400</v>
      </c>
      <c r="H175" s="8">
        <v>25000</v>
      </c>
      <c r="I175" s="30">
        <f t="shared" si="141"/>
        <v>5000</v>
      </c>
      <c r="J175" s="8">
        <v>25000</v>
      </c>
      <c r="K175" s="30">
        <f t="shared" si="142"/>
        <v>5000</v>
      </c>
      <c r="L175" s="8">
        <v>25000</v>
      </c>
      <c r="M175" s="9">
        <f>VLOOKUP(DATE(YEAR(A175),MONTH(A175),DAY(A175)),FY24_Temp[],4,FALSE)</f>
        <v>8.4</v>
      </c>
      <c r="N175" s="9">
        <f>VLOOKUP(DATE(YEAR(A175),MONTH(A175),DAY(A175)),FY24_Temp[],3,FALSE)</f>
        <v>12.8</v>
      </c>
      <c r="O175" s="9">
        <v>13</v>
      </c>
      <c r="P175" s="9">
        <v>19.5</v>
      </c>
      <c r="Q175" s="79">
        <f>VLOOKUP(VLOOKUP(DATEVALUE(TEXT(A175,"m/d/yyyy")),FY24_Temp[],5,FALSE)&amp;TEXT(A175,"-h"),Table6[],4,FALSE)</f>
        <v>0.5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VLOOKUP(TEXT(A175,"yy-mm")&amp;"-"&amp;IF(AND(WEEKDAY(A175)&gt;1,WEEKDAY(A175)&lt;7),"Wkd",TEXT(A175,"Ddd"))&amp;"-"&amp;TEXT(A175,"hh"),LoadTable[],5,FALSE)*0.92</f>
        <v>279.25312000000002</v>
      </c>
      <c r="U175" s="104">
        <f>VLOOKUP(TEXT(A175,"yy-mm")&amp;"-"&amp;IF(AND(WEEKDAY(A175)&gt;1,WEEKDAY(A175)&lt;7),"Wkd",TEXT(A175,"Ddd"))&amp;"-"&amp;TEXT(A175,"hh"),LoadTable[],6,FALSE)*T175</f>
        <v>13728.641885440002</v>
      </c>
      <c r="V175">
        <f t="shared" ref="V175:W175" si="162">V151</f>
        <v>3</v>
      </c>
      <c r="W175">
        <f t="shared" si="162"/>
        <v>3.1</v>
      </c>
      <c r="X175" s="9">
        <v>2.7699392</v>
      </c>
    </row>
    <row r="176" spans="1:24">
      <c r="A176" s="29">
        <f t="shared" si="115"/>
        <v>45843.208333332914</v>
      </c>
      <c r="B176" s="30">
        <f t="shared" si="139"/>
        <v>5000</v>
      </c>
      <c r="C176" s="8">
        <v>25000</v>
      </c>
      <c r="D176" s="8">
        <v>0</v>
      </c>
      <c r="E176" s="8">
        <v>0</v>
      </c>
      <c r="F176" s="8">
        <v>0</v>
      </c>
      <c r="G176" s="30">
        <f t="shared" si="140"/>
        <v>2400</v>
      </c>
      <c r="H176" s="8">
        <v>25000</v>
      </c>
      <c r="I176" s="30">
        <f t="shared" si="141"/>
        <v>5000</v>
      </c>
      <c r="J176" s="8">
        <v>25000</v>
      </c>
      <c r="K176" s="30">
        <f t="shared" si="142"/>
        <v>5000</v>
      </c>
      <c r="L176" s="8">
        <v>25000</v>
      </c>
      <c r="M176" s="9">
        <f>VLOOKUP(DATE(YEAR(A176),MONTH(A176),DAY(A176)),FY24_Temp[],4,FALSE)</f>
        <v>8.4</v>
      </c>
      <c r="N176" s="9">
        <f>VLOOKUP(DATE(YEAR(A176),MONTH(A176),DAY(A176)),FY24_Temp[],3,FALSE)</f>
        <v>12.8</v>
      </c>
      <c r="O176" s="9">
        <v>13</v>
      </c>
      <c r="P176" s="9">
        <v>19.5</v>
      </c>
      <c r="Q176" s="79">
        <f>VLOOKUP(VLOOKUP(DATEVALUE(TEXT(A176,"m/d/yyyy")),FY24_Temp[],5,FALSE)&amp;TEXT(A176,"-h"),Table6[],4,FALSE)</f>
        <v>0.5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VLOOKUP(TEXT(A176,"yy-mm")&amp;"-"&amp;IF(AND(WEEKDAY(A176)&gt;1,WEEKDAY(A176)&lt;7),"Wkd",TEXT(A176,"Ddd"))&amp;"-"&amp;TEXT(A176,"hh"),LoadTable[],5,FALSE)*0.92</f>
        <v>279.25312000000002</v>
      </c>
      <c r="U176" s="104">
        <f>VLOOKUP(TEXT(A176,"yy-mm")&amp;"-"&amp;IF(AND(WEEKDAY(A176)&gt;1,WEEKDAY(A176)&lt;7),"Wkd",TEXT(A176,"Ddd"))&amp;"-"&amp;TEXT(A176,"hh"),LoadTable[],6,FALSE)*T176</f>
        <v>13828.33524928</v>
      </c>
      <c r="V176">
        <f t="shared" ref="V176:W176" si="163">V152</f>
        <v>2.9</v>
      </c>
      <c r="W176">
        <f t="shared" si="163"/>
        <v>3.1</v>
      </c>
      <c r="X176" s="9">
        <v>2.8546931999999998</v>
      </c>
    </row>
    <row r="177" spans="1:24">
      <c r="A177" s="29">
        <f t="shared" si="115"/>
        <v>45843.249999999578</v>
      </c>
      <c r="B177" s="30">
        <f t="shared" si="139"/>
        <v>8000</v>
      </c>
      <c r="C177" s="8">
        <v>25000</v>
      </c>
      <c r="D177" s="8">
        <v>0</v>
      </c>
      <c r="E177" s="8">
        <v>0</v>
      </c>
      <c r="F177" s="8">
        <v>0</v>
      </c>
      <c r="G177" s="30">
        <f t="shared" si="140"/>
        <v>2400</v>
      </c>
      <c r="H177" s="8">
        <v>25000</v>
      </c>
      <c r="I177" s="30">
        <f t="shared" si="141"/>
        <v>8000</v>
      </c>
      <c r="J177" s="8">
        <v>25000</v>
      </c>
      <c r="K177" s="30">
        <f t="shared" si="142"/>
        <v>8000</v>
      </c>
      <c r="L177" s="8">
        <v>25000</v>
      </c>
      <c r="M177" s="9">
        <f>VLOOKUP(DATE(YEAR(A177),MONTH(A177),DAY(A177)),FY24_Temp[],4,FALSE)</f>
        <v>8.4</v>
      </c>
      <c r="N177" s="9">
        <f>VLOOKUP(DATE(YEAR(A177),MONTH(A177),DAY(A177)),FY24_Temp[],3,FALSE)</f>
        <v>12.8</v>
      </c>
      <c r="O177" s="9">
        <v>13</v>
      </c>
      <c r="P177" s="9">
        <v>19.5</v>
      </c>
      <c r="Q177" s="79">
        <f>VLOOKUP(VLOOKUP(DATEVALUE(TEXT(A177,"m/d/yyyy")),FY24_Temp[],5,FALSE)&amp;TEXT(A177,"-h"),Table6[],4,FALSE)</f>
        <v>0.5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VLOOKUP(TEXT(A177,"yy-mm")&amp;"-"&amp;IF(AND(WEEKDAY(A177)&gt;1,WEEKDAY(A177)&lt;7),"Wkd",TEXT(A177,"Ddd"))&amp;"-"&amp;TEXT(A177,"hh"),LoadTable[],5,FALSE)*0.92</f>
        <v>279.25312000000002</v>
      </c>
      <c r="U177" s="104">
        <f>VLOOKUP(TEXT(A177,"yy-mm")&amp;"-"&amp;IF(AND(WEEKDAY(A177)&gt;1,WEEKDAY(A177)&lt;7),"Wkd",TEXT(A177,"Ddd"))&amp;"-"&amp;TEXT(A177,"hh"),LoadTable[],6,FALSE)*T177</f>
        <v>21929.747513600003</v>
      </c>
      <c r="V177">
        <f t="shared" ref="V177:W177" si="164">V153</f>
        <v>2.5</v>
      </c>
      <c r="W177">
        <f t="shared" si="164"/>
        <v>3.1</v>
      </c>
      <c r="X177" s="9">
        <v>2.9852995999999998</v>
      </c>
    </row>
    <row r="178" spans="1:24">
      <c r="A178" s="29">
        <f t="shared" si="115"/>
        <v>45843.291666666242</v>
      </c>
      <c r="B178" s="30">
        <f t="shared" si="139"/>
        <v>8000</v>
      </c>
      <c r="C178" s="8">
        <v>25000</v>
      </c>
      <c r="D178" s="8">
        <v>0</v>
      </c>
      <c r="E178" s="8">
        <v>0</v>
      </c>
      <c r="F178" s="8">
        <v>0</v>
      </c>
      <c r="G178" s="30">
        <f t="shared" si="140"/>
        <v>2400</v>
      </c>
      <c r="H178" s="8">
        <v>25000</v>
      </c>
      <c r="I178" s="30">
        <f t="shared" si="141"/>
        <v>8000</v>
      </c>
      <c r="J178" s="8">
        <v>25000</v>
      </c>
      <c r="K178" s="30">
        <f t="shared" si="142"/>
        <v>8000</v>
      </c>
      <c r="L178" s="8">
        <v>25000</v>
      </c>
      <c r="M178" s="9">
        <f>VLOOKUP(DATE(YEAR(A178),MONTH(A178),DAY(A178)),FY24_Temp[],4,FALSE)</f>
        <v>8.4</v>
      </c>
      <c r="N178" s="9">
        <f>VLOOKUP(DATE(YEAR(A178),MONTH(A178),DAY(A178)),FY24_Temp[],3,FALSE)</f>
        <v>12.8</v>
      </c>
      <c r="O178" s="9">
        <v>13</v>
      </c>
      <c r="P178" s="9">
        <v>19.5</v>
      </c>
      <c r="Q178" s="79">
        <f>VLOOKUP(VLOOKUP(DATEVALUE(TEXT(A178,"m/d/yyyy")),FY24_Temp[],5,FALSE)&amp;TEXT(A178,"-h"),Table6[],4,FALSE)</f>
        <v>0.5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VLOOKUP(TEXT(A178,"yy-mm")&amp;"-"&amp;IF(AND(WEEKDAY(A178)&gt;1,WEEKDAY(A178)&lt;7),"Wkd",TEXT(A178,"Ddd"))&amp;"-"&amp;TEXT(A178,"hh"),LoadTable[],5,FALSE)*0.92</f>
        <v>279.25312000000002</v>
      </c>
      <c r="U178" s="104">
        <f>VLOOKUP(TEXT(A178,"yy-mm")&amp;"-"&amp;IF(AND(WEEKDAY(A178)&gt;1,WEEKDAY(A178)&lt;7),"Wkd",TEXT(A178,"Ddd"))&amp;"-"&amp;TEXT(A178,"hh"),LoadTable[],6,FALSE)*T178</f>
        <v>19925.827124480002</v>
      </c>
      <c r="V178">
        <f t="shared" ref="V178:W178" si="165">V154</f>
        <v>2.5</v>
      </c>
      <c r="W178">
        <f t="shared" si="165"/>
        <v>3.1</v>
      </c>
      <c r="X178" s="9">
        <v>3.1313431</v>
      </c>
    </row>
    <row r="179" spans="1:24">
      <c r="A179" s="29">
        <f t="shared" si="115"/>
        <v>45843.333333332906</v>
      </c>
      <c r="B179" s="30">
        <f t="shared" si="139"/>
        <v>8000</v>
      </c>
      <c r="C179" s="8">
        <v>25000</v>
      </c>
      <c r="D179" s="8">
        <v>0</v>
      </c>
      <c r="E179" s="8">
        <v>0</v>
      </c>
      <c r="F179" s="8">
        <v>0</v>
      </c>
      <c r="G179" s="30">
        <f t="shared" si="140"/>
        <v>2400</v>
      </c>
      <c r="H179" s="8">
        <v>25000</v>
      </c>
      <c r="I179" s="30">
        <f t="shared" si="141"/>
        <v>8000</v>
      </c>
      <c r="J179" s="8">
        <v>25000</v>
      </c>
      <c r="K179" s="30">
        <f t="shared" si="142"/>
        <v>8000</v>
      </c>
      <c r="L179" s="8">
        <v>25000</v>
      </c>
      <c r="M179" s="9">
        <f>VLOOKUP(DATE(YEAR(A179),MONTH(A179),DAY(A179)),FY24_Temp[],4,FALSE)</f>
        <v>8.4</v>
      </c>
      <c r="N179" s="9">
        <f>VLOOKUP(DATE(YEAR(A179),MONTH(A179),DAY(A179)),FY24_Temp[],3,FALSE)</f>
        <v>12.8</v>
      </c>
      <c r="O179" s="9">
        <v>13</v>
      </c>
      <c r="P179" s="9">
        <v>19.5</v>
      </c>
      <c r="Q179" s="79">
        <f>VLOOKUP(VLOOKUP(DATEVALUE(TEXT(A179,"m/d/yyyy")),FY24_Temp[],5,FALSE)&amp;TEXT(A179,"-h"),Table6[],4,FALSE)</f>
        <v>0.5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VLOOKUP(TEXT(A179,"yy-mm")&amp;"-"&amp;IF(AND(WEEKDAY(A179)&gt;1,WEEKDAY(A179)&lt;7),"Wkd",TEXT(A179,"Ddd"))&amp;"-"&amp;TEXT(A179,"hh"),LoadTable[],5,FALSE)*0.92</f>
        <v>279.25312000000002</v>
      </c>
      <c r="U179" s="104">
        <f>VLOOKUP(TEXT(A179,"yy-mm")&amp;"-"&amp;IF(AND(WEEKDAY(A179)&gt;1,WEEKDAY(A179)&lt;7),"Wkd",TEXT(A179,"Ddd"))&amp;"-"&amp;TEXT(A179,"hh"),LoadTable[],6,FALSE)*T179</f>
        <v>15771.37845824</v>
      </c>
      <c r="V179">
        <f t="shared" ref="V179:W179" si="166">V155</f>
        <v>3.2</v>
      </c>
      <c r="W179">
        <f t="shared" si="166"/>
        <v>3</v>
      </c>
      <c r="X179" s="9">
        <v>3.1928477000000002</v>
      </c>
    </row>
    <row r="180" spans="1:24">
      <c r="A180" s="29">
        <f t="shared" si="115"/>
        <v>45843.374999999571</v>
      </c>
      <c r="B180" s="30">
        <f t="shared" si="139"/>
        <v>8000</v>
      </c>
      <c r="C180" s="8">
        <v>25000</v>
      </c>
      <c r="D180" s="8">
        <v>0</v>
      </c>
      <c r="E180" s="8">
        <v>0</v>
      </c>
      <c r="F180" s="8">
        <v>0</v>
      </c>
      <c r="G180" s="30">
        <f t="shared" si="140"/>
        <v>2400</v>
      </c>
      <c r="H180" s="8">
        <v>25000</v>
      </c>
      <c r="I180" s="30">
        <f t="shared" si="141"/>
        <v>8000</v>
      </c>
      <c r="J180" s="8">
        <v>25000</v>
      </c>
      <c r="K180" s="30">
        <f t="shared" si="142"/>
        <v>8000</v>
      </c>
      <c r="L180" s="8">
        <v>25000</v>
      </c>
      <c r="M180" s="9">
        <f>VLOOKUP(DATE(YEAR(A180),MONTH(A180),DAY(A180)),FY24_Temp[],4,FALSE)</f>
        <v>8.4</v>
      </c>
      <c r="N180" s="9">
        <f>VLOOKUP(DATE(YEAR(A180),MONTH(A180),DAY(A180)),FY24_Temp[],3,FALSE)</f>
        <v>12.8</v>
      </c>
      <c r="O180" s="9">
        <v>13</v>
      </c>
      <c r="P180" s="9">
        <v>19.5</v>
      </c>
      <c r="Q180" s="79">
        <f>VLOOKUP(VLOOKUP(DATEVALUE(TEXT(A180,"m/d/yyyy")),FY24_Temp[],5,FALSE)&amp;TEXT(A180,"-h"),Table6[],4,FALSE)</f>
        <v>0.5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VLOOKUP(TEXT(A180,"yy-mm")&amp;"-"&amp;IF(AND(WEEKDAY(A180)&gt;1,WEEKDAY(A180)&lt;7),"Wkd",TEXT(A180,"Ddd"))&amp;"-"&amp;TEXT(A180,"hh"),LoadTable[],5,FALSE)*0.92</f>
        <v>279.25312000000002</v>
      </c>
      <c r="U180" s="104">
        <f>VLOOKUP(TEXT(A180,"yy-mm")&amp;"-"&amp;IF(AND(WEEKDAY(A180)&gt;1,WEEKDAY(A180)&lt;7),"Wkd",TEXT(A180,"Ddd"))&amp;"-"&amp;TEXT(A180,"hh"),LoadTable[],6,FALSE)*T180</f>
        <v>13260.61365632</v>
      </c>
      <c r="V180">
        <f t="shared" ref="V180:W180" si="167">V156</f>
        <v>2.9</v>
      </c>
      <c r="W180">
        <f t="shared" si="167"/>
        <v>3</v>
      </c>
      <c r="X180" s="9">
        <v>3.2407048000000001</v>
      </c>
    </row>
    <row r="181" spans="1:24">
      <c r="A181" s="29">
        <f t="shared" si="115"/>
        <v>45843.416666666235</v>
      </c>
      <c r="B181" s="30">
        <f t="shared" si="139"/>
        <v>8000</v>
      </c>
      <c r="C181" s="8">
        <v>25000</v>
      </c>
      <c r="D181" s="8">
        <v>0</v>
      </c>
      <c r="E181" s="8">
        <v>0</v>
      </c>
      <c r="F181" s="8">
        <v>0</v>
      </c>
      <c r="G181" s="30">
        <f t="shared" si="140"/>
        <v>2400</v>
      </c>
      <c r="H181" s="8">
        <v>25000</v>
      </c>
      <c r="I181" s="30">
        <f t="shared" si="141"/>
        <v>8000</v>
      </c>
      <c r="J181" s="8">
        <v>25000</v>
      </c>
      <c r="K181" s="30">
        <f t="shared" si="142"/>
        <v>8000</v>
      </c>
      <c r="L181" s="8">
        <v>25000</v>
      </c>
      <c r="M181" s="9">
        <f>VLOOKUP(DATE(YEAR(A181),MONTH(A181),DAY(A181)),FY24_Temp[],4,FALSE)</f>
        <v>8.4</v>
      </c>
      <c r="N181" s="9">
        <f>VLOOKUP(DATE(YEAR(A181),MONTH(A181),DAY(A181)),FY24_Temp[],3,FALSE)</f>
        <v>12.8</v>
      </c>
      <c r="O181" s="9">
        <v>13</v>
      </c>
      <c r="P181" s="9">
        <v>19.5</v>
      </c>
      <c r="Q181" s="79">
        <f>VLOOKUP(VLOOKUP(DATEVALUE(TEXT(A181,"m/d/yyyy")),FY24_Temp[],5,FALSE)&amp;TEXT(A181,"-h"),Table6[],4,FALSE)</f>
        <v>0.5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VLOOKUP(TEXT(A181,"yy-mm")&amp;"-"&amp;IF(AND(WEEKDAY(A181)&gt;1,WEEKDAY(A181)&lt;7),"Wkd",TEXT(A181,"Ddd"))&amp;"-"&amp;TEXT(A181,"hh"),LoadTable[],5,FALSE)*0.92</f>
        <v>279.25312000000002</v>
      </c>
      <c r="U181" s="104">
        <f>VLOOKUP(TEXT(A181,"yy-mm")&amp;"-"&amp;IF(AND(WEEKDAY(A181)&gt;1,WEEKDAY(A181)&lt;7),"Wkd",TEXT(A181,"Ddd"))&amp;"-"&amp;TEXT(A181,"hh"),LoadTable[],6,FALSE)*T181</f>
        <v>12908.475472000002</v>
      </c>
      <c r="V181">
        <f t="shared" ref="V181:W181" si="168">V157</f>
        <v>2.9</v>
      </c>
      <c r="W181">
        <f t="shared" si="168"/>
        <v>3</v>
      </c>
      <c r="X181" s="9">
        <v>3.3089184999999999</v>
      </c>
    </row>
    <row r="182" spans="1:24">
      <c r="A182" s="29">
        <f t="shared" si="115"/>
        <v>45843.458333332899</v>
      </c>
      <c r="B182" s="30">
        <f t="shared" si="139"/>
        <v>8000</v>
      </c>
      <c r="C182" s="8">
        <v>25000</v>
      </c>
      <c r="D182" s="8">
        <v>0</v>
      </c>
      <c r="E182" s="8">
        <v>0</v>
      </c>
      <c r="F182" s="8">
        <v>0</v>
      </c>
      <c r="G182" s="30">
        <f t="shared" si="140"/>
        <v>2400</v>
      </c>
      <c r="H182" s="8">
        <v>25000</v>
      </c>
      <c r="I182" s="30">
        <f t="shared" si="141"/>
        <v>8000</v>
      </c>
      <c r="J182" s="8">
        <v>25000</v>
      </c>
      <c r="K182" s="30">
        <f t="shared" si="142"/>
        <v>8000</v>
      </c>
      <c r="L182" s="8">
        <v>25000</v>
      </c>
      <c r="M182" s="9">
        <f>VLOOKUP(DATE(YEAR(A182),MONTH(A182),DAY(A182)),FY24_Temp[],4,FALSE)</f>
        <v>8.4</v>
      </c>
      <c r="N182" s="9">
        <f>VLOOKUP(DATE(YEAR(A182),MONTH(A182),DAY(A182)),FY24_Temp[],3,FALSE)</f>
        <v>12.8</v>
      </c>
      <c r="O182" s="9">
        <v>13</v>
      </c>
      <c r="P182" s="9">
        <v>19.5</v>
      </c>
      <c r="Q182" s="79">
        <f>VLOOKUP(VLOOKUP(DATEVALUE(TEXT(A182,"m/d/yyyy")),FY24_Temp[],5,FALSE)&amp;TEXT(A182,"-h"),Table6[],4,FALSE)</f>
        <v>0.5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VLOOKUP(TEXT(A182,"yy-mm")&amp;"-"&amp;IF(AND(WEEKDAY(A182)&gt;1,WEEKDAY(A182)&lt;7),"Wkd",TEXT(A182,"Ddd"))&amp;"-"&amp;TEXT(A182,"hh"),LoadTable[],5,FALSE)*0.92</f>
        <v>279.25312000000002</v>
      </c>
      <c r="U182" s="104">
        <f>VLOOKUP(TEXT(A182,"yy-mm")&amp;"-"&amp;IF(AND(WEEKDAY(A182)&gt;1,WEEKDAY(A182)&lt;7),"Wkd",TEXT(A182,"Ddd"))&amp;"-"&amp;TEXT(A182,"hh"),LoadTable[],6,FALSE)*T182</f>
        <v>12893.395803520001</v>
      </c>
      <c r="V182">
        <f t="shared" ref="V182:W182" si="169">V158</f>
        <v>3.4</v>
      </c>
      <c r="W182">
        <f t="shared" si="169"/>
        <v>3</v>
      </c>
      <c r="X182" s="9">
        <v>3.2608134999999998</v>
      </c>
    </row>
    <row r="183" spans="1:24">
      <c r="A183" s="29">
        <f t="shared" si="115"/>
        <v>45843.499999999563</v>
      </c>
      <c r="B183" s="30">
        <f t="shared" si="139"/>
        <v>8000</v>
      </c>
      <c r="C183" s="8">
        <v>25000</v>
      </c>
      <c r="D183" s="8">
        <v>0</v>
      </c>
      <c r="E183" s="8">
        <v>0</v>
      </c>
      <c r="F183" s="8">
        <v>0</v>
      </c>
      <c r="G183" s="30">
        <f t="shared" si="140"/>
        <v>2400</v>
      </c>
      <c r="H183" s="8">
        <v>25000</v>
      </c>
      <c r="I183" s="30">
        <f t="shared" si="141"/>
        <v>8000</v>
      </c>
      <c r="J183" s="8">
        <v>25000</v>
      </c>
      <c r="K183" s="30">
        <f t="shared" si="142"/>
        <v>8000</v>
      </c>
      <c r="L183" s="8">
        <v>25000</v>
      </c>
      <c r="M183" s="9">
        <f>VLOOKUP(DATE(YEAR(A183),MONTH(A183),DAY(A183)),FY24_Temp[],4,FALSE)</f>
        <v>8.4</v>
      </c>
      <c r="N183" s="9">
        <f>VLOOKUP(DATE(YEAR(A183),MONTH(A183),DAY(A183)),FY24_Temp[],3,FALSE)</f>
        <v>12.8</v>
      </c>
      <c r="O183" s="9">
        <v>13</v>
      </c>
      <c r="P183" s="9">
        <v>19.5</v>
      </c>
      <c r="Q183" s="79">
        <f>VLOOKUP(VLOOKUP(DATEVALUE(TEXT(A183,"m/d/yyyy")),FY24_Temp[],5,FALSE)&amp;TEXT(A183,"-h"),Table6[],4,FALSE)</f>
        <v>0.5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VLOOKUP(TEXT(A183,"yy-mm")&amp;"-"&amp;IF(AND(WEEKDAY(A183)&gt;1,WEEKDAY(A183)&lt;7),"Wkd",TEXT(A183,"Ddd"))&amp;"-"&amp;TEXT(A183,"hh"),LoadTable[],5,FALSE)*0.92</f>
        <v>279.25312000000002</v>
      </c>
      <c r="U183" s="104">
        <f>VLOOKUP(TEXT(A183,"yy-mm")&amp;"-"&amp;IF(AND(WEEKDAY(A183)&gt;1,WEEKDAY(A183)&lt;7),"Wkd",TEXT(A183,"Ddd"))&amp;"-"&amp;TEXT(A183,"hh"),LoadTable[],6,FALSE)*T183</f>
        <v>12888.648500480002</v>
      </c>
      <c r="V183">
        <f t="shared" ref="V183:W183" si="170">V159</f>
        <v>3.1</v>
      </c>
      <c r="W183">
        <f t="shared" si="170"/>
        <v>2.9</v>
      </c>
      <c r="X183" s="9">
        <v>3.1289069999999999</v>
      </c>
    </row>
    <row r="184" spans="1:24">
      <c r="A184" s="29">
        <f t="shared" si="115"/>
        <v>45843.541666666228</v>
      </c>
      <c r="B184" s="30">
        <f t="shared" si="139"/>
        <v>8000</v>
      </c>
      <c r="C184" s="8">
        <v>25000</v>
      </c>
      <c r="D184" s="8">
        <v>0</v>
      </c>
      <c r="E184" s="8">
        <v>0</v>
      </c>
      <c r="F184" s="8">
        <v>0</v>
      </c>
      <c r="G184" s="30">
        <f t="shared" si="140"/>
        <v>2400</v>
      </c>
      <c r="H184" s="8">
        <v>25000</v>
      </c>
      <c r="I184" s="30">
        <f t="shared" si="141"/>
        <v>8000</v>
      </c>
      <c r="J184" s="8">
        <v>25000</v>
      </c>
      <c r="K184" s="30">
        <f t="shared" si="142"/>
        <v>8000</v>
      </c>
      <c r="L184" s="8">
        <v>25000</v>
      </c>
      <c r="M184" s="9">
        <f>VLOOKUP(DATE(YEAR(A184),MONTH(A184),DAY(A184)),FY24_Temp[],4,FALSE)</f>
        <v>8.4</v>
      </c>
      <c r="N184" s="9">
        <f>VLOOKUP(DATE(YEAR(A184),MONTH(A184),DAY(A184)),FY24_Temp[],3,FALSE)</f>
        <v>12.8</v>
      </c>
      <c r="O184" s="9">
        <v>13</v>
      </c>
      <c r="P184" s="9">
        <v>19.5</v>
      </c>
      <c r="Q184" s="79">
        <f>VLOOKUP(VLOOKUP(DATEVALUE(TEXT(A184,"m/d/yyyy")),FY24_Temp[],5,FALSE)&amp;TEXT(A184,"-h"),Table6[],4,FALSE)</f>
        <v>0.5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VLOOKUP(TEXT(A184,"yy-mm")&amp;"-"&amp;IF(AND(WEEKDAY(A184)&gt;1,WEEKDAY(A184)&lt;7),"Wkd",TEXT(A184,"Ddd"))&amp;"-"&amp;TEXT(A184,"hh"),LoadTable[],5,FALSE)*0.92</f>
        <v>279.25312000000002</v>
      </c>
      <c r="U184" s="104">
        <f>VLOOKUP(TEXT(A184,"yy-mm")&amp;"-"&amp;IF(AND(WEEKDAY(A184)&gt;1,WEEKDAY(A184)&lt;7),"Wkd",TEXT(A184,"Ddd"))&amp;"-"&amp;TEXT(A184,"hh"),LoadTable[],6,FALSE)*T184</f>
        <v>12892.837297280001</v>
      </c>
      <c r="V184">
        <f t="shared" ref="V184:W184" si="171">V160</f>
        <v>3.2</v>
      </c>
      <c r="W184">
        <f t="shared" si="171"/>
        <v>2.9</v>
      </c>
      <c r="X184" s="9">
        <v>2.95085</v>
      </c>
    </row>
    <row r="185" spans="1:24">
      <c r="A185" s="29">
        <f t="shared" si="115"/>
        <v>45843.583333332892</v>
      </c>
      <c r="B185" s="30">
        <f t="shared" si="139"/>
        <v>8000</v>
      </c>
      <c r="C185" s="8">
        <v>25000</v>
      </c>
      <c r="D185" s="8">
        <v>0</v>
      </c>
      <c r="E185" s="8">
        <v>0</v>
      </c>
      <c r="F185" s="8">
        <v>0</v>
      </c>
      <c r="G185" s="30">
        <f t="shared" si="140"/>
        <v>2400</v>
      </c>
      <c r="H185" s="8">
        <v>25000</v>
      </c>
      <c r="I185" s="30">
        <f t="shared" si="141"/>
        <v>8000</v>
      </c>
      <c r="J185" s="8">
        <v>25000</v>
      </c>
      <c r="K185" s="30">
        <f t="shared" si="142"/>
        <v>8000</v>
      </c>
      <c r="L185" s="8">
        <v>25000</v>
      </c>
      <c r="M185" s="9">
        <f>VLOOKUP(DATE(YEAR(A185),MONTH(A185),DAY(A185)),FY24_Temp[],4,FALSE)</f>
        <v>8.4</v>
      </c>
      <c r="N185" s="9">
        <f>VLOOKUP(DATE(YEAR(A185),MONTH(A185),DAY(A185)),FY24_Temp[],3,FALSE)</f>
        <v>12.8</v>
      </c>
      <c r="O185" s="9">
        <v>13</v>
      </c>
      <c r="P185" s="9">
        <v>19.5</v>
      </c>
      <c r="Q185" s="79">
        <f>VLOOKUP(VLOOKUP(DATEVALUE(TEXT(A185,"m/d/yyyy")),FY24_Temp[],5,FALSE)&amp;TEXT(A185,"-h"),Table6[],4,FALSE)</f>
        <v>0.5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VLOOKUP(TEXT(A185,"yy-mm")&amp;"-"&amp;IF(AND(WEEKDAY(A185)&gt;1,WEEKDAY(A185)&lt;7),"Wkd",TEXT(A185,"Ddd"))&amp;"-"&amp;TEXT(A185,"hh"),LoadTable[],5,FALSE)*0.92</f>
        <v>279.25312000000002</v>
      </c>
      <c r="U185" s="104">
        <f>VLOOKUP(TEXT(A185,"yy-mm")&amp;"-"&amp;IF(AND(WEEKDAY(A185)&gt;1,WEEKDAY(A185)&lt;7),"Wkd",TEXT(A185,"Ddd"))&amp;"-"&amp;TEXT(A185,"hh"),LoadTable[],6,FALSE)*T185</f>
        <v>12904.007422080002</v>
      </c>
      <c r="V185">
        <f t="shared" ref="V185:W185" si="172">V161</f>
        <v>3.5</v>
      </c>
      <c r="W185">
        <f t="shared" si="172"/>
        <v>2.9</v>
      </c>
      <c r="X185" s="9">
        <v>2.8886243999999999</v>
      </c>
    </row>
    <row r="186" spans="1:24">
      <c r="A186" s="29">
        <f t="shared" si="115"/>
        <v>45843.624999999556</v>
      </c>
      <c r="B186" s="30">
        <f t="shared" si="139"/>
        <v>8000</v>
      </c>
      <c r="C186" s="8">
        <v>25000</v>
      </c>
      <c r="D186" s="8">
        <v>0</v>
      </c>
      <c r="E186" s="8">
        <v>0</v>
      </c>
      <c r="F186" s="8">
        <v>0</v>
      </c>
      <c r="G186" s="30">
        <f t="shared" si="140"/>
        <v>2400</v>
      </c>
      <c r="H186" s="8">
        <v>25000</v>
      </c>
      <c r="I186" s="30">
        <f t="shared" si="141"/>
        <v>8000</v>
      </c>
      <c r="J186" s="8">
        <v>25000</v>
      </c>
      <c r="K186" s="30">
        <f t="shared" si="142"/>
        <v>8000</v>
      </c>
      <c r="L186" s="8">
        <v>25000</v>
      </c>
      <c r="M186" s="9">
        <f>VLOOKUP(DATE(YEAR(A186),MONTH(A186),DAY(A186)),FY24_Temp[],4,FALSE)</f>
        <v>8.4</v>
      </c>
      <c r="N186" s="9">
        <f>VLOOKUP(DATE(YEAR(A186),MONTH(A186),DAY(A186)),FY24_Temp[],3,FALSE)</f>
        <v>12.8</v>
      </c>
      <c r="O186" s="9">
        <v>13</v>
      </c>
      <c r="P186" s="9">
        <v>19.5</v>
      </c>
      <c r="Q186" s="79">
        <f>VLOOKUP(VLOOKUP(DATEVALUE(TEXT(A186,"m/d/yyyy")),FY24_Temp[],5,FALSE)&amp;TEXT(A186,"-h"),Table6[],4,FALSE)</f>
        <v>0.5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VLOOKUP(TEXT(A186,"yy-mm")&amp;"-"&amp;IF(AND(WEEKDAY(A186)&gt;1,WEEKDAY(A186)&lt;7),"Wkd",TEXT(A186,"Ddd"))&amp;"-"&amp;TEXT(A186,"hh"),LoadTable[],5,FALSE)*0.92</f>
        <v>400.56064000000003</v>
      </c>
      <c r="U186" s="104">
        <f>VLOOKUP(TEXT(A186,"yy-mm")&amp;"-"&amp;IF(AND(WEEKDAY(A186)&gt;1,WEEKDAY(A186)&lt;7),"Wkd",TEXT(A186,"Ddd"))&amp;"-"&amp;TEXT(A186,"hh"),LoadTable[],6,FALSE)*T186</f>
        <v>19679.143682559999</v>
      </c>
      <c r="V186">
        <f t="shared" ref="V186:W186" si="173">V162</f>
        <v>3.2</v>
      </c>
      <c r="W186">
        <f t="shared" si="173"/>
        <v>2.9</v>
      </c>
      <c r="X186" s="9">
        <v>3.1779613000000002</v>
      </c>
    </row>
    <row r="187" spans="1:24">
      <c r="A187" s="29">
        <f t="shared" si="115"/>
        <v>45843.66666666622</v>
      </c>
      <c r="B187" s="30">
        <f t="shared" si="139"/>
        <v>8000</v>
      </c>
      <c r="C187" s="8">
        <v>25000</v>
      </c>
      <c r="D187" s="8">
        <v>0</v>
      </c>
      <c r="E187" s="8">
        <v>0</v>
      </c>
      <c r="F187" s="8">
        <v>0</v>
      </c>
      <c r="G187" s="30">
        <f t="shared" si="140"/>
        <v>2400</v>
      </c>
      <c r="H187" s="8">
        <v>25000</v>
      </c>
      <c r="I187" s="30">
        <f t="shared" si="141"/>
        <v>8000</v>
      </c>
      <c r="J187" s="8">
        <v>25000</v>
      </c>
      <c r="K187" s="30">
        <f t="shared" si="142"/>
        <v>8000</v>
      </c>
      <c r="L187" s="8">
        <v>25000</v>
      </c>
      <c r="M187" s="9">
        <f>VLOOKUP(DATE(YEAR(A187),MONTH(A187),DAY(A187)),FY24_Temp[],4,FALSE)</f>
        <v>8.4</v>
      </c>
      <c r="N187" s="9">
        <f>VLOOKUP(DATE(YEAR(A187),MONTH(A187),DAY(A187)),FY24_Temp[],3,FALSE)</f>
        <v>12.8</v>
      </c>
      <c r="O187" s="9">
        <v>13</v>
      </c>
      <c r="P187" s="9">
        <v>19.5</v>
      </c>
      <c r="Q187" s="79">
        <f>VLOOKUP(VLOOKUP(DATEVALUE(TEXT(A187,"m/d/yyyy")),FY24_Temp[],5,FALSE)&amp;TEXT(A187,"-h"),Table6[],4,FALSE)</f>
        <v>0.5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VLOOKUP(TEXT(A187,"yy-mm")&amp;"-"&amp;IF(AND(WEEKDAY(A187)&gt;1,WEEKDAY(A187)&lt;7),"Wkd",TEXT(A187,"Ddd"))&amp;"-"&amp;TEXT(A187,"hh"),LoadTable[],5,FALSE)*0.92</f>
        <v>447.97376000000003</v>
      </c>
      <c r="U187" s="104">
        <f>VLOOKUP(TEXT(A187,"yy-mm")&amp;"-"&amp;IF(AND(WEEKDAY(A187)&gt;1,WEEKDAY(A187)&lt;7),"Wkd",TEXT(A187,"Ddd"))&amp;"-"&amp;TEXT(A187,"hh"),LoadTable[],6,FALSE)*T187</f>
        <v>28334.788293760001</v>
      </c>
      <c r="V187">
        <f t="shared" ref="V187:W187" si="174">V163</f>
        <v>3.5</v>
      </c>
      <c r="W187">
        <f t="shared" si="174"/>
        <v>3</v>
      </c>
      <c r="X187" s="9">
        <v>3.0961227</v>
      </c>
    </row>
    <row r="188" spans="1:24">
      <c r="A188" s="29">
        <f t="shared" si="115"/>
        <v>45843.708333332885</v>
      </c>
      <c r="B188" s="30">
        <f t="shared" si="139"/>
        <v>8000</v>
      </c>
      <c r="C188" s="8">
        <v>25000</v>
      </c>
      <c r="D188" s="8">
        <v>0</v>
      </c>
      <c r="E188" s="8">
        <v>0</v>
      </c>
      <c r="F188" s="8">
        <v>0</v>
      </c>
      <c r="G188" s="30">
        <f t="shared" si="140"/>
        <v>2400</v>
      </c>
      <c r="H188" s="8">
        <v>25000</v>
      </c>
      <c r="I188" s="30">
        <f t="shared" si="141"/>
        <v>8000</v>
      </c>
      <c r="J188" s="8">
        <v>25000</v>
      </c>
      <c r="K188" s="30">
        <f t="shared" si="142"/>
        <v>8000</v>
      </c>
      <c r="L188" s="8">
        <v>25000</v>
      </c>
      <c r="M188" s="9">
        <f>VLOOKUP(DATE(YEAR(A188),MONTH(A188),DAY(A188)),FY24_Temp[],4,FALSE)</f>
        <v>8.4</v>
      </c>
      <c r="N188" s="9">
        <f>VLOOKUP(DATE(YEAR(A188),MONTH(A188),DAY(A188)),FY24_Temp[],3,FALSE)</f>
        <v>12.8</v>
      </c>
      <c r="O188" s="9">
        <v>13</v>
      </c>
      <c r="P188" s="9">
        <v>19.5</v>
      </c>
      <c r="Q188" s="79">
        <f>VLOOKUP(VLOOKUP(DATEVALUE(TEXT(A188,"m/d/yyyy")),FY24_Temp[],5,FALSE)&amp;TEXT(A188,"-h"),Table6[],4,FALSE)</f>
        <v>0.5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VLOOKUP(TEXT(A188,"yy-mm")&amp;"-"&amp;IF(AND(WEEKDAY(A188)&gt;1,WEEKDAY(A188)&lt;7),"Wkd",TEXT(A188,"Ddd"))&amp;"-"&amp;TEXT(A188,"hh"),LoadTable[],5,FALSE)*0.92</f>
        <v>494.57360000000006</v>
      </c>
      <c r="U188" s="104">
        <f>VLOOKUP(TEXT(A188,"yy-mm")&amp;"-"&amp;IF(AND(WEEKDAY(A188)&gt;1,WEEKDAY(A188)&lt;7),"Wkd",TEXT(A188,"Ddd"))&amp;"-"&amp;TEXT(A188,"hh"),LoadTable[],6,FALSE)*T188</f>
        <v>41619.852160800008</v>
      </c>
      <c r="V188">
        <f t="shared" ref="V188:W188" si="175">V164</f>
        <v>3.6</v>
      </c>
      <c r="W188">
        <f t="shared" si="175"/>
        <v>3</v>
      </c>
      <c r="X188" s="9">
        <v>3.0073378000000002</v>
      </c>
    </row>
    <row r="189" spans="1:24">
      <c r="A189" s="29">
        <f t="shared" si="115"/>
        <v>45843.749999999549</v>
      </c>
      <c r="B189" s="30">
        <f t="shared" si="139"/>
        <v>5000</v>
      </c>
      <c r="C189" s="8">
        <v>25000</v>
      </c>
      <c r="D189" s="8">
        <v>0</v>
      </c>
      <c r="E189" s="8">
        <v>0</v>
      </c>
      <c r="F189" s="8">
        <v>0</v>
      </c>
      <c r="G189" s="30">
        <f t="shared" si="140"/>
        <v>2400</v>
      </c>
      <c r="H189" s="8">
        <v>25000</v>
      </c>
      <c r="I189" s="30">
        <f t="shared" si="141"/>
        <v>5000</v>
      </c>
      <c r="J189" s="8">
        <v>25000</v>
      </c>
      <c r="K189" s="30">
        <f t="shared" si="142"/>
        <v>5000</v>
      </c>
      <c r="L189" s="8">
        <v>25000</v>
      </c>
      <c r="M189" s="9">
        <f>VLOOKUP(DATE(YEAR(A189),MONTH(A189),DAY(A189)),FY24_Temp[],4,FALSE)</f>
        <v>8.4</v>
      </c>
      <c r="N189" s="9">
        <f>VLOOKUP(DATE(YEAR(A189),MONTH(A189),DAY(A189)),FY24_Temp[],3,FALSE)</f>
        <v>12.8</v>
      </c>
      <c r="O189" s="9">
        <v>13</v>
      </c>
      <c r="P189" s="9">
        <v>19.5</v>
      </c>
      <c r="Q189" s="79">
        <f>VLOOKUP(VLOOKUP(DATEVALUE(TEXT(A189,"m/d/yyyy")),FY24_Temp[],5,FALSE)&amp;TEXT(A189,"-h"),Table6[],4,FALSE)</f>
        <v>0.5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VLOOKUP(TEXT(A189,"yy-mm")&amp;"-"&amp;IF(AND(WEEKDAY(A189)&gt;1,WEEKDAY(A189)&lt;7),"Wkd",TEXT(A189,"Ddd"))&amp;"-"&amp;TEXT(A189,"hh"),LoadTable[],5,FALSE)*0.92</f>
        <v>494.57360000000006</v>
      </c>
      <c r="U189" s="104">
        <f>VLOOKUP(TEXT(A189,"yy-mm")&amp;"-"&amp;IF(AND(WEEKDAY(A189)&gt;1,WEEKDAY(A189)&lt;7),"Wkd",TEXT(A189,"Ddd"))&amp;"-"&amp;TEXT(A189,"hh"),LoadTable[],6,FALSE)*T189</f>
        <v>52802.655830400006</v>
      </c>
      <c r="V189">
        <f t="shared" ref="V189:W189" si="176">V165</f>
        <v>2.9</v>
      </c>
      <c r="W189">
        <f t="shared" si="176"/>
        <v>3</v>
      </c>
      <c r="X189" s="9">
        <v>2.9814544000000001</v>
      </c>
    </row>
    <row r="190" spans="1:24">
      <c r="A190" s="29">
        <f t="shared" si="115"/>
        <v>45843.791666666213</v>
      </c>
      <c r="B190" s="30">
        <f t="shared" si="139"/>
        <v>5000</v>
      </c>
      <c r="C190" s="8">
        <v>25000</v>
      </c>
      <c r="D190" s="8">
        <v>0</v>
      </c>
      <c r="E190" s="8">
        <v>0</v>
      </c>
      <c r="F190" s="8">
        <v>0</v>
      </c>
      <c r="G190" s="30">
        <f t="shared" si="140"/>
        <v>2400</v>
      </c>
      <c r="H190" s="8">
        <v>25000</v>
      </c>
      <c r="I190" s="30">
        <f t="shared" si="141"/>
        <v>5000</v>
      </c>
      <c r="J190" s="8">
        <v>25000</v>
      </c>
      <c r="K190" s="30">
        <f t="shared" si="142"/>
        <v>5000</v>
      </c>
      <c r="L190" s="8">
        <v>25000</v>
      </c>
      <c r="M190" s="9">
        <f>VLOOKUP(DATE(YEAR(A190),MONTH(A190),DAY(A190)),FY24_Temp[],4,FALSE)</f>
        <v>8.4</v>
      </c>
      <c r="N190" s="9">
        <f>VLOOKUP(DATE(YEAR(A190),MONTH(A190),DAY(A190)),FY24_Temp[],3,FALSE)</f>
        <v>12.8</v>
      </c>
      <c r="O190" s="9">
        <v>13</v>
      </c>
      <c r="P190" s="9">
        <v>19.5</v>
      </c>
      <c r="Q190" s="79">
        <f>VLOOKUP(VLOOKUP(DATEVALUE(TEXT(A190,"m/d/yyyy")),FY24_Temp[],5,FALSE)&amp;TEXT(A190,"-h"),Table6[],4,FALSE)</f>
        <v>0.5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VLOOKUP(TEXT(A190,"yy-mm")&amp;"-"&amp;IF(AND(WEEKDAY(A190)&gt;1,WEEKDAY(A190)&lt;7),"Wkd",TEXT(A190,"Ddd"))&amp;"-"&amp;TEXT(A190,"hh"),LoadTable[],5,FALSE)*0.92</f>
        <v>494.57360000000006</v>
      </c>
      <c r="U190" s="104">
        <f>VLOOKUP(TEXT(A190,"yy-mm")&amp;"-"&amp;IF(AND(WEEKDAY(A190)&gt;1,WEEKDAY(A190)&lt;7),"Wkd",TEXT(A190,"Ddd"))&amp;"-"&amp;TEXT(A190,"hh"),LoadTable[],6,FALSE)*T190</f>
        <v>56766.168660800009</v>
      </c>
      <c r="V190">
        <f t="shared" ref="V190:W190" si="177">V166</f>
        <v>3</v>
      </c>
      <c r="W190">
        <f t="shared" si="177"/>
        <v>3</v>
      </c>
      <c r="X190" s="9">
        <v>2.9464549999999998</v>
      </c>
    </row>
    <row r="191" spans="1:24">
      <c r="A191" s="29">
        <f t="shared" si="115"/>
        <v>45843.833333332877</v>
      </c>
      <c r="B191" s="30">
        <f t="shared" si="139"/>
        <v>5000</v>
      </c>
      <c r="C191" s="8">
        <v>25000</v>
      </c>
      <c r="D191" s="8">
        <v>0</v>
      </c>
      <c r="E191" s="8">
        <v>0</v>
      </c>
      <c r="F191" s="8">
        <v>0</v>
      </c>
      <c r="G191" s="30">
        <f t="shared" si="140"/>
        <v>2400</v>
      </c>
      <c r="H191" s="8">
        <v>25000</v>
      </c>
      <c r="I191" s="30">
        <f t="shared" si="141"/>
        <v>5000</v>
      </c>
      <c r="J191" s="8">
        <v>25000</v>
      </c>
      <c r="K191" s="30">
        <f t="shared" si="142"/>
        <v>5000</v>
      </c>
      <c r="L191" s="8">
        <v>25000</v>
      </c>
      <c r="M191" s="9">
        <f>VLOOKUP(DATE(YEAR(A191),MONTH(A191),DAY(A191)),FY24_Temp[],4,FALSE)</f>
        <v>8.4</v>
      </c>
      <c r="N191" s="9">
        <f>VLOOKUP(DATE(YEAR(A191),MONTH(A191),DAY(A191)),FY24_Temp[],3,FALSE)</f>
        <v>12.8</v>
      </c>
      <c r="O191" s="9">
        <v>13</v>
      </c>
      <c r="P191" s="9">
        <v>19.5</v>
      </c>
      <c r="Q191" s="79">
        <f>VLOOKUP(VLOOKUP(DATEVALUE(TEXT(A191,"m/d/yyyy")),FY24_Temp[],5,FALSE)&amp;TEXT(A191,"-h"),Table6[],4,FALSE)</f>
        <v>0.5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VLOOKUP(TEXT(A191,"yy-mm")&amp;"-"&amp;IF(AND(WEEKDAY(A191)&gt;1,WEEKDAY(A191)&lt;7),"Wkd",TEXT(A191,"Ddd"))&amp;"-"&amp;TEXT(A191,"hh"),LoadTable[],5,FALSE)*0.92</f>
        <v>494.57360000000006</v>
      </c>
      <c r="U191" s="104">
        <f>VLOOKUP(TEXT(A191,"yy-mm")&amp;"-"&amp;IF(AND(WEEKDAY(A191)&gt;1,WEEKDAY(A191)&lt;7),"Wkd",TEXT(A191,"Ddd"))&amp;"-"&amp;TEXT(A191,"hh"),LoadTable[],6,FALSE)*T191</f>
        <v>58951.194825600003</v>
      </c>
      <c r="V191">
        <f t="shared" ref="V191:W191" si="178">V167</f>
        <v>2.8</v>
      </c>
      <c r="W191">
        <f t="shared" si="178"/>
        <v>3.1</v>
      </c>
      <c r="X191" s="9">
        <v>2.9102185</v>
      </c>
    </row>
    <row r="192" spans="1:24">
      <c r="A192" s="29">
        <f t="shared" si="115"/>
        <v>45843.874999999542</v>
      </c>
      <c r="B192" s="30">
        <f t="shared" si="139"/>
        <v>5000</v>
      </c>
      <c r="C192" s="8">
        <v>25000</v>
      </c>
      <c r="D192" s="8">
        <v>0</v>
      </c>
      <c r="E192" s="8">
        <v>0</v>
      </c>
      <c r="F192" s="8">
        <v>0</v>
      </c>
      <c r="G192" s="30">
        <f t="shared" si="140"/>
        <v>2400</v>
      </c>
      <c r="H192" s="8">
        <v>25000</v>
      </c>
      <c r="I192" s="30">
        <f t="shared" si="141"/>
        <v>5000</v>
      </c>
      <c r="J192" s="8">
        <v>25000</v>
      </c>
      <c r="K192" s="30">
        <f t="shared" si="142"/>
        <v>5000</v>
      </c>
      <c r="L192" s="8">
        <v>25000</v>
      </c>
      <c r="M192" s="9">
        <f>VLOOKUP(DATE(YEAR(A192),MONTH(A192),DAY(A192)),FY24_Temp[],4,FALSE)</f>
        <v>8.4</v>
      </c>
      <c r="N192" s="9">
        <f>VLOOKUP(DATE(YEAR(A192),MONTH(A192),DAY(A192)),FY24_Temp[],3,FALSE)</f>
        <v>12.8</v>
      </c>
      <c r="O192" s="9">
        <v>13</v>
      </c>
      <c r="P192" s="9">
        <v>19.5</v>
      </c>
      <c r="Q192" s="79">
        <f>VLOOKUP(VLOOKUP(DATEVALUE(TEXT(A192,"m/d/yyyy")),FY24_Temp[],5,FALSE)&amp;TEXT(A192,"-h"),Table6[],4,FALSE)</f>
        <v>0.5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VLOOKUP(TEXT(A192,"yy-mm")&amp;"-"&amp;IF(AND(WEEKDAY(A192)&gt;1,WEEKDAY(A192)&lt;7),"Wkd",TEXT(A192,"Ddd"))&amp;"-"&amp;TEXT(A192,"hh"),LoadTable[],5,FALSE)*0.92</f>
        <v>494.57360000000006</v>
      </c>
      <c r="U192" s="104">
        <f>VLOOKUP(TEXT(A192,"yy-mm")&amp;"-"&amp;IF(AND(WEEKDAY(A192)&gt;1,WEEKDAY(A192)&lt;7),"Wkd",TEXT(A192,"Ddd"))&amp;"-"&amp;TEXT(A192,"hh"),LoadTable[],6,FALSE)*T192</f>
        <v>55655.850928800006</v>
      </c>
      <c r="V192">
        <f t="shared" ref="V192:W192" si="179">V168</f>
        <v>3.5</v>
      </c>
      <c r="W192">
        <f t="shared" si="179"/>
        <v>3.1</v>
      </c>
      <c r="X192" s="9">
        <v>2.8822842</v>
      </c>
    </row>
    <row r="193" spans="1:24">
      <c r="A193" s="29">
        <f t="shared" si="115"/>
        <v>45843.916666666206</v>
      </c>
      <c r="B193" s="30">
        <f t="shared" si="139"/>
        <v>5000</v>
      </c>
      <c r="C193" s="8">
        <v>25000</v>
      </c>
      <c r="D193" s="8">
        <v>0</v>
      </c>
      <c r="E193" s="8">
        <v>0</v>
      </c>
      <c r="F193" s="8">
        <v>0</v>
      </c>
      <c r="G193" s="30">
        <f t="shared" si="140"/>
        <v>2400</v>
      </c>
      <c r="H193" s="8">
        <v>25000</v>
      </c>
      <c r="I193" s="30">
        <f t="shared" si="141"/>
        <v>5000</v>
      </c>
      <c r="J193" s="8">
        <v>25000</v>
      </c>
      <c r="K193" s="30">
        <f t="shared" si="142"/>
        <v>5000</v>
      </c>
      <c r="L193" s="8">
        <v>25000</v>
      </c>
      <c r="M193" s="9">
        <f>VLOOKUP(DATE(YEAR(A193),MONTH(A193),DAY(A193)),FY24_Temp[],4,FALSE)</f>
        <v>8.4</v>
      </c>
      <c r="N193" s="9">
        <f>VLOOKUP(DATE(YEAR(A193),MONTH(A193),DAY(A193)),FY24_Temp[],3,FALSE)</f>
        <v>12.8</v>
      </c>
      <c r="O193" s="9">
        <v>13</v>
      </c>
      <c r="P193" s="9">
        <v>19.5</v>
      </c>
      <c r="Q193" s="79">
        <f>VLOOKUP(VLOOKUP(DATEVALUE(TEXT(A193,"m/d/yyyy")),FY24_Temp[],5,FALSE)&amp;TEXT(A193,"-h"),Table6[],4,FALSE)</f>
        <v>0.5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VLOOKUP(TEXT(A193,"yy-mm")&amp;"-"&amp;IF(AND(WEEKDAY(A193)&gt;1,WEEKDAY(A193)&lt;7),"Wkd",TEXT(A193,"Ddd"))&amp;"-"&amp;TEXT(A193,"hh"),LoadTable[],5,FALSE)*0.92</f>
        <v>418.75640000000004</v>
      </c>
      <c r="U193" s="104">
        <f>VLOOKUP(TEXT(A193,"yy-mm")&amp;"-"&amp;IF(AND(WEEKDAY(A193)&gt;1,WEEKDAY(A193)&lt;7),"Wkd",TEXT(A193,"Ddd"))&amp;"-"&amp;TEXT(A193,"hh"),LoadTable[],6,FALSE)*T193</f>
        <v>25450.757722800005</v>
      </c>
      <c r="V193">
        <f t="shared" ref="V193:W193" si="180">V169</f>
        <v>2.9</v>
      </c>
      <c r="W193">
        <f t="shared" si="180"/>
        <v>3.1</v>
      </c>
      <c r="X193" s="9">
        <v>2.8557990000000002</v>
      </c>
    </row>
    <row r="194" spans="1:24">
      <c r="A194" s="29">
        <f t="shared" si="115"/>
        <v>45843.95833333287</v>
      </c>
      <c r="B194" s="30">
        <f t="shared" si="139"/>
        <v>5000</v>
      </c>
      <c r="C194" s="8">
        <v>25000</v>
      </c>
      <c r="D194" s="8">
        <v>0</v>
      </c>
      <c r="E194" s="8">
        <v>0</v>
      </c>
      <c r="F194" s="8">
        <v>0</v>
      </c>
      <c r="G194" s="30">
        <f t="shared" si="140"/>
        <v>2400</v>
      </c>
      <c r="H194" s="8">
        <v>25000</v>
      </c>
      <c r="I194" s="30">
        <f t="shared" si="141"/>
        <v>5000</v>
      </c>
      <c r="J194" s="8">
        <v>25000</v>
      </c>
      <c r="K194" s="30">
        <f t="shared" si="142"/>
        <v>5000</v>
      </c>
      <c r="L194" s="8">
        <v>25000</v>
      </c>
      <c r="M194" s="9">
        <f>VLOOKUP(DATE(YEAR(A194),MONTH(A194),DAY(A194)),FY24_Temp[],4,FALSE)</f>
        <v>8.4</v>
      </c>
      <c r="N194" s="9">
        <f>VLOOKUP(DATE(YEAR(A194),MONTH(A194),DAY(A194)),FY24_Temp[],3,FALSE)</f>
        <v>12.8</v>
      </c>
      <c r="O194" s="9">
        <v>13</v>
      </c>
      <c r="P194" s="9">
        <v>19.5</v>
      </c>
      <c r="Q194" s="79">
        <f>VLOOKUP(VLOOKUP(DATEVALUE(TEXT(A194,"m/d/yyyy")),FY24_Temp[],5,FALSE)&amp;TEXT(A194,"-h"),Table6[],4,FALSE)</f>
        <v>0.5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VLOOKUP(TEXT(A194,"yy-mm")&amp;"-"&amp;IF(AND(WEEKDAY(A194)&gt;1,WEEKDAY(A194)&lt;7),"Wkd",TEXT(A194,"Ddd"))&amp;"-"&amp;TEXT(A194,"hh"),LoadTable[],5,FALSE)*0.92</f>
        <v>342.93920000000003</v>
      </c>
      <c r="U194" s="104">
        <f>VLOOKUP(TEXT(A194,"yy-mm")&amp;"-"&amp;IF(AND(WEEKDAY(A194)&gt;1,WEEKDAY(A194)&lt;7),"Wkd",TEXT(A194,"Ddd"))&amp;"-"&amp;TEXT(A194,"hh"),LoadTable[],6,FALSE)*T194</f>
        <v>19353.430812800001</v>
      </c>
      <c r="V194">
        <f t="shared" ref="V194:W194" si="181">V170</f>
        <v>3.6</v>
      </c>
      <c r="W194">
        <f t="shared" si="181"/>
        <v>3.1</v>
      </c>
      <c r="X194" s="9">
        <v>2.7654953</v>
      </c>
    </row>
    <row r="195" spans="1:24">
      <c r="A195" s="29">
        <f t="shared" si="115"/>
        <v>45843.999999999534</v>
      </c>
      <c r="B195" s="30">
        <f t="shared" si="139"/>
        <v>5000</v>
      </c>
      <c r="C195" s="8">
        <v>25000</v>
      </c>
      <c r="D195" s="8">
        <v>0</v>
      </c>
      <c r="E195" s="8">
        <v>0</v>
      </c>
      <c r="F195" s="8">
        <v>0</v>
      </c>
      <c r="G195" s="30">
        <f t="shared" si="140"/>
        <v>2400</v>
      </c>
      <c r="H195" s="8">
        <v>25000</v>
      </c>
      <c r="I195" s="30">
        <f t="shared" si="141"/>
        <v>5000</v>
      </c>
      <c r="J195" s="8">
        <v>25000</v>
      </c>
      <c r="K195" s="30">
        <f t="shared" si="142"/>
        <v>5000</v>
      </c>
      <c r="L195" s="8">
        <v>25000</v>
      </c>
      <c r="M195" s="9">
        <f>VLOOKUP(DATE(YEAR(A195),MONTH(A195),DAY(A195)),FY24_Temp[],4,FALSE)</f>
        <v>8.4</v>
      </c>
      <c r="N195" s="9">
        <f>VLOOKUP(DATE(YEAR(A195),MONTH(A195),DAY(A195)),FY24_Temp[],3,FALSE)</f>
        <v>12.8</v>
      </c>
      <c r="O195" s="9">
        <v>13</v>
      </c>
      <c r="P195" s="9">
        <v>19.5</v>
      </c>
      <c r="Q195" s="79">
        <f>VLOOKUP(VLOOKUP(DATEVALUE(TEXT(A195,"m/d/yyyy")),FY24_Temp[],5,FALSE)&amp;TEXT(A195,"-h"),Table6[],4,FALSE)</f>
        <v>0.5</v>
      </c>
      <c r="R195">
        <v>10</v>
      </c>
      <c r="S195">
        <v>1000</v>
      </c>
      <c r="T195" s="5">
        <f>VLOOKUP(TEXT(A195,"yy-mm")&amp;"-"&amp;IF(AND(WEEKDAY(A195)&gt;1,WEEKDAY(A195)&lt;7),"Wkd",TEXT(A195,"Ddd"))&amp;"-"&amp;TEXT(A195,"hh"),LoadTable[],5,FALSE)*0.92</f>
        <v>279.25312000000002</v>
      </c>
      <c r="U195" s="104">
        <f>VLOOKUP(TEXT(A195,"yy-mm")&amp;"-"&amp;IF(AND(WEEKDAY(A195)&gt;1,WEEKDAY(A195)&lt;7),"Wkd",TEXT(A195,"Ddd"))&amp;"-"&amp;TEXT(A195,"hh"),LoadTable[],6,FALSE)*T195</f>
        <v>13653.802049280001</v>
      </c>
      <c r="V195">
        <f t="shared" ref="V195:W195" si="182">V171</f>
        <v>3</v>
      </c>
      <c r="W195">
        <f t="shared" si="182"/>
        <v>3.2</v>
      </c>
      <c r="X195" s="9">
        <v>2.6782086000000001</v>
      </c>
    </row>
    <row r="196" spans="1:24">
      <c r="A196" s="29">
        <f t="shared" si="115"/>
        <v>45844.041666666199</v>
      </c>
      <c r="B196" s="30">
        <f t="shared" si="139"/>
        <v>5000</v>
      </c>
      <c r="C196" s="8">
        <v>25000</v>
      </c>
      <c r="D196" s="8">
        <v>0</v>
      </c>
      <c r="E196" s="8">
        <v>0</v>
      </c>
      <c r="F196" s="8">
        <v>0</v>
      </c>
      <c r="G196" s="30">
        <f t="shared" si="140"/>
        <v>2400</v>
      </c>
      <c r="H196" s="8">
        <v>25000</v>
      </c>
      <c r="I196" s="30">
        <f t="shared" si="141"/>
        <v>5000</v>
      </c>
      <c r="J196" s="8">
        <v>25000</v>
      </c>
      <c r="K196" s="30">
        <f t="shared" si="142"/>
        <v>5000</v>
      </c>
      <c r="L196" s="8">
        <v>25000</v>
      </c>
      <c r="M196" s="9">
        <f>VLOOKUP(DATE(YEAR(A196),MONTH(A196),DAY(A196)),FY24_Temp[],4,FALSE)</f>
        <v>8.4</v>
      </c>
      <c r="N196" s="9">
        <f>VLOOKUP(DATE(YEAR(A196),MONTH(A196),DAY(A196)),FY24_Temp[],3,FALSE)</f>
        <v>12.8</v>
      </c>
      <c r="O196" s="9">
        <v>13</v>
      </c>
      <c r="P196" s="9">
        <v>19.5</v>
      </c>
      <c r="Q196" s="79">
        <f>VLOOKUP(VLOOKUP(DATEVALUE(TEXT(A196,"m/d/yyyy")),FY24_Temp[],5,FALSE)&amp;TEXT(A196,"-h"),Table6[],4,FALSE)</f>
        <v>0.5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VLOOKUP(TEXT(A196,"yy-mm")&amp;"-"&amp;IF(AND(WEEKDAY(A196)&gt;1,WEEKDAY(A196)&lt;7),"Wkd",TEXT(A196,"Ddd"))&amp;"-"&amp;TEXT(A196,"hh"),LoadTable[],5,FALSE)*0.92</f>
        <v>279.25312000000002</v>
      </c>
      <c r="U196" s="104">
        <f>VLOOKUP(TEXT(A196,"yy-mm")&amp;"-"&amp;IF(AND(WEEKDAY(A196)&gt;1,WEEKDAY(A196)&lt;7),"Wkd",TEXT(A196,"Ddd"))&amp;"-"&amp;TEXT(A196,"hh"),LoadTable[],6,FALSE)*T196</f>
        <v>13616.102878080001</v>
      </c>
      <c r="V196">
        <f t="shared" ref="V196:W196" si="183">V172</f>
        <v>2.6</v>
      </c>
      <c r="W196">
        <f t="shared" si="183"/>
        <v>3.2</v>
      </c>
      <c r="X196" s="9">
        <v>2.6112449</v>
      </c>
    </row>
    <row r="197" spans="1:24">
      <c r="A197" s="29">
        <f t="shared" ref="A197:A260" si="184">A196+TIME(1,0,0)</f>
        <v>45844.083333332863</v>
      </c>
      <c r="B197" s="30">
        <f t="shared" si="139"/>
        <v>5000</v>
      </c>
      <c r="C197" s="8">
        <v>25000</v>
      </c>
      <c r="D197" s="8">
        <v>0</v>
      </c>
      <c r="E197" s="8">
        <v>0</v>
      </c>
      <c r="F197" s="8">
        <v>0</v>
      </c>
      <c r="G197" s="30">
        <f t="shared" si="140"/>
        <v>2400</v>
      </c>
      <c r="H197" s="8">
        <v>25000</v>
      </c>
      <c r="I197" s="30">
        <f t="shared" si="141"/>
        <v>5000</v>
      </c>
      <c r="J197" s="8">
        <v>25000</v>
      </c>
      <c r="K197" s="30">
        <f t="shared" si="142"/>
        <v>5000</v>
      </c>
      <c r="L197" s="8">
        <v>25000</v>
      </c>
      <c r="M197" s="9">
        <f>VLOOKUP(DATE(YEAR(A197),MONTH(A197),DAY(A197)),FY24_Temp[],4,FALSE)</f>
        <v>8.4</v>
      </c>
      <c r="N197" s="9">
        <f>VLOOKUP(DATE(YEAR(A197),MONTH(A197),DAY(A197)),FY24_Temp[],3,FALSE)</f>
        <v>12.8</v>
      </c>
      <c r="O197" s="9">
        <v>13</v>
      </c>
      <c r="P197" s="9">
        <v>19.5</v>
      </c>
      <c r="Q197" s="79">
        <f>VLOOKUP(VLOOKUP(DATEVALUE(TEXT(A197,"m/d/yyyy")),FY24_Temp[],5,FALSE)&amp;TEXT(A197,"-h"),Table6[],4,FALSE)</f>
        <v>0.5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VLOOKUP(TEXT(A197,"yy-mm")&amp;"-"&amp;IF(AND(WEEKDAY(A197)&gt;1,WEEKDAY(A197)&lt;7),"Wkd",TEXT(A197,"Ddd"))&amp;"-"&amp;TEXT(A197,"hh"),LoadTable[],5,FALSE)*0.92</f>
        <v>279.25312000000002</v>
      </c>
      <c r="U197" s="104">
        <f>VLOOKUP(TEXT(A197,"yy-mm")&amp;"-"&amp;IF(AND(WEEKDAY(A197)&gt;1,WEEKDAY(A197)&lt;7),"Wkd",TEXT(A197,"Ddd"))&amp;"-"&amp;TEXT(A197,"hh"),LoadTable[],6,FALSE)*T197</f>
        <v>13493.510758400002</v>
      </c>
      <c r="V197">
        <f t="shared" ref="V197:W197" si="185">V173</f>
        <v>2.8</v>
      </c>
      <c r="W197">
        <f t="shared" si="185"/>
        <v>3.2</v>
      </c>
      <c r="X197" s="9">
        <v>2.7065324999999998</v>
      </c>
    </row>
    <row r="198" spans="1:24">
      <c r="A198" s="29">
        <f t="shared" si="184"/>
        <v>45844.124999999527</v>
      </c>
      <c r="B198" s="30">
        <f t="shared" si="139"/>
        <v>5000</v>
      </c>
      <c r="C198" s="8">
        <v>25000</v>
      </c>
      <c r="D198" s="8">
        <v>0</v>
      </c>
      <c r="E198" s="8">
        <v>0</v>
      </c>
      <c r="F198" s="8">
        <v>0</v>
      </c>
      <c r="G198" s="30">
        <f t="shared" si="140"/>
        <v>2400</v>
      </c>
      <c r="H198" s="8">
        <v>25000</v>
      </c>
      <c r="I198" s="30">
        <f t="shared" si="141"/>
        <v>5000</v>
      </c>
      <c r="J198" s="8">
        <v>25000</v>
      </c>
      <c r="K198" s="30">
        <f t="shared" si="142"/>
        <v>5000</v>
      </c>
      <c r="L198" s="8">
        <v>25000</v>
      </c>
      <c r="M198" s="9">
        <f>VLOOKUP(DATE(YEAR(A198),MONTH(A198),DAY(A198)),FY24_Temp[],4,FALSE)</f>
        <v>8.4</v>
      </c>
      <c r="N198" s="9">
        <f>VLOOKUP(DATE(YEAR(A198),MONTH(A198),DAY(A198)),FY24_Temp[],3,FALSE)</f>
        <v>12.8</v>
      </c>
      <c r="O198" s="9">
        <v>13</v>
      </c>
      <c r="P198" s="9">
        <v>19.5</v>
      </c>
      <c r="Q198" s="79">
        <f>VLOOKUP(VLOOKUP(DATEVALUE(TEXT(A198,"m/d/yyyy")),FY24_Temp[],5,FALSE)&amp;TEXT(A198,"-h"),Table6[],4,FALSE)</f>
        <v>0.5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VLOOKUP(TEXT(A198,"yy-mm")&amp;"-"&amp;IF(AND(WEEKDAY(A198)&gt;1,WEEKDAY(A198)&lt;7),"Wkd",TEXT(A198,"Ddd"))&amp;"-"&amp;TEXT(A198,"hh"),LoadTable[],5,FALSE)*0.92</f>
        <v>279.25312000000002</v>
      </c>
      <c r="U198" s="104">
        <f>VLOOKUP(TEXT(A198,"yy-mm")&amp;"-"&amp;IF(AND(WEEKDAY(A198)&gt;1,WEEKDAY(A198)&lt;7),"Wkd",TEXT(A198,"Ddd"))&amp;"-"&amp;TEXT(A198,"hh"),LoadTable[],6,FALSE)*T198</f>
        <v>13424.255984640002</v>
      </c>
      <c r="V198">
        <f t="shared" ref="V198:W198" si="186">V174</f>
        <v>2.7</v>
      </c>
      <c r="W198">
        <f t="shared" si="186"/>
        <v>3.2</v>
      </c>
      <c r="X198" s="9">
        <v>2.7837849000000001</v>
      </c>
    </row>
    <row r="199" spans="1:24">
      <c r="A199" s="29">
        <f t="shared" si="184"/>
        <v>45844.166666666191</v>
      </c>
      <c r="B199" s="30">
        <f t="shared" si="139"/>
        <v>5000</v>
      </c>
      <c r="C199" s="8">
        <v>25000</v>
      </c>
      <c r="D199" s="8">
        <v>0</v>
      </c>
      <c r="E199" s="8">
        <v>0</v>
      </c>
      <c r="F199" s="8">
        <v>0</v>
      </c>
      <c r="G199" s="30">
        <f t="shared" si="140"/>
        <v>2400</v>
      </c>
      <c r="H199" s="8">
        <v>25000</v>
      </c>
      <c r="I199" s="30">
        <f t="shared" si="141"/>
        <v>5000</v>
      </c>
      <c r="J199" s="8">
        <v>25000</v>
      </c>
      <c r="K199" s="30">
        <f t="shared" si="142"/>
        <v>5000</v>
      </c>
      <c r="L199" s="8">
        <v>25000</v>
      </c>
      <c r="M199" s="9">
        <f>VLOOKUP(DATE(YEAR(A199),MONTH(A199),DAY(A199)),FY24_Temp[],4,FALSE)</f>
        <v>8.4</v>
      </c>
      <c r="N199" s="9">
        <f>VLOOKUP(DATE(YEAR(A199),MONTH(A199),DAY(A199)),FY24_Temp[],3,FALSE)</f>
        <v>12.8</v>
      </c>
      <c r="O199" s="9">
        <v>13</v>
      </c>
      <c r="P199" s="9">
        <v>19.5</v>
      </c>
      <c r="Q199" s="79">
        <f>VLOOKUP(VLOOKUP(DATEVALUE(TEXT(A199,"m/d/yyyy")),FY24_Temp[],5,FALSE)&amp;TEXT(A199,"-h"),Table6[],4,FALSE)</f>
        <v>0.5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VLOOKUP(TEXT(A199,"yy-mm")&amp;"-"&amp;IF(AND(WEEKDAY(A199)&gt;1,WEEKDAY(A199)&lt;7),"Wkd",TEXT(A199,"Ddd"))&amp;"-"&amp;TEXT(A199,"hh"),LoadTable[],5,FALSE)*0.92</f>
        <v>279.25312000000002</v>
      </c>
      <c r="U199" s="104">
        <f>VLOOKUP(TEXT(A199,"yy-mm")&amp;"-"&amp;IF(AND(WEEKDAY(A199)&gt;1,WEEKDAY(A199)&lt;7),"Wkd",TEXT(A199,"Ddd"))&amp;"-"&amp;TEXT(A199,"hh"),LoadTable[],6,FALSE)*T199</f>
        <v>13538.470510720002</v>
      </c>
      <c r="V199">
        <f t="shared" ref="V199:W199" si="187">V175</f>
        <v>3</v>
      </c>
      <c r="W199">
        <f t="shared" si="187"/>
        <v>3.1</v>
      </c>
      <c r="X199" s="9">
        <v>2.8246565000000001</v>
      </c>
    </row>
    <row r="200" spans="1:24">
      <c r="A200" s="29">
        <f t="shared" si="184"/>
        <v>45844.208333332856</v>
      </c>
      <c r="B200" s="30">
        <f t="shared" si="139"/>
        <v>5000</v>
      </c>
      <c r="C200" s="8">
        <v>25000</v>
      </c>
      <c r="D200" s="8">
        <v>0</v>
      </c>
      <c r="E200" s="8">
        <v>0</v>
      </c>
      <c r="F200" s="8">
        <v>0</v>
      </c>
      <c r="G200" s="30">
        <f t="shared" si="140"/>
        <v>2400</v>
      </c>
      <c r="H200" s="8">
        <v>25000</v>
      </c>
      <c r="I200" s="30">
        <f t="shared" si="141"/>
        <v>5000</v>
      </c>
      <c r="J200" s="8">
        <v>25000</v>
      </c>
      <c r="K200" s="30">
        <f t="shared" si="142"/>
        <v>5000</v>
      </c>
      <c r="L200" s="8">
        <v>25000</v>
      </c>
      <c r="M200" s="9">
        <f>VLOOKUP(DATE(YEAR(A200),MONTH(A200),DAY(A200)),FY24_Temp[],4,FALSE)</f>
        <v>8.4</v>
      </c>
      <c r="N200" s="9">
        <f>VLOOKUP(DATE(YEAR(A200),MONTH(A200),DAY(A200)),FY24_Temp[],3,FALSE)</f>
        <v>12.8</v>
      </c>
      <c r="O200" s="9">
        <v>13</v>
      </c>
      <c r="P200" s="9">
        <v>19.5</v>
      </c>
      <c r="Q200" s="79">
        <f>VLOOKUP(VLOOKUP(DATEVALUE(TEXT(A200,"m/d/yyyy")),FY24_Temp[],5,FALSE)&amp;TEXT(A200,"-h"),Table6[],4,FALSE)</f>
        <v>0.5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VLOOKUP(TEXT(A200,"yy-mm")&amp;"-"&amp;IF(AND(WEEKDAY(A200)&gt;1,WEEKDAY(A200)&lt;7),"Wkd",TEXT(A200,"Ddd"))&amp;"-"&amp;TEXT(A200,"hh"),LoadTable[],5,FALSE)*0.92</f>
        <v>279.25312000000002</v>
      </c>
      <c r="U200" s="104">
        <f>VLOOKUP(TEXT(A200,"yy-mm")&amp;"-"&amp;IF(AND(WEEKDAY(A200)&gt;1,WEEKDAY(A200)&lt;7),"Wkd",TEXT(A200,"Ddd"))&amp;"-"&amp;TEXT(A200,"hh"),LoadTable[],6,FALSE)*T200</f>
        <v>13637.605368320001</v>
      </c>
      <c r="V200">
        <f t="shared" ref="V200:W200" si="188">V176</f>
        <v>2.9</v>
      </c>
      <c r="W200">
        <f t="shared" si="188"/>
        <v>3.1</v>
      </c>
      <c r="X200" s="9">
        <v>2.9119837</v>
      </c>
    </row>
    <row r="201" spans="1:24">
      <c r="A201" s="29">
        <f t="shared" si="184"/>
        <v>45844.24999999952</v>
      </c>
      <c r="B201" s="30">
        <f t="shared" si="139"/>
        <v>8000</v>
      </c>
      <c r="C201" s="8">
        <v>25000</v>
      </c>
      <c r="D201" s="8">
        <v>0</v>
      </c>
      <c r="E201" s="8">
        <v>0</v>
      </c>
      <c r="F201" s="8">
        <v>0</v>
      </c>
      <c r="G201" s="30">
        <f t="shared" si="140"/>
        <v>2400</v>
      </c>
      <c r="H201" s="8">
        <v>25000</v>
      </c>
      <c r="I201" s="30">
        <f t="shared" si="141"/>
        <v>8000</v>
      </c>
      <c r="J201" s="8">
        <v>25000</v>
      </c>
      <c r="K201" s="30">
        <f t="shared" si="142"/>
        <v>8000</v>
      </c>
      <c r="L201" s="8">
        <v>25000</v>
      </c>
      <c r="M201" s="9">
        <f>VLOOKUP(DATE(YEAR(A201),MONTH(A201),DAY(A201)),FY24_Temp[],4,FALSE)</f>
        <v>8.4</v>
      </c>
      <c r="N201" s="9">
        <f>VLOOKUP(DATE(YEAR(A201),MONTH(A201),DAY(A201)),FY24_Temp[],3,FALSE)</f>
        <v>12.8</v>
      </c>
      <c r="O201" s="9">
        <v>13</v>
      </c>
      <c r="P201" s="9">
        <v>19.5</v>
      </c>
      <c r="Q201" s="79">
        <f>VLOOKUP(VLOOKUP(DATEVALUE(TEXT(A201,"m/d/yyyy")),FY24_Temp[],5,FALSE)&amp;TEXT(A201,"-h"),Table6[],4,FALSE)</f>
        <v>0.5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VLOOKUP(TEXT(A201,"yy-mm")&amp;"-"&amp;IF(AND(WEEKDAY(A201)&gt;1,WEEKDAY(A201)&lt;7),"Wkd",TEXT(A201,"Ddd"))&amp;"-"&amp;TEXT(A201,"hh"),LoadTable[],5,FALSE)*0.92</f>
        <v>279.25312000000002</v>
      </c>
      <c r="U201" s="104">
        <f>VLOOKUP(TEXT(A201,"yy-mm")&amp;"-"&amp;IF(AND(WEEKDAY(A201)&gt;1,WEEKDAY(A201)&lt;7),"Wkd",TEXT(A201,"Ddd"))&amp;"-"&amp;TEXT(A201,"hh"),LoadTable[],6,FALSE)*T201</f>
        <v>15015.99876864</v>
      </c>
      <c r="V201">
        <f t="shared" ref="V201:W201" si="189">V177</f>
        <v>2.5</v>
      </c>
      <c r="W201">
        <f t="shared" si="189"/>
        <v>3.1</v>
      </c>
      <c r="X201" s="9">
        <v>3.0456333</v>
      </c>
    </row>
    <row r="202" spans="1:24">
      <c r="A202" s="29">
        <f t="shared" si="184"/>
        <v>45844.291666666184</v>
      </c>
      <c r="B202" s="30">
        <f t="shared" si="139"/>
        <v>8000</v>
      </c>
      <c r="C202" s="8">
        <v>25000</v>
      </c>
      <c r="D202" s="8">
        <v>0</v>
      </c>
      <c r="E202" s="8">
        <v>0</v>
      </c>
      <c r="F202" s="8">
        <v>0</v>
      </c>
      <c r="G202" s="30">
        <f t="shared" si="140"/>
        <v>2400</v>
      </c>
      <c r="H202" s="8">
        <v>25000</v>
      </c>
      <c r="I202" s="30">
        <f t="shared" si="141"/>
        <v>8000</v>
      </c>
      <c r="J202" s="8">
        <v>25000</v>
      </c>
      <c r="K202" s="30">
        <f t="shared" si="142"/>
        <v>8000</v>
      </c>
      <c r="L202" s="8">
        <v>25000</v>
      </c>
      <c r="M202" s="9">
        <f>VLOOKUP(DATE(YEAR(A202),MONTH(A202),DAY(A202)),FY24_Temp[],4,FALSE)</f>
        <v>8.4</v>
      </c>
      <c r="N202" s="9">
        <f>VLOOKUP(DATE(YEAR(A202),MONTH(A202),DAY(A202)),FY24_Temp[],3,FALSE)</f>
        <v>12.8</v>
      </c>
      <c r="O202" s="9">
        <v>13</v>
      </c>
      <c r="P202" s="9">
        <v>19.5</v>
      </c>
      <c r="Q202" s="79">
        <f>VLOOKUP(VLOOKUP(DATEVALUE(TEXT(A202,"m/d/yyyy")),FY24_Temp[],5,FALSE)&amp;TEXT(A202,"-h"),Table6[],4,FALSE)</f>
        <v>0.5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VLOOKUP(TEXT(A202,"yy-mm")&amp;"-"&amp;IF(AND(WEEKDAY(A202)&gt;1,WEEKDAY(A202)&lt;7),"Wkd",TEXT(A202,"Ddd"))&amp;"-"&amp;TEXT(A202,"hh"),LoadTable[],5,FALSE)*0.92</f>
        <v>279.25312000000002</v>
      </c>
      <c r="U202" s="104">
        <f>VLOOKUP(TEXT(A202,"yy-mm")&amp;"-"&amp;IF(AND(WEEKDAY(A202)&gt;1,WEEKDAY(A202)&lt;7),"Wkd",TEXT(A202,"Ddd"))&amp;"-"&amp;TEXT(A202,"hh"),LoadTable[],6,FALSE)*T202</f>
        <v>13166.505354880001</v>
      </c>
      <c r="V202">
        <f t="shared" ref="V202:W202" si="190">V178</f>
        <v>2.5</v>
      </c>
      <c r="W202">
        <f t="shared" si="190"/>
        <v>3.1</v>
      </c>
      <c r="X202" s="9">
        <v>3.1962609</v>
      </c>
    </row>
    <row r="203" spans="1:24">
      <c r="A203" s="29">
        <f t="shared" si="184"/>
        <v>45844.333333332848</v>
      </c>
      <c r="B203" s="30">
        <f t="shared" si="139"/>
        <v>8000</v>
      </c>
      <c r="C203" s="8">
        <v>25000</v>
      </c>
      <c r="D203" s="8">
        <v>0</v>
      </c>
      <c r="E203" s="8">
        <v>0</v>
      </c>
      <c r="F203" s="8">
        <v>0</v>
      </c>
      <c r="G203" s="30">
        <f t="shared" si="140"/>
        <v>2400</v>
      </c>
      <c r="H203" s="8">
        <v>25000</v>
      </c>
      <c r="I203" s="30">
        <f t="shared" si="141"/>
        <v>8000</v>
      </c>
      <c r="J203" s="8">
        <v>25000</v>
      </c>
      <c r="K203" s="30">
        <f t="shared" si="142"/>
        <v>8000</v>
      </c>
      <c r="L203" s="8">
        <v>25000</v>
      </c>
      <c r="M203" s="9">
        <f>VLOOKUP(DATE(YEAR(A203),MONTH(A203),DAY(A203)),FY24_Temp[],4,FALSE)</f>
        <v>8.4</v>
      </c>
      <c r="N203" s="9">
        <f>VLOOKUP(DATE(YEAR(A203),MONTH(A203),DAY(A203)),FY24_Temp[],3,FALSE)</f>
        <v>12.8</v>
      </c>
      <c r="O203" s="9">
        <v>13</v>
      </c>
      <c r="P203" s="9">
        <v>19.5</v>
      </c>
      <c r="Q203" s="79">
        <f>VLOOKUP(VLOOKUP(DATEVALUE(TEXT(A203,"m/d/yyyy")),FY24_Temp[],5,FALSE)&amp;TEXT(A203,"-h"),Table6[],4,FALSE)</f>
        <v>0.5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VLOOKUP(TEXT(A203,"yy-mm")&amp;"-"&amp;IF(AND(WEEKDAY(A203)&gt;1,WEEKDAY(A203)&lt;7),"Wkd",TEXT(A203,"Ddd"))&amp;"-"&amp;TEXT(A203,"hh"),LoadTable[],5,FALSE)*0.92</f>
        <v>279.25312000000002</v>
      </c>
      <c r="U203" s="104">
        <f>VLOOKUP(TEXT(A203,"yy-mm")&amp;"-"&amp;IF(AND(WEEKDAY(A203)&gt;1,WEEKDAY(A203)&lt;7),"Wkd",TEXT(A203,"Ddd"))&amp;"-"&amp;TEXT(A203,"hh"),LoadTable[],6,FALSE)*T203</f>
        <v>12889.20700672</v>
      </c>
      <c r="V203">
        <f t="shared" ref="V203:W203" si="191">V179</f>
        <v>3.2</v>
      </c>
      <c r="W203">
        <f t="shared" si="191"/>
        <v>3</v>
      </c>
      <c r="X203" s="9">
        <v>3.2649168999999998</v>
      </c>
    </row>
    <row r="204" spans="1:24">
      <c r="A204" s="29">
        <f t="shared" si="184"/>
        <v>45844.374999999513</v>
      </c>
      <c r="B204" s="30">
        <f t="shared" si="139"/>
        <v>8000</v>
      </c>
      <c r="C204" s="8">
        <v>25000</v>
      </c>
      <c r="D204" s="8">
        <v>0</v>
      </c>
      <c r="E204" s="8">
        <v>0</v>
      </c>
      <c r="F204" s="8">
        <v>0</v>
      </c>
      <c r="G204" s="30">
        <f t="shared" si="140"/>
        <v>2400</v>
      </c>
      <c r="H204" s="8">
        <v>25000</v>
      </c>
      <c r="I204" s="30">
        <f t="shared" si="141"/>
        <v>8000</v>
      </c>
      <c r="J204" s="8">
        <v>25000</v>
      </c>
      <c r="K204" s="30">
        <f t="shared" si="142"/>
        <v>8000</v>
      </c>
      <c r="L204" s="8">
        <v>25000</v>
      </c>
      <c r="M204" s="9">
        <f>VLOOKUP(DATE(YEAR(A204),MONTH(A204),DAY(A204)),FY24_Temp[],4,FALSE)</f>
        <v>8.4</v>
      </c>
      <c r="N204" s="9">
        <f>VLOOKUP(DATE(YEAR(A204),MONTH(A204),DAY(A204)),FY24_Temp[],3,FALSE)</f>
        <v>12.8</v>
      </c>
      <c r="O204" s="9">
        <v>13</v>
      </c>
      <c r="P204" s="9">
        <v>19.5</v>
      </c>
      <c r="Q204" s="79">
        <f>VLOOKUP(VLOOKUP(DATEVALUE(TEXT(A204,"m/d/yyyy")),FY24_Temp[],5,FALSE)&amp;TEXT(A204,"-h"),Table6[],4,FALSE)</f>
        <v>0.5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VLOOKUP(TEXT(A204,"yy-mm")&amp;"-"&amp;IF(AND(WEEKDAY(A204)&gt;1,WEEKDAY(A204)&lt;7),"Wkd",TEXT(A204,"Ddd"))&amp;"-"&amp;TEXT(A204,"hh"),LoadTable[],5,FALSE)*0.92</f>
        <v>279.25312000000002</v>
      </c>
      <c r="U204" s="104">
        <f>VLOOKUP(TEXT(A204,"yy-mm")&amp;"-"&amp;IF(AND(WEEKDAY(A204)&gt;1,WEEKDAY(A204)&lt;7),"Wkd",TEXT(A204,"Ddd"))&amp;"-"&amp;TEXT(A204,"hh"),LoadTable[],6,FALSE)*T204</f>
        <v>12852.904101120002</v>
      </c>
      <c r="V204">
        <f t="shared" ref="V204:W204" si="192">V180</f>
        <v>2.9</v>
      </c>
      <c r="W204">
        <f t="shared" si="192"/>
        <v>3</v>
      </c>
      <c r="X204" s="9">
        <v>3.3073359</v>
      </c>
    </row>
    <row r="205" spans="1:24">
      <c r="A205" s="29">
        <f t="shared" si="184"/>
        <v>45844.416666666177</v>
      </c>
      <c r="B205" s="30">
        <f t="shared" si="139"/>
        <v>8000</v>
      </c>
      <c r="C205" s="8">
        <v>25000</v>
      </c>
      <c r="D205" s="8">
        <v>0</v>
      </c>
      <c r="E205" s="8">
        <v>0</v>
      </c>
      <c r="F205" s="8">
        <v>0</v>
      </c>
      <c r="G205" s="30">
        <f t="shared" si="140"/>
        <v>2400</v>
      </c>
      <c r="H205" s="8">
        <v>25000</v>
      </c>
      <c r="I205" s="30">
        <f t="shared" si="141"/>
        <v>8000</v>
      </c>
      <c r="J205" s="8">
        <v>25000</v>
      </c>
      <c r="K205" s="30">
        <f t="shared" si="142"/>
        <v>8000</v>
      </c>
      <c r="L205" s="8">
        <v>25000</v>
      </c>
      <c r="M205" s="9">
        <f>VLOOKUP(DATE(YEAR(A205),MONTH(A205),DAY(A205)),FY24_Temp[],4,FALSE)</f>
        <v>8.4</v>
      </c>
      <c r="N205" s="9">
        <f>VLOOKUP(DATE(YEAR(A205),MONTH(A205),DAY(A205)),FY24_Temp[],3,FALSE)</f>
        <v>12.8</v>
      </c>
      <c r="O205" s="9">
        <v>13</v>
      </c>
      <c r="P205" s="9">
        <v>19.5</v>
      </c>
      <c r="Q205" s="79">
        <f>VLOOKUP(VLOOKUP(DATEVALUE(TEXT(A205,"m/d/yyyy")),FY24_Temp[],5,FALSE)&amp;TEXT(A205,"-h"),Table6[],4,FALSE)</f>
        <v>0.5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VLOOKUP(TEXT(A205,"yy-mm")&amp;"-"&amp;IF(AND(WEEKDAY(A205)&gt;1,WEEKDAY(A205)&lt;7),"Wkd",TEXT(A205,"Ddd"))&amp;"-"&amp;TEXT(A205,"hh"),LoadTable[],5,FALSE)*0.92</f>
        <v>279.25312000000002</v>
      </c>
      <c r="U205" s="104">
        <f>VLOOKUP(TEXT(A205,"yy-mm")&amp;"-"&amp;IF(AND(WEEKDAY(A205)&gt;1,WEEKDAY(A205)&lt;7),"Wkd",TEXT(A205,"Ddd"))&amp;"-"&amp;TEXT(A205,"hh"),LoadTable[],6,FALSE)*T205</f>
        <v>12842.57173568</v>
      </c>
      <c r="V205">
        <f t="shared" ref="V205:W205" si="193">V181</f>
        <v>2.9</v>
      </c>
      <c r="W205">
        <f t="shared" si="193"/>
        <v>3</v>
      </c>
      <c r="X205" s="9">
        <v>3.3827093000000001</v>
      </c>
    </row>
    <row r="206" spans="1:24">
      <c r="A206" s="29">
        <f t="shared" si="184"/>
        <v>45844.458333332841</v>
      </c>
      <c r="B206" s="30">
        <f t="shared" si="139"/>
        <v>8000</v>
      </c>
      <c r="C206" s="8">
        <v>25000</v>
      </c>
      <c r="D206" s="8">
        <v>0</v>
      </c>
      <c r="E206" s="8">
        <v>0</v>
      </c>
      <c r="F206" s="8">
        <v>0</v>
      </c>
      <c r="G206" s="30">
        <f t="shared" si="140"/>
        <v>2400</v>
      </c>
      <c r="H206" s="8">
        <v>25000</v>
      </c>
      <c r="I206" s="30">
        <f t="shared" si="141"/>
        <v>8000</v>
      </c>
      <c r="J206" s="8">
        <v>25000</v>
      </c>
      <c r="K206" s="30">
        <f t="shared" si="142"/>
        <v>8000</v>
      </c>
      <c r="L206" s="8">
        <v>25000</v>
      </c>
      <c r="M206" s="9">
        <f>VLOOKUP(DATE(YEAR(A206),MONTH(A206),DAY(A206)),FY24_Temp[],4,FALSE)</f>
        <v>8.4</v>
      </c>
      <c r="N206" s="9">
        <f>VLOOKUP(DATE(YEAR(A206),MONTH(A206),DAY(A206)),FY24_Temp[],3,FALSE)</f>
        <v>12.8</v>
      </c>
      <c r="O206" s="9">
        <v>13</v>
      </c>
      <c r="P206" s="9">
        <v>19.5</v>
      </c>
      <c r="Q206" s="79">
        <f>VLOOKUP(VLOOKUP(DATEVALUE(TEXT(A206,"m/d/yyyy")),FY24_Temp[],5,FALSE)&amp;TEXT(A206,"-h"),Table6[],4,FALSE)</f>
        <v>0.5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VLOOKUP(TEXT(A206,"yy-mm")&amp;"-"&amp;IF(AND(WEEKDAY(A206)&gt;1,WEEKDAY(A206)&lt;7),"Wkd",TEXT(A206,"Ddd"))&amp;"-"&amp;TEXT(A206,"hh"),LoadTable[],5,FALSE)*0.92</f>
        <v>279.25312000000002</v>
      </c>
      <c r="U206" s="104">
        <f>VLOOKUP(TEXT(A206,"yy-mm")&amp;"-"&amp;IF(AND(WEEKDAY(A206)&gt;1,WEEKDAY(A206)&lt;7),"Wkd",TEXT(A206,"Ddd"))&amp;"-"&amp;TEXT(A206,"hh"),LoadTable[],6,FALSE)*T206</f>
        <v>12828.050573440001</v>
      </c>
      <c r="V206">
        <f t="shared" ref="V206:W206" si="194">V182</f>
        <v>3.4</v>
      </c>
      <c r="W206">
        <f t="shared" si="194"/>
        <v>3</v>
      </c>
      <c r="X206" s="9">
        <v>3.3338575000000001</v>
      </c>
    </row>
    <row r="207" spans="1:24">
      <c r="A207" s="29">
        <f t="shared" si="184"/>
        <v>45844.499999999505</v>
      </c>
      <c r="B207" s="30">
        <f t="shared" si="139"/>
        <v>8000</v>
      </c>
      <c r="C207" s="8">
        <v>25000</v>
      </c>
      <c r="D207" s="8">
        <v>0</v>
      </c>
      <c r="E207" s="8">
        <v>0</v>
      </c>
      <c r="F207" s="8">
        <v>0</v>
      </c>
      <c r="G207" s="30">
        <f t="shared" si="140"/>
        <v>2400</v>
      </c>
      <c r="H207" s="8">
        <v>25000</v>
      </c>
      <c r="I207" s="30">
        <f t="shared" si="141"/>
        <v>8000</v>
      </c>
      <c r="J207" s="8">
        <v>25000</v>
      </c>
      <c r="K207" s="30">
        <f t="shared" si="142"/>
        <v>8000</v>
      </c>
      <c r="L207" s="8">
        <v>25000</v>
      </c>
      <c r="M207" s="9">
        <f>VLOOKUP(DATE(YEAR(A207),MONTH(A207),DAY(A207)),FY24_Temp[],4,FALSE)</f>
        <v>8.4</v>
      </c>
      <c r="N207" s="9">
        <f>VLOOKUP(DATE(YEAR(A207),MONTH(A207),DAY(A207)),FY24_Temp[],3,FALSE)</f>
        <v>12.8</v>
      </c>
      <c r="O207" s="9">
        <v>13</v>
      </c>
      <c r="P207" s="9">
        <v>19.5</v>
      </c>
      <c r="Q207" s="79">
        <f>VLOOKUP(VLOOKUP(DATEVALUE(TEXT(A207,"m/d/yyyy")),FY24_Temp[],5,FALSE)&amp;TEXT(A207,"-h"),Table6[],4,FALSE)</f>
        <v>0.5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VLOOKUP(TEXT(A207,"yy-mm")&amp;"-"&amp;IF(AND(WEEKDAY(A207)&gt;1,WEEKDAY(A207)&lt;7),"Wkd",TEXT(A207,"Ddd"))&amp;"-"&amp;TEXT(A207,"hh"),LoadTable[],5,FALSE)*0.92</f>
        <v>279.25312000000002</v>
      </c>
      <c r="U207" s="104">
        <f>VLOOKUP(TEXT(A207,"yy-mm")&amp;"-"&amp;IF(AND(WEEKDAY(A207)&gt;1,WEEKDAY(A207)&lt;7),"Wkd",TEXT(A207,"Ddd"))&amp;"-"&amp;TEXT(A207,"hh"),LoadTable[],6,FALSE)*T207</f>
        <v>12824.141029760001</v>
      </c>
      <c r="V207">
        <f t="shared" ref="V207:W207" si="195">V183</f>
        <v>3.1</v>
      </c>
      <c r="W207">
        <f t="shared" si="195"/>
        <v>2.9</v>
      </c>
      <c r="X207" s="9">
        <v>3.2054119000000001</v>
      </c>
    </row>
    <row r="208" spans="1:24">
      <c r="A208" s="29">
        <f t="shared" si="184"/>
        <v>45844.541666666169</v>
      </c>
      <c r="B208" s="30">
        <f t="shared" si="139"/>
        <v>8000</v>
      </c>
      <c r="C208" s="8">
        <v>25000</v>
      </c>
      <c r="D208" s="8">
        <v>0</v>
      </c>
      <c r="E208" s="8">
        <v>0</v>
      </c>
      <c r="F208" s="8">
        <v>0</v>
      </c>
      <c r="G208" s="30">
        <f t="shared" si="140"/>
        <v>2400</v>
      </c>
      <c r="H208" s="8">
        <v>25000</v>
      </c>
      <c r="I208" s="30">
        <f t="shared" si="141"/>
        <v>8000</v>
      </c>
      <c r="J208" s="8">
        <v>25000</v>
      </c>
      <c r="K208" s="30">
        <f t="shared" si="142"/>
        <v>8000</v>
      </c>
      <c r="L208" s="8">
        <v>25000</v>
      </c>
      <c r="M208" s="9">
        <f>VLOOKUP(DATE(YEAR(A208),MONTH(A208),DAY(A208)),FY24_Temp[],4,FALSE)</f>
        <v>8.4</v>
      </c>
      <c r="N208" s="9">
        <f>VLOOKUP(DATE(YEAR(A208),MONTH(A208),DAY(A208)),FY24_Temp[],3,FALSE)</f>
        <v>12.8</v>
      </c>
      <c r="O208" s="9">
        <v>13</v>
      </c>
      <c r="P208" s="9">
        <v>19.5</v>
      </c>
      <c r="Q208" s="79">
        <f>VLOOKUP(VLOOKUP(DATEVALUE(TEXT(A208,"m/d/yyyy")),FY24_Temp[],5,FALSE)&amp;TEXT(A208,"-h"),Table6[],4,FALSE)</f>
        <v>0.5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VLOOKUP(TEXT(A208,"yy-mm")&amp;"-"&amp;IF(AND(WEEKDAY(A208)&gt;1,WEEKDAY(A208)&lt;7),"Wkd",TEXT(A208,"Ddd"))&amp;"-"&amp;TEXT(A208,"hh"),LoadTable[],5,FALSE)*0.92</f>
        <v>279.25312000000002</v>
      </c>
      <c r="U208" s="104">
        <f>VLOOKUP(TEXT(A208,"yy-mm")&amp;"-"&amp;IF(AND(WEEKDAY(A208)&gt;1,WEEKDAY(A208)&lt;7),"Wkd",TEXT(A208,"Ddd"))&amp;"-"&amp;TEXT(A208,"hh"),LoadTable[],6,FALSE)*T208</f>
        <v>12831.401610880001</v>
      </c>
      <c r="V208">
        <f t="shared" ref="V208:W208" si="196">V184</f>
        <v>3.2</v>
      </c>
      <c r="W208">
        <f t="shared" si="196"/>
        <v>2.9</v>
      </c>
      <c r="X208" s="9">
        <v>3.0184039999999999</v>
      </c>
    </row>
    <row r="209" spans="1:24">
      <c r="A209" s="29">
        <f t="shared" si="184"/>
        <v>45844.583333332834</v>
      </c>
      <c r="B209" s="30">
        <f t="shared" si="139"/>
        <v>8000</v>
      </c>
      <c r="C209" s="8">
        <v>25000</v>
      </c>
      <c r="D209" s="8">
        <v>0</v>
      </c>
      <c r="E209" s="8">
        <v>0</v>
      </c>
      <c r="F209" s="8">
        <v>0</v>
      </c>
      <c r="G209" s="30">
        <f t="shared" si="140"/>
        <v>2400</v>
      </c>
      <c r="H209" s="8">
        <v>25000</v>
      </c>
      <c r="I209" s="30">
        <f t="shared" si="141"/>
        <v>8000</v>
      </c>
      <c r="J209" s="8">
        <v>25000</v>
      </c>
      <c r="K209" s="30">
        <f t="shared" si="142"/>
        <v>8000</v>
      </c>
      <c r="L209" s="8">
        <v>25000</v>
      </c>
      <c r="M209" s="9">
        <f>VLOOKUP(DATE(YEAR(A209),MONTH(A209),DAY(A209)),FY24_Temp[],4,FALSE)</f>
        <v>8.4</v>
      </c>
      <c r="N209" s="9">
        <f>VLOOKUP(DATE(YEAR(A209),MONTH(A209),DAY(A209)),FY24_Temp[],3,FALSE)</f>
        <v>12.8</v>
      </c>
      <c r="O209" s="9">
        <v>13</v>
      </c>
      <c r="P209" s="9">
        <v>19.5</v>
      </c>
      <c r="Q209" s="79">
        <f>VLOOKUP(VLOOKUP(DATEVALUE(TEXT(A209,"m/d/yyyy")),FY24_Temp[],5,FALSE)&amp;TEXT(A209,"-h"),Table6[],4,FALSE)</f>
        <v>0.5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VLOOKUP(TEXT(A209,"yy-mm")&amp;"-"&amp;IF(AND(WEEKDAY(A209)&gt;1,WEEKDAY(A209)&lt;7),"Wkd",TEXT(A209,"Ddd"))&amp;"-"&amp;TEXT(A209,"hh"),LoadTable[],5,FALSE)*0.92</f>
        <v>279.25312000000002</v>
      </c>
      <c r="U209" s="104">
        <f>VLOOKUP(TEXT(A209,"yy-mm")&amp;"-"&amp;IF(AND(WEEKDAY(A209)&gt;1,WEEKDAY(A209)&lt;7),"Wkd",TEXT(A209,"Ddd"))&amp;"-"&amp;TEXT(A209,"hh"),LoadTable[],6,FALSE)*T209</f>
        <v>12856.25513856</v>
      </c>
      <c r="V209">
        <f t="shared" ref="V209:W209" si="197">V185</f>
        <v>3.5</v>
      </c>
      <c r="W209">
        <f t="shared" si="197"/>
        <v>2.9</v>
      </c>
      <c r="X209" s="9">
        <v>2.9870279000000002</v>
      </c>
    </row>
    <row r="210" spans="1:24">
      <c r="A210" s="29">
        <f t="shared" si="184"/>
        <v>45844.624999999498</v>
      </c>
      <c r="B210" s="30">
        <f t="shared" si="139"/>
        <v>8000</v>
      </c>
      <c r="C210" s="8">
        <v>25000</v>
      </c>
      <c r="D210" s="8">
        <v>0</v>
      </c>
      <c r="E210" s="8">
        <v>0</v>
      </c>
      <c r="F210" s="8">
        <v>0</v>
      </c>
      <c r="G210" s="30">
        <f t="shared" si="140"/>
        <v>2400</v>
      </c>
      <c r="H210" s="8">
        <v>25000</v>
      </c>
      <c r="I210" s="30">
        <f t="shared" si="141"/>
        <v>8000</v>
      </c>
      <c r="J210" s="8">
        <v>25000</v>
      </c>
      <c r="K210" s="30">
        <f t="shared" si="142"/>
        <v>8000</v>
      </c>
      <c r="L210" s="8">
        <v>25000</v>
      </c>
      <c r="M210" s="9">
        <f>VLOOKUP(DATE(YEAR(A210),MONTH(A210),DAY(A210)),FY24_Temp[],4,FALSE)</f>
        <v>8.4</v>
      </c>
      <c r="N210" s="9">
        <f>VLOOKUP(DATE(YEAR(A210),MONTH(A210),DAY(A210)),FY24_Temp[],3,FALSE)</f>
        <v>12.8</v>
      </c>
      <c r="O210" s="9">
        <v>13</v>
      </c>
      <c r="P210" s="9">
        <v>19.5</v>
      </c>
      <c r="Q210" s="79">
        <f>VLOOKUP(VLOOKUP(DATEVALUE(TEXT(A210,"m/d/yyyy")),FY24_Temp[],5,FALSE)&amp;TEXT(A210,"-h"),Table6[],4,FALSE)</f>
        <v>0.5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VLOOKUP(TEXT(A210,"yy-mm")&amp;"-"&amp;IF(AND(WEEKDAY(A210)&gt;1,WEEKDAY(A210)&lt;7),"Wkd",TEXT(A210,"Ddd"))&amp;"-"&amp;TEXT(A210,"hh"),LoadTable[],5,FALSE)*0.92</f>
        <v>400.56064000000003</v>
      </c>
      <c r="U210" s="104">
        <f>VLOOKUP(TEXT(A210,"yy-mm")&amp;"-"&amp;IF(AND(WEEKDAY(A210)&gt;1,WEEKDAY(A210)&lt;7),"Wkd",TEXT(A210,"Ddd"))&amp;"-"&amp;TEXT(A210,"hh"),LoadTable[],6,FALSE)*T210</f>
        <v>18478.262883840001</v>
      </c>
      <c r="V210">
        <f t="shared" ref="V210:W210" si="198">V186</f>
        <v>3.2</v>
      </c>
      <c r="W210">
        <f t="shared" si="198"/>
        <v>2.9</v>
      </c>
      <c r="X210" s="9">
        <v>3.3114333</v>
      </c>
    </row>
    <row r="211" spans="1:24">
      <c r="A211" s="29">
        <f t="shared" si="184"/>
        <v>45844.666666666162</v>
      </c>
      <c r="B211" s="30">
        <f t="shared" si="139"/>
        <v>8000</v>
      </c>
      <c r="C211" s="8">
        <v>25000</v>
      </c>
      <c r="D211" s="8">
        <v>0</v>
      </c>
      <c r="E211" s="8">
        <v>0</v>
      </c>
      <c r="F211" s="8">
        <v>0</v>
      </c>
      <c r="G211" s="30">
        <f t="shared" si="140"/>
        <v>2400</v>
      </c>
      <c r="H211" s="8">
        <v>25000</v>
      </c>
      <c r="I211" s="30">
        <f t="shared" si="141"/>
        <v>8000</v>
      </c>
      <c r="J211" s="8">
        <v>25000</v>
      </c>
      <c r="K211" s="30">
        <f t="shared" si="142"/>
        <v>8000</v>
      </c>
      <c r="L211" s="8">
        <v>25000</v>
      </c>
      <c r="M211" s="9">
        <f>VLOOKUP(DATE(YEAR(A211),MONTH(A211),DAY(A211)),FY24_Temp[],4,FALSE)</f>
        <v>8.4</v>
      </c>
      <c r="N211" s="9">
        <f>VLOOKUP(DATE(YEAR(A211),MONTH(A211),DAY(A211)),FY24_Temp[],3,FALSE)</f>
        <v>12.8</v>
      </c>
      <c r="O211" s="9">
        <v>13</v>
      </c>
      <c r="P211" s="9">
        <v>19.5</v>
      </c>
      <c r="Q211" s="79">
        <f>VLOOKUP(VLOOKUP(DATEVALUE(TEXT(A211,"m/d/yyyy")),FY24_Temp[],5,FALSE)&amp;TEXT(A211,"-h"),Table6[],4,FALSE)</f>
        <v>0.5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VLOOKUP(TEXT(A211,"yy-mm")&amp;"-"&amp;IF(AND(WEEKDAY(A211)&gt;1,WEEKDAY(A211)&lt;7),"Wkd",TEXT(A211,"Ddd"))&amp;"-"&amp;TEXT(A211,"hh"),LoadTable[],5,FALSE)*0.92</f>
        <v>473.62059999999997</v>
      </c>
      <c r="U211" s="104">
        <f>VLOOKUP(TEXT(A211,"yy-mm")&amp;"-"&amp;IF(AND(WEEKDAY(A211)&gt;1,WEEKDAY(A211)&lt;7),"Wkd",TEXT(A211,"Ddd"))&amp;"-"&amp;TEXT(A211,"hh"),LoadTable[],6,FALSE)*T211</f>
        <v>22424.040927599995</v>
      </c>
      <c r="V211">
        <f t="shared" ref="V211:W211" si="199">V187</f>
        <v>3.5</v>
      </c>
      <c r="W211">
        <f t="shared" si="199"/>
        <v>3</v>
      </c>
      <c r="X211" s="9">
        <v>3.1992010999999998</v>
      </c>
    </row>
    <row r="212" spans="1:24">
      <c r="A212" s="29">
        <f t="shared" si="184"/>
        <v>45844.708333332826</v>
      </c>
      <c r="B212" s="30">
        <f t="shared" si="139"/>
        <v>8000</v>
      </c>
      <c r="C212" s="8">
        <v>25000</v>
      </c>
      <c r="D212" s="8">
        <v>0</v>
      </c>
      <c r="E212" s="8">
        <v>0</v>
      </c>
      <c r="F212" s="8">
        <v>0</v>
      </c>
      <c r="G212" s="30">
        <f t="shared" si="140"/>
        <v>2400</v>
      </c>
      <c r="H212" s="8">
        <v>25000</v>
      </c>
      <c r="I212" s="30">
        <f t="shared" si="141"/>
        <v>8000</v>
      </c>
      <c r="J212" s="8">
        <v>25000</v>
      </c>
      <c r="K212" s="30">
        <f t="shared" si="142"/>
        <v>8000</v>
      </c>
      <c r="L212" s="8">
        <v>25000</v>
      </c>
      <c r="M212" s="9">
        <f>VLOOKUP(DATE(YEAR(A212),MONTH(A212),DAY(A212)),FY24_Temp[],4,FALSE)</f>
        <v>8.4</v>
      </c>
      <c r="N212" s="9">
        <f>VLOOKUP(DATE(YEAR(A212),MONTH(A212),DAY(A212)),FY24_Temp[],3,FALSE)</f>
        <v>12.8</v>
      </c>
      <c r="O212" s="9">
        <v>13</v>
      </c>
      <c r="P212" s="9">
        <v>19.5</v>
      </c>
      <c r="Q212" s="79">
        <f>VLOOKUP(VLOOKUP(DATEVALUE(TEXT(A212,"m/d/yyyy")),FY24_Temp[],5,FALSE)&amp;TEXT(A212,"-h"),Table6[],4,FALSE)</f>
        <v>0.5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VLOOKUP(TEXT(A212,"yy-mm")&amp;"-"&amp;IF(AND(WEEKDAY(A212)&gt;1,WEEKDAY(A212)&lt;7),"Wkd",TEXT(A212,"Ddd"))&amp;"-"&amp;TEXT(A212,"hh"),LoadTable[],5,FALSE)*0.92</f>
        <v>473.62059999999997</v>
      </c>
      <c r="U212" s="104">
        <f>VLOOKUP(TEXT(A212,"yy-mm")&amp;"-"&amp;IF(AND(WEEKDAY(A212)&gt;1,WEEKDAY(A212)&lt;7),"Wkd",TEXT(A212,"Ddd"))&amp;"-"&amp;TEXT(A212,"hh"),LoadTable[],6,FALSE)*T212</f>
        <v>25901.363372799999</v>
      </c>
      <c r="V212">
        <f t="shared" ref="V212:W212" si="200">V188</f>
        <v>3.6</v>
      </c>
      <c r="W212">
        <f t="shared" si="200"/>
        <v>3</v>
      </c>
      <c r="X212" s="9">
        <v>3.1127064</v>
      </c>
    </row>
    <row r="213" spans="1:24">
      <c r="A213" s="29">
        <f t="shared" si="184"/>
        <v>45844.749999999491</v>
      </c>
      <c r="B213" s="30">
        <f t="shared" si="139"/>
        <v>5000</v>
      </c>
      <c r="C213" s="8">
        <v>25000</v>
      </c>
      <c r="D213" s="8">
        <v>0</v>
      </c>
      <c r="E213" s="8">
        <v>0</v>
      </c>
      <c r="F213" s="8">
        <v>0</v>
      </c>
      <c r="G213" s="30">
        <f t="shared" si="140"/>
        <v>2400</v>
      </c>
      <c r="H213" s="8">
        <v>25000</v>
      </c>
      <c r="I213" s="30">
        <f t="shared" si="141"/>
        <v>5000</v>
      </c>
      <c r="J213" s="8">
        <v>25000</v>
      </c>
      <c r="K213" s="30">
        <f t="shared" si="142"/>
        <v>5000</v>
      </c>
      <c r="L213" s="8">
        <v>25000</v>
      </c>
      <c r="M213" s="9">
        <f>VLOOKUP(DATE(YEAR(A213),MONTH(A213),DAY(A213)),FY24_Temp[],4,FALSE)</f>
        <v>8.4</v>
      </c>
      <c r="N213" s="9">
        <f>VLOOKUP(DATE(YEAR(A213),MONTH(A213),DAY(A213)),FY24_Temp[],3,FALSE)</f>
        <v>12.8</v>
      </c>
      <c r="O213" s="9">
        <v>13</v>
      </c>
      <c r="P213" s="9">
        <v>19.5</v>
      </c>
      <c r="Q213" s="79">
        <f>VLOOKUP(VLOOKUP(DATEVALUE(TEXT(A213,"m/d/yyyy")),FY24_Temp[],5,FALSE)&amp;TEXT(A213,"-h"),Table6[],4,FALSE)</f>
        <v>0.5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VLOOKUP(TEXT(A213,"yy-mm")&amp;"-"&amp;IF(AND(WEEKDAY(A213)&gt;1,WEEKDAY(A213)&lt;7),"Wkd",TEXT(A213,"Ddd"))&amp;"-"&amp;TEXT(A213,"hh"),LoadTable[],5,FALSE)*0.92</f>
        <v>494.57360000000006</v>
      </c>
      <c r="U213" s="104">
        <f>VLOOKUP(TEXT(A213,"yy-mm")&amp;"-"&amp;IF(AND(WEEKDAY(A213)&gt;1,WEEKDAY(A213)&lt;7),"Wkd",TEXT(A213,"Ddd"))&amp;"-"&amp;TEXT(A213,"hh"),LoadTable[],6,FALSE)*T213</f>
        <v>34985.641890400009</v>
      </c>
      <c r="V213">
        <f t="shared" ref="V213:W213" si="201">V189</f>
        <v>2.9</v>
      </c>
      <c r="W213">
        <f t="shared" si="201"/>
        <v>3</v>
      </c>
      <c r="X213" s="9">
        <v>3.0936666000000002</v>
      </c>
    </row>
    <row r="214" spans="1:24">
      <c r="A214" s="29">
        <f t="shared" si="184"/>
        <v>45844.791666666155</v>
      </c>
      <c r="B214" s="30">
        <f t="shared" si="139"/>
        <v>5000</v>
      </c>
      <c r="C214" s="8">
        <v>25000</v>
      </c>
      <c r="D214" s="8">
        <v>0</v>
      </c>
      <c r="E214" s="8">
        <v>0</v>
      </c>
      <c r="F214" s="8">
        <v>0</v>
      </c>
      <c r="G214" s="30">
        <f t="shared" si="140"/>
        <v>2400</v>
      </c>
      <c r="H214" s="8">
        <v>25000</v>
      </c>
      <c r="I214" s="30">
        <f t="shared" si="141"/>
        <v>5000</v>
      </c>
      <c r="J214" s="8">
        <v>25000</v>
      </c>
      <c r="K214" s="30">
        <f t="shared" si="142"/>
        <v>5000</v>
      </c>
      <c r="L214" s="8">
        <v>25000</v>
      </c>
      <c r="M214" s="9">
        <f>VLOOKUP(DATE(YEAR(A214),MONTH(A214),DAY(A214)),FY24_Temp[],4,FALSE)</f>
        <v>8.4</v>
      </c>
      <c r="N214" s="9">
        <f>VLOOKUP(DATE(YEAR(A214),MONTH(A214),DAY(A214)),FY24_Temp[],3,FALSE)</f>
        <v>12.8</v>
      </c>
      <c r="O214" s="9">
        <v>13</v>
      </c>
      <c r="P214" s="9">
        <v>19.5</v>
      </c>
      <c r="Q214" s="79">
        <f>VLOOKUP(VLOOKUP(DATEVALUE(TEXT(A214,"m/d/yyyy")),FY24_Temp[],5,FALSE)&amp;TEXT(A214,"-h"),Table6[],4,FALSE)</f>
        <v>0.5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VLOOKUP(TEXT(A214,"yy-mm")&amp;"-"&amp;IF(AND(WEEKDAY(A214)&gt;1,WEEKDAY(A214)&lt;7),"Wkd",TEXT(A214,"Ddd"))&amp;"-"&amp;TEXT(A214,"hh"),LoadTable[],5,FALSE)*0.92</f>
        <v>494.57360000000006</v>
      </c>
      <c r="U214" s="104">
        <f>VLOOKUP(TEXT(A214,"yy-mm")&amp;"-"&amp;IF(AND(WEEKDAY(A214)&gt;1,WEEKDAY(A214)&lt;7),"Wkd",TEXT(A214,"Ddd"))&amp;"-"&amp;TEXT(A214,"hh"),LoadTable[],6,FALSE)*T214</f>
        <v>41988.804066400007</v>
      </c>
      <c r="V214">
        <f t="shared" ref="V214:W214" si="202">V190</f>
        <v>3</v>
      </c>
      <c r="W214">
        <f t="shared" si="202"/>
        <v>3</v>
      </c>
      <c r="X214" s="9">
        <v>3.0556473999999998</v>
      </c>
    </row>
    <row r="215" spans="1:24">
      <c r="A215" s="29">
        <f t="shared" si="184"/>
        <v>45844.833333332819</v>
      </c>
      <c r="B215" s="30">
        <f t="shared" si="139"/>
        <v>5000</v>
      </c>
      <c r="C215" s="8">
        <v>25000</v>
      </c>
      <c r="D215" s="8">
        <v>0</v>
      </c>
      <c r="E215" s="8">
        <v>0</v>
      </c>
      <c r="F215" s="8">
        <v>0</v>
      </c>
      <c r="G215" s="30">
        <f t="shared" si="140"/>
        <v>2400</v>
      </c>
      <c r="H215" s="8">
        <v>25000</v>
      </c>
      <c r="I215" s="30">
        <f t="shared" si="141"/>
        <v>5000</v>
      </c>
      <c r="J215" s="8">
        <v>25000</v>
      </c>
      <c r="K215" s="30">
        <f t="shared" si="142"/>
        <v>5000</v>
      </c>
      <c r="L215" s="8">
        <v>25000</v>
      </c>
      <c r="M215" s="9">
        <f>VLOOKUP(DATE(YEAR(A215),MONTH(A215),DAY(A215)),FY24_Temp[],4,FALSE)</f>
        <v>8.4</v>
      </c>
      <c r="N215" s="9">
        <f>VLOOKUP(DATE(YEAR(A215),MONTH(A215),DAY(A215)),FY24_Temp[],3,FALSE)</f>
        <v>12.8</v>
      </c>
      <c r="O215" s="9">
        <v>13</v>
      </c>
      <c r="P215" s="9">
        <v>19.5</v>
      </c>
      <c r="Q215" s="79">
        <f>VLOOKUP(VLOOKUP(DATEVALUE(TEXT(A215,"m/d/yyyy")),FY24_Temp[],5,FALSE)&amp;TEXT(A215,"-h"),Table6[],4,FALSE)</f>
        <v>0.5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VLOOKUP(TEXT(A215,"yy-mm")&amp;"-"&amp;IF(AND(WEEKDAY(A215)&gt;1,WEEKDAY(A215)&lt;7),"Wkd",TEXT(A215,"Ddd"))&amp;"-"&amp;TEXT(A215,"hh"),LoadTable[],5,FALSE)*0.92</f>
        <v>494.57360000000006</v>
      </c>
      <c r="U215" s="104">
        <f>VLOOKUP(TEXT(A215,"yy-mm")&amp;"-"&amp;IF(AND(WEEKDAY(A215)&gt;1,WEEKDAY(A215)&lt;7),"Wkd",TEXT(A215,"Ddd"))&amp;"-"&amp;TEXT(A215,"hh"),LoadTable[],6,FALSE)*T215</f>
        <v>41403.723497600004</v>
      </c>
      <c r="V215">
        <f t="shared" ref="V215:W215" si="203">V191</f>
        <v>2.8</v>
      </c>
      <c r="W215">
        <f t="shared" si="203"/>
        <v>3.1</v>
      </c>
      <c r="X215" s="9">
        <v>3.0189952999999998</v>
      </c>
    </row>
    <row r="216" spans="1:24">
      <c r="A216" s="29">
        <f t="shared" si="184"/>
        <v>45844.874999999483</v>
      </c>
      <c r="B216" s="30">
        <f t="shared" si="139"/>
        <v>5000</v>
      </c>
      <c r="C216" s="8">
        <v>25000</v>
      </c>
      <c r="D216" s="8">
        <v>0</v>
      </c>
      <c r="E216" s="8">
        <v>0</v>
      </c>
      <c r="F216" s="8">
        <v>0</v>
      </c>
      <c r="G216" s="30">
        <f t="shared" si="140"/>
        <v>2400</v>
      </c>
      <c r="H216" s="8">
        <v>25000</v>
      </c>
      <c r="I216" s="30">
        <f t="shared" si="141"/>
        <v>5000</v>
      </c>
      <c r="J216" s="8">
        <v>25000</v>
      </c>
      <c r="K216" s="30">
        <f t="shared" si="142"/>
        <v>5000</v>
      </c>
      <c r="L216" s="8">
        <v>25000</v>
      </c>
      <c r="M216" s="9">
        <f>VLOOKUP(DATE(YEAR(A216),MONTH(A216),DAY(A216)),FY24_Temp[],4,FALSE)</f>
        <v>8.4</v>
      </c>
      <c r="N216" s="9">
        <f>VLOOKUP(DATE(YEAR(A216),MONTH(A216),DAY(A216)),FY24_Temp[],3,FALSE)</f>
        <v>12.8</v>
      </c>
      <c r="O216" s="9">
        <v>13</v>
      </c>
      <c r="P216" s="9">
        <v>19.5</v>
      </c>
      <c r="Q216" s="79">
        <f>VLOOKUP(VLOOKUP(DATEVALUE(TEXT(A216,"m/d/yyyy")),FY24_Temp[],5,FALSE)&amp;TEXT(A216,"-h"),Table6[],4,FALSE)</f>
        <v>0.5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VLOOKUP(TEXT(A216,"yy-mm")&amp;"-"&amp;IF(AND(WEEKDAY(A216)&gt;1,WEEKDAY(A216)&lt;7),"Wkd",TEXT(A216,"Ddd"))&amp;"-"&amp;TEXT(A216,"hh"),LoadTable[],5,FALSE)*0.92</f>
        <v>418.75640000000004</v>
      </c>
      <c r="U216" s="104">
        <f>VLOOKUP(TEXT(A216,"yy-mm")&amp;"-"&amp;IF(AND(WEEKDAY(A216)&gt;1,WEEKDAY(A216)&lt;7),"Wkd",TEXT(A216,"Ddd"))&amp;"-"&amp;TEXT(A216,"hh"),LoadTable[],6,FALSE)*T216</f>
        <v>31234.202363200002</v>
      </c>
      <c r="V216">
        <f t="shared" ref="V216:W216" si="204">V192</f>
        <v>3.5</v>
      </c>
      <c r="W216">
        <f t="shared" si="204"/>
        <v>3.1</v>
      </c>
      <c r="X216" s="9">
        <v>2.9855119999999999</v>
      </c>
    </row>
    <row r="217" spans="1:24">
      <c r="A217" s="29">
        <f t="shared" si="184"/>
        <v>45844.916666666148</v>
      </c>
      <c r="B217" s="30">
        <f t="shared" si="139"/>
        <v>5000</v>
      </c>
      <c r="C217" s="8">
        <v>25000</v>
      </c>
      <c r="D217" s="8">
        <v>0</v>
      </c>
      <c r="E217" s="8">
        <v>0</v>
      </c>
      <c r="F217" s="8">
        <v>0</v>
      </c>
      <c r="G217" s="30">
        <f t="shared" si="140"/>
        <v>2400</v>
      </c>
      <c r="H217" s="8">
        <v>25000</v>
      </c>
      <c r="I217" s="30">
        <f t="shared" si="141"/>
        <v>5000</v>
      </c>
      <c r="J217" s="8">
        <v>25000</v>
      </c>
      <c r="K217" s="30">
        <f t="shared" si="142"/>
        <v>5000</v>
      </c>
      <c r="L217" s="8">
        <v>25000</v>
      </c>
      <c r="M217" s="9">
        <f>VLOOKUP(DATE(YEAR(A217),MONTH(A217),DAY(A217)),FY24_Temp[],4,FALSE)</f>
        <v>8.4</v>
      </c>
      <c r="N217" s="9">
        <f>VLOOKUP(DATE(YEAR(A217),MONTH(A217),DAY(A217)),FY24_Temp[],3,FALSE)</f>
        <v>12.8</v>
      </c>
      <c r="O217" s="9">
        <v>13</v>
      </c>
      <c r="P217" s="9">
        <v>19.5</v>
      </c>
      <c r="Q217" s="79">
        <f>VLOOKUP(VLOOKUP(DATEVALUE(TEXT(A217,"m/d/yyyy")),FY24_Temp[],5,FALSE)&amp;TEXT(A217,"-h"),Table6[],4,FALSE)</f>
        <v>0.5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VLOOKUP(TEXT(A217,"yy-mm")&amp;"-"&amp;IF(AND(WEEKDAY(A217)&gt;1,WEEKDAY(A217)&lt;7),"Wkd",TEXT(A217,"Ddd"))&amp;"-"&amp;TEXT(A217,"hh"),LoadTable[],5,FALSE)*0.92</f>
        <v>342.93920000000003</v>
      </c>
      <c r="U217" s="104">
        <f>VLOOKUP(TEXT(A217,"yy-mm")&amp;"-"&amp;IF(AND(WEEKDAY(A217)&gt;1,WEEKDAY(A217)&lt;7),"Wkd",TEXT(A217,"Ddd"))&amp;"-"&amp;TEXT(A217,"hh"),LoadTable[],6,FALSE)*T217</f>
        <v>19376.4077392</v>
      </c>
      <c r="V217">
        <f t="shared" ref="V217:W217" si="205">V193</f>
        <v>2.9</v>
      </c>
      <c r="W217">
        <f t="shared" si="205"/>
        <v>3.1</v>
      </c>
      <c r="X217" s="9">
        <v>2.9519297999999998</v>
      </c>
    </row>
    <row r="218" spans="1:24">
      <c r="A218" s="29">
        <f t="shared" si="184"/>
        <v>45844.958333332812</v>
      </c>
      <c r="B218" s="30">
        <f t="shared" si="139"/>
        <v>5000</v>
      </c>
      <c r="C218" s="8">
        <v>25000</v>
      </c>
      <c r="D218" s="8">
        <v>0</v>
      </c>
      <c r="E218" s="8">
        <v>0</v>
      </c>
      <c r="F218" s="8">
        <v>0</v>
      </c>
      <c r="G218" s="30">
        <f t="shared" si="140"/>
        <v>2400</v>
      </c>
      <c r="H218" s="8">
        <v>25000</v>
      </c>
      <c r="I218" s="30">
        <f t="shared" si="141"/>
        <v>5000</v>
      </c>
      <c r="J218" s="8">
        <v>25000</v>
      </c>
      <c r="K218" s="30">
        <f t="shared" si="142"/>
        <v>5000</v>
      </c>
      <c r="L218" s="8">
        <v>25000</v>
      </c>
      <c r="M218" s="9">
        <f>VLOOKUP(DATE(YEAR(A218),MONTH(A218),DAY(A218)),FY24_Temp[],4,FALSE)</f>
        <v>8.4</v>
      </c>
      <c r="N218" s="9">
        <f>VLOOKUP(DATE(YEAR(A218),MONTH(A218),DAY(A218)),FY24_Temp[],3,FALSE)</f>
        <v>12.8</v>
      </c>
      <c r="O218" s="9">
        <v>13</v>
      </c>
      <c r="P218" s="9">
        <v>19.5</v>
      </c>
      <c r="Q218" s="79">
        <f>VLOOKUP(VLOOKUP(DATEVALUE(TEXT(A218,"m/d/yyyy")),FY24_Temp[],5,FALSE)&amp;TEXT(A218,"-h"),Table6[],4,FALSE)</f>
        <v>0.5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VLOOKUP(TEXT(A218,"yy-mm")&amp;"-"&amp;IF(AND(WEEKDAY(A218)&gt;1,WEEKDAY(A218)&lt;7),"Wkd",TEXT(A218,"Ddd"))&amp;"-"&amp;TEXT(A218,"hh"),LoadTable[],5,FALSE)*0.92</f>
        <v>279.25312000000002</v>
      </c>
      <c r="U218" s="104">
        <f>VLOOKUP(TEXT(A218,"yy-mm")&amp;"-"&amp;IF(AND(WEEKDAY(A218)&gt;1,WEEKDAY(A218)&lt;7),"Wkd",TEXT(A218,"Ddd"))&amp;"-"&amp;TEXT(A218,"hh"),LoadTable[],6,FALSE)*T218</f>
        <v>14528.981327360001</v>
      </c>
      <c r="V218">
        <f t="shared" ref="V218:W218" si="206">V194</f>
        <v>3.6</v>
      </c>
      <c r="W218">
        <f t="shared" si="206"/>
        <v>3.1</v>
      </c>
      <c r="X218" s="9">
        <v>2.8495512000000001</v>
      </c>
    </row>
    <row r="219" spans="1:24">
      <c r="A219" s="29">
        <f t="shared" si="184"/>
        <v>45844.999999999476</v>
      </c>
      <c r="B219" s="30">
        <f t="shared" si="139"/>
        <v>5000</v>
      </c>
      <c r="C219" s="8">
        <v>25000</v>
      </c>
      <c r="D219" s="8">
        <v>0</v>
      </c>
      <c r="E219" s="8">
        <v>0</v>
      </c>
      <c r="F219" s="8">
        <v>0</v>
      </c>
      <c r="G219" s="30">
        <f t="shared" si="140"/>
        <v>2400</v>
      </c>
      <c r="H219" s="8">
        <v>25000</v>
      </c>
      <c r="I219" s="30">
        <f t="shared" si="141"/>
        <v>5000</v>
      </c>
      <c r="J219" s="8">
        <v>25000</v>
      </c>
      <c r="K219" s="30">
        <f t="shared" si="142"/>
        <v>5000</v>
      </c>
      <c r="L219" s="8">
        <v>25000</v>
      </c>
      <c r="M219" s="9">
        <f>VLOOKUP(DATE(YEAR(A219),MONTH(A219),DAY(A219)),FY24_Temp[],4,FALSE)</f>
        <v>8.4</v>
      </c>
      <c r="N219" s="9">
        <f>VLOOKUP(DATE(YEAR(A219),MONTH(A219),DAY(A219)),FY24_Temp[],3,FALSE)</f>
        <v>12.8</v>
      </c>
      <c r="O219" s="9">
        <v>13</v>
      </c>
      <c r="P219" s="9">
        <v>19.5</v>
      </c>
      <c r="Q219" s="79">
        <f>VLOOKUP(VLOOKUP(DATEVALUE(TEXT(A219,"m/d/yyyy")),FY24_Temp[],5,FALSE)&amp;TEXT(A219,"-h"),Table6[],4,FALSE)</f>
        <v>0.5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VLOOKUP(TEXT(A219,"yy-mm")&amp;"-"&amp;IF(AND(WEEKDAY(A219)&gt;1,WEEKDAY(A219)&lt;7),"Wkd",TEXT(A219,"Ddd"))&amp;"-"&amp;TEXT(A219,"hh"),LoadTable[],5,FALSE)*0.92</f>
        <v>279.25312000000002</v>
      </c>
      <c r="U219" s="104">
        <f>VLOOKUP(TEXT(A219,"yy-mm")&amp;"-"&amp;IF(AND(WEEKDAY(A219)&gt;1,WEEKDAY(A219)&lt;7),"Wkd",TEXT(A219,"Ddd"))&amp;"-"&amp;TEXT(A219,"hh"),LoadTable[],6,FALSE)*T219</f>
        <v>14895.640673920001</v>
      </c>
      <c r="V219">
        <f t="shared" ref="V219:W219" si="207">V195</f>
        <v>3</v>
      </c>
      <c r="W219">
        <f t="shared" si="207"/>
        <v>3.2</v>
      </c>
      <c r="X219" s="9">
        <v>2.7738941000000001</v>
      </c>
    </row>
    <row r="220" spans="1:24">
      <c r="A220" s="29">
        <f t="shared" si="184"/>
        <v>45845.04166666614</v>
      </c>
      <c r="B220" s="30">
        <f t="shared" ref="B220:B283" si="208">B196</f>
        <v>5000</v>
      </c>
      <c r="C220" s="8">
        <v>25000</v>
      </c>
      <c r="D220" s="8">
        <v>0</v>
      </c>
      <c r="E220" s="8">
        <v>0</v>
      </c>
      <c r="F220" s="8">
        <v>0</v>
      </c>
      <c r="G220" s="30">
        <f t="shared" ref="G220:G283" si="209">G196</f>
        <v>2400</v>
      </c>
      <c r="H220" s="8">
        <v>25000</v>
      </c>
      <c r="I220" s="30">
        <f t="shared" ref="I220:I283" si="210">I196</f>
        <v>5000</v>
      </c>
      <c r="J220" s="8">
        <v>25000</v>
      </c>
      <c r="K220" s="30">
        <f t="shared" ref="K220:K283" si="211">K196</f>
        <v>5000</v>
      </c>
      <c r="L220" s="8">
        <v>25000</v>
      </c>
      <c r="M220" s="9">
        <f>VLOOKUP(DATE(YEAR(A220),MONTH(A220),DAY(A220)),FY24_Temp[],4,FALSE)</f>
        <v>8.4</v>
      </c>
      <c r="N220" s="9">
        <f>VLOOKUP(DATE(YEAR(A220),MONTH(A220),DAY(A220)),FY24_Temp[],3,FALSE)</f>
        <v>12.8</v>
      </c>
      <c r="O220" s="9">
        <v>13</v>
      </c>
      <c r="P220" s="9">
        <v>19.5</v>
      </c>
      <c r="Q220" s="79">
        <f>VLOOKUP(VLOOKUP(DATEVALUE(TEXT(A220,"m/d/yyyy")),FY24_Temp[],5,FALSE)&amp;TEXT(A220,"-h"),Table6[],4,FALSE)</f>
        <v>0.5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VLOOKUP(TEXT(A220,"yy-mm")&amp;"-"&amp;IF(AND(WEEKDAY(A220)&gt;1,WEEKDAY(A220)&lt;7),"Wkd",TEXT(A220,"Ddd"))&amp;"-"&amp;TEXT(A220,"hh"),LoadTable[],5,FALSE)*0.92</f>
        <v>279.25312000000002</v>
      </c>
      <c r="U220" s="104">
        <f>VLOOKUP(TEXT(A220,"yy-mm")&amp;"-"&amp;IF(AND(WEEKDAY(A220)&gt;1,WEEKDAY(A220)&lt;7),"Wkd",TEXT(A220,"Ddd"))&amp;"-"&amp;TEXT(A220,"hh"),LoadTable[],6,FALSE)*T220</f>
        <v>14470.896678400002</v>
      </c>
      <c r="V220">
        <f t="shared" ref="V220:W220" si="212">V196</f>
        <v>2.6</v>
      </c>
      <c r="W220">
        <f t="shared" si="212"/>
        <v>3.2</v>
      </c>
      <c r="X220" s="9">
        <v>2.7284918</v>
      </c>
    </row>
    <row r="221" spans="1:24">
      <c r="A221" s="29">
        <f t="shared" si="184"/>
        <v>45845.083333332805</v>
      </c>
      <c r="B221" s="30">
        <f t="shared" si="208"/>
        <v>5000</v>
      </c>
      <c r="C221" s="8">
        <v>25000</v>
      </c>
      <c r="D221" s="8">
        <v>0</v>
      </c>
      <c r="E221" s="8">
        <v>0</v>
      </c>
      <c r="F221" s="8">
        <v>0</v>
      </c>
      <c r="G221" s="30">
        <f t="shared" si="209"/>
        <v>2400</v>
      </c>
      <c r="H221" s="8">
        <v>25000</v>
      </c>
      <c r="I221" s="30">
        <f t="shared" si="210"/>
        <v>5000</v>
      </c>
      <c r="J221" s="8">
        <v>25000</v>
      </c>
      <c r="K221" s="30">
        <f t="shared" si="211"/>
        <v>5000</v>
      </c>
      <c r="L221" s="8">
        <v>25000</v>
      </c>
      <c r="M221" s="9">
        <f>VLOOKUP(DATE(YEAR(A221),MONTH(A221),DAY(A221)),FY24_Temp[],4,FALSE)</f>
        <v>8.4</v>
      </c>
      <c r="N221" s="9">
        <f>VLOOKUP(DATE(YEAR(A221),MONTH(A221),DAY(A221)),FY24_Temp[],3,FALSE)</f>
        <v>12.8</v>
      </c>
      <c r="O221" s="9">
        <v>13</v>
      </c>
      <c r="P221" s="9">
        <v>19.5</v>
      </c>
      <c r="Q221" s="79">
        <f>VLOOKUP(VLOOKUP(DATEVALUE(TEXT(A221,"m/d/yyyy")),FY24_Temp[],5,FALSE)&amp;TEXT(A221,"-h"),Table6[],4,FALSE)</f>
        <v>0.5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VLOOKUP(TEXT(A221,"yy-mm")&amp;"-"&amp;IF(AND(WEEKDAY(A221)&gt;1,WEEKDAY(A221)&lt;7),"Wkd",TEXT(A221,"Ddd"))&amp;"-"&amp;TEXT(A221,"hh"),LoadTable[],5,FALSE)*0.92</f>
        <v>279.25312000000002</v>
      </c>
      <c r="U221" s="104">
        <f>VLOOKUP(TEXT(A221,"yy-mm")&amp;"-"&amp;IF(AND(WEEKDAY(A221)&gt;1,WEEKDAY(A221)&lt;7),"Wkd",TEXT(A221,"Ddd"))&amp;"-"&amp;TEXT(A221,"hh"),LoadTable[],6,FALSE)*T221</f>
        <v>14154.50289344</v>
      </c>
      <c r="V221">
        <f t="shared" ref="V221:W221" si="213">V197</f>
        <v>2.8</v>
      </c>
      <c r="W221">
        <f t="shared" si="213"/>
        <v>3.2</v>
      </c>
      <c r="X221" s="9">
        <v>2.8093944</v>
      </c>
    </row>
    <row r="222" spans="1:24">
      <c r="A222" s="29">
        <f t="shared" si="184"/>
        <v>45845.124999999469</v>
      </c>
      <c r="B222" s="30">
        <f t="shared" si="208"/>
        <v>5000</v>
      </c>
      <c r="C222" s="8">
        <v>25000</v>
      </c>
      <c r="D222" s="8">
        <v>0</v>
      </c>
      <c r="E222" s="8">
        <v>0</v>
      </c>
      <c r="F222" s="8">
        <v>0</v>
      </c>
      <c r="G222" s="30">
        <f t="shared" si="209"/>
        <v>2400</v>
      </c>
      <c r="H222" s="8">
        <v>25000</v>
      </c>
      <c r="I222" s="30">
        <f t="shared" si="210"/>
        <v>5000</v>
      </c>
      <c r="J222" s="8">
        <v>25000</v>
      </c>
      <c r="K222" s="30">
        <f t="shared" si="211"/>
        <v>5000</v>
      </c>
      <c r="L222" s="8">
        <v>25000</v>
      </c>
      <c r="M222" s="9">
        <f>VLOOKUP(DATE(YEAR(A222),MONTH(A222),DAY(A222)),FY24_Temp[],4,FALSE)</f>
        <v>8.4</v>
      </c>
      <c r="N222" s="9">
        <f>VLOOKUP(DATE(YEAR(A222),MONTH(A222),DAY(A222)),FY24_Temp[],3,FALSE)</f>
        <v>12.8</v>
      </c>
      <c r="O222" s="9">
        <v>13</v>
      </c>
      <c r="P222" s="9">
        <v>19.5</v>
      </c>
      <c r="Q222" s="79">
        <f>VLOOKUP(VLOOKUP(DATEVALUE(TEXT(A222,"m/d/yyyy")),FY24_Temp[],5,FALSE)&amp;TEXT(A222,"-h"),Table6[],4,FALSE)</f>
        <v>0.5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VLOOKUP(TEXT(A222,"yy-mm")&amp;"-"&amp;IF(AND(WEEKDAY(A222)&gt;1,WEEKDAY(A222)&lt;7),"Wkd",TEXT(A222,"Ddd"))&amp;"-"&amp;TEXT(A222,"hh"),LoadTable[],5,FALSE)*0.92</f>
        <v>279.25312000000002</v>
      </c>
      <c r="U222" s="104">
        <f>VLOOKUP(TEXT(A222,"yy-mm")&amp;"-"&amp;IF(AND(WEEKDAY(A222)&gt;1,WEEKDAY(A222)&lt;7),"Wkd",TEXT(A222,"Ddd"))&amp;"-"&amp;TEXT(A222,"hh"),LoadTable[],6,FALSE)*T222</f>
        <v>14206.443973760001</v>
      </c>
      <c r="V222">
        <f t="shared" ref="V222:W222" si="214">V198</f>
        <v>2.7</v>
      </c>
      <c r="W222">
        <f t="shared" si="214"/>
        <v>3.2</v>
      </c>
      <c r="X222" s="9">
        <v>2.8659735</v>
      </c>
    </row>
    <row r="223" spans="1:24">
      <c r="A223" s="29">
        <f t="shared" si="184"/>
        <v>45845.166666666133</v>
      </c>
      <c r="B223" s="30">
        <f t="shared" si="208"/>
        <v>5000</v>
      </c>
      <c r="C223" s="8">
        <v>25000</v>
      </c>
      <c r="D223" s="8">
        <v>0</v>
      </c>
      <c r="E223" s="8">
        <v>0</v>
      </c>
      <c r="F223" s="8">
        <v>0</v>
      </c>
      <c r="G223" s="30">
        <f t="shared" si="209"/>
        <v>2400</v>
      </c>
      <c r="H223" s="8">
        <v>25000</v>
      </c>
      <c r="I223" s="30">
        <f t="shared" si="210"/>
        <v>5000</v>
      </c>
      <c r="J223" s="8">
        <v>25000</v>
      </c>
      <c r="K223" s="30">
        <f t="shared" si="211"/>
        <v>5000</v>
      </c>
      <c r="L223" s="8">
        <v>25000</v>
      </c>
      <c r="M223" s="9">
        <f>VLOOKUP(DATE(YEAR(A223),MONTH(A223),DAY(A223)),FY24_Temp[],4,FALSE)</f>
        <v>8.4</v>
      </c>
      <c r="N223" s="9">
        <f>VLOOKUP(DATE(YEAR(A223),MONTH(A223),DAY(A223)),FY24_Temp[],3,FALSE)</f>
        <v>12.8</v>
      </c>
      <c r="O223" s="9">
        <v>13</v>
      </c>
      <c r="P223" s="9">
        <v>19.5</v>
      </c>
      <c r="Q223" s="79">
        <f>VLOOKUP(VLOOKUP(DATEVALUE(TEXT(A223,"m/d/yyyy")),FY24_Temp[],5,FALSE)&amp;TEXT(A223,"-h"),Table6[],4,FALSE)</f>
        <v>0.5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VLOOKUP(TEXT(A223,"yy-mm")&amp;"-"&amp;IF(AND(WEEKDAY(A223)&gt;1,WEEKDAY(A223)&lt;7),"Wkd",TEXT(A223,"Ddd"))&amp;"-"&amp;TEXT(A223,"hh"),LoadTable[],5,FALSE)*0.92</f>
        <v>279.25312000000002</v>
      </c>
      <c r="U223" s="104">
        <f>VLOOKUP(TEXT(A223,"yy-mm")&amp;"-"&amp;IF(AND(WEEKDAY(A223)&gt;1,WEEKDAY(A223)&lt;7),"Wkd",TEXT(A223,"Ddd"))&amp;"-"&amp;TEXT(A223,"hh"),LoadTable[],6,FALSE)*T223</f>
        <v>14229.063476480002</v>
      </c>
      <c r="V223">
        <f t="shared" ref="V223:W223" si="215">V199</f>
        <v>3</v>
      </c>
      <c r="W223">
        <f t="shared" si="215"/>
        <v>3.1</v>
      </c>
      <c r="X223" s="9">
        <v>2.8984714</v>
      </c>
    </row>
    <row r="224" spans="1:24">
      <c r="A224" s="29">
        <f t="shared" si="184"/>
        <v>45845.208333332797</v>
      </c>
      <c r="B224" s="30">
        <f t="shared" si="208"/>
        <v>5000</v>
      </c>
      <c r="C224" s="8">
        <v>25000</v>
      </c>
      <c r="D224" s="8">
        <v>0</v>
      </c>
      <c r="E224" s="8">
        <v>0</v>
      </c>
      <c r="F224" s="8">
        <v>0</v>
      </c>
      <c r="G224" s="30">
        <f t="shared" si="209"/>
        <v>2400</v>
      </c>
      <c r="H224" s="8">
        <v>25000</v>
      </c>
      <c r="I224" s="30">
        <f t="shared" si="210"/>
        <v>5000</v>
      </c>
      <c r="J224" s="8">
        <v>25000</v>
      </c>
      <c r="K224" s="30">
        <f t="shared" si="211"/>
        <v>5000</v>
      </c>
      <c r="L224" s="8">
        <v>25000</v>
      </c>
      <c r="M224" s="9">
        <f>VLOOKUP(DATE(YEAR(A224),MONTH(A224),DAY(A224)),FY24_Temp[],4,FALSE)</f>
        <v>8.4</v>
      </c>
      <c r="N224" s="9">
        <f>VLOOKUP(DATE(YEAR(A224),MONTH(A224),DAY(A224)),FY24_Temp[],3,FALSE)</f>
        <v>12.8</v>
      </c>
      <c r="O224" s="9">
        <v>13</v>
      </c>
      <c r="P224" s="9">
        <v>19.5</v>
      </c>
      <c r="Q224" s="79">
        <f>VLOOKUP(VLOOKUP(DATEVALUE(TEXT(A224,"m/d/yyyy")),FY24_Temp[],5,FALSE)&amp;TEXT(A224,"-h"),Table6[],4,FALSE)</f>
        <v>0.5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VLOOKUP(TEXT(A224,"yy-mm")&amp;"-"&amp;IF(AND(WEEKDAY(A224)&gt;1,WEEKDAY(A224)&lt;7),"Wkd",TEXT(A224,"Ddd"))&amp;"-"&amp;TEXT(A224,"hh"),LoadTable[],5,FALSE)*0.92</f>
        <v>279.25312000000002</v>
      </c>
      <c r="U224" s="104">
        <f>VLOOKUP(TEXT(A224,"yy-mm")&amp;"-"&amp;IF(AND(WEEKDAY(A224)&gt;1,WEEKDAY(A224)&lt;7),"Wkd",TEXT(A224,"Ddd"))&amp;"-"&amp;TEXT(A224,"hh"),LoadTable[],6,FALSE)*T224</f>
        <v>14735.070129920001</v>
      </c>
      <c r="V224">
        <f t="shared" ref="V224:W224" si="216">V200</f>
        <v>2.9</v>
      </c>
      <c r="W224">
        <f t="shared" si="216"/>
        <v>3.1</v>
      </c>
      <c r="X224" s="9">
        <v>2.9780566999999998</v>
      </c>
    </row>
    <row r="225" spans="1:24">
      <c r="A225" s="29">
        <f t="shared" si="184"/>
        <v>45845.249999999462</v>
      </c>
      <c r="B225" s="30">
        <f t="shared" si="208"/>
        <v>8000</v>
      </c>
      <c r="C225" s="8">
        <v>25000</v>
      </c>
      <c r="D225" s="8">
        <v>0</v>
      </c>
      <c r="E225" s="8">
        <v>0</v>
      </c>
      <c r="F225" s="8">
        <v>0</v>
      </c>
      <c r="G225" s="30">
        <f t="shared" si="209"/>
        <v>2400</v>
      </c>
      <c r="H225" s="8">
        <v>25000</v>
      </c>
      <c r="I225" s="30">
        <f t="shared" si="210"/>
        <v>8000</v>
      </c>
      <c r="J225" s="8">
        <v>25000</v>
      </c>
      <c r="K225" s="30">
        <f t="shared" si="211"/>
        <v>8000</v>
      </c>
      <c r="L225" s="8">
        <v>25000</v>
      </c>
      <c r="M225" s="9">
        <f>VLOOKUP(DATE(YEAR(A225),MONTH(A225),DAY(A225)),FY24_Temp[],4,FALSE)</f>
        <v>8.4</v>
      </c>
      <c r="N225" s="9">
        <f>VLOOKUP(DATE(YEAR(A225),MONTH(A225),DAY(A225)),FY24_Temp[],3,FALSE)</f>
        <v>12.8</v>
      </c>
      <c r="O225" s="9">
        <v>13</v>
      </c>
      <c r="P225" s="9">
        <v>19.5</v>
      </c>
      <c r="Q225" s="79">
        <f>VLOOKUP(VLOOKUP(DATEVALUE(TEXT(A225,"m/d/yyyy")),FY24_Temp[],5,FALSE)&amp;TEXT(A225,"-h"),Table6[],4,FALSE)</f>
        <v>0.5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VLOOKUP(TEXT(A225,"yy-mm")&amp;"-"&amp;IF(AND(WEEKDAY(A225)&gt;1,WEEKDAY(A225)&lt;7),"Wkd",TEXT(A225,"Ddd"))&amp;"-"&amp;TEXT(A225,"hh"),LoadTable[],5,FALSE)*0.92</f>
        <v>279.25312000000002</v>
      </c>
      <c r="U225" s="104">
        <f>VLOOKUP(TEXT(A225,"yy-mm")&amp;"-"&amp;IF(AND(WEEKDAY(A225)&gt;1,WEEKDAY(A225)&lt;7),"Wkd",TEXT(A225,"Ddd"))&amp;"-"&amp;TEXT(A225,"hh"),LoadTable[],6,FALSE)*T225</f>
        <v>26238.902408320002</v>
      </c>
      <c r="V225">
        <f t="shared" ref="V225:W225" si="217">V201</f>
        <v>2.5</v>
      </c>
      <c r="W225">
        <f t="shared" si="217"/>
        <v>3.1</v>
      </c>
      <c r="X225" s="9">
        <v>3.0996250999999999</v>
      </c>
    </row>
    <row r="226" spans="1:24">
      <c r="A226" s="29">
        <f t="shared" si="184"/>
        <v>45845.291666666126</v>
      </c>
      <c r="B226" s="30">
        <f t="shared" si="208"/>
        <v>8000</v>
      </c>
      <c r="C226" s="8">
        <v>25000</v>
      </c>
      <c r="D226" s="8">
        <v>0</v>
      </c>
      <c r="E226" s="8">
        <v>0</v>
      </c>
      <c r="F226" s="8">
        <v>0</v>
      </c>
      <c r="G226" s="30">
        <f t="shared" si="209"/>
        <v>2400</v>
      </c>
      <c r="H226" s="8">
        <v>25000</v>
      </c>
      <c r="I226" s="30">
        <f t="shared" si="210"/>
        <v>8000</v>
      </c>
      <c r="J226" s="8">
        <v>25000</v>
      </c>
      <c r="K226" s="30">
        <f t="shared" si="211"/>
        <v>8000</v>
      </c>
      <c r="L226" s="8">
        <v>25000</v>
      </c>
      <c r="M226" s="9">
        <f>VLOOKUP(DATE(YEAR(A226),MONTH(A226),DAY(A226)),FY24_Temp[],4,FALSE)</f>
        <v>8.4</v>
      </c>
      <c r="N226" s="9">
        <f>VLOOKUP(DATE(YEAR(A226),MONTH(A226),DAY(A226)),FY24_Temp[],3,FALSE)</f>
        <v>12.8</v>
      </c>
      <c r="O226" s="9">
        <v>13</v>
      </c>
      <c r="P226" s="9">
        <v>19.5</v>
      </c>
      <c r="Q226" s="79">
        <f>VLOOKUP(VLOOKUP(DATEVALUE(TEXT(A226,"m/d/yyyy")),FY24_Temp[],5,FALSE)&amp;TEXT(A226,"-h"),Table6[],4,FALSE)</f>
        <v>0.5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VLOOKUP(TEXT(A226,"yy-mm")&amp;"-"&amp;IF(AND(WEEKDAY(A226)&gt;1,WEEKDAY(A226)&lt;7),"Wkd",TEXT(A226,"Ddd"))&amp;"-"&amp;TEXT(A226,"hh"),LoadTable[],5,FALSE)*0.92</f>
        <v>279.25312000000002</v>
      </c>
      <c r="U226" s="104">
        <f>VLOOKUP(TEXT(A226,"yy-mm")&amp;"-"&amp;IF(AND(WEEKDAY(A226)&gt;1,WEEKDAY(A226)&lt;7),"Wkd",TEXT(A226,"Ddd"))&amp;"-"&amp;TEXT(A226,"hh"),LoadTable[],6,FALSE)*T226</f>
        <v>22145.051669120003</v>
      </c>
      <c r="V226">
        <f t="shared" ref="V226:W226" si="218">V202</f>
        <v>2.5</v>
      </c>
      <c r="W226">
        <f t="shared" si="218"/>
        <v>3.1</v>
      </c>
      <c r="X226" s="9">
        <v>3.2352257</v>
      </c>
    </row>
    <row r="227" spans="1:24">
      <c r="A227" s="29">
        <f t="shared" si="184"/>
        <v>45845.33333333279</v>
      </c>
      <c r="B227" s="30">
        <f t="shared" si="208"/>
        <v>8000</v>
      </c>
      <c r="C227" s="8">
        <v>25000</v>
      </c>
      <c r="D227" s="8">
        <v>0</v>
      </c>
      <c r="E227" s="8">
        <v>0</v>
      </c>
      <c r="F227" s="8">
        <v>0</v>
      </c>
      <c r="G227" s="30">
        <f t="shared" si="209"/>
        <v>2400</v>
      </c>
      <c r="H227" s="8">
        <v>25000</v>
      </c>
      <c r="I227" s="30">
        <f t="shared" si="210"/>
        <v>8000</v>
      </c>
      <c r="J227" s="8">
        <v>25000</v>
      </c>
      <c r="K227" s="30">
        <f t="shared" si="211"/>
        <v>8000</v>
      </c>
      <c r="L227" s="8">
        <v>25000</v>
      </c>
      <c r="M227" s="9">
        <f>VLOOKUP(DATE(YEAR(A227),MONTH(A227),DAY(A227)),FY24_Temp[],4,FALSE)</f>
        <v>8.4</v>
      </c>
      <c r="N227" s="9">
        <f>VLOOKUP(DATE(YEAR(A227),MONTH(A227),DAY(A227)),FY24_Temp[],3,FALSE)</f>
        <v>12.8</v>
      </c>
      <c r="O227" s="9">
        <v>13</v>
      </c>
      <c r="P227" s="9">
        <v>19.5</v>
      </c>
      <c r="Q227" s="79">
        <f>VLOOKUP(VLOOKUP(DATEVALUE(TEXT(A227,"m/d/yyyy")),FY24_Temp[],5,FALSE)&amp;TEXT(A227,"-h"),Table6[],4,FALSE)</f>
        <v>0.5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VLOOKUP(TEXT(A227,"yy-mm")&amp;"-"&amp;IF(AND(WEEKDAY(A227)&gt;1,WEEKDAY(A227)&lt;7),"Wkd",TEXT(A227,"Ddd"))&amp;"-"&amp;TEXT(A227,"hh"),LoadTable[],5,FALSE)*0.92</f>
        <v>279.25312000000002</v>
      </c>
      <c r="U227" s="104">
        <f>VLOOKUP(TEXT(A227,"yy-mm")&amp;"-"&amp;IF(AND(WEEKDAY(A227)&gt;1,WEEKDAY(A227)&lt;7),"Wkd",TEXT(A227,"Ddd"))&amp;"-"&amp;TEXT(A227,"hh"),LoadTable[],6,FALSE)*T227</f>
        <v>17686.77560832</v>
      </c>
      <c r="V227">
        <f t="shared" ref="V227:W227" si="219">V203</f>
        <v>3.2</v>
      </c>
      <c r="W227">
        <f t="shared" si="219"/>
        <v>3</v>
      </c>
      <c r="X227" s="9">
        <v>3.3067875</v>
      </c>
    </row>
    <row r="228" spans="1:24">
      <c r="A228" s="29">
        <f t="shared" si="184"/>
        <v>45845.374999999454</v>
      </c>
      <c r="B228" s="30">
        <f t="shared" si="208"/>
        <v>8000</v>
      </c>
      <c r="C228" s="8">
        <v>25000</v>
      </c>
      <c r="D228" s="8">
        <v>0</v>
      </c>
      <c r="E228" s="8">
        <v>0</v>
      </c>
      <c r="F228" s="8">
        <v>0</v>
      </c>
      <c r="G228" s="30">
        <f t="shared" si="209"/>
        <v>2400</v>
      </c>
      <c r="H228" s="8">
        <v>25000</v>
      </c>
      <c r="I228" s="30">
        <f t="shared" si="210"/>
        <v>8000</v>
      </c>
      <c r="J228" s="8">
        <v>25000</v>
      </c>
      <c r="K228" s="30">
        <f t="shared" si="211"/>
        <v>8000</v>
      </c>
      <c r="L228" s="8">
        <v>25000</v>
      </c>
      <c r="M228" s="9">
        <f>VLOOKUP(DATE(YEAR(A228),MONTH(A228),DAY(A228)),FY24_Temp[],4,FALSE)</f>
        <v>8.4</v>
      </c>
      <c r="N228" s="9">
        <f>VLOOKUP(DATE(YEAR(A228),MONTH(A228),DAY(A228)),FY24_Temp[],3,FALSE)</f>
        <v>12.8</v>
      </c>
      <c r="O228" s="9">
        <v>13</v>
      </c>
      <c r="P228" s="9">
        <v>19.5</v>
      </c>
      <c r="Q228" s="79">
        <f>VLOOKUP(VLOOKUP(DATEVALUE(TEXT(A228,"m/d/yyyy")),FY24_Temp[],5,FALSE)&amp;TEXT(A228,"-h"),Table6[],4,FALSE)</f>
        <v>0.5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VLOOKUP(TEXT(A228,"yy-mm")&amp;"-"&amp;IF(AND(WEEKDAY(A228)&gt;1,WEEKDAY(A228)&lt;7),"Wkd",TEXT(A228,"Ddd"))&amp;"-"&amp;TEXT(A228,"hh"),LoadTable[],5,FALSE)*0.92</f>
        <v>279.25312000000002</v>
      </c>
      <c r="U228" s="104">
        <f>VLOOKUP(TEXT(A228,"yy-mm")&amp;"-"&amp;IF(AND(WEEKDAY(A228)&gt;1,WEEKDAY(A228)&lt;7),"Wkd",TEXT(A228,"Ddd"))&amp;"-"&amp;TEXT(A228,"hh"),LoadTable[],6,FALSE)*T228</f>
        <v>14265.924888320002</v>
      </c>
      <c r="V228">
        <f t="shared" ref="V228:W228" si="220">V204</f>
        <v>2.9</v>
      </c>
      <c r="W228">
        <f t="shared" si="220"/>
        <v>3</v>
      </c>
      <c r="X228" s="9">
        <v>3.3325128999999998</v>
      </c>
    </row>
    <row r="229" spans="1:24">
      <c r="A229" s="29">
        <f t="shared" si="184"/>
        <v>45845.416666666119</v>
      </c>
      <c r="B229" s="30">
        <f t="shared" si="208"/>
        <v>8000</v>
      </c>
      <c r="C229" s="8">
        <v>25000</v>
      </c>
      <c r="D229" s="8">
        <v>0</v>
      </c>
      <c r="E229" s="8">
        <v>0</v>
      </c>
      <c r="F229" s="8">
        <v>0</v>
      </c>
      <c r="G229" s="30">
        <f t="shared" si="209"/>
        <v>2400</v>
      </c>
      <c r="H229" s="8">
        <v>25000</v>
      </c>
      <c r="I229" s="30">
        <f t="shared" si="210"/>
        <v>8000</v>
      </c>
      <c r="J229" s="8">
        <v>25000</v>
      </c>
      <c r="K229" s="30">
        <f t="shared" si="211"/>
        <v>8000</v>
      </c>
      <c r="L229" s="8">
        <v>25000</v>
      </c>
      <c r="M229" s="9">
        <f>VLOOKUP(DATE(YEAR(A229),MONTH(A229),DAY(A229)),FY24_Temp[],4,FALSE)</f>
        <v>8.4</v>
      </c>
      <c r="N229" s="9">
        <f>VLOOKUP(DATE(YEAR(A229),MONTH(A229),DAY(A229)),FY24_Temp[],3,FALSE)</f>
        <v>12.8</v>
      </c>
      <c r="O229" s="9">
        <v>13</v>
      </c>
      <c r="P229" s="9">
        <v>19.5</v>
      </c>
      <c r="Q229" s="79">
        <f>VLOOKUP(VLOOKUP(DATEVALUE(TEXT(A229,"m/d/yyyy")),FY24_Temp[],5,FALSE)&amp;TEXT(A229,"-h"),Table6[],4,FALSE)</f>
        <v>0.5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VLOOKUP(TEXT(A229,"yy-mm")&amp;"-"&amp;IF(AND(WEEKDAY(A229)&gt;1,WEEKDAY(A229)&lt;7),"Wkd",TEXT(A229,"Ddd"))&amp;"-"&amp;TEXT(A229,"hh"),LoadTable[],5,FALSE)*0.92</f>
        <v>279.25312000000002</v>
      </c>
      <c r="U229" s="104">
        <f>VLOOKUP(TEXT(A229,"yy-mm")&amp;"-"&amp;IF(AND(WEEKDAY(A229)&gt;1,WEEKDAY(A229)&lt;7),"Wkd",TEXT(A229,"Ddd"))&amp;"-"&amp;TEXT(A229,"hh"),LoadTable[],6,FALSE)*T229</f>
        <v>13649.054746240003</v>
      </c>
      <c r="V229">
        <f t="shared" ref="V229:W229" si="221">V205</f>
        <v>2.9</v>
      </c>
      <c r="W229">
        <f t="shared" si="221"/>
        <v>3</v>
      </c>
      <c r="X229" s="9">
        <v>3.3907573000000002</v>
      </c>
    </row>
    <row r="230" spans="1:24">
      <c r="A230" s="29">
        <f t="shared" si="184"/>
        <v>45845.458333332783</v>
      </c>
      <c r="B230" s="30">
        <f t="shared" si="208"/>
        <v>8000</v>
      </c>
      <c r="C230" s="8">
        <v>25000</v>
      </c>
      <c r="D230" s="8">
        <v>0</v>
      </c>
      <c r="E230" s="8">
        <v>0</v>
      </c>
      <c r="F230" s="8">
        <v>0</v>
      </c>
      <c r="G230" s="30">
        <f t="shared" si="209"/>
        <v>2400</v>
      </c>
      <c r="H230" s="8">
        <v>25000</v>
      </c>
      <c r="I230" s="30">
        <f t="shared" si="210"/>
        <v>8000</v>
      </c>
      <c r="J230" s="8">
        <v>25000</v>
      </c>
      <c r="K230" s="30">
        <f t="shared" si="211"/>
        <v>8000</v>
      </c>
      <c r="L230" s="8">
        <v>25000</v>
      </c>
      <c r="M230" s="9">
        <f>VLOOKUP(DATE(YEAR(A230),MONTH(A230),DAY(A230)),FY24_Temp[],4,FALSE)</f>
        <v>8.4</v>
      </c>
      <c r="N230" s="9">
        <f>VLOOKUP(DATE(YEAR(A230),MONTH(A230),DAY(A230)),FY24_Temp[],3,FALSE)</f>
        <v>12.8</v>
      </c>
      <c r="O230" s="9">
        <v>13</v>
      </c>
      <c r="P230" s="9">
        <v>19.5</v>
      </c>
      <c r="Q230" s="79">
        <f>VLOOKUP(VLOOKUP(DATEVALUE(TEXT(A230,"m/d/yyyy")),FY24_Temp[],5,FALSE)&amp;TEXT(A230,"-h"),Table6[],4,FALSE)</f>
        <v>0.5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VLOOKUP(TEXT(A230,"yy-mm")&amp;"-"&amp;IF(AND(WEEKDAY(A230)&gt;1,WEEKDAY(A230)&lt;7),"Wkd",TEXT(A230,"Ddd"))&amp;"-"&amp;TEXT(A230,"hh"),LoadTable[],5,FALSE)*0.92</f>
        <v>279.25312000000002</v>
      </c>
      <c r="U230" s="104">
        <f>VLOOKUP(TEXT(A230,"yy-mm")&amp;"-"&amp;IF(AND(WEEKDAY(A230)&gt;1,WEEKDAY(A230)&lt;7),"Wkd",TEXT(A230,"Ddd"))&amp;"-"&amp;TEXT(A230,"hh"),LoadTable[],6,FALSE)*T230</f>
        <v>13153.938964480001</v>
      </c>
      <c r="V230">
        <f t="shared" ref="V230:W230" si="222">V206</f>
        <v>3.4</v>
      </c>
      <c r="W230">
        <f t="shared" si="222"/>
        <v>3</v>
      </c>
      <c r="X230" s="9">
        <v>3.3392776999999998</v>
      </c>
    </row>
    <row r="231" spans="1:24">
      <c r="A231" s="29">
        <f t="shared" si="184"/>
        <v>45845.499999999447</v>
      </c>
      <c r="B231" s="30">
        <f t="shared" si="208"/>
        <v>8000</v>
      </c>
      <c r="C231" s="8">
        <v>25000</v>
      </c>
      <c r="D231" s="8">
        <v>0</v>
      </c>
      <c r="E231" s="8">
        <v>0</v>
      </c>
      <c r="F231" s="8">
        <v>0</v>
      </c>
      <c r="G231" s="30">
        <f t="shared" si="209"/>
        <v>2400</v>
      </c>
      <c r="H231" s="8">
        <v>25000</v>
      </c>
      <c r="I231" s="30">
        <f t="shared" si="210"/>
        <v>8000</v>
      </c>
      <c r="J231" s="8">
        <v>25000</v>
      </c>
      <c r="K231" s="30">
        <f t="shared" si="211"/>
        <v>8000</v>
      </c>
      <c r="L231" s="8">
        <v>25000</v>
      </c>
      <c r="M231" s="9">
        <f>VLOOKUP(DATE(YEAR(A231),MONTH(A231),DAY(A231)),FY24_Temp[],4,FALSE)</f>
        <v>8.4</v>
      </c>
      <c r="N231" s="9">
        <f>VLOOKUP(DATE(YEAR(A231),MONTH(A231),DAY(A231)),FY24_Temp[],3,FALSE)</f>
        <v>12.8</v>
      </c>
      <c r="O231" s="9">
        <v>13</v>
      </c>
      <c r="P231" s="9">
        <v>19.5</v>
      </c>
      <c r="Q231" s="79">
        <f>VLOOKUP(VLOOKUP(DATEVALUE(TEXT(A231,"m/d/yyyy")),FY24_Temp[],5,FALSE)&amp;TEXT(A231,"-h"),Table6[],4,FALSE)</f>
        <v>0.5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VLOOKUP(TEXT(A231,"yy-mm")&amp;"-"&amp;IF(AND(WEEKDAY(A231)&gt;1,WEEKDAY(A231)&lt;7),"Wkd",TEXT(A231,"Ddd"))&amp;"-"&amp;TEXT(A231,"hh"),LoadTable[],5,FALSE)*0.92</f>
        <v>279.25312000000002</v>
      </c>
      <c r="U231" s="104">
        <f>VLOOKUP(TEXT(A231,"yy-mm")&amp;"-"&amp;IF(AND(WEEKDAY(A231)&gt;1,WEEKDAY(A231)&lt;7),"Wkd",TEXT(A231,"Ddd"))&amp;"-"&amp;TEXT(A231,"hh"),LoadTable[],6,FALSE)*T231</f>
        <v>13898.427782400002</v>
      </c>
      <c r="V231">
        <f t="shared" ref="V231:W231" si="223">V207</f>
        <v>3.1</v>
      </c>
      <c r="W231">
        <f t="shared" si="223"/>
        <v>2.9</v>
      </c>
      <c r="X231" s="9">
        <v>3.2109475000000001</v>
      </c>
    </row>
    <row r="232" spans="1:24">
      <c r="A232" s="29">
        <f t="shared" si="184"/>
        <v>45845.541666666111</v>
      </c>
      <c r="B232" s="30">
        <f t="shared" si="208"/>
        <v>8000</v>
      </c>
      <c r="C232" s="8">
        <v>25000</v>
      </c>
      <c r="D232" s="8">
        <v>0</v>
      </c>
      <c r="E232" s="8">
        <v>0</v>
      </c>
      <c r="F232" s="8">
        <v>0</v>
      </c>
      <c r="G232" s="30">
        <f t="shared" si="209"/>
        <v>2400</v>
      </c>
      <c r="H232" s="8">
        <v>25000</v>
      </c>
      <c r="I232" s="30">
        <f t="shared" si="210"/>
        <v>8000</v>
      </c>
      <c r="J232" s="8">
        <v>25000</v>
      </c>
      <c r="K232" s="30">
        <f t="shared" si="211"/>
        <v>8000</v>
      </c>
      <c r="L232" s="8">
        <v>25000</v>
      </c>
      <c r="M232" s="9">
        <f>VLOOKUP(DATE(YEAR(A232),MONTH(A232),DAY(A232)),FY24_Temp[],4,FALSE)</f>
        <v>8.4</v>
      </c>
      <c r="N232" s="9">
        <f>VLOOKUP(DATE(YEAR(A232),MONTH(A232),DAY(A232)),FY24_Temp[],3,FALSE)</f>
        <v>12.8</v>
      </c>
      <c r="O232" s="9">
        <v>13</v>
      </c>
      <c r="P232" s="9">
        <v>19.5</v>
      </c>
      <c r="Q232" s="79">
        <f>VLOOKUP(VLOOKUP(DATEVALUE(TEXT(A232,"m/d/yyyy")),FY24_Temp[],5,FALSE)&amp;TEXT(A232,"-h"),Table6[],4,FALSE)</f>
        <v>0.5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VLOOKUP(TEXT(A232,"yy-mm")&amp;"-"&amp;IF(AND(WEEKDAY(A232)&gt;1,WEEKDAY(A232)&lt;7),"Wkd",TEXT(A232,"Ddd"))&amp;"-"&amp;TEXT(A232,"hh"),LoadTable[],5,FALSE)*0.92</f>
        <v>279.25312000000002</v>
      </c>
      <c r="U232" s="104">
        <f>VLOOKUP(TEXT(A232,"yy-mm")&amp;"-"&amp;IF(AND(WEEKDAY(A232)&gt;1,WEEKDAY(A232)&lt;7),"Wkd",TEXT(A232,"Ddd"))&amp;"-"&amp;TEXT(A232,"hh"),LoadTable[],6,FALSE)*T232</f>
        <v>16526.1996416</v>
      </c>
      <c r="V232">
        <f t="shared" ref="V232:W232" si="224">V208</f>
        <v>3.2</v>
      </c>
      <c r="W232">
        <f t="shared" si="224"/>
        <v>2.9</v>
      </c>
      <c r="X232" s="9">
        <v>3.0370046999999998</v>
      </c>
    </row>
    <row r="233" spans="1:24">
      <c r="A233" s="29">
        <f t="shared" si="184"/>
        <v>45845.583333332776</v>
      </c>
      <c r="B233" s="30">
        <f t="shared" si="208"/>
        <v>8000</v>
      </c>
      <c r="C233" s="8">
        <v>25000</v>
      </c>
      <c r="D233" s="8">
        <v>0</v>
      </c>
      <c r="E233" s="8">
        <v>0</v>
      </c>
      <c r="F233" s="8">
        <v>0</v>
      </c>
      <c r="G233" s="30">
        <f t="shared" si="209"/>
        <v>2400</v>
      </c>
      <c r="H233" s="8">
        <v>25000</v>
      </c>
      <c r="I233" s="30">
        <f t="shared" si="210"/>
        <v>8000</v>
      </c>
      <c r="J233" s="8">
        <v>25000</v>
      </c>
      <c r="K233" s="30">
        <f t="shared" si="211"/>
        <v>8000</v>
      </c>
      <c r="L233" s="8">
        <v>25000</v>
      </c>
      <c r="M233" s="9">
        <f>VLOOKUP(DATE(YEAR(A233),MONTH(A233),DAY(A233)),FY24_Temp[],4,FALSE)</f>
        <v>8.4</v>
      </c>
      <c r="N233" s="9">
        <f>VLOOKUP(DATE(YEAR(A233),MONTH(A233),DAY(A233)),FY24_Temp[],3,FALSE)</f>
        <v>12.8</v>
      </c>
      <c r="O233" s="9">
        <v>13</v>
      </c>
      <c r="P233" s="9">
        <v>19.5</v>
      </c>
      <c r="Q233" s="79">
        <f>VLOOKUP(VLOOKUP(DATEVALUE(TEXT(A233,"m/d/yyyy")),FY24_Temp[],5,FALSE)&amp;TEXT(A233,"-h"),Table6[],4,FALSE)</f>
        <v>0.5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VLOOKUP(TEXT(A233,"yy-mm")&amp;"-"&amp;IF(AND(WEEKDAY(A233)&gt;1,WEEKDAY(A233)&lt;7),"Wkd",TEXT(A233,"Ddd"))&amp;"-"&amp;TEXT(A233,"hh"),LoadTable[],5,FALSE)*0.92</f>
        <v>373.26607999999999</v>
      </c>
      <c r="U233" s="104">
        <f>VLOOKUP(TEXT(A233,"yy-mm")&amp;"-"&amp;IF(AND(WEEKDAY(A233)&gt;1,WEEKDAY(A233)&lt;7),"Wkd",TEXT(A233,"Ddd"))&amp;"-"&amp;TEXT(A233,"hh"),LoadTable[],6,FALSE)*T233</f>
        <v>27132.338089119996</v>
      </c>
      <c r="V233">
        <f t="shared" ref="V233:W233" si="225">V209</f>
        <v>3.5</v>
      </c>
      <c r="W233">
        <f t="shared" si="225"/>
        <v>2.9</v>
      </c>
      <c r="X233" s="9">
        <v>2.9776163000000002</v>
      </c>
    </row>
    <row r="234" spans="1:24">
      <c r="A234" s="29">
        <f t="shared" si="184"/>
        <v>45845.62499999944</v>
      </c>
      <c r="B234" s="30">
        <f t="shared" si="208"/>
        <v>8000</v>
      </c>
      <c r="C234" s="8">
        <v>25000</v>
      </c>
      <c r="D234" s="8">
        <v>0</v>
      </c>
      <c r="E234" s="8">
        <v>0</v>
      </c>
      <c r="F234" s="8">
        <v>0</v>
      </c>
      <c r="G234" s="30">
        <f t="shared" si="209"/>
        <v>2400</v>
      </c>
      <c r="H234" s="8">
        <v>25000</v>
      </c>
      <c r="I234" s="30">
        <f t="shared" si="210"/>
        <v>8000</v>
      </c>
      <c r="J234" s="8">
        <v>25000</v>
      </c>
      <c r="K234" s="30">
        <f t="shared" si="211"/>
        <v>8000</v>
      </c>
      <c r="L234" s="8">
        <v>25000</v>
      </c>
      <c r="M234" s="9">
        <f>VLOOKUP(DATE(YEAR(A234),MONTH(A234),DAY(A234)),FY24_Temp[],4,FALSE)</f>
        <v>8.4</v>
      </c>
      <c r="N234" s="9">
        <f>VLOOKUP(DATE(YEAR(A234),MONTH(A234),DAY(A234)),FY24_Temp[],3,FALSE)</f>
        <v>12.8</v>
      </c>
      <c r="O234" s="9">
        <v>13</v>
      </c>
      <c r="P234" s="9">
        <v>19.5</v>
      </c>
      <c r="Q234" s="79">
        <f>VLOOKUP(VLOOKUP(DATEVALUE(TEXT(A234,"m/d/yyyy")),FY24_Temp[],5,FALSE)&amp;TEXT(A234,"-h"),Table6[],4,FALSE)</f>
        <v>0.5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VLOOKUP(TEXT(A234,"yy-mm")&amp;"-"&amp;IF(AND(WEEKDAY(A234)&gt;1,WEEKDAY(A234)&lt;7),"Wkd",TEXT(A234,"Ddd"))&amp;"-"&amp;TEXT(A234,"hh"),LoadTable[],5,FALSE)*0.92</f>
        <v>494.57360000000006</v>
      </c>
      <c r="U234" s="104">
        <f>VLOOKUP(TEXT(A234,"yy-mm")&amp;"-"&amp;IF(AND(WEEKDAY(A234)&gt;1,WEEKDAY(A234)&lt;7),"Wkd",TEXT(A234,"Ddd"))&amp;"-"&amp;TEXT(A234,"hh"),LoadTable[],6,FALSE)*T234</f>
        <v>42310.771480000003</v>
      </c>
      <c r="V234">
        <f t="shared" ref="V234:W234" si="226">V210</f>
        <v>3.2</v>
      </c>
      <c r="W234">
        <f t="shared" si="226"/>
        <v>2.9</v>
      </c>
      <c r="X234" s="9">
        <v>3.2706523000000001</v>
      </c>
    </row>
    <row r="235" spans="1:24">
      <c r="A235" s="29">
        <f t="shared" si="184"/>
        <v>45845.666666666104</v>
      </c>
      <c r="B235" s="30">
        <f t="shared" si="208"/>
        <v>8000</v>
      </c>
      <c r="C235" s="8">
        <v>25000</v>
      </c>
      <c r="D235" s="8">
        <v>0</v>
      </c>
      <c r="E235" s="8">
        <v>0</v>
      </c>
      <c r="F235" s="8">
        <v>0</v>
      </c>
      <c r="G235" s="30">
        <f t="shared" si="209"/>
        <v>2400</v>
      </c>
      <c r="H235" s="8">
        <v>25000</v>
      </c>
      <c r="I235" s="30">
        <f t="shared" si="210"/>
        <v>8000</v>
      </c>
      <c r="J235" s="8">
        <v>25000</v>
      </c>
      <c r="K235" s="30">
        <f t="shared" si="211"/>
        <v>8000</v>
      </c>
      <c r="L235" s="8">
        <v>25000</v>
      </c>
      <c r="M235" s="9">
        <f>VLOOKUP(DATE(YEAR(A235),MONTH(A235),DAY(A235)),FY24_Temp[],4,FALSE)</f>
        <v>8.4</v>
      </c>
      <c r="N235" s="9">
        <f>VLOOKUP(DATE(YEAR(A235),MONTH(A235),DAY(A235)),FY24_Temp[],3,FALSE)</f>
        <v>12.8</v>
      </c>
      <c r="O235" s="9">
        <v>13</v>
      </c>
      <c r="P235" s="9">
        <v>19.5</v>
      </c>
      <c r="Q235" s="79">
        <f>VLOOKUP(VLOOKUP(DATEVALUE(TEXT(A235,"m/d/yyyy")),FY24_Temp[],5,FALSE)&amp;TEXT(A235,"-h"),Table6[],4,FALSE)</f>
        <v>0.5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VLOOKUP(TEXT(A235,"yy-mm")&amp;"-"&amp;IF(AND(WEEKDAY(A235)&gt;1,WEEKDAY(A235)&lt;7),"Wkd",TEXT(A235,"Ddd"))&amp;"-"&amp;TEXT(A235,"hh"),LoadTable[],5,FALSE)*0.92</f>
        <v>494.57360000000006</v>
      </c>
      <c r="U235" s="104">
        <f>VLOOKUP(TEXT(A235,"yy-mm")&amp;"-"&amp;IF(AND(WEEKDAY(A235)&gt;1,WEEKDAY(A235)&lt;7),"Wkd",TEXT(A235,"Ddd"))&amp;"-"&amp;TEXT(A235,"hh"),LoadTable[],6,FALSE)*T235</f>
        <v>50694.28857360001</v>
      </c>
      <c r="V235">
        <f t="shared" ref="V235:W235" si="227">V211</f>
        <v>3.5</v>
      </c>
      <c r="W235">
        <f t="shared" si="227"/>
        <v>3</v>
      </c>
      <c r="X235" s="9">
        <v>3.1909177</v>
      </c>
    </row>
    <row r="236" spans="1:24">
      <c r="A236" s="29">
        <f t="shared" si="184"/>
        <v>45845.708333332768</v>
      </c>
      <c r="B236" s="30">
        <f t="shared" si="208"/>
        <v>8000</v>
      </c>
      <c r="C236" s="8">
        <v>25000</v>
      </c>
      <c r="D236" s="8">
        <v>0</v>
      </c>
      <c r="E236" s="8">
        <v>0</v>
      </c>
      <c r="F236" s="8">
        <v>0</v>
      </c>
      <c r="G236" s="30">
        <f t="shared" si="209"/>
        <v>2400</v>
      </c>
      <c r="H236" s="8">
        <v>25000</v>
      </c>
      <c r="I236" s="30">
        <f t="shared" si="210"/>
        <v>8000</v>
      </c>
      <c r="J236" s="8">
        <v>25000</v>
      </c>
      <c r="K236" s="30">
        <f t="shared" si="211"/>
        <v>8000</v>
      </c>
      <c r="L236" s="8">
        <v>25000</v>
      </c>
      <c r="M236" s="9">
        <f>VLOOKUP(DATE(YEAR(A236),MONTH(A236),DAY(A236)),FY24_Temp[],4,FALSE)</f>
        <v>8.4</v>
      </c>
      <c r="N236" s="9">
        <f>VLOOKUP(DATE(YEAR(A236),MONTH(A236),DAY(A236)),FY24_Temp[],3,FALSE)</f>
        <v>12.8</v>
      </c>
      <c r="O236" s="9">
        <v>13</v>
      </c>
      <c r="P236" s="9">
        <v>19.5</v>
      </c>
      <c r="Q236" s="79">
        <f>VLOOKUP(VLOOKUP(DATEVALUE(TEXT(A236,"m/d/yyyy")),FY24_Temp[],5,FALSE)&amp;TEXT(A236,"-h"),Table6[],4,FALSE)</f>
        <v>0.5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VLOOKUP(TEXT(A236,"yy-mm")&amp;"-"&amp;IF(AND(WEEKDAY(A236)&gt;1,WEEKDAY(A236)&lt;7),"Wkd",TEXT(A236,"Ddd"))&amp;"-"&amp;TEXT(A236,"hh"),LoadTable[],5,FALSE)*0.92</f>
        <v>494.57360000000006</v>
      </c>
      <c r="U236" s="104">
        <f>VLOOKUP(TEXT(A236,"yy-mm")&amp;"-"&amp;IF(AND(WEEKDAY(A236)&gt;1,WEEKDAY(A236)&lt;7),"Wkd",TEXT(A236,"Ddd"))&amp;"-"&amp;TEXT(A236,"hh"),LoadTable[],6,FALSE)*T236</f>
        <v>56025.791981600007</v>
      </c>
      <c r="V236">
        <f t="shared" ref="V236:W236" si="228">V212</f>
        <v>3.6</v>
      </c>
      <c r="W236">
        <f t="shared" si="228"/>
        <v>3</v>
      </c>
      <c r="X236" s="9">
        <v>3.1023567000000001</v>
      </c>
    </row>
    <row r="237" spans="1:24">
      <c r="A237" s="29">
        <f t="shared" si="184"/>
        <v>45845.749999999432</v>
      </c>
      <c r="B237" s="30">
        <f t="shared" si="208"/>
        <v>5000</v>
      </c>
      <c r="C237" s="8">
        <v>25000</v>
      </c>
      <c r="D237" s="8">
        <v>0</v>
      </c>
      <c r="E237" s="8">
        <v>0</v>
      </c>
      <c r="F237" s="8">
        <v>0</v>
      </c>
      <c r="G237" s="30">
        <f t="shared" si="209"/>
        <v>2400</v>
      </c>
      <c r="H237" s="8">
        <v>25000</v>
      </c>
      <c r="I237" s="30">
        <f t="shared" si="210"/>
        <v>5000</v>
      </c>
      <c r="J237" s="8">
        <v>25000</v>
      </c>
      <c r="K237" s="30">
        <f t="shared" si="211"/>
        <v>5000</v>
      </c>
      <c r="L237" s="8">
        <v>25000</v>
      </c>
      <c r="M237" s="9">
        <f>VLOOKUP(DATE(YEAR(A237),MONTH(A237),DAY(A237)),FY24_Temp[],4,FALSE)</f>
        <v>8.4</v>
      </c>
      <c r="N237" s="9">
        <f>VLOOKUP(DATE(YEAR(A237),MONTH(A237),DAY(A237)),FY24_Temp[],3,FALSE)</f>
        <v>12.8</v>
      </c>
      <c r="O237" s="9">
        <v>13</v>
      </c>
      <c r="P237" s="9">
        <v>19.5</v>
      </c>
      <c r="Q237" s="79">
        <f>VLOOKUP(VLOOKUP(DATEVALUE(TEXT(A237,"m/d/yyyy")),FY24_Temp[],5,FALSE)&amp;TEXT(A237,"-h"),Table6[],4,FALSE)</f>
        <v>0.5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VLOOKUP(TEXT(A237,"yy-mm")&amp;"-"&amp;IF(AND(WEEKDAY(A237)&gt;1,WEEKDAY(A237)&lt;7),"Wkd",TEXT(A237,"Ddd"))&amp;"-"&amp;TEXT(A237,"hh"),LoadTable[],5,FALSE)*0.92</f>
        <v>494.57360000000006</v>
      </c>
      <c r="U237" s="104">
        <f>VLOOKUP(TEXT(A237,"yy-mm")&amp;"-"&amp;IF(AND(WEEKDAY(A237)&gt;1,WEEKDAY(A237)&lt;7),"Wkd",TEXT(A237,"Ddd"))&amp;"-"&amp;TEXT(A237,"hh"),LoadTable[],6,FALSE)*T237</f>
        <v>60164.383866400007</v>
      </c>
      <c r="V237">
        <f t="shared" ref="V237:W237" si="229">V213</f>
        <v>2.9</v>
      </c>
      <c r="W237">
        <f t="shared" si="229"/>
        <v>3</v>
      </c>
      <c r="X237" s="9">
        <v>3.0752313</v>
      </c>
    </row>
    <row r="238" spans="1:24">
      <c r="A238" s="29">
        <f t="shared" si="184"/>
        <v>45845.791666666097</v>
      </c>
      <c r="B238" s="30">
        <f t="shared" si="208"/>
        <v>5000</v>
      </c>
      <c r="C238" s="8">
        <v>25000</v>
      </c>
      <c r="D238" s="8">
        <v>0</v>
      </c>
      <c r="E238" s="8">
        <v>0</v>
      </c>
      <c r="F238" s="8">
        <v>0</v>
      </c>
      <c r="G238" s="30">
        <f t="shared" si="209"/>
        <v>2400</v>
      </c>
      <c r="H238" s="8">
        <v>25000</v>
      </c>
      <c r="I238" s="30">
        <f t="shared" si="210"/>
        <v>5000</v>
      </c>
      <c r="J238" s="8">
        <v>25000</v>
      </c>
      <c r="K238" s="30">
        <f t="shared" si="211"/>
        <v>5000</v>
      </c>
      <c r="L238" s="8">
        <v>25000</v>
      </c>
      <c r="M238" s="9">
        <f>VLOOKUP(DATE(YEAR(A238),MONTH(A238),DAY(A238)),FY24_Temp[],4,FALSE)</f>
        <v>8.4</v>
      </c>
      <c r="N238" s="9">
        <f>VLOOKUP(DATE(YEAR(A238),MONTH(A238),DAY(A238)),FY24_Temp[],3,FALSE)</f>
        <v>12.8</v>
      </c>
      <c r="O238" s="9">
        <v>13</v>
      </c>
      <c r="P238" s="9">
        <v>19.5</v>
      </c>
      <c r="Q238" s="79">
        <f>VLOOKUP(VLOOKUP(DATEVALUE(TEXT(A238,"m/d/yyyy")),FY24_Temp[],5,FALSE)&amp;TEXT(A238,"-h"),Table6[],4,FALSE)</f>
        <v>0.5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VLOOKUP(TEXT(A238,"yy-mm")&amp;"-"&amp;IF(AND(WEEKDAY(A238)&gt;1,WEEKDAY(A238)&lt;7),"Wkd",TEXT(A238,"Ddd"))&amp;"-"&amp;TEXT(A238,"hh"),LoadTable[],5,FALSE)*0.92</f>
        <v>494.57360000000006</v>
      </c>
      <c r="U238" s="104">
        <f>VLOOKUP(TEXT(A238,"yy-mm")&amp;"-"&amp;IF(AND(WEEKDAY(A238)&gt;1,WEEKDAY(A238)&lt;7),"Wkd",TEXT(A238,"Ddd"))&amp;"-"&amp;TEXT(A238,"hh"),LoadTable[],6,FALSE)*T238</f>
        <v>60548.172980000003</v>
      </c>
      <c r="V238">
        <f t="shared" ref="V238:W238" si="230">V214</f>
        <v>3</v>
      </c>
      <c r="W238">
        <f t="shared" si="230"/>
        <v>3</v>
      </c>
      <c r="X238" s="9">
        <v>3.0378926000000002</v>
      </c>
    </row>
    <row r="239" spans="1:24">
      <c r="A239" s="29">
        <f t="shared" si="184"/>
        <v>45845.833333332761</v>
      </c>
      <c r="B239" s="30">
        <f t="shared" si="208"/>
        <v>5000</v>
      </c>
      <c r="C239" s="8">
        <v>25000</v>
      </c>
      <c r="D239" s="8">
        <v>0</v>
      </c>
      <c r="E239" s="8">
        <v>0</v>
      </c>
      <c r="F239" s="8">
        <v>0</v>
      </c>
      <c r="G239" s="30">
        <f t="shared" si="209"/>
        <v>2400</v>
      </c>
      <c r="H239" s="8">
        <v>25000</v>
      </c>
      <c r="I239" s="30">
        <f t="shared" si="210"/>
        <v>5000</v>
      </c>
      <c r="J239" s="8">
        <v>25000</v>
      </c>
      <c r="K239" s="30">
        <f t="shared" si="211"/>
        <v>5000</v>
      </c>
      <c r="L239" s="8">
        <v>25000</v>
      </c>
      <c r="M239" s="9">
        <f>VLOOKUP(DATE(YEAR(A239),MONTH(A239),DAY(A239)),FY24_Temp[],4,FALSE)</f>
        <v>8.4</v>
      </c>
      <c r="N239" s="9">
        <f>VLOOKUP(DATE(YEAR(A239),MONTH(A239),DAY(A239)),FY24_Temp[],3,FALSE)</f>
        <v>12.8</v>
      </c>
      <c r="O239" s="9">
        <v>13</v>
      </c>
      <c r="P239" s="9">
        <v>19.5</v>
      </c>
      <c r="Q239" s="79">
        <f>VLOOKUP(VLOOKUP(DATEVALUE(TEXT(A239,"m/d/yyyy")),FY24_Temp[],5,FALSE)&amp;TEXT(A239,"-h"),Table6[],4,FALSE)</f>
        <v>0.5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VLOOKUP(TEXT(A239,"yy-mm")&amp;"-"&amp;IF(AND(WEEKDAY(A239)&gt;1,WEEKDAY(A239)&lt;7),"Wkd",TEXT(A239,"Ddd"))&amp;"-"&amp;TEXT(A239,"hh"),LoadTable[],5,FALSE)*0.92</f>
        <v>494.57360000000006</v>
      </c>
      <c r="U239" s="104">
        <f>VLOOKUP(TEXT(A239,"yy-mm")&amp;"-"&amp;IF(AND(WEEKDAY(A239)&gt;1,WEEKDAY(A239)&lt;7),"Wkd",TEXT(A239,"Ddd"))&amp;"-"&amp;TEXT(A239,"hh"),LoadTable[],6,FALSE)*T239</f>
        <v>60532.346624800004</v>
      </c>
      <c r="V239">
        <f t="shared" ref="V239:W239" si="231">V215</f>
        <v>2.8</v>
      </c>
      <c r="W239">
        <f t="shared" si="231"/>
        <v>3.1</v>
      </c>
      <c r="X239" s="9">
        <v>2.9987271</v>
      </c>
    </row>
    <row r="240" spans="1:24">
      <c r="A240" s="29">
        <f t="shared" si="184"/>
        <v>45845.874999999425</v>
      </c>
      <c r="B240" s="30">
        <f t="shared" si="208"/>
        <v>5000</v>
      </c>
      <c r="C240" s="8">
        <v>25000</v>
      </c>
      <c r="D240" s="8">
        <v>0</v>
      </c>
      <c r="E240" s="8">
        <v>0</v>
      </c>
      <c r="F240" s="8">
        <v>0</v>
      </c>
      <c r="G240" s="30">
        <f t="shared" si="209"/>
        <v>2400</v>
      </c>
      <c r="H240" s="8">
        <v>25000</v>
      </c>
      <c r="I240" s="30">
        <f t="shared" si="210"/>
        <v>5000</v>
      </c>
      <c r="J240" s="8">
        <v>25000</v>
      </c>
      <c r="K240" s="30">
        <f t="shared" si="211"/>
        <v>5000</v>
      </c>
      <c r="L240" s="8">
        <v>25000</v>
      </c>
      <c r="M240" s="9">
        <f>VLOOKUP(DATE(YEAR(A240),MONTH(A240),DAY(A240)),FY24_Temp[],4,FALSE)</f>
        <v>8.4</v>
      </c>
      <c r="N240" s="9">
        <f>VLOOKUP(DATE(YEAR(A240),MONTH(A240),DAY(A240)),FY24_Temp[],3,FALSE)</f>
        <v>12.8</v>
      </c>
      <c r="O240" s="9">
        <v>13</v>
      </c>
      <c r="P240" s="9">
        <v>19.5</v>
      </c>
      <c r="Q240" s="79">
        <f>VLOOKUP(VLOOKUP(DATEVALUE(TEXT(A240,"m/d/yyyy")),FY24_Temp[],5,FALSE)&amp;TEXT(A240,"-h"),Table6[],4,FALSE)</f>
        <v>0.5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VLOOKUP(TEXT(A240,"yy-mm")&amp;"-"&amp;IF(AND(WEEKDAY(A240)&gt;1,WEEKDAY(A240)&lt;7),"Wkd",TEXT(A240,"Ddd"))&amp;"-"&amp;TEXT(A240,"hh"),LoadTable[],5,FALSE)*0.92</f>
        <v>494.57360000000006</v>
      </c>
      <c r="U240" s="104">
        <f>VLOOKUP(TEXT(A240,"yy-mm")&amp;"-"&amp;IF(AND(WEEKDAY(A240)&gt;1,WEEKDAY(A240)&lt;7),"Wkd",TEXT(A240,"Ddd"))&amp;"-"&amp;TEXT(A240,"hh"),LoadTable[],6,FALSE)*T240</f>
        <v>58481.349905600007</v>
      </c>
      <c r="V240">
        <f t="shared" ref="V240:W240" si="232">V216</f>
        <v>3.5</v>
      </c>
      <c r="W240">
        <f t="shared" si="232"/>
        <v>3.1</v>
      </c>
      <c r="X240" s="9">
        <v>2.9675555</v>
      </c>
    </row>
    <row r="241" spans="1:24">
      <c r="A241" s="29">
        <f t="shared" si="184"/>
        <v>45845.916666666089</v>
      </c>
      <c r="B241" s="30">
        <f t="shared" si="208"/>
        <v>5000</v>
      </c>
      <c r="C241" s="8">
        <v>25000</v>
      </c>
      <c r="D241" s="8">
        <v>0</v>
      </c>
      <c r="E241" s="8">
        <v>0</v>
      </c>
      <c r="F241" s="8">
        <v>0</v>
      </c>
      <c r="G241" s="30">
        <f t="shared" si="209"/>
        <v>2400</v>
      </c>
      <c r="H241" s="8">
        <v>25000</v>
      </c>
      <c r="I241" s="30">
        <f t="shared" si="210"/>
        <v>5000</v>
      </c>
      <c r="J241" s="8">
        <v>25000</v>
      </c>
      <c r="K241" s="30">
        <f t="shared" si="211"/>
        <v>5000</v>
      </c>
      <c r="L241" s="8">
        <v>25000</v>
      </c>
      <c r="M241" s="9">
        <f>VLOOKUP(DATE(YEAR(A241),MONTH(A241),DAY(A241)),FY24_Temp[],4,FALSE)</f>
        <v>8.4</v>
      </c>
      <c r="N241" s="9">
        <f>VLOOKUP(DATE(YEAR(A241),MONTH(A241),DAY(A241)),FY24_Temp[],3,FALSE)</f>
        <v>12.8</v>
      </c>
      <c r="O241" s="9">
        <v>13</v>
      </c>
      <c r="P241" s="9">
        <v>19.5</v>
      </c>
      <c r="Q241" s="79">
        <f>VLOOKUP(VLOOKUP(DATEVALUE(TEXT(A241,"m/d/yyyy")),FY24_Temp[],5,FALSE)&amp;TEXT(A241,"-h"),Table6[],4,FALSE)</f>
        <v>0.5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VLOOKUP(TEXT(A241,"yy-mm")&amp;"-"&amp;IF(AND(WEEKDAY(A241)&gt;1,WEEKDAY(A241)&lt;7),"Wkd",TEXT(A241,"Ddd"))&amp;"-"&amp;TEXT(A241,"hh"),LoadTable[],5,FALSE)*0.92</f>
        <v>418.75640000000004</v>
      </c>
      <c r="U241" s="104">
        <f>VLOOKUP(TEXT(A241,"yy-mm")&amp;"-"&amp;IF(AND(WEEKDAY(A241)&gt;1,WEEKDAY(A241)&lt;7),"Wkd",TEXT(A241,"Ddd"))&amp;"-"&amp;TEXT(A241,"hh"),LoadTable[],6,FALSE)*T241</f>
        <v>27547.889774000003</v>
      </c>
      <c r="V241">
        <f t="shared" ref="V241:W241" si="233">V217</f>
        <v>2.9</v>
      </c>
      <c r="W241">
        <f t="shared" si="233"/>
        <v>3.1</v>
      </c>
      <c r="X241" s="9">
        <v>2.9375157000000001</v>
      </c>
    </row>
    <row r="242" spans="1:24">
      <c r="A242" s="29">
        <f t="shared" si="184"/>
        <v>45845.958333332754</v>
      </c>
      <c r="B242" s="30">
        <f t="shared" si="208"/>
        <v>5000</v>
      </c>
      <c r="C242" s="8">
        <v>25000</v>
      </c>
      <c r="D242" s="8">
        <v>0</v>
      </c>
      <c r="E242" s="8">
        <v>0</v>
      </c>
      <c r="F242" s="8">
        <v>0</v>
      </c>
      <c r="G242" s="30">
        <f t="shared" si="209"/>
        <v>2400</v>
      </c>
      <c r="H242" s="8">
        <v>25000</v>
      </c>
      <c r="I242" s="30">
        <f t="shared" si="210"/>
        <v>5000</v>
      </c>
      <c r="J242" s="8">
        <v>25000</v>
      </c>
      <c r="K242" s="30">
        <f t="shared" si="211"/>
        <v>5000</v>
      </c>
      <c r="L242" s="8">
        <v>25000</v>
      </c>
      <c r="M242" s="9">
        <f>VLOOKUP(DATE(YEAR(A242),MONTH(A242),DAY(A242)),FY24_Temp[],4,FALSE)</f>
        <v>8.4</v>
      </c>
      <c r="N242" s="9">
        <f>VLOOKUP(DATE(YEAR(A242),MONTH(A242),DAY(A242)),FY24_Temp[],3,FALSE)</f>
        <v>12.8</v>
      </c>
      <c r="O242" s="9">
        <v>13</v>
      </c>
      <c r="P242" s="9">
        <v>19.5</v>
      </c>
      <c r="Q242" s="79">
        <f>VLOOKUP(VLOOKUP(DATEVALUE(TEXT(A242,"m/d/yyyy")),FY24_Temp[],5,FALSE)&amp;TEXT(A242,"-h"),Table6[],4,FALSE)</f>
        <v>0.5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VLOOKUP(TEXT(A242,"yy-mm")&amp;"-"&amp;IF(AND(WEEKDAY(A242)&gt;1,WEEKDAY(A242)&lt;7),"Wkd",TEXT(A242,"Ddd"))&amp;"-"&amp;TEXT(A242,"hh"),LoadTable[],5,FALSE)*0.92</f>
        <v>342.93920000000003</v>
      </c>
      <c r="U242" s="104">
        <f>VLOOKUP(TEXT(A242,"yy-mm")&amp;"-"&amp;IF(AND(WEEKDAY(A242)&gt;1,WEEKDAY(A242)&lt;7),"Wkd",TEXT(A242,"Ddd"))&amp;"-"&amp;TEXT(A242,"hh"),LoadTable[],6,FALSE)*T242</f>
        <v>19873.669579200003</v>
      </c>
      <c r="V242">
        <f t="shared" ref="V242:W242" si="234">V218</f>
        <v>3.6</v>
      </c>
      <c r="W242">
        <f t="shared" si="234"/>
        <v>3.1</v>
      </c>
      <c r="X242" s="9">
        <v>2.8434271999999998</v>
      </c>
    </row>
    <row r="243" spans="1:24">
      <c r="A243" s="29">
        <f t="shared" si="184"/>
        <v>45845.999999999418</v>
      </c>
      <c r="B243" s="30">
        <f t="shared" si="208"/>
        <v>5000</v>
      </c>
      <c r="C243" s="8">
        <v>25000</v>
      </c>
      <c r="D243" s="8">
        <v>0</v>
      </c>
      <c r="E243" s="8">
        <v>0</v>
      </c>
      <c r="F243" s="8">
        <v>0</v>
      </c>
      <c r="G243" s="30">
        <f t="shared" si="209"/>
        <v>2400</v>
      </c>
      <c r="H243" s="8">
        <v>25000</v>
      </c>
      <c r="I243" s="30">
        <f t="shared" si="210"/>
        <v>5000</v>
      </c>
      <c r="J243" s="8">
        <v>25000</v>
      </c>
      <c r="K243" s="30">
        <f t="shared" si="211"/>
        <v>5000</v>
      </c>
      <c r="L243" s="8">
        <v>25000</v>
      </c>
      <c r="M243" s="9">
        <f>VLOOKUP(DATE(YEAR(A243),MONTH(A243),DAY(A243)),FY24_Temp[],4,FALSE)</f>
        <v>8.4</v>
      </c>
      <c r="N243" s="9">
        <f>VLOOKUP(DATE(YEAR(A243),MONTH(A243),DAY(A243)),FY24_Temp[],3,FALSE)</f>
        <v>12.8</v>
      </c>
      <c r="O243" s="9">
        <v>13</v>
      </c>
      <c r="P243" s="9">
        <v>19.5</v>
      </c>
      <c r="Q243" s="79">
        <f>VLOOKUP(VLOOKUP(DATEVALUE(TEXT(A243,"m/d/yyyy")),FY24_Temp[],5,FALSE)&amp;TEXT(A243,"-h"),Table6[],4,FALSE)</f>
        <v>0.5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VLOOKUP(TEXT(A243,"yy-mm")&amp;"-"&amp;IF(AND(WEEKDAY(A243)&gt;1,WEEKDAY(A243)&lt;7),"Wkd",TEXT(A243,"Ddd"))&amp;"-"&amp;TEXT(A243,"hh"),LoadTable[],5,FALSE)*0.92</f>
        <v>279.25312000000002</v>
      </c>
      <c r="U243" s="104">
        <f>VLOOKUP(TEXT(A243,"yy-mm")&amp;"-"&amp;IF(AND(WEEKDAY(A243)&gt;1,WEEKDAY(A243)&lt;7),"Wkd",TEXT(A243,"Ddd"))&amp;"-"&amp;TEXT(A243,"hh"),LoadTable[],6,FALSE)*T243</f>
        <v>14895.640673920001</v>
      </c>
      <c r="V243">
        <f t="shared" ref="V243:W243" si="235">V219</f>
        <v>3</v>
      </c>
      <c r="W243">
        <f t="shared" si="235"/>
        <v>3.2</v>
      </c>
      <c r="X243" s="9">
        <v>2.7516291000000002</v>
      </c>
    </row>
    <row r="244" spans="1:24">
      <c r="A244" s="29">
        <f t="shared" si="184"/>
        <v>45846.041666666082</v>
      </c>
      <c r="B244" s="30">
        <f t="shared" si="208"/>
        <v>5000</v>
      </c>
      <c r="C244" s="8">
        <v>25000</v>
      </c>
      <c r="D244" s="8">
        <v>0</v>
      </c>
      <c r="E244" s="8">
        <v>0</v>
      </c>
      <c r="F244" s="8">
        <v>0</v>
      </c>
      <c r="G244" s="30">
        <f t="shared" si="209"/>
        <v>2400</v>
      </c>
      <c r="H244" s="8">
        <v>25000</v>
      </c>
      <c r="I244" s="30">
        <f t="shared" si="210"/>
        <v>5000</v>
      </c>
      <c r="J244" s="8">
        <v>25000</v>
      </c>
      <c r="K244" s="30">
        <f t="shared" si="211"/>
        <v>5000</v>
      </c>
      <c r="L244" s="8">
        <v>25000</v>
      </c>
      <c r="M244" s="9">
        <f>VLOOKUP(DATE(YEAR(A244),MONTH(A244),DAY(A244)),FY24_Temp[],4,FALSE)</f>
        <v>8.4</v>
      </c>
      <c r="N244" s="9">
        <f>VLOOKUP(DATE(YEAR(A244),MONTH(A244),DAY(A244)),FY24_Temp[],3,FALSE)</f>
        <v>12.8</v>
      </c>
      <c r="O244" s="9">
        <v>13</v>
      </c>
      <c r="P244" s="9">
        <v>19.5</v>
      </c>
      <c r="Q244" s="79">
        <f>VLOOKUP(VLOOKUP(DATEVALUE(TEXT(A244,"m/d/yyyy")),FY24_Temp[],5,FALSE)&amp;TEXT(A244,"-h"),Table6[],4,FALSE)</f>
        <v>0.5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VLOOKUP(TEXT(A244,"yy-mm")&amp;"-"&amp;IF(AND(WEEKDAY(A244)&gt;1,WEEKDAY(A244)&lt;7),"Wkd",TEXT(A244,"Ddd"))&amp;"-"&amp;TEXT(A244,"hh"),LoadTable[],5,FALSE)*0.92</f>
        <v>279.25312000000002</v>
      </c>
      <c r="U244" s="104">
        <f>VLOOKUP(TEXT(A244,"yy-mm")&amp;"-"&amp;IF(AND(WEEKDAY(A244)&gt;1,WEEKDAY(A244)&lt;7),"Wkd",TEXT(A244,"Ddd"))&amp;"-"&amp;TEXT(A244,"hh"),LoadTable[],6,FALSE)*T244</f>
        <v>14470.896678400002</v>
      </c>
      <c r="V244">
        <f t="shared" ref="V244:W244" si="236">V220</f>
        <v>2.6</v>
      </c>
      <c r="W244">
        <f t="shared" si="236"/>
        <v>3.2</v>
      </c>
      <c r="X244" s="9">
        <v>2.6794856</v>
      </c>
    </row>
    <row r="245" spans="1:24">
      <c r="A245" s="29">
        <f t="shared" si="184"/>
        <v>45846.083333332746</v>
      </c>
      <c r="B245" s="30">
        <f t="shared" si="208"/>
        <v>5000</v>
      </c>
      <c r="C245" s="8">
        <v>25000</v>
      </c>
      <c r="D245" s="8">
        <v>0</v>
      </c>
      <c r="E245" s="8">
        <v>0</v>
      </c>
      <c r="F245" s="8">
        <v>0</v>
      </c>
      <c r="G245" s="30">
        <f t="shared" si="209"/>
        <v>2400</v>
      </c>
      <c r="H245" s="8">
        <v>25000</v>
      </c>
      <c r="I245" s="30">
        <f t="shared" si="210"/>
        <v>5000</v>
      </c>
      <c r="J245" s="8">
        <v>25000</v>
      </c>
      <c r="K245" s="30">
        <f t="shared" si="211"/>
        <v>5000</v>
      </c>
      <c r="L245" s="8">
        <v>25000</v>
      </c>
      <c r="M245" s="9">
        <f>VLOOKUP(DATE(YEAR(A245),MONTH(A245),DAY(A245)),FY24_Temp[],4,FALSE)</f>
        <v>8.4</v>
      </c>
      <c r="N245" s="9">
        <f>VLOOKUP(DATE(YEAR(A245),MONTH(A245),DAY(A245)),FY24_Temp[],3,FALSE)</f>
        <v>12.8</v>
      </c>
      <c r="O245" s="9">
        <v>13</v>
      </c>
      <c r="P245" s="9">
        <v>19.5</v>
      </c>
      <c r="Q245" s="79">
        <f>VLOOKUP(VLOOKUP(DATEVALUE(TEXT(A245,"m/d/yyyy")),FY24_Temp[],5,FALSE)&amp;TEXT(A245,"-h"),Table6[],4,FALSE)</f>
        <v>0.5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VLOOKUP(TEXT(A245,"yy-mm")&amp;"-"&amp;IF(AND(WEEKDAY(A245)&gt;1,WEEKDAY(A245)&lt;7),"Wkd",TEXT(A245,"Ddd"))&amp;"-"&amp;TEXT(A245,"hh"),LoadTable[],5,FALSE)*0.92</f>
        <v>279.25312000000002</v>
      </c>
      <c r="U245" s="104">
        <f>VLOOKUP(TEXT(A245,"yy-mm")&amp;"-"&amp;IF(AND(WEEKDAY(A245)&gt;1,WEEKDAY(A245)&lt;7),"Wkd",TEXT(A245,"Ddd"))&amp;"-"&amp;TEXT(A245,"hh"),LoadTable[],6,FALSE)*T245</f>
        <v>14154.50289344</v>
      </c>
      <c r="V245">
        <f t="shared" ref="V245:W245" si="237">V221</f>
        <v>2.8</v>
      </c>
      <c r="W245">
        <f t="shared" si="237"/>
        <v>3.2</v>
      </c>
      <c r="X245" s="9">
        <v>2.7662244</v>
      </c>
    </row>
    <row r="246" spans="1:24">
      <c r="A246" s="29">
        <f t="shared" si="184"/>
        <v>45846.124999999411</v>
      </c>
      <c r="B246" s="30">
        <f t="shared" si="208"/>
        <v>5000</v>
      </c>
      <c r="C246" s="8">
        <v>25000</v>
      </c>
      <c r="D246" s="8">
        <v>0</v>
      </c>
      <c r="E246" s="8">
        <v>0</v>
      </c>
      <c r="F246" s="8">
        <v>0</v>
      </c>
      <c r="G246" s="30">
        <f t="shared" si="209"/>
        <v>2400</v>
      </c>
      <c r="H246" s="8">
        <v>25000</v>
      </c>
      <c r="I246" s="30">
        <f t="shared" si="210"/>
        <v>5000</v>
      </c>
      <c r="J246" s="8">
        <v>25000</v>
      </c>
      <c r="K246" s="30">
        <f t="shared" si="211"/>
        <v>5000</v>
      </c>
      <c r="L246" s="8">
        <v>25000</v>
      </c>
      <c r="M246" s="9">
        <f>VLOOKUP(DATE(YEAR(A246),MONTH(A246),DAY(A246)),FY24_Temp[],4,FALSE)</f>
        <v>8.4</v>
      </c>
      <c r="N246" s="9">
        <f>VLOOKUP(DATE(YEAR(A246),MONTH(A246),DAY(A246)),FY24_Temp[],3,FALSE)</f>
        <v>12.8</v>
      </c>
      <c r="O246" s="9">
        <v>13</v>
      </c>
      <c r="P246" s="9">
        <v>19.5</v>
      </c>
      <c r="Q246" s="79">
        <f>VLOOKUP(VLOOKUP(DATEVALUE(TEXT(A246,"m/d/yyyy")),FY24_Temp[],5,FALSE)&amp;TEXT(A246,"-h"),Table6[],4,FALSE)</f>
        <v>0.5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VLOOKUP(TEXT(A246,"yy-mm")&amp;"-"&amp;IF(AND(WEEKDAY(A246)&gt;1,WEEKDAY(A246)&lt;7),"Wkd",TEXT(A246,"Ddd"))&amp;"-"&amp;TEXT(A246,"hh"),LoadTable[],5,FALSE)*0.92</f>
        <v>279.25312000000002</v>
      </c>
      <c r="U246" s="104">
        <f>VLOOKUP(TEXT(A246,"yy-mm")&amp;"-"&amp;IF(AND(WEEKDAY(A246)&gt;1,WEEKDAY(A246)&lt;7),"Wkd",TEXT(A246,"Ddd"))&amp;"-"&amp;TEXT(A246,"hh"),LoadTable[],6,FALSE)*T246</f>
        <v>14206.443973760001</v>
      </c>
      <c r="V246">
        <f t="shared" ref="V246:W246" si="238">V222</f>
        <v>2.7</v>
      </c>
      <c r="W246">
        <f t="shared" si="238"/>
        <v>3.2</v>
      </c>
      <c r="X246" s="9">
        <v>2.8359562999999999</v>
      </c>
    </row>
    <row r="247" spans="1:24">
      <c r="A247" s="29">
        <f t="shared" si="184"/>
        <v>45846.166666666075</v>
      </c>
      <c r="B247" s="30">
        <f t="shared" si="208"/>
        <v>5000</v>
      </c>
      <c r="C247" s="8">
        <v>25000</v>
      </c>
      <c r="D247" s="8">
        <v>0</v>
      </c>
      <c r="E247" s="8">
        <v>0</v>
      </c>
      <c r="F247" s="8">
        <v>0</v>
      </c>
      <c r="G247" s="30">
        <f t="shared" si="209"/>
        <v>2400</v>
      </c>
      <c r="H247" s="8">
        <v>25000</v>
      </c>
      <c r="I247" s="30">
        <f t="shared" si="210"/>
        <v>5000</v>
      </c>
      <c r="J247" s="8">
        <v>25000</v>
      </c>
      <c r="K247" s="30">
        <f t="shared" si="211"/>
        <v>5000</v>
      </c>
      <c r="L247" s="8">
        <v>25000</v>
      </c>
      <c r="M247" s="9">
        <f>VLOOKUP(DATE(YEAR(A247),MONTH(A247),DAY(A247)),FY24_Temp[],4,FALSE)</f>
        <v>8.4</v>
      </c>
      <c r="N247" s="9">
        <f>VLOOKUP(DATE(YEAR(A247),MONTH(A247),DAY(A247)),FY24_Temp[],3,FALSE)</f>
        <v>12.8</v>
      </c>
      <c r="O247" s="9">
        <v>13</v>
      </c>
      <c r="P247" s="9">
        <v>19.5</v>
      </c>
      <c r="Q247" s="79">
        <f>VLOOKUP(VLOOKUP(DATEVALUE(TEXT(A247,"m/d/yyyy")),FY24_Temp[],5,FALSE)&amp;TEXT(A247,"-h"),Table6[],4,FALSE)</f>
        <v>0.5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VLOOKUP(TEXT(A247,"yy-mm")&amp;"-"&amp;IF(AND(WEEKDAY(A247)&gt;1,WEEKDAY(A247)&lt;7),"Wkd",TEXT(A247,"Ddd"))&amp;"-"&amp;TEXT(A247,"hh"),LoadTable[],5,FALSE)*0.92</f>
        <v>279.25312000000002</v>
      </c>
      <c r="U247" s="104">
        <f>VLOOKUP(TEXT(A247,"yy-mm")&amp;"-"&amp;IF(AND(WEEKDAY(A247)&gt;1,WEEKDAY(A247)&lt;7),"Wkd",TEXT(A247,"Ddd"))&amp;"-"&amp;TEXT(A247,"hh"),LoadTable[],6,FALSE)*T247</f>
        <v>14229.063476480002</v>
      </c>
      <c r="V247">
        <f t="shared" ref="V247:W247" si="239">V223</f>
        <v>3</v>
      </c>
      <c r="W247">
        <f t="shared" si="239"/>
        <v>3.1</v>
      </c>
      <c r="X247" s="9">
        <v>2.8705478000000002</v>
      </c>
    </row>
    <row r="248" spans="1:24">
      <c r="A248" s="29">
        <f t="shared" si="184"/>
        <v>45846.208333332739</v>
      </c>
      <c r="B248" s="30">
        <f t="shared" si="208"/>
        <v>5000</v>
      </c>
      <c r="C248" s="8">
        <v>25000</v>
      </c>
      <c r="D248" s="8">
        <v>0</v>
      </c>
      <c r="E248" s="8">
        <v>0</v>
      </c>
      <c r="F248" s="8">
        <v>0</v>
      </c>
      <c r="G248" s="30">
        <f t="shared" si="209"/>
        <v>2400</v>
      </c>
      <c r="H248" s="8">
        <v>25000</v>
      </c>
      <c r="I248" s="30">
        <f t="shared" si="210"/>
        <v>5000</v>
      </c>
      <c r="J248" s="8">
        <v>25000</v>
      </c>
      <c r="K248" s="30">
        <f t="shared" si="211"/>
        <v>5000</v>
      </c>
      <c r="L248" s="8">
        <v>25000</v>
      </c>
      <c r="M248" s="9">
        <f>VLOOKUP(DATE(YEAR(A248),MONTH(A248),DAY(A248)),FY24_Temp[],4,FALSE)</f>
        <v>8.4</v>
      </c>
      <c r="N248" s="9">
        <f>VLOOKUP(DATE(YEAR(A248),MONTH(A248),DAY(A248)),FY24_Temp[],3,FALSE)</f>
        <v>12.8</v>
      </c>
      <c r="O248" s="9">
        <v>13</v>
      </c>
      <c r="P248" s="9">
        <v>19.5</v>
      </c>
      <c r="Q248" s="79">
        <f>VLOOKUP(VLOOKUP(DATEVALUE(TEXT(A248,"m/d/yyyy")),FY24_Temp[],5,FALSE)&amp;TEXT(A248,"-h"),Table6[],4,FALSE)</f>
        <v>0.5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VLOOKUP(TEXT(A248,"yy-mm")&amp;"-"&amp;IF(AND(WEEKDAY(A248)&gt;1,WEEKDAY(A248)&lt;7),"Wkd",TEXT(A248,"Ddd"))&amp;"-"&amp;TEXT(A248,"hh"),LoadTable[],5,FALSE)*0.92</f>
        <v>279.25312000000002</v>
      </c>
      <c r="U248" s="104">
        <f>VLOOKUP(TEXT(A248,"yy-mm")&amp;"-"&amp;IF(AND(WEEKDAY(A248)&gt;1,WEEKDAY(A248)&lt;7),"Wkd",TEXT(A248,"Ddd"))&amp;"-"&amp;TEXT(A248,"hh"),LoadTable[],6,FALSE)*T248</f>
        <v>14735.070129920001</v>
      </c>
      <c r="V248">
        <f t="shared" ref="V248:W248" si="240">V224</f>
        <v>2.9</v>
      </c>
      <c r="W248">
        <f t="shared" si="240"/>
        <v>3.1</v>
      </c>
      <c r="X248" s="9">
        <v>2.9514463000000002</v>
      </c>
    </row>
    <row r="249" spans="1:24">
      <c r="A249" s="29">
        <f t="shared" si="184"/>
        <v>45846.249999999403</v>
      </c>
      <c r="B249" s="30">
        <f t="shared" si="208"/>
        <v>8000</v>
      </c>
      <c r="C249" s="8">
        <v>25000</v>
      </c>
      <c r="D249" s="8">
        <v>0</v>
      </c>
      <c r="E249" s="8">
        <v>0</v>
      </c>
      <c r="F249" s="8">
        <v>0</v>
      </c>
      <c r="G249" s="30">
        <f t="shared" si="209"/>
        <v>2400</v>
      </c>
      <c r="H249" s="8">
        <v>25000</v>
      </c>
      <c r="I249" s="30">
        <f t="shared" si="210"/>
        <v>8000</v>
      </c>
      <c r="J249" s="8">
        <v>25000</v>
      </c>
      <c r="K249" s="30">
        <f t="shared" si="211"/>
        <v>8000</v>
      </c>
      <c r="L249" s="8">
        <v>25000</v>
      </c>
      <c r="M249" s="9">
        <f>VLOOKUP(DATE(YEAR(A249),MONTH(A249),DAY(A249)),FY24_Temp[],4,FALSE)</f>
        <v>8.4</v>
      </c>
      <c r="N249" s="9">
        <f>VLOOKUP(DATE(YEAR(A249),MONTH(A249),DAY(A249)),FY24_Temp[],3,FALSE)</f>
        <v>12.8</v>
      </c>
      <c r="O249" s="9">
        <v>13</v>
      </c>
      <c r="P249" s="9">
        <v>19.5</v>
      </c>
      <c r="Q249" s="79">
        <f>VLOOKUP(VLOOKUP(DATEVALUE(TEXT(A249,"m/d/yyyy")),FY24_Temp[],5,FALSE)&amp;TEXT(A249,"-h"),Table6[],4,FALSE)</f>
        <v>0.5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VLOOKUP(TEXT(A249,"yy-mm")&amp;"-"&amp;IF(AND(WEEKDAY(A249)&gt;1,WEEKDAY(A249)&lt;7),"Wkd",TEXT(A249,"Ddd"))&amp;"-"&amp;TEXT(A249,"hh"),LoadTable[],5,FALSE)*0.92</f>
        <v>279.25312000000002</v>
      </c>
      <c r="U249" s="104">
        <f>VLOOKUP(TEXT(A249,"yy-mm")&amp;"-"&amp;IF(AND(WEEKDAY(A249)&gt;1,WEEKDAY(A249)&lt;7),"Wkd",TEXT(A249,"Ddd"))&amp;"-"&amp;TEXT(A249,"hh"),LoadTable[],6,FALSE)*T249</f>
        <v>26238.902408320002</v>
      </c>
      <c r="V249">
        <f t="shared" ref="V249:W249" si="241">V225</f>
        <v>2.5</v>
      </c>
      <c r="W249">
        <f t="shared" si="241"/>
        <v>3.1</v>
      </c>
      <c r="X249" s="9">
        <v>3.0794852000000001</v>
      </c>
    </row>
    <row r="250" spans="1:24">
      <c r="A250" s="29">
        <f t="shared" si="184"/>
        <v>45846.291666666068</v>
      </c>
      <c r="B250" s="30">
        <f t="shared" si="208"/>
        <v>8000</v>
      </c>
      <c r="C250" s="8">
        <v>25000</v>
      </c>
      <c r="D250" s="8">
        <v>0</v>
      </c>
      <c r="E250" s="8">
        <v>0</v>
      </c>
      <c r="F250" s="8">
        <v>0</v>
      </c>
      <c r="G250" s="30">
        <f t="shared" si="209"/>
        <v>2400</v>
      </c>
      <c r="H250" s="8">
        <v>25000</v>
      </c>
      <c r="I250" s="30">
        <f t="shared" si="210"/>
        <v>8000</v>
      </c>
      <c r="J250" s="8">
        <v>25000</v>
      </c>
      <c r="K250" s="30">
        <f t="shared" si="211"/>
        <v>8000</v>
      </c>
      <c r="L250" s="8">
        <v>25000</v>
      </c>
      <c r="M250" s="9">
        <f>VLOOKUP(DATE(YEAR(A250),MONTH(A250),DAY(A250)),FY24_Temp[],4,FALSE)</f>
        <v>8.4</v>
      </c>
      <c r="N250" s="9">
        <f>VLOOKUP(DATE(YEAR(A250),MONTH(A250),DAY(A250)),FY24_Temp[],3,FALSE)</f>
        <v>12.8</v>
      </c>
      <c r="O250" s="9">
        <v>13</v>
      </c>
      <c r="P250" s="9">
        <v>19.5</v>
      </c>
      <c r="Q250" s="79">
        <f>VLOOKUP(VLOOKUP(DATEVALUE(TEXT(A250,"m/d/yyyy")),FY24_Temp[],5,FALSE)&amp;TEXT(A250,"-h"),Table6[],4,FALSE)</f>
        <v>0.5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VLOOKUP(TEXT(A250,"yy-mm")&amp;"-"&amp;IF(AND(WEEKDAY(A250)&gt;1,WEEKDAY(A250)&lt;7),"Wkd",TEXT(A250,"Ddd"))&amp;"-"&amp;TEXT(A250,"hh"),LoadTable[],5,FALSE)*0.92</f>
        <v>279.25312000000002</v>
      </c>
      <c r="U250" s="104">
        <f>VLOOKUP(TEXT(A250,"yy-mm")&amp;"-"&amp;IF(AND(WEEKDAY(A250)&gt;1,WEEKDAY(A250)&lt;7),"Wkd",TEXT(A250,"Ddd"))&amp;"-"&amp;TEXT(A250,"hh"),LoadTable[],6,FALSE)*T250</f>
        <v>22145.051669120003</v>
      </c>
      <c r="V250">
        <f t="shared" ref="V250:W250" si="242">V226</f>
        <v>2.5</v>
      </c>
      <c r="W250">
        <f t="shared" si="242"/>
        <v>3.1</v>
      </c>
      <c r="X250" s="9">
        <v>3.2254269</v>
      </c>
    </row>
    <row r="251" spans="1:24">
      <c r="A251" s="29">
        <f t="shared" si="184"/>
        <v>45846.333333332732</v>
      </c>
      <c r="B251" s="30">
        <f t="shared" si="208"/>
        <v>8000</v>
      </c>
      <c r="C251" s="8">
        <v>25000</v>
      </c>
      <c r="D251" s="8">
        <v>0</v>
      </c>
      <c r="E251" s="8">
        <v>0</v>
      </c>
      <c r="F251" s="8">
        <v>0</v>
      </c>
      <c r="G251" s="30">
        <f t="shared" si="209"/>
        <v>2400</v>
      </c>
      <c r="H251" s="8">
        <v>25000</v>
      </c>
      <c r="I251" s="30">
        <f t="shared" si="210"/>
        <v>8000</v>
      </c>
      <c r="J251" s="8">
        <v>25000</v>
      </c>
      <c r="K251" s="30">
        <f t="shared" si="211"/>
        <v>8000</v>
      </c>
      <c r="L251" s="8">
        <v>25000</v>
      </c>
      <c r="M251" s="9">
        <f>VLOOKUP(DATE(YEAR(A251),MONTH(A251),DAY(A251)),FY24_Temp[],4,FALSE)</f>
        <v>8.4</v>
      </c>
      <c r="N251" s="9">
        <f>VLOOKUP(DATE(YEAR(A251),MONTH(A251),DAY(A251)),FY24_Temp[],3,FALSE)</f>
        <v>12.8</v>
      </c>
      <c r="O251" s="9">
        <v>13</v>
      </c>
      <c r="P251" s="9">
        <v>19.5</v>
      </c>
      <c r="Q251" s="79">
        <f>VLOOKUP(VLOOKUP(DATEVALUE(TEXT(A251,"m/d/yyyy")),FY24_Temp[],5,FALSE)&amp;TEXT(A251,"-h"),Table6[],4,FALSE)</f>
        <v>0.5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VLOOKUP(TEXT(A251,"yy-mm")&amp;"-"&amp;IF(AND(WEEKDAY(A251)&gt;1,WEEKDAY(A251)&lt;7),"Wkd",TEXT(A251,"Ddd"))&amp;"-"&amp;TEXT(A251,"hh"),LoadTable[],5,FALSE)*0.92</f>
        <v>279.25312000000002</v>
      </c>
      <c r="U251" s="104">
        <f>VLOOKUP(TEXT(A251,"yy-mm")&amp;"-"&amp;IF(AND(WEEKDAY(A251)&gt;1,WEEKDAY(A251)&lt;7),"Wkd",TEXT(A251,"Ddd"))&amp;"-"&amp;TEXT(A251,"hh"),LoadTable[],6,FALSE)*T251</f>
        <v>17686.77560832</v>
      </c>
      <c r="V251">
        <f t="shared" ref="V251:W251" si="243">V227</f>
        <v>3.2</v>
      </c>
      <c r="W251">
        <f t="shared" si="243"/>
        <v>3</v>
      </c>
      <c r="X251" s="9">
        <v>3.2895110000000001</v>
      </c>
    </row>
    <row r="252" spans="1:24">
      <c r="A252" s="29">
        <f t="shared" si="184"/>
        <v>45846.374999999396</v>
      </c>
      <c r="B252" s="30">
        <f t="shared" si="208"/>
        <v>8000</v>
      </c>
      <c r="C252" s="8">
        <v>25000</v>
      </c>
      <c r="D252" s="8">
        <v>0</v>
      </c>
      <c r="E252" s="8">
        <v>0</v>
      </c>
      <c r="F252" s="8">
        <v>0</v>
      </c>
      <c r="G252" s="30">
        <f t="shared" si="209"/>
        <v>2400</v>
      </c>
      <c r="H252" s="8">
        <v>25000</v>
      </c>
      <c r="I252" s="30">
        <f t="shared" si="210"/>
        <v>8000</v>
      </c>
      <c r="J252" s="8">
        <v>25000</v>
      </c>
      <c r="K252" s="30">
        <f t="shared" si="211"/>
        <v>8000</v>
      </c>
      <c r="L252" s="8">
        <v>25000</v>
      </c>
      <c r="M252" s="9">
        <f>VLOOKUP(DATE(YEAR(A252),MONTH(A252),DAY(A252)),FY24_Temp[],4,FALSE)</f>
        <v>8.4</v>
      </c>
      <c r="N252" s="9">
        <f>VLOOKUP(DATE(YEAR(A252),MONTH(A252),DAY(A252)),FY24_Temp[],3,FALSE)</f>
        <v>12.8</v>
      </c>
      <c r="O252" s="9">
        <v>13</v>
      </c>
      <c r="P252" s="9">
        <v>19.5</v>
      </c>
      <c r="Q252" s="79">
        <f>VLOOKUP(VLOOKUP(DATEVALUE(TEXT(A252,"m/d/yyyy")),FY24_Temp[],5,FALSE)&amp;TEXT(A252,"-h"),Table6[],4,FALSE)</f>
        <v>0.5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VLOOKUP(TEXT(A252,"yy-mm")&amp;"-"&amp;IF(AND(WEEKDAY(A252)&gt;1,WEEKDAY(A252)&lt;7),"Wkd",TEXT(A252,"Ddd"))&amp;"-"&amp;TEXT(A252,"hh"),LoadTable[],5,FALSE)*0.92</f>
        <v>279.25312000000002</v>
      </c>
      <c r="U252" s="104">
        <f>VLOOKUP(TEXT(A252,"yy-mm")&amp;"-"&amp;IF(AND(WEEKDAY(A252)&gt;1,WEEKDAY(A252)&lt;7),"Wkd",TEXT(A252,"Ddd"))&amp;"-"&amp;TEXT(A252,"hh"),LoadTable[],6,FALSE)*T252</f>
        <v>14265.924888320002</v>
      </c>
      <c r="V252">
        <f t="shared" ref="V252:W252" si="244">V228</f>
        <v>2.9</v>
      </c>
      <c r="W252">
        <f t="shared" si="244"/>
        <v>3</v>
      </c>
      <c r="X252" s="9">
        <v>3.3267321999999999</v>
      </c>
    </row>
    <row r="253" spans="1:24">
      <c r="A253" s="29">
        <f t="shared" si="184"/>
        <v>45846.41666666606</v>
      </c>
      <c r="B253" s="30">
        <f t="shared" si="208"/>
        <v>8000</v>
      </c>
      <c r="C253" s="8">
        <v>25000</v>
      </c>
      <c r="D253" s="8">
        <v>0</v>
      </c>
      <c r="E253" s="8">
        <v>0</v>
      </c>
      <c r="F253" s="8">
        <v>0</v>
      </c>
      <c r="G253" s="30">
        <f t="shared" si="209"/>
        <v>2400</v>
      </c>
      <c r="H253" s="8">
        <v>25000</v>
      </c>
      <c r="I253" s="30">
        <f t="shared" si="210"/>
        <v>8000</v>
      </c>
      <c r="J253" s="8">
        <v>25000</v>
      </c>
      <c r="K253" s="30">
        <f t="shared" si="211"/>
        <v>8000</v>
      </c>
      <c r="L253" s="8">
        <v>25000</v>
      </c>
      <c r="M253" s="9">
        <f>VLOOKUP(DATE(YEAR(A253),MONTH(A253),DAY(A253)),FY24_Temp[],4,FALSE)</f>
        <v>8.4</v>
      </c>
      <c r="N253" s="9">
        <f>VLOOKUP(DATE(YEAR(A253),MONTH(A253),DAY(A253)),FY24_Temp[],3,FALSE)</f>
        <v>12.8</v>
      </c>
      <c r="O253" s="9">
        <v>13</v>
      </c>
      <c r="P253" s="9">
        <v>19.5</v>
      </c>
      <c r="Q253" s="79">
        <f>VLOOKUP(VLOOKUP(DATEVALUE(TEXT(A253,"m/d/yyyy")),FY24_Temp[],5,FALSE)&amp;TEXT(A253,"-h"),Table6[],4,FALSE)</f>
        <v>0.5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VLOOKUP(TEXT(A253,"yy-mm")&amp;"-"&amp;IF(AND(WEEKDAY(A253)&gt;1,WEEKDAY(A253)&lt;7),"Wkd",TEXT(A253,"Ddd"))&amp;"-"&amp;TEXT(A253,"hh"),LoadTable[],5,FALSE)*0.92</f>
        <v>279.25312000000002</v>
      </c>
      <c r="U253" s="104">
        <f>VLOOKUP(TEXT(A253,"yy-mm")&amp;"-"&amp;IF(AND(WEEKDAY(A253)&gt;1,WEEKDAY(A253)&lt;7),"Wkd",TEXT(A253,"Ddd"))&amp;"-"&amp;TEXT(A253,"hh"),LoadTable[],6,FALSE)*T253</f>
        <v>13649.054746240003</v>
      </c>
      <c r="V253">
        <f t="shared" ref="V253:W253" si="245">V229</f>
        <v>2.9</v>
      </c>
      <c r="W253">
        <f t="shared" si="245"/>
        <v>3</v>
      </c>
      <c r="X253" s="9">
        <v>3.3964669999999999</v>
      </c>
    </row>
    <row r="254" spans="1:24">
      <c r="A254" s="29">
        <f t="shared" si="184"/>
        <v>45846.458333332725</v>
      </c>
      <c r="B254" s="30">
        <f t="shared" si="208"/>
        <v>8000</v>
      </c>
      <c r="C254" s="8">
        <v>25000</v>
      </c>
      <c r="D254" s="8">
        <v>0</v>
      </c>
      <c r="E254" s="8">
        <v>0</v>
      </c>
      <c r="F254" s="8">
        <v>0</v>
      </c>
      <c r="G254" s="30">
        <f t="shared" si="209"/>
        <v>2400</v>
      </c>
      <c r="H254" s="8">
        <v>25000</v>
      </c>
      <c r="I254" s="30">
        <f t="shared" si="210"/>
        <v>8000</v>
      </c>
      <c r="J254" s="8">
        <v>25000</v>
      </c>
      <c r="K254" s="30">
        <f t="shared" si="211"/>
        <v>8000</v>
      </c>
      <c r="L254" s="8">
        <v>25000</v>
      </c>
      <c r="M254" s="9">
        <f>VLOOKUP(DATE(YEAR(A254),MONTH(A254),DAY(A254)),FY24_Temp[],4,FALSE)</f>
        <v>8.4</v>
      </c>
      <c r="N254" s="9">
        <f>VLOOKUP(DATE(YEAR(A254),MONTH(A254),DAY(A254)),FY24_Temp[],3,FALSE)</f>
        <v>12.8</v>
      </c>
      <c r="O254" s="9">
        <v>13</v>
      </c>
      <c r="P254" s="9">
        <v>19.5</v>
      </c>
      <c r="Q254" s="79">
        <f>VLOOKUP(VLOOKUP(DATEVALUE(TEXT(A254,"m/d/yyyy")),FY24_Temp[],5,FALSE)&amp;TEXT(A254,"-h"),Table6[],4,FALSE)</f>
        <v>0.5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VLOOKUP(TEXT(A254,"yy-mm")&amp;"-"&amp;IF(AND(WEEKDAY(A254)&gt;1,WEEKDAY(A254)&lt;7),"Wkd",TEXT(A254,"Ddd"))&amp;"-"&amp;TEXT(A254,"hh"),LoadTable[],5,FALSE)*0.92</f>
        <v>279.25312000000002</v>
      </c>
      <c r="U254" s="104">
        <f>VLOOKUP(TEXT(A254,"yy-mm")&amp;"-"&amp;IF(AND(WEEKDAY(A254)&gt;1,WEEKDAY(A254)&lt;7),"Wkd",TEXT(A254,"Ddd"))&amp;"-"&amp;TEXT(A254,"hh"),LoadTable[],6,FALSE)*T254</f>
        <v>13153.938964480001</v>
      </c>
      <c r="V254">
        <f t="shared" ref="V254:W254" si="246">V230</f>
        <v>3.4</v>
      </c>
      <c r="W254">
        <f t="shared" si="246"/>
        <v>3</v>
      </c>
      <c r="X254" s="9">
        <v>3.3461916</v>
      </c>
    </row>
    <row r="255" spans="1:24">
      <c r="A255" s="29">
        <f t="shared" si="184"/>
        <v>45846.499999999389</v>
      </c>
      <c r="B255" s="30">
        <f t="shared" si="208"/>
        <v>8000</v>
      </c>
      <c r="C255" s="8">
        <v>25000</v>
      </c>
      <c r="D255" s="8">
        <v>0</v>
      </c>
      <c r="E255" s="8">
        <v>0</v>
      </c>
      <c r="F255" s="8">
        <v>0</v>
      </c>
      <c r="G255" s="30">
        <f t="shared" si="209"/>
        <v>2400</v>
      </c>
      <c r="H255" s="8">
        <v>25000</v>
      </c>
      <c r="I255" s="30">
        <f t="shared" si="210"/>
        <v>8000</v>
      </c>
      <c r="J255" s="8">
        <v>25000</v>
      </c>
      <c r="K255" s="30">
        <f t="shared" si="211"/>
        <v>8000</v>
      </c>
      <c r="L255" s="8">
        <v>25000</v>
      </c>
      <c r="M255" s="9">
        <f>VLOOKUP(DATE(YEAR(A255),MONTH(A255),DAY(A255)),FY24_Temp[],4,FALSE)</f>
        <v>8.4</v>
      </c>
      <c r="N255" s="9">
        <f>VLOOKUP(DATE(YEAR(A255),MONTH(A255),DAY(A255)),FY24_Temp[],3,FALSE)</f>
        <v>12.8</v>
      </c>
      <c r="O255" s="9">
        <v>13</v>
      </c>
      <c r="P255" s="9">
        <v>19.5</v>
      </c>
      <c r="Q255" s="79">
        <f>VLOOKUP(VLOOKUP(DATEVALUE(TEXT(A255,"m/d/yyyy")),FY24_Temp[],5,FALSE)&amp;TEXT(A255,"-h"),Table6[],4,FALSE)</f>
        <v>0.5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VLOOKUP(TEXT(A255,"yy-mm")&amp;"-"&amp;IF(AND(WEEKDAY(A255)&gt;1,WEEKDAY(A255)&lt;7),"Wkd",TEXT(A255,"Ddd"))&amp;"-"&amp;TEXT(A255,"hh"),LoadTable[],5,FALSE)*0.92</f>
        <v>279.25312000000002</v>
      </c>
      <c r="U255" s="104">
        <f>VLOOKUP(TEXT(A255,"yy-mm")&amp;"-"&amp;IF(AND(WEEKDAY(A255)&gt;1,WEEKDAY(A255)&lt;7),"Wkd",TEXT(A255,"Ddd"))&amp;"-"&amp;TEXT(A255,"hh"),LoadTable[],6,FALSE)*T255</f>
        <v>13898.427782400002</v>
      </c>
      <c r="V255">
        <f t="shared" ref="V255:W255" si="247">V231</f>
        <v>3.1</v>
      </c>
      <c r="W255">
        <f t="shared" si="247"/>
        <v>2.9</v>
      </c>
      <c r="X255" s="9">
        <v>3.2189212</v>
      </c>
    </row>
    <row r="256" spans="1:24">
      <c r="A256" s="29">
        <f t="shared" si="184"/>
        <v>45846.541666666053</v>
      </c>
      <c r="B256" s="30">
        <f t="shared" si="208"/>
        <v>8000</v>
      </c>
      <c r="C256" s="8">
        <v>25000</v>
      </c>
      <c r="D256" s="8">
        <v>0</v>
      </c>
      <c r="E256" s="8">
        <v>0</v>
      </c>
      <c r="F256" s="8">
        <v>0</v>
      </c>
      <c r="G256" s="30">
        <f t="shared" si="209"/>
        <v>2400</v>
      </c>
      <c r="H256" s="8">
        <v>25000</v>
      </c>
      <c r="I256" s="30">
        <f t="shared" si="210"/>
        <v>8000</v>
      </c>
      <c r="J256" s="8">
        <v>25000</v>
      </c>
      <c r="K256" s="30">
        <f t="shared" si="211"/>
        <v>8000</v>
      </c>
      <c r="L256" s="8">
        <v>25000</v>
      </c>
      <c r="M256" s="9">
        <f>VLOOKUP(DATE(YEAR(A256),MONTH(A256),DAY(A256)),FY24_Temp[],4,FALSE)</f>
        <v>8.4</v>
      </c>
      <c r="N256" s="9">
        <f>VLOOKUP(DATE(YEAR(A256),MONTH(A256),DAY(A256)),FY24_Temp[],3,FALSE)</f>
        <v>12.8</v>
      </c>
      <c r="O256" s="9">
        <v>13</v>
      </c>
      <c r="P256" s="9">
        <v>19.5</v>
      </c>
      <c r="Q256" s="79">
        <f>VLOOKUP(VLOOKUP(DATEVALUE(TEXT(A256,"m/d/yyyy")),FY24_Temp[],5,FALSE)&amp;TEXT(A256,"-h"),Table6[],4,FALSE)</f>
        <v>0.5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VLOOKUP(TEXT(A256,"yy-mm")&amp;"-"&amp;IF(AND(WEEKDAY(A256)&gt;1,WEEKDAY(A256)&lt;7),"Wkd",TEXT(A256,"Ddd"))&amp;"-"&amp;TEXT(A256,"hh"),LoadTable[],5,FALSE)*0.92</f>
        <v>279.25312000000002</v>
      </c>
      <c r="U256" s="104">
        <f>VLOOKUP(TEXT(A256,"yy-mm")&amp;"-"&amp;IF(AND(WEEKDAY(A256)&gt;1,WEEKDAY(A256)&lt;7),"Wkd",TEXT(A256,"Ddd"))&amp;"-"&amp;TEXT(A256,"hh"),LoadTable[],6,FALSE)*T256</f>
        <v>16526.1996416</v>
      </c>
      <c r="V256">
        <f t="shared" ref="V256:W256" si="248">V232</f>
        <v>3.2</v>
      </c>
      <c r="W256">
        <f t="shared" si="248"/>
        <v>2.9</v>
      </c>
      <c r="X256" s="9">
        <v>3.0349246999999999</v>
      </c>
    </row>
    <row r="257" spans="1:24">
      <c r="A257" s="29">
        <f t="shared" si="184"/>
        <v>45846.583333332717</v>
      </c>
      <c r="B257" s="30">
        <f t="shared" si="208"/>
        <v>8000</v>
      </c>
      <c r="C257" s="8">
        <v>25000</v>
      </c>
      <c r="D257" s="8">
        <v>0</v>
      </c>
      <c r="E257" s="8">
        <v>0</v>
      </c>
      <c r="F257" s="8">
        <v>0</v>
      </c>
      <c r="G257" s="30">
        <f t="shared" si="209"/>
        <v>2400</v>
      </c>
      <c r="H257" s="8">
        <v>25000</v>
      </c>
      <c r="I257" s="30">
        <f t="shared" si="210"/>
        <v>8000</v>
      </c>
      <c r="J257" s="8">
        <v>25000</v>
      </c>
      <c r="K257" s="30">
        <f t="shared" si="211"/>
        <v>8000</v>
      </c>
      <c r="L257" s="8">
        <v>25000</v>
      </c>
      <c r="M257" s="9">
        <f>VLOOKUP(DATE(YEAR(A257),MONTH(A257),DAY(A257)),FY24_Temp[],4,FALSE)</f>
        <v>8.4</v>
      </c>
      <c r="N257" s="9">
        <f>VLOOKUP(DATE(YEAR(A257),MONTH(A257),DAY(A257)),FY24_Temp[],3,FALSE)</f>
        <v>12.8</v>
      </c>
      <c r="O257" s="9">
        <v>13</v>
      </c>
      <c r="P257" s="9">
        <v>19.5</v>
      </c>
      <c r="Q257" s="79">
        <f>VLOOKUP(VLOOKUP(DATEVALUE(TEXT(A257,"m/d/yyyy")),FY24_Temp[],5,FALSE)&amp;TEXT(A257,"-h"),Table6[],4,FALSE)</f>
        <v>0.5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VLOOKUP(TEXT(A257,"yy-mm")&amp;"-"&amp;IF(AND(WEEKDAY(A257)&gt;1,WEEKDAY(A257)&lt;7),"Wkd",TEXT(A257,"Ddd"))&amp;"-"&amp;TEXT(A257,"hh"),LoadTable[],5,FALSE)*0.92</f>
        <v>373.26607999999999</v>
      </c>
      <c r="U257" s="104">
        <f>VLOOKUP(TEXT(A257,"yy-mm")&amp;"-"&amp;IF(AND(WEEKDAY(A257)&gt;1,WEEKDAY(A257)&lt;7),"Wkd",TEXT(A257,"Ddd"))&amp;"-"&amp;TEXT(A257,"hh"),LoadTable[],6,FALSE)*T257</f>
        <v>27132.338089119996</v>
      </c>
      <c r="V257">
        <f t="shared" ref="V257:W257" si="249">V233</f>
        <v>3.5</v>
      </c>
      <c r="W257">
        <f t="shared" si="249"/>
        <v>2.9</v>
      </c>
      <c r="X257" s="9">
        <v>3.0114291</v>
      </c>
    </row>
    <row r="258" spans="1:24">
      <c r="A258" s="29">
        <f t="shared" si="184"/>
        <v>45846.624999999382</v>
      </c>
      <c r="B258" s="30">
        <f t="shared" si="208"/>
        <v>8000</v>
      </c>
      <c r="C258" s="8">
        <v>25000</v>
      </c>
      <c r="D258" s="8">
        <v>0</v>
      </c>
      <c r="E258" s="8">
        <v>0</v>
      </c>
      <c r="F258" s="8">
        <v>0</v>
      </c>
      <c r="G258" s="30">
        <f t="shared" si="209"/>
        <v>2400</v>
      </c>
      <c r="H258" s="8">
        <v>25000</v>
      </c>
      <c r="I258" s="30">
        <f t="shared" si="210"/>
        <v>8000</v>
      </c>
      <c r="J258" s="8">
        <v>25000</v>
      </c>
      <c r="K258" s="30">
        <f t="shared" si="211"/>
        <v>8000</v>
      </c>
      <c r="L258" s="8">
        <v>25000</v>
      </c>
      <c r="M258" s="9">
        <f>VLOOKUP(DATE(YEAR(A258),MONTH(A258),DAY(A258)),FY24_Temp[],4,FALSE)</f>
        <v>8.4</v>
      </c>
      <c r="N258" s="9">
        <f>VLOOKUP(DATE(YEAR(A258),MONTH(A258),DAY(A258)),FY24_Temp[],3,FALSE)</f>
        <v>12.8</v>
      </c>
      <c r="O258" s="9">
        <v>13</v>
      </c>
      <c r="P258" s="9">
        <v>19.5</v>
      </c>
      <c r="Q258" s="79">
        <f>VLOOKUP(VLOOKUP(DATEVALUE(TEXT(A258,"m/d/yyyy")),FY24_Temp[],5,FALSE)&amp;TEXT(A258,"-h"),Table6[],4,FALSE)</f>
        <v>0.5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VLOOKUP(TEXT(A258,"yy-mm")&amp;"-"&amp;IF(AND(WEEKDAY(A258)&gt;1,WEEKDAY(A258)&lt;7),"Wkd",TEXT(A258,"Ddd"))&amp;"-"&amp;TEXT(A258,"hh"),LoadTable[],5,FALSE)*0.92</f>
        <v>494.57360000000006</v>
      </c>
      <c r="U258" s="104">
        <f>VLOOKUP(TEXT(A258,"yy-mm")&amp;"-"&amp;IF(AND(WEEKDAY(A258)&gt;1,WEEKDAY(A258)&lt;7),"Wkd",TEXT(A258,"Ddd"))&amp;"-"&amp;TEXT(A258,"hh"),LoadTable[],6,FALSE)*T258</f>
        <v>42310.771480000003</v>
      </c>
      <c r="V258">
        <f t="shared" ref="V258:W258" si="250">V234</f>
        <v>3.2</v>
      </c>
      <c r="W258">
        <f t="shared" si="250"/>
        <v>2.9</v>
      </c>
      <c r="X258" s="9">
        <v>3.3230886000000002</v>
      </c>
    </row>
    <row r="259" spans="1:24">
      <c r="A259" s="29">
        <f t="shared" si="184"/>
        <v>45846.666666666046</v>
      </c>
      <c r="B259" s="30">
        <f t="shared" si="208"/>
        <v>8000</v>
      </c>
      <c r="C259" s="8">
        <v>25000</v>
      </c>
      <c r="D259" s="8">
        <v>0</v>
      </c>
      <c r="E259" s="8">
        <v>0</v>
      </c>
      <c r="F259" s="8">
        <v>0</v>
      </c>
      <c r="G259" s="30">
        <f t="shared" si="209"/>
        <v>2400</v>
      </c>
      <c r="H259" s="8">
        <v>25000</v>
      </c>
      <c r="I259" s="30">
        <f t="shared" si="210"/>
        <v>8000</v>
      </c>
      <c r="J259" s="8">
        <v>25000</v>
      </c>
      <c r="K259" s="30">
        <f t="shared" si="211"/>
        <v>8000</v>
      </c>
      <c r="L259" s="8">
        <v>25000</v>
      </c>
      <c r="M259" s="9">
        <f>VLOOKUP(DATE(YEAR(A259),MONTH(A259),DAY(A259)),FY24_Temp[],4,FALSE)</f>
        <v>8.4</v>
      </c>
      <c r="N259" s="9">
        <f>VLOOKUP(DATE(YEAR(A259),MONTH(A259),DAY(A259)),FY24_Temp[],3,FALSE)</f>
        <v>12.8</v>
      </c>
      <c r="O259" s="9">
        <v>13</v>
      </c>
      <c r="P259" s="9">
        <v>19.5</v>
      </c>
      <c r="Q259" s="79">
        <f>VLOOKUP(VLOOKUP(DATEVALUE(TEXT(A259,"m/d/yyyy")),FY24_Temp[],5,FALSE)&amp;TEXT(A259,"-h"),Table6[],4,FALSE)</f>
        <v>0.5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VLOOKUP(TEXT(A259,"yy-mm")&amp;"-"&amp;IF(AND(WEEKDAY(A259)&gt;1,WEEKDAY(A259)&lt;7),"Wkd",TEXT(A259,"Ddd"))&amp;"-"&amp;TEXT(A259,"hh"),LoadTable[],5,FALSE)*0.92</f>
        <v>494.57360000000006</v>
      </c>
      <c r="U259" s="104">
        <f>VLOOKUP(TEXT(A259,"yy-mm")&amp;"-"&amp;IF(AND(WEEKDAY(A259)&gt;1,WEEKDAY(A259)&lt;7),"Wkd",TEXT(A259,"Ddd"))&amp;"-"&amp;TEXT(A259,"hh"),LoadTable[],6,FALSE)*T259</f>
        <v>50694.28857360001</v>
      </c>
      <c r="V259">
        <f t="shared" ref="V259:W259" si="251">V235</f>
        <v>3.5</v>
      </c>
      <c r="W259">
        <f t="shared" si="251"/>
        <v>3</v>
      </c>
      <c r="X259" s="9">
        <v>3.2168329</v>
      </c>
    </row>
    <row r="260" spans="1:24">
      <c r="A260" s="29">
        <f t="shared" si="184"/>
        <v>45846.70833333271</v>
      </c>
      <c r="B260" s="30">
        <f t="shared" si="208"/>
        <v>8000</v>
      </c>
      <c r="C260" s="8">
        <v>25000</v>
      </c>
      <c r="D260" s="8">
        <v>0</v>
      </c>
      <c r="E260" s="8">
        <v>0</v>
      </c>
      <c r="F260" s="8">
        <v>0</v>
      </c>
      <c r="G260" s="30">
        <f t="shared" si="209"/>
        <v>2400</v>
      </c>
      <c r="H260" s="8">
        <v>25000</v>
      </c>
      <c r="I260" s="30">
        <f t="shared" si="210"/>
        <v>8000</v>
      </c>
      <c r="J260" s="8">
        <v>25000</v>
      </c>
      <c r="K260" s="30">
        <f t="shared" si="211"/>
        <v>8000</v>
      </c>
      <c r="L260" s="8">
        <v>25000</v>
      </c>
      <c r="M260" s="9">
        <f>VLOOKUP(DATE(YEAR(A260),MONTH(A260),DAY(A260)),FY24_Temp[],4,FALSE)</f>
        <v>8.4</v>
      </c>
      <c r="N260" s="9">
        <f>VLOOKUP(DATE(YEAR(A260),MONTH(A260),DAY(A260)),FY24_Temp[],3,FALSE)</f>
        <v>12.8</v>
      </c>
      <c r="O260" s="9">
        <v>13</v>
      </c>
      <c r="P260" s="9">
        <v>19.5</v>
      </c>
      <c r="Q260" s="79">
        <f>VLOOKUP(VLOOKUP(DATEVALUE(TEXT(A260,"m/d/yyyy")),FY24_Temp[],5,FALSE)&amp;TEXT(A260,"-h"),Table6[],4,FALSE)</f>
        <v>0.5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VLOOKUP(TEXT(A260,"yy-mm")&amp;"-"&amp;IF(AND(WEEKDAY(A260)&gt;1,WEEKDAY(A260)&lt;7),"Wkd",TEXT(A260,"Ddd"))&amp;"-"&amp;TEXT(A260,"hh"),LoadTable[],5,FALSE)*0.92</f>
        <v>494.57360000000006</v>
      </c>
      <c r="U260" s="104">
        <f>VLOOKUP(TEXT(A260,"yy-mm")&amp;"-"&amp;IF(AND(WEEKDAY(A260)&gt;1,WEEKDAY(A260)&lt;7),"Wkd",TEXT(A260,"Ddd"))&amp;"-"&amp;TEXT(A260,"hh"),LoadTable[],6,FALSE)*T260</f>
        <v>56025.791981600007</v>
      </c>
      <c r="V260">
        <f t="shared" ref="V260:W260" si="252">V236</f>
        <v>3.6</v>
      </c>
      <c r="W260">
        <f t="shared" si="252"/>
        <v>3</v>
      </c>
      <c r="X260" s="9">
        <v>3.1348509999999998</v>
      </c>
    </row>
    <row r="261" spans="1:24">
      <c r="A261" s="29">
        <f t="shared" ref="A261:A324" si="253">A260+TIME(1,0,0)</f>
        <v>45846.749999999374</v>
      </c>
      <c r="B261" s="30">
        <f t="shared" si="208"/>
        <v>5000</v>
      </c>
      <c r="C261" s="8">
        <v>25000</v>
      </c>
      <c r="D261" s="8">
        <v>0</v>
      </c>
      <c r="E261" s="8">
        <v>0</v>
      </c>
      <c r="F261" s="8">
        <v>0</v>
      </c>
      <c r="G261" s="30">
        <f t="shared" si="209"/>
        <v>2400</v>
      </c>
      <c r="H261" s="8">
        <v>25000</v>
      </c>
      <c r="I261" s="30">
        <f t="shared" si="210"/>
        <v>5000</v>
      </c>
      <c r="J261" s="8">
        <v>25000</v>
      </c>
      <c r="K261" s="30">
        <f t="shared" si="211"/>
        <v>5000</v>
      </c>
      <c r="L261" s="8">
        <v>25000</v>
      </c>
      <c r="M261" s="9">
        <f>VLOOKUP(DATE(YEAR(A261),MONTH(A261),DAY(A261)),FY24_Temp[],4,FALSE)</f>
        <v>8.4</v>
      </c>
      <c r="N261" s="9">
        <f>VLOOKUP(DATE(YEAR(A261),MONTH(A261),DAY(A261)),FY24_Temp[],3,FALSE)</f>
        <v>12.8</v>
      </c>
      <c r="O261" s="9">
        <v>13</v>
      </c>
      <c r="P261" s="9">
        <v>19.5</v>
      </c>
      <c r="Q261" s="79">
        <f>VLOOKUP(VLOOKUP(DATEVALUE(TEXT(A261,"m/d/yyyy")),FY24_Temp[],5,FALSE)&amp;TEXT(A261,"-h"),Table6[],4,FALSE)</f>
        <v>0.5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VLOOKUP(TEXT(A261,"yy-mm")&amp;"-"&amp;IF(AND(WEEKDAY(A261)&gt;1,WEEKDAY(A261)&lt;7),"Wkd",TEXT(A261,"Ddd"))&amp;"-"&amp;TEXT(A261,"hh"),LoadTable[],5,FALSE)*0.92</f>
        <v>494.57360000000006</v>
      </c>
      <c r="U261" s="104">
        <f>VLOOKUP(TEXT(A261,"yy-mm")&amp;"-"&amp;IF(AND(WEEKDAY(A261)&gt;1,WEEKDAY(A261)&lt;7),"Wkd",TEXT(A261,"Ddd"))&amp;"-"&amp;TEXT(A261,"hh"),LoadTable[],6,FALSE)*T261</f>
        <v>60164.383866400007</v>
      </c>
      <c r="V261">
        <f t="shared" ref="V261:W261" si="254">V237</f>
        <v>2.9</v>
      </c>
      <c r="W261">
        <f t="shared" si="254"/>
        <v>3</v>
      </c>
      <c r="X261" s="9">
        <v>3.1115615000000001</v>
      </c>
    </row>
    <row r="262" spans="1:24">
      <c r="A262" s="29">
        <f t="shared" si="253"/>
        <v>45846.791666666039</v>
      </c>
      <c r="B262" s="30">
        <f t="shared" si="208"/>
        <v>5000</v>
      </c>
      <c r="C262" s="8">
        <v>25000</v>
      </c>
      <c r="D262" s="8">
        <v>0</v>
      </c>
      <c r="E262" s="8">
        <v>0</v>
      </c>
      <c r="F262" s="8">
        <v>0</v>
      </c>
      <c r="G262" s="30">
        <f t="shared" si="209"/>
        <v>2400</v>
      </c>
      <c r="H262" s="8">
        <v>25000</v>
      </c>
      <c r="I262" s="30">
        <f t="shared" si="210"/>
        <v>5000</v>
      </c>
      <c r="J262" s="8">
        <v>25000</v>
      </c>
      <c r="K262" s="30">
        <f t="shared" si="211"/>
        <v>5000</v>
      </c>
      <c r="L262" s="8">
        <v>25000</v>
      </c>
      <c r="M262" s="9">
        <f>VLOOKUP(DATE(YEAR(A262),MONTH(A262),DAY(A262)),FY24_Temp[],4,FALSE)</f>
        <v>8.4</v>
      </c>
      <c r="N262" s="9">
        <f>VLOOKUP(DATE(YEAR(A262),MONTH(A262),DAY(A262)),FY24_Temp[],3,FALSE)</f>
        <v>12.8</v>
      </c>
      <c r="O262" s="9">
        <v>13</v>
      </c>
      <c r="P262" s="9">
        <v>19.5</v>
      </c>
      <c r="Q262" s="79">
        <f>VLOOKUP(VLOOKUP(DATEVALUE(TEXT(A262,"m/d/yyyy")),FY24_Temp[],5,FALSE)&amp;TEXT(A262,"-h"),Table6[],4,FALSE)</f>
        <v>0.5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VLOOKUP(TEXT(A262,"yy-mm")&amp;"-"&amp;IF(AND(WEEKDAY(A262)&gt;1,WEEKDAY(A262)&lt;7),"Wkd",TEXT(A262,"Ddd"))&amp;"-"&amp;TEXT(A262,"hh"),LoadTable[],5,FALSE)*0.92</f>
        <v>494.57360000000006</v>
      </c>
      <c r="U262" s="104">
        <f>VLOOKUP(TEXT(A262,"yy-mm")&amp;"-"&amp;IF(AND(WEEKDAY(A262)&gt;1,WEEKDAY(A262)&lt;7),"Wkd",TEXT(A262,"Ddd"))&amp;"-"&amp;TEXT(A262,"hh"),LoadTable[],6,FALSE)*T262</f>
        <v>60548.172980000003</v>
      </c>
      <c r="V262">
        <f t="shared" ref="V262:W262" si="255">V238</f>
        <v>3</v>
      </c>
      <c r="W262">
        <f t="shared" si="255"/>
        <v>3</v>
      </c>
      <c r="X262" s="9">
        <v>3.0701896999999998</v>
      </c>
    </row>
    <row r="263" spans="1:24">
      <c r="A263" s="29">
        <f t="shared" si="253"/>
        <v>45846.833333332703</v>
      </c>
      <c r="B263" s="30">
        <f t="shared" si="208"/>
        <v>5000</v>
      </c>
      <c r="C263" s="8">
        <v>25000</v>
      </c>
      <c r="D263" s="8">
        <v>0</v>
      </c>
      <c r="E263" s="8">
        <v>0</v>
      </c>
      <c r="F263" s="8">
        <v>0</v>
      </c>
      <c r="G263" s="30">
        <f t="shared" si="209"/>
        <v>2400</v>
      </c>
      <c r="H263" s="8">
        <v>25000</v>
      </c>
      <c r="I263" s="30">
        <f t="shared" si="210"/>
        <v>5000</v>
      </c>
      <c r="J263" s="8">
        <v>25000</v>
      </c>
      <c r="K263" s="30">
        <f t="shared" si="211"/>
        <v>5000</v>
      </c>
      <c r="L263" s="8">
        <v>25000</v>
      </c>
      <c r="M263" s="9">
        <f>VLOOKUP(DATE(YEAR(A263),MONTH(A263),DAY(A263)),FY24_Temp[],4,FALSE)</f>
        <v>8.4</v>
      </c>
      <c r="N263" s="9">
        <f>VLOOKUP(DATE(YEAR(A263),MONTH(A263),DAY(A263)),FY24_Temp[],3,FALSE)</f>
        <v>12.8</v>
      </c>
      <c r="O263" s="9">
        <v>13</v>
      </c>
      <c r="P263" s="9">
        <v>19.5</v>
      </c>
      <c r="Q263" s="79">
        <f>VLOOKUP(VLOOKUP(DATEVALUE(TEXT(A263,"m/d/yyyy")),FY24_Temp[],5,FALSE)&amp;TEXT(A263,"-h"),Table6[],4,FALSE)</f>
        <v>0.5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VLOOKUP(TEXT(A263,"yy-mm")&amp;"-"&amp;IF(AND(WEEKDAY(A263)&gt;1,WEEKDAY(A263)&lt;7),"Wkd",TEXT(A263,"Ddd"))&amp;"-"&amp;TEXT(A263,"hh"),LoadTable[],5,FALSE)*0.92</f>
        <v>494.57360000000006</v>
      </c>
      <c r="U263" s="104">
        <f>VLOOKUP(TEXT(A263,"yy-mm")&amp;"-"&amp;IF(AND(WEEKDAY(A263)&gt;1,WEEKDAY(A263)&lt;7),"Wkd",TEXT(A263,"Ddd"))&amp;"-"&amp;TEXT(A263,"hh"),LoadTable[],6,FALSE)*T263</f>
        <v>60532.346624800004</v>
      </c>
      <c r="V263">
        <f t="shared" ref="V263:W263" si="256">V239</f>
        <v>2.8</v>
      </c>
      <c r="W263">
        <f t="shared" si="256"/>
        <v>3.1</v>
      </c>
      <c r="X263" s="9">
        <v>3.0306313</v>
      </c>
    </row>
    <row r="264" spans="1:24">
      <c r="A264" s="29">
        <f t="shared" si="253"/>
        <v>45846.874999999367</v>
      </c>
      <c r="B264" s="30">
        <f t="shared" si="208"/>
        <v>5000</v>
      </c>
      <c r="C264" s="8">
        <v>25000</v>
      </c>
      <c r="D264" s="8">
        <v>0</v>
      </c>
      <c r="E264" s="8">
        <v>0</v>
      </c>
      <c r="F264" s="8">
        <v>0</v>
      </c>
      <c r="G264" s="30">
        <f t="shared" si="209"/>
        <v>2400</v>
      </c>
      <c r="H264" s="8">
        <v>25000</v>
      </c>
      <c r="I264" s="30">
        <f t="shared" si="210"/>
        <v>5000</v>
      </c>
      <c r="J264" s="8">
        <v>25000</v>
      </c>
      <c r="K264" s="30">
        <f t="shared" si="211"/>
        <v>5000</v>
      </c>
      <c r="L264" s="8">
        <v>25000</v>
      </c>
      <c r="M264" s="9">
        <f>VLOOKUP(DATE(YEAR(A264),MONTH(A264),DAY(A264)),FY24_Temp[],4,FALSE)</f>
        <v>8.4</v>
      </c>
      <c r="N264" s="9">
        <f>VLOOKUP(DATE(YEAR(A264),MONTH(A264),DAY(A264)),FY24_Temp[],3,FALSE)</f>
        <v>12.8</v>
      </c>
      <c r="O264" s="9">
        <v>13</v>
      </c>
      <c r="P264" s="9">
        <v>19.5</v>
      </c>
      <c r="Q264" s="79">
        <f>VLOOKUP(VLOOKUP(DATEVALUE(TEXT(A264,"m/d/yyyy")),FY24_Temp[],5,FALSE)&amp;TEXT(A264,"-h"),Table6[],4,FALSE)</f>
        <v>0.5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VLOOKUP(TEXT(A264,"yy-mm")&amp;"-"&amp;IF(AND(WEEKDAY(A264)&gt;1,WEEKDAY(A264)&lt;7),"Wkd",TEXT(A264,"Ddd"))&amp;"-"&amp;TEXT(A264,"hh"),LoadTable[],5,FALSE)*0.92</f>
        <v>494.57360000000006</v>
      </c>
      <c r="U264" s="104">
        <f>VLOOKUP(TEXT(A264,"yy-mm")&amp;"-"&amp;IF(AND(WEEKDAY(A264)&gt;1,WEEKDAY(A264)&lt;7),"Wkd",TEXT(A264,"Ddd"))&amp;"-"&amp;TEXT(A264,"hh"),LoadTable[],6,FALSE)*T264</f>
        <v>58481.349905600007</v>
      </c>
      <c r="V264">
        <f t="shared" ref="V264:W264" si="257">V240</f>
        <v>3.5</v>
      </c>
      <c r="W264">
        <f t="shared" si="257"/>
        <v>3.1</v>
      </c>
      <c r="X264" s="9">
        <v>2.9950855000000001</v>
      </c>
    </row>
    <row r="265" spans="1:24">
      <c r="A265" s="29">
        <f t="shared" si="253"/>
        <v>45846.916666666031</v>
      </c>
      <c r="B265" s="30">
        <f t="shared" si="208"/>
        <v>5000</v>
      </c>
      <c r="C265" s="8">
        <v>25000</v>
      </c>
      <c r="D265" s="8">
        <v>0</v>
      </c>
      <c r="E265" s="8">
        <v>0</v>
      </c>
      <c r="F265" s="8">
        <v>0</v>
      </c>
      <c r="G265" s="30">
        <f t="shared" si="209"/>
        <v>2400</v>
      </c>
      <c r="H265" s="8">
        <v>25000</v>
      </c>
      <c r="I265" s="30">
        <f t="shared" si="210"/>
        <v>5000</v>
      </c>
      <c r="J265" s="8">
        <v>25000</v>
      </c>
      <c r="K265" s="30">
        <f t="shared" si="211"/>
        <v>5000</v>
      </c>
      <c r="L265" s="8">
        <v>25000</v>
      </c>
      <c r="M265" s="9">
        <f>VLOOKUP(DATE(YEAR(A265),MONTH(A265),DAY(A265)),FY24_Temp[],4,FALSE)</f>
        <v>8.4</v>
      </c>
      <c r="N265" s="9">
        <f>VLOOKUP(DATE(YEAR(A265),MONTH(A265),DAY(A265)),FY24_Temp[],3,FALSE)</f>
        <v>12.8</v>
      </c>
      <c r="O265" s="9">
        <v>13</v>
      </c>
      <c r="P265" s="9">
        <v>19.5</v>
      </c>
      <c r="Q265" s="79">
        <f>VLOOKUP(VLOOKUP(DATEVALUE(TEXT(A265,"m/d/yyyy")),FY24_Temp[],5,FALSE)&amp;TEXT(A265,"-h"),Table6[],4,FALSE)</f>
        <v>0.5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VLOOKUP(TEXT(A265,"yy-mm")&amp;"-"&amp;IF(AND(WEEKDAY(A265)&gt;1,WEEKDAY(A265)&lt;7),"Wkd",TEXT(A265,"Ddd"))&amp;"-"&amp;TEXT(A265,"hh"),LoadTable[],5,FALSE)*0.92</f>
        <v>418.75640000000004</v>
      </c>
      <c r="U265" s="104">
        <f>VLOOKUP(TEXT(A265,"yy-mm")&amp;"-"&amp;IF(AND(WEEKDAY(A265)&gt;1,WEEKDAY(A265)&lt;7),"Wkd",TEXT(A265,"Ddd"))&amp;"-"&amp;TEXT(A265,"hh"),LoadTable[],6,FALSE)*T265</f>
        <v>27547.889774000003</v>
      </c>
      <c r="V265">
        <f t="shared" ref="V265:W265" si="258">V241</f>
        <v>2.9</v>
      </c>
      <c r="W265">
        <f t="shared" si="258"/>
        <v>3.1</v>
      </c>
      <c r="X265" s="9">
        <v>2.9554318999999998</v>
      </c>
    </row>
    <row r="266" spans="1:24">
      <c r="A266" s="29">
        <f t="shared" si="253"/>
        <v>45846.958333332695</v>
      </c>
      <c r="B266" s="30">
        <f t="shared" si="208"/>
        <v>5000</v>
      </c>
      <c r="C266" s="8">
        <v>25000</v>
      </c>
      <c r="D266" s="8">
        <v>0</v>
      </c>
      <c r="E266" s="8">
        <v>0</v>
      </c>
      <c r="F266" s="8">
        <v>0</v>
      </c>
      <c r="G266" s="30">
        <f t="shared" si="209"/>
        <v>2400</v>
      </c>
      <c r="H266" s="8">
        <v>25000</v>
      </c>
      <c r="I266" s="30">
        <f t="shared" si="210"/>
        <v>5000</v>
      </c>
      <c r="J266" s="8">
        <v>25000</v>
      </c>
      <c r="K266" s="30">
        <f t="shared" si="211"/>
        <v>5000</v>
      </c>
      <c r="L266" s="8">
        <v>25000</v>
      </c>
      <c r="M266" s="9">
        <f>VLOOKUP(DATE(YEAR(A266),MONTH(A266),DAY(A266)),FY24_Temp[],4,FALSE)</f>
        <v>8.4</v>
      </c>
      <c r="N266" s="9">
        <f>VLOOKUP(DATE(YEAR(A266),MONTH(A266),DAY(A266)),FY24_Temp[],3,FALSE)</f>
        <v>12.8</v>
      </c>
      <c r="O266" s="9">
        <v>13</v>
      </c>
      <c r="P266" s="9">
        <v>19.5</v>
      </c>
      <c r="Q266" s="79">
        <f>VLOOKUP(VLOOKUP(DATEVALUE(TEXT(A266,"m/d/yyyy")),FY24_Temp[],5,FALSE)&amp;TEXT(A266,"-h"),Table6[],4,FALSE)</f>
        <v>0.5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VLOOKUP(TEXT(A266,"yy-mm")&amp;"-"&amp;IF(AND(WEEKDAY(A266)&gt;1,WEEKDAY(A266)&lt;7),"Wkd",TEXT(A266,"Ddd"))&amp;"-"&amp;TEXT(A266,"hh"),LoadTable[],5,FALSE)*0.92</f>
        <v>342.93920000000003</v>
      </c>
      <c r="U266" s="104">
        <f>VLOOKUP(TEXT(A266,"yy-mm")&amp;"-"&amp;IF(AND(WEEKDAY(A266)&gt;1,WEEKDAY(A266)&lt;7),"Wkd",TEXT(A266,"Ddd"))&amp;"-"&amp;TEXT(A266,"hh"),LoadTable[],6,FALSE)*T266</f>
        <v>19873.669579200003</v>
      </c>
      <c r="V266">
        <f t="shared" ref="V266:W266" si="259">V242</f>
        <v>3.6</v>
      </c>
      <c r="W266">
        <f t="shared" si="259"/>
        <v>3.1</v>
      </c>
      <c r="X266" s="9">
        <v>2.8544234999999998</v>
      </c>
    </row>
    <row r="267" spans="1:24">
      <c r="A267" s="29">
        <f t="shared" si="253"/>
        <v>45846.99999999936</v>
      </c>
      <c r="B267" s="30">
        <f t="shared" si="208"/>
        <v>5000</v>
      </c>
      <c r="C267" s="8">
        <v>25000</v>
      </c>
      <c r="D267" s="8">
        <v>0</v>
      </c>
      <c r="E267" s="8">
        <v>0</v>
      </c>
      <c r="F267" s="8">
        <v>0</v>
      </c>
      <c r="G267" s="30">
        <f t="shared" si="209"/>
        <v>2400</v>
      </c>
      <c r="H267" s="8">
        <v>25000</v>
      </c>
      <c r="I267" s="30">
        <f t="shared" si="210"/>
        <v>5000</v>
      </c>
      <c r="J267" s="8">
        <v>25000</v>
      </c>
      <c r="K267" s="30">
        <f t="shared" si="211"/>
        <v>5000</v>
      </c>
      <c r="L267" s="8">
        <v>25000</v>
      </c>
      <c r="M267" s="9">
        <f>VLOOKUP(DATE(YEAR(A267),MONTH(A267),DAY(A267)),FY24_Temp[],4,FALSE)</f>
        <v>8.4</v>
      </c>
      <c r="N267" s="9">
        <f>VLOOKUP(DATE(YEAR(A267),MONTH(A267),DAY(A267)),FY24_Temp[],3,FALSE)</f>
        <v>12.8</v>
      </c>
      <c r="O267" s="9">
        <v>13</v>
      </c>
      <c r="P267" s="9">
        <v>19.5</v>
      </c>
      <c r="Q267" s="79">
        <f>VLOOKUP(VLOOKUP(DATEVALUE(TEXT(A267,"m/d/yyyy")),FY24_Temp[],5,FALSE)&amp;TEXT(A267,"-h"),Table6[],4,FALSE)</f>
        <v>0.5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VLOOKUP(TEXT(A267,"yy-mm")&amp;"-"&amp;IF(AND(WEEKDAY(A267)&gt;1,WEEKDAY(A267)&lt;7),"Wkd",TEXT(A267,"Ddd"))&amp;"-"&amp;TEXT(A267,"hh"),LoadTable[],5,FALSE)*0.92</f>
        <v>279.25312000000002</v>
      </c>
      <c r="U267" s="104">
        <f>VLOOKUP(TEXT(A267,"yy-mm")&amp;"-"&amp;IF(AND(WEEKDAY(A267)&gt;1,WEEKDAY(A267)&lt;7),"Wkd",TEXT(A267,"Ddd"))&amp;"-"&amp;TEXT(A267,"hh"),LoadTable[],6,FALSE)*T267</f>
        <v>14895.640673920001</v>
      </c>
      <c r="V267">
        <f t="shared" ref="V267:W267" si="260">V243</f>
        <v>3</v>
      </c>
      <c r="W267">
        <f t="shared" si="260"/>
        <v>3.2</v>
      </c>
      <c r="X267" s="9">
        <v>2.7743682999999999</v>
      </c>
    </row>
    <row r="268" spans="1:24">
      <c r="A268" s="29">
        <f t="shared" si="253"/>
        <v>45847.041666666024</v>
      </c>
      <c r="B268" s="30">
        <f t="shared" si="208"/>
        <v>5000</v>
      </c>
      <c r="C268" s="8">
        <v>25000</v>
      </c>
      <c r="D268" s="8">
        <v>0</v>
      </c>
      <c r="E268" s="8">
        <v>0</v>
      </c>
      <c r="F268" s="8">
        <v>0</v>
      </c>
      <c r="G268" s="30">
        <f t="shared" si="209"/>
        <v>2400</v>
      </c>
      <c r="H268" s="8">
        <v>25000</v>
      </c>
      <c r="I268" s="30">
        <f t="shared" si="210"/>
        <v>5000</v>
      </c>
      <c r="J268" s="8">
        <v>25000</v>
      </c>
      <c r="K268" s="30">
        <f t="shared" si="211"/>
        <v>5000</v>
      </c>
      <c r="L268" s="8">
        <v>25000</v>
      </c>
      <c r="M268" s="9">
        <f>VLOOKUP(DATE(YEAR(A268),MONTH(A268),DAY(A268)),FY24_Temp[],4,FALSE)</f>
        <v>8.4</v>
      </c>
      <c r="N268" s="9">
        <f>VLOOKUP(DATE(YEAR(A268),MONTH(A268),DAY(A268)),FY24_Temp[],3,FALSE)</f>
        <v>12.8</v>
      </c>
      <c r="O268" s="9">
        <v>13</v>
      </c>
      <c r="P268" s="9">
        <v>19.5</v>
      </c>
      <c r="Q268" s="79">
        <f>VLOOKUP(VLOOKUP(DATEVALUE(TEXT(A268,"m/d/yyyy")),FY24_Temp[],5,FALSE)&amp;TEXT(A268,"-h"),Table6[],4,FALSE)</f>
        <v>0.5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VLOOKUP(TEXT(A268,"yy-mm")&amp;"-"&amp;IF(AND(WEEKDAY(A268)&gt;1,WEEKDAY(A268)&lt;7),"Wkd",TEXT(A268,"Ddd"))&amp;"-"&amp;TEXT(A268,"hh"),LoadTable[],5,FALSE)*0.92</f>
        <v>279.25312000000002</v>
      </c>
      <c r="U268" s="104">
        <f>VLOOKUP(TEXT(A268,"yy-mm")&amp;"-"&amp;IF(AND(WEEKDAY(A268)&gt;1,WEEKDAY(A268)&lt;7),"Wkd",TEXT(A268,"Ddd"))&amp;"-"&amp;TEXT(A268,"hh"),LoadTable[],6,FALSE)*T268</f>
        <v>14470.896678400002</v>
      </c>
      <c r="V268">
        <f t="shared" ref="V268:W268" si="261">V244</f>
        <v>2.6</v>
      </c>
      <c r="W268">
        <f t="shared" si="261"/>
        <v>3.2</v>
      </c>
      <c r="X268" s="9">
        <v>2.7243881000000001</v>
      </c>
    </row>
    <row r="269" spans="1:24">
      <c r="A269" s="29">
        <f t="shared" si="253"/>
        <v>45847.083333332688</v>
      </c>
      <c r="B269" s="30">
        <f t="shared" si="208"/>
        <v>5000</v>
      </c>
      <c r="C269" s="8">
        <v>25000</v>
      </c>
      <c r="D269" s="8">
        <v>0</v>
      </c>
      <c r="E269" s="8">
        <v>0</v>
      </c>
      <c r="F269" s="8">
        <v>0</v>
      </c>
      <c r="G269" s="30">
        <f t="shared" si="209"/>
        <v>2400</v>
      </c>
      <c r="H269" s="8">
        <v>25000</v>
      </c>
      <c r="I269" s="30">
        <f t="shared" si="210"/>
        <v>5000</v>
      </c>
      <c r="J269" s="8">
        <v>25000</v>
      </c>
      <c r="K269" s="30">
        <f t="shared" si="211"/>
        <v>5000</v>
      </c>
      <c r="L269" s="8">
        <v>25000</v>
      </c>
      <c r="M269" s="9">
        <f>VLOOKUP(DATE(YEAR(A269),MONTH(A269),DAY(A269)),FY24_Temp[],4,FALSE)</f>
        <v>8.4</v>
      </c>
      <c r="N269" s="9">
        <f>VLOOKUP(DATE(YEAR(A269),MONTH(A269),DAY(A269)),FY24_Temp[],3,FALSE)</f>
        <v>12.8</v>
      </c>
      <c r="O269" s="9">
        <v>13</v>
      </c>
      <c r="P269" s="9">
        <v>19.5</v>
      </c>
      <c r="Q269" s="79">
        <f>VLOOKUP(VLOOKUP(DATEVALUE(TEXT(A269,"m/d/yyyy")),FY24_Temp[],5,FALSE)&amp;TEXT(A269,"-h"),Table6[],4,FALSE)</f>
        <v>0.5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VLOOKUP(TEXT(A269,"yy-mm")&amp;"-"&amp;IF(AND(WEEKDAY(A269)&gt;1,WEEKDAY(A269)&lt;7),"Wkd",TEXT(A269,"Ddd"))&amp;"-"&amp;TEXT(A269,"hh"),LoadTable[],5,FALSE)*0.92</f>
        <v>279.25312000000002</v>
      </c>
      <c r="U269" s="104">
        <f>VLOOKUP(TEXT(A269,"yy-mm")&amp;"-"&amp;IF(AND(WEEKDAY(A269)&gt;1,WEEKDAY(A269)&lt;7),"Wkd",TEXT(A269,"Ddd"))&amp;"-"&amp;TEXT(A269,"hh"),LoadTable[],6,FALSE)*T269</f>
        <v>14154.50289344</v>
      </c>
      <c r="V269">
        <f t="shared" ref="V269:W269" si="262">V245</f>
        <v>2.8</v>
      </c>
      <c r="W269">
        <f t="shared" si="262"/>
        <v>3.2</v>
      </c>
      <c r="X269" s="9">
        <v>2.7982368000000002</v>
      </c>
    </row>
    <row r="270" spans="1:24">
      <c r="A270" s="29">
        <f t="shared" si="253"/>
        <v>45847.124999999352</v>
      </c>
      <c r="B270" s="30">
        <f t="shared" si="208"/>
        <v>5000</v>
      </c>
      <c r="C270" s="8">
        <v>25000</v>
      </c>
      <c r="D270" s="8">
        <v>0</v>
      </c>
      <c r="E270" s="8">
        <v>0</v>
      </c>
      <c r="F270" s="8">
        <v>0</v>
      </c>
      <c r="G270" s="30">
        <f t="shared" si="209"/>
        <v>2400</v>
      </c>
      <c r="H270" s="8">
        <v>25000</v>
      </c>
      <c r="I270" s="30">
        <f t="shared" si="210"/>
        <v>5000</v>
      </c>
      <c r="J270" s="8">
        <v>25000</v>
      </c>
      <c r="K270" s="30">
        <f t="shared" si="211"/>
        <v>5000</v>
      </c>
      <c r="L270" s="8">
        <v>25000</v>
      </c>
      <c r="M270" s="9">
        <f>VLOOKUP(DATE(YEAR(A270),MONTH(A270),DAY(A270)),FY24_Temp[],4,FALSE)</f>
        <v>8.4</v>
      </c>
      <c r="N270" s="9">
        <f>VLOOKUP(DATE(YEAR(A270),MONTH(A270),DAY(A270)),FY24_Temp[],3,FALSE)</f>
        <v>12.8</v>
      </c>
      <c r="O270" s="9">
        <v>13</v>
      </c>
      <c r="P270" s="9">
        <v>19.5</v>
      </c>
      <c r="Q270" s="79">
        <f>VLOOKUP(VLOOKUP(DATEVALUE(TEXT(A270,"m/d/yyyy")),FY24_Temp[],5,FALSE)&amp;TEXT(A270,"-h"),Table6[],4,FALSE)</f>
        <v>0.5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VLOOKUP(TEXT(A270,"yy-mm")&amp;"-"&amp;IF(AND(WEEKDAY(A270)&gt;1,WEEKDAY(A270)&lt;7),"Wkd",TEXT(A270,"Ddd"))&amp;"-"&amp;TEXT(A270,"hh"),LoadTable[],5,FALSE)*0.92</f>
        <v>279.25312000000002</v>
      </c>
      <c r="U270" s="104">
        <f>VLOOKUP(TEXT(A270,"yy-mm")&amp;"-"&amp;IF(AND(WEEKDAY(A270)&gt;1,WEEKDAY(A270)&lt;7),"Wkd",TEXT(A270,"Ddd"))&amp;"-"&amp;TEXT(A270,"hh"),LoadTable[],6,FALSE)*T270</f>
        <v>14206.443973760001</v>
      </c>
      <c r="V270">
        <f t="shared" ref="V270:W270" si="263">V246</f>
        <v>2.7</v>
      </c>
      <c r="W270">
        <f t="shared" si="263"/>
        <v>3.2</v>
      </c>
      <c r="X270" s="9">
        <v>2.8541786999999998</v>
      </c>
    </row>
    <row r="271" spans="1:24">
      <c r="A271" s="29">
        <f t="shared" si="253"/>
        <v>45847.166666666017</v>
      </c>
      <c r="B271" s="30">
        <f t="shared" si="208"/>
        <v>5000</v>
      </c>
      <c r="C271" s="8">
        <v>25000</v>
      </c>
      <c r="D271" s="8">
        <v>0</v>
      </c>
      <c r="E271" s="8">
        <v>0</v>
      </c>
      <c r="F271" s="8">
        <v>0</v>
      </c>
      <c r="G271" s="30">
        <f t="shared" si="209"/>
        <v>2400</v>
      </c>
      <c r="H271" s="8">
        <v>25000</v>
      </c>
      <c r="I271" s="30">
        <f t="shared" si="210"/>
        <v>5000</v>
      </c>
      <c r="J271" s="8">
        <v>25000</v>
      </c>
      <c r="K271" s="30">
        <f t="shared" si="211"/>
        <v>5000</v>
      </c>
      <c r="L271" s="8">
        <v>25000</v>
      </c>
      <c r="M271" s="9">
        <f>VLOOKUP(DATE(YEAR(A271),MONTH(A271),DAY(A271)),FY24_Temp[],4,FALSE)</f>
        <v>8.4</v>
      </c>
      <c r="N271" s="9">
        <f>VLOOKUP(DATE(YEAR(A271),MONTH(A271),DAY(A271)),FY24_Temp[],3,FALSE)</f>
        <v>12.8</v>
      </c>
      <c r="O271" s="9">
        <v>13</v>
      </c>
      <c r="P271" s="9">
        <v>19.5</v>
      </c>
      <c r="Q271" s="79">
        <f>VLOOKUP(VLOOKUP(DATEVALUE(TEXT(A271,"m/d/yyyy")),FY24_Temp[],5,FALSE)&amp;TEXT(A271,"-h"),Table6[],4,FALSE)</f>
        <v>0.5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VLOOKUP(TEXT(A271,"yy-mm")&amp;"-"&amp;IF(AND(WEEKDAY(A271)&gt;1,WEEKDAY(A271)&lt;7),"Wkd",TEXT(A271,"Ddd"))&amp;"-"&amp;TEXT(A271,"hh"),LoadTable[],5,FALSE)*0.92</f>
        <v>279.25312000000002</v>
      </c>
      <c r="U271" s="104">
        <f>VLOOKUP(TEXT(A271,"yy-mm")&amp;"-"&amp;IF(AND(WEEKDAY(A271)&gt;1,WEEKDAY(A271)&lt;7),"Wkd",TEXT(A271,"Ddd"))&amp;"-"&amp;TEXT(A271,"hh"),LoadTable[],6,FALSE)*T271</f>
        <v>14229.063476480002</v>
      </c>
      <c r="V271">
        <f t="shared" ref="V271:W271" si="264">V247</f>
        <v>3</v>
      </c>
      <c r="W271">
        <f t="shared" si="264"/>
        <v>3.1</v>
      </c>
      <c r="X271" s="9">
        <v>2.8852183999999998</v>
      </c>
    </row>
    <row r="272" spans="1:24">
      <c r="A272" s="29">
        <f t="shared" si="253"/>
        <v>45847.208333332681</v>
      </c>
      <c r="B272" s="30">
        <f t="shared" si="208"/>
        <v>5000</v>
      </c>
      <c r="C272" s="8">
        <v>25000</v>
      </c>
      <c r="D272" s="8">
        <v>0</v>
      </c>
      <c r="E272" s="8">
        <v>0</v>
      </c>
      <c r="F272" s="8">
        <v>0</v>
      </c>
      <c r="G272" s="30">
        <f t="shared" si="209"/>
        <v>2400</v>
      </c>
      <c r="H272" s="8">
        <v>25000</v>
      </c>
      <c r="I272" s="30">
        <f t="shared" si="210"/>
        <v>5000</v>
      </c>
      <c r="J272" s="8">
        <v>25000</v>
      </c>
      <c r="K272" s="30">
        <f t="shared" si="211"/>
        <v>5000</v>
      </c>
      <c r="L272" s="8">
        <v>25000</v>
      </c>
      <c r="M272" s="9">
        <f>VLOOKUP(DATE(YEAR(A272),MONTH(A272),DAY(A272)),FY24_Temp[],4,FALSE)</f>
        <v>8.4</v>
      </c>
      <c r="N272" s="9">
        <f>VLOOKUP(DATE(YEAR(A272),MONTH(A272),DAY(A272)),FY24_Temp[],3,FALSE)</f>
        <v>12.8</v>
      </c>
      <c r="O272" s="9">
        <v>13</v>
      </c>
      <c r="P272" s="9">
        <v>19.5</v>
      </c>
      <c r="Q272" s="79">
        <f>VLOOKUP(VLOOKUP(DATEVALUE(TEXT(A272,"m/d/yyyy")),FY24_Temp[],5,FALSE)&amp;TEXT(A272,"-h"),Table6[],4,FALSE)</f>
        <v>0.5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VLOOKUP(TEXT(A272,"yy-mm")&amp;"-"&amp;IF(AND(WEEKDAY(A272)&gt;1,WEEKDAY(A272)&lt;7),"Wkd",TEXT(A272,"Ddd"))&amp;"-"&amp;TEXT(A272,"hh"),LoadTable[],5,FALSE)*0.92</f>
        <v>279.25312000000002</v>
      </c>
      <c r="U272" s="104">
        <f>VLOOKUP(TEXT(A272,"yy-mm")&amp;"-"&amp;IF(AND(WEEKDAY(A272)&gt;1,WEEKDAY(A272)&lt;7),"Wkd",TEXT(A272,"Ddd"))&amp;"-"&amp;TEXT(A272,"hh"),LoadTable[],6,FALSE)*T272</f>
        <v>14735.070129920001</v>
      </c>
      <c r="V272">
        <f t="shared" ref="V272:W272" si="265">V248</f>
        <v>2.9</v>
      </c>
      <c r="W272">
        <f t="shared" si="265"/>
        <v>3.1</v>
      </c>
      <c r="X272" s="9">
        <v>2.9639698999999999</v>
      </c>
    </row>
    <row r="273" spans="1:24">
      <c r="A273" s="29">
        <f t="shared" si="253"/>
        <v>45847.249999999345</v>
      </c>
      <c r="B273" s="30">
        <f t="shared" si="208"/>
        <v>8000</v>
      </c>
      <c r="C273" s="8">
        <v>25000</v>
      </c>
      <c r="D273" s="8">
        <v>0</v>
      </c>
      <c r="E273" s="8">
        <v>0</v>
      </c>
      <c r="F273" s="8">
        <v>0</v>
      </c>
      <c r="G273" s="30">
        <f t="shared" si="209"/>
        <v>2400</v>
      </c>
      <c r="H273" s="8">
        <v>25000</v>
      </c>
      <c r="I273" s="30">
        <f t="shared" si="210"/>
        <v>8000</v>
      </c>
      <c r="J273" s="8">
        <v>25000</v>
      </c>
      <c r="K273" s="30">
        <f t="shared" si="211"/>
        <v>8000</v>
      </c>
      <c r="L273" s="8">
        <v>25000</v>
      </c>
      <c r="M273" s="9">
        <f>VLOOKUP(DATE(YEAR(A273),MONTH(A273),DAY(A273)),FY24_Temp[],4,FALSE)</f>
        <v>8.4</v>
      </c>
      <c r="N273" s="9">
        <f>VLOOKUP(DATE(YEAR(A273),MONTH(A273),DAY(A273)),FY24_Temp[],3,FALSE)</f>
        <v>12.8</v>
      </c>
      <c r="O273" s="9">
        <v>13</v>
      </c>
      <c r="P273" s="9">
        <v>19.5</v>
      </c>
      <c r="Q273" s="79">
        <f>VLOOKUP(VLOOKUP(DATEVALUE(TEXT(A273,"m/d/yyyy")),FY24_Temp[],5,FALSE)&amp;TEXT(A273,"-h"),Table6[],4,FALSE)</f>
        <v>0.5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VLOOKUP(TEXT(A273,"yy-mm")&amp;"-"&amp;IF(AND(WEEKDAY(A273)&gt;1,WEEKDAY(A273)&lt;7),"Wkd",TEXT(A273,"Ddd"))&amp;"-"&amp;TEXT(A273,"hh"),LoadTable[],5,FALSE)*0.92</f>
        <v>279.25312000000002</v>
      </c>
      <c r="U273" s="104">
        <f>VLOOKUP(TEXT(A273,"yy-mm")&amp;"-"&amp;IF(AND(WEEKDAY(A273)&gt;1,WEEKDAY(A273)&lt;7),"Wkd",TEXT(A273,"Ddd"))&amp;"-"&amp;TEXT(A273,"hh"),LoadTable[],6,FALSE)*T273</f>
        <v>26238.902408320002</v>
      </c>
      <c r="V273">
        <f t="shared" ref="V273:W273" si="266">V249</f>
        <v>2.5</v>
      </c>
      <c r="W273">
        <f t="shared" si="266"/>
        <v>3.1</v>
      </c>
      <c r="X273" s="9">
        <v>3.0895195000000002</v>
      </c>
    </row>
    <row r="274" spans="1:24">
      <c r="A274" s="29">
        <f t="shared" si="253"/>
        <v>45847.291666666009</v>
      </c>
      <c r="B274" s="30">
        <f t="shared" si="208"/>
        <v>8000</v>
      </c>
      <c r="C274" s="8">
        <v>25000</v>
      </c>
      <c r="D274" s="8">
        <v>0</v>
      </c>
      <c r="E274" s="8">
        <v>0</v>
      </c>
      <c r="F274" s="8">
        <v>0</v>
      </c>
      <c r="G274" s="30">
        <f t="shared" si="209"/>
        <v>2400</v>
      </c>
      <c r="H274" s="8">
        <v>25000</v>
      </c>
      <c r="I274" s="30">
        <f t="shared" si="210"/>
        <v>8000</v>
      </c>
      <c r="J274" s="8">
        <v>25000</v>
      </c>
      <c r="K274" s="30">
        <f t="shared" si="211"/>
        <v>8000</v>
      </c>
      <c r="L274" s="8">
        <v>25000</v>
      </c>
      <c r="M274" s="9">
        <f>VLOOKUP(DATE(YEAR(A274),MONTH(A274),DAY(A274)),FY24_Temp[],4,FALSE)</f>
        <v>8.4</v>
      </c>
      <c r="N274" s="9">
        <f>VLOOKUP(DATE(YEAR(A274),MONTH(A274),DAY(A274)),FY24_Temp[],3,FALSE)</f>
        <v>12.8</v>
      </c>
      <c r="O274" s="9">
        <v>13</v>
      </c>
      <c r="P274" s="9">
        <v>19.5</v>
      </c>
      <c r="Q274" s="79">
        <f>VLOOKUP(VLOOKUP(DATEVALUE(TEXT(A274,"m/d/yyyy")),FY24_Temp[],5,FALSE)&amp;TEXT(A274,"-h"),Table6[],4,FALSE)</f>
        <v>0.5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VLOOKUP(TEXT(A274,"yy-mm")&amp;"-"&amp;IF(AND(WEEKDAY(A274)&gt;1,WEEKDAY(A274)&lt;7),"Wkd",TEXT(A274,"Ddd"))&amp;"-"&amp;TEXT(A274,"hh"),LoadTable[],5,FALSE)*0.92</f>
        <v>279.25312000000002</v>
      </c>
      <c r="U274" s="104">
        <f>VLOOKUP(TEXT(A274,"yy-mm")&amp;"-"&amp;IF(AND(WEEKDAY(A274)&gt;1,WEEKDAY(A274)&lt;7),"Wkd",TEXT(A274,"Ddd"))&amp;"-"&amp;TEXT(A274,"hh"),LoadTable[],6,FALSE)*T274</f>
        <v>22145.051669120003</v>
      </c>
      <c r="V274">
        <f t="shared" ref="V274:W274" si="267">V250</f>
        <v>2.5</v>
      </c>
      <c r="W274">
        <f t="shared" si="267"/>
        <v>3.1</v>
      </c>
      <c r="X274" s="9">
        <v>3.2322595000000001</v>
      </c>
    </row>
    <row r="275" spans="1:24">
      <c r="A275" s="29">
        <f t="shared" si="253"/>
        <v>45847.333333332674</v>
      </c>
      <c r="B275" s="30">
        <f t="shared" si="208"/>
        <v>8000</v>
      </c>
      <c r="C275" s="8">
        <v>25000</v>
      </c>
      <c r="D275" s="8">
        <v>0</v>
      </c>
      <c r="E275" s="8">
        <v>0</v>
      </c>
      <c r="F275" s="8">
        <v>0</v>
      </c>
      <c r="G275" s="30">
        <f t="shared" si="209"/>
        <v>2400</v>
      </c>
      <c r="H275" s="8">
        <v>25000</v>
      </c>
      <c r="I275" s="30">
        <f t="shared" si="210"/>
        <v>8000</v>
      </c>
      <c r="J275" s="8">
        <v>25000</v>
      </c>
      <c r="K275" s="30">
        <f t="shared" si="211"/>
        <v>8000</v>
      </c>
      <c r="L275" s="8">
        <v>25000</v>
      </c>
      <c r="M275" s="9">
        <f>VLOOKUP(DATE(YEAR(A275),MONTH(A275),DAY(A275)),FY24_Temp[],4,FALSE)</f>
        <v>8.4</v>
      </c>
      <c r="N275" s="9">
        <f>VLOOKUP(DATE(YEAR(A275),MONTH(A275),DAY(A275)),FY24_Temp[],3,FALSE)</f>
        <v>12.8</v>
      </c>
      <c r="O275" s="9">
        <v>13</v>
      </c>
      <c r="P275" s="9">
        <v>19.5</v>
      </c>
      <c r="Q275" s="79">
        <f>VLOOKUP(VLOOKUP(DATEVALUE(TEXT(A275,"m/d/yyyy")),FY24_Temp[],5,FALSE)&amp;TEXT(A275,"-h"),Table6[],4,FALSE)</f>
        <v>0.5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VLOOKUP(TEXT(A275,"yy-mm")&amp;"-"&amp;IF(AND(WEEKDAY(A275)&gt;1,WEEKDAY(A275)&lt;7),"Wkd",TEXT(A275,"Ddd"))&amp;"-"&amp;TEXT(A275,"hh"),LoadTable[],5,FALSE)*0.92</f>
        <v>279.25312000000002</v>
      </c>
      <c r="U275" s="104">
        <f>VLOOKUP(TEXT(A275,"yy-mm")&amp;"-"&amp;IF(AND(WEEKDAY(A275)&gt;1,WEEKDAY(A275)&lt;7),"Wkd",TEXT(A275,"Ddd"))&amp;"-"&amp;TEXT(A275,"hh"),LoadTable[],6,FALSE)*T275</f>
        <v>17686.77560832</v>
      </c>
      <c r="V275">
        <f t="shared" ref="V275:W275" si="268">V251</f>
        <v>3.2</v>
      </c>
      <c r="W275">
        <f t="shared" si="268"/>
        <v>3</v>
      </c>
      <c r="X275" s="9">
        <v>3.2918707999999999</v>
      </c>
    </row>
    <row r="276" spans="1:24">
      <c r="A276" s="29">
        <f t="shared" si="253"/>
        <v>45847.374999999338</v>
      </c>
      <c r="B276" s="30">
        <f t="shared" si="208"/>
        <v>8000</v>
      </c>
      <c r="C276" s="8">
        <v>25000</v>
      </c>
      <c r="D276" s="8">
        <v>0</v>
      </c>
      <c r="E276" s="8">
        <v>0</v>
      </c>
      <c r="F276" s="8">
        <v>0</v>
      </c>
      <c r="G276" s="30">
        <f t="shared" si="209"/>
        <v>2400</v>
      </c>
      <c r="H276" s="8">
        <v>25000</v>
      </c>
      <c r="I276" s="30">
        <f t="shared" si="210"/>
        <v>8000</v>
      </c>
      <c r="J276" s="8">
        <v>25000</v>
      </c>
      <c r="K276" s="30">
        <f t="shared" si="211"/>
        <v>8000</v>
      </c>
      <c r="L276" s="8">
        <v>25000</v>
      </c>
      <c r="M276" s="9">
        <f>VLOOKUP(DATE(YEAR(A276),MONTH(A276),DAY(A276)),FY24_Temp[],4,FALSE)</f>
        <v>8.4</v>
      </c>
      <c r="N276" s="9">
        <f>VLOOKUP(DATE(YEAR(A276),MONTH(A276),DAY(A276)),FY24_Temp[],3,FALSE)</f>
        <v>12.8</v>
      </c>
      <c r="O276" s="9">
        <v>13</v>
      </c>
      <c r="P276" s="9">
        <v>19.5</v>
      </c>
      <c r="Q276" s="79">
        <f>VLOOKUP(VLOOKUP(DATEVALUE(TEXT(A276,"m/d/yyyy")),FY24_Temp[],5,FALSE)&amp;TEXT(A276,"-h"),Table6[],4,FALSE)</f>
        <v>0.5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VLOOKUP(TEXT(A276,"yy-mm")&amp;"-"&amp;IF(AND(WEEKDAY(A276)&gt;1,WEEKDAY(A276)&lt;7),"Wkd",TEXT(A276,"Ddd"))&amp;"-"&amp;TEXT(A276,"hh"),LoadTable[],5,FALSE)*0.92</f>
        <v>279.25312000000002</v>
      </c>
      <c r="U276" s="104">
        <f>VLOOKUP(TEXT(A276,"yy-mm")&amp;"-"&amp;IF(AND(WEEKDAY(A276)&gt;1,WEEKDAY(A276)&lt;7),"Wkd",TEXT(A276,"Ddd"))&amp;"-"&amp;TEXT(A276,"hh"),LoadTable[],6,FALSE)*T276</f>
        <v>14265.924888320002</v>
      </c>
      <c r="V276">
        <f t="shared" ref="V276:W276" si="269">V252</f>
        <v>2.9</v>
      </c>
      <c r="W276">
        <f t="shared" si="269"/>
        <v>3</v>
      </c>
      <c r="X276" s="9">
        <v>3.3311231000000001</v>
      </c>
    </row>
    <row r="277" spans="1:24">
      <c r="A277" s="29">
        <f t="shared" si="253"/>
        <v>45847.416666666002</v>
      </c>
      <c r="B277" s="30">
        <f t="shared" si="208"/>
        <v>8000</v>
      </c>
      <c r="C277" s="8">
        <v>25000</v>
      </c>
      <c r="D277" s="8">
        <v>0</v>
      </c>
      <c r="E277" s="8">
        <v>0</v>
      </c>
      <c r="F277" s="8">
        <v>0</v>
      </c>
      <c r="G277" s="30">
        <f t="shared" si="209"/>
        <v>2400</v>
      </c>
      <c r="H277" s="8">
        <v>25000</v>
      </c>
      <c r="I277" s="30">
        <f t="shared" si="210"/>
        <v>8000</v>
      </c>
      <c r="J277" s="8">
        <v>25000</v>
      </c>
      <c r="K277" s="30">
        <f t="shared" si="211"/>
        <v>8000</v>
      </c>
      <c r="L277" s="8">
        <v>25000</v>
      </c>
      <c r="M277" s="9">
        <f>VLOOKUP(DATE(YEAR(A277),MONTH(A277),DAY(A277)),FY24_Temp[],4,FALSE)</f>
        <v>8.4</v>
      </c>
      <c r="N277" s="9">
        <f>VLOOKUP(DATE(YEAR(A277),MONTH(A277),DAY(A277)),FY24_Temp[],3,FALSE)</f>
        <v>12.8</v>
      </c>
      <c r="O277" s="9">
        <v>13</v>
      </c>
      <c r="P277" s="9">
        <v>19.5</v>
      </c>
      <c r="Q277" s="79">
        <f>VLOOKUP(VLOOKUP(DATEVALUE(TEXT(A277,"m/d/yyyy")),FY24_Temp[],5,FALSE)&amp;TEXT(A277,"-h"),Table6[],4,FALSE)</f>
        <v>0.5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VLOOKUP(TEXT(A277,"yy-mm")&amp;"-"&amp;IF(AND(WEEKDAY(A277)&gt;1,WEEKDAY(A277)&lt;7),"Wkd",TEXT(A277,"Ddd"))&amp;"-"&amp;TEXT(A277,"hh"),LoadTable[],5,FALSE)*0.92</f>
        <v>279.25312000000002</v>
      </c>
      <c r="U277" s="104">
        <f>VLOOKUP(TEXT(A277,"yy-mm")&amp;"-"&amp;IF(AND(WEEKDAY(A277)&gt;1,WEEKDAY(A277)&lt;7),"Wkd",TEXT(A277,"Ddd"))&amp;"-"&amp;TEXT(A277,"hh"),LoadTable[],6,FALSE)*T277</f>
        <v>13649.054746240003</v>
      </c>
      <c r="V277">
        <f t="shared" ref="V277:W277" si="270">V253</f>
        <v>2.9</v>
      </c>
      <c r="W277">
        <f t="shared" si="270"/>
        <v>3</v>
      </c>
      <c r="X277" s="9">
        <v>3.3978062000000002</v>
      </c>
    </row>
    <row r="278" spans="1:24">
      <c r="A278" s="29">
        <f t="shared" si="253"/>
        <v>45847.458333332666</v>
      </c>
      <c r="B278" s="30">
        <f t="shared" si="208"/>
        <v>8000</v>
      </c>
      <c r="C278" s="8">
        <v>25000</v>
      </c>
      <c r="D278" s="8">
        <v>0</v>
      </c>
      <c r="E278" s="8">
        <v>0</v>
      </c>
      <c r="F278" s="8">
        <v>0</v>
      </c>
      <c r="G278" s="30">
        <f t="shared" si="209"/>
        <v>2400</v>
      </c>
      <c r="H278" s="8">
        <v>25000</v>
      </c>
      <c r="I278" s="30">
        <f t="shared" si="210"/>
        <v>8000</v>
      </c>
      <c r="J278" s="8">
        <v>25000</v>
      </c>
      <c r="K278" s="30">
        <f t="shared" si="211"/>
        <v>8000</v>
      </c>
      <c r="L278" s="8">
        <v>25000</v>
      </c>
      <c r="M278" s="9">
        <f>VLOOKUP(DATE(YEAR(A278),MONTH(A278),DAY(A278)),FY24_Temp[],4,FALSE)</f>
        <v>8.4</v>
      </c>
      <c r="N278" s="9">
        <f>VLOOKUP(DATE(YEAR(A278),MONTH(A278),DAY(A278)),FY24_Temp[],3,FALSE)</f>
        <v>12.8</v>
      </c>
      <c r="O278" s="9">
        <v>13</v>
      </c>
      <c r="P278" s="9">
        <v>19.5</v>
      </c>
      <c r="Q278" s="79">
        <f>VLOOKUP(VLOOKUP(DATEVALUE(TEXT(A278,"m/d/yyyy")),FY24_Temp[],5,FALSE)&amp;TEXT(A278,"-h"),Table6[],4,FALSE)</f>
        <v>0.5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VLOOKUP(TEXT(A278,"yy-mm")&amp;"-"&amp;IF(AND(WEEKDAY(A278)&gt;1,WEEKDAY(A278)&lt;7),"Wkd",TEXT(A278,"Ddd"))&amp;"-"&amp;TEXT(A278,"hh"),LoadTable[],5,FALSE)*0.92</f>
        <v>279.25312000000002</v>
      </c>
      <c r="U278" s="104">
        <f>VLOOKUP(TEXT(A278,"yy-mm")&amp;"-"&amp;IF(AND(WEEKDAY(A278)&gt;1,WEEKDAY(A278)&lt;7),"Wkd",TEXT(A278,"Ddd"))&amp;"-"&amp;TEXT(A278,"hh"),LoadTable[],6,FALSE)*T278</f>
        <v>13153.938964480001</v>
      </c>
      <c r="V278">
        <f t="shared" ref="V278:W278" si="271">V254</f>
        <v>3.4</v>
      </c>
      <c r="W278">
        <f t="shared" si="271"/>
        <v>3</v>
      </c>
      <c r="X278" s="9">
        <v>3.3477643000000001</v>
      </c>
    </row>
    <row r="279" spans="1:24">
      <c r="A279" s="29">
        <f t="shared" si="253"/>
        <v>45847.499999999331</v>
      </c>
      <c r="B279" s="30">
        <f t="shared" si="208"/>
        <v>8000</v>
      </c>
      <c r="C279" s="8">
        <v>25000</v>
      </c>
      <c r="D279" s="8">
        <v>0</v>
      </c>
      <c r="E279" s="8">
        <v>0</v>
      </c>
      <c r="F279" s="8">
        <v>0</v>
      </c>
      <c r="G279" s="30">
        <f t="shared" si="209"/>
        <v>2400</v>
      </c>
      <c r="H279" s="8">
        <v>25000</v>
      </c>
      <c r="I279" s="30">
        <f t="shared" si="210"/>
        <v>8000</v>
      </c>
      <c r="J279" s="8">
        <v>25000</v>
      </c>
      <c r="K279" s="30">
        <f t="shared" si="211"/>
        <v>8000</v>
      </c>
      <c r="L279" s="8">
        <v>25000</v>
      </c>
      <c r="M279" s="9">
        <f>VLOOKUP(DATE(YEAR(A279),MONTH(A279),DAY(A279)),FY24_Temp[],4,FALSE)</f>
        <v>8.4</v>
      </c>
      <c r="N279" s="9">
        <f>VLOOKUP(DATE(YEAR(A279),MONTH(A279),DAY(A279)),FY24_Temp[],3,FALSE)</f>
        <v>12.8</v>
      </c>
      <c r="O279" s="9">
        <v>13</v>
      </c>
      <c r="P279" s="9">
        <v>19.5</v>
      </c>
      <c r="Q279" s="79">
        <f>VLOOKUP(VLOOKUP(DATEVALUE(TEXT(A279,"m/d/yyyy")),FY24_Temp[],5,FALSE)&amp;TEXT(A279,"-h"),Table6[],4,FALSE)</f>
        <v>0.5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VLOOKUP(TEXT(A279,"yy-mm")&amp;"-"&amp;IF(AND(WEEKDAY(A279)&gt;1,WEEKDAY(A279)&lt;7),"Wkd",TEXT(A279,"Ddd"))&amp;"-"&amp;TEXT(A279,"hh"),LoadTable[],5,FALSE)*0.92</f>
        <v>279.25312000000002</v>
      </c>
      <c r="U279" s="104">
        <f>VLOOKUP(TEXT(A279,"yy-mm")&amp;"-"&amp;IF(AND(WEEKDAY(A279)&gt;1,WEEKDAY(A279)&lt;7),"Wkd",TEXT(A279,"Ddd"))&amp;"-"&amp;TEXT(A279,"hh"),LoadTable[],6,FALSE)*T279</f>
        <v>13898.427782400002</v>
      </c>
      <c r="V279">
        <f t="shared" ref="V279:W279" si="272">V255</f>
        <v>3.1</v>
      </c>
      <c r="W279">
        <f t="shared" si="272"/>
        <v>2.9</v>
      </c>
      <c r="X279" s="9">
        <v>3.2187998000000002</v>
      </c>
    </row>
    <row r="280" spans="1:24">
      <c r="A280" s="29">
        <f t="shared" si="253"/>
        <v>45847.541666665995</v>
      </c>
      <c r="B280" s="30">
        <f t="shared" si="208"/>
        <v>8000</v>
      </c>
      <c r="C280" s="8">
        <v>25000</v>
      </c>
      <c r="D280" s="8">
        <v>0</v>
      </c>
      <c r="E280" s="8">
        <v>0</v>
      </c>
      <c r="F280" s="8">
        <v>0</v>
      </c>
      <c r="G280" s="30">
        <f t="shared" si="209"/>
        <v>2400</v>
      </c>
      <c r="H280" s="8">
        <v>25000</v>
      </c>
      <c r="I280" s="30">
        <f t="shared" si="210"/>
        <v>8000</v>
      </c>
      <c r="J280" s="8">
        <v>25000</v>
      </c>
      <c r="K280" s="30">
        <f t="shared" si="211"/>
        <v>8000</v>
      </c>
      <c r="L280" s="8">
        <v>25000</v>
      </c>
      <c r="M280" s="9">
        <f>VLOOKUP(DATE(YEAR(A280),MONTH(A280),DAY(A280)),FY24_Temp[],4,FALSE)</f>
        <v>8.4</v>
      </c>
      <c r="N280" s="9">
        <f>VLOOKUP(DATE(YEAR(A280),MONTH(A280),DAY(A280)),FY24_Temp[],3,FALSE)</f>
        <v>12.8</v>
      </c>
      <c r="O280" s="9">
        <v>13</v>
      </c>
      <c r="P280" s="9">
        <v>19.5</v>
      </c>
      <c r="Q280" s="79">
        <f>VLOOKUP(VLOOKUP(DATEVALUE(TEXT(A280,"m/d/yyyy")),FY24_Temp[],5,FALSE)&amp;TEXT(A280,"-h"),Table6[],4,FALSE)</f>
        <v>0.5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VLOOKUP(TEXT(A280,"yy-mm")&amp;"-"&amp;IF(AND(WEEKDAY(A280)&gt;1,WEEKDAY(A280)&lt;7),"Wkd",TEXT(A280,"Ddd"))&amp;"-"&amp;TEXT(A280,"hh"),LoadTable[],5,FALSE)*0.92</f>
        <v>279.25312000000002</v>
      </c>
      <c r="U280" s="104">
        <f>VLOOKUP(TEXT(A280,"yy-mm")&amp;"-"&amp;IF(AND(WEEKDAY(A280)&gt;1,WEEKDAY(A280)&lt;7),"Wkd",TEXT(A280,"Ddd"))&amp;"-"&amp;TEXT(A280,"hh"),LoadTable[],6,FALSE)*T280</f>
        <v>16526.1996416</v>
      </c>
      <c r="V280">
        <f t="shared" ref="V280:W280" si="273">V256</f>
        <v>3.2</v>
      </c>
      <c r="W280">
        <f t="shared" si="273"/>
        <v>2.9</v>
      </c>
      <c r="X280" s="9">
        <v>3.0315371</v>
      </c>
    </row>
    <row r="281" spans="1:24">
      <c r="A281" s="29">
        <f t="shared" si="253"/>
        <v>45847.583333332659</v>
      </c>
      <c r="B281" s="30">
        <f t="shared" si="208"/>
        <v>8000</v>
      </c>
      <c r="C281" s="8">
        <v>25000</v>
      </c>
      <c r="D281" s="8">
        <v>0</v>
      </c>
      <c r="E281" s="8">
        <v>0</v>
      </c>
      <c r="F281" s="8">
        <v>0</v>
      </c>
      <c r="G281" s="30">
        <f t="shared" si="209"/>
        <v>2400</v>
      </c>
      <c r="H281" s="8">
        <v>25000</v>
      </c>
      <c r="I281" s="30">
        <f t="shared" si="210"/>
        <v>8000</v>
      </c>
      <c r="J281" s="8">
        <v>25000</v>
      </c>
      <c r="K281" s="30">
        <f t="shared" si="211"/>
        <v>8000</v>
      </c>
      <c r="L281" s="8">
        <v>25000</v>
      </c>
      <c r="M281" s="9">
        <f>VLOOKUP(DATE(YEAR(A281),MONTH(A281),DAY(A281)),FY24_Temp[],4,FALSE)</f>
        <v>8.4</v>
      </c>
      <c r="N281" s="9">
        <f>VLOOKUP(DATE(YEAR(A281),MONTH(A281),DAY(A281)),FY24_Temp[],3,FALSE)</f>
        <v>12.8</v>
      </c>
      <c r="O281" s="9">
        <v>13</v>
      </c>
      <c r="P281" s="9">
        <v>19.5</v>
      </c>
      <c r="Q281" s="79">
        <f>VLOOKUP(VLOOKUP(DATEVALUE(TEXT(A281,"m/d/yyyy")),FY24_Temp[],5,FALSE)&amp;TEXT(A281,"-h"),Table6[],4,FALSE)</f>
        <v>0.5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VLOOKUP(TEXT(A281,"yy-mm")&amp;"-"&amp;IF(AND(WEEKDAY(A281)&gt;1,WEEKDAY(A281)&lt;7),"Wkd",TEXT(A281,"Ddd"))&amp;"-"&amp;TEXT(A281,"hh"),LoadTable[],5,FALSE)*0.92</f>
        <v>373.26607999999999</v>
      </c>
      <c r="U281" s="104">
        <f>VLOOKUP(TEXT(A281,"yy-mm")&amp;"-"&amp;IF(AND(WEEKDAY(A281)&gt;1,WEEKDAY(A281)&lt;7),"Wkd",TEXT(A281,"Ddd"))&amp;"-"&amp;TEXT(A281,"hh"),LoadTable[],6,FALSE)*T281</f>
        <v>27132.338089119996</v>
      </c>
      <c r="V281">
        <f t="shared" ref="V281:W281" si="274">V257</f>
        <v>3.5</v>
      </c>
      <c r="W281">
        <f t="shared" si="274"/>
        <v>2.9</v>
      </c>
      <c r="X281" s="9">
        <v>2.9215453</v>
      </c>
    </row>
    <row r="282" spans="1:24">
      <c r="A282" s="29">
        <f t="shared" si="253"/>
        <v>45847.624999999323</v>
      </c>
      <c r="B282" s="30">
        <f t="shared" si="208"/>
        <v>8000</v>
      </c>
      <c r="C282" s="8">
        <v>25000</v>
      </c>
      <c r="D282" s="8">
        <v>0</v>
      </c>
      <c r="E282" s="8">
        <v>0</v>
      </c>
      <c r="F282" s="8">
        <v>0</v>
      </c>
      <c r="G282" s="30">
        <f t="shared" si="209"/>
        <v>2400</v>
      </c>
      <c r="H282" s="8">
        <v>25000</v>
      </c>
      <c r="I282" s="30">
        <f t="shared" si="210"/>
        <v>8000</v>
      </c>
      <c r="J282" s="8">
        <v>25000</v>
      </c>
      <c r="K282" s="30">
        <f t="shared" si="211"/>
        <v>8000</v>
      </c>
      <c r="L282" s="8">
        <v>25000</v>
      </c>
      <c r="M282" s="9">
        <f>VLOOKUP(DATE(YEAR(A282),MONTH(A282),DAY(A282)),FY24_Temp[],4,FALSE)</f>
        <v>8.4</v>
      </c>
      <c r="N282" s="9">
        <f>VLOOKUP(DATE(YEAR(A282),MONTH(A282),DAY(A282)),FY24_Temp[],3,FALSE)</f>
        <v>12.8</v>
      </c>
      <c r="O282" s="9">
        <v>13</v>
      </c>
      <c r="P282" s="9">
        <v>19.5</v>
      </c>
      <c r="Q282" s="79">
        <f>VLOOKUP(VLOOKUP(DATEVALUE(TEXT(A282,"m/d/yyyy")),FY24_Temp[],5,FALSE)&amp;TEXT(A282,"-h"),Table6[],4,FALSE)</f>
        <v>0.5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VLOOKUP(TEXT(A282,"yy-mm")&amp;"-"&amp;IF(AND(WEEKDAY(A282)&gt;1,WEEKDAY(A282)&lt;7),"Wkd",TEXT(A282,"Ddd"))&amp;"-"&amp;TEXT(A282,"hh"),LoadTable[],5,FALSE)*0.92</f>
        <v>494.57360000000006</v>
      </c>
      <c r="U282" s="104">
        <f>VLOOKUP(TEXT(A282,"yy-mm")&amp;"-"&amp;IF(AND(WEEKDAY(A282)&gt;1,WEEKDAY(A282)&lt;7),"Wkd",TEXT(A282,"Ddd"))&amp;"-"&amp;TEXT(A282,"hh"),LoadTable[],6,FALSE)*T282</f>
        <v>42310.771480000003</v>
      </c>
      <c r="V282">
        <f t="shared" ref="V282:W282" si="275">V258</f>
        <v>3.2</v>
      </c>
      <c r="W282">
        <f t="shared" si="275"/>
        <v>2.9</v>
      </c>
      <c r="X282" s="9">
        <v>3.0448556</v>
      </c>
    </row>
    <row r="283" spans="1:24">
      <c r="A283" s="29">
        <f t="shared" si="253"/>
        <v>45847.666666665988</v>
      </c>
      <c r="B283" s="30">
        <f t="shared" si="208"/>
        <v>8000</v>
      </c>
      <c r="C283" s="8">
        <v>25000</v>
      </c>
      <c r="D283" s="8">
        <v>0</v>
      </c>
      <c r="E283" s="8">
        <v>0</v>
      </c>
      <c r="F283" s="8">
        <v>0</v>
      </c>
      <c r="G283" s="30">
        <f t="shared" si="209"/>
        <v>2400</v>
      </c>
      <c r="H283" s="8">
        <v>25000</v>
      </c>
      <c r="I283" s="30">
        <f t="shared" si="210"/>
        <v>8000</v>
      </c>
      <c r="J283" s="8">
        <v>25000</v>
      </c>
      <c r="K283" s="30">
        <f t="shared" si="211"/>
        <v>8000</v>
      </c>
      <c r="L283" s="8">
        <v>25000</v>
      </c>
      <c r="M283" s="9">
        <f>VLOOKUP(DATE(YEAR(A283),MONTH(A283),DAY(A283)),FY24_Temp[],4,FALSE)</f>
        <v>8.4</v>
      </c>
      <c r="N283" s="9">
        <f>VLOOKUP(DATE(YEAR(A283),MONTH(A283),DAY(A283)),FY24_Temp[],3,FALSE)</f>
        <v>12.8</v>
      </c>
      <c r="O283" s="9">
        <v>13</v>
      </c>
      <c r="P283" s="9">
        <v>19.5</v>
      </c>
      <c r="Q283" s="79">
        <f>VLOOKUP(VLOOKUP(DATEVALUE(TEXT(A283,"m/d/yyyy")),FY24_Temp[],5,FALSE)&amp;TEXT(A283,"-h"),Table6[],4,FALSE)</f>
        <v>0.5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VLOOKUP(TEXT(A283,"yy-mm")&amp;"-"&amp;IF(AND(WEEKDAY(A283)&gt;1,WEEKDAY(A283)&lt;7),"Wkd",TEXT(A283,"Ddd"))&amp;"-"&amp;TEXT(A283,"hh"),LoadTable[],5,FALSE)*0.92</f>
        <v>494.57360000000006</v>
      </c>
      <c r="U283" s="104">
        <f>VLOOKUP(TEXT(A283,"yy-mm")&amp;"-"&amp;IF(AND(WEEKDAY(A283)&gt;1,WEEKDAY(A283)&lt;7),"Wkd",TEXT(A283,"Ddd"))&amp;"-"&amp;TEXT(A283,"hh"),LoadTable[],6,FALSE)*T283</f>
        <v>50694.28857360001</v>
      </c>
      <c r="V283">
        <f t="shared" ref="V283:W283" si="276">V259</f>
        <v>3.5</v>
      </c>
      <c r="W283">
        <f t="shared" si="276"/>
        <v>3</v>
      </c>
      <c r="X283" s="9">
        <v>3.3181381000000001</v>
      </c>
    </row>
    <row r="284" spans="1:24">
      <c r="A284" s="29">
        <f t="shared" si="253"/>
        <v>45847.708333332652</v>
      </c>
      <c r="B284" s="30">
        <f t="shared" ref="B284:B347" si="277">B260</f>
        <v>8000</v>
      </c>
      <c r="C284" s="8">
        <v>25000</v>
      </c>
      <c r="D284" s="8">
        <v>0</v>
      </c>
      <c r="E284" s="8">
        <v>0</v>
      </c>
      <c r="F284" s="8">
        <v>0</v>
      </c>
      <c r="G284" s="30">
        <f t="shared" ref="G284:G347" si="278">G260</f>
        <v>2400</v>
      </c>
      <c r="H284" s="8">
        <v>25000</v>
      </c>
      <c r="I284" s="30">
        <f t="shared" ref="I284:I347" si="279">I260</f>
        <v>8000</v>
      </c>
      <c r="J284" s="8">
        <v>25000</v>
      </c>
      <c r="K284" s="30">
        <f t="shared" ref="K284:K347" si="280">K260</f>
        <v>8000</v>
      </c>
      <c r="L284" s="8">
        <v>25000</v>
      </c>
      <c r="M284" s="9">
        <f>VLOOKUP(DATE(YEAR(A284),MONTH(A284),DAY(A284)),FY24_Temp[],4,FALSE)</f>
        <v>8.4</v>
      </c>
      <c r="N284" s="9">
        <f>VLOOKUP(DATE(YEAR(A284),MONTH(A284),DAY(A284)),FY24_Temp[],3,FALSE)</f>
        <v>12.8</v>
      </c>
      <c r="O284" s="9">
        <v>13</v>
      </c>
      <c r="P284" s="9">
        <v>19.5</v>
      </c>
      <c r="Q284" s="79">
        <f>VLOOKUP(VLOOKUP(DATEVALUE(TEXT(A284,"m/d/yyyy")),FY24_Temp[],5,FALSE)&amp;TEXT(A284,"-h"),Table6[],4,FALSE)</f>
        <v>0.5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VLOOKUP(TEXT(A284,"yy-mm")&amp;"-"&amp;IF(AND(WEEKDAY(A284)&gt;1,WEEKDAY(A284)&lt;7),"Wkd",TEXT(A284,"Ddd"))&amp;"-"&amp;TEXT(A284,"hh"),LoadTable[],5,FALSE)*0.92</f>
        <v>494.57360000000006</v>
      </c>
      <c r="U284" s="104">
        <f>VLOOKUP(TEXT(A284,"yy-mm")&amp;"-"&amp;IF(AND(WEEKDAY(A284)&gt;1,WEEKDAY(A284)&lt;7),"Wkd",TEXT(A284,"Ddd"))&amp;"-"&amp;TEXT(A284,"hh"),LoadTable[],6,FALSE)*T284</f>
        <v>56025.791981600007</v>
      </c>
      <c r="V284">
        <f t="shared" ref="V284:W284" si="281">V260</f>
        <v>3.6</v>
      </c>
      <c r="W284">
        <f t="shared" si="281"/>
        <v>3</v>
      </c>
      <c r="X284" s="9">
        <v>3.2049278999999999</v>
      </c>
    </row>
    <row r="285" spans="1:24">
      <c r="A285" s="29">
        <f t="shared" si="253"/>
        <v>45847.749999999316</v>
      </c>
      <c r="B285" s="30">
        <f t="shared" si="277"/>
        <v>5000</v>
      </c>
      <c r="C285" s="8">
        <v>25000</v>
      </c>
      <c r="D285" s="8">
        <v>0</v>
      </c>
      <c r="E285" s="8">
        <v>0</v>
      </c>
      <c r="F285" s="8">
        <v>0</v>
      </c>
      <c r="G285" s="30">
        <f t="shared" si="278"/>
        <v>2400</v>
      </c>
      <c r="H285" s="8">
        <v>25000</v>
      </c>
      <c r="I285" s="30">
        <f t="shared" si="279"/>
        <v>5000</v>
      </c>
      <c r="J285" s="8">
        <v>25000</v>
      </c>
      <c r="K285" s="30">
        <f t="shared" si="280"/>
        <v>5000</v>
      </c>
      <c r="L285" s="8">
        <v>25000</v>
      </c>
      <c r="M285" s="9">
        <f>VLOOKUP(DATE(YEAR(A285),MONTH(A285),DAY(A285)),FY24_Temp[],4,FALSE)</f>
        <v>8.4</v>
      </c>
      <c r="N285" s="9">
        <f>VLOOKUP(DATE(YEAR(A285),MONTH(A285),DAY(A285)),FY24_Temp[],3,FALSE)</f>
        <v>12.8</v>
      </c>
      <c r="O285" s="9">
        <v>13</v>
      </c>
      <c r="P285" s="9">
        <v>19.5</v>
      </c>
      <c r="Q285" s="79">
        <f>VLOOKUP(VLOOKUP(DATEVALUE(TEXT(A285,"m/d/yyyy")),FY24_Temp[],5,FALSE)&amp;TEXT(A285,"-h"),Table6[],4,FALSE)</f>
        <v>0.5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VLOOKUP(TEXT(A285,"yy-mm")&amp;"-"&amp;IF(AND(WEEKDAY(A285)&gt;1,WEEKDAY(A285)&lt;7),"Wkd",TEXT(A285,"Ddd"))&amp;"-"&amp;TEXT(A285,"hh"),LoadTable[],5,FALSE)*0.92</f>
        <v>494.57360000000006</v>
      </c>
      <c r="U285" s="104">
        <f>VLOOKUP(TEXT(A285,"yy-mm")&amp;"-"&amp;IF(AND(WEEKDAY(A285)&gt;1,WEEKDAY(A285)&lt;7),"Wkd",TEXT(A285,"Ddd"))&amp;"-"&amp;TEXT(A285,"hh"),LoadTable[],6,FALSE)*T285</f>
        <v>60164.383866400007</v>
      </c>
      <c r="V285">
        <f t="shared" ref="V285:W285" si="282">V261</f>
        <v>2.9</v>
      </c>
      <c r="W285">
        <f t="shared" si="282"/>
        <v>3</v>
      </c>
      <c r="X285" s="9">
        <v>3.1469518999999999</v>
      </c>
    </row>
    <row r="286" spans="1:24">
      <c r="A286" s="29">
        <f t="shared" si="253"/>
        <v>45847.79166666598</v>
      </c>
      <c r="B286" s="30">
        <f t="shared" si="277"/>
        <v>5000</v>
      </c>
      <c r="C286" s="8">
        <v>25000</v>
      </c>
      <c r="D286" s="8">
        <v>0</v>
      </c>
      <c r="E286" s="8">
        <v>0</v>
      </c>
      <c r="F286" s="8">
        <v>0</v>
      </c>
      <c r="G286" s="30">
        <f t="shared" si="278"/>
        <v>2400</v>
      </c>
      <c r="H286" s="8">
        <v>25000</v>
      </c>
      <c r="I286" s="30">
        <f t="shared" si="279"/>
        <v>5000</v>
      </c>
      <c r="J286" s="8">
        <v>25000</v>
      </c>
      <c r="K286" s="30">
        <f t="shared" si="280"/>
        <v>5000</v>
      </c>
      <c r="L286" s="8">
        <v>25000</v>
      </c>
      <c r="M286" s="9">
        <f>VLOOKUP(DATE(YEAR(A286),MONTH(A286),DAY(A286)),FY24_Temp[],4,FALSE)</f>
        <v>8.4</v>
      </c>
      <c r="N286" s="9">
        <f>VLOOKUP(DATE(YEAR(A286),MONTH(A286),DAY(A286)),FY24_Temp[],3,FALSE)</f>
        <v>12.8</v>
      </c>
      <c r="O286" s="9">
        <v>13</v>
      </c>
      <c r="P286" s="9">
        <v>19.5</v>
      </c>
      <c r="Q286" s="79">
        <f>VLOOKUP(VLOOKUP(DATEVALUE(TEXT(A286,"m/d/yyyy")),FY24_Temp[],5,FALSE)&amp;TEXT(A286,"-h"),Table6[],4,FALSE)</f>
        <v>0.5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VLOOKUP(TEXT(A286,"yy-mm")&amp;"-"&amp;IF(AND(WEEKDAY(A286)&gt;1,WEEKDAY(A286)&lt;7),"Wkd",TEXT(A286,"Ddd"))&amp;"-"&amp;TEXT(A286,"hh"),LoadTable[],5,FALSE)*0.92</f>
        <v>494.57360000000006</v>
      </c>
      <c r="U286" s="104">
        <f>VLOOKUP(TEXT(A286,"yy-mm")&amp;"-"&amp;IF(AND(WEEKDAY(A286)&gt;1,WEEKDAY(A286)&lt;7),"Wkd",TEXT(A286,"Ddd"))&amp;"-"&amp;TEXT(A286,"hh"),LoadTable[],6,FALSE)*T286</f>
        <v>60548.172980000003</v>
      </c>
      <c r="V286">
        <f t="shared" ref="V286:W286" si="283">V262</f>
        <v>3</v>
      </c>
      <c r="W286">
        <f t="shared" si="283"/>
        <v>3</v>
      </c>
      <c r="X286" s="9">
        <v>3.1699370999999998</v>
      </c>
    </row>
    <row r="287" spans="1:24">
      <c r="A287" s="29">
        <f t="shared" si="253"/>
        <v>45847.833333332645</v>
      </c>
      <c r="B287" s="30">
        <f t="shared" si="277"/>
        <v>5000</v>
      </c>
      <c r="C287" s="8">
        <v>25000</v>
      </c>
      <c r="D287" s="8">
        <v>0</v>
      </c>
      <c r="E287" s="8">
        <v>0</v>
      </c>
      <c r="F287" s="8">
        <v>0</v>
      </c>
      <c r="G287" s="30">
        <f t="shared" si="278"/>
        <v>2400</v>
      </c>
      <c r="H287" s="8">
        <v>25000</v>
      </c>
      <c r="I287" s="30">
        <f t="shared" si="279"/>
        <v>5000</v>
      </c>
      <c r="J287" s="8">
        <v>25000</v>
      </c>
      <c r="K287" s="30">
        <f t="shared" si="280"/>
        <v>5000</v>
      </c>
      <c r="L287" s="8">
        <v>25000</v>
      </c>
      <c r="M287" s="9">
        <f>VLOOKUP(DATE(YEAR(A287),MONTH(A287),DAY(A287)),FY24_Temp[],4,FALSE)</f>
        <v>8.4</v>
      </c>
      <c r="N287" s="9">
        <f>VLOOKUP(DATE(YEAR(A287),MONTH(A287),DAY(A287)),FY24_Temp[],3,FALSE)</f>
        <v>12.8</v>
      </c>
      <c r="O287" s="9">
        <v>13</v>
      </c>
      <c r="P287" s="9">
        <v>19.5</v>
      </c>
      <c r="Q287" s="79">
        <f>VLOOKUP(VLOOKUP(DATEVALUE(TEXT(A287,"m/d/yyyy")),FY24_Temp[],5,FALSE)&amp;TEXT(A287,"-h"),Table6[],4,FALSE)</f>
        <v>0.5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VLOOKUP(TEXT(A287,"yy-mm")&amp;"-"&amp;IF(AND(WEEKDAY(A287)&gt;1,WEEKDAY(A287)&lt;7),"Wkd",TEXT(A287,"Ddd"))&amp;"-"&amp;TEXT(A287,"hh"),LoadTable[],5,FALSE)*0.92</f>
        <v>494.57360000000006</v>
      </c>
      <c r="U287" s="104">
        <f>VLOOKUP(TEXT(A287,"yy-mm")&amp;"-"&amp;IF(AND(WEEKDAY(A287)&gt;1,WEEKDAY(A287)&lt;7),"Wkd",TEXT(A287,"Ddd"))&amp;"-"&amp;TEXT(A287,"hh"),LoadTable[],6,FALSE)*T287</f>
        <v>60532.346624800004</v>
      </c>
      <c r="V287">
        <f t="shared" ref="V287:W287" si="284">V263</f>
        <v>2.8</v>
      </c>
      <c r="W287">
        <f t="shared" si="284"/>
        <v>3.1</v>
      </c>
      <c r="X287" s="9">
        <v>3.1801414000000001</v>
      </c>
    </row>
    <row r="288" spans="1:24">
      <c r="A288" s="29">
        <f t="shared" si="253"/>
        <v>45847.874999999309</v>
      </c>
      <c r="B288" s="30">
        <f t="shared" si="277"/>
        <v>5000</v>
      </c>
      <c r="C288" s="8">
        <v>25000</v>
      </c>
      <c r="D288" s="8">
        <v>0</v>
      </c>
      <c r="E288" s="8">
        <v>0</v>
      </c>
      <c r="F288" s="8">
        <v>0</v>
      </c>
      <c r="G288" s="30">
        <f t="shared" si="278"/>
        <v>2400</v>
      </c>
      <c r="H288" s="8">
        <v>25000</v>
      </c>
      <c r="I288" s="30">
        <f t="shared" si="279"/>
        <v>5000</v>
      </c>
      <c r="J288" s="8">
        <v>25000</v>
      </c>
      <c r="K288" s="30">
        <f t="shared" si="280"/>
        <v>5000</v>
      </c>
      <c r="L288" s="8">
        <v>25000</v>
      </c>
      <c r="M288" s="9">
        <f>VLOOKUP(DATE(YEAR(A288),MONTH(A288),DAY(A288)),FY24_Temp[],4,FALSE)</f>
        <v>8.4</v>
      </c>
      <c r="N288" s="9">
        <f>VLOOKUP(DATE(YEAR(A288),MONTH(A288),DAY(A288)),FY24_Temp[],3,FALSE)</f>
        <v>12.8</v>
      </c>
      <c r="O288" s="9">
        <v>13</v>
      </c>
      <c r="P288" s="9">
        <v>19.5</v>
      </c>
      <c r="Q288" s="79">
        <f>VLOOKUP(VLOOKUP(DATEVALUE(TEXT(A288,"m/d/yyyy")),FY24_Temp[],5,FALSE)&amp;TEXT(A288,"-h"),Table6[],4,FALSE)</f>
        <v>0.5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VLOOKUP(TEXT(A288,"yy-mm")&amp;"-"&amp;IF(AND(WEEKDAY(A288)&gt;1,WEEKDAY(A288)&lt;7),"Wkd",TEXT(A288,"Ddd"))&amp;"-"&amp;TEXT(A288,"hh"),LoadTable[],5,FALSE)*0.92</f>
        <v>494.57360000000006</v>
      </c>
      <c r="U288" s="104">
        <f>VLOOKUP(TEXT(A288,"yy-mm")&amp;"-"&amp;IF(AND(WEEKDAY(A288)&gt;1,WEEKDAY(A288)&lt;7),"Wkd",TEXT(A288,"Ddd"))&amp;"-"&amp;TEXT(A288,"hh"),LoadTable[],6,FALSE)*T288</f>
        <v>58481.349905600007</v>
      </c>
      <c r="V288">
        <f t="shared" ref="V288:W288" si="285">V264</f>
        <v>3.5</v>
      </c>
      <c r="W288">
        <f t="shared" si="285"/>
        <v>3.1</v>
      </c>
      <c r="X288" s="9">
        <v>3.1592965</v>
      </c>
    </row>
    <row r="289" spans="1:24">
      <c r="A289" s="29">
        <f t="shared" si="253"/>
        <v>45847.916666665973</v>
      </c>
      <c r="B289" s="30">
        <f t="shared" si="277"/>
        <v>5000</v>
      </c>
      <c r="C289" s="8">
        <v>25000</v>
      </c>
      <c r="D289" s="8">
        <v>0</v>
      </c>
      <c r="E289" s="8">
        <v>0</v>
      </c>
      <c r="F289" s="8">
        <v>0</v>
      </c>
      <c r="G289" s="30">
        <f t="shared" si="278"/>
        <v>2400</v>
      </c>
      <c r="H289" s="8">
        <v>25000</v>
      </c>
      <c r="I289" s="30">
        <f t="shared" si="279"/>
        <v>5000</v>
      </c>
      <c r="J289" s="8">
        <v>25000</v>
      </c>
      <c r="K289" s="30">
        <f t="shared" si="280"/>
        <v>5000</v>
      </c>
      <c r="L289" s="8">
        <v>25000</v>
      </c>
      <c r="M289" s="9">
        <f>VLOOKUP(DATE(YEAR(A289),MONTH(A289),DAY(A289)),FY24_Temp[],4,FALSE)</f>
        <v>8.4</v>
      </c>
      <c r="N289" s="9">
        <f>VLOOKUP(DATE(YEAR(A289),MONTH(A289),DAY(A289)),FY24_Temp[],3,FALSE)</f>
        <v>12.8</v>
      </c>
      <c r="O289" s="9">
        <v>13</v>
      </c>
      <c r="P289" s="9">
        <v>19.5</v>
      </c>
      <c r="Q289" s="79">
        <f>VLOOKUP(VLOOKUP(DATEVALUE(TEXT(A289,"m/d/yyyy")),FY24_Temp[],5,FALSE)&amp;TEXT(A289,"-h"),Table6[],4,FALSE)</f>
        <v>0.5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VLOOKUP(TEXT(A289,"yy-mm")&amp;"-"&amp;IF(AND(WEEKDAY(A289)&gt;1,WEEKDAY(A289)&lt;7),"Wkd",TEXT(A289,"Ddd"))&amp;"-"&amp;TEXT(A289,"hh"),LoadTable[],5,FALSE)*0.92</f>
        <v>418.75640000000004</v>
      </c>
      <c r="U289" s="104">
        <f>VLOOKUP(TEXT(A289,"yy-mm")&amp;"-"&amp;IF(AND(WEEKDAY(A289)&gt;1,WEEKDAY(A289)&lt;7),"Wkd",TEXT(A289,"Ddd"))&amp;"-"&amp;TEXT(A289,"hh"),LoadTable[],6,FALSE)*T289</f>
        <v>27547.889774000003</v>
      </c>
      <c r="V289">
        <f t="shared" ref="V289:W289" si="286">V265</f>
        <v>2.9</v>
      </c>
      <c r="W289">
        <f t="shared" si="286"/>
        <v>3.1</v>
      </c>
      <c r="X289" s="9">
        <v>3.1159954000000001</v>
      </c>
    </row>
    <row r="290" spans="1:24">
      <c r="A290" s="29">
        <f t="shared" si="253"/>
        <v>45847.958333332637</v>
      </c>
      <c r="B290" s="30">
        <f t="shared" si="277"/>
        <v>5000</v>
      </c>
      <c r="C290" s="8">
        <v>25000</v>
      </c>
      <c r="D290" s="8">
        <v>0</v>
      </c>
      <c r="E290" s="8">
        <v>0</v>
      </c>
      <c r="F290" s="8">
        <v>0</v>
      </c>
      <c r="G290" s="30">
        <f t="shared" si="278"/>
        <v>2400</v>
      </c>
      <c r="H290" s="8">
        <v>25000</v>
      </c>
      <c r="I290" s="30">
        <f t="shared" si="279"/>
        <v>5000</v>
      </c>
      <c r="J290" s="8">
        <v>25000</v>
      </c>
      <c r="K290" s="30">
        <f t="shared" si="280"/>
        <v>5000</v>
      </c>
      <c r="L290" s="8">
        <v>25000</v>
      </c>
      <c r="M290" s="9">
        <f>VLOOKUP(DATE(YEAR(A290),MONTH(A290),DAY(A290)),FY24_Temp[],4,FALSE)</f>
        <v>8.4</v>
      </c>
      <c r="N290" s="9">
        <f>VLOOKUP(DATE(YEAR(A290),MONTH(A290),DAY(A290)),FY24_Temp[],3,FALSE)</f>
        <v>12.8</v>
      </c>
      <c r="O290" s="9">
        <v>13</v>
      </c>
      <c r="P290" s="9">
        <v>19.5</v>
      </c>
      <c r="Q290" s="79">
        <f>VLOOKUP(VLOOKUP(DATEVALUE(TEXT(A290,"m/d/yyyy")),FY24_Temp[],5,FALSE)&amp;TEXT(A290,"-h"),Table6[],4,FALSE)</f>
        <v>0.5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VLOOKUP(TEXT(A290,"yy-mm")&amp;"-"&amp;IF(AND(WEEKDAY(A290)&gt;1,WEEKDAY(A290)&lt;7),"Wkd",TEXT(A290,"Ddd"))&amp;"-"&amp;TEXT(A290,"hh"),LoadTable[],5,FALSE)*0.92</f>
        <v>342.93920000000003</v>
      </c>
      <c r="U290" s="104">
        <f>VLOOKUP(TEXT(A290,"yy-mm")&amp;"-"&amp;IF(AND(WEEKDAY(A290)&gt;1,WEEKDAY(A290)&lt;7),"Wkd",TEXT(A290,"Ddd"))&amp;"-"&amp;TEXT(A290,"hh"),LoadTable[],6,FALSE)*T290</f>
        <v>19873.669579200003</v>
      </c>
      <c r="V290">
        <f t="shared" ref="V290:W290" si="287">V266</f>
        <v>3.6</v>
      </c>
      <c r="W290">
        <f t="shared" si="287"/>
        <v>3.1</v>
      </c>
      <c r="X290" s="9">
        <v>3.0428242999999999</v>
      </c>
    </row>
    <row r="291" spans="1:24">
      <c r="A291" s="29">
        <f t="shared" si="253"/>
        <v>45847.999999999302</v>
      </c>
      <c r="B291" s="30">
        <f t="shared" si="277"/>
        <v>5000</v>
      </c>
      <c r="C291" s="8">
        <v>25000</v>
      </c>
      <c r="D291" s="8">
        <v>0</v>
      </c>
      <c r="E291" s="8">
        <v>0</v>
      </c>
      <c r="F291" s="8">
        <v>0</v>
      </c>
      <c r="G291" s="30">
        <f t="shared" si="278"/>
        <v>2400</v>
      </c>
      <c r="H291" s="8">
        <v>25000</v>
      </c>
      <c r="I291" s="30">
        <f t="shared" si="279"/>
        <v>5000</v>
      </c>
      <c r="J291" s="8">
        <v>25000</v>
      </c>
      <c r="K291" s="30">
        <f t="shared" si="280"/>
        <v>5000</v>
      </c>
      <c r="L291" s="8">
        <v>25000</v>
      </c>
      <c r="M291" s="9">
        <f>VLOOKUP(DATE(YEAR(A291),MONTH(A291),DAY(A291)),FY24_Temp[],4,FALSE)</f>
        <v>8.4</v>
      </c>
      <c r="N291" s="9">
        <f>VLOOKUP(DATE(YEAR(A291),MONTH(A291),DAY(A291)),FY24_Temp[],3,FALSE)</f>
        <v>12.8</v>
      </c>
      <c r="O291" s="9">
        <v>13</v>
      </c>
      <c r="P291" s="9">
        <v>19.5</v>
      </c>
      <c r="Q291" s="79">
        <f>VLOOKUP(VLOOKUP(DATEVALUE(TEXT(A291,"m/d/yyyy")),FY24_Temp[],5,FALSE)&amp;TEXT(A291,"-h"),Table6[],4,FALSE)</f>
        <v>0.5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VLOOKUP(TEXT(A291,"yy-mm")&amp;"-"&amp;IF(AND(WEEKDAY(A291)&gt;1,WEEKDAY(A291)&lt;7),"Wkd",TEXT(A291,"Ddd"))&amp;"-"&amp;TEXT(A291,"hh"),LoadTable[],5,FALSE)*0.92</f>
        <v>279.25312000000002</v>
      </c>
      <c r="U291" s="104">
        <f>VLOOKUP(TEXT(A291,"yy-mm")&amp;"-"&amp;IF(AND(WEEKDAY(A291)&gt;1,WEEKDAY(A291)&lt;7),"Wkd",TEXT(A291,"Ddd"))&amp;"-"&amp;TEXT(A291,"hh"),LoadTable[],6,FALSE)*T291</f>
        <v>14895.640673920001</v>
      </c>
      <c r="V291">
        <f t="shared" ref="V291:W291" si="288">V267</f>
        <v>3</v>
      </c>
      <c r="W291">
        <f t="shared" si="288"/>
        <v>3.2</v>
      </c>
      <c r="X291" s="9">
        <v>2.9793097999999998</v>
      </c>
    </row>
    <row r="292" spans="1:24">
      <c r="A292" s="29">
        <f t="shared" si="253"/>
        <v>45848.041666665966</v>
      </c>
      <c r="B292" s="30">
        <f t="shared" si="277"/>
        <v>5000</v>
      </c>
      <c r="C292" s="8">
        <v>25000</v>
      </c>
      <c r="D292" s="8">
        <v>0</v>
      </c>
      <c r="E292" s="8">
        <v>0</v>
      </c>
      <c r="F292" s="8">
        <v>0</v>
      </c>
      <c r="G292" s="30">
        <f t="shared" si="278"/>
        <v>2400</v>
      </c>
      <c r="H292" s="8">
        <v>25000</v>
      </c>
      <c r="I292" s="30">
        <f t="shared" si="279"/>
        <v>5000</v>
      </c>
      <c r="J292" s="8">
        <v>25000</v>
      </c>
      <c r="K292" s="30">
        <f t="shared" si="280"/>
        <v>5000</v>
      </c>
      <c r="L292" s="8">
        <v>25000</v>
      </c>
      <c r="M292" s="9">
        <f>VLOOKUP(DATE(YEAR(A292),MONTH(A292),DAY(A292)),FY24_Temp[],4,FALSE)</f>
        <v>8.4</v>
      </c>
      <c r="N292" s="9">
        <f>VLOOKUP(DATE(YEAR(A292),MONTH(A292),DAY(A292)),FY24_Temp[],3,FALSE)</f>
        <v>12.8</v>
      </c>
      <c r="O292" s="9">
        <v>13</v>
      </c>
      <c r="P292" s="9">
        <v>19.5</v>
      </c>
      <c r="Q292" s="79">
        <f>VLOOKUP(VLOOKUP(DATEVALUE(TEXT(A292,"m/d/yyyy")),FY24_Temp[],5,FALSE)&amp;TEXT(A292,"-h"),Table6[],4,FALSE)</f>
        <v>0.5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VLOOKUP(TEXT(A292,"yy-mm")&amp;"-"&amp;IF(AND(WEEKDAY(A292)&gt;1,WEEKDAY(A292)&lt;7),"Wkd",TEXT(A292,"Ddd"))&amp;"-"&amp;TEXT(A292,"hh"),LoadTable[],5,FALSE)*0.92</f>
        <v>279.25312000000002</v>
      </c>
      <c r="U292" s="104">
        <f>VLOOKUP(TEXT(A292,"yy-mm")&amp;"-"&amp;IF(AND(WEEKDAY(A292)&gt;1,WEEKDAY(A292)&lt;7),"Wkd",TEXT(A292,"Ddd"))&amp;"-"&amp;TEXT(A292,"hh"),LoadTable[],6,FALSE)*T292</f>
        <v>14470.896678400002</v>
      </c>
      <c r="V292">
        <f t="shared" ref="V292:W292" si="289">V268</f>
        <v>2.6</v>
      </c>
      <c r="W292">
        <f t="shared" si="289"/>
        <v>3.2</v>
      </c>
      <c r="X292" s="9">
        <v>3.0009489</v>
      </c>
    </row>
    <row r="293" spans="1:24">
      <c r="A293" s="29">
        <f t="shared" si="253"/>
        <v>45848.08333333263</v>
      </c>
      <c r="B293" s="30">
        <f t="shared" si="277"/>
        <v>5000</v>
      </c>
      <c r="C293" s="8">
        <v>25000</v>
      </c>
      <c r="D293" s="8">
        <v>0</v>
      </c>
      <c r="E293" s="8">
        <v>0</v>
      </c>
      <c r="F293" s="8">
        <v>0</v>
      </c>
      <c r="G293" s="30">
        <f t="shared" si="278"/>
        <v>2400</v>
      </c>
      <c r="H293" s="8">
        <v>25000</v>
      </c>
      <c r="I293" s="30">
        <f t="shared" si="279"/>
        <v>5000</v>
      </c>
      <c r="J293" s="8">
        <v>25000</v>
      </c>
      <c r="K293" s="30">
        <f t="shared" si="280"/>
        <v>5000</v>
      </c>
      <c r="L293" s="8">
        <v>25000</v>
      </c>
      <c r="M293" s="9">
        <f>VLOOKUP(DATE(YEAR(A293),MONTH(A293),DAY(A293)),FY24_Temp[],4,FALSE)</f>
        <v>8.4</v>
      </c>
      <c r="N293" s="9">
        <f>VLOOKUP(DATE(YEAR(A293),MONTH(A293),DAY(A293)),FY24_Temp[],3,FALSE)</f>
        <v>12.8</v>
      </c>
      <c r="O293" s="9">
        <v>13</v>
      </c>
      <c r="P293" s="9">
        <v>19.5</v>
      </c>
      <c r="Q293" s="79">
        <f>VLOOKUP(VLOOKUP(DATEVALUE(TEXT(A293,"m/d/yyyy")),FY24_Temp[],5,FALSE)&amp;TEXT(A293,"-h"),Table6[],4,FALSE)</f>
        <v>0.5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VLOOKUP(TEXT(A293,"yy-mm")&amp;"-"&amp;IF(AND(WEEKDAY(A293)&gt;1,WEEKDAY(A293)&lt;7),"Wkd",TEXT(A293,"Ddd"))&amp;"-"&amp;TEXT(A293,"hh"),LoadTable[],5,FALSE)*0.92</f>
        <v>279.25312000000002</v>
      </c>
      <c r="U293" s="104">
        <f>VLOOKUP(TEXT(A293,"yy-mm")&amp;"-"&amp;IF(AND(WEEKDAY(A293)&gt;1,WEEKDAY(A293)&lt;7),"Wkd",TEXT(A293,"Ddd"))&amp;"-"&amp;TEXT(A293,"hh"),LoadTable[],6,FALSE)*T293</f>
        <v>14154.50289344</v>
      </c>
      <c r="V293">
        <f t="shared" ref="V293:W293" si="290">V269</f>
        <v>2.8</v>
      </c>
      <c r="W293">
        <f t="shared" si="290"/>
        <v>3.2</v>
      </c>
      <c r="X293" s="9">
        <v>3.0577922000000002</v>
      </c>
    </row>
    <row r="294" spans="1:24">
      <c r="A294" s="29">
        <f t="shared" si="253"/>
        <v>45848.124999999294</v>
      </c>
      <c r="B294" s="30">
        <f t="shared" si="277"/>
        <v>5000</v>
      </c>
      <c r="C294" s="8">
        <v>25000</v>
      </c>
      <c r="D294" s="8">
        <v>0</v>
      </c>
      <c r="E294" s="8">
        <v>0</v>
      </c>
      <c r="F294" s="8">
        <v>0</v>
      </c>
      <c r="G294" s="30">
        <f t="shared" si="278"/>
        <v>2400</v>
      </c>
      <c r="H294" s="8">
        <v>25000</v>
      </c>
      <c r="I294" s="30">
        <f t="shared" si="279"/>
        <v>5000</v>
      </c>
      <c r="J294" s="8">
        <v>25000</v>
      </c>
      <c r="K294" s="30">
        <f t="shared" si="280"/>
        <v>5000</v>
      </c>
      <c r="L294" s="8">
        <v>25000</v>
      </c>
      <c r="M294" s="9">
        <f>VLOOKUP(DATE(YEAR(A294),MONTH(A294),DAY(A294)),FY24_Temp[],4,FALSE)</f>
        <v>8.4</v>
      </c>
      <c r="N294" s="9">
        <f>VLOOKUP(DATE(YEAR(A294),MONTH(A294),DAY(A294)),FY24_Temp[],3,FALSE)</f>
        <v>12.8</v>
      </c>
      <c r="O294" s="9">
        <v>13</v>
      </c>
      <c r="P294" s="9">
        <v>19.5</v>
      </c>
      <c r="Q294" s="79">
        <f>VLOOKUP(VLOOKUP(DATEVALUE(TEXT(A294,"m/d/yyyy")),FY24_Temp[],5,FALSE)&amp;TEXT(A294,"-h"),Table6[],4,FALSE)</f>
        <v>0.5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VLOOKUP(TEXT(A294,"yy-mm")&amp;"-"&amp;IF(AND(WEEKDAY(A294)&gt;1,WEEKDAY(A294)&lt;7),"Wkd",TEXT(A294,"Ddd"))&amp;"-"&amp;TEXT(A294,"hh"),LoadTable[],5,FALSE)*0.92</f>
        <v>279.25312000000002</v>
      </c>
      <c r="U294" s="104">
        <f>VLOOKUP(TEXT(A294,"yy-mm")&amp;"-"&amp;IF(AND(WEEKDAY(A294)&gt;1,WEEKDAY(A294)&lt;7),"Wkd",TEXT(A294,"Ddd"))&amp;"-"&amp;TEXT(A294,"hh"),LoadTable[],6,FALSE)*T294</f>
        <v>14206.443973760001</v>
      </c>
      <c r="V294">
        <f t="shared" ref="V294:W294" si="291">V270</f>
        <v>2.7</v>
      </c>
      <c r="W294">
        <f t="shared" si="291"/>
        <v>3.2</v>
      </c>
      <c r="X294" s="9">
        <v>3.1338026999999999</v>
      </c>
    </row>
    <row r="295" spans="1:24">
      <c r="A295" s="29">
        <f t="shared" si="253"/>
        <v>45848.166666665958</v>
      </c>
      <c r="B295" s="30">
        <f t="shared" si="277"/>
        <v>5000</v>
      </c>
      <c r="C295" s="8">
        <v>25000</v>
      </c>
      <c r="D295" s="8">
        <v>0</v>
      </c>
      <c r="E295" s="8">
        <v>0</v>
      </c>
      <c r="F295" s="8">
        <v>0</v>
      </c>
      <c r="G295" s="30">
        <f t="shared" si="278"/>
        <v>2400</v>
      </c>
      <c r="H295" s="8">
        <v>25000</v>
      </c>
      <c r="I295" s="30">
        <f t="shared" si="279"/>
        <v>5000</v>
      </c>
      <c r="J295" s="8">
        <v>25000</v>
      </c>
      <c r="K295" s="30">
        <f t="shared" si="280"/>
        <v>5000</v>
      </c>
      <c r="L295" s="8">
        <v>25000</v>
      </c>
      <c r="M295" s="9">
        <f>VLOOKUP(DATE(YEAR(A295),MONTH(A295),DAY(A295)),FY24_Temp[],4,FALSE)</f>
        <v>8.4</v>
      </c>
      <c r="N295" s="9">
        <f>VLOOKUP(DATE(YEAR(A295),MONTH(A295),DAY(A295)),FY24_Temp[],3,FALSE)</f>
        <v>12.8</v>
      </c>
      <c r="O295" s="9">
        <v>13</v>
      </c>
      <c r="P295" s="9">
        <v>19.5</v>
      </c>
      <c r="Q295" s="79">
        <f>VLOOKUP(VLOOKUP(DATEVALUE(TEXT(A295,"m/d/yyyy")),FY24_Temp[],5,FALSE)&amp;TEXT(A295,"-h"),Table6[],4,FALSE)</f>
        <v>0.5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VLOOKUP(TEXT(A295,"yy-mm")&amp;"-"&amp;IF(AND(WEEKDAY(A295)&gt;1,WEEKDAY(A295)&lt;7),"Wkd",TEXT(A295,"Ddd"))&amp;"-"&amp;TEXT(A295,"hh"),LoadTable[],5,FALSE)*0.92</f>
        <v>279.25312000000002</v>
      </c>
      <c r="U295" s="104">
        <f>VLOOKUP(TEXT(A295,"yy-mm")&amp;"-"&amp;IF(AND(WEEKDAY(A295)&gt;1,WEEKDAY(A295)&lt;7),"Wkd",TEXT(A295,"Ddd"))&amp;"-"&amp;TEXT(A295,"hh"),LoadTable[],6,FALSE)*T295</f>
        <v>14229.063476480002</v>
      </c>
      <c r="V295">
        <f t="shared" ref="V295:W295" si="292">V271</f>
        <v>3</v>
      </c>
      <c r="W295">
        <f t="shared" si="292"/>
        <v>3.1</v>
      </c>
      <c r="X295" s="9">
        <v>3.1713555000000002</v>
      </c>
    </row>
    <row r="296" spans="1:24">
      <c r="A296" s="29">
        <f t="shared" si="253"/>
        <v>45848.208333332623</v>
      </c>
      <c r="B296" s="30">
        <f t="shared" si="277"/>
        <v>5000</v>
      </c>
      <c r="C296" s="8">
        <v>25000</v>
      </c>
      <c r="D296" s="8">
        <v>0</v>
      </c>
      <c r="E296" s="8">
        <v>0</v>
      </c>
      <c r="F296" s="8">
        <v>0</v>
      </c>
      <c r="G296" s="30">
        <f t="shared" si="278"/>
        <v>2400</v>
      </c>
      <c r="H296" s="8">
        <v>25000</v>
      </c>
      <c r="I296" s="30">
        <f t="shared" si="279"/>
        <v>5000</v>
      </c>
      <c r="J296" s="8">
        <v>25000</v>
      </c>
      <c r="K296" s="30">
        <f t="shared" si="280"/>
        <v>5000</v>
      </c>
      <c r="L296" s="8">
        <v>25000</v>
      </c>
      <c r="M296" s="9">
        <f>VLOOKUP(DATE(YEAR(A296),MONTH(A296),DAY(A296)),FY24_Temp[],4,FALSE)</f>
        <v>8.4</v>
      </c>
      <c r="N296" s="9">
        <f>VLOOKUP(DATE(YEAR(A296),MONTH(A296),DAY(A296)),FY24_Temp[],3,FALSE)</f>
        <v>12.8</v>
      </c>
      <c r="O296" s="9">
        <v>13</v>
      </c>
      <c r="P296" s="9">
        <v>19.5</v>
      </c>
      <c r="Q296" s="79">
        <f>VLOOKUP(VLOOKUP(DATEVALUE(TEXT(A296,"m/d/yyyy")),FY24_Temp[],5,FALSE)&amp;TEXT(A296,"-h"),Table6[],4,FALSE)</f>
        <v>0.5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VLOOKUP(TEXT(A296,"yy-mm")&amp;"-"&amp;IF(AND(WEEKDAY(A296)&gt;1,WEEKDAY(A296)&lt;7),"Wkd",TEXT(A296,"Ddd"))&amp;"-"&amp;TEXT(A296,"hh"),LoadTable[],5,FALSE)*0.92</f>
        <v>279.25312000000002</v>
      </c>
      <c r="U296" s="104">
        <f>VLOOKUP(TEXT(A296,"yy-mm")&amp;"-"&amp;IF(AND(WEEKDAY(A296)&gt;1,WEEKDAY(A296)&lt;7),"Wkd",TEXT(A296,"Ddd"))&amp;"-"&amp;TEXT(A296,"hh"),LoadTable[],6,FALSE)*T296</f>
        <v>14735.070129920001</v>
      </c>
      <c r="V296">
        <f t="shared" ref="V296:W296" si="293">V272</f>
        <v>2.9</v>
      </c>
      <c r="W296">
        <f t="shared" si="293"/>
        <v>3.1</v>
      </c>
      <c r="X296" s="9">
        <v>3.2439000999999998</v>
      </c>
    </row>
    <row r="297" spans="1:24">
      <c r="A297" s="29">
        <f t="shared" si="253"/>
        <v>45848.249999999287</v>
      </c>
      <c r="B297" s="30">
        <f t="shared" si="277"/>
        <v>8000</v>
      </c>
      <c r="C297" s="8">
        <v>25000</v>
      </c>
      <c r="D297" s="8">
        <v>0</v>
      </c>
      <c r="E297" s="8">
        <v>0</v>
      </c>
      <c r="F297" s="8">
        <v>0</v>
      </c>
      <c r="G297" s="30">
        <f t="shared" si="278"/>
        <v>2400</v>
      </c>
      <c r="H297" s="8">
        <v>25000</v>
      </c>
      <c r="I297" s="30">
        <f t="shared" si="279"/>
        <v>8000</v>
      </c>
      <c r="J297" s="8">
        <v>25000</v>
      </c>
      <c r="K297" s="30">
        <f t="shared" si="280"/>
        <v>8000</v>
      </c>
      <c r="L297" s="8">
        <v>25000</v>
      </c>
      <c r="M297" s="9">
        <f>VLOOKUP(DATE(YEAR(A297),MONTH(A297),DAY(A297)),FY24_Temp[],4,FALSE)</f>
        <v>8.4</v>
      </c>
      <c r="N297" s="9">
        <f>VLOOKUP(DATE(YEAR(A297),MONTH(A297),DAY(A297)),FY24_Temp[],3,FALSE)</f>
        <v>12.8</v>
      </c>
      <c r="O297" s="9">
        <v>13</v>
      </c>
      <c r="P297" s="9">
        <v>19.5</v>
      </c>
      <c r="Q297" s="79">
        <f>VLOOKUP(VLOOKUP(DATEVALUE(TEXT(A297,"m/d/yyyy")),FY24_Temp[],5,FALSE)&amp;TEXT(A297,"-h"),Table6[],4,FALSE)</f>
        <v>0.5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VLOOKUP(TEXT(A297,"yy-mm")&amp;"-"&amp;IF(AND(WEEKDAY(A297)&gt;1,WEEKDAY(A297)&lt;7),"Wkd",TEXT(A297,"Ddd"))&amp;"-"&amp;TEXT(A297,"hh"),LoadTable[],5,FALSE)*0.92</f>
        <v>279.25312000000002</v>
      </c>
      <c r="U297" s="104">
        <f>VLOOKUP(TEXT(A297,"yy-mm")&amp;"-"&amp;IF(AND(WEEKDAY(A297)&gt;1,WEEKDAY(A297)&lt;7),"Wkd",TEXT(A297,"Ddd"))&amp;"-"&amp;TEXT(A297,"hh"),LoadTable[],6,FALSE)*T297</f>
        <v>26238.902408320002</v>
      </c>
      <c r="V297">
        <f t="shared" ref="V297:W297" si="294">V273</f>
        <v>2.5</v>
      </c>
      <c r="W297">
        <f t="shared" si="294"/>
        <v>3.1</v>
      </c>
      <c r="X297" s="9">
        <v>3.3412061</v>
      </c>
    </row>
    <row r="298" spans="1:24">
      <c r="A298" s="29">
        <f t="shared" si="253"/>
        <v>45848.291666665951</v>
      </c>
      <c r="B298" s="30">
        <f t="shared" si="277"/>
        <v>8000</v>
      </c>
      <c r="C298" s="8">
        <v>25000</v>
      </c>
      <c r="D298" s="8">
        <v>0</v>
      </c>
      <c r="E298" s="8">
        <v>0</v>
      </c>
      <c r="F298" s="8">
        <v>0</v>
      </c>
      <c r="G298" s="30">
        <f t="shared" si="278"/>
        <v>2400</v>
      </c>
      <c r="H298" s="8">
        <v>25000</v>
      </c>
      <c r="I298" s="30">
        <f t="shared" si="279"/>
        <v>8000</v>
      </c>
      <c r="J298" s="8">
        <v>25000</v>
      </c>
      <c r="K298" s="30">
        <f t="shared" si="280"/>
        <v>8000</v>
      </c>
      <c r="L298" s="8">
        <v>25000</v>
      </c>
      <c r="M298" s="9">
        <f>VLOOKUP(DATE(YEAR(A298),MONTH(A298),DAY(A298)),FY24_Temp[],4,FALSE)</f>
        <v>8.4</v>
      </c>
      <c r="N298" s="9">
        <f>VLOOKUP(DATE(YEAR(A298),MONTH(A298),DAY(A298)),FY24_Temp[],3,FALSE)</f>
        <v>12.8</v>
      </c>
      <c r="O298" s="9">
        <v>13</v>
      </c>
      <c r="P298" s="9">
        <v>19.5</v>
      </c>
      <c r="Q298" s="79">
        <f>VLOOKUP(VLOOKUP(DATEVALUE(TEXT(A298,"m/d/yyyy")),FY24_Temp[],5,FALSE)&amp;TEXT(A298,"-h"),Table6[],4,FALSE)</f>
        <v>0.5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VLOOKUP(TEXT(A298,"yy-mm")&amp;"-"&amp;IF(AND(WEEKDAY(A298)&gt;1,WEEKDAY(A298)&lt;7),"Wkd",TEXT(A298,"Ddd"))&amp;"-"&amp;TEXT(A298,"hh"),LoadTable[],5,FALSE)*0.92</f>
        <v>279.25312000000002</v>
      </c>
      <c r="U298" s="104">
        <f>VLOOKUP(TEXT(A298,"yy-mm")&amp;"-"&amp;IF(AND(WEEKDAY(A298)&gt;1,WEEKDAY(A298)&lt;7),"Wkd",TEXT(A298,"Ddd"))&amp;"-"&amp;TEXT(A298,"hh"),LoadTable[],6,FALSE)*T298</f>
        <v>22145.051669120003</v>
      </c>
      <c r="V298">
        <f t="shared" ref="V298:W298" si="295">V274</f>
        <v>2.5</v>
      </c>
      <c r="W298">
        <f t="shared" si="295"/>
        <v>3.1</v>
      </c>
      <c r="X298" s="9">
        <v>3.3431375000000001</v>
      </c>
    </row>
    <row r="299" spans="1:24">
      <c r="A299" s="29">
        <f t="shared" si="253"/>
        <v>45848.333333332615</v>
      </c>
      <c r="B299" s="30">
        <f t="shared" si="277"/>
        <v>8000</v>
      </c>
      <c r="C299" s="8">
        <v>25000</v>
      </c>
      <c r="D299" s="8">
        <v>0</v>
      </c>
      <c r="E299" s="8">
        <v>0</v>
      </c>
      <c r="F299" s="8">
        <v>0</v>
      </c>
      <c r="G299" s="30">
        <f t="shared" si="278"/>
        <v>2400</v>
      </c>
      <c r="H299" s="8">
        <v>25000</v>
      </c>
      <c r="I299" s="30">
        <f t="shared" si="279"/>
        <v>8000</v>
      </c>
      <c r="J299" s="8">
        <v>25000</v>
      </c>
      <c r="K299" s="30">
        <f t="shared" si="280"/>
        <v>8000</v>
      </c>
      <c r="L299" s="8">
        <v>25000</v>
      </c>
      <c r="M299" s="9">
        <f>VLOOKUP(DATE(YEAR(A299),MONTH(A299),DAY(A299)),FY24_Temp[],4,FALSE)</f>
        <v>8.4</v>
      </c>
      <c r="N299" s="9">
        <f>VLOOKUP(DATE(YEAR(A299),MONTH(A299),DAY(A299)),FY24_Temp[],3,FALSE)</f>
        <v>12.8</v>
      </c>
      <c r="O299" s="9">
        <v>13</v>
      </c>
      <c r="P299" s="9">
        <v>19.5</v>
      </c>
      <c r="Q299" s="79">
        <f>VLOOKUP(VLOOKUP(DATEVALUE(TEXT(A299,"m/d/yyyy")),FY24_Temp[],5,FALSE)&amp;TEXT(A299,"-h"),Table6[],4,FALSE)</f>
        <v>0.5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VLOOKUP(TEXT(A299,"yy-mm")&amp;"-"&amp;IF(AND(WEEKDAY(A299)&gt;1,WEEKDAY(A299)&lt;7),"Wkd",TEXT(A299,"Ddd"))&amp;"-"&amp;TEXT(A299,"hh"),LoadTable[],5,FALSE)*0.92</f>
        <v>279.25312000000002</v>
      </c>
      <c r="U299" s="104">
        <f>VLOOKUP(TEXT(A299,"yy-mm")&amp;"-"&amp;IF(AND(WEEKDAY(A299)&gt;1,WEEKDAY(A299)&lt;7),"Wkd",TEXT(A299,"Ddd"))&amp;"-"&amp;TEXT(A299,"hh"),LoadTable[],6,FALSE)*T299</f>
        <v>17686.77560832</v>
      </c>
      <c r="V299">
        <f t="shared" ref="V299:W299" si="296">V275</f>
        <v>3.2</v>
      </c>
      <c r="W299">
        <f t="shared" si="296"/>
        <v>3</v>
      </c>
      <c r="X299" s="9">
        <v>3.4276195</v>
      </c>
    </row>
    <row r="300" spans="1:24">
      <c r="A300" s="29">
        <f t="shared" si="253"/>
        <v>45848.37499999928</v>
      </c>
      <c r="B300" s="30">
        <f t="shared" si="277"/>
        <v>8000</v>
      </c>
      <c r="C300" s="8">
        <v>25000</v>
      </c>
      <c r="D300" s="8">
        <v>0</v>
      </c>
      <c r="E300" s="8">
        <v>0</v>
      </c>
      <c r="F300" s="8">
        <v>0</v>
      </c>
      <c r="G300" s="30">
        <f t="shared" si="278"/>
        <v>2400</v>
      </c>
      <c r="H300" s="8">
        <v>25000</v>
      </c>
      <c r="I300" s="30">
        <f t="shared" si="279"/>
        <v>8000</v>
      </c>
      <c r="J300" s="8">
        <v>25000</v>
      </c>
      <c r="K300" s="30">
        <f t="shared" si="280"/>
        <v>8000</v>
      </c>
      <c r="L300" s="8">
        <v>25000</v>
      </c>
      <c r="M300" s="9">
        <f>VLOOKUP(DATE(YEAR(A300),MONTH(A300),DAY(A300)),FY24_Temp[],4,FALSE)</f>
        <v>8.4</v>
      </c>
      <c r="N300" s="9">
        <f>VLOOKUP(DATE(YEAR(A300),MONTH(A300),DAY(A300)),FY24_Temp[],3,FALSE)</f>
        <v>12.8</v>
      </c>
      <c r="O300" s="9">
        <v>13</v>
      </c>
      <c r="P300" s="9">
        <v>19.5</v>
      </c>
      <c r="Q300" s="79">
        <f>VLOOKUP(VLOOKUP(DATEVALUE(TEXT(A300,"m/d/yyyy")),FY24_Temp[],5,FALSE)&amp;TEXT(A300,"-h"),Table6[],4,FALSE)</f>
        <v>0.5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VLOOKUP(TEXT(A300,"yy-mm")&amp;"-"&amp;IF(AND(WEEKDAY(A300)&gt;1,WEEKDAY(A300)&lt;7),"Wkd",TEXT(A300,"Ddd"))&amp;"-"&amp;TEXT(A300,"hh"),LoadTable[],5,FALSE)*0.92</f>
        <v>279.25312000000002</v>
      </c>
      <c r="U300" s="104">
        <f>VLOOKUP(TEXT(A300,"yy-mm")&amp;"-"&amp;IF(AND(WEEKDAY(A300)&gt;1,WEEKDAY(A300)&lt;7),"Wkd",TEXT(A300,"Ddd"))&amp;"-"&amp;TEXT(A300,"hh"),LoadTable[],6,FALSE)*T300</f>
        <v>14265.924888320002</v>
      </c>
      <c r="V300">
        <f t="shared" ref="V300:W300" si="297">V276</f>
        <v>2.9</v>
      </c>
      <c r="W300">
        <f t="shared" si="297"/>
        <v>3</v>
      </c>
      <c r="X300" s="9">
        <v>3.5394589999999999</v>
      </c>
    </row>
    <row r="301" spans="1:24">
      <c r="A301" s="29">
        <f t="shared" si="253"/>
        <v>45848.416666665944</v>
      </c>
      <c r="B301" s="30">
        <f t="shared" si="277"/>
        <v>8000</v>
      </c>
      <c r="C301" s="8">
        <v>25000</v>
      </c>
      <c r="D301" s="8">
        <v>0</v>
      </c>
      <c r="E301" s="8">
        <v>0</v>
      </c>
      <c r="F301" s="8">
        <v>0</v>
      </c>
      <c r="G301" s="30">
        <f t="shared" si="278"/>
        <v>2400</v>
      </c>
      <c r="H301" s="8">
        <v>25000</v>
      </c>
      <c r="I301" s="30">
        <f t="shared" si="279"/>
        <v>8000</v>
      </c>
      <c r="J301" s="8">
        <v>25000</v>
      </c>
      <c r="K301" s="30">
        <f t="shared" si="280"/>
        <v>8000</v>
      </c>
      <c r="L301" s="8">
        <v>25000</v>
      </c>
      <c r="M301" s="9">
        <f>VLOOKUP(DATE(YEAR(A301),MONTH(A301),DAY(A301)),FY24_Temp[],4,FALSE)</f>
        <v>8.4</v>
      </c>
      <c r="N301" s="9">
        <f>VLOOKUP(DATE(YEAR(A301),MONTH(A301),DAY(A301)),FY24_Temp[],3,FALSE)</f>
        <v>12.8</v>
      </c>
      <c r="O301" s="9">
        <v>13</v>
      </c>
      <c r="P301" s="9">
        <v>19.5</v>
      </c>
      <c r="Q301" s="79">
        <f>VLOOKUP(VLOOKUP(DATEVALUE(TEXT(A301,"m/d/yyyy")),FY24_Temp[],5,FALSE)&amp;TEXT(A301,"-h"),Table6[],4,FALSE)</f>
        <v>0.5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VLOOKUP(TEXT(A301,"yy-mm")&amp;"-"&amp;IF(AND(WEEKDAY(A301)&gt;1,WEEKDAY(A301)&lt;7),"Wkd",TEXT(A301,"Ddd"))&amp;"-"&amp;TEXT(A301,"hh"),LoadTable[],5,FALSE)*0.92</f>
        <v>279.25312000000002</v>
      </c>
      <c r="U301" s="104">
        <f>VLOOKUP(TEXT(A301,"yy-mm")&amp;"-"&amp;IF(AND(WEEKDAY(A301)&gt;1,WEEKDAY(A301)&lt;7),"Wkd",TEXT(A301,"Ddd"))&amp;"-"&amp;TEXT(A301,"hh"),LoadTable[],6,FALSE)*T301</f>
        <v>13649.054746240003</v>
      </c>
      <c r="V301">
        <f t="shared" ref="V301:W301" si="298">V277</f>
        <v>2.9</v>
      </c>
      <c r="W301">
        <f t="shared" si="298"/>
        <v>3</v>
      </c>
      <c r="X301" s="9">
        <v>3.5276109999999998</v>
      </c>
    </row>
    <row r="302" spans="1:24">
      <c r="A302" s="29">
        <f t="shared" si="253"/>
        <v>45848.458333332608</v>
      </c>
      <c r="B302" s="30">
        <f t="shared" si="277"/>
        <v>8000</v>
      </c>
      <c r="C302" s="8">
        <v>25000</v>
      </c>
      <c r="D302" s="8">
        <v>0</v>
      </c>
      <c r="E302" s="8">
        <v>0</v>
      </c>
      <c r="F302" s="8">
        <v>0</v>
      </c>
      <c r="G302" s="30">
        <f t="shared" si="278"/>
        <v>2400</v>
      </c>
      <c r="H302" s="8">
        <v>25000</v>
      </c>
      <c r="I302" s="30">
        <f t="shared" si="279"/>
        <v>8000</v>
      </c>
      <c r="J302" s="8">
        <v>25000</v>
      </c>
      <c r="K302" s="30">
        <f t="shared" si="280"/>
        <v>8000</v>
      </c>
      <c r="L302" s="8">
        <v>25000</v>
      </c>
      <c r="M302" s="9">
        <f>VLOOKUP(DATE(YEAR(A302),MONTH(A302),DAY(A302)),FY24_Temp[],4,FALSE)</f>
        <v>8.4</v>
      </c>
      <c r="N302" s="9">
        <f>VLOOKUP(DATE(YEAR(A302),MONTH(A302),DAY(A302)),FY24_Temp[],3,FALSE)</f>
        <v>12.8</v>
      </c>
      <c r="O302" s="9">
        <v>13</v>
      </c>
      <c r="P302" s="9">
        <v>19.5</v>
      </c>
      <c r="Q302" s="79">
        <f>VLOOKUP(VLOOKUP(DATEVALUE(TEXT(A302,"m/d/yyyy")),FY24_Temp[],5,FALSE)&amp;TEXT(A302,"-h"),Table6[],4,FALSE)</f>
        <v>0.5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VLOOKUP(TEXT(A302,"yy-mm")&amp;"-"&amp;IF(AND(WEEKDAY(A302)&gt;1,WEEKDAY(A302)&lt;7),"Wkd",TEXT(A302,"Ddd"))&amp;"-"&amp;TEXT(A302,"hh"),LoadTable[],5,FALSE)*0.92</f>
        <v>279.25312000000002</v>
      </c>
      <c r="U302" s="104">
        <f>VLOOKUP(TEXT(A302,"yy-mm")&amp;"-"&amp;IF(AND(WEEKDAY(A302)&gt;1,WEEKDAY(A302)&lt;7),"Wkd",TEXT(A302,"Ddd"))&amp;"-"&amp;TEXT(A302,"hh"),LoadTable[],6,FALSE)*T302</f>
        <v>13153.938964480001</v>
      </c>
      <c r="V302">
        <f t="shared" ref="V302:W302" si="299">V278</f>
        <v>3.4</v>
      </c>
      <c r="W302">
        <f t="shared" si="299"/>
        <v>3</v>
      </c>
      <c r="X302" s="9">
        <v>3.3490825000000002</v>
      </c>
    </row>
    <row r="303" spans="1:24">
      <c r="A303" s="29">
        <f t="shared" si="253"/>
        <v>45848.499999999272</v>
      </c>
      <c r="B303" s="30">
        <f t="shared" si="277"/>
        <v>8000</v>
      </c>
      <c r="C303" s="8">
        <v>25000</v>
      </c>
      <c r="D303" s="8">
        <v>0</v>
      </c>
      <c r="E303" s="8">
        <v>0</v>
      </c>
      <c r="F303" s="8">
        <v>0</v>
      </c>
      <c r="G303" s="30">
        <f t="shared" si="278"/>
        <v>2400</v>
      </c>
      <c r="H303" s="8">
        <v>25000</v>
      </c>
      <c r="I303" s="30">
        <f t="shared" si="279"/>
        <v>8000</v>
      </c>
      <c r="J303" s="8">
        <v>25000</v>
      </c>
      <c r="K303" s="30">
        <f t="shared" si="280"/>
        <v>8000</v>
      </c>
      <c r="L303" s="8">
        <v>25000</v>
      </c>
      <c r="M303" s="9">
        <f>VLOOKUP(DATE(YEAR(A303),MONTH(A303),DAY(A303)),FY24_Temp[],4,FALSE)</f>
        <v>8.4</v>
      </c>
      <c r="N303" s="9">
        <f>VLOOKUP(DATE(YEAR(A303),MONTH(A303),DAY(A303)),FY24_Temp[],3,FALSE)</f>
        <v>12.8</v>
      </c>
      <c r="O303" s="9">
        <v>13</v>
      </c>
      <c r="P303" s="9">
        <v>19.5</v>
      </c>
      <c r="Q303" s="79">
        <f>VLOOKUP(VLOOKUP(DATEVALUE(TEXT(A303,"m/d/yyyy")),FY24_Temp[],5,FALSE)&amp;TEXT(A303,"-h"),Table6[],4,FALSE)</f>
        <v>0.5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VLOOKUP(TEXT(A303,"yy-mm")&amp;"-"&amp;IF(AND(WEEKDAY(A303)&gt;1,WEEKDAY(A303)&lt;7),"Wkd",TEXT(A303,"Ddd"))&amp;"-"&amp;TEXT(A303,"hh"),LoadTable[],5,FALSE)*0.92</f>
        <v>279.25312000000002</v>
      </c>
      <c r="U303" s="104">
        <f>VLOOKUP(TEXT(A303,"yy-mm")&amp;"-"&amp;IF(AND(WEEKDAY(A303)&gt;1,WEEKDAY(A303)&lt;7),"Wkd",TEXT(A303,"Ddd"))&amp;"-"&amp;TEXT(A303,"hh"),LoadTable[],6,FALSE)*T303</f>
        <v>13898.427782400002</v>
      </c>
      <c r="V303">
        <f t="shared" ref="V303:W303" si="300">V279</f>
        <v>3.1</v>
      </c>
      <c r="W303">
        <f t="shared" si="300"/>
        <v>2.9</v>
      </c>
      <c r="X303" s="9">
        <v>3.1523023000000001</v>
      </c>
    </row>
    <row r="304" spans="1:24">
      <c r="A304" s="29">
        <f t="shared" si="253"/>
        <v>45848.541666665937</v>
      </c>
      <c r="B304" s="30">
        <f t="shared" si="277"/>
        <v>8000</v>
      </c>
      <c r="C304" s="8">
        <v>25000</v>
      </c>
      <c r="D304" s="8">
        <v>0</v>
      </c>
      <c r="E304" s="8">
        <v>0</v>
      </c>
      <c r="F304" s="8">
        <v>0</v>
      </c>
      <c r="G304" s="30">
        <f t="shared" si="278"/>
        <v>2400</v>
      </c>
      <c r="H304" s="8">
        <v>25000</v>
      </c>
      <c r="I304" s="30">
        <f t="shared" si="279"/>
        <v>8000</v>
      </c>
      <c r="J304" s="8">
        <v>25000</v>
      </c>
      <c r="K304" s="30">
        <f t="shared" si="280"/>
        <v>8000</v>
      </c>
      <c r="L304" s="8">
        <v>25000</v>
      </c>
      <c r="M304" s="9">
        <f>VLOOKUP(DATE(YEAR(A304),MONTH(A304),DAY(A304)),FY24_Temp[],4,FALSE)</f>
        <v>8.4</v>
      </c>
      <c r="N304" s="9">
        <f>VLOOKUP(DATE(YEAR(A304),MONTH(A304),DAY(A304)),FY24_Temp[],3,FALSE)</f>
        <v>12.8</v>
      </c>
      <c r="O304" s="9">
        <v>13</v>
      </c>
      <c r="P304" s="9">
        <v>19.5</v>
      </c>
      <c r="Q304" s="79">
        <f>VLOOKUP(VLOOKUP(DATEVALUE(TEXT(A304,"m/d/yyyy")),FY24_Temp[],5,FALSE)&amp;TEXT(A304,"-h"),Table6[],4,FALSE)</f>
        <v>0.5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VLOOKUP(TEXT(A304,"yy-mm")&amp;"-"&amp;IF(AND(WEEKDAY(A304)&gt;1,WEEKDAY(A304)&lt;7),"Wkd",TEXT(A304,"Ddd"))&amp;"-"&amp;TEXT(A304,"hh"),LoadTable[],5,FALSE)*0.92</f>
        <v>279.25312000000002</v>
      </c>
      <c r="U304" s="104">
        <f>VLOOKUP(TEXT(A304,"yy-mm")&amp;"-"&amp;IF(AND(WEEKDAY(A304)&gt;1,WEEKDAY(A304)&lt;7),"Wkd",TEXT(A304,"Ddd"))&amp;"-"&amp;TEXT(A304,"hh"),LoadTable[],6,FALSE)*T304</f>
        <v>16526.1996416</v>
      </c>
      <c r="V304">
        <f t="shared" ref="V304:W304" si="301">V280</f>
        <v>3.2</v>
      </c>
      <c r="W304">
        <f t="shared" si="301"/>
        <v>2.9</v>
      </c>
      <c r="X304" s="9">
        <v>3.0271238999999999</v>
      </c>
    </row>
    <row r="305" spans="1:24">
      <c r="A305" s="29">
        <f t="shared" si="253"/>
        <v>45848.583333332601</v>
      </c>
      <c r="B305" s="30">
        <f t="shared" si="277"/>
        <v>8000</v>
      </c>
      <c r="C305" s="8">
        <v>25000</v>
      </c>
      <c r="D305" s="8">
        <v>0</v>
      </c>
      <c r="E305" s="8">
        <v>0</v>
      </c>
      <c r="F305" s="8">
        <v>0</v>
      </c>
      <c r="G305" s="30">
        <f t="shared" si="278"/>
        <v>2400</v>
      </c>
      <c r="H305" s="8">
        <v>25000</v>
      </c>
      <c r="I305" s="30">
        <f t="shared" si="279"/>
        <v>8000</v>
      </c>
      <c r="J305" s="8">
        <v>25000</v>
      </c>
      <c r="K305" s="30">
        <f t="shared" si="280"/>
        <v>8000</v>
      </c>
      <c r="L305" s="8">
        <v>25000</v>
      </c>
      <c r="M305" s="9">
        <f>VLOOKUP(DATE(YEAR(A305),MONTH(A305),DAY(A305)),FY24_Temp[],4,FALSE)</f>
        <v>8.4</v>
      </c>
      <c r="N305" s="9">
        <f>VLOOKUP(DATE(YEAR(A305),MONTH(A305),DAY(A305)),FY24_Temp[],3,FALSE)</f>
        <v>12.8</v>
      </c>
      <c r="O305" s="9">
        <v>13</v>
      </c>
      <c r="P305" s="9">
        <v>19.5</v>
      </c>
      <c r="Q305" s="79">
        <f>VLOOKUP(VLOOKUP(DATEVALUE(TEXT(A305,"m/d/yyyy")),FY24_Temp[],5,FALSE)&amp;TEXT(A305,"-h"),Table6[],4,FALSE)</f>
        <v>0.5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VLOOKUP(TEXT(A305,"yy-mm")&amp;"-"&amp;IF(AND(WEEKDAY(A305)&gt;1,WEEKDAY(A305)&lt;7),"Wkd",TEXT(A305,"Ddd"))&amp;"-"&amp;TEXT(A305,"hh"),LoadTable[],5,FALSE)*0.92</f>
        <v>373.26607999999999</v>
      </c>
      <c r="U305" s="104">
        <f>VLOOKUP(TEXT(A305,"yy-mm")&amp;"-"&amp;IF(AND(WEEKDAY(A305)&gt;1,WEEKDAY(A305)&lt;7),"Wkd",TEXT(A305,"Ddd"))&amp;"-"&amp;TEXT(A305,"hh"),LoadTable[],6,FALSE)*T305</f>
        <v>27132.338089119996</v>
      </c>
      <c r="V305">
        <f t="shared" ref="V305:W305" si="302">V281</f>
        <v>3.5</v>
      </c>
      <c r="W305">
        <f t="shared" si="302"/>
        <v>2.9</v>
      </c>
      <c r="X305" s="9">
        <v>3.0941228999999999</v>
      </c>
    </row>
    <row r="306" spans="1:24">
      <c r="A306" s="29">
        <f t="shared" si="253"/>
        <v>45848.624999999265</v>
      </c>
      <c r="B306" s="30">
        <f t="shared" si="277"/>
        <v>8000</v>
      </c>
      <c r="C306" s="8">
        <v>25000</v>
      </c>
      <c r="D306" s="8">
        <v>0</v>
      </c>
      <c r="E306" s="8">
        <v>0</v>
      </c>
      <c r="F306" s="8">
        <v>0</v>
      </c>
      <c r="G306" s="30">
        <f t="shared" si="278"/>
        <v>2400</v>
      </c>
      <c r="H306" s="8">
        <v>25000</v>
      </c>
      <c r="I306" s="30">
        <f t="shared" si="279"/>
        <v>8000</v>
      </c>
      <c r="J306" s="8">
        <v>25000</v>
      </c>
      <c r="K306" s="30">
        <f t="shared" si="280"/>
        <v>8000</v>
      </c>
      <c r="L306" s="8">
        <v>25000</v>
      </c>
      <c r="M306" s="9">
        <f>VLOOKUP(DATE(YEAR(A306),MONTH(A306),DAY(A306)),FY24_Temp[],4,FALSE)</f>
        <v>8.4</v>
      </c>
      <c r="N306" s="9">
        <f>VLOOKUP(DATE(YEAR(A306),MONTH(A306),DAY(A306)),FY24_Temp[],3,FALSE)</f>
        <v>12.8</v>
      </c>
      <c r="O306" s="9">
        <v>13</v>
      </c>
      <c r="P306" s="9">
        <v>19.5</v>
      </c>
      <c r="Q306" s="79">
        <f>VLOOKUP(VLOOKUP(DATEVALUE(TEXT(A306,"m/d/yyyy")),FY24_Temp[],5,FALSE)&amp;TEXT(A306,"-h"),Table6[],4,FALSE)</f>
        <v>0.5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VLOOKUP(TEXT(A306,"yy-mm")&amp;"-"&amp;IF(AND(WEEKDAY(A306)&gt;1,WEEKDAY(A306)&lt;7),"Wkd",TEXT(A306,"Ddd"))&amp;"-"&amp;TEXT(A306,"hh"),LoadTable[],5,FALSE)*0.92</f>
        <v>494.57360000000006</v>
      </c>
      <c r="U306" s="104">
        <f>VLOOKUP(TEXT(A306,"yy-mm")&amp;"-"&amp;IF(AND(WEEKDAY(A306)&gt;1,WEEKDAY(A306)&lt;7),"Wkd",TEXT(A306,"Ddd"))&amp;"-"&amp;TEXT(A306,"hh"),LoadTable[],6,FALSE)*T306</f>
        <v>42310.771480000003</v>
      </c>
      <c r="V306">
        <f t="shared" ref="V306:W306" si="303">V282</f>
        <v>3.2</v>
      </c>
      <c r="W306">
        <f t="shared" si="303"/>
        <v>2.9</v>
      </c>
      <c r="X306" s="9">
        <v>3.4793935</v>
      </c>
    </row>
    <row r="307" spans="1:24">
      <c r="A307" s="29">
        <f t="shared" si="253"/>
        <v>45848.666666665929</v>
      </c>
      <c r="B307" s="30">
        <f t="shared" si="277"/>
        <v>8000</v>
      </c>
      <c r="C307" s="8">
        <v>25000</v>
      </c>
      <c r="D307" s="8">
        <v>0</v>
      </c>
      <c r="E307" s="8">
        <v>0</v>
      </c>
      <c r="F307" s="8">
        <v>0</v>
      </c>
      <c r="G307" s="30">
        <f t="shared" si="278"/>
        <v>2400</v>
      </c>
      <c r="H307" s="8">
        <v>25000</v>
      </c>
      <c r="I307" s="30">
        <f t="shared" si="279"/>
        <v>8000</v>
      </c>
      <c r="J307" s="8">
        <v>25000</v>
      </c>
      <c r="K307" s="30">
        <f t="shared" si="280"/>
        <v>8000</v>
      </c>
      <c r="L307" s="8">
        <v>25000</v>
      </c>
      <c r="M307" s="9">
        <f>VLOOKUP(DATE(YEAR(A307),MONTH(A307),DAY(A307)),FY24_Temp[],4,FALSE)</f>
        <v>8.4</v>
      </c>
      <c r="N307" s="9">
        <f>VLOOKUP(DATE(YEAR(A307),MONTH(A307),DAY(A307)),FY24_Temp[],3,FALSE)</f>
        <v>12.8</v>
      </c>
      <c r="O307" s="9">
        <v>13</v>
      </c>
      <c r="P307" s="9">
        <v>19.5</v>
      </c>
      <c r="Q307" s="79">
        <f>VLOOKUP(VLOOKUP(DATEVALUE(TEXT(A307,"m/d/yyyy")),FY24_Temp[],5,FALSE)&amp;TEXT(A307,"-h"),Table6[],4,FALSE)</f>
        <v>0.5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VLOOKUP(TEXT(A307,"yy-mm")&amp;"-"&amp;IF(AND(WEEKDAY(A307)&gt;1,WEEKDAY(A307)&lt;7),"Wkd",TEXT(A307,"Ddd"))&amp;"-"&amp;TEXT(A307,"hh"),LoadTable[],5,FALSE)*0.92</f>
        <v>494.57360000000006</v>
      </c>
      <c r="U307" s="104">
        <f>VLOOKUP(TEXT(A307,"yy-mm")&amp;"-"&amp;IF(AND(WEEKDAY(A307)&gt;1,WEEKDAY(A307)&lt;7),"Wkd",TEXT(A307,"Ddd"))&amp;"-"&amp;TEXT(A307,"hh"),LoadTable[],6,FALSE)*T307</f>
        <v>50694.28857360001</v>
      </c>
      <c r="V307">
        <f t="shared" ref="V307:W307" si="304">V283</f>
        <v>3.5</v>
      </c>
      <c r="W307">
        <f t="shared" si="304"/>
        <v>3</v>
      </c>
      <c r="X307" s="9">
        <v>3.4132712000000001</v>
      </c>
    </row>
    <row r="308" spans="1:24">
      <c r="A308" s="29">
        <f t="shared" si="253"/>
        <v>45848.708333332594</v>
      </c>
      <c r="B308" s="30">
        <f t="shared" si="277"/>
        <v>8000</v>
      </c>
      <c r="C308" s="8">
        <v>25000</v>
      </c>
      <c r="D308" s="8">
        <v>0</v>
      </c>
      <c r="E308" s="8">
        <v>0</v>
      </c>
      <c r="F308" s="8">
        <v>0</v>
      </c>
      <c r="G308" s="30">
        <f t="shared" si="278"/>
        <v>2400</v>
      </c>
      <c r="H308" s="8">
        <v>25000</v>
      </c>
      <c r="I308" s="30">
        <f t="shared" si="279"/>
        <v>8000</v>
      </c>
      <c r="J308" s="8">
        <v>25000</v>
      </c>
      <c r="K308" s="30">
        <f t="shared" si="280"/>
        <v>8000</v>
      </c>
      <c r="L308" s="8">
        <v>25000</v>
      </c>
      <c r="M308" s="9">
        <f>VLOOKUP(DATE(YEAR(A308),MONTH(A308),DAY(A308)),FY24_Temp[],4,FALSE)</f>
        <v>8.4</v>
      </c>
      <c r="N308" s="9">
        <f>VLOOKUP(DATE(YEAR(A308),MONTH(A308),DAY(A308)),FY24_Temp[],3,FALSE)</f>
        <v>12.8</v>
      </c>
      <c r="O308" s="9">
        <v>13</v>
      </c>
      <c r="P308" s="9">
        <v>19.5</v>
      </c>
      <c r="Q308" s="79">
        <f>VLOOKUP(VLOOKUP(DATEVALUE(TEXT(A308,"m/d/yyyy")),FY24_Temp[],5,FALSE)&amp;TEXT(A308,"-h"),Table6[],4,FALSE)</f>
        <v>0.5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VLOOKUP(TEXT(A308,"yy-mm")&amp;"-"&amp;IF(AND(WEEKDAY(A308)&gt;1,WEEKDAY(A308)&lt;7),"Wkd",TEXT(A308,"Ddd"))&amp;"-"&amp;TEXT(A308,"hh"),LoadTable[],5,FALSE)*0.92</f>
        <v>494.57360000000006</v>
      </c>
      <c r="U308" s="104">
        <f>VLOOKUP(TEXT(A308,"yy-mm")&amp;"-"&amp;IF(AND(WEEKDAY(A308)&gt;1,WEEKDAY(A308)&lt;7),"Wkd",TEXT(A308,"Ddd"))&amp;"-"&amp;TEXT(A308,"hh"),LoadTable[],6,FALSE)*T308</f>
        <v>56025.791981600007</v>
      </c>
      <c r="V308">
        <f t="shared" ref="V308:W308" si="305">V284</f>
        <v>3.6</v>
      </c>
      <c r="W308">
        <f t="shared" si="305"/>
        <v>3</v>
      </c>
      <c r="X308" s="9">
        <v>3.2989286999999998</v>
      </c>
    </row>
    <row r="309" spans="1:24">
      <c r="A309" s="29">
        <f t="shared" si="253"/>
        <v>45848.749999999258</v>
      </c>
      <c r="B309" s="30">
        <f t="shared" si="277"/>
        <v>5000</v>
      </c>
      <c r="C309" s="8">
        <v>25000</v>
      </c>
      <c r="D309" s="8">
        <v>0</v>
      </c>
      <c r="E309" s="8">
        <v>0</v>
      </c>
      <c r="F309" s="8">
        <v>0</v>
      </c>
      <c r="G309" s="30">
        <f t="shared" si="278"/>
        <v>2400</v>
      </c>
      <c r="H309" s="8">
        <v>25000</v>
      </c>
      <c r="I309" s="30">
        <f t="shared" si="279"/>
        <v>5000</v>
      </c>
      <c r="J309" s="8">
        <v>25000</v>
      </c>
      <c r="K309" s="30">
        <f t="shared" si="280"/>
        <v>5000</v>
      </c>
      <c r="L309" s="8">
        <v>25000</v>
      </c>
      <c r="M309" s="9">
        <f>VLOOKUP(DATE(YEAR(A309),MONTH(A309),DAY(A309)),FY24_Temp[],4,FALSE)</f>
        <v>8.4</v>
      </c>
      <c r="N309" s="9">
        <f>VLOOKUP(DATE(YEAR(A309),MONTH(A309),DAY(A309)),FY24_Temp[],3,FALSE)</f>
        <v>12.8</v>
      </c>
      <c r="O309" s="9">
        <v>13</v>
      </c>
      <c r="P309" s="9">
        <v>19.5</v>
      </c>
      <c r="Q309" s="79">
        <f>VLOOKUP(VLOOKUP(DATEVALUE(TEXT(A309,"m/d/yyyy")),FY24_Temp[],5,FALSE)&amp;TEXT(A309,"-h"),Table6[],4,FALSE)</f>
        <v>0.5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VLOOKUP(TEXT(A309,"yy-mm")&amp;"-"&amp;IF(AND(WEEKDAY(A309)&gt;1,WEEKDAY(A309)&lt;7),"Wkd",TEXT(A309,"Ddd"))&amp;"-"&amp;TEXT(A309,"hh"),LoadTable[],5,FALSE)*0.92</f>
        <v>494.57360000000006</v>
      </c>
      <c r="U309" s="104">
        <f>VLOOKUP(TEXT(A309,"yy-mm")&amp;"-"&amp;IF(AND(WEEKDAY(A309)&gt;1,WEEKDAY(A309)&lt;7),"Wkd",TEXT(A309,"Ddd"))&amp;"-"&amp;TEXT(A309,"hh"),LoadTable[],6,FALSE)*T309</f>
        <v>60164.383866400007</v>
      </c>
      <c r="V309">
        <f t="shared" ref="V309:W309" si="306">V285</f>
        <v>2.9</v>
      </c>
      <c r="W309">
        <f t="shared" si="306"/>
        <v>3</v>
      </c>
      <c r="X309" s="9">
        <v>3.2721518999999999</v>
      </c>
    </row>
    <row r="310" spans="1:24">
      <c r="A310" s="29">
        <f t="shared" si="253"/>
        <v>45848.791666665922</v>
      </c>
      <c r="B310" s="30">
        <f t="shared" si="277"/>
        <v>5000</v>
      </c>
      <c r="C310" s="8">
        <v>25000</v>
      </c>
      <c r="D310" s="8">
        <v>0</v>
      </c>
      <c r="E310" s="8">
        <v>0</v>
      </c>
      <c r="F310" s="8">
        <v>0</v>
      </c>
      <c r="G310" s="30">
        <f t="shared" si="278"/>
        <v>2400</v>
      </c>
      <c r="H310" s="8">
        <v>25000</v>
      </c>
      <c r="I310" s="30">
        <f t="shared" si="279"/>
        <v>5000</v>
      </c>
      <c r="J310" s="8">
        <v>25000</v>
      </c>
      <c r="K310" s="30">
        <f t="shared" si="280"/>
        <v>5000</v>
      </c>
      <c r="L310" s="8">
        <v>25000</v>
      </c>
      <c r="M310" s="9">
        <f>VLOOKUP(DATE(YEAR(A310),MONTH(A310),DAY(A310)),FY24_Temp[],4,FALSE)</f>
        <v>8.4</v>
      </c>
      <c r="N310" s="9">
        <f>VLOOKUP(DATE(YEAR(A310),MONTH(A310),DAY(A310)),FY24_Temp[],3,FALSE)</f>
        <v>12.8</v>
      </c>
      <c r="O310" s="9">
        <v>13</v>
      </c>
      <c r="P310" s="9">
        <v>19.5</v>
      </c>
      <c r="Q310" s="79">
        <f>VLOOKUP(VLOOKUP(DATEVALUE(TEXT(A310,"m/d/yyyy")),FY24_Temp[],5,FALSE)&amp;TEXT(A310,"-h"),Table6[],4,FALSE)</f>
        <v>0.5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VLOOKUP(TEXT(A310,"yy-mm")&amp;"-"&amp;IF(AND(WEEKDAY(A310)&gt;1,WEEKDAY(A310)&lt;7),"Wkd",TEXT(A310,"Ddd"))&amp;"-"&amp;TEXT(A310,"hh"),LoadTable[],5,FALSE)*0.92</f>
        <v>494.57360000000006</v>
      </c>
      <c r="U310" s="104">
        <f>VLOOKUP(TEXT(A310,"yy-mm")&amp;"-"&amp;IF(AND(WEEKDAY(A310)&gt;1,WEEKDAY(A310)&lt;7),"Wkd",TEXT(A310,"Ddd"))&amp;"-"&amp;TEXT(A310,"hh"),LoadTable[],6,FALSE)*T310</f>
        <v>60548.172980000003</v>
      </c>
      <c r="V310">
        <f t="shared" ref="V310:W310" si="307">V286</f>
        <v>3</v>
      </c>
      <c r="W310">
        <f t="shared" si="307"/>
        <v>3</v>
      </c>
      <c r="X310" s="9">
        <v>3.2928169</v>
      </c>
    </row>
    <row r="311" spans="1:24">
      <c r="A311" s="29">
        <f t="shared" si="253"/>
        <v>45848.833333332586</v>
      </c>
      <c r="B311" s="30">
        <f t="shared" si="277"/>
        <v>5000</v>
      </c>
      <c r="C311" s="8">
        <v>25000</v>
      </c>
      <c r="D311" s="8">
        <v>0</v>
      </c>
      <c r="E311" s="8">
        <v>0</v>
      </c>
      <c r="F311" s="8">
        <v>0</v>
      </c>
      <c r="G311" s="30">
        <f t="shared" si="278"/>
        <v>2400</v>
      </c>
      <c r="H311" s="8">
        <v>25000</v>
      </c>
      <c r="I311" s="30">
        <f t="shared" si="279"/>
        <v>5000</v>
      </c>
      <c r="J311" s="8">
        <v>25000</v>
      </c>
      <c r="K311" s="30">
        <f t="shared" si="280"/>
        <v>5000</v>
      </c>
      <c r="L311" s="8">
        <v>25000</v>
      </c>
      <c r="M311" s="9">
        <f>VLOOKUP(DATE(YEAR(A311),MONTH(A311),DAY(A311)),FY24_Temp[],4,FALSE)</f>
        <v>8.4</v>
      </c>
      <c r="N311" s="9">
        <f>VLOOKUP(DATE(YEAR(A311),MONTH(A311),DAY(A311)),FY24_Temp[],3,FALSE)</f>
        <v>12.8</v>
      </c>
      <c r="O311" s="9">
        <v>13</v>
      </c>
      <c r="P311" s="9">
        <v>19.5</v>
      </c>
      <c r="Q311" s="79">
        <f>VLOOKUP(VLOOKUP(DATEVALUE(TEXT(A311,"m/d/yyyy")),FY24_Temp[],5,FALSE)&amp;TEXT(A311,"-h"),Table6[],4,FALSE)</f>
        <v>0.5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VLOOKUP(TEXT(A311,"yy-mm")&amp;"-"&amp;IF(AND(WEEKDAY(A311)&gt;1,WEEKDAY(A311)&lt;7),"Wkd",TEXT(A311,"Ddd"))&amp;"-"&amp;TEXT(A311,"hh"),LoadTable[],5,FALSE)*0.92</f>
        <v>494.57360000000006</v>
      </c>
      <c r="U311" s="104">
        <f>VLOOKUP(TEXT(A311,"yy-mm")&amp;"-"&amp;IF(AND(WEEKDAY(A311)&gt;1,WEEKDAY(A311)&lt;7),"Wkd",TEXT(A311,"Ddd"))&amp;"-"&amp;TEXT(A311,"hh"),LoadTable[],6,FALSE)*T311</f>
        <v>60532.346624800004</v>
      </c>
      <c r="V311">
        <f t="shared" ref="V311:W311" si="308">V287</f>
        <v>2.8</v>
      </c>
      <c r="W311">
        <f t="shared" si="308"/>
        <v>3.1</v>
      </c>
      <c r="X311" s="9">
        <v>3.278883</v>
      </c>
    </row>
    <row r="312" spans="1:24">
      <c r="A312" s="29">
        <f t="shared" si="253"/>
        <v>45848.874999999251</v>
      </c>
      <c r="B312" s="30">
        <f t="shared" si="277"/>
        <v>5000</v>
      </c>
      <c r="C312" s="8">
        <v>25000</v>
      </c>
      <c r="D312" s="8">
        <v>0</v>
      </c>
      <c r="E312" s="8">
        <v>0</v>
      </c>
      <c r="F312" s="8">
        <v>0</v>
      </c>
      <c r="G312" s="30">
        <f t="shared" si="278"/>
        <v>2400</v>
      </c>
      <c r="H312" s="8">
        <v>25000</v>
      </c>
      <c r="I312" s="30">
        <f t="shared" si="279"/>
        <v>5000</v>
      </c>
      <c r="J312" s="8">
        <v>25000</v>
      </c>
      <c r="K312" s="30">
        <f t="shared" si="280"/>
        <v>5000</v>
      </c>
      <c r="L312" s="8">
        <v>25000</v>
      </c>
      <c r="M312" s="9">
        <f>VLOOKUP(DATE(YEAR(A312),MONTH(A312),DAY(A312)),FY24_Temp[],4,FALSE)</f>
        <v>8.4</v>
      </c>
      <c r="N312" s="9">
        <f>VLOOKUP(DATE(YEAR(A312),MONTH(A312),DAY(A312)),FY24_Temp[],3,FALSE)</f>
        <v>12.8</v>
      </c>
      <c r="O312" s="9">
        <v>13</v>
      </c>
      <c r="P312" s="9">
        <v>19.5</v>
      </c>
      <c r="Q312" s="79">
        <f>VLOOKUP(VLOOKUP(DATEVALUE(TEXT(A312,"m/d/yyyy")),FY24_Temp[],5,FALSE)&amp;TEXT(A312,"-h"),Table6[],4,FALSE)</f>
        <v>0.5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VLOOKUP(TEXT(A312,"yy-mm")&amp;"-"&amp;IF(AND(WEEKDAY(A312)&gt;1,WEEKDAY(A312)&lt;7),"Wkd",TEXT(A312,"Ddd"))&amp;"-"&amp;TEXT(A312,"hh"),LoadTable[],5,FALSE)*0.92</f>
        <v>494.57360000000006</v>
      </c>
      <c r="U312" s="104">
        <f>VLOOKUP(TEXT(A312,"yy-mm")&amp;"-"&amp;IF(AND(WEEKDAY(A312)&gt;1,WEEKDAY(A312)&lt;7),"Wkd",TEXT(A312,"Ddd"))&amp;"-"&amp;TEXT(A312,"hh"),LoadTable[],6,FALSE)*T312</f>
        <v>58481.349905600007</v>
      </c>
      <c r="V312">
        <f t="shared" ref="V312:W312" si="309">V288</f>
        <v>3.5</v>
      </c>
      <c r="W312">
        <f t="shared" si="309"/>
        <v>3.1</v>
      </c>
      <c r="X312" s="9">
        <v>3.1985253999999999</v>
      </c>
    </row>
    <row r="313" spans="1:24">
      <c r="A313" s="29">
        <f t="shared" si="253"/>
        <v>45848.916666665915</v>
      </c>
      <c r="B313" s="30">
        <f t="shared" si="277"/>
        <v>5000</v>
      </c>
      <c r="C313" s="8">
        <v>25000</v>
      </c>
      <c r="D313" s="8">
        <v>0</v>
      </c>
      <c r="E313" s="8">
        <v>0</v>
      </c>
      <c r="F313" s="8">
        <v>0</v>
      </c>
      <c r="G313" s="30">
        <f t="shared" si="278"/>
        <v>2400</v>
      </c>
      <c r="H313" s="8">
        <v>25000</v>
      </c>
      <c r="I313" s="30">
        <f t="shared" si="279"/>
        <v>5000</v>
      </c>
      <c r="J313" s="8">
        <v>25000</v>
      </c>
      <c r="K313" s="30">
        <f t="shared" si="280"/>
        <v>5000</v>
      </c>
      <c r="L313" s="8">
        <v>25000</v>
      </c>
      <c r="M313" s="9">
        <f>VLOOKUP(DATE(YEAR(A313),MONTH(A313),DAY(A313)),FY24_Temp[],4,FALSE)</f>
        <v>8.4</v>
      </c>
      <c r="N313" s="9">
        <f>VLOOKUP(DATE(YEAR(A313),MONTH(A313),DAY(A313)),FY24_Temp[],3,FALSE)</f>
        <v>12.8</v>
      </c>
      <c r="O313" s="9">
        <v>13</v>
      </c>
      <c r="P313" s="9">
        <v>19.5</v>
      </c>
      <c r="Q313" s="79">
        <f>VLOOKUP(VLOOKUP(DATEVALUE(TEXT(A313,"m/d/yyyy")),FY24_Temp[],5,FALSE)&amp;TEXT(A313,"-h"),Table6[],4,FALSE)</f>
        <v>0.5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VLOOKUP(TEXT(A313,"yy-mm")&amp;"-"&amp;IF(AND(WEEKDAY(A313)&gt;1,WEEKDAY(A313)&lt;7),"Wkd",TEXT(A313,"Ddd"))&amp;"-"&amp;TEXT(A313,"hh"),LoadTable[],5,FALSE)*0.92</f>
        <v>418.75640000000004</v>
      </c>
      <c r="U313" s="104">
        <f>VLOOKUP(TEXT(A313,"yy-mm")&amp;"-"&amp;IF(AND(WEEKDAY(A313)&gt;1,WEEKDAY(A313)&lt;7),"Wkd",TEXT(A313,"Ddd"))&amp;"-"&amp;TEXT(A313,"hh"),LoadTable[],6,FALSE)*T313</f>
        <v>27547.889774000003</v>
      </c>
      <c r="V313">
        <f t="shared" ref="V313:W313" si="310">V289</f>
        <v>2.9</v>
      </c>
      <c r="W313">
        <f t="shared" si="310"/>
        <v>3.1</v>
      </c>
      <c r="X313" s="9">
        <v>3.1214426</v>
      </c>
    </row>
    <row r="314" spans="1:24">
      <c r="A314" s="29">
        <f t="shared" si="253"/>
        <v>45848.958333332579</v>
      </c>
      <c r="B314" s="30">
        <f t="shared" si="277"/>
        <v>5000</v>
      </c>
      <c r="C314" s="41">
        <v>25000</v>
      </c>
      <c r="D314" s="41">
        <v>0</v>
      </c>
      <c r="E314" s="41">
        <v>0</v>
      </c>
      <c r="F314" s="41">
        <v>0</v>
      </c>
      <c r="G314" s="30">
        <f t="shared" si="278"/>
        <v>2400</v>
      </c>
      <c r="H314" s="41">
        <v>25000</v>
      </c>
      <c r="I314" s="30">
        <f t="shared" si="279"/>
        <v>5000</v>
      </c>
      <c r="J314" s="41">
        <v>25000</v>
      </c>
      <c r="K314" s="30">
        <f t="shared" si="280"/>
        <v>5000</v>
      </c>
      <c r="L314" s="41">
        <v>25000</v>
      </c>
      <c r="M314" s="9">
        <f>VLOOKUP(DATE(YEAR(A314),MONTH(A314),DAY(A314)),FY24_Temp[],4,FALSE)</f>
        <v>8.4</v>
      </c>
      <c r="N314" s="9">
        <f>VLOOKUP(DATE(YEAR(A314),MONTH(A314),DAY(A314)),FY24_Temp[],3,FALSE)</f>
        <v>12.8</v>
      </c>
      <c r="O314" s="84">
        <v>13</v>
      </c>
      <c r="P314" s="84">
        <v>19.5</v>
      </c>
      <c r="Q314" s="85">
        <f>VLOOKUP(VLOOKUP(DATEVALUE(TEXT(A314,"m/d/yyyy")),FY24_Temp[],5,FALSE)&amp;TEXT(A314,"-h"),Table6[],4,FALSE)</f>
        <v>0.5</v>
      </c>
      <c r="R314">
        <v>10</v>
      </c>
      <c r="S314">
        <v>1000</v>
      </c>
      <c r="T314" s="98">
        <f>VLOOKUP(TEXT(A314,"yy-mm")&amp;"-"&amp;IF(AND(WEEKDAY(A314)&gt;1,WEEKDAY(A314)&lt;7),"Wkd",TEXT(A314,"Ddd"))&amp;"-"&amp;TEXT(A314,"hh"),LoadTable[],5,FALSE)*0.92</f>
        <v>342.93920000000003</v>
      </c>
      <c r="U314" s="104">
        <f>VLOOKUP(TEXT(A314,"yy-mm")&amp;"-"&amp;IF(AND(WEEKDAY(A314)&gt;1,WEEKDAY(A314)&lt;7),"Wkd",TEXT(A314,"Ddd"))&amp;"-"&amp;TEXT(A314,"hh"),LoadTable[],6,FALSE)*T314</f>
        <v>19873.669579200003</v>
      </c>
      <c r="V314">
        <f t="shared" ref="V314:W314" si="311">V290</f>
        <v>3.6</v>
      </c>
      <c r="W314">
        <f t="shared" si="311"/>
        <v>3.1</v>
      </c>
      <c r="X314" s="84">
        <v>3.0629621</v>
      </c>
    </row>
    <row r="315" spans="1:24">
      <c r="A315" s="29">
        <f t="shared" si="253"/>
        <v>45848.999999999243</v>
      </c>
      <c r="B315" s="30">
        <f t="shared" si="277"/>
        <v>5000</v>
      </c>
      <c r="C315" s="8">
        <v>25000</v>
      </c>
      <c r="D315" s="8">
        <v>0</v>
      </c>
      <c r="E315" s="8">
        <v>0</v>
      </c>
      <c r="F315" s="8">
        <v>0</v>
      </c>
      <c r="G315" s="30">
        <f t="shared" si="278"/>
        <v>2400</v>
      </c>
      <c r="H315" s="8">
        <v>25000</v>
      </c>
      <c r="I315" s="30">
        <f t="shared" si="279"/>
        <v>5000</v>
      </c>
      <c r="J315" s="8">
        <v>25000</v>
      </c>
      <c r="K315" s="30">
        <f t="shared" si="280"/>
        <v>5000</v>
      </c>
      <c r="L315" s="8">
        <v>25000</v>
      </c>
      <c r="M315" s="9">
        <f>VLOOKUP(DATE(YEAR(A315),MONTH(A315),DAY(A315)),FY24_Temp[],4,FALSE)</f>
        <v>8.4</v>
      </c>
      <c r="N315" s="9">
        <f>VLOOKUP(DATE(YEAR(A315),MONTH(A315),DAY(A315)),FY24_Temp[],3,FALSE)</f>
        <v>12.8</v>
      </c>
      <c r="O315" s="9">
        <v>13</v>
      </c>
      <c r="P315" s="9">
        <v>19.5</v>
      </c>
      <c r="Q315" s="79">
        <f>VLOOKUP(VLOOKUP(DATEVALUE(TEXT(A315,"m/d/yyyy")),FY24_Temp[],5,FALSE)&amp;TEXT(A315,"-h"),Table6[],4,FALSE)</f>
        <v>0.5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VLOOKUP(TEXT(A315,"yy-mm")&amp;"-"&amp;IF(AND(WEEKDAY(A315)&gt;1,WEEKDAY(A315)&lt;7),"Wkd",TEXT(A315,"Ddd"))&amp;"-"&amp;TEXT(A315,"hh"),LoadTable[],5,FALSE)*0.92</f>
        <v>279.25312000000002</v>
      </c>
      <c r="U315" s="104">
        <f>VLOOKUP(TEXT(A315,"yy-mm")&amp;"-"&amp;IF(AND(WEEKDAY(A315)&gt;1,WEEKDAY(A315)&lt;7),"Wkd",TEXT(A315,"Ddd"))&amp;"-"&amp;TEXT(A315,"hh"),LoadTable[],6,FALSE)*T315</f>
        <v>14895.640673920001</v>
      </c>
      <c r="V315">
        <f t="shared" ref="V315:W315" si="312">V291</f>
        <v>3</v>
      </c>
      <c r="W315">
        <f t="shared" si="312"/>
        <v>3.2</v>
      </c>
      <c r="X315" s="9">
        <v>3.0725033000000002</v>
      </c>
    </row>
    <row r="316" spans="1:24">
      <c r="A316" s="29">
        <f t="shared" si="253"/>
        <v>45849.041666665908</v>
      </c>
      <c r="B316" s="30">
        <f t="shared" si="277"/>
        <v>5000</v>
      </c>
      <c r="C316" s="42">
        <v>25000</v>
      </c>
      <c r="D316" s="42">
        <v>0</v>
      </c>
      <c r="E316" s="42">
        <v>0</v>
      </c>
      <c r="F316" s="42">
        <v>0</v>
      </c>
      <c r="G316" s="30">
        <f t="shared" si="278"/>
        <v>2400</v>
      </c>
      <c r="H316" s="42">
        <v>25000</v>
      </c>
      <c r="I316" s="30">
        <f t="shared" si="279"/>
        <v>5000</v>
      </c>
      <c r="J316" s="42">
        <v>25000</v>
      </c>
      <c r="K316" s="30">
        <f t="shared" si="280"/>
        <v>5000</v>
      </c>
      <c r="L316" s="42">
        <v>25000</v>
      </c>
      <c r="M316" s="9">
        <f>VLOOKUP(DATE(YEAR(A316),MONTH(A316),DAY(A316)),FY24_Temp[],4,FALSE)</f>
        <v>8.4</v>
      </c>
      <c r="N316" s="9">
        <f>VLOOKUP(DATE(YEAR(A316),MONTH(A316),DAY(A316)),FY24_Temp[],3,FALSE)</f>
        <v>12.8</v>
      </c>
      <c r="O316" s="86">
        <v>13</v>
      </c>
      <c r="P316" s="86">
        <v>19.5</v>
      </c>
      <c r="Q316" s="87">
        <f>VLOOKUP(VLOOKUP(DATEVALUE(TEXT(A316,"m/d/yyyy")),FY24_Temp[],5,FALSE)&amp;TEXT(A316,"-h"),Table6[],4,FALSE)</f>
        <v>0.5</v>
      </c>
      <c r="R316">
        <v>10</v>
      </c>
      <c r="S316">
        <v>1000</v>
      </c>
      <c r="T316" s="99">
        <f>VLOOKUP(TEXT(A316,"yy-mm")&amp;"-"&amp;IF(AND(WEEKDAY(A316)&gt;1,WEEKDAY(A316)&lt;7),"Wkd",TEXT(A316,"Ddd"))&amp;"-"&amp;TEXT(A316,"hh"),LoadTable[],5,FALSE)*0.92</f>
        <v>279.25312000000002</v>
      </c>
      <c r="U316" s="104">
        <f>VLOOKUP(TEXT(A316,"yy-mm")&amp;"-"&amp;IF(AND(WEEKDAY(A316)&gt;1,WEEKDAY(A316)&lt;7),"Wkd",TEXT(A316,"Ddd"))&amp;"-"&amp;TEXT(A316,"hh"),LoadTable[],6,FALSE)*T316</f>
        <v>14470.896678400002</v>
      </c>
      <c r="V316">
        <f t="shared" ref="V316:W316" si="313">V292</f>
        <v>2.6</v>
      </c>
      <c r="W316">
        <f t="shared" si="313"/>
        <v>3.2</v>
      </c>
      <c r="X316" s="86">
        <v>3.1082033999999998</v>
      </c>
    </row>
    <row r="317" spans="1:24">
      <c r="A317" s="29">
        <f t="shared" si="253"/>
        <v>45849.083333332572</v>
      </c>
      <c r="B317" s="30">
        <f t="shared" si="277"/>
        <v>5000</v>
      </c>
      <c r="C317" s="8">
        <v>25000</v>
      </c>
      <c r="D317" s="8">
        <v>0</v>
      </c>
      <c r="E317" s="8">
        <v>0</v>
      </c>
      <c r="F317" s="8">
        <v>0</v>
      </c>
      <c r="G317" s="30">
        <f t="shared" si="278"/>
        <v>2400</v>
      </c>
      <c r="H317" s="8">
        <v>25000</v>
      </c>
      <c r="I317" s="30">
        <f t="shared" si="279"/>
        <v>5000</v>
      </c>
      <c r="J317" s="8">
        <v>25000</v>
      </c>
      <c r="K317" s="30">
        <f t="shared" si="280"/>
        <v>5000</v>
      </c>
      <c r="L317" s="8">
        <v>25000</v>
      </c>
      <c r="M317" s="9">
        <f>VLOOKUP(DATE(YEAR(A317),MONTH(A317),DAY(A317)),FY24_Temp[],4,FALSE)</f>
        <v>8.4</v>
      </c>
      <c r="N317" s="9">
        <f>VLOOKUP(DATE(YEAR(A317),MONTH(A317),DAY(A317)),FY24_Temp[],3,FALSE)</f>
        <v>12.8</v>
      </c>
      <c r="O317" s="9">
        <v>13</v>
      </c>
      <c r="P317" s="9">
        <v>19.5</v>
      </c>
      <c r="Q317" s="79">
        <f>VLOOKUP(VLOOKUP(DATEVALUE(TEXT(A317,"m/d/yyyy")),FY24_Temp[],5,FALSE)&amp;TEXT(A317,"-h"),Table6[],4,FALSE)</f>
        <v>0.5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VLOOKUP(TEXT(A317,"yy-mm")&amp;"-"&amp;IF(AND(WEEKDAY(A317)&gt;1,WEEKDAY(A317)&lt;7),"Wkd",TEXT(A317,"Ddd"))&amp;"-"&amp;TEXT(A317,"hh"),LoadTable[],5,FALSE)*0.92</f>
        <v>279.25312000000002</v>
      </c>
      <c r="U317" s="104">
        <f>VLOOKUP(TEXT(A317,"yy-mm")&amp;"-"&amp;IF(AND(WEEKDAY(A317)&gt;1,WEEKDAY(A317)&lt;7),"Wkd",TEXT(A317,"Ddd"))&amp;"-"&amp;TEXT(A317,"hh"),LoadTable[],6,FALSE)*T317</f>
        <v>14154.50289344</v>
      </c>
      <c r="V317">
        <f t="shared" ref="V317:W317" si="314">V293</f>
        <v>2.8</v>
      </c>
      <c r="W317">
        <f t="shared" si="314"/>
        <v>3.2</v>
      </c>
      <c r="X317" s="9">
        <v>3.1520370999999998</v>
      </c>
    </row>
    <row r="318" spans="1:24">
      <c r="A318" s="29">
        <f t="shared" si="253"/>
        <v>45849.124999999236</v>
      </c>
      <c r="B318" s="30">
        <f t="shared" si="277"/>
        <v>5000</v>
      </c>
      <c r="C318" s="8">
        <v>25000</v>
      </c>
      <c r="D318" s="8">
        <v>0</v>
      </c>
      <c r="E318" s="8">
        <v>0</v>
      </c>
      <c r="F318" s="8">
        <v>0</v>
      </c>
      <c r="G318" s="30">
        <f t="shared" si="278"/>
        <v>2400</v>
      </c>
      <c r="H318" s="8">
        <v>25000</v>
      </c>
      <c r="I318" s="30">
        <f t="shared" si="279"/>
        <v>5000</v>
      </c>
      <c r="J318" s="8">
        <v>25000</v>
      </c>
      <c r="K318" s="30">
        <f t="shared" si="280"/>
        <v>5000</v>
      </c>
      <c r="L318" s="8">
        <v>25000</v>
      </c>
      <c r="M318" s="9">
        <f>VLOOKUP(DATE(YEAR(A318),MONTH(A318),DAY(A318)),FY24_Temp[],4,FALSE)</f>
        <v>8.4</v>
      </c>
      <c r="N318" s="9">
        <f>VLOOKUP(DATE(YEAR(A318),MONTH(A318),DAY(A318)),FY24_Temp[],3,FALSE)</f>
        <v>12.8</v>
      </c>
      <c r="O318" s="9">
        <v>13</v>
      </c>
      <c r="P318" s="9">
        <v>19.5</v>
      </c>
      <c r="Q318" s="79">
        <f>VLOOKUP(VLOOKUP(DATEVALUE(TEXT(A318,"m/d/yyyy")),FY24_Temp[],5,FALSE)&amp;TEXT(A318,"-h"),Table6[],4,FALSE)</f>
        <v>0.5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VLOOKUP(TEXT(A318,"yy-mm")&amp;"-"&amp;IF(AND(WEEKDAY(A318)&gt;1,WEEKDAY(A318)&lt;7),"Wkd",TEXT(A318,"Ddd"))&amp;"-"&amp;TEXT(A318,"hh"),LoadTable[],5,FALSE)*0.92</f>
        <v>279.25312000000002</v>
      </c>
      <c r="U318" s="104">
        <f>VLOOKUP(TEXT(A318,"yy-mm")&amp;"-"&amp;IF(AND(WEEKDAY(A318)&gt;1,WEEKDAY(A318)&lt;7),"Wkd",TEXT(A318,"Ddd"))&amp;"-"&amp;TEXT(A318,"hh"),LoadTable[],6,FALSE)*T318</f>
        <v>14206.443973760001</v>
      </c>
      <c r="V318">
        <f t="shared" ref="V318:W318" si="315">V294</f>
        <v>2.7</v>
      </c>
      <c r="W318">
        <f t="shared" si="315"/>
        <v>3.2</v>
      </c>
      <c r="X318" s="9">
        <v>3.1877488999999999</v>
      </c>
    </row>
    <row r="319" spans="1:24">
      <c r="A319" s="29">
        <f t="shared" si="253"/>
        <v>45849.1666666659</v>
      </c>
      <c r="B319" s="30">
        <f t="shared" si="277"/>
        <v>5000</v>
      </c>
      <c r="C319" s="8">
        <v>25000</v>
      </c>
      <c r="D319" s="8">
        <v>0</v>
      </c>
      <c r="E319" s="8">
        <v>0</v>
      </c>
      <c r="F319" s="8">
        <v>0</v>
      </c>
      <c r="G319" s="30">
        <f t="shared" si="278"/>
        <v>2400</v>
      </c>
      <c r="H319" s="8">
        <v>25000</v>
      </c>
      <c r="I319" s="30">
        <f t="shared" si="279"/>
        <v>5000</v>
      </c>
      <c r="J319" s="8">
        <v>25000</v>
      </c>
      <c r="K319" s="30">
        <f t="shared" si="280"/>
        <v>5000</v>
      </c>
      <c r="L319" s="8">
        <v>25000</v>
      </c>
      <c r="M319" s="9">
        <f>VLOOKUP(DATE(YEAR(A319),MONTH(A319),DAY(A319)),FY24_Temp[],4,FALSE)</f>
        <v>8.4</v>
      </c>
      <c r="N319" s="9">
        <f>VLOOKUP(DATE(YEAR(A319),MONTH(A319),DAY(A319)),FY24_Temp[],3,FALSE)</f>
        <v>12.8</v>
      </c>
      <c r="O319" s="9">
        <v>13</v>
      </c>
      <c r="P319" s="9">
        <v>19.5</v>
      </c>
      <c r="Q319" s="79">
        <f>VLOOKUP(VLOOKUP(DATEVALUE(TEXT(A319,"m/d/yyyy")),FY24_Temp[],5,FALSE)&amp;TEXT(A319,"-h"),Table6[],4,FALSE)</f>
        <v>0.5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VLOOKUP(TEXT(A319,"yy-mm")&amp;"-"&amp;IF(AND(WEEKDAY(A319)&gt;1,WEEKDAY(A319)&lt;7),"Wkd",TEXT(A319,"Ddd"))&amp;"-"&amp;TEXT(A319,"hh"),LoadTable[],5,FALSE)*0.92</f>
        <v>279.25312000000002</v>
      </c>
      <c r="U319" s="104">
        <f>VLOOKUP(TEXT(A319,"yy-mm")&amp;"-"&amp;IF(AND(WEEKDAY(A319)&gt;1,WEEKDAY(A319)&lt;7),"Wkd",TEXT(A319,"Ddd"))&amp;"-"&amp;TEXT(A319,"hh"),LoadTable[],6,FALSE)*T319</f>
        <v>14229.063476480002</v>
      </c>
      <c r="V319">
        <f t="shared" ref="V319:W319" si="316">V295</f>
        <v>3</v>
      </c>
      <c r="W319">
        <f t="shared" si="316"/>
        <v>3.1</v>
      </c>
      <c r="X319" s="9">
        <v>3.2085164000000002</v>
      </c>
    </row>
    <row r="320" spans="1:24">
      <c r="A320" s="29">
        <f t="shared" si="253"/>
        <v>45849.208333332565</v>
      </c>
      <c r="B320" s="30">
        <f t="shared" si="277"/>
        <v>5000</v>
      </c>
      <c r="C320" s="8">
        <v>25000</v>
      </c>
      <c r="D320" s="8">
        <v>0</v>
      </c>
      <c r="E320" s="8">
        <v>0</v>
      </c>
      <c r="F320" s="8">
        <v>0</v>
      </c>
      <c r="G320" s="30">
        <f t="shared" si="278"/>
        <v>2400</v>
      </c>
      <c r="H320" s="8">
        <v>25000</v>
      </c>
      <c r="I320" s="30">
        <f t="shared" si="279"/>
        <v>5000</v>
      </c>
      <c r="J320" s="8">
        <v>25000</v>
      </c>
      <c r="K320" s="30">
        <f t="shared" si="280"/>
        <v>5000</v>
      </c>
      <c r="L320" s="8">
        <v>25000</v>
      </c>
      <c r="M320" s="9">
        <f>VLOOKUP(DATE(YEAR(A320),MONTH(A320),DAY(A320)),FY24_Temp[],4,FALSE)</f>
        <v>8.4</v>
      </c>
      <c r="N320" s="9">
        <f>VLOOKUP(DATE(YEAR(A320),MONTH(A320),DAY(A320)),FY24_Temp[],3,FALSE)</f>
        <v>12.8</v>
      </c>
      <c r="O320" s="9">
        <v>13</v>
      </c>
      <c r="P320" s="9">
        <v>19.5</v>
      </c>
      <c r="Q320" s="79">
        <f>VLOOKUP(VLOOKUP(DATEVALUE(TEXT(A320,"m/d/yyyy")),FY24_Temp[],5,FALSE)&amp;TEXT(A320,"-h"),Table6[],4,FALSE)</f>
        <v>0.5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VLOOKUP(TEXT(A320,"yy-mm")&amp;"-"&amp;IF(AND(WEEKDAY(A320)&gt;1,WEEKDAY(A320)&lt;7),"Wkd",TEXT(A320,"Ddd"))&amp;"-"&amp;TEXT(A320,"hh"),LoadTable[],5,FALSE)*0.92</f>
        <v>279.25312000000002</v>
      </c>
      <c r="U320" s="104">
        <f>VLOOKUP(TEXT(A320,"yy-mm")&amp;"-"&amp;IF(AND(WEEKDAY(A320)&gt;1,WEEKDAY(A320)&lt;7),"Wkd",TEXT(A320,"Ddd"))&amp;"-"&amp;TEXT(A320,"hh"),LoadTable[],6,FALSE)*T320</f>
        <v>14735.070129920001</v>
      </c>
      <c r="V320">
        <f t="shared" ref="V320:W320" si="317">V296</f>
        <v>2.9</v>
      </c>
      <c r="W320">
        <f t="shared" si="317"/>
        <v>3.1</v>
      </c>
      <c r="X320" s="9">
        <v>3.2694032000000002</v>
      </c>
    </row>
    <row r="321" spans="1:24">
      <c r="A321" s="29">
        <f t="shared" si="253"/>
        <v>45849.249999999229</v>
      </c>
      <c r="B321" s="30">
        <f t="shared" si="277"/>
        <v>8000</v>
      </c>
      <c r="C321" s="8">
        <v>25000</v>
      </c>
      <c r="D321" s="8">
        <v>0</v>
      </c>
      <c r="E321" s="8">
        <v>0</v>
      </c>
      <c r="F321" s="8">
        <v>0</v>
      </c>
      <c r="G321" s="30">
        <f t="shared" si="278"/>
        <v>2400</v>
      </c>
      <c r="H321" s="8">
        <v>25000</v>
      </c>
      <c r="I321" s="30">
        <f t="shared" si="279"/>
        <v>8000</v>
      </c>
      <c r="J321" s="8">
        <v>25000</v>
      </c>
      <c r="K321" s="30">
        <f t="shared" si="280"/>
        <v>8000</v>
      </c>
      <c r="L321" s="8">
        <v>25000</v>
      </c>
      <c r="M321" s="9">
        <f>VLOOKUP(DATE(YEAR(A321),MONTH(A321),DAY(A321)),FY24_Temp[],4,FALSE)</f>
        <v>8.4</v>
      </c>
      <c r="N321" s="9">
        <f>VLOOKUP(DATE(YEAR(A321),MONTH(A321),DAY(A321)),FY24_Temp[],3,FALSE)</f>
        <v>12.8</v>
      </c>
      <c r="O321" s="9">
        <v>13</v>
      </c>
      <c r="P321" s="9">
        <v>19.5</v>
      </c>
      <c r="Q321" s="79">
        <f>VLOOKUP(VLOOKUP(DATEVALUE(TEXT(A321,"m/d/yyyy")),FY24_Temp[],5,FALSE)&amp;TEXT(A321,"-h"),Table6[],4,FALSE)</f>
        <v>0.5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VLOOKUP(TEXT(A321,"yy-mm")&amp;"-"&amp;IF(AND(WEEKDAY(A321)&gt;1,WEEKDAY(A321)&lt;7),"Wkd",TEXT(A321,"Ddd"))&amp;"-"&amp;TEXT(A321,"hh"),LoadTable[],5,FALSE)*0.92</f>
        <v>279.25312000000002</v>
      </c>
      <c r="U321" s="104">
        <f>VLOOKUP(TEXT(A321,"yy-mm")&amp;"-"&amp;IF(AND(WEEKDAY(A321)&gt;1,WEEKDAY(A321)&lt;7),"Wkd",TEXT(A321,"Ddd"))&amp;"-"&amp;TEXT(A321,"hh"),LoadTable[],6,FALSE)*T321</f>
        <v>26238.902408320002</v>
      </c>
      <c r="V321">
        <f t="shared" ref="V321:W321" si="318">V297</f>
        <v>2.5</v>
      </c>
      <c r="W321">
        <f t="shared" si="318"/>
        <v>3.1</v>
      </c>
      <c r="X321" s="9">
        <v>3.3373686999999999</v>
      </c>
    </row>
    <row r="322" spans="1:24">
      <c r="A322" s="29">
        <f t="shared" si="253"/>
        <v>45849.291666665893</v>
      </c>
      <c r="B322" s="30">
        <f t="shared" si="277"/>
        <v>8000</v>
      </c>
      <c r="C322" s="8">
        <v>25000</v>
      </c>
      <c r="D322" s="8">
        <v>0</v>
      </c>
      <c r="E322" s="8">
        <v>0</v>
      </c>
      <c r="F322" s="8">
        <v>0</v>
      </c>
      <c r="G322" s="30">
        <f t="shared" si="278"/>
        <v>2400</v>
      </c>
      <c r="H322" s="8">
        <v>25000</v>
      </c>
      <c r="I322" s="30">
        <f t="shared" si="279"/>
        <v>8000</v>
      </c>
      <c r="J322" s="8">
        <v>25000</v>
      </c>
      <c r="K322" s="30">
        <f t="shared" si="280"/>
        <v>8000</v>
      </c>
      <c r="L322" s="8">
        <v>25000</v>
      </c>
      <c r="M322" s="9">
        <f>VLOOKUP(DATE(YEAR(A322),MONTH(A322),DAY(A322)),FY24_Temp[],4,FALSE)</f>
        <v>8.4</v>
      </c>
      <c r="N322" s="9">
        <f>VLOOKUP(DATE(YEAR(A322),MONTH(A322),DAY(A322)),FY24_Temp[],3,FALSE)</f>
        <v>12.8</v>
      </c>
      <c r="O322" s="9">
        <v>13</v>
      </c>
      <c r="P322" s="9">
        <v>19.5</v>
      </c>
      <c r="Q322" s="79">
        <f>VLOOKUP(VLOOKUP(DATEVALUE(TEXT(A322,"m/d/yyyy")),FY24_Temp[],5,FALSE)&amp;TEXT(A322,"-h"),Table6[],4,FALSE)</f>
        <v>0.5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VLOOKUP(TEXT(A322,"yy-mm")&amp;"-"&amp;IF(AND(WEEKDAY(A322)&gt;1,WEEKDAY(A322)&lt;7),"Wkd",TEXT(A322,"Ddd"))&amp;"-"&amp;TEXT(A322,"hh"),LoadTable[],5,FALSE)*0.92</f>
        <v>279.25312000000002</v>
      </c>
      <c r="U322" s="104">
        <f>VLOOKUP(TEXT(A322,"yy-mm")&amp;"-"&amp;IF(AND(WEEKDAY(A322)&gt;1,WEEKDAY(A322)&lt;7),"Wkd",TEXT(A322,"Ddd"))&amp;"-"&amp;TEXT(A322,"hh"),LoadTable[],6,FALSE)*T322</f>
        <v>22145.051669120003</v>
      </c>
      <c r="V322">
        <f t="shared" ref="V322:W322" si="319">V298</f>
        <v>2.5</v>
      </c>
      <c r="W322">
        <f t="shared" si="319"/>
        <v>3.1</v>
      </c>
      <c r="X322" s="9">
        <v>3.3441931999999999</v>
      </c>
    </row>
    <row r="323" spans="1:24">
      <c r="A323" s="29">
        <f t="shared" si="253"/>
        <v>45849.333333332557</v>
      </c>
      <c r="B323" s="30">
        <f t="shared" si="277"/>
        <v>8000</v>
      </c>
      <c r="C323" s="8">
        <v>25000</v>
      </c>
      <c r="D323" s="8">
        <v>0</v>
      </c>
      <c r="E323" s="8">
        <v>0</v>
      </c>
      <c r="F323" s="8">
        <v>0</v>
      </c>
      <c r="G323" s="30">
        <f t="shared" si="278"/>
        <v>2400</v>
      </c>
      <c r="H323" s="8">
        <v>25000</v>
      </c>
      <c r="I323" s="30">
        <f t="shared" si="279"/>
        <v>8000</v>
      </c>
      <c r="J323" s="8">
        <v>25000</v>
      </c>
      <c r="K323" s="30">
        <f t="shared" si="280"/>
        <v>8000</v>
      </c>
      <c r="L323" s="8">
        <v>25000</v>
      </c>
      <c r="M323" s="9">
        <f>VLOOKUP(DATE(YEAR(A323),MONTH(A323),DAY(A323)),FY24_Temp[],4,FALSE)</f>
        <v>8.4</v>
      </c>
      <c r="N323" s="9">
        <f>VLOOKUP(DATE(YEAR(A323),MONTH(A323),DAY(A323)),FY24_Temp[],3,FALSE)</f>
        <v>12.8</v>
      </c>
      <c r="O323" s="9">
        <v>13</v>
      </c>
      <c r="P323" s="9">
        <v>19.5</v>
      </c>
      <c r="Q323" s="79">
        <f>VLOOKUP(VLOOKUP(DATEVALUE(TEXT(A323,"m/d/yyyy")),FY24_Temp[],5,FALSE)&amp;TEXT(A323,"-h"),Table6[],4,FALSE)</f>
        <v>0.5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VLOOKUP(TEXT(A323,"yy-mm")&amp;"-"&amp;IF(AND(WEEKDAY(A323)&gt;1,WEEKDAY(A323)&lt;7),"Wkd",TEXT(A323,"Ddd"))&amp;"-"&amp;TEXT(A323,"hh"),LoadTable[],5,FALSE)*0.92</f>
        <v>279.25312000000002</v>
      </c>
      <c r="U323" s="104">
        <f>VLOOKUP(TEXT(A323,"yy-mm")&amp;"-"&amp;IF(AND(WEEKDAY(A323)&gt;1,WEEKDAY(A323)&lt;7),"Wkd",TEXT(A323,"Ddd"))&amp;"-"&amp;TEXT(A323,"hh"),LoadTable[],6,FALSE)*T323</f>
        <v>17686.77560832</v>
      </c>
      <c r="V323">
        <f t="shared" ref="V323:W323" si="320">V299</f>
        <v>3.2</v>
      </c>
      <c r="W323">
        <f t="shared" si="320"/>
        <v>3</v>
      </c>
      <c r="X323" s="9">
        <v>3.3921986</v>
      </c>
    </row>
    <row r="324" spans="1:24">
      <c r="A324" s="29">
        <f t="shared" si="253"/>
        <v>45849.374999999221</v>
      </c>
      <c r="B324" s="30">
        <f t="shared" si="277"/>
        <v>8000</v>
      </c>
      <c r="C324" s="8">
        <v>25000</v>
      </c>
      <c r="D324" s="8">
        <v>0</v>
      </c>
      <c r="E324" s="8">
        <v>0</v>
      </c>
      <c r="F324" s="8">
        <v>0</v>
      </c>
      <c r="G324" s="30">
        <f t="shared" si="278"/>
        <v>2400</v>
      </c>
      <c r="H324" s="8">
        <v>25000</v>
      </c>
      <c r="I324" s="30">
        <f t="shared" si="279"/>
        <v>8000</v>
      </c>
      <c r="J324" s="8">
        <v>25000</v>
      </c>
      <c r="K324" s="30">
        <f t="shared" si="280"/>
        <v>8000</v>
      </c>
      <c r="L324" s="8">
        <v>25000</v>
      </c>
      <c r="M324" s="9">
        <f>VLOOKUP(DATE(YEAR(A324),MONTH(A324),DAY(A324)),FY24_Temp[],4,FALSE)</f>
        <v>8.4</v>
      </c>
      <c r="N324" s="9">
        <f>VLOOKUP(DATE(YEAR(A324),MONTH(A324),DAY(A324)),FY24_Temp[],3,FALSE)</f>
        <v>12.8</v>
      </c>
      <c r="O324" s="9">
        <v>13</v>
      </c>
      <c r="P324" s="9">
        <v>19.5</v>
      </c>
      <c r="Q324" s="79">
        <f>VLOOKUP(VLOOKUP(DATEVALUE(TEXT(A324,"m/d/yyyy")),FY24_Temp[],5,FALSE)&amp;TEXT(A324,"-h"),Table6[],4,FALSE)</f>
        <v>0.5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VLOOKUP(TEXT(A324,"yy-mm")&amp;"-"&amp;IF(AND(WEEKDAY(A324)&gt;1,WEEKDAY(A324)&lt;7),"Wkd",TEXT(A324,"Ddd"))&amp;"-"&amp;TEXT(A324,"hh"),LoadTable[],5,FALSE)*0.92</f>
        <v>279.25312000000002</v>
      </c>
      <c r="U324" s="104">
        <f>VLOOKUP(TEXT(A324,"yy-mm")&amp;"-"&amp;IF(AND(WEEKDAY(A324)&gt;1,WEEKDAY(A324)&lt;7),"Wkd",TEXT(A324,"Ddd"))&amp;"-"&amp;TEXT(A324,"hh"),LoadTable[],6,FALSE)*T324</f>
        <v>14265.924888320002</v>
      </c>
      <c r="V324">
        <f t="shared" ref="V324:W324" si="321">V300</f>
        <v>2.9</v>
      </c>
      <c r="W324">
        <f t="shared" si="321"/>
        <v>3</v>
      </c>
      <c r="X324" s="9">
        <v>3.4679739000000001</v>
      </c>
    </row>
    <row r="325" spans="1:24">
      <c r="A325" s="29">
        <f t="shared" ref="A325:A388" si="322">A324+TIME(1,0,0)</f>
        <v>45849.416666665886</v>
      </c>
      <c r="B325" s="30">
        <f t="shared" si="277"/>
        <v>8000</v>
      </c>
      <c r="C325" s="8">
        <v>25000</v>
      </c>
      <c r="D325" s="8">
        <v>0</v>
      </c>
      <c r="E325" s="8">
        <v>0</v>
      </c>
      <c r="F325" s="8">
        <v>0</v>
      </c>
      <c r="G325" s="30">
        <f t="shared" si="278"/>
        <v>2400</v>
      </c>
      <c r="H325" s="8">
        <v>25000</v>
      </c>
      <c r="I325" s="30">
        <f t="shared" si="279"/>
        <v>8000</v>
      </c>
      <c r="J325" s="8">
        <v>25000</v>
      </c>
      <c r="K325" s="30">
        <f t="shared" si="280"/>
        <v>8000</v>
      </c>
      <c r="L325" s="8">
        <v>25000</v>
      </c>
      <c r="M325" s="9">
        <f>VLOOKUP(DATE(YEAR(A325),MONTH(A325),DAY(A325)),FY24_Temp[],4,FALSE)</f>
        <v>8.4</v>
      </c>
      <c r="N325" s="9">
        <f>VLOOKUP(DATE(YEAR(A325),MONTH(A325),DAY(A325)),FY24_Temp[],3,FALSE)</f>
        <v>12.8</v>
      </c>
      <c r="O325" s="9">
        <v>13</v>
      </c>
      <c r="P325" s="9">
        <v>19.5</v>
      </c>
      <c r="Q325" s="79">
        <f>VLOOKUP(VLOOKUP(DATEVALUE(TEXT(A325,"m/d/yyyy")),FY24_Temp[],5,FALSE)&amp;TEXT(A325,"-h"),Table6[],4,FALSE)</f>
        <v>0.5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VLOOKUP(TEXT(A325,"yy-mm")&amp;"-"&amp;IF(AND(WEEKDAY(A325)&gt;1,WEEKDAY(A325)&lt;7),"Wkd",TEXT(A325,"Ddd"))&amp;"-"&amp;TEXT(A325,"hh"),LoadTable[],5,FALSE)*0.92</f>
        <v>279.25312000000002</v>
      </c>
      <c r="U325" s="104">
        <f>VLOOKUP(TEXT(A325,"yy-mm")&amp;"-"&amp;IF(AND(WEEKDAY(A325)&gt;1,WEEKDAY(A325)&lt;7),"Wkd",TEXT(A325,"Ddd"))&amp;"-"&amp;TEXT(A325,"hh"),LoadTable[],6,FALSE)*T325</f>
        <v>13649.054746240003</v>
      </c>
      <c r="V325">
        <f t="shared" ref="V325:W325" si="323">V301</f>
        <v>2.9</v>
      </c>
      <c r="W325">
        <f t="shared" si="323"/>
        <v>3</v>
      </c>
      <c r="X325" s="9">
        <v>3.4776688</v>
      </c>
    </row>
    <row r="326" spans="1:24">
      <c r="A326" s="29">
        <f t="shared" si="322"/>
        <v>45849.45833333255</v>
      </c>
      <c r="B326" s="30">
        <f t="shared" si="277"/>
        <v>8000</v>
      </c>
      <c r="C326" s="8">
        <v>25000</v>
      </c>
      <c r="D326" s="8">
        <v>0</v>
      </c>
      <c r="E326" s="8">
        <v>0</v>
      </c>
      <c r="F326" s="8">
        <v>0</v>
      </c>
      <c r="G326" s="30">
        <f t="shared" si="278"/>
        <v>2400</v>
      </c>
      <c r="H326" s="8">
        <v>25000</v>
      </c>
      <c r="I326" s="30">
        <f t="shared" si="279"/>
        <v>8000</v>
      </c>
      <c r="J326" s="8">
        <v>25000</v>
      </c>
      <c r="K326" s="30">
        <f t="shared" si="280"/>
        <v>8000</v>
      </c>
      <c r="L326" s="8">
        <v>25000</v>
      </c>
      <c r="M326" s="9">
        <f>VLOOKUP(DATE(YEAR(A326),MONTH(A326),DAY(A326)),FY24_Temp[],4,FALSE)</f>
        <v>8.4</v>
      </c>
      <c r="N326" s="9">
        <f>VLOOKUP(DATE(YEAR(A326),MONTH(A326),DAY(A326)),FY24_Temp[],3,FALSE)</f>
        <v>12.8</v>
      </c>
      <c r="O326" s="9">
        <v>13</v>
      </c>
      <c r="P326" s="9">
        <v>19.5</v>
      </c>
      <c r="Q326" s="79">
        <f>VLOOKUP(VLOOKUP(DATEVALUE(TEXT(A326,"m/d/yyyy")),FY24_Temp[],5,FALSE)&amp;TEXT(A326,"-h"),Table6[],4,FALSE)</f>
        <v>0.5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VLOOKUP(TEXT(A326,"yy-mm")&amp;"-"&amp;IF(AND(WEEKDAY(A326)&gt;1,WEEKDAY(A326)&lt;7),"Wkd",TEXT(A326,"Ddd"))&amp;"-"&amp;TEXT(A326,"hh"),LoadTable[],5,FALSE)*0.92</f>
        <v>279.25312000000002</v>
      </c>
      <c r="U326" s="104">
        <f>VLOOKUP(TEXT(A326,"yy-mm")&amp;"-"&amp;IF(AND(WEEKDAY(A326)&gt;1,WEEKDAY(A326)&lt;7),"Wkd",TEXT(A326,"Ddd"))&amp;"-"&amp;TEXT(A326,"hh"),LoadTable[],6,FALSE)*T326</f>
        <v>13153.938964480001</v>
      </c>
      <c r="V326">
        <f t="shared" ref="V326:W326" si="324">V302</f>
        <v>3.4</v>
      </c>
      <c r="W326">
        <f t="shared" si="324"/>
        <v>3</v>
      </c>
      <c r="X326" s="9">
        <v>3.3313291</v>
      </c>
    </row>
    <row r="327" spans="1:24">
      <c r="A327" s="29">
        <f t="shared" si="322"/>
        <v>45849.499999999214</v>
      </c>
      <c r="B327" s="30">
        <f t="shared" si="277"/>
        <v>8000</v>
      </c>
      <c r="C327" s="8">
        <v>25000</v>
      </c>
      <c r="D327" s="8">
        <v>0</v>
      </c>
      <c r="E327" s="8">
        <v>0</v>
      </c>
      <c r="F327" s="8">
        <v>0</v>
      </c>
      <c r="G327" s="30">
        <f t="shared" si="278"/>
        <v>2400</v>
      </c>
      <c r="H327" s="8">
        <v>25000</v>
      </c>
      <c r="I327" s="30">
        <f t="shared" si="279"/>
        <v>8000</v>
      </c>
      <c r="J327" s="8">
        <v>25000</v>
      </c>
      <c r="K327" s="30">
        <f t="shared" si="280"/>
        <v>8000</v>
      </c>
      <c r="L327" s="8">
        <v>25000</v>
      </c>
      <c r="M327" s="9">
        <f>VLOOKUP(DATE(YEAR(A327),MONTH(A327),DAY(A327)),FY24_Temp[],4,FALSE)</f>
        <v>8.4</v>
      </c>
      <c r="N327" s="9">
        <f>VLOOKUP(DATE(YEAR(A327),MONTH(A327),DAY(A327)),FY24_Temp[],3,FALSE)</f>
        <v>12.8</v>
      </c>
      <c r="O327" s="9">
        <v>13</v>
      </c>
      <c r="P327" s="9">
        <v>19.5</v>
      </c>
      <c r="Q327" s="79">
        <f>VLOOKUP(VLOOKUP(DATEVALUE(TEXT(A327,"m/d/yyyy")),FY24_Temp[],5,FALSE)&amp;TEXT(A327,"-h"),Table6[],4,FALSE)</f>
        <v>0.5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VLOOKUP(TEXT(A327,"yy-mm")&amp;"-"&amp;IF(AND(WEEKDAY(A327)&gt;1,WEEKDAY(A327)&lt;7),"Wkd",TEXT(A327,"Ddd"))&amp;"-"&amp;TEXT(A327,"hh"),LoadTable[],5,FALSE)*0.92</f>
        <v>279.25312000000002</v>
      </c>
      <c r="U327" s="104">
        <f>VLOOKUP(TEXT(A327,"yy-mm")&amp;"-"&amp;IF(AND(WEEKDAY(A327)&gt;1,WEEKDAY(A327)&lt;7),"Wkd",TEXT(A327,"Ddd"))&amp;"-"&amp;TEXT(A327,"hh"),LoadTable[],6,FALSE)*T327</f>
        <v>13898.427782400002</v>
      </c>
      <c r="V327">
        <f t="shared" ref="V327:W327" si="325">V303</f>
        <v>3.1</v>
      </c>
      <c r="W327">
        <f t="shared" si="325"/>
        <v>2.9</v>
      </c>
      <c r="X327" s="9">
        <v>3.1521602</v>
      </c>
    </row>
    <row r="328" spans="1:24">
      <c r="A328" s="29">
        <f t="shared" si="322"/>
        <v>45849.541666665878</v>
      </c>
      <c r="B328" s="30">
        <f t="shared" si="277"/>
        <v>8000</v>
      </c>
      <c r="C328" s="8">
        <v>25000</v>
      </c>
      <c r="D328" s="8">
        <v>0</v>
      </c>
      <c r="E328" s="8">
        <v>0</v>
      </c>
      <c r="F328" s="8">
        <v>0</v>
      </c>
      <c r="G328" s="30">
        <f t="shared" si="278"/>
        <v>2400</v>
      </c>
      <c r="H328" s="8">
        <v>25000</v>
      </c>
      <c r="I328" s="30">
        <f t="shared" si="279"/>
        <v>8000</v>
      </c>
      <c r="J328" s="8">
        <v>25000</v>
      </c>
      <c r="K328" s="30">
        <f t="shared" si="280"/>
        <v>8000</v>
      </c>
      <c r="L328" s="8">
        <v>25000</v>
      </c>
      <c r="M328" s="9">
        <f>VLOOKUP(DATE(YEAR(A328),MONTH(A328),DAY(A328)),FY24_Temp[],4,FALSE)</f>
        <v>8.4</v>
      </c>
      <c r="N328" s="9">
        <f>VLOOKUP(DATE(YEAR(A328),MONTH(A328),DAY(A328)),FY24_Temp[],3,FALSE)</f>
        <v>12.8</v>
      </c>
      <c r="O328" s="9">
        <v>13</v>
      </c>
      <c r="P328" s="9">
        <v>19.5</v>
      </c>
      <c r="Q328" s="79">
        <f>VLOOKUP(VLOOKUP(DATEVALUE(TEXT(A328,"m/d/yyyy")),FY24_Temp[],5,FALSE)&amp;TEXT(A328,"-h"),Table6[],4,FALSE)</f>
        <v>0.5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VLOOKUP(TEXT(A328,"yy-mm")&amp;"-"&amp;IF(AND(WEEKDAY(A328)&gt;1,WEEKDAY(A328)&lt;7),"Wkd",TEXT(A328,"Ddd"))&amp;"-"&amp;TEXT(A328,"hh"),LoadTable[],5,FALSE)*0.92</f>
        <v>279.25312000000002</v>
      </c>
      <c r="U328" s="104">
        <f>VLOOKUP(TEXT(A328,"yy-mm")&amp;"-"&amp;IF(AND(WEEKDAY(A328)&gt;1,WEEKDAY(A328)&lt;7),"Wkd",TEXT(A328,"Ddd"))&amp;"-"&amp;TEXT(A328,"hh"),LoadTable[],6,FALSE)*T328</f>
        <v>16526.1996416</v>
      </c>
      <c r="V328">
        <f t="shared" ref="V328:W328" si="326">V304</f>
        <v>3.2</v>
      </c>
      <c r="W328">
        <f t="shared" si="326"/>
        <v>2.9</v>
      </c>
      <c r="X328" s="9">
        <v>2.9717932</v>
      </c>
    </row>
    <row r="329" spans="1:24">
      <c r="A329" s="29">
        <f t="shared" si="322"/>
        <v>45849.583333332543</v>
      </c>
      <c r="B329" s="30">
        <f t="shared" si="277"/>
        <v>8000</v>
      </c>
      <c r="C329" s="8">
        <v>25000</v>
      </c>
      <c r="D329" s="8">
        <v>0</v>
      </c>
      <c r="E329" s="8">
        <v>0</v>
      </c>
      <c r="F329" s="8">
        <v>0</v>
      </c>
      <c r="G329" s="30">
        <f t="shared" si="278"/>
        <v>2400</v>
      </c>
      <c r="H329" s="8">
        <v>25000</v>
      </c>
      <c r="I329" s="30">
        <f t="shared" si="279"/>
        <v>8000</v>
      </c>
      <c r="J329" s="8">
        <v>25000</v>
      </c>
      <c r="K329" s="30">
        <f t="shared" si="280"/>
        <v>8000</v>
      </c>
      <c r="L329" s="8">
        <v>25000</v>
      </c>
      <c r="M329" s="9">
        <f>VLOOKUP(DATE(YEAR(A329),MONTH(A329),DAY(A329)),FY24_Temp[],4,FALSE)</f>
        <v>8.4</v>
      </c>
      <c r="N329" s="9">
        <f>VLOOKUP(DATE(YEAR(A329),MONTH(A329),DAY(A329)),FY24_Temp[],3,FALSE)</f>
        <v>12.8</v>
      </c>
      <c r="O329" s="9">
        <v>13</v>
      </c>
      <c r="P329" s="9">
        <v>19.5</v>
      </c>
      <c r="Q329" s="79">
        <f>VLOOKUP(VLOOKUP(DATEVALUE(TEXT(A329,"m/d/yyyy")),FY24_Temp[],5,FALSE)&amp;TEXT(A329,"-h"),Table6[],4,FALSE)</f>
        <v>0.5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VLOOKUP(TEXT(A329,"yy-mm")&amp;"-"&amp;IF(AND(WEEKDAY(A329)&gt;1,WEEKDAY(A329)&lt;7),"Wkd",TEXT(A329,"Ddd"))&amp;"-"&amp;TEXT(A329,"hh"),LoadTable[],5,FALSE)*0.92</f>
        <v>373.26607999999999</v>
      </c>
      <c r="U329" s="104">
        <f>VLOOKUP(TEXT(A329,"yy-mm")&amp;"-"&amp;IF(AND(WEEKDAY(A329)&gt;1,WEEKDAY(A329)&lt;7),"Wkd",TEXT(A329,"Ddd"))&amp;"-"&amp;TEXT(A329,"hh"),LoadTable[],6,FALSE)*T329</f>
        <v>27132.338089119996</v>
      </c>
      <c r="V329">
        <f t="shared" ref="V329:W329" si="327">V305</f>
        <v>3.5</v>
      </c>
      <c r="W329">
        <f t="shared" si="327"/>
        <v>2.9</v>
      </c>
      <c r="X329" s="9">
        <v>3.0162488999999999</v>
      </c>
    </row>
    <row r="330" spans="1:24">
      <c r="A330" s="29">
        <f t="shared" si="322"/>
        <v>45849.624999999207</v>
      </c>
      <c r="B330" s="30">
        <f t="shared" si="277"/>
        <v>8000</v>
      </c>
      <c r="C330" s="8">
        <v>25000</v>
      </c>
      <c r="D330" s="8">
        <v>0</v>
      </c>
      <c r="E330" s="8">
        <v>0</v>
      </c>
      <c r="F330" s="8">
        <v>0</v>
      </c>
      <c r="G330" s="30">
        <f t="shared" si="278"/>
        <v>2400</v>
      </c>
      <c r="H330" s="8">
        <v>25000</v>
      </c>
      <c r="I330" s="30">
        <f t="shared" si="279"/>
        <v>8000</v>
      </c>
      <c r="J330" s="8">
        <v>25000</v>
      </c>
      <c r="K330" s="30">
        <f t="shared" si="280"/>
        <v>8000</v>
      </c>
      <c r="L330" s="8">
        <v>25000</v>
      </c>
      <c r="M330" s="9">
        <f>VLOOKUP(DATE(YEAR(A330),MONTH(A330),DAY(A330)),FY24_Temp[],4,FALSE)</f>
        <v>8.4</v>
      </c>
      <c r="N330" s="9">
        <f>VLOOKUP(DATE(YEAR(A330),MONTH(A330),DAY(A330)),FY24_Temp[],3,FALSE)</f>
        <v>12.8</v>
      </c>
      <c r="O330" s="9">
        <v>13</v>
      </c>
      <c r="P330" s="9">
        <v>19.5</v>
      </c>
      <c r="Q330" s="79">
        <f>VLOOKUP(VLOOKUP(DATEVALUE(TEXT(A330,"m/d/yyyy")),FY24_Temp[],5,FALSE)&amp;TEXT(A330,"-h"),Table6[],4,FALSE)</f>
        <v>0.5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VLOOKUP(TEXT(A330,"yy-mm")&amp;"-"&amp;IF(AND(WEEKDAY(A330)&gt;1,WEEKDAY(A330)&lt;7),"Wkd",TEXT(A330,"Ddd"))&amp;"-"&amp;TEXT(A330,"hh"),LoadTable[],5,FALSE)*0.92</f>
        <v>494.57360000000006</v>
      </c>
      <c r="U330" s="104">
        <f>VLOOKUP(TEXT(A330,"yy-mm")&amp;"-"&amp;IF(AND(WEEKDAY(A330)&gt;1,WEEKDAY(A330)&lt;7),"Wkd",TEXT(A330,"Ddd"))&amp;"-"&amp;TEXT(A330,"hh"),LoadTable[],6,FALSE)*T330</f>
        <v>42310.771480000003</v>
      </c>
      <c r="V330">
        <f t="shared" ref="V330:W330" si="328">V306</f>
        <v>3.2</v>
      </c>
      <c r="W330">
        <f t="shared" si="328"/>
        <v>2.9</v>
      </c>
      <c r="X330" s="9">
        <v>3.3406085999999999</v>
      </c>
    </row>
    <row r="331" spans="1:24">
      <c r="A331" s="29">
        <f t="shared" si="322"/>
        <v>45849.666666665871</v>
      </c>
      <c r="B331" s="30">
        <f t="shared" si="277"/>
        <v>8000</v>
      </c>
      <c r="C331" s="8">
        <v>25000</v>
      </c>
      <c r="D331" s="8">
        <v>0</v>
      </c>
      <c r="E331" s="8">
        <v>0</v>
      </c>
      <c r="F331" s="8">
        <v>0</v>
      </c>
      <c r="G331" s="30">
        <f t="shared" si="278"/>
        <v>2400</v>
      </c>
      <c r="H331" s="8">
        <v>25000</v>
      </c>
      <c r="I331" s="30">
        <f t="shared" si="279"/>
        <v>8000</v>
      </c>
      <c r="J331" s="8">
        <v>25000</v>
      </c>
      <c r="K331" s="30">
        <f t="shared" si="280"/>
        <v>8000</v>
      </c>
      <c r="L331" s="8">
        <v>25000</v>
      </c>
      <c r="M331" s="9">
        <f>VLOOKUP(DATE(YEAR(A331),MONTH(A331),DAY(A331)),FY24_Temp[],4,FALSE)</f>
        <v>8.4</v>
      </c>
      <c r="N331" s="9">
        <f>VLOOKUP(DATE(YEAR(A331),MONTH(A331),DAY(A331)),FY24_Temp[],3,FALSE)</f>
        <v>12.8</v>
      </c>
      <c r="O331" s="9">
        <v>13</v>
      </c>
      <c r="P331" s="9">
        <v>19.5</v>
      </c>
      <c r="Q331" s="79">
        <f>VLOOKUP(VLOOKUP(DATEVALUE(TEXT(A331,"m/d/yyyy")),FY24_Temp[],5,FALSE)&amp;TEXT(A331,"-h"),Table6[],4,FALSE)</f>
        <v>0.5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VLOOKUP(TEXT(A331,"yy-mm")&amp;"-"&amp;IF(AND(WEEKDAY(A331)&gt;1,WEEKDAY(A331)&lt;7),"Wkd",TEXT(A331,"Ddd"))&amp;"-"&amp;TEXT(A331,"hh"),LoadTable[],5,FALSE)*0.92</f>
        <v>494.57360000000006</v>
      </c>
      <c r="U331" s="104">
        <f>VLOOKUP(TEXT(A331,"yy-mm")&amp;"-"&amp;IF(AND(WEEKDAY(A331)&gt;1,WEEKDAY(A331)&lt;7),"Wkd",TEXT(A331,"Ddd"))&amp;"-"&amp;TEXT(A331,"hh"),LoadTable[],6,FALSE)*T331</f>
        <v>50694.28857360001</v>
      </c>
      <c r="V331">
        <f t="shared" ref="V331:W331" si="329">V307</f>
        <v>3.5</v>
      </c>
      <c r="W331">
        <f t="shared" si="329"/>
        <v>3</v>
      </c>
      <c r="X331" s="9">
        <v>3.2092195000000001</v>
      </c>
    </row>
    <row r="332" spans="1:24">
      <c r="A332" s="29">
        <f t="shared" si="322"/>
        <v>45849.708333332535</v>
      </c>
      <c r="B332" s="30">
        <f t="shared" si="277"/>
        <v>8000</v>
      </c>
      <c r="C332" s="8">
        <v>25000</v>
      </c>
      <c r="D332" s="8">
        <v>0</v>
      </c>
      <c r="E332" s="8">
        <v>0</v>
      </c>
      <c r="F332" s="8">
        <v>0</v>
      </c>
      <c r="G332" s="30">
        <f t="shared" si="278"/>
        <v>2400</v>
      </c>
      <c r="H332" s="8">
        <v>25000</v>
      </c>
      <c r="I332" s="30">
        <f t="shared" si="279"/>
        <v>8000</v>
      </c>
      <c r="J332" s="8">
        <v>25000</v>
      </c>
      <c r="K332" s="30">
        <f t="shared" si="280"/>
        <v>8000</v>
      </c>
      <c r="L332" s="8">
        <v>25000</v>
      </c>
      <c r="M332" s="9">
        <f>VLOOKUP(DATE(YEAR(A332),MONTH(A332),DAY(A332)),FY24_Temp[],4,FALSE)</f>
        <v>8.4</v>
      </c>
      <c r="N332" s="9">
        <f>VLOOKUP(DATE(YEAR(A332),MONTH(A332),DAY(A332)),FY24_Temp[],3,FALSE)</f>
        <v>12.8</v>
      </c>
      <c r="O332" s="9">
        <v>13</v>
      </c>
      <c r="P332" s="9">
        <v>19.5</v>
      </c>
      <c r="Q332" s="79">
        <f>VLOOKUP(VLOOKUP(DATEVALUE(TEXT(A332,"m/d/yyyy")),FY24_Temp[],5,FALSE)&amp;TEXT(A332,"-h"),Table6[],4,FALSE)</f>
        <v>0.5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VLOOKUP(TEXT(A332,"yy-mm")&amp;"-"&amp;IF(AND(WEEKDAY(A332)&gt;1,WEEKDAY(A332)&lt;7),"Wkd",TEXT(A332,"Ddd"))&amp;"-"&amp;TEXT(A332,"hh"),LoadTable[],5,FALSE)*0.92</f>
        <v>494.57360000000006</v>
      </c>
      <c r="U332" s="104">
        <f>VLOOKUP(TEXT(A332,"yy-mm")&amp;"-"&amp;IF(AND(WEEKDAY(A332)&gt;1,WEEKDAY(A332)&lt;7),"Wkd",TEXT(A332,"Ddd"))&amp;"-"&amp;TEXT(A332,"hh"),LoadTable[],6,FALSE)*T332</f>
        <v>56025.791981600007</v>
      </c>
      <c r="V332">
        <f t="shared" ref="V332:W332" si="330">V308</f>
        <v>3.6</v>
      </c>
      <c r="W332">
        <f t="shared" si="330"/>
        <v>3</v>
      </c>
      <c r="X332" s="9">
        <v>3.1362424</v>
      </c>
    </row>
    <row r="333" spans="1:24">
      <c r="A333" s="29">
        <f t="shared" si="322"/>
        <v>45849.7499999992</v>
      </c>
      <c r="B333" s="30">
        <f t="shared" si="277"/>
        <v>5000</v>
      </c>
      <c r="C333" s="8">
        <v>25000</v>
      </c>
      <c r="D333" s="8">
        <v>0</v>
      </c>
      <c r="E333" s="8">
        <v>0</v>
      </c>
      <c r="F333" s="8">
        <v>0</v>
      </c>
      <c r="G333" s="30">
        <f t="shared" si="278"/>
        <v>2400</v>
      </c>
      <c r="H333" s="8">
        <v>25000</v>
      </c>
      <c r="I333" s="30">
        <f t="shared" si="279"/>
        <v>5000</v>
      </c>
      <c r="J333" s="8">
        <v>25000</v>
      </c>
      <c r="K333" s="30">
        <f t="shared" si="280"/>
        <v>5000</v>
      </c>
      <c r="L333" s="8">
        <v>25000</v>
      </c>
      <c r="M333" s="9">
        <f>VLOOKUP(DATE(YEAR(A333),MONTH(A333),DAY(A333)),FY24_Temp[],4,FALSE)</f>
        <v>8.4</v>
      </c>
      <c r="N333" s="9">
        <f>VLOOKUP(DATE(YEAR(A333),MONTH(A333),DAY(A333)),FY24_Temp[],3,FALSE)</f>
        <v>12.8</v>
      </c>
      <c r="O333" s="9">
        <v>13</v>
      </c>
      <c r="P333" s="9">
        <v>19.5</v>
      </c>
      <c r="Q333" s="79">
        <f>VLOOKUP(VLOOKUP(DATEVALUE(TEXT(A333,"m/d/yyyy")),FY24_Temp[],5,FALSE)&amp;TEXT(A333,"-h"),Table6[],4,FALSE)</f>
        <v>0.5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VLOOKUP(TEXT(A333,"yy-mm")&amp;"-"&amp;IF(AND(WEEKDAY(A333)&gt;1,WEEKDAY(A333)&lt;7),"Wkd",TEXT(A333,"Ddd"))&amp;"-"&amp;TEXT(A333,"hh"),LoadTable[],5,FALSE)*0.92</f>
        <v>494.57360000000006</v>
      </c>
      <c r="U333" s="104">
        <f>VLOOKUP(TEXT(A333,"yy-mm")&amp;"-"&amp;IF(AND(WEEKDAY(A333)&gt;1,WEEKDAY(A333)&lt;7),"Wkd",TEXT(A333,"Ddd"))&amp;"-"&amp;TEXT(A333,"hh"),LoadTable[],6,FALSE)*T333</f>
        <v>60164.383866400007</v>
      </c>
      <c r="V333">
        <f t="shared" ref="V333:W333" si="331">V309</f>
        <v>2.9</v>
      </c>
      <c r="W333">
        <f t="shared" si="331"/>
        <v>3</v>
      </c>
      <c r="X333" s="9">
        <v>3.1206634000000002</v>
      </c>
    </row>
    <row r="334" spans="1:24">
      <c r="A334" s="29">
        <f t="shared" si="322"/>
        <v>45849.791666665864</v>
      </c>
      <c r="B334" s="30">
        <f t="shared" si="277"/>
        <v>5000</v>
      </c>
      <c r="C334" s="8">
        <v>25000</v>
      </c>
      <c r="D334" s="8">
        <v>0</v>
      </c>
      <c r="E334" s="8">
        <v>0</v>
      </c>
      <c r="F334" s="8">
        <v>0</v>
      </c>
      <c r="G334" s="30">
        <f t="shared" si="278"/>
        <v>2400</v>
      </c>
      <c r="H334" s="8">
        <v>25000</v>
      </c>
      <c r="I334" s="30">
        <f t="shared" si="279"/>
        <v>5000</v>
      </c>
      <c r="J334" s="8">
        <v>25000</v>
      </c>
      <c r="K334" s="30">
        <f t="shared" si="280"/>
        <v>5000</v>
      </c>
      <c r="L334" s="8">
        <v>25000</v>
      </c>
      <c r="M334" s="9">
        <f>VLOOKUP(DATE(YEAR(A334),MONTH(A334),DAY(A334)),FY24_Temp[],4,FALSE)</f>
        <v>8.4</v>
      </c>
      <c r="N334" s="9">
        <f>VLOOKUP(DATE(YEAR(A334),MONTH(A334),DAY(A334)),FY24_Temp[],3,FALSE)</f>
        <v>12.8</v>
      </c>
      <c r="O334" s="9">
        <v>13</v>
      </c>
      <c r="P334" s="9">
        <v>19.5</v>
      </c>
      <c r="Q334" s="79">
        <f>VLOOKUP(VLOOKUP(DATEVALUE(TEXT(A334,"m/d/yyyy")),FY24_Temp[],5,FALSE)&amp;TEXT(A334,"-h"),Table6[],4,FALSE)</f>
        <v>0.5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VLOOKUP(TEXT(A334,"yy-mm")&amp;"-"&amp;IF(AND(WEEKDAY(A334)&gt;1,WEEKDAY(A334)&lt;7),"Wkd",TEXT(A334,"Ddd"))&amp;"-"&amp;TEXT(A334,"hh"),LoadTable[],5,FALSE)*0.92</f>
        <v>494.57360000000006</v>
      </c>
      <c r="U334" s="104">
        <f>VLOOKUP(TEXT(A334,"yy-mm")&amp;"-"&amp;IF(AND(WEEKDAY(A334)&gt;1,WEEKDAY(A334)&lt;7),"Wkd",TEXT(A334,"Ddd"))&amp;"-"&amp;TEXT(A334,"hh"),LoadTable[],6,FALSE)*T334</f>
        <v>60548.172980000003</v>
      </c>
      <c r="V334">
        <f t="shared" ref="V334:W334" si="332">V310</f>
        <v>3</v>
      </c>
      <c r="W334">
        <f t="shared" si="332"/>
        <v>3</v>
      </c>
      <c r="X334" s="9">
        <v>3.0767430999999998</v>
      </c>
    </row>
    <row r="335" spans="1:24">
      <c r="A335" s="29">
        <f t="shared" si="322"/>
        <v>45849.833333332528</v>
      </c>
      <c r="B335" s="30">
        <f t="shared" si="277"/>
        <v>5000</v>
      </c>
      <c r="C335" s="8">
        <v>25000</v>
      </c>
      <c r="D335" s="8">
        <v>0</v>
      </c>
      <c r="E335" s="8">
        <v>0</v>
      </c>
      <c r="F335" s="8">
        <v>0</v>
      </c>
      <c r="G335" s="30">
        <f t="shared" si="278"/>
        <v>2400</v>
      </c>
      <c r="H335" s="8">
        <v>25000</v>
      </c>
      <c r="I335" s="30">
        <f t="shared" si="279"/>
        <v>5000</v>
      </c>
      <c r="J335" s="8">
        <v>25000</v>
      </c>
      <c r="K335" s="30">
        <f t="shared" si="280"/>
        <v>5000</v>
      </c>
      <c r="L335" s="8">
        <v>25000</v>
      </c>
      <c r="M335" s="9">
        <f>VLOOKUP(DATE(YEAR(A335),MONTH(A335),DAY(A335)),FY24_Temp[],4,FALSE)</f>
        <v>8.4</v>
      </c>
      <c r="N335" s="9">
        <f>VLOOKUP(DATE(YEAR(A335),MONTH(A335),DAY(A335)),FY24_Temp[],3,FALSE)</f>
        <v>12.8</v>
      </c>
      <c r="O335" s="9">
        <v>13</v>
      </c>
      <c r="P335" s="9">
        <v>19.5</v>
      </c>
      <c r="Q335" s="79">
        <f>VLOOKUP(VLOOKUP(DATEVALUE(TEXT(A335,"m/d/yyyy")),FY24_Temp[],5,FALSE)&amp;TEXT(A335,"-h"),Table6[],4,FALSE)</f>
        <v>0.5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VLOOKUP(TEXT(A335,"yy-mm")&amp;"-"&amp;IF(AND(WEEKDAY(A335)&gt;1,WEEKDAY(A335)&lt;7),"Wkd",TEXT(A335,"Ddd"))&amp;"-"&amp;TEXT(A335,"hh"),LoadTable[],5,FALSE)*0.92</f>
        <v>494.57360000000006</v>
      </c>
      <c r="U335" s="104">
        <f>VLOOKUP(TEXT(A335,"yy-mm")&amp;"-"&amp;IF(AND(WEEKDAY(A335)&gt;1,WEEKDAY(A335)&lt;7),"Wkd",TEXT(A335,"Ddd"))&amp;"-"&amp;TEXT(A335,"hh"),LoadTable[],6,FALSE)*T335</f>
        <v>60532.346624800004</v>
      </c>
      <c r="V335">
        <f t="shared" ref="V335:W335" si="333">V311</f>
        <v>2.8</v>
      </c>
      <c r="W335">
        <f t="shared" si="333"/>
        <v>3.1</v>
      </c>
      <c r="X335" s="9">
        <v>3.0372484000000002</v>
      </c>
    </row>
    <row r="336" spans="1:24">
      <c r="A336" s="29">
        <f t="shared" si="322"/>
        <v>45849.874999999192</v>
      </c>
      <c r="B336" s="30">
        <f t="shared" si="277"/>
        <v>5000</v>
      </c>
      <c r="C336" s="8">
        <v>25000</v>
      </c>
      <c r="D336" s="8">
        <v>0</v>
      </c>
      <c r="E336" s="8">
        <v>0</v>
      </c>
      <c r="F336" s="8">
        <v>0</v>
      </c>
      <c r="G336" s="30">
        <f t="shared" si="278"/>
        <v>2400</v>
      </c>
      <c r="H336" s="8">
        <v>25000</v>
      </c>
      <c r="I336" s="30">
        <f t="shared" si="279"/>
        <v>5000</v>
      </c>
      <c r="J336" s="8">
        <v>25000</v>
      </c>
      <c r="K336" s="30">
        <f t="shared" si="280"/>
        <v>5000</v>
      </c>
      <c r="L336" s="8">
        <v>25000</v>
      </c>
      <c r="M336" s="9">
        <f>VLOOKUP(DATE(YEAR(A336),MONTH(A336),DAY(A336)),FY24_Temp[],4,FALSE)</f>
        <v>8.4</v>
      </c>
      <c r="N336" s="9">
        <f>VLOOKUP(DATE(YEAR(A336),MONTH(A336),DAY(A336)),FY24_Temp[],3,FALSE)</f>
        <v>12.8</v>
      </c>
      <c r="O336" s="9">
        <v>13</v>
      </c>
      <c r="P336" s="9">
        <v>19.5</v>
      </c>
      <c r="Q336" s="79">
        <f>VLOOKUP(VLOOKUP(DATEVALUE(TEXT(A336,"m/d/yyyy")),FY24_Temp[],5,FALSE)&amp;TEXT(A336,"-h"),Table6[],4,FALSE)</f>
        <v>0.5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VLOOKUP(TEXT(A336,"yy-mm")&amp;"-"&amp;IF(AND(WEEKDAY(A336)&gt;1,WEEKDAY(A336)&lt;7),"Wkd",TEXT(A336,"Ddd"))&amp;"-"&amp;TEXT(A336,"hh"),LoadTable[],5,FALSE)*0.92</f>
        <v>494.57360000000006</v>
      </c>
      <c r="U336" s="104">
        <f>VLOOKUP(TEXT(A336,"yy-mm")&amp;"-"&amp;IF(AND(WEEKDAY(A336)&gt;1,WEEKDAY(A336)&lt;7),"Wkd",TEXT(A336,"Ddd"))&amp;"-"&amp;TEXT(A336,"hh"),LoadTable[],6,FALSE)*T336</f>
        <v>58481.349905600007</v>
      </c>
      <c r="V336">
        <f t="shared" ref="V336:W336" si="334">V312</f>
        <v>3.5</v>
      </c>
      <c r="W336">
        <f t="shared" si="334"/>
        <v>3.1</v>
      </c>
      <c r="X336" s="9">
        <v>2.9969695000000001</v>
      </c>
    </row>
    <row r="337" spans="1:24">
      <c r="A337" s="29">
        <f t="shared" si="322"/>
        <v>45849.916666665857</v>
      </c>
      <c r="B337" s="30">
        <f t="shared" si="277"/>
        <v>5000</v>
      </c>
      <c r="C337" s="8">
        <v>25000</v>
      </c>
      <c r="D337" s="8">
        <v>0</v>
      </c>
      <c r="E337" s="8">
        <v>0</v>
      </c>
      <c r="F337" s="8">
        <v>0</v>
      </c>
      <c r="G337" s="30">
        <f t="shared" si="278"/>
        <v>2400</v>
      </c>
      <c r="H337" s="8">
        <v>25000</v>
      </c>
      <c r="I337" s="30">
        <f t="shared" si="279"/>
        <v>5000</v>
      </c>
      <c r="J337" s="8">
        <v>25000</v>
      </c>
      <c r="K337" s="30">
        <f t="shared" si="280"/>
        <v>5000</v>
      </c>
      <c r="L337" s="8">
        <v>25000</v>
      </c>
      <c r="M337" s="9">
        <f>VLOOKUP(DATE(YEAR(A337),MONTH(A337),DAY(A337)),FY24_Temp[],4,FALSE)</f>
        <v>8.4</v>
      </c>
      <c r="N337" s="9">
        <f>VLOOKUP(DATE(YEAR(A337),MONTH(A337),DAY(A337)),FY24_Temp[],3,FALSE)</f>
        <v>12.8</v>
      </c>
      <c r="O337" s="9">
        <v>13</v>
      </c>
      <c r="P337" s="9">
        <v>19.5</v>
      </c>
      <c r="Q337" s="79">
        <f>VLOOKUP(VLOOKUP(DATEVALUE(TEXT(A337,"m/d/yyyy")),FY24_Temp[],5,FALSE)&amp;TEXT(A337,"-h"),Table6[],4,FALSE)</f>
        <v>0.5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VLOOKUP(TEXT(A337,"yy-mm")&amp;"-"&amp;IF(AND(WEEKDAY(A337)&gt;1,WEEKDAY(A337)&lt;7),"Wkd",TEXT(A337,"Ddd"))&amp;"-"&amp;TEXT(A337,"hh"),LoadTable[],5,FALSE)*0.92</f>
        <v>418.75640000000004</v>
      </c>
      <c r="U337" s="104">
        <f>VLOOKUP(TEXT(A337,"yy-mm")&amp;"-"&amp;IF(AND(WEEKDAY(A337)&gt;1,WEEKDAY(A337)&lt;7),"Wkd",TEXT(A337,"Ddd"))&amp;"-"&amp;TEXT(A337,"hh"),LoadTable[],6,FALSE)*T337</f>
        <v>27547.889774000003</v>
      </c>
      <c r="V337">
        <f t="shared" ref="V337:W337" si="335">V313</f>
        <v>2.9</v>
      </c>
      <c r="W337">
        <f t="shared" si="335"/>
        <v>3.1</v>
      </c>
      <c r="X337" s="9">
        <v>2.9482148000000001</v>
      </c>
    </row>
    <row r="338" spans="1:24" ht="16" thickBot="1">
      <c r="A338" s="29">
        <f t="shared" si="322"/>
        <v>45849.958333332521</v>
      </c>
      <c r="B338" s="30">
        <f t="shared" si="277"/>
        <v>5000</v>
      </c>
      <c r="C338" s="8">
        <v>25000</v>
      </c>
      <c r="D338" s="8">
        <v>0</v>
      </c>
      <c r="E338" s="8">
        <v>0</v>
      </c>
      <c r="F338" s="8">
        <v>0</v>
      </c>
      <c r="G338" s="30">
        <f t="shared" si="278"/>
        <v>2400</v>
      </c>
      <c r="H338" s="8">
        <v>25000</v>
      </c>
      <c r="I338" s="30">
        <f t="shared" si="279"/>
        <v>5000</v>
      </c>
      <c r="J338" s="8">
        <v>25000</v>
      </c>
      <c r="K338" s="30">
        <f t="shared" si="280"/>
        <v>5000</v>
      </c>
      <c r="L338" s="8">
        <v>25000</v>
      </c>
      <c r="M338" s="9">
        <f>VLOOKUP(DATE(YEAR(A338),MONTH(A338),DAY(A338)),FY24_Temp[],4,FALSE)</f>
        <v>8.4</v>
      </c>
      <c r="N338" s="9">
        <f>VLOOKUP(DATE(YEAR(A338),MONTH(A338),DAY(A338)),FY24_Temp[],3,FALSE)</f>
        <v>12.8</v>
      </c>
      <c r="O338" s="9">
        <v>13</v>
      </c>
      <c r="P338" s="9">
        <v>19.5</v>
      </c>
      <c r="Q338" s="79">
        <f>VLOOKUP(VLOOKUP(DATEVALUE(TEXT(A338,"m/d/yyyy")),FY24_Temp[],5,FALSE)&amp;TEXT(A338,"-h"),Table6[],4,FALSE)</f>
        <v>0.5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VLOOKUP(TEXT(A338,"yy-mm")&amp;"-"&amp;IF(AND(WEEKDAY(A338)&gt;1,WEEKDAY(A338)&lt;7),"Wkd",TEXT(A338,"Ddd"))&amp;"-"&amp;TEXT(A338,"hh"),LoadTable[],5,FALSE)*0.92</f>
        <v>342.93920000000003</v>
      </c>
      <c r="U338" s="104">
        <f>VLOOKUP(TEXT(A338,"yy-mm")&amp;"-"&amp;IF(AND(WEEKDAY(A338)&gt;1,WEEKDAY(A338)&lt;7),"Wkd",TEXT(A338,"Ddd"))&amp;"-"&amp;TEXT(A338,"hh"),LoadTable[],6,FALSE)*T338</f>
        <v>19873.669579200003</v>
      </c>
      <c r="V338">
        <f t="shared" ref="V338:W338" si="336">V314</f>
        <v>3.6</v>
      </c>
      <c r="W338">
        <f t="shared" si="336"/>
        <v>3.1</v>
      </c>
      <c r="X338" s="9">
        <v>2.8418713000000002</v>
      </c>
    </row>
    <row r="339" spans="1:24" ht="16" thickBot="1">
      <c r="A339" s="120">
        <f t="shared" si="322"/>
        <v>45849.999999999185</v>
      </c>
      <c r="B339" s="121">
        <f t="shared" si="277"/>
        <v>5000</v>
      </c>
      <c r="C339" s="114">
        <v>25000</v>
      </c>
      <c r="D339" s="114">
        <v>0</v>
      </c>
      <c r="E339" s="114">
        <v>0</v>
      </c>
      <c r="F339" s="114">
        <v>0</v>
      </c>
      <c r="G339" s="114">
        <f t="shared" si="278"/>
        <v>2400</v>
      </c>
      <c r="H339" s="114">
        <v>25000</v>
      </c>
      <c r="I339" s="114">
        <f t="shared" si="279"/>
        <v>5000</v>
      </c>
      <c r="J339" s="114">
        <v>25000</v>
      </c>
      <c r="K339" s="114">
        <f t="shared" si="280"/>
        <v>5000</v>
      </c>
      <c r="L339" s="114">
        <v>25000</v>
      </c>
      <c r="M339" s="115">
        <f>VLOOKUP(DATE(YEAR(A339),MONTH(A339),DAY(A339)),FY24_Temp[],4,FALSE)</f>
        <v>8.4</v>
      </c>
      <c r="N339" s="115">
        <f>VLOOKUP(DATE(YEAR(A339),MONTH(A339),DAY(A339)),FY24_Temp[],3,FALSE)</f>
        <v>12.8</v>
      </c>
      <c r="O339" s="115">
        <v>13</v>
      </c>
      <c r="P339" s="115">
        <v>19.5</v>
      </c>
      <c r="Q339" s="116">
        <f>VLOOKUP(VLOOKUP(DATEVALUE(TEXT(A339,"m/d/yyyy")),FY24_Temp[],5,FALSE)&amp;TEXT(A339,"-h"),Table6[],4,FALSE)</f>
        <v>0.5</v>
      </c>
      <c r="R339" s="117">
        <v>10</v>
      </c>
      <c r="S339" s="117">
        <v>1000</v>
      </c>
      <c r="T339" s="100">
        <f>VLOOKUP(TEXT(A339,"yy-mm")&amp;"-"&amp;IF(AND(WEEKDAY(A339)&gt;1,WEEKDAY(A339)&lt;7),"Wkd",TEXT(A339,"Ddd"))&amp;"-"&amp;TEXT(A339,"hh"),LoadTable[],5,FALSE)*0.92</f>
        <v>279.25312000000002</v>
      </c>
      <c r="U339" s="118">
        <f>VLOOKUP(TEXT(A339,"yy-mm")&amp;"-"&amp;IF(AND(WEEKDAY(A339)&gt;1,WEEKDAY(A339)&lt;7),"Wkd",TEXT(A339,"Ddd"))&amp;"-"&amp;TEXT(A339,"hh"),LoadTable[],6,FALSE)*T339</f>
        <v>13845.648942720001</v>
      </c>
      <c r="V339" s="117">
        <f t="shared" ref="V339:W339" si="337">V315</f>
        <v>3</v>
      </c>
      <c r="W339" s="117">
        <f t="shared" si="337"/>
        <v>3.2</v>
      </c>
      <c r="X339" s="119">
        <v>2.7763301999999999</v>
      </c>
    </row>
    <row r="340" spans="1:24">
      <c r="A340" s="29">
        <f t="shared" si="322"/>
        <v>45850.041666665849</v>
      </c>
      <c r="B340" s="30">
        <f t="shared" si="277"/>
        <v>5000</v>
      </c>
      <c r="C340" s="8">
        <v>25000</v>
      </c>
      <c r="D340" s="8">
        <v>0</v>
      </c>
      <c r="E340" s="8">
        <v>0</v>
      </c>
      <c r="F340" s="8">
        <v>0</v>
      </c>
      <c r="G340" s="30">
        <f t="shared" si="278"/>
        <v>2400</v>
      </c>
      <c r="H340" s="8">
        <v>25000</v>
      </c>
      <c r="I340" s="30">
        <f t="shared" si="279"/>
        <v>5000</v>
      </c>
      <c r="J340" s="8">
        <v>25000</v>
      </c>
      <c r="K340" s="30">
        <f t="shared" si="280"/>
        <v>5000</v>
      </c>
      <c r="L340" s="8">
        <v>25000</v>
      </c>
      <c r="M340" s="9">
        <f>VLOOKUP(DATE(YEAR(A340),MONTH(A340),DAY(A340)),FY24_Temp[],4,FALSE)</f>
        <v>8.4</v>
      </c>
      <c r="N340" s="9">
        <f>VLOOKUP(DATE(YEAR(A340),MONTH(A340),DAY(A340)),FY24_Temp[],3,FALSE)</f>
        <v>12.8</v>
      </c>
      <c r="O340" s="9">
        <v>13</v>
      </c>
      <c r="P340" s="9">
        <v>19.5</v>
      </c>
      <c r="Q340" s="79">
        <f>VLOOKUP(VLOOKUP(DATEVALUE(TEXT(A340,"m/d/yyyy")),FY24_Temp[],5,FALSE)&amp;TEXT(A340,"-h"),Table6[],4,FALSE)</f>
        <v>0.5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VLOOKUP(TEXT(A340,"yy-mm")&amp;"-"&amp;IF(AND(WEEKDAY(A340)&gt;1,WEEKDAY(A340)&lt;7),"Wkd",TEXT(A340,"Ddd"))&amp;"-"&amp;TEXT(A340,"hh"),LoadTable[],5,FALSE)*0.92</f>
        <v>279.25312000000002</v>
      </c>
      <c r="U340" s="104">
        <f>VLOOKUP(TEXT(A340,"yy-mm")&amp;"-"&amp;IF(AND(WEEKDAY(A340)&gt;1,WEEKDAY(A340)&lt;7),"Wkd",TEXT(A340,"Ddd"))&amp;"-"&amp;TEXT(A340,"hh"),LoadTable[],6,FALSE)*T340</f>
        <v>13695.131511040001</v>
      </c>
      <c r="V340">
        <f t="shared" ref="V340:W340" si="338">V316</f>
        <v>2.6</v>
      </c>
      <c r="W340">
        <f t="shared" si="338"/>
        <v>3.2</v>
      </c>
      <c r="X340" s="9">
        <v>2.7514932000000001</v>
      </c>
    </row>
    <row r="341" spans="1:24">
      <c r="A341" s="29">
        <f t="shared" si="322"/>
        <v>45850.083333332514</v>
      </c>
      <c r="B341" s="30">
        <f t="shared" si="277"/>
        <v>5000</v>
      </c>
      <c r="C341" s="8">
        <v>25000</v>
      </c>
      <c r="D341" s="8">
        <v>0</v>
      </c>
      <c r="E341" s="8">
        <v>0</v>
      </c>
      <c r="F341" s="8">
        <v>0</v>
      </c>
      <c r="G341" s="30">
        <f t="shared" si="278"/>
        <v>2400</v>
      </c>
      <c r="H341" s="8">
        <v>25000</v>
      </c>
      <c r="I341" s="30">
        <f t="shared" si="279"/>
        <v>5000</v>
      </c>
      <c r="J341" s="8">
        <v>25000</v>
      </c>
      <c r="K341" s="30">
        <f t="shared" si="280"/>
        <v>5000</v>
      </c>
      <c r="L341" s="8">
        <v>25000</v>
      </c>
      <c r="M341" s="9">
        <f>VLOOKUP(DATE(YEAR(A341),MONTH(A341),DAY(A341)),FY24_Temp[],4,FALSE)</f>
        <v>8.4</v>
      </c>
      <c r="N341" s="9">
        <f>VLOOKUP(DATE(YEAR(A341),MONTH(A341),DAY(A341)),FY24_Temp[],3,FALSE)</f>
        <v>12.8</v>
      </c>
      <c r="O341" s="9">
        <v>13</v>
      </c>
      <c r="P341" s="9">
        <v>19.5</v>
      </c>
      <c r="Q341" s="79">
        <f>VLOOKUP(VLOOKUP(DATEVALUE(TEXT(A341,"m/d/yyyy")),FY24_Temp[],5,FALSE)&amp;TEXT(A341,"-h"),Table6[],4,FALSE)</f>
        <v>0.5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VLOOKUP(TEXT(A341,"yy-mm")&amp;"-"&amp;IF(AND(WEEKDAY(A341)&gt;1,WEEKDAY(A341)&lt;7),"Wkd",TEXT(A341,"Ddd"))&amp;"-"&amp;TEXT(A341,"hh"),LoadTable[],5,FALSE)*0.92</f>
        <v>279.25312000000002</v>
      </c>
      <c r="U341" s="104">
        <f>VLOOKUP(TEXT(A341,"yy-mm")&amp;"-"&amp;IF(AND(WEEKDAY(A341)&gt;1,WEEKDAY(A341)&lt;7),"Wkd",TEXT(A341,"Ddd"))&amp;"-"&amp;TEXT(A341,"hh"),LoadTable[],6,FALSE)*T341</f>
        <v>13726.12860736</v>
      </c>
      <c r="V341">
        <f t="shared" ref="V341:W341" si="339">V317</f>
        <v>2.8</v>
      </c>
      <c r="W341">
        <f t="shared" si="339"/>
        <v>3.2</v>
      </c>
      <c r="X341" s="9">
        <v>2.8041955999999999</v>
      </c>
    </row>
    <row r="342" spans="1:24">
      <c r="A342" s="29">
        <f t="shared" si="322"/>
        <v>45850.124999999178</v>
      </c>
      <c r="B342" s="30">
        <f t="shared" si="277"/>
        <v>5000</v>
      </c>
      <c r="C342" s="8">
        <v>25000</v>
      </c>
      <c r="D342" s="8">
        <v>0</v>
      </c>
      <c r="E342" s="8">
        <v>0</v>
      </c>
      <c r="F342" s="8">
        <v>0</v>
      </c>
      <c r="G342" s="30">
        <f t="shared" si="278"/>
        <v>2400</v>
      </c>
      <c r="H342" s="8">
        <v>25000</v>
      </c>
      <c r="I342" s="30">
        <f t="shared" si="279"/>
        <v>5000</v>
      </c>
      <c r="J342" s="8">
        <v>25000</v>
      </c>
      <c r="K342" s="30">
        <f t="shared" si="280"/>
        <v>5000</v>
      </c>
      <c r="L342" s="8">
        <v>25000</v>
      </c>
      <c r="M342" s="9">
        <f>VLOOKUP(DATE(YEAR(A342),MONTH(A342),DAY(A342)),FY24_Temp[],4,FALSE)</f>
        <v>8.4</v>
      </c>
      <c r="N342" s="9">
        <f>VLOOKUP(DATE(YEAR(A342),MONTH(A342),DAY(A342)),FY24_Temp[],3,FALSE)</f>
        <v>12.8</v>
      </c>
      <c r="O342" s="9">
        <v>13</v>
      </c>
      <c r="P342" s="9">
        <v>19.5</v>
      </c>
      <c r="Q342" s="79">
        <f>VLOOKUP(VLOOKUP(DATEVALUE(TEXT(A342,"m/d/yyyy")),FY24_Temp[],5,FALSE)&amp;TEXT(A342,"-h"),Table6[],4,FALSE)</f>
        <v>0.5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VLOOKUP(TEXT(A342,"yy-mm")&amp;"-"&amp;IF(AND(WEEKDAY(A342)&gt;1,WEEKDAY(A342)&lt;7),"Wkd",TEXT(A342,"Ddd"))&amp;"-"&amp;TEXT(A342,"hh"),LoadTable[],5,FALSE)*0.92</f>
        <v>279.25312000000002</v>
      </c>
      <c r="U342" s="104">
        <f>VLOOKUP(TEXT(A342,"yy-mm")&amp;"-"&amp;IF(AND(WEEKDAY(A342)&gt;1,WEEKDAY(A342)&lt;7),"Wkd",TEXT(A342,"Ddd"))&amp;"-"&amp;TEXT(A342,"hh"),LoadTable[],6,FALSE)*T342</f>
        <v>13756.287944320002</v>
      </c>
      <c r="V342">
        <f t="shared" ref="V342:W342" si="340">V318</f>
        <v>2.7</v>
      </c>
      <c r="W342">
        <f t="shared" si="340"/>
        <v>3.2</v>
      </c>
      <c r="X342" s="9">
        <v>2.8453822</v>
      </c>
    </row>
    <row r="343" spans="1:24">
      <c r="A343" s="29">
        <f t="shared" si="322"/>
        <v>45850.166666665842</v>
      </c>
      <c r="B343" s="30">
        <f t="shared" si="277"/>
        <v>5000</v>
      </c>
      <c r="C343" s="8">
        <v>25000</v>
      </c>
      <c r="D343" s="8">
        <v>0</v>
      </c>
      <c r="E343" s="8">
        <v>0</v>
      </c>
      <c r="F343" s="8">
        <v>0</v>
      </c>
      <c r="G343" s="30">
        <f t="shared" si="278"/>
        <v>2400</v>
      </c>
      <c r="H343" s="8">
        <v>25000</v>
      </c>
      <c r="I343" s="30">
        <f t="shared" si="279"/>
        <v>5000</v>
      </c>
      <c r="J343" s="8">
        <v>25000</v>
      </c>
      <c r="K343" s="30">
        <f t="shared" si="280"/>
        <v>5000</v>
      </c>
      <c r="L343" s="8">
        <v>25000</v>
      </c>
      <c r="M343" s="9">
        <f>VLOOKUP(DATE(YEAR(A343),MONTH(A343),DAY(A343)),FY24_Temp[],4,FALSE)</f>
        <v>8.4</v>
      </c>
      <c r="N343" s="9">
        <f>VLOOKUP(DATE(YEAR(A343),MONTH(A343),DAY(A343)),FY24_Temp[],3,FALSE)</f>
        <v>12.8</v>
      </c>
      <c r="O343" s="9">
        <v>13</v>
      </c>
      <c r="P343" s="9">
        <v>19.5</v>
      </c>
      <c r="Q343" s="79">
        <f>VLOOKUP(VLOOKUP(DATEVALUE(TEXT(A343,"m/d/yyyy")),FY24_Temp[],5,FALSE)&amp;TEXT(A343,"-h"),Table6[],4,FALSE)</f>
        <v>0.5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VLOOKUP(TEXT(A343,"yy-mm")&amp;"-"&amp;IF(AND(WEEKDAY(A343)&gt;1,WEEKDAY(A343)&lt;7),"Wkd",TEXT(A343,"Ddd"))&amp;"-"&amp;TEXT(A343,"hh"),LoadTable[],5,FALSE)*0.92</f>
        <v>279.25312000000002</v>
      </c>
      <c r="U343" s="104">
        <f>VLOOKUP(TEXT(A343,"yy-mm")&amp;"-"&amp;IF(AND(WEEKDAY(A343)&gt;1,WEEKDAY(A343)&lt;7),"Wkd",TEXT(A343,"Ddd"))&amp;"-"&amp;TEXT(A343,"hh"),LoadTable[],6,FALSE)*T343</f>
        <v>13728.641885440002</v>
      </c>
      <c r="V343">
        <f t="shared" ref="V343:W343" si="341">V319</f>
        <v>3</v>
      </c>
      <c r="W343">
        <f t="shared" si="341"/>
        <v>3.1</v>
      </c>
      <c r="X343" s="9">
        <v>2.8731703999999998</v>
      </c>
    </row>
    <row r="344" spans="1:24">
      <c r="A344" s="29">
        <f t="shared" si="322"/>
        <v>45850.208333332506</v>
      </c>
      <c r="B344" s="30">
        <f t="shared" si="277"/>
        <v>5000</v>
      </c>
      <c r="C344" s="8">
        <v>25000</v>
      </c>
      <c r="D344" s="8">
        <v>0</v>
      </c>
      <c r="E344" s="8">
        <v>0</v>
      </c>
      <c r="F344" s="8">
        <v>0</v>
      </c>
      <c r="G344" s="30">
        <f t="shared" si="278"/>
        <v>2400</v>
      </c>
      <c r="H344" s="8">
        <v>25000</v>
      </c>
      <c r="I344" s="30">
        <f t="shared" si="279"/>
        <v>5000</v>
      </c>
      <c r="J344" s="8">
        <v>25000</v>
      </c>
      <c r="K344" s="30">
        <f t="shared" si="280"/>
        <v>5000</v>
      </c>
      <c r="L344" s="8">
        <v>25000</v>
      </c>
      <c r="M344" s="9">
        <f>VLOOKUP(DATE(YEAR(A344),MONTH(A344),DAY(A344)),FY24_Temp[],4,FALSE)</f>
        <v>8.4</v>
      </c>
      <c r="N344" s="9">
        <f>VLOOKUP(DATE(YEAR(A344),MONTH(A344),DAY(A344)),FY24_Temp[],3,FALSE)</f>
        <v>12.8</v>
      </c>
      <c r="O344" s="9">
        <v>13</v>
      </c>
      <c r="P344" s="9">
        <v>19.5</v>
      </c>
      <c r="Q344" s="79">
        <f>VLOOKUP(VLOOKUP(DATEVALUE(TEXT(A344,"m/d/yyyy")),FY24_Temp[],5,FALSE)&amp;TEXT(A344,"-h"),Table6[],4,FALSE)</f>
        <v>0.5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VLOOKUP(TEXT(A344,"yy-mm")&amp;"-"&amp;IF(AND(WEEKDAY(A344)&gt;1,WEEKDAY(A344)&lt;7),"Wkd",TEXT(A344,"Ddd"))&amp;"-"&amp;TEXT(A344,"hh"),LoadTable[],5,FALSE)*0.92</f>
        <v>279.25312000000002</v>
      </c>
      <c r="U344" s="104">
        <f>VLOOKUP(TEXT(A344,"yy-mm")&amp;"-"&amp;IF(AND(WEEKDAY(A344)&gt;1,WEEKDAY(A344)&lt;7),"Wkd",TEXT(A344,"Ddd"))&amp;"-"&amp;TEXT(A344,"hh"),LoadTable[],6,FALSE)*T344</f>
        <v>13828.33524928</v>
      </c>
      <c r="V344">
        <f t="shared" ref="V344:W344" si="342">V320</f>
        <v>2.9</v>
      </c>
      <c r="W344">
        <f t="shared" si="342"/>
        <v>3.1</v>
      </c>
      <c r="X344" s="9">
        <v>2.951308</v>
      </c>
    </row>
    <row r="345" spans="1:24">
      <c r="A345" s="29">
        <f t="shared" si="322"/>
        <v>45850.249999999171</v>
      </c>
      <c r="B345" s="30">
        <f t="shared" si="277"/>
        <v>8000</v>
      </c>
      <c r="C345" s="8">
        <v>25000</v>
      </c>
      <c r="D345" s="8">
        <v>0</v>
      </c>
      <c r="E345" s="8">
        <v>0</v>
      </c>
      <c r="F345" s="8">
        <v>0</v>
      </c>
      <c r="G345" s="30">
        <f t="shared" si="278"/>
        <v>2400</v>
      </c>
      <c r="H345" s="8">
        <v>25000</v>
      </c>
      <c r="I345" s="30">
        <f t="shared" si="279"/>
        <v>8000</v>
      </c>
      <c r="J345" s="8">
        <v>25000</v>
      </c>
      <c r="K345" s="30">
        <f t="shared" si="280"/>
        <v>8000</v>
      </c>
      <c r="L345" s="8">
        <v>25000</v>
      </c>
      <c r="M345" s="9">
        <f>VLOOKUP(DATE(YEAR(A345),MONTH(A345),DAY(A345)),FY24_Temp[],4,FALSE)</f>
        <v>8.4</v>
      </c>
      <c r="N345" s="9">
        <f>VLOOKUP(DATE(YEAR(A345),MONTH(A345),DAY(A345)),FY24_Temp[],3,FALSE)</f>
        <v>12.8</v>
      </c>
      <c r="O345" s="9">
        <v>13</v>
      </c>
      <c r="P345" s="9">
        <v>19.5</v>
      </c>
      <c r="Q345" s="79">
        <f>VLOOKUP(VLOOKUP(DATEVALUE(TEXT(A345,"m/d/yyyy")),FY24_Temp[],5,FALSE)&amp;TEXT(A345,"-h"),Table6[],4,FALSE)</f>
        <v>0.5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VLOOKUP(TEXT(A345,"yy-mm")&amp;"-"&amp;IF(AND(WEEKDAY(A345)&gt;1,WEEKDAY(A345)&lt;7),"Wkd",TEXT(A345,"Ddd"))&amp;"-"&amp;TEXT(A345,"hh"),LoadTable[],5,FALSE)*0.92</f>
        <v>279.25312000000002</v>
      </c>
      <c r="U345" s="104">
        <f>VLOOKUP(TEXT(A345,"yy-mm")&amp;"-"&amp;IF(AND(WEEKDAY(A345)&gt;1,WEEKDAY(A345)&lt;7),"Wkd",TEXT(A345,"Ddd"))&amp;"-"&amp;TEXT(A345,"hh"),LoadTable[],6,FALSE)*T345</f>
        <v>21929.747513600003</v>
      </c>
      <c r="V345">
        <f t="shared" ref="V345:W345" si="343">V321</f>
        <v>2.5</v>
      </c>
      <c r="W345">
        <f t="shared" si="343"/>
        <v>3.1</v>
      </c>
      <c r="X345" s="9">
        <v>3.0756201999999999</v>
      </c>
    </row>
    <row r="346" spans="1:24">
      <c r="A346" s="29">
        <f t="shared" si="322"/>
        <v>45850.291666665835</v>
      </c>
      <c r="B346" s="30">
        <f t="shared" si="277"/>
        <v>8000</v>
      </c>
      <c r="C346" s="8">
        <v>25000</v>
      </c>
      <c r="D346" s="8">
        <v>0</v>
      </c>
      <c r="E346" s="8">
        <v>0</v>
      </c>
      <c r="F346" s="8">
        <v>0</v>
      </c>
      <c r="G346" s="30">
        <f t="shared" si="278"/>
        <v>2400</v>
      </c>
      <c r="H346" s="8">
        <v>25000</v>
      </c>
      <c r="I346" s="30">
        <f t="shared" si="279"/>
        <v>8000</v>
      </c>
      <c r="J346" s="8">
        <v>25000</v>
      </c>
      <c r="K346" s="30">
        <f t="shared" si="280"/>
        <v>8000</v>
      </c>
      <c r="L346" s="8">
        <v>25000</v>
      </c>
      <c r="M346" s="9">
        <f>VLOOKUP(DATE(YEAR(A346),MONTH(A346),DAY(A346)),FY24_Temp[],4,FALSE)</f>
        <v>8.4</v>
      </c>
      <c r="N346" s="9">
        <f>VLOOKUP(DATE(YEAR(A346),MONTH(A346),DAY(A346)),FY24_Temp[],3,FALSE)</f>
        <v>12.8</v>
      </c>
      <c r="O346" s="9">
        <v>13</v>
      </c>
      <c r="P346" s="9">
        <v>19.5</v>
      </c>
      <c r="Q346" s="79">
        <f>VLOOKUP(VLOOKUP(DATEVALUE(TEXT(A346,"m/d/yyyy")),FY24_Temp[],5,FALSE)&amp;TEXT(A346,"-h"),Table6[],4,FALSE)</f>
        <v>0.5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VLOOKUP(TEXT(A346,"yy-mm")&amp;"-"&amp;IF(AND(WEEKDAY(A346)&gt;1,WEEKDAY(A346)&lt;7),"Wkd",TEXT(A346,"Ddd"))&amp;"-"&amp;TEXT(A346,"hh"),LoadTable[],5,FALSE)*0.92</f>
        <v>279.25312000000002</v>
      </c>
      <c r="U346" s="104">
        <f>VLOOKUP(TEXT(A346,"yy-mm")&amp;"-"&amp;IF(AND(WEEKDAY(A346)&gt;1,WEEKDAY(A346)&lt;7),"Wkd",TEXT(A346,"Ddd"))&amp;"-"&amp;TEXT(A346,"hh"),LoadTable[],6,FALSE)*T346</f>
        <v>19925.827124480002</v>
      </c>
      <c r="V346">
        <f t="shared" ref="V346:W346" si="344">V322</f>
        <v>2.5</v>
      </c>
      <c r="W346">
        <f t="shared" si="344"/>
        <v>3.1</v>
      </c>
      <c r="X346" s="9">
        <v>3.2184951000000002</v>
      </c>
    </row>
    <row r="347" spans="1:24">
      <c r="A347" s="29">
        <f t="shared" si="322"/>
        <v>45850.333333332499</v>
      </c>
      <c r="B347" s="30">
        <f t="shared" si="277"/>
        <v>8000</v>
      </c>
      <c r="C347" s="8">
        <v>25000</v>
      </c>
      <c r="D347" s="8">
        <v>0</v>
      </c>
      <c r="E347" s="8">
        <v>0</v>
      </c>
      <c r="F347" s="8">
        <v>0</v>
      </c>
      <c r="G347" s="30">
        <f t="shared" si="278"/>
        <v>2400</v>
      </c>
      <c r="H347" s="8">
        <v>25000</v>
      </c>
      <c r="I347" s="30">
        <f t="shared" si="279"/>
        <v>8000</v>
      </c>
      <c r="J347" s="8">
        <v>25000</v>
      </c>
      <c r="K347" s="30">
        <f t="shared" si="280"/>
        <v>8000</v>
      </c>
      <c r="L347" s="8">
        <v>25000</v>
      </c>
      <c r="M347" s="9">
        <f>VLOOKUP(DATE(YEAR(A347),MONTH(A347),DAY(A347)),FY24_Temp[],4,FALSE)</f>
        <v>8.4</v>
      </c>
      <c r="N347" s="9">
        <f>VLOOKUP(DATE(YEAR(A347),MONTH(A347),DAY(A347)),FY24_Temp[],3,FALSE)</f>
        <v>12.8</v>
      </c>
      <c r="O347" s="9">
        <v>13</v>
      </c>
      <c r="P347" s="9">
        <v>19.5</v>
      </c>
      <c r="Q347" s="79">
        <f>VLOOKUP(VLOOKUP(DATEVALUE(TEXT(A347,"m/d/yyyy")),FY24_Temp[],5,FALSE)&amp;TEXT(A347,"-h"),Table6[],4,FALSE)</f>
        <v>0.5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VLOOKUP(TEXT(A347,"yy-mm")&amp;"-"&amp;IF(AND(WEEKDAY(A347)&gt;1,WEEKDAY(A347)&lt;7),"Wkd",TEXT(A347,"Ddd"))&amp;"-"&amp;TEXT(A347,"hh"),LoadTable[],5,FALSE)*0.92</f>
        <v>279.25312000000002</v>
      </c>
      <c r="U347" s="104">
        <f>VLOOKUP(TEXT(A347,"yy-mm")&amp;"-"&amp;IF(AND(WEEKDAY(A347)&gt;1,WEEKDAY(A347)&lt;7),"Wkd",TEXT(A347,"Ddd"))&amp;"-"&amp;TEXT(A347,"hh"),LoadTable[],6,FALSE)*T347</f>
        <v>15771.37845824</v>
      </c>
      <c r="V347">
        <f t="shared" ref="V347:W347" si="345">V323</f>
        <v>3.2</v>
      </c>
      <c r="W347">
        <f t="shared" si="345"/>
        <v>3</v>
      </c>
      <c r="X347" s="9">
        <v>3.2753575000000001</v>
      </c>
    </row>
    <row r="348" spans="1:24">
      <c r="A348" s="29">
        <f t="shared" si="322"/>
        <v>45850.374999999163</v>
      </c>
      <c r="B348" s="30">
        <f t="shared" ref="B348:B411" si="346">B324</f>
        <v>8000</v>
      </c>
      <c r="C348" s="8">
        <v>25000</v>
      </c>
      <c r="D348" s="8">
        <v>0</v>
      </c>
      <c r="E348" s="8">
        <v>0</v>
      </c>
      <c r="F348" s="8">
        <v>0</v>
      </c>
      <c r="G348" s="30">
        <f t="shared" ref="G348:G411" si="347">G324</f>
        <v>2400</v>
      </c>
      <c r="H348" s="8">
        <v>25000</v>
      </c>
      <c r="I348" s="30">
        <f t="shared" ref="I348:I411" si="348">I324</f>
        <v>8000</v>
      </c>
      <c r="J348" s="8">
        <v>25000</v>
      </c>
      <c r="K348" s="30">
        <f t="shared" ref="K348:K411" si="349">K324</f>
        <v>8000</v>
      </c>
      <c r="L348" s="8">
        <v>25000</v>
      </c>
      <c r="M348" s="9">
        <f>VLOOKUP(DATE(YEAR(A348),MONTH(A348),DAY(A348)),FY24_Temp[],4,FALSE)</f>
        <v>8.4</v>
      </c>
      <c r="N348" s="9">
        <f>VLOOKUP(DATE(YEAR(A348),MONTH(A348),DAY(A348)),FY24_Temp[],3,FALSE)</f>
        <v>12.8</v>
      </c>
      <c r="O348" s="9">
        <v>13</v>
      </c>
      <c r="P348" s="9">
        <v>19.5</v>
      </c>
      <c r="Q348" s="79">
        <f>VLOOKUP(VLOOKUP(DATEVALUE(TEXT(A348,"m/d/yyyy")),FY24_Temp[],5,FALSE)&amp;TEXT(A348,"-h"),Table6[],4,FALSE)</f>
        <v>0.5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VLOOKUP(TEXT(A348,"yy-mm")&amp;"-"&amp;IF(AND(WEEKDAY(A348)&gt;1,WEEKDAY(A348)&lt;7),"Wkd",TEXT(A348,"Ddd"))&amp;"-"&amp;TEXT(A348,"hh"),LoadTable[],5,FALSE)*0.92</f>
        <v>279.25312000000002</v>
      </c>
      <c r="U348" s="104">
        <f>VLOOKUP(TEXT(A348,"yy-mm")&amp;"-"&amp;IF(AND(WEEKDAY(A348)&gt;1,WEEKDAY(A348)&lt;7),"Wkd",TEXT(A348,"Ddd"))&amp;"-"&amp;TEXT(A348,"hh"),LoadTable[],6,FALSE)*T348</f>
        <v>13260.61365632</v>
      </c>
      <c r="V348">
        <f t="shared" ref="V348:W348" si="350">V324</f>
        <v>2.9</v>
      </c>
      <c r="W348">
        <f t="shared" si="350"/>
        <v>3</v>
      </c>
      <c r="X348" s="9">
        <v>3.3213987</v>
      </c>
    </row>
    <row r="349" spans="1:24">
      <c r="A349" s="29">
        <f t="shared" si="322"/>
        <v>45850.416666665828</v>
      </c>
      <c r="B349" s="30">
        <f t="shared" si="346"/>
        <v>8000</v>
      </c>
      <c r="C349" s="8">
        <v>25000</v>
      </c>
      <c r="D349" s="8">
        <v>0</v>
      </c>
      <c r="E349" s="8">
        <v>0</v>
      </c>
      <c r="F349" s="8">
        <v>0</v>
      </c>
      <c r="G349" s="30">
        <f t="shared" si="347"/>
        <v>2400</v>
      </c>
      <c r="H349" s="8">
        <v>25000</v>
      </c>
      <c r="I349" s="30">
        <f t="shared" si="348"/>
        <v>8000</v>
      </c>
      <c r="J349" s="8">
        <v>25000</v>
      </c>
      <c r="K349" s="30">
        <f t="shared" si="349"/>
        <v>8000</v>
      </c>
      <c r="L349" s="8">
        <v>25000</v>
      </c>
      <c r="M349" s="9">
        <f>VLOOKUP(DATE(YEAR(A349),MONTH(A349),DAY(A349)),FY24_Temp[],4,FALSE)</f>
        <v>8.4</v>
      </c>
      <c r="N349" s="9">
        <f>VLOOKUP(DATE(YEAR(A349),MONTH(A349),DAY(A349)),FY24_Temp[],3,FALSE)</f>
        <v>12.8</v>
      </c>
      <c r="O349" s="9">
        <v>13</v>
      </c>
      <c r="P349" s="9">
        <v>19.5</v>
      </c>
      <c r="Q349" s="79">
        <f>VLOOKUP(VLOOKUP(DATEVALUE(TEXT(A349,"m/d/yyyy")),FY24_Temp[],5,FALSE)&amp;TEXT(A349,"-h"),Table6[],4,FALSE)</f>
        <v>0.5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VLOOKUP(TEXT(A349,"yy-mm")&amp;"-"&amp;IF(AND(WEEKDAY(A349)&gt;1,WEEKDAY(A349)&lt;7),"Wkd",TEXT(A349,"Ddd"))&amp;"-"&amp;TEXT(A349,"hh"),LoadTable[],5,FALSE)*0.92</f>
        <v>279.25312000000002</v>
      </c>
      <c r="U349" s="104">
        <f>VLOOKUP(TEXT(A349,"yy-mm")&amp;"-"&amp;IF(AND(WEEKDAY(A349)&gt;1,WEEKDAY(A349)&lt;7),"Wkd",TEXT(A349,"Ddd"))&amp;"-"&amp;TEXT(A349,"hh"),LoadTable[],6,FALSE)*T349</f>
        <v>12908.475472000002</v>
      </c>
      <c r="V349">
        <f t="shared" ref="V349:W349" si="351">V325</f>
        <v>2.9</v>
      </c>
      <c r="W349">
        <f t="shared" si="351"/>
        <v>3</v>
      </c>
      <c r="X349" s="9">
        <v>3.3834605</v>
      </c>
    </row>
    <row r="350" spans="1:24">
      <c r="A350" s="29">
        <f t="shared" si="322"/>
        <v>45850.458333332492</v>
      </c>
      <c r="B350" s="30">
        <f t="shared" si="346"/>
        <v>8000</v>
      </c>
      <c r="C350" s="8">
        <v>25000</v>
      </c>
      <c r="D350" s="8">
        <v>0</v>
      </c>
      <c r="E350" s="8">
        <v>0</v>
      </c>
      <c r="F350" s="8">
        <v>0</v>
      </c>
      <c r="G350" s="30">
        <f t="shared" si="347"/>
        <v>2400</v>
      </c>
      <c r="H350" s="8">
        <v>25000</v>
      </c>
      <c r="I350" s="30">
        <f t="shared" si="348"/>
        <v>8000</v>
      </c>
      <c r="J350" s="8">
        <v>25000</v>
      </c>
      <c r="K350" s="30">
        <f t="shared" si="349"/>
        <v>8000</v>
      </c>
      <c r="L350" s="8">
        <v>25000</v>
      </c>
      <c r="M350" s="9">
        <f>VLOOKUP(DATE(YEAR(A350),MONTH(A350),DAY(A350)),FY24_Temp[],4,FALSE)</f>
        <v>8.4</v>
      </c>
      <c r="N350" s="9">
        <f>VLOOKUP(DATE(YEAR(A350),MONTH(A350),DAY(A350)),FY24_Temp[],3,FALSE)</f>
        <v>12.8</v>
      </c>
      <c r="O350" s="9">
        <v>13</v>
      </c>
      <c r="P350" s="9">
        <v>19.5</v>
      </c>
      <c r="Q350" s="79">
        <f>VLOOKUP(VLOOKUP(DATEVALUE(TEXT(A350,"m/d/yyyy")),FY24_Temp[],5,FALSE)&amp;TEXT(A350,"-h"),Table6[],4,FALSE)</f>
        <v>0.5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VLOOKUP(TEXT(A350,"yy-mm")&amp;"-"&amp;IF(AND(WEEKDAY(A350)&gt;1,WEEKDAY(A350)&lt;7),"Wkd",TEXT(A350,"Ddd"))&amp;"-"&amp;TEXT(A350,"hh"),LoadTable[],5,FALSE)*0.92</f>
        <v>279.25312000000002</v>
      </c>
      <c r="U350" s="104">
        <f>VLOOKUP(TEXT(A350,"yy-mm")&amp;"-"&amp;IF(AND(WEEKDAY(A350)&gt;1,WEEKDAY(A350)&lt;7),"Wkd",TEXT(A350,"Ddd"))&amp;"-"&amp;TEXT(A350,"hh"),LoadTable[],6,FALSE)*T350</f>
        <v>12893.395803520001</v>
      </c>
      <c r="V350">
        <f t="shared" ref="V350:W350" si="352">V326</f>
        <v>3.4</v>
      </c>
      <c r="W350">
        <f t="shared" si="352"/>
        <v>3</v>
      </c>
      <c r="X350" s="9">
        <v>3.3357329</v>
      </c>
    </row>
    <row r="351" spans="1:24">
      <c r="A351" s="29">
        <f t="shared" si="322"/>
        <v>45850.499999999156</v>
      </c>
      <c r="B351" s="30">
        <f t="shared" si="346"/>
        <v>8000</v>
      </c>
      <c r="C351" s="8">
        <v>25000</v>
      </c>
      <c r="D351" s="8">
        <v>0</v>
      </c>
      <c r="E351" s="8">
        <v>0</v>
      </c>
      <c r="F351" s="8">
        <v>0</v>
      </c>
      <c r="G351" s="30">
        <f t="shared" si="347"/>
        <v>2400</v>
      </c>
      <c r="H351" s="8">
        <v>25000</v>
      </c>
      <c r="I351" s="30">
        <f t="shared" si="348"/>
        <v>8000</v>
      </c>
      <c r="J351" s="8">
        <v>25000</v>
      </c>
      <c r="K351" s="30">
        <f t="shared" si="349"/>
        <v>8000</v>
      </c>
      <c r="L351" s="8">
        <v>25000</v>
      </c>
      <c r="M351" s="9">
        <f>VLOOKUP(DATE(YEAR(A351),MONTH(A351),DAY(A351)),FY24_Temp[],4,FALSE)</f>
        <v>8.4</v>
      </c>
      <c r="N351" s="9">
        <f>VLOOKUP(DATE(YEAR(A351),MONTH(A351),DAY(A351)),FY24_Temp[],3,FALSE)</f>
        <v>12.8</v>
      </c>
      <c r="O351" s="9">
        <v>13</v>
      </c>
      <c r="P351" s="9">
        <v>19.5</v>
      </c>
      <c r="Q351" s="79">
        <f>VLOOKUP(VLOOKUP(DATEVALUE(TEXT(A351,"m/d/yyyy")),FY24_Temp[],5,FALSE)&amp;TEXT(A351,"-h"),Table6[],4,FALSE)</f>
        <v>0.5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VLOOKUP(TEXT(A351,"yy-mm")&amp;"-"&amp;IF(AND(WEEKDAY(A351)&gt;1,WEEKDAY(A351)&lt;7),"Wkd",TEXT(A351,"Ddd"))&amp;"-"&amp;TEXT(A351,"hh"),LoadTable[],5,FALSE)*0.92</f>
        <v>279.25312000000002</v>
      </c>
      <c r="U351" s="104">
        <f>VLOOKUP(TEXT(A351,"yy-mm")&amp;"-"&amp;IF(AND(WEEKDAY(A351)&gt;1,WEEKDAY(A351)&lt;7),"Wkd",TEXT(A351,"Ddd"))&amp;"-"&amp;TEXT(A351,"hh"),LoadTable[],6,FALSE)*T351</f>
        <v>12888.648500480002</v>
      </c>
      <c r="V351">
        <f t="shared" ref="V351:W351" si="353">V327</f>
        <v>3.1</v>
      </c>
      <c r="W351">
        <f t="shared" si="353"/>
        <v>2.9</v>
      </c>
      <c r="X351" s="9">
        <v>3.2028327000000001</v>
      </c>
    </row>
    <row r="352" spans="1:24">
      <c r="A352" s="29">
        <f t="shared" si="322"/>
        <v>45850.54166666582</v>
      </c>
      <c r="B352" s="30">
        <f t="shared" si="346"/>
        <v>8000</v>
      </c>
      <c r="C352" s="8">
        <v>25000</v>
      </c>
      <c r="D352" s="8">
        <v>0</v>
      </c>
      <c r="E352" s="8">
        <v>0</v>
      </c>
      <c r="F352" s="8">
        <v>0</v>
      </c>
      <c r="G352" s="30">
        <f t="shared" si="347"/>
        <v>2400</v>
      </c>
      <c r="H352" s="8">
        <v>25000</v>
      </c>
      <c r="I352" s="30">
        <f t="shared" si="348"/>
        <v>8000</v>
      </c>
      <c r="J352" s="8">
        <v>25000</v>
      </c>
      <c r="K352" s="30">
        <f t="shared" si="349"/>
        <v>8000</v>
      </c>
      <c r="L352" s="8">
        <v>25000</v>
      </c>
      <c r="M352" s="9">
        <f>VLOOKUP(DATE(YEAR(A352),MONTH(A352),DAY(A352)),FY24_Temp[],4,FALSE)</f>
        <v>8.4</v>
      </c>
      <c r="N352" s="9">
        <f>VLOOKUP(DATE(YEAR(A352),MONTH(A352),DAY(A352)),FY24_Temp[],3,FALSE)</f>
        <v>12.8</v>
      </c>
      <c r="O352" s="9">
        <v>13</v>
      </c>
      <c r="P352" s="9">
        <v>19.5</v>
      </c>
      <c r="Q352" s="79">
        <f>VLOOKUP(VLOOKUP(DATEVALUE(TEXT(A352,"m/d/yyyy")),FY24_Temp[],5,FALSE)&amp;TEXT(A352,"-h"),Table6[],4,FALSE)</f>
        <v>0.5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VLOOKUP(TEXT(A352,"yy-mm")&amp;"-"&amp;IF(AND(WEEKDAY(A352)&gt;1,WEEKDAY(A352)&lt;7),"Wkd",TEXT(A352,"Ddd"))&amp;"-"&amp;TEXT(A352,"hh"),LoadTable[],5,FALSE)*0.92</f>
        <v>279.25312000000002</v>
      </c>
      <c r="U352" s="104">
        <f>VLOOKUP(TEXT(A352,"yy-mm")&amp;"-"&amp;IF(AND(WEEKDAY(A352)&gt;1,WEEKDAY(A352)&lt;7),"Wkd",TEXT(A352,"Ddd"))&amp;"-"&amp;TEXT(A352,"hh"),LoadTable[],6,FALSE)*T352</f>
        <v>12892.837297280001</v>
      </c>
      <c r="V352">
        <f t="shared" ref="V352:W352" si="354">V328</f>
        <v>3.2</v>
      </c>
      <c r="W352">
        <f t="shared" si="354"/>
        <v>2.9</v>
      </c>
      <c r="X352" s="9">
        <v>3.0298736000000002</v>
      </c>
    </row>
    <row r="353" spans="1:24">
      <c r="A353" s="29">
        <f t="shared" si="322"/>
        <v>45850.583333332484</v>
      </c>
      <c r="B353" s="30">
        <f t="shared" si="346"/>
        <v>8000</v>
      </c>
      <c r="C353" s="8">
        <v>25000</v>
      </c>
      <c r="D353" s="8">
        <v>0</v>
      </c>
      <c r="E353" s="8">
        <v>0</v>
      </c>
      <c r="F353" s="8">
        <v>0</v>
      </c>
      <c r="G353" s="30">
        <f t="shared" si="347"/>
        <v>2400</v>
      </c>
      <c r="H353" s="8">
        <v>25000</v>
      </c>
      <c r="I353" s="30">
        <f t="shared" si="348"/>
        <v>8000</v>
      </c>
      <c r="J353" s="8">
        <v>25000</v>
      </c>
      <c r="K353" s="30">
        <f t="shared" si="349"/>
        <v>8000</v>
      </c>
      <c r="L353" s="8">
        <v>25000</v>
      </c>
      <c r="M353" s="9">
        <f>VLOOKUP(DATE(YEAR(A353),MONTH(A353),DAY(A353)),FY24_Temp[],4,FALSE)</f>
        <v>8.4</v>
      </c>
      <c r="N353" s="9">
        <f>VLOOKUP(DATE(YEAR(A353),MONTH(A353),DAY(A353)),FY24_Temp[],3,FALSE)</f>
        <v>12.8</v>
      </c>
      <c r="O353" s="9">
        <v>13</v>
      </c>
      <c r="P353" s="9">
        <v>19.5</v>
      </c>
      <c r="Q353" s="79">
        <f>VLOOKUP(VLOOKUP(DATEVALUE(TEXT(A353,"m/d/yyyy")),FY24_Temp[],5,FALSE)&amp;TEXT(A353,"-h"),Table6[],4,FALSE)</f>
        <v>0.5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VLOOKUP(TEXT(A353,"yy-mm")&amp;"-"&amp;IF(AND(WEEKDAY(A353)&gt;1,WEEKDAY(A353)&lt;7),"Wkd",TEXT(A353,"Ddd"))&amp;"-"&amp;TEXT(A353,"hh"),LoadTable[],5,FALSE)*0.92</f>
        <v>279.25312000000002</v>
      </c>
      <c r="U353" s="104">
        <f>VLOOKUP(TEXT(A353,"yy-mm")&amp;"-"&amp;IF(AND(WEEKDAY(A353)&gt;1,WEEKDAY(A353)&lt;7),"Wkd",TEXT(A353,"Ddd"))&amp;"-"&amp;TEXT(A353,"hh"),LoadTable[],6,FALSE)*T353</f>
        <v>12904.007422080002</v>
      </c>
      <c r="V353">
        <f t="shared" ref="V353:W353" si="355">V329</f>
        <v>3.5</v>
      </c>
      <c r="W353">
        <f t="shared" si="355"/>
        <v>2.9</v>
      </c>
      <c r="X353" s="9">
        <v>2.9732742000000001</v>
      </c>
    </row>
    <row r="354" spans="1:24">
      <c r="A354" s="29">
        <f t="shared" si="322"/>
        <v>45850.624999999149</v>
      </c>
      <c r="B354" s="30">
        <f t="shared" si="346"/>
        <v>8000</v>
      </c>
      <c r="C354" s="8">
        <v>25000</v>
      </c>
      <c r="D354" s="8">
        <v>0</v>
      </c>
      <c r="E354" s="8">
        <v>0</v>
      </c>
      <c r="F354" s="8">
        <v>0</v>
      </c>
      <c r="G354" s="30">
        <f t="shared" si="347"/>
        <v>2400</v>
      </c>
      <c r="H354" s="8">
        <v>25000</v>
      </c>
      <c r="I354" s="30">
        <f t="shared" si="348"/>
        <v>8000</v>
      </c>
      <c r="J354" s="8">
        <v>25000</v>
      </c>
      <c r="K354" s="30">
        <f t="shared" si="349"/>
        <v>8000</v>
      </c>
      <c r="L354" s="8">
        <v>25000</v>
      </c>
      <c r="M354" s="9">
        <f>VLOOKUP(DATE(YEAR(A354),MONTH(A354),DAY(A354)),FY24_Temp[],4,FALSE)</f>
        <v>8.4</v>
      </c>
      <c r="N354" s="9">
        <f>VLOOKUP(DATE(YEAR(A354),MONTH(A354),DAY(A354)),FY24_Temp[],3,FALSE)</f>
        <v>12.8</v>
      </c>
      <c r="O354" s="9">
        <v>13</v>
      </c>
      <c r="P354" s="9">
        <v>19.5</v>
      </c>
      <c r="Q354" s="79">
        <f>VLOOKUP(VLOOKUP(DATEVALUE(TEXT(A354,"m/d/yyyy")),FY24_Temp[],5,FALSE)&amp;TEXT(A354,"-h"),Table6[],4,FALSE)</f>
        <v>0.5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VLOOKUP(TEXT(A354,"yy-mm")&amp;"-"&amp;IF(AND(WEEKDAY(A354)&gt;1,WEEKDAY(A354)&lt;7),"Wkd",TEXT(A354,"Ddd"))&amp;"-"&amp;TEXT(A354,"hh"),LoadTable[],5,FALSE)*0.92</f>
        <v>400.56064000000003</v>
      </c>
      <c r="U354" s="104">
        <f>VLOOKUP(TEXT(A354,"yy-mm")&amp;"-"&amp;IF(AND(WEEKDAY(A354)&gt;1,WEEKDAY(A354)&lt;7),"Wkd",TEXT(A354,"Ddd"))&amp;"-"&amp;TEXT(A354,"hh"),LoadTable[],6,FALSE)*T354</f>
        <v>19679.143682559999</v>
      </c>
      <c r="V354">
        <f t="shared" ref="V354:W354" si="356">V330</f>
        <v>3.2</v>
      </c>
      <c r="W354">
        <f t="shared" si="356"/>
        <v>2.9</v>
      </c>
      <c r="X354" s="9">
        <v>3.2738404000000001</v>
      </c>
    </row>
    <row r="355" spans="1:24">
      <c r="A355" s="29">
        <f t="shared" si="322"/>
        <v>45850.666666665813</v>
      </c>
      <c r="B355" s="30">
        <f t="shared" si="346"/>
        <v>8000</v>
      </c>
      <c r="C355" s="8">
        <v>25000</v>
      </c>
      <c r="D355" s="8">
        <v>0</v>
      </c>
      <c r="E355" s="8">
        <v>0</v>
      </c>
      <c r="F355" s="8">
        <v>0</v>
      </c>
      <c r="G355" s="30">
        <f t="shared" si="347"/>
        <v>2400</v>
      </c>
      <c r="H355" s="8">
        <v>25000</v>
      </c>
      <c r="I355" s="30">
        <f t="shared" si="348"/>
        <v>8000</v>
      </c>
      <c r="J355" s="8">
        <v>25000</v>
      </c>
      <c r="K355" s="30">
        <f t="shared" si="349"/>
        <v>8000</v>
      </c>
      <c r="L355" s="8">
        <v>25000</v>
      </c>
      <c r="M355" s="9">
        <f>VLOOKUP(DATE(YEAR(A355),MONTH(A355),DAY(A355)),FY24_Temp[],4,FALSE)</f>
        <v>8.4</v>
      </c>
      <c r="N355" s="9">
        <f>VLOOKUP(DATE(YEAR(A355),MONTH(A355),DAY(A355)),FY24_Temp[],3,FALSE)</f>
        <v>12.8</v>
      </c>
      <c r="O355" s="9">
        <v>13</v>
      </c>
      <c r="P355" s="9">
        <v>19.5</v>
      </c>
      <c r="Q355" s="79">
        <f>VLOOKUP(VLOOKUP(DATEVALUE(TEXT(A355,"m/d/yyyy")),FY24_Temp[],5,FALSE)&amp;TEXT(A355,"-h"),Table6[],4,FALSE)</f>
        <v>0.5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VLOOKUP(TEXT(A355,"yy-mm")&amp;"-"&amp;IF(AND(WEEKDAY(A355)&gt;1,WEEKDAY(A355)&lt;7),"Wkd",TEXT(A355,"Ddd"))&amp;"-"&amp;TEXT(A355,"hh"),LoadTable[],5,FALSE)*0.92</f>
        <v>447.97376000000003</v>
      </c>
      <c r="U355" s="104">
        <f>VLOOKUP(TEXT(A355,"yy-mm")&amp;"-"&amp;IF(AND(WEEKDAY(A355)&gt;1,WEEKDAY(A355)&lt;7),"Wkd",TEXT(A355,"Ddd"))&amp;"-"&amp;TEXT(A355,"hh"),LoadTable[],6,FALSE)*T355</f>
        <v>28334.788293760001</v>
      </c>
      <c r="V355">
        <f t="shared" ref="V355:W355" si="357">V331</f>
        <v>3.5</v>
      </c>
      <c r="W355">
        <f t="shared" si="357"/>
        <v>3</v>
      </c>
      <c r="X355" s="9">
        <v>3.1982032999999999</v>
      </c>
    </row>
    <row r="356" spans="1:24">
      <c r="A356" s="29">
        <f t="shared" si="322"/>
        <v>45850.708333332477</v>
      </c>
      <c r="B356" s="30">
        <f t="shared" si="346"/>
        <v>8000</v>
      </c>
      <c r="C356" s="8">
        <v>25000</v>
      </c>
      <c r="D356" s="8">
        <v>0</v>
      </c>
      <c r="E356" s="8">
        <v>0</v>
      </c>
      <c r="F356" s="8">
        <v>0</v>
      </c>
      <c r="G356" s="30">
        <f t="shared" si="347"/>
        <v>2400</v>
      </c>
      <c r="H356" s="8">
        <v>25000</v>
      </c>
      <c r="I356" s="30">
        <f t="shared" si="348"/>
        <v>8000</v>
      </c>
      <c r="J356" s="8">
        <v>25000</v>
      </c>
      <c r="K356" s="30">
        <f t="shared" si="349"/>
        <v>8000</v>
      </c>
      <c r="L356" s="8">
        <v>25000</v>
      </c>
      <c r="M356" s="9">
        <f>VLOOKUP(DATE(YEAR(A356),MONTH(A356),DAY(A356)),FY24_Temp[],4,FALSE)</f>
        <v>8.4</v>
      </c>
      <c r="N356" s="9">
        <f>VLOOKUP(DATE(YEAR(A356),MONTH(A356),DAY(A356)),FY24_Temp[],3,FALSE)</f>
        <v>12.8</v>
      </c>
      <c r="O356" s="9">
        <v>13</v>
      </c>
      <c r="P356" s="9">
        <v>19.5</v>
      </c>
      <c r="Q356" s="79">
        <f>VLOOKUP(VLOOKUP(DATEVALUE(TEXT(A356,"m/d/yyyy")),FY24_Temp[],5,FALSE)&amp;TEXT(A356,"-h"),Table6[],4,FALSE)</f>
        <v>0.5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VLOOKUP(TEXT(A356,"yy-mm")&amp;"-"&amp;IF(AND(WEEKDAY(A356)&gt;1,WEEKDAY(A356)&lt;7),"Wkd",TEXT(A356,"Ddd"))&amp;"-"&amp;TEXT(A356,"hh"),LoadTable[],5,FALSE)*0.92</f>
        <v>494.57360000000006</v>
      </c>
      <c r="U356" s="104">
        <f>VLOOKUP(TEXT(A356,"yy-mm")&amp;"-"&amp;IF(AND(WEEKDAY(A356)&gt;1,WEEKDAY(A356)&lt;7),"Wkd",TEXT(A356,"Ddd"))&amp;"-"&amp;TEXT(A356,"hh"),LoadTable[],6,FALSE)*T356</f>
        <v>41619.852160800008</v>
      </c>
      <c r="V356">
        <f t="shared" ref="V356:W356" si="358">V332</f>
        <v>3.6</v>
      </c>
      <c r="W356">
        <f t="shared" si="358"/>
        <v>3</v>
      </c>
      <c r="X356" s="9">
        <v>3.1111456999999998</v>
      </c>
    </row>
    <row r="357" spans="1:24">
      <c r="A357" s="29">
        <f t="shared" si="322"/>
        <v>45850.749999999141</v>
      </c>
      <c r="B357" s="30">
        <f t="shared" si="346"/>
        <v>5000</v>
      </c>
      <c r="C357" s="8">
        <v>25000</v>
      </c>
      <c r="D357" s="8">
        <v>0</v>
      </c>
      <c r="E357" s="8">
        <v>0</v>
      </c>
      <c r="F357" s="8">
        <v>0</v>
      </c>
      <c r="G357" s="30">
        <f t="shared" si="347"/>
        <v>2400</v>
      </c>
      <c r="H357" s="8">
        <v>25000</v>
      </c>
      <c r="I357" s="30">
        <f t="shared" si="348"/>
        <v>5000</v>
      </c>
      <c r="J357" s="8">
        <v>25000</v>
      </c>
      <c r="K357" s="30">
        <f t="shared" si="349"/>
        <v>5000</v>
      </c>
      <c r="L357" s="8">
        <v>25000</v>
      </c>
      <c r="M357" s="9">
        <f>VLOOKUP(DATE(YEAR(A357),MONTH(A357),DAY(A357)),FY24_Temp[],4,FALSE)</f>
        <v>8.4</v>
      </c>
      <c r="N357" s="9">
        <f>VLOOKUP(DATE(YEAR(A357),MONTH(A357),DAY(A357)),FY24_Temp[],3,FALSE)</f>
        <v>12.8</v>
      </c>
      <c r="O357" s="9">
        <v>13</v>
      </c>
      <c r="P357" s="9">
        <v>19.5</v>
      </c>
      <c r="Q357" s="79">
        <f>VLOOKUP(VLOOKUP(DATEVALUE(TEXT(A357,"m/d/yyyy")),FY24_Temp[],5,FALSE)&amp;TEXT(A357,"-h"),Table6[],4,FALSE)</f>
        <v>0.5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VLOOKUP(TEXT(A357,"yy-mm")&amp;"-"&amp;IF(AND(WEEKDAY(A357)&gt;1,WEEKDAY(A357)&lt;7),"Wkd",TEXT(A357,"Ddd"))&amp;"-"&amp;TEXT(A357,"hh"),LoadTable[],5,FALSE)*0.92</f>
        <v>494.57360000000006</v>
      </c>
      <c r="U357" s="104">
        <f>VLOOKUP(TEXT(A357,"yy-mm")&amp;"-"&amp;IF(AND(WEEKDAY(A357)&gt;1,WEEKDAY(A357)&lt;7),"Wkd",TEXT(A357,"Ddd"))&amp;"-"&amp;TEXT(A357,"hh"),LoadTable[],6,FALSE)*T357</f>
        <v>52802.655830400006</v>
      </c>
      <c r="V357">
        <f t="shared" ref="V357:W357" si="359">V333</f>
        <v>2.9</v>
      </c>
      <c r="W357">
        <f t="shared" si="359"/>
        <v>3</v>
      </c>
      <c r="X357" s="9">
        <v>3.0862927</v>
      </c>
    </row>
    <row r="358" spans="1:24">
      <c r="A358" s="29">
        <f t="shared" si="322"/>
        <v>45850.791666665806</v>
      </c>
      <c r="B358" s="30">
        <f t="shared" si="346"/>
        <v>5000</v>
      </c>
      <c r="C358" s="8">
        <v>25000</v>
      </c>
      <c r="D358" s="8">
        <v>0</v>
      </c>
      <c r="E358" s="8">
        <v>0</v>
      </c>
      <c r="F358" s="8">
        <v>0</v>
      </c>
      <c r="G358" s="30">
        <f t="shared" si="347"/>
        <v>2400</v>
      </c>
      <c r="H358" s="8">
        <v>25000</v>
      </c>
      <c r="I358" s="30">
        <f t="shared" si="348"/>
        <v>5000</v>
      </c>
      <c r="J358" s="8">
        <v>25000</v>
      </c>
      <c r="K358" s="30">
        <f t="shared" si="349"/>
        <v>5000</v>
      </c>
      <c r="L358" s="8">
        <v>25000</v>
      </c>
      <c r="M358" s="9">
        <f>VLOOKUP(DATE(YEAR(A358),MONTH(A358),DAY(A358)),FY24_Temp[],4,FALSE)</f>
        <v>8.4</v>
      </c>
      <c r="N358" s="9">
        <f>VLOOKUP(DATE(YEAR(A358),MONTH(A358),DAY(A358)),FY24_Temp[],3,FALSE)</f>
        <v>12.8</v>
      </c>
      <c r="O358" s="9">
        <v>13</v>
      </c>
      <c r="P358" s="9">
        <v>19.5</v>
      </c>
      <c r="Q358" s="79">
        <f>VLOOKUP(VLOOKUP(DATEVALUE(TEXT(A358,"m/d/yyyy")),FY24_Temp[],5,FALSE)&amp;TEXT(A358,"-h"),Table6[],4,FALSE)</f>
        <v>0.5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VLOOKUP(TEXT(A358,"yy-mm")&amp;"-"&amp;IF(AND(WEEKDAY(A358)&gt;1,WEEKDAY(A358)&lt;7),"Wkd",TEXT(A358,"Ddd"))&amp;"-"&amp;TEXT(A358,"hh"),LoadTable[],5,FALSE)*0.92</f>
        <v>494.57360000000006</v>
      </c>
      <c r="U358" s="104">
        <f>VLOOKUP(TEXT(A358,"yy-mm")&amp;"-"&amp;IF(AND(WEEKDAY(A358)&gt;1,WEEKDAY(A358)&lt;7),"Wkd",TEXT(A358,"Ddd"))&amp;"-"&amp;TEXT(A358,"hh"),LoadTable[],6,FALSE)*T358</f>
        <v>56766.168660800009</v>
      </c>
      <c r="V358">
        <f t="shared" ref="V358:W358" si="360">V334</f>
        <v>3</v>
      </c>
      <c r="W358">
        <f t="shared" si="360"/>
        <v>3</v>
      </c>
      <c r="X358" s="9">
        <v>3.0510640000000002</v>
      </c>
    </row>
    <row r="359" spans="1:24">
      <c r="A359" s="29">
        <f t="shared" si="322"/>
        <v>45850.83333333247</v>
      </c>
      <c r="B359" s="30">
        <f t="shared" si="346"/>
        <v>5000</v>
      </c>
      <c r="C359" s="8">
        <v>25000</v>
      </c>
      <c r="D359" s="8">
        <v>0</v>
      </c>
      <c r="E359" s="8">
        <v>0</v>
      </c>
      <c r="F359" s="8">
        <v>0</v>
      </c>
      <c r="G359" s="30">
        <f t="shared" si="347"/>
        <v>2400</v>
      </c>
      <c r="H359" s="8">
        <v>25000</v>
      </c>
      <c r="I359" s="30">
        <f t="shared" si="348"/>
        <v>5000</v>
      </c>
      <c r="J359" s="8">
        <v>25000</v>
      </c>
      <c r="K359" s="30">
        <f t="shared" si="349"/>
        <v>5000</v>
      </c>
      <c r="L359" s="8">
        <v>25000</v>
      </c>
      <c r="M359" s="9">
        <f>VLOOKUP(DATE(YEAR(A359),MONTH(A359),DAY(A359)),FY24_Temp[],4,FALSE)</f>
        <v>8.4</v>
      </c>
      <c r="N359" s="9">
        <f>VLOOKUP(DATE(YEAR(A359),MONTH(A359),DAY(A359)),FY24_Temp[],3,FALSE)</f>
        <v>12.8</v>
      </c>
      <c r="O359" s="9">
        <v>13</v>
      </c>
      <c r="P359" s="9">
        <v>19.5</v>
      </c>
      <c r="Q359" s="79">
        <f>VLOOKUP(VLOOKUP(DATEVALUE(TEXT(A359,"m/d/yyyy")),FY24_Temp[],5,FALSE)&amp;TEXT(A359,"-h"),Table6[],4,FALSE)</f>
        <v>0.5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VLOOKUP(TEXT(A359,"yy-mm")&amp;"-"&amp;IF(AND(WEEKDAY(A359)&gt;1,WEEKDAY(A359)&lt;7),"Wkd",TEXT(A359,"Ddd"))&amp;"-"&amp;TEXT(A359,"hh"),LoadTable[],5,FALSE)*0.92</f>
        <v>494.57360000000006</v>
      </c>
      <c r="U359" s="104">
        <f>VLOOKUP(TEXT(A359,"yy-mm")&amp;"-"&amp;IF(AND(WEEKDAY(A359)&gt;1,WEEKDAY(A359)&lt;7),"Wkd",TEXT(A359,"Ddd"))&amp;"-"&amp;TEXT(A359,"hh"),LoadTable[],6,FALSE)*T359</f>
        <v>58951.194825600003</v>
      </c>
      <c r="V359">
        <f t="shared" ref="V359:W359" si="361">V335</f>
        <v>2.8</v>
      </c>
      <c r="W359">
        <f t="shared" si="361"/>
        <v>3.1</v>
      </c>
      <c r="X359" s="9">
        <v>3.0132154999999998</v>
      </c>
    </row>
    <row r="360" spans="1:24">
      <c r="A360" s="29">
        <f t="shared" si="322"/>
        <v>45850.874999999134</v>
      </c>
      <c r="B360" s="30">
        <f t="shared" si="346"/>
        <v>5000</v>
      </c>
      <c r="C360" s="8">
        <v>25000</v>
      </c>
      <c r="D360" s="8">
        <v>0</v>
      </c>
      <c r="E360" s="8">
        <v>0</v>
      </c>
      <c r="F360" s="8">
        <v>0</v>
      </c>
      <c r="G360" s="30">
        <f t="shared" si="347"/>
        <v>2400</v>
      </c>
      <c r="H360" s="8">
        <v>25000</v>
      </c>
      <c r="I360" s="30">
        <f t="shared" si="348"/>
        <v>5000</v>
      </c>
      <c r="J360" s="8">
        <v>25000</v>
      </c>
      <c r="K360" s="30">
        <f t="shared" si="349"/>
        <v>5000</v>
      </c>
      <c r="L360" s="8">
        <v>25000</v>
      </c>
      <c r="M360" s="9">
        <f>VLOOKUP(DATE(YEAR(A360),MONTH(A360),DAY(A360)),FY24_Temp[],4,FALSE)</f>
        <v>8.4</v>
      </c>
      <c r="N360" s="9">
        <f>VLOOKUP(DATE(YEAR(A360),MONTH(A360),DAY(A360)),FY24_Temp[],3,FALSE)</f>
        <v>12.8</v>
      </c>
      <c r="O360" s="9">
        <v>13</v>
      </c>
      <c r="P360" s="9">
        <v>19.5</v>
      </c>
      <c r="Q360" s="79">
        <f>VLOOKUP(VLOOKUP(DATEVALUE(TEXT(A360,"m/d/yyyy")),FY24_Temp[],5,FALSE)&amp;TEXT(A360,"-h"),Table6[],4,FALSE)</f>
        <v>0.5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VLOOKUP(TEXT(A360,"yy-mm")&amp;"-"&amp;IF(AND(WEEKDAY(A360)&gt;1,WEEKDAY(A360)&lt;7),"Wkd",TEXT(A360,"Ddd"))&amp;"-"&amp;TEXT(A360,"hh"),LoadTable[],5,FALSE)*0.92</f>
        <v>494.57360000000006</v>
      </c>
      <c r="U360" s="104">
        <f>VLOOKUP(TEXT(A360,"yy-mm")&amp;"-"&amp;IF(AND(WEEKDAY(A360)&gt;1,WEEKDAY(A360)&lt;7),"Wkd",TEXT(A360,"Ddd"))&amp;"-"&amp;TEXT(A360,"hh"),LoadTable[],6,FALSE)*T360</f>
        <v>55655.850928800006</v>
      </c>
      <c r="V360">
        <f t="shared" ref="V360:W360" si="362">V336</f>
        <v>3.5</v>
      </c>
      <c r="W360">
        <f t="shared" si="362"/>
        <v>3.1</v>
      </c>
      <c r="X360" s="9">
        <v>2.9836257000000002</v>
      </c>
    </row>
    <row r="361" spans="1:24">
      <c r="A361" s="29">
        <f t="shared" si="322"/>
        <v>45850.916666665798</v>
      </c>
      <c r="B361" s="30">
        <f t="shared" si="346"/>
        <v>5000</v>
      </c>
      <c r="C361" s="8">
        <v>25000</v>
      </c>
      <c r="D361" s="8">
        <v>0</v>
      </c>
      <c r="E361" s="8">
        <v>0</v>
      </c>
      <c r="F361" s="8">
        <v>0</v>
      </c>
      <c r="G361" s="30">
        <f t="shared" si="347"/>
        <v>2400</v>
      </c>
      <c r="H361" s="8">
        <v>25000</v>
      </c>
      <c r="I361" s="30">
        <f t="shared" si="348"/>
        <v>5000</v>
      </c>
      <c r="J361" s="8">
        <v>25000</v>
      </c>
      <c r="K361" s="30">
        <f t="shared" si="349"/>
        <v>5000</v>
      </c>
      <c r="L361" s="8">
        <v>25000</v>
      </c>
      <c r="M361" s="9">
        <f>VLOOKUP(DATE(YEAR(A361),MONTH(A361),DAY(A361)),FY24_Temp[],4,FALSE)</f>
        <v>8.4</v>
      </c>
      <c r="N361" s="9">
        <f>VLOOKUP(DATE(YEAR(A361),MONTH(A361),DAY(A361)),FY24_Temp[],3,FALSE)</f>
        <v>12.8</v>
      </c>
      <c r="O361" s="9">
        <v>13</v>
      </c>
      <c r="P361" s="9">
        <v>19.5</v>
      </c>
      <c r="Q361" s="79">
        <f>VLOOKUP(VLOOKUP(DATEVALUE(TEXT(A361,"m/d/yyyy")),FY24_Temp[],5,FALSE)&amp;TEXT(A361,"-h"),Table6[],4,FALSE)</f>
        <v>0.5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VLOOKUP(TEXT(A361,"yy-mm")&amp;"-"&amp;IF(AND(WEEKDAY(A361)&gt;1,WEEKDAY(A361)&lt;7),"Wkd",TEXT(A361,"Ddd"))&amp;"-"&amp;TEXT(A361,"hh"),LoadTable[],5,FALSE)*0.92</f>
        <v>418.75640000000004</v>
      </c>
      <c r="U361" s="104">
        <f>VLOOKUP(TEXT(A361,"yy-mm")&amp;"-"&amp;IF(AND(WEEKDAY(A361)&gt;1,WEEKDAY(A361)&lt;7),"Wkd",TEXT(A361,"Ddd"))&amp;"-"&amp;TEXT(A361,"hh"),LoadTable[],6,FALSE)*T361</f>
        <v>25450.757722800005</v>
      </c>
      <c r="V361">
        <f t="shared" ref="V361:W361" si="363">V337</f>
        <v>2.9</v>
      </c>
      <c r="W361">
        <f t="shared" si="363"/>
        <v>3.1</v>
      </c>
      <c r="X361" s="9">
        <v>2.9536166000000001</v>
      </c>
    </row>
    <row r="362" spans="1:24">
      <c r="A362" s="29">
        <f t="shared" si="322"/>
        <v>45850.958333332463</v>
      </c>
      <c r="B362" s="30">
        <f t="shared" si="346"/>
        <v>5000</v>
      </c>
      <c r="C362" s="8">
        <v>25000</v>
      </c>
      <c r="D362" s="8">
        <v>0</v>
      </c>
      <c r="E362" s="8">
        <v>0</v>
      </c>
      <c r="F362" s="8">
        <v>0</v>
      </c>
      <c r="G362" s="30">
        <f t="shared" si="347"/>
        <v>2400</v>
      </c>
      <c r="H362" s="8">
        <v>25000</v>
      </c>
      <c r="I362" s="30">
        <f t="shared" si="348"/>
        <v>5000</v>
      </c>
      <c r="J362" s="8">
        <v>25000</v>
      </c>
      <c r="K362" s="30">
        <f t="shared" si="349"/>
        <v>5000</v>
      </c>
      <c r="L362" s="8">
        <v>25000</v>
      </c>
      <c r="M362" s="9">
        <f>VLOOKUP(DATE(YEAR(A362),MONTH(A362),DAY(A362)),FY24_Temp[],4,FALSE)</f>
        <v>8.4</v>
      </c>
      <c r="N362" s="9">
        <f>VLOOKUP(DATE(YEAR(A362),MONTH(A362),DAY(A362)),FY24_Temp[],3,FALSE)</f>
        <v>12.8</v>
      </c>
      <c r="O362" s="9">
        <v>13</v>
      </c>
      <c r="P362" s="9">
        <v>19.5</v>
      </c>
      <c r="Q362" s="79">
        <f>VLOOKUP(VLOOKUP(DATEVALUE(TEXT(A362,"m/d/yyyy")),FY24_Temp[],5,FALSE)&amp;TEXT(A362,"-h"),Table6[],4,FALSE)</f>
        <v>0.5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VLOOKUP(TEXT(A362,"yy-mm")&amp;"-"&amp;IF(AND(WEEKDAY(A362)&gt;1,WEEKDAY(A362)&lt;7),"Wkd",TEXT(A362,"Ddd"))&amp;"-"&amp;TEXT(A362,"hh"),LoadTable[],5,FALSE)*0.92</f>
        <v>342.93920000000003</v>
      </c>
      <c r="U362" s="104">
        <f>VLOOKUP(TEXT(A362,"yy-mm")&amp;"-"&amp;IF(AND(WEEKDAY(A362)&gt;1,WEEKDAY(A362)&lt;7),"Wkd",TEXT(A362,"Ddd"))&amp;"-"&amp;TEXT(A362,"hh"),LoadTable[],6,FALSE)*T362</f>
        <v>19353.430812800001</v>
      </c>
      <c r="V362">
        <f t="shared" ref="V362:W362" si="364">V338</f>
        <v>3.6</v>
      </c>
      <c r="W362">
        <f t="shared" si="364"/>
        <v>3.1</v>
      </c>
      <c r="X362" s="9">
        <v>2.8617743999999998</v>
      </c>
    </row>
    <row r="363" spans="1:24">
      <c r="A363" s="29">
        <f t="shared" si="322"/>
        <v>45850.999999999127</v>
      </c>
      <c r="B363" s="30">
        <f t="shared" si="346"/>
        <v>5000</v>
      </c>
      <c r="C363" s="8">
        <v>25000</v>
      </c>
      <c r="D363" s="8">
        <v>0</v>
      </c>
      <c r="E363" s="8">
        <v>0</v>
      </c>
      <c r="F363" s="8">
        <v>0</v>
      </c>
      <c r="G363" s="30">
        <f t="shared" si="347"/>
        <v>2400</v>
      </c>
      <c r="H363" s="8">
        <v>25000</v>
      </c>
      <c r="I363" s="30">
        <f t="shared" si="348"/>
        <v>5000</v>
      </c>
      <c r="J363" s="8">
        <v>25000</v>
      </c>
      <c r="K363" s="30">
        <f t="shared" si="349"/>
        <v>5000</v>
      </c>
      <c r="L363" s="8">
        <v>25000</v>
      </c>
      <c r="M363" s="9">
        <f>VLOOKUP(DATE(YEAR(A363),MONTH(A363),DAY(A363)),FY24_Temp[],4,FALSE)</f>
        <v>8.4</v>
      </c>
      <c r="N363" s="9">
        <f>VLOOKUP(DATE(YEAR(A363),MONTH(A363),DAY(A363)),FY24_Temp[],3,FALSE)</f>
        <v>12.8</v>
      </c>
      <c r="O363" s="9">
        <v>13</v>
      </c>
      <c r="P363" s="9">
        <v>19.5</v>
      </c>
      <c r="Q363" s="79">
        <f>VLOOKUP(VLOOKUP(DATEVALUE(TEXT(A363,"m/d/yyyy")),FY24_Temp[],5,FALSE)&amp;TEXT(A363,"-h"),Table6[],4,FALSE)</f>
        <v>0.5</v>
      </c>
      <c r="R363">
        <v>10</v>
      </c>
      <c r="S363">
        <v>1000</v>
      </c>
      <c r="T363" s="5">
        <f>VLOOKUP(TEXT(A363,"yy-mm")&amp;"-"&amp;IF(AND(WEEKDAY(A363)&gt;1,WEEKDAY(A363)&lt;7),"Wkd",TEXT(A363,"Ddd"))&amp;"-"&amp;TEXT(A363,"hh"),LoadTable[],5,FALSE)*0.92</f>
        <v>279.25312000000002</v>
      </c>
      <c r="U363" s="104">
        <f>VLOOKUP(TEXT(A363,"yy-mm")&amp;"-"&amp;IF(AND(WEEKDAY(A363)&gt;1,WEEKDAY(A363)&lt;7),"Wkd",TEXT(A363,"Ddd"))&amp;"-"&amp;TEXT(A363,"hh"),LoadTable[],6,FALSE)*T363</f>
        <v>13653.802049280001</v>
      </c>
      <c r="V363">
        <f t="shared" ref="V363:W363" si="365">V339</f>
        <v>3</v>
      </c>
      <c r="W363">
        <f t="shared" si="365"/>
        <v>3.2</v>
      </c>
      <c r="X363" s="9">
        <v>2.7708216000000001</v>
      </c>
    </row>
    <row r="364" spans="1:24">
      <c r="A364" s="29">
        <f t="shared" si="322"/>
        <v>45851.041666665791</v>
      </c>
      <c r="B364" s="30">
        <f t="shared" si="346"/>
        <v>5000</v>
      </c>
      <c r="C364" s="8">
        <v>25000</v>
      </c>
      <c r="D364" s="8">
        <v>0</v>
      </c>
      <c r="E364" s="8">
        <v>0</v>
      </c>
      <c r="F364" s="8">
        <v>0</v>
      </c>
      <c r="G364" s="30">
        <f t="shared" si="347"/>
        <v>2400</v>
      </c>
      <c r="H364" s="8">
        <v>25000</v>
      </c>
      <c r="I364" s="30">
        <f t="shared" si="348"/>
        <v>5000</v>
      </c>
      <c r="J364" s="8">
        <v>25000</v>
      </c>
      <c r="K364" s="30">
        <f t="shared" si="349"/>
        <v>5000</v>
      </c>
      <c r="L364" s="8">
        <v>25000</v>
      </c>
      <c r="M364" s="9">
        <f>VLOOKUP(DATE(YEAR(A364),MONTH(A364),DAY(A364)),FY24_Temp[],4,FALSE)</f>
        <v>8.4</v>
      </c>
      <c r="N364" s="9">
        <f>VLOOKUP(DATE(YEAR(A364),MONTH(A364),DAY(A364)),FY24_Temp[],3,FALSE)</f>
        <v>12.8</v>
      </c>
      <c r="O364" s="9">
        <v>13</v>
      </c>
      <c r="P364" s="9">
        <v>19.5</v>
      </c>
      <c r="Q364" s="79">
        <f>VLOOKUP(VLOOKUP(DATEVALUE(TEXT(A364,"m/d/yyyy")),FY24_Temp[],5,FALSE)&amp;TEXT(A364,"-h"),Table6[],4,FALSE)</f>
        <v>0.5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VLOOKUP(TEXT(A364,"yy-mm")&amp;"-"&amp;IF(AND(WEEKDAY(A364)&gt;1,WEEKDAY(A364)&lt;7),"Wkd",TEXT(A364,"Ddd"))&amp;"-"&amp;TEXT(A364,"hh"),LoadTable[],5,FALSE)*0.92</f>
        <v>279.25312000000002</v>
      </c>
      <c r="U364" s="104">
        <f>VLOOKUP(TEXT(A364,"yy-mm")&amp;"-"&amp;IF(AND(WEEKDAY(A364)&gt;1,WEEKDAY(A364)&lt;7),"Wkd",TEXT(A364,"Ddd"))&amp;"-"&amp;TEXT(A364,"hh"),LoadTable[],6,FALSE)*T364</f>
        <v>13616.102878080001</v>
      </c>
      <c r="V364">
        <f t="shared" ref="V364:W364" si="366">V340</f>
        <v>2.6</v>
      </c>
      <c r="W364">
        <f t="shared" si="366"/>
        <v>3.2</v>
      </c>
      <c r="X364" s="9">
        <v>2.7003746</v>
      </c>
    </row>
    <row r="365" spans="1:24">
      <c r="A365" s="29">
        <f t="shared" si="322"/>
        <v>45851.083333332455</v>
      </c>
      <c r="B365" s="30">
        <f t="shared" si="346"/>
        <v>5000</v>
      </c>
      <c r="C365" s="8">
        <v>25000</v>
      </c>
      <c r="D365" s="8">
        <v>0</v>
      </c>
      <c r="E365" s="8">
        <v>0</v>
      </c>
      <c r="F365" s="8">
        <v>0</v>
      </c>
      <c r="G365" s="30">
        <f t="shared" si="347"/>
        <v>2400</v>
      </c>
      <c r="H365" s="8">
        <v>25000</v>
      </c>
      <c r="I365" s="30">
        <f t="shared" si="348"/>
        <v>5000</v>
      </c>
      <c r="J365" s="8">
        <v>25000</v>
      </c>
      <c r="K365" s="30">
        <f t="shared" si="349"/>
        <v>5000</v>
      </c>
      <c r="L365" s="8">
        <v>25000</v>
      </c>
      <c r="M365" s="9">
        <f>VLOOKUP(DATE(YEAR(A365),MONTH(A365),DAY(A365)),FY24_Temp[],4,FALSE)</f>
        <v>8.4</v>
      </c>
      <c r="N365" s="9">
        <f>VLOOKUP(DATE(YEAR(A365),MONTH(A365),DAY(A365)),FY24_Temp[],3,FALSE)</f>
        <v>12.8</v>
      </c>
      <c r="O365" s="9">
        <v>13</v>
      </c>
      <c r="P365" s="9">
        <v>19.5</v>
      </c>
      <c r="Q365" s="79">
        <f>VLOOKUP(VLOOKUP(DATEVALUE(TEXT(A365,"m/d/yyyy")),FY24_Temp[],5,FALSE)&amp;TEXT(A365,"-h"),Table6[],4,FALSE)</f>
        <v>0.5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VLOOKUP(TEXT(A365,"yy-mm")&amp;"-"&amp;IF(AND(WEEKDAY(A365)&gt;1,WEEKDAY(A365)&lt;7),"Wkd",TEXT(A365,"Ddd"))&amp;"-"&amp;TEXT(A365,"hh"),LoadTable[],5,FALSE)*0.92</f>
        <v>279.25312000000002</v>
      </c>
      <c r="U365" s="104">
        <f>VLOOKUP(TEXT(A365,"yy-mm")&amp;"-"&amp;IF(AND(WEEKDAY(A365)&gt;1,WEEKDAY(A365)&lt;7),"Wkd",TEXT(A365,"Ddd"))&amp;"-"&amp;TEXT(A365,"hh"),LoadTable[],6,FALSE)*T365</f>
        <v>13493.510758400002</v>
      </c>
      <c r="V365">
        <f t="shared" ref="V365:W365" si="367">V341</f>
        <v>2.8</v>
      </c>
      <c r="W365">
        <f t="shared" si="367"/>
        <v>3.2</v>
      </c>
      <c r="X365" s="9">
        <v>2.7808714000000001</v>
      </c>
    </row>
    <row r="366" spans="1:24">
      <c r="A366" s="29">
        <f t="shared" si="322"/>
        <v>45851.12499999912</v>
      </c>
      <c r="B366" s="30">
        <f t="shared" si="346"/>
        <v>5000</v>
      </c>
      <c r="C366" s="8">
        <v>25000</v>
      </c>
      <c r="D366" s="8">
        <v>0</v>
      </c>
      <c r="E366" s="8">
        <v>0</v>
      </c>
      <c r="F366" s="8">
        <v>0</v>
      </c>
      <c r="G366" s="30">
        <f t="shared" si="347"/>
        <v>2400</v>
      </c>
      <c r="H366" s="8">
        <v>25000</v>
      </c>
      <c r="I366" s="30">
        <f t="shared" si="348"/>
        <v>5000</v>
      </c>
      <c r="J366" s="8">
        <v>25000</v>
      </c>
      <c r="K366" s="30">
        <f t="shared" si="349"/>
        <v>5000</v>
      </c>
      <c r="L366" s="8">
        <v>25000</v>
      </c>
      <c r="M366" s="9">
        <f>VLOOKUP(DATE(YEAR(A366),MONTH(A366),DAY(A366)),FY24_Temp[],4,FALSE)</f>
        <v>8.4</v>
      </c>
      <c r="N366" s="9">
        <f>VLOOKUP(DATE(YEAR(A366),MONTH(A366),DAY(A366)),FY24_Temp[],3,FALSE)</f>
        <v>12.8</v>
      </c>
      <c r="O366" s="9">
        <v>13</v>
      </c>
      <c r="P366" s="9">
        <v>19.5</v>
      </c>
      <c r="Q366" s="79">
        <f>VLOOKUP(VLOOKUP(DATEVALUE(TEXT(A366,"m/d/yyyy")),FY24_Temp[],5,FALSE)&amp;TEXT(A366,"-h"),Table6[],4,FALSE)</f>
        <v>0.5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VLOOKUP(TEXT(A366,"yy-mm")&amp;"-"&amp;IF(AND(WEEKDAY(A366)&gt;1,WEEKDAY(A366)&lt;7),"Wkd",TEXT(A366,"Ddd"))&amp;"-"&amp;TEXT(A366,"hh"),LoadTable[],5,FALSE)*0.92</f>
        <v>279.25312000000002</v>
      </c>
      <c r="U366" s="104">
        <f>VLOOKUP(TEXT(A366,"yy-mm")&amp;"-"&amp;IF(AND(WEEKDAY(A366)&gt;1,WEEKDAY(A366)&lt;7),"Wkd",TEXT(A366,"Ddd"))&amp;"-"&amp;TEXT(A366,"hh"),LoadTable[],6,FALSE)*T366</f>
        <v>13424.255984640002</v>
      </c>
      <c r="V366">
        <f t="shared" ref="V366:W366" si="368">V342</f>
        <v>2.7</v>
      </c>
      <c r="W366">
        <f t="shared" si="368"/>
        <v>3.2</v>
      </c>
      <c r="X366" s="9">
        <v>2.8494921</v>
      </c>
    </row>
    <row r="367" spans="1:24">
      <c r="A367" s="29">
        <f t="shared" si="322"/>
        <v>45851.166666665784</v>
      </c>
      <c r="B367" s="30">
        <f t="shared" si="346"/>
        <v>5000</v>
      </c>
      <c r="C367" s="8">
        <v>25000</v>
      </c>
      <c r="D367" s="8">
        <v>0</v>
      </c>
      <c r="E367" s="8">
        <v>0</v>
      </c>
      <c r="F367" s="8">
        <v>0</v>
      </c>
      <c r="G367" s="30">
        <f t="shared" si="347"/>
        <v>2400</v>
      </c>
      <c r="H367" s="8">
        <v>25000</v>
      </c>
      <c r="I367" s="30">
        <f t="shared" si="348"/>
        <v>5000</v>
      </c>
      <c r="J367" s="8">
        <v>25000</v>
      </c>
      <c r="K367" s="30">
        <f t="shared" si="349"/>
        <v>5000</v>
      </c>
      <c r="L367" s="8">
        <v>25000</v>
      </c>
      <c r="M367" s="9">
        <f>VLOOKUP(DATE(YEAR(A367),MONTH(A367),DAY(A367)),FY24_Temp[],4,FALSE)</f>
        <v>8.4</v>
      </c>
      <c r="N367" s="9">
        <f>VLOOKUP(DATE(YEAR(A367),MONTH(A367),DAY(A367)),FY24_Temp[],3,FALSE)</f>
        <v>12.8</v>
      </c>
      <c r="O367" s="9">
        <v>13</v>
      </c>
      <c r="P367" s="9">
        <v>19.5</v>
      </c>
      <c r="Q367" s="79">
        <f>VLOOKUP(VLOOKUP(DATEVALUE(TEXT(A367,"m/d/yyyy")),FY24_Temp[],5,FALSE)&amp;TEXT(A367,"-h"),Table6[],4,FALSE)</f>
        <v>0.5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VLOOKUP(TEXT(A367,"yy-mm")&amp;"-"&amp;IF(AND(WEEKDAY(A367)&gt;1,WEEKDAY(A367)&lt;7),"Wkd",TEXT(A367,"Ddd"))&amp;"-"&amp;TEXT(A367,"hh"),LoadTable[],5,FALSE)*0.92</f>
        <v>279.25312000000002</v>
      </c>
      <c r="U367" s="104">
        <f>VLOOKUP(TEXT(A367,"yy-mm")&amp;"-"&amp;IF(AND(WEEKDAY(A367)&gt;1,WEEKDAY(A367)&lt;7),"Wkd",TEXT(A367,"Ddd"))&amp;"-"&amp;TEXT(A367,"hh"),LoadTable[],6,FALSE)*T367</f>
        <v>13538.470510720002</v>
      </c>
      <c r="V367">
        <f t="shared" ref="V367:W367" si="369">V343</f>
        <v>3</v>
      </c>
      <c r="W367">
        <f t="shared" si="369"/>
        <v>3.1</v>
      </c>
      <c r="X367" s="9">
        <v>2.8845282000000001</v>
      </c>
    </row>
    <row r="368" spans="1:24">
      <c r="A368" s="29">
        <f t="shared" si="322"/>
        <v>45851.208333332448</v>
      </c>
      <c r="B368" s="30">
        <f t="shared" si="346"/>
        <v>5000</v>
      </c>
      <c r="C368" s="8">
        <v>25000</v>
      </c>
      <c r="D368" s="8">
        <v>0</v>
      </c>
      <c r="E368" s="8">
        <v>0</v>
      </c>
      <c r="F368" s="8">
        <v>0</v>
      </c>
      <c r="G368" s="30">
        <f t="shared" si="347"/>
        <v>2400</v>
      </c>
      <c r="H368" s="8">
        <v>25000</v>
      </c>
      <c r="I368" s="30">
        <f t="shared" si="348"/>
        <v>5000</v>
      </c>
      <c r="J368" s="8">
        <v>25000</v>
      </c>
      <c r="K368" s="30">
        <f t="shared" si="349"/>
        <v>5000</v>
      </c>
      <c r="L368" s="8">
        <v>25000</v>
      </c>
      <c r="M368" s="9">
        <f>VLOOKUP(DATE(YEAR(A368),MONTH(A368),DAY(A368)),FY24_Temp[],4,FALSE)</f>
        <v>8.4</v>
      </c>
      <c r="N368" s="9">
        <f>VLOOKUP(DATE(YEAR(A368),MONTH(A368),DAY(A368)),FY24_Temp[],3,FALSE)</f>
        <v>12.8</v>
      </c>
      <c r="O368" s="9">
        <v>13</v>
      </c>
      <c r="P368" s="9">
        <v>19.5</v>
      </c>
      <c r="Q368" s="79">
        <f>VLOOKUP(VLOOKUP(DATEVALUE(TEXT(A368,"m/d/yyyy")),FY24_Temp[],5,FALSE)&amp;TEXT(A368,"-h"),Table6[],4,FALSE)</f>
        <v>0.5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VLOOKUP(TEXT(A368,"yy-mm")&amp;"-"&amp;IF(AND(WEEKDAY(A368)&gt;1,WEEKDAY(A368)&lt;7),"Wkd",TEXT(A368,"Ddd"))&amp;"-"&amp;TEXT(A368,"hh"),LoadTable[],5,FALSE)*0.92</f>
        <v>279.25312000000002</v>
      </c>
      <c r="U368" s="104">
        <f>VLOOKUP(TEXT(A368,"yy-mm")&amp;"-"&amp;IF(AND(WEEKDAY(A368)&gt;1,WEEKDAY(A368)&lt;7),"Wkd",TEXT(A368,"Ddd"))&amp;"-"&amp;TEXT(A368,"hh"),LoadTable[],6,FALSE)*T368</f>
        <v>13637.605368320001</v>
      </c>
      <c r="V368">
        <f t="shared" ref="V368:W368" si="370">V344</f>
        <v>2.9</v>
      </c>
      <c r="W368">
        <f t="shared" si="370"/>
        <v>3.1</v>
      </c>
      <c r="X368" s="9">
        <v>2.9651892000000002</v>
      </c>
    </row>
    <row r="369" spans="1:24">
      <c r="A369" s="29">
        <f t="shared" si="322"/>
        <v>45851.249999999112</v>
      </c>
      <c r="B369" s="30">
        <f t="shared" si="346"/>
        <v>8000</v>
      </c>
      <c r="C369" s="8">
        <v>25000</v>
      </c>
      <c r="D369" s="8">
        <v>0</v>
      </c>
      <c r="E369" s="8">
        <v>0</v>
      </c>
      <c r="F369" s="8">
        <v>0</v>
      </c>
      <c r="G369" s="30">
        <f t="shared" si="347"/>
        <v>2400</v>
      </c>
      <c r="H369" s="8">
        <v>25000</v>
      </c>
      <c r="I369" s="30">
        <f t="shared" si="348"/>
        <v>8000</v>
      </c>
      <c r="J369" s="8">
        <v>25000</v>
      </c>
      <c r="K369" s="30">
        <f t="shared" si="349"/>
        <v>8000</v>
      </c>
      <c r="L369" s="8">
        <v>25000</v>
      </c>
      <c r="M369" s="9">
        <f>VLOOKUP(DATE(YEAR(A369),MONTH(A369),DAY(A369)),FY24_Temp[],4,FALSE)</f>
        <v>8.4</v>
      </c>
      <c r="N369" s="9">
        <f>VLOOKUP(DATE(YEAR(A369),MONTH(A369),DAY(A369)),FY24_Temp[],3,FALSE)</f>
        <v>12.8</v>
      </c>
      <c r="O369" s="9">
        <v>13</v>
      </c>
      <c r="P369" s="9">
        <v>19.5</v>
      </c>
      <c r="Q369" s="79">
        <f>VLOOKUP(VLOOKUP(DATEVALUE(TEXT(A369,"m/d/yyyy")),FY24_Temp[],5,FALSE)&amp;TEXT(A369,"-h"),Table6[],4,FALSE)</f>
        <v>0.5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VLOOKUP(TEXT(A369,"yy-mm")&amp;"-"&amp;IF(AND(WEEKDAY(A369)&gt;1,WEEKDAY(A369)&lt;7),"Wkd",TEXT(A369,"Ddd"))&amp;"-"&amp;TEXT(A369,"hh"),LoadTable[],5,FALSE)*0.92</f>
        <v>279.25312000000002</v>
      </c>
      <c r="U369" s="104">
        <f>VLOOKUP(TEXT(A369,"yy-mm")&amp;"-"&amp;IF(AND(WEEKDAY(A369)&gt;1,WEEKDAY(A369)&lt;7),"Wkd",TEXT(A369,"Ddd"))&amp;"-"&amp;TEXT(A369,"hh"),LoadTable[],6,FALSE)*T369</f>
        <v>15015.99876864</v>
      </c>
      <c r="V369">
        <f t="shared" ref="V369:W369" si="371">V345</f>
        <v>2.5</v>
      </c>
      <c r="W369">
        <f t="shared" si="371"/>
        <v>3.1</v>
      </c>
      <c r="X369" s="9">
        <v>3.0924415999999999</v>
      </c>
    </row>
    <row r="370" spans="1:24">
      <c r="A370" s="29">
        <f t="shared" si="322"/>
        <v>45851.291666665777</v>
      </c>
      <c r="B370" s="30">
        <f t="shared" si="346"/>
        <v>8000</v>
      </c>
      <c r="C370" s="8">
        <v>25000</v>
      </c>
      <c r="D370" s="8">
        <v>0</v>
      </c>
      <c r="E370" s="8">
        <v>0</v>
      </c>
      <c r="F370" s="8">
        <v>0</v>
      </c>
      <c r="G370" s="30">
        <f t="shared" si="347"/>
        <v>2400</v>
      </c>
      <c r="H370" s="8">
        <v>25000</v>
      </c>
      <c r="I370" s="30">
        <f t="shared" si="348"/>
        <v>8000</v>
      </c>
      <c r="J370" s="8">
        <v>25000</v>
      </c>
      <c r="K370" s="30">
        <f t="shared" si="349"/>
        <v>8000</v>
      </c>
      <c r="L370" s="8">
        <v>25000</v>
      </c>
      <c r="M370" s="9">
        <f>VLOOKUP(DATE(YEAR(A370),MONTH(A370),DAY(A370)),FY24_Temp[],4,FALSE)</f>
        <v>8.4</v>
      </c>
      <c r="N370" s="9">
        <f>VLOOKUP(DATE(YEAR(A370),MONTH(A370),DAY(A370)),FY24_Temp[],3,FALSE)</f>
        <v>12.8</v>
      </c>
      <c r="O370" s="9">
        <v>13</v>
      </c>
      <c r="P370" s="9">
        <v>19.5</v>
      </c>
      <c r="Q370" s="79">
        <f>VLOOKUP(VLOOKUP(DATEVALUE(TEXT(A370,"m/d/yyyy")),FY24_Temp[],5,FALSE)&amp;TEXT(A370,"-h"),Table6[],4,FALSE)</f>
        <v>0.5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VLOOKUP(TEXT(A370,"yy-mm")&amp;"-"&amp;IF(AND(WEEKDAY(A370)&gt;1,WEEKDAY(A370)&lt;7),"Wkd",TEXT(A370,"Ddd"))&amp;"-"&amp;TEXT(A370,"hh"),LoadTable[],5,FALSE)*0.92</f>
        <v>279.25312000000002</v>
      </c>
      <c r="U370" s="104">
        <f>VLOOKUP(TEXT(A370,"yy-mm")&amp;"-"&amp;IF(AND(WEEKDAY(A370)&gt;1,WEEKDAY(A370)&lt;7),"Wkd",TEXT(A370,"Ddd"))&amp;"-"&amp;TEXT(A370,"hh"),LoadTable[],6,FALSE)*T370</f>
        <v>13166.505354880001</v>
      </c>
      <c r="V370">
        <f t="shared" ref="V370:W370" si="372">V346</f>
        <v>2.5</v>
      </c>
      <c r="W370">
        <f t="shared" si="372"/>
        <v>3.1</v>
      </c>
      <c r="X370" s="9">
        <v>3.2397567999999999</v>
      </c>
    </row>
    <row r="371" spans="1:24">
      <c r="A371" s="29">
        <f t="shared" si="322"/>
        <v>45851.333333332441</v>
      </c>
      <c r="B371" s="30">
        <f t="shared" si="346"/>
        <v>8000</v>
      </c>
      <c r="C371" s="8">
        <v>25000</v>
      </c>
      <c r="D371" s="8">
        <v>0</v>
      </c>
      <c r="E371" s="8">
        <v>0</v>
      </c>
      <c r="F371" s="8">
        <v>0</v>
      </c>
      <c r="G371" s="30">
        <f t="shared" si="347"/>
        <v>2400</v>
      </c>
      <c r="H371" s="8">
        <v>25000</v>
      </c>
      <c r="I371" s="30">
        <f t="shared" si="348"/>
        <v>8000</v>
      </c>
      <c r="J371" s="8">
        <v>25000</v>
      </c>
      <c r="K371" s="30">
        <f t="shared" si="349"/>
        <v>8000</v>
      </c>
      <c r="L371" s="8">
        <v>25000</v>
      </c>
      <c r="M371" s="9">
        <f>VLOOKUP(DATE(YEAR(A371),MONTH(A371),DAY(A371)),FY24_Temp[],4,FALSE)</f>
        <v>8.4</v>
      </c>
      <c r="N371" s="9">
        <f>VLOOKUP(DATE(YEAR(A371),MONTH(A371),DAY(A371)),FY24_Temp[],3,FALSE)</f>
        <v>12.8</v>
      </c>
      <c r="O371" s="9">
        <v>13</v>
      </c>
      <c r="P371" s="9">
        <v>19.5</v>
      </c>
      <c r="Q371" s="79">
        <f>VLOOKUP(VLOOKUP(DATEVALUE(TEXT(A371,"m/d/yyyy")),FY24_Temp[],5,FALSE)&amp;TEXT(A371,"-h"),Table6[],4,FALSE)</f>
        <v>0.5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VLOOKUP(TEXT(A371,"yy-mm")&amp;"-"&amp;IF(AND(WEEKDAY(A371)&gt;1,WEEKDAY(A371)&lt;7),"Wkd",TEXT(A371,"Ddd"))&amp;"-"&amp;TEXT(A371,"hh"),LoadTable[],5,FALSE)*0.92</f>
        <v>279.25312000000002</v>
      </c>
      <c r="U371" s="104">
        <f>VLOOKUP(TEXT(A371,"yy-mm")&amp;"-"&amp;IF(AND(WEEKDAY(A371)&gt;1,WEEKDAY(A371)&lt;7),"Wkd",TEXT(A371,"Ddd"))&amp;"-"&amp;TEXT(A371,"hh"),LoadTable[],6,FALSE)*T371</f>
        <v>12889.20700672</v>
      </c>
      <c r="V371">
        <f t="shared" ref="V371:W371" si="373">V347</f>
        <v>3.2</v>
      </c>
      <c r="W371">
        <f t="shared" si="373"/>
        <v>3</v>
      </c>
      <c r="X371" s="9">
        <v>3.3043485000000001</v>
      </c>
    </row>
    <row r="372" spans="1:24">
      <c r="A372" s="29">
        <f t="shared" si="322"/>
        <v>45851.374999999105</v>
      </c>
      <c r="B372" s="30">
        <f t="shared" si="346"/>
        <v>8000</v>
      </c>
      <c r="C372" s="8">
        <v>25000</v>
      </c>
      <c r="D372" s="8">
        <v>0</v>
      </c>
      <c r="E372" s="8">
        <v>0</v>
      </c>
      <c r="F372" s="8">
        <v>0</v>
      </c>
      <c r="G372" s="30">
        <f t="shared" si="347"/>
        <v>2400</v>
      </c>
      <c r="H372" s="8">
        <v>25000</v>
      </c>
      <c r="I372" s="30">
        <f t="shared" si="348"/>
        <v>8000</v>
      </c>
      <c r="J372" s="8">
        <v>25000</v>
      </c>
      <c r="K372" s="30">
        <f t="shared" si="349"/>
        <v>8000</v>
      </c>
      <c r="L372" s="8">
        <v>25000</v>
      </c>
      <c r="M372" s="9">
        <f>VLOOKUP(DATE(YEAR(A372),MONTH(A372),DAY(A372)),FY24_Temp[],4,FALSE)</f>
        <v>8.4</v>
      </c>
      <c r="N372" s="9">
        <f>VLOOKUP(DATE(YEAR(A372),MONTH(A372),DAY(A372)),FY24_Temp[],3,FALSE)</f>
        <v>12.8</v>
      </c>
      <c r="O372" s="9">
        <v>13</v>
      </c>
      <c r="P372" s="9">
        <v>19.5</v>
      </c>
      <c r="Q372" s="79">
        <f>VLOOKUP(VLOOKUP(DATEVALUE(TEXT(A372,"m/d/yyyy")),FY24_Temp[],5,FALSE)&amp;TEXT(A372,"-h"),Table6[],4,FALSE)</f>
        <v>0.5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VLOOKUP(TEXT(A372,"yy-mm")&amp;"-"&amp;IF(AND(WEEKDAY(A372)&gt;1,WEEKDAY(A372)&lt;7),"Wkd",TEXT(A372,"Ddd"))&amp;"-"&amp;TEXT(A372,"hh"),LoadTable[],5,FALSE)*0.92</f>
        <v>279.25312000000002</v>
      </c>
      <c r="U372" s="104">
        <f>VLOOKUP(TEXT(A372,"yy-mm")&amp;"-"&amp;IF(AND(WEEKDAY(A372)&gt;1,WEEKDAY(A372)&lt;7),"Wkd",TEXT(A372,"Ddd"))&amp;"-"&amp;TEXT(A372,"hh"),LoadTable[],6,FALSE)*T372</f>
        <v>12852.904101120002</v>
      </c>
      <c r="V372">
        <f t="shared" ref="V372:W372" si="374">V348</f>
        <v>2.9</v>
      </c>
      <c r="W372">
        <f t="shared" si="374"/>
        <v>3</v>
      </c>
      <c r="X372" s="9">
        <v>3.3452565999999999</v>
      </c>
    </row>
    <row r="373" spans="1:24">
      <c r="A373" s="29">
        <f t="shared" si="322"/>
        <v>45851.416666665769</v>
      </c>
      <c r="B373" s="30">
        <f t="shared" si="346"/>
        <v>8000</v>
      </c>
      <c r="C373" s="8">
        <v>25000</v>
      </c>
      <c r="D373" s="8">
        <v>0</v>
      </c>
      <c r="E373" s="8">
        <v>0</v>
      </c>
      <c r="F373" s="8">
        <v>0</v>
      </c>
      <c r="G373" s="30">
        <f t="shared" si="347"/>
        <v>2400</v>
      </c>
      <c r="H373" s="8">
        <v>25000</v>
      </c>
      <c r="I373" s="30">
        <f t="shared" si="348"/>
        <v>8000</v>
      </c>
      <c r="J373" s="8">
        <v>25000</v>
      </c>
      <c r="K373" s="30">
        <f t="shared" si="349"/>
        <v>8000</v>
      </c>
      <c r="L373" s="8">
        <v>25000</v>
      </c>
      <c r="M373" s="9">
        <f>VLOOKUP(DATE(YEAR(A373),MONTH(A373),DAY(A373)),FY24_Temp[],4,FALSE)</f>
        <v>8.4</v>
      </c>
      <c r="N373" s="9">
        <f>VLOOKUP(DATE(YEAR(A373),MONTH(A373),DAY(A373)),FY24_Temp[],3,FALSE)</f>
        <v>12.8</v>
      </c>
      <c r="O373" s="9">
        <v>13</v>
      </c>
      <c r="P373" s="9">
        <v>19.5</v>
      </c>
      <c r="Q373" s="79">
        <f>VLOOKUP(VLOOKUP(DATEVALUE(TEXT(A373,"m/d/yyyy")),FY24_Temp[],5,FALSE)&amp;TEXT(A373,"-h"),Table6[],4,FALSE)</f>
        <v>0.5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VLOOKUP(TEXT(A373,"yy-mm")&amp;"-"&amp;IF(AND(WEEKDAY(A373)&gt;1,WEEKDAY(A373)&lt;7),"Wkd",TEXT(A373,"Ddd"))&amp;"-"&amp;TEXT(A373,"hh"),LoadTable[],5,FALSE)*0.92</f>
        <v>279.25312000000002</v>
      </c>
      <c r="U373" s="104">
        <f>VLOOKUP(TEXT(A373,"yy-mm")&amp;"-"&amp;IF(AND(WEEKDAY(A373)&gt;1,WEEKDAY(A373)&lt;7),"Wkd",TEXT(A373,"Ddd"))&amp;"-"&amp;TEXT(A373,"hh"),LoadTable[],6,FALSE)*T373</f>
        <v>12842.57173568</v>
      </c>
      <c r="V373">
        <f t="shared" ref="V373:W373" si="375">V349</f>
        <v>2.9</v>
      </c>
      <c r="W373">
        <f t="shared" si="375"/>
        <v>3</v>
      </c>
      <c r="X373" s="9">
        <v>3.4172028999999999</v>
      </c>
    </row>
    <row r="374" spans="1:24">
      <c r="A374" s="29">
        <f t="shared" si="322"/>
        <v>45851.458333332434</v>
      </c>
      <c r="B374" s="30">
        <f t="shared" si="346"/>
        <v>8000</v>
      </c>
      <c r="C374" s="8">
        <v>25000</v>
      </c>
      <c r="D374" s="8">
        <v>0</v>
      </c>
      <c r="E374" s="8">
        <v>0</v>
      </c>
      <c r="F374" s="8">
        <v>0</v>
      </c>
      <c r="G374" s="30">
        <f t="shared" si="347"/>
        <v>2400</v>
      </c>
      <c r="H374" s="8">
        <v>25000</v>
      </c>
      <c r="I374" s="30">
        <f t="shared" si="348"/>
        <v>8000</v>
      </c>
      <c r="J374" s="8">
        <v>25000</v>
      </c>
      <c r="K374" s="30">
        <f t="shared" si="349"/>
        <v>8000</v>
      </c>
      <c r="L374" s="8">
        <v>25000</v>
      </c>
      <c r="M374" s="9">
        <f>VLOOKUP(DATE(YEAR(A374),MONTH(A374),DAY(A374)),FY24_Temp[],4,FALSE)</f>
        <v>8.4</v>
      </c>
      <c r="N374" s="9">
        <f>VLOOKUP(DATE(YEAR(A374),MONTH(A374),DAY(A374)),FY24_Temp[],3,FALSE)</f>
        <v>12.8</v>
      </c>
      <c r="O374" s="9">
        <v>13</v>
      </c>
      <c r="P374" s="9">
        <v>19.5</v>
      </c>
      <c r="Q374" s="79">
        <f>VLOOKUP(VLOOKUP(DATEVALUE(TEXT(A374,"m/d/yyyy")),FY24_Temp[],5,FALSE)&amp;TEXT(A374,"-h"),Table6[],4,FALSE)</f>
        <v>0.5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VLOOKUP(TEXT(A374,"yy-mm")&amp;"-"&amp;IF(AND(WEEKDAY(A374)&gt;1,WEEKDAY(A374)&lt;7),"Wkd",TEXT(A374,"Ddd"))&amp;"-"&amp;TEXT(A374,"hh"),LoadTable[],5,FALSE)*0.92</f>
        <v>279.25312000000002</v>
      </c>
      <c r="U374" s="104">
        <f>VLOOKUP(TEXT(A374,"yy-mm")&amp;"-"&amp;IF(AND(WEEKDAY(A374)&gt;1,WEEKDAY(A374)&lt;7),"Wkd",TEXT(A374,"Ddd"))&amp;"-"&amp;TEXT(A374,"hh"),LoadTable[],6,FALSE)*T374</f>
        <v>12828.050573440001</v>
      </c>
      <c r="V374">
        <f t="shared" ref="V374:W374" si="376">V350</f>
        <v>3.4</v>
      </c>
      <c r="W374">
        <f t="shared" si="376"/>
        <v>3</v>
      </c>
      <c r="X374" s="9">
        <v>3.3668075000000002</v>
      </c>
    </row>
    <row r="375" spans="1:24">
      <c r="A375" s="29">
        <f t="shared" si="322"/>
        <v>45851.499999999098</v>
      </c>
      <c r="B375" s="30">
        <f t="shared" si="346"/>
        <v>8000</v>
      </c>
      <c r="C375" s="8">
        <v>25000</v>
      </c>
      <c r="D375" s="8">
        <v>0</v>
      </c>
      <c r="E375" s="8">
        <v>0</v>
      </c>
      <c r="F375" s="8">
        <v>0</v>
      </c>
      <c r="G375" s="30">
        <f t="shared" si="347"/>
        <v>2400</v>
      </c>
      <c r="H375" s="8">
        <v>25000</v>
      </c>
      <c r="I375" s="30">
        <f t="shared" si="348"/>
        <v>8000</v>
      </c>
      <c r="J375" s="8">
        <v>25000</v>
      </c>
      <c r="K375" s="30">
        <f t="shared" si="349"/>
        <v>8000</v>
      </c>
      <c r="L375" s="8">
        <v>25000</v>
      </c>
      <c r="M375" s="9">
        <f>VLOOKUP(DATE(YEAR(A375),MONTH(A375),DAY(A375)),FY24_Temp[],4,FALSE)</f>
        <v>8.4</v>
      </c>
      <c r="N375" s="9">
        <f>VLOOKUP(DATE(YEAR(A375),MONTH(A375),DAY(A375)),FY24_Temp[],3,FALSE)</f>
        <v>12.8</v>
      </c>
      <c r="O375" s="9">
        <v>13</v>
      </c>
      <c r="P375" s="9">
        <v>19.5</v>
      </c>
      <c r="Q375" s="79">
        <f>VLOOKUP(VLOOKUP(DATEVALUE(TEXT(A375,"m/d/yyyy")),FY24_Temp[],5,FALSE)&amp;TEXT(A375,"-h"),Table6[],4,FALSE)</f>
        <v>0.5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VLOOKUP(TEXT(A375,"yy-mm")&amp;"-"&amp;IF(AND(WEEKDAY(A375)&gt;1,WEEKDAY(A375)&lt;7),"Wkd",TEXT(A375,"Ddd"))&amp;"-"&amp;TEXT(A375,"hh"),LoadTable[],5,FALSE)*0.92</f>
        <v>279.25312000000002</v>
      </c>
      <c r="U375" s="104">
        <f>VLOOKUP(TEXT(A375,"yy-mm")&amp;"-"&amp;IF(AND(WEEKDAY(A375)&gt;1,WEEKDAY(A375)&lt;7),"Wkd",TEXT(A375,"Ddd"))&amp;"-"&amp;TEXT(A375,"hh"),LoadTable[],6,FALSE)*T375</f>
        <v>12824.141029760001</v>
      </c>
      <c r="V375">
        <f t="shared" ref="V375:W375" si="377">V351</f>
        <v>3.1</v>
      </c>
      <c r="W375">
        <f t="shared" si="377"/>
        <v>2.9</v>
      </c>
      <c r="X375" s="9">
        <v>3.2368073000000002</v>
      </c>
    </row>
    <row r="376" spans="1:24">
      <c r="A376" s="29">
        <f t="shared" si="322"/>
        <v>45851.541666665762</v>
      </c>
      <c r="B376" s="30">
        <f t="shared" si="346"/>
        <v>8000</v>
      </c>
      <c r="C376" s="8">
        <v>25000</v>
      </c>
      <c r="D376" s="8">
        <v>0</v>
      </c>
      <c r="E376" s="8">
        <v>0</v>
      </c>
      <c r="F376" s="8">
        <v>0</v>
      </c>
      <c r="G376" s="30">
        <f t="shared" si="347"/>
        <v>2400</v>
      </c>
      <c r="H376" s="8">
        <v>25000</v>
      </c>
      <c r="I376" s="30">
        <f t="shared" si="348"/>
        <v>8000</v>
      </c>
      <c r="J376" s="8">
        <v>25000</v>
      </c>
      <c r="K376" s="30">
        <f t="shared" si="349"/>
        <v>8000</v>
      </c>
      <c r="L376" s="8">
        <v>25000</v>
      </c>
      <c r="M376" s="9">
        <f>VLOOKUP(DATE(YEAR(A376),MONTH(A376),DAY(A376)),FY24_Temp[],4,FALSE)</f>
        <v>8.4</v>
      </c>
      <c r="N376" s="9">
        <f>VLOOKUP(DATE(YEAR(A376),MONTH(A376),DAY(A376)),FY24_Temp[],3,FALSE)</f>
        <v>12.8</v>
      </c>
      <c r="O376" s="9">
        <v>13</v>
      </c>
      <c r="P376" s="9">
        <v>19.5</v>
      </c>
      <c r="Q376" s="79">
        <f>VLOOKUP(VLOOKUP(DATEVALUE(TEXT(A376,"m/d/yyyy")),FY24_Temp[],5,FALSE)&amp;TEXT(A376,"-h"),Table6[],4,FALSE)</f>
        <v>0.5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VLOOKUP(TEXT(A376,"yy-mm")&amp;"-"&amp;IF(AND(WEEKDAY(A376)&gt;1,WEEKDAY(A376)&lt;7),"Wkd",TEXT(A376,"Ddd"))&amp;"-"&amp;TEXT(A376,"hh"),LoadTable[],5,FALSE)*0.92</f>
        <v>279.25312000000002</v>
      </c>
      <c r="U376" s="104">
        <f>VLOOKUP(TEXT(A376,"yy-mm")&amp;"-"&amp;IF(AND(WEEKDAY(A376)&gt;1,WEEKDAY(A376)&lt;7),"Wkd",TEXT(A376,"Ddd"))&amp;"-"&amp;TEXT(A376,"hh"),LoadTable[],6,FALSE)*T376</f>
        <v>12831.401610880001</v>
      </c>
      <c r="V376">
        <f t="shared" ref="V376:W376" si="378">V352</f>
        <v>3.2</v>
      </c>
      <c r="W376">
        <f t="shared" si="378"/>
        <v>2.9</v>
      </c>
      <c r="X376" s="9">
        <v>3.0514443</v>
      </c>
    </row>
    <row r="377" spans="1:24">
      <c r="A377" s="29">
        <f t="shared" si="322"/>
        <v>45851.583333332426</v>
      </c>
      <c r="B377" s="30">
        <f t="shared" si="346"/>
        <v>8000</v>
      </c>
      <c r="C377" s="8">
        <v>25000</v>
      </c>
      <c r="D377" s="8">
        <v>0</v>
      </c>
      <c r="E377" s="8">
        <v>0</v>
      </c>
      <c r="F377" s="8">
        <v>0</v>
      </c>
      <c r="G377" s="30">
        <f t="shared" si="347"/>
        <v>2400</v>
      </c>
      <c r="H377" s="8">
        <v>25000</v>
      </c>
      <c r="I377" s="30">
        <f t="shared" si="348"/>
        <v>8000</v>
      </c>
      <c r="J377" s="8">
        <v>25000</v>
      </c>
      <c r="K377" s="30">
        <f t="shared" si="349"/>
        <v>8000</v>
      </c>
      <c r="L377" s="8">
        <v>25000</v>
      </c>
      <c r="M377" s="9">
        <f>VLOOKUP(DATE(YEAR(A377),MONTH(A377),DAY(A377)),FY24_Temp[],4,FALSE)</f>
        <v>8.4</v>
      </c>
      <c r="N377" s="9">
        <f>VLOOKUP(DATE(YEAR(A377),MONTH(A377),DAY(A377)),FY24_Temp[],3,FALSE)</f>
        <v>12.8</v>
      </c>
      <c r="O377" s="9">
        <v>13</v>
      </c>
      <c r="P377" s="9">
        <v>19.5</v>
      </c>
      <c r="Q377" s="79">
        <f>VLOOKUP(VLOOKUP(DATEVALUE(TEXT(A377,"m/d/yyyy")),FY24_Temp[],5,FALSE)&amp;TEXT(A377,"-h"),Table6[],4,FALSE)</f>
        <v>0.5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VLOOKUP(TEXT(A377,"yy-mm")&amp;"-"&amp;IF(AND(WEEKDAY(A377)&gt;1,WEEKDAY(A377)&lt;7),"Wkd",TEXT(A377,"Ddd"))&amp;"-"&amp;TEXT(A377,"hh"),LoadTable[],5,FALSE)*0.92</f>
        <v>279.25312000000002</v>
      </c>
      <c r="U377" s="104">
        <f>VLOOKUP(TEXT(A377,"yy-mm")&amp;"-"&amp;IF(AND(WEEKDAY(A377)&gt;1,WEEKDAY(A377)&lt;7),"Wkd",TEXT(A377,"Ddd"))&amp;"-"&amp;TEXT(A377,"hh"),LoadTable[],6,FALSE)*T377</f>
        <v>12856.25513856</v>
      </c>
      <c r="V377">
        <f t="shared" ref="V377:W377" si="379">V353</f>
        <v>3.5</v>
      </c>
      <c r="W377">
        <f t="shared" si="379"/>
        <v>2.9</v>
      </c>
      <c r="X377" s="9">
        <v>3.0247153999999998</v>
      </c>
    </row>
    <row r="378" spans="1:24">
      <c r="A378" s="29">
        <f t="shared" si="322"/>
        <v>45851.624999999091</v>
      </c>
      <c r="B378" s="30">
        <f t="shared" si="346"/>
        <v>8000</v>
      </c>
      <c r="C378" s="8">
        <v>25000</v>
      </c>
      <c r="D378" s="8">
        <v>0</v>
      </c>
      <c r="E378" s="8">
        <v>0</v>
      </c>
      <c r="F378" s="8">
        <v>0</v>
      </c>
      <c r="G378" s="30">
        <f t="shared" si="347"/>
        <v>2400</v>
      </c>
      <c r="H378" s="8">
        <v>25000</v>
      </c>
      <c r="I378" s="30">
        <f t="shared" si="348"/>
        <v>8000</v>
      </c>
      <c r="J378" s="8">
        <v>25000</v>
      </c>
      <c r="K378" s="30">
        <f t="shared" si="349"/>
        <v>8000</v>
      </c>
      <c r="L378" s="8">
        <v>25000</v>
      </c>
      <c r="M378" s="9">
        <f>VLOOKUP(DATE(YEAR(A378),MONTH(A378),DAY(A378)),FY24_Temp[],4,FALSE)</f>
        <v>8.4</v>
      </c>
      <c r="N378" s="9">
        <f>VLOOKUP(DATE(YEAR(A378),MONTH(A378),DAY(A378)),FY24_Temp[],3,FALSE)</f>
        <v>12.8</v>
      </c>
      <c r="O378" s="9">
        <v>13</v>
      </c>
      <c r="P378" s="9">
        <v>19.5</v>
      </c>
      <c r="Q378" s="79">
        <f>VLOOKUP(VLOOKUP(DATEVALUE(TEXT(A378,"m/d/yyyy")),FY24_Temp[],5,FALSE)&amp;TEXT(A378,"-h"),Table6[],4,FALSE)</f>
        <v>0.5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VLOOKUP(TEXT(A378,"yy-mm")&amp;"-"&amp;IF(AND(WEEKDAY(A378)&gt;1,WEEKDAY(A378)&lt;7),"Wkd",TEXT(A378,"Ddd"))&amp;"-"&amp;TEXT(A378,"hh"),LoadTable[],5,FALSE)*0.92</f>
        <v>400.56064000000003</v>
      </c>
      <c r="U378" s="104">
        <f>VLOOKUP(TEXT(A378,"yy-mm")&amp;"-"&amp;IF(AND(WEEKDAY(A378)&gt;1,WEEKDAY(A378)&lt;7),"Wkd",TEXT(A378,"Ddd"))&amp;"-"&amp;TEXT(A378,"hh"),LoadTable[],6,FALSE)*T378</f>
        <v>18478.262883840001</v>
      </c>
      <c r="V378">
        <f t="shared" ref="V378:W378" si="380">V354</f>
        <v>3.2</v>
      </c>
      <c r="W378">
        <f t="shared" si="380"/>
        <v>2.9</v>
      </c>
      <c r="X378" s="9">
        <v>3.3615200999999999</v>
      </c>
    </row>
    <row r="379" spans="1:24">
      <c r="A379" s="29">
        <f t="shared" si="322"/>
        <v>45851.666666665755</v>
      </c>
      <c r="B379" s="30">
        <f t="shared" si="346"/>
        <v>8000</v>
      </c>
      <c r="C379" s="8">
        <v>25000</v>
      </c>
      <c r="D379" s="8">
        <v>0</v>
      </c>
      <c r="E379" s="8">
        <v>0</v>
      </c>
      <c r="F379" s="8">
        <v>0</v>
      </c>
      <c r="G379" s="30">
        <f t="shared" si="347"/>
        <v>2400</v>
      </c>
      <c r="H379" s="8">
        <v>25000</v>
      </c>
      <c r="I379" s="30">
        <f t="shared" si="348"/>
        <v>8000</v>
      </c>
      <c r="J379" s="8">
        <v>25000</v>
      </c>
      <c r="K379" s="30">
        <f t="shared" si="349"/>
        <v>8000</v>
      </c>
      <c r="L379" s="8">
        <v>25000</v>
      </c>
      <c r="M379" s="9">
        <f>VLOOKUP(DATE(YEAR(A379),MONTH(A379),DAY(A379)),FY24_Temp[],4,FALSE)</f>
        <v>8.4</v>
      </c>
      <c r="N379" s="9">
        <f>VLOOKUP(DATE(YEAR(A379),MONTH(A379),DAY(A379)),FY24_Temp[],3,FALSE)</f>
        <v>12.8</v>
      </c>
      <c r="O379" s="9">
        <v>13</v>
      </c>
      <c r="P379" s="9">
        <v>19.5</v>
      </c>
      <c r="Q379" s="79">
        <f>VLOOKUP(VLOOKUP(DATEVALUE(TEXT(A379,"m/d/yyyy")),FY24_Temp[],5,FALSE)&amp;TEXT(A379,"-h"),Table6[],4,FALSE)</f>
        <v>0.5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VLOOKUP(TEXT(A379,"yy-mm")&amp;"-"&amp;IF(AND(WEEKDAY(A379)&gt;1,WEEKDAY(A379)&lt;7),"Wkd",TEXT(A379,"Ddd"))&amp;"-"&amp;TEXT(A379,"hh"),LoadTable[],5,FALSE)*0.92</f>
        <v>473.62059999999997</v>
      </c>
      <c r="U379" s="104">
        <f>VLOOKUP(TEXT(A379,"yy-mm")&amp;"-"&amp;IF(AND(WEEKDAY(A379)&gt;1,WEEKDAY(A379)&lt;7),"Wkd",TEXT(A379,"Ddd"))&amp;"-"&amp;TEXT(A379,"hh"),LoadTable[],6,FALSE)*T379</f>
        <v>22424.040927599995</v>
      </c>
      <c r="V379">
        <f t="shared" ref="V379:W379" si="381">V355</f>
        <v>3.5</v>
      </c>
      <c r="W379">
        <f t="shared" si="381"/>
        <v>3</v>
      </c>
      <c r="X379" s="9">
        <v>3.2561054</v>
      </c>
    </row>
    <row r="380" spans="1:24">
      <c r="A380" s="29">
        <f t="shared" si="322"/>
        <v>45851.708333332419</v>
      </c>
      <c r="B380" s="30">
        <f t="shared" si="346"/>
        <v>8000</v>
      </c>
      <c r="C380" s="8">
        <v>25000</v>
      </c>
      <c r="D380" s="8">
        <v>0</v>
      </c>
      <c r="E380" s="8">
        <v>0</v>
      </c>
      <c r="F380" s="8">
        <v>0</v>
      </c>
      <c r="G380" s="30">
        <f t="shared" si="347"/>
        <v>2400</v>
      </c>
      <c r="H380" s="8">
        <v>25000</v>
      </c>
      <c r="I380" s="30">
        <f t="shared" si="348"/>
        <v>8000</v>
      </c>
      <c r="J380" s="8">
        <v>25000</v>
      </c>
      <c r="K380" s="30">
        <f t="shared" si="349"/>
        <v>8000</v>
      </c>
      <c r="L380" s="8">
        <v>25000</v>
      </c>
      <c r="M380" s="9">
        <f>VLOOKUP(DATE(YEAR(A380),MONTH(A380),DAY(A380)),FY24_Temp[],4,FALSE)</f>
        <v>8.4</v>
      </c>
      <c r="N380" s="9">
        <f>VLOOKUP(DATE(YEAR(A380),MONTH(A380),DAY(A380)),FY24_Temp[],3,FALSE)</f>
        <v>12.8</v>
      </c>
      <c r="O380" s="9">
        <v>13</v>
      </c>
      <c r="P380" s="9">
        <v>19.5</v>
      </c>
      <c r="Q380" s="79">
        <f>VLOOKUP(VLOOKUP(DATEVALUE(TEXT(A380,"m/d/yyyy")),FY24_Temp[],5,FALSE)&amp;TEXT(A380,"-h"),Table6[],4,FALSE)</f>
        <v>0.5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VLOOKUP(TEXT(A380,"yy-mm")&amp;"-"&amp;IF(AND(WEEKDAY(A380)&gt;1,WEEKDAY(A380)&lt;7),"Wkd",TEXT(A380,"Ddd"))&amp;"-"&amp;TEXT(A380,"hh"),LoadTable[],5,FALSE)*0.92</f>
        <v>473.62059999999997</v>
      </c>
      <c r="U380" s="104">
        <f>VLOOKUP(TEXT(A380,"yy-mm")&amp;"-"&amp;IF(AND(WEEKDAY(A380)&gt;1,WEEKDAY(A380)&lt;7),"Wkd",TEXT(A380,"Ddd"))&amp;"-"&amp;TEXT(A380,"hh"),LoadTable[],6,FALSE)*T380</f>
        <v>25901.363372799999</v>
      </c>
      <c r="V380">
        <f t="shared" ref="V380:W380" si="382">V356</f>
        <v>3.6</v>
      </c>
      <c r="W380">
        <f t="shared" si="382"/>
        <v>3</v>
      </c>
      <c r="X380" s="9">
        <v>3.1714692000000002</v>
      </c>
    </row>
    <row r="381" spans="1:24">
      <c r="A381" s="29">
        <f t="shared" si="322"/>
        <v>45851.749999999083</v>
      </c>
      <c r="B381" s="30">
        <f t="shared" si="346"/>
        <v>5000</v>
      </c>
      <c r="C381" s="8">
        <v>25000</v>
      </c>
      <c r="D381" s="8">
        <v>0</v>
      </c>
      <c r="E381" s="8">
        <v>0</v>
      </c>
      <c r="F381" s="8">
        <v>0</v>
      </c>
      <c r="G381" s="30">
        <f t="shared" si="347"/>
        <v>2400</v>
      </c>
      <c r="H381" s="8">
        <v>25000</v>
      </c>
      <c r="I381" s="30">
        <f t="shared" si="348"/>
        <v>5000</v>
      </c>
      <c r="J381" s="8">
        <v>25000</v>
      </c>
      <c r="K381" s="30">
        <f t="shared" si="349"/>
        <v>5000</v>
      </c>
      <c r="L381" s="8">
        <v>25000</v>
      </c>
      <c r="M381" s="9">
        <f>VLOOKUP(DATE(YEAR(A381),MONTH(A381),DAY(A381)),FY24_Temp[],4,FALSE)</f>
        <v>8.4</v>
      </c>
      <c r="N381" s="9">
        <f>VLOOKUP(DATE(YEAR(A381),MONTH(A381),DAY(A381)),FY24_Temp[],3,FALSE)</f>
        <v>12.8</v>
      </c>
      <c r="O381" s="9">
        <v>13</v>
      </c>
      <c r="P381" s="9">
        <v>19.5</v>
      </c>
      <c r="Q381" s="79">
        <f>VLOOKUP(VLOOKUP(DATEVALUE(TEXT(A381,"m/d/yyyy")),FY24_Temp[],5,FALSE)&amp;TEXT(A381,"-h"),Table6[],4,FALSE)</f>
        <v>0.5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VLOOKUP(TEXT(A381,"yy-mm")&amp;"-"&amp;IF(AND(WEEKDAY(A381)&gt;1,WEEKDAY(A381)&lt;7),"Wkd",TEXT(A381,"Ddd"))&amp;"-"&amp;TEXT(A381,"hh"),LoadTable[],5,FALSE)*0.92</f>
        <v>494.57360000000006</v>
      </c>
      <c r="U381" s="104">
        <f>VLOOKUP(TEXT(A381,"yy-mm")&amp;"-"&amp;IF(AND(WEEKDAY(A381)&gt;1,WEEKDAY(A381)&lt;7),"Wkd",TEXT(A381,"Ddd"))&amp;"-"&amp;TEXT(A381,"hh"),LoadTable[],6,FALSE)*T381</f>
        <v>34985.641890400009</v>
      </c>
      <c r="V381">
        <f t="shared" ref="V381:W381" si="383">V357</f>
        <v>2.9</v>
      </c>
      <c r="W381">
        <f t="shared" si="383"/>
        <v>3</v>
      </c>
      <c r="X381" s="9">
        <v>3.1544614000000002</v>
      </c>
    </row>
    <row r="382" spans="1:24">
      <c r="A382" s="29">
        <f t="shared" si="322"/>
        <v>45851.791666665747</v>
      </c>
      <c r="B382" s="30">
        <f t="shared" si="346"/>
        <v>5000</v>
      </c>
      <c r="C382" s="8">
        <v>25000</v>
      </c>
      <c r="D382" s="8">
        <v>0</v>
      </c>
      <c r="E382" s="8">
        <v>0</v>
      </c>
      <c r="F382" s="8">
        <v>0</v>
      </c>
      <c r="G382" s="30">
        <f t="shared" si="347"/>
        <v>2400</v>
      </c>
      <c r="H382" s="8">
        <v>25000</v>
      </c>
      <c r="I382" s="30">
        <f t="shared" si="348"/>
        <v>5000</v>
      </c>
      <c r="J382" s="8">
        <v>25000</v>
      </c>
      <c r="K382" s="30">
        <f t="shared" si="349"/>
        <v>5000</v>
      </c>
      <c r="L382" s="8">
        <v>25000</v>
      </c>
      <c r="M382" s="9">
        <f>VLOOKUP(DATE(YEAR(A382),MONTH(A382),DAY(A382)),FY24_Temp[],4,FALSE)</f>
        <v>8.4</v>
      </c>
      <c r="N382" s="9">
        <f>VLOOKUP(DATE(YEAR(A382),MONTH(A382),DAY(A382)),FY24_Temp[],3,FALSE)</f>
        <v>12.8</v>
      </c>
      <c r="O382" s="9">
        <v>13</v>
      </c>
      <c r="P382" s="9">
        <v>19.5</v>
      </c>
      <c r="Q382" s="79">
        <f>VLOOKUP(VLOOKUP(DATEVALUE(TEXT(A382,"m/d/yyyy")),FY24_Temp[],5,FALSE)&amp;TEXT(A382,"-h"),Table6[],4,FALSE)</f>
        <v>0.5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VLOOKUP(TEXT(A382,"yy-mm")&amp;"-"&amp;IF(AND(WEEKDAY(A382)&gt;1,WEEKDAY(A382)&lt;7),"Wkd",TEXT(A382,"Ddd"))&amp;"-"&amp;TEXT(A382,"hh"),LoadTable[],5,FALSE)*0.92</f>
        <v>494.57360000000006</v>
      </c>
      <c r="U382" s="104">
        <f>VLOOKUP(TEXT(A382,"yy-mm")&amp;"-"&amp;IF(AND(WEEKDAY(A382)&gt;1,WEEKDAY(A382)&lt;7),"Wkd",TEXT(A382,"Ddd"))&amp;"-"&amp;TEXT(A382,"hh"),LoadTable[],6,FALSE)*T382</f>
        <v>41988.804066400007</v>
      </c>
      <c r="V382">
        <f t="shared" ref="V382:W382" si="384">V358</f>
        <v>3</v>
      </c>
      <c r="W382">
        <f t="shared" si="384"/>
        <v>3</v>
      </c>
      <c r="X382" s="9">
        <v>3.1169446000000001</v>
      </c>
    </row>
    <row r="383" spans="1:24">
      <c r="A383" s="29">
        <f t="shared" si="322"/>
        <v>45851.833333332412</v>
      </c>
      <c r="B383" s="30">
        <f t="shared" si="346"/>
        <v>5000</v>
      </c>
      <c r="C383" s="8">
        <v>25000</v>
      </c>
      <c r="D383" s="8">
        <v>0</v>
      </c>
      <c r="E383" s="8">
        <v>0</v>
      </c>
      <c r="F383" s="8">
        <v>0</v>
      </c>
      <c r="G383" s="30">
        <f t="shared" si="347"/>
        <v>2400</v>
      </c>
      <c r="H383" s="8">
        <v>25000</v>
      </c>
      <c r="I383" s="30">
        <f t="shared" si="348"/>
        <v>5000</v>
      </c>
      <c r="J383" s="8">
        <v>25000</v>
      </c>
      <c r="K383" s="30">
        <f t="shared" si="349"/>
        <v>5000</v>
      </c>
      <c r="L383" s="8">
        <v>25000</v>
      </c>
      <c r="M383" s="9">
        <f>VLOOKUP(DATE(YEAR(A383),MONTH(A383),DAY(A383)),FY24_Temp[],4,FALSE)</f>
        <v>8.4</v>
      </c>
      <c r="N383" s="9">
        <f>VLOOKUP(DATE(YEAR(A383),MONTH(A383),DAY(A383)),FY24_Temp[],3,FALSE)</f>
        <v>12.8</v>
      </c>
      <c r="O383" s="9">
        <v>13</v>
      </c>
      <c r="P383" s="9">
        <v>19.5</v>
      </c>
      <c r="Q383" s="79">
        <f>VLOOKUP(VLOOKUP(DATEVALUE(TEXT(A383,"m/d/yyyy")),FY24_Temp[],5,FALSE)&amp;TEXT(A383,"-h"),Table6[],4,FALSE)</f>
        <v>0.5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VLOOKUP(TEXT(A383,"yy-mm")&amp;"-"&amp;IF(AND(WEEKDAY(A383)&gt;1,WEEKDAY(A383)&lt;7),"Wkd",TEXT(A383,"Ddd"))&amp;"-"&amp;TEXT(A383,"hh"),LoadTable[],5,FALSE)*0.92</f>
        <v>494.57360000000006</v>
      </c>
      <c r="U383" s="104">
        <f>VLOOKUP(TEXT(A383,"yy-mm")&amp;"-"&amp;IF(AND(WEEKDAY(A383)&gt;1,WEEKDAY(A383)&lt;7),"Wkd",TEXT(A383,"Ddd"))&amp;"-"&amp;TEXT(A383,"hh"),LoadTable[],6,FALSE)*T383</f>
        <v>41403.723497600004</v>
      </c>
      <c r="V383">
        <f t="shared" ref="V383:W383" si="385">V359</f>
        <v>2.8</v>
      </c>
      <c r="W383">
        <f t="shared" si="385"/>
        <v>3.1</v>
      </c>
      <c r="X383" s="9">
        <v>3.0799096000000001</v>
      </c>
    </row>
    <row r="384" spans="1:24">
      <c r="A384" s="29">
        <f t="shared" si="322"/>
        <v>45851.874999999076</v>
      </c>
      <c r="B384" s="30">
        <f t="shared" si="346"/>
        <v>5000</v>
      </c>
      <c r="C384" s="8">
        <v>25000</v>
      </c>
      <c r="D384" s="8">
        <v>0</v>
      </c>
      <c r="E384" s="8">
        <v>0</v>
      </c>
      <c r="F384" s="8">
        <v>0</v>
      </c>
      <c r="G384" s="30">
        <f t="shared" si="347"/>
        <v>2400</v>
      </c>
      <c r="H384" s="8">
        <v>25000</v>
      </c>
      <c r="I384" s="30">
        <f t="shared" si="348"/>
        <v>5000</v>
      </c>
      <c r="J384" s="8">
        <v>25000</v>
      </c>
      <c r="K384" s="30">
        <f t="shared" si="349"/>
        <v>5000</v>
      </c>
      <c r="L384" s="8">
        <v>25000</v>
      </c>
      <c r="M384" s="9">
        <f>VLOOKUP(DATE(YEAR(A384),MONTH(A384),DAY(A384)),FY24_Temp[],4,FALSE)</f>
        <v>8.4</v>
      </c>
      <c r="N384" s="9">
        <f>VLOOKUP(DATE(YEAR(A384),MONTH(A384),DAY(A384)),FY24_Temp[],3,FALSE)</f>
        <v>12.8</v>
      </c>
      <c r="O384" s="9">
        <v>13</v>
      </c>
      <c r="P384" s="9">
        <v>19.5</v>
      </c>
      <c r="Q384" s="79">
        <f>VLOOKUP(VLOOKUP(DATEVALUE(TEXT(A384,"m/d/yyyy")),FY24_Temp[],5,FALSE)&amp;TEXT(A384,"-h"),Table6[],4,FALSE)</f>
        <v>0.5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VLOOKUP(TEXT(A384,"yy-mm")&amp;"-"&amp;IF(AND(WEEKDAY(A384)&gt;1,WEEKDAY(A384)&lt;7),"Wkd",TEXT(A384,"Ddd"))&amp;"-"&amp;TEXT(A384,"hh"),LoadTable[],5,FALSE)*0.92</f>
        <v>418.75640000000004</v>
      </c>
      <c r="U384" s="104">
        <f>VLOOKUP(TEXT(A384,"yy-mm")&amp;"-"&amp;IF(AND(WEEKDAY(A384)&gt;1,WEEKDAY(A384)&lt;7),"Wkd",TEXT(A384,"Ddd"))&amp;"-"&amp;TEXT(A384,"hh"),LoadTable[],6,FALSE)*T384</f>
        <v>31234.202363200002</v>
      </c>
      <c r="V384">
        <f t="shared" ref="V384:W384" si="386">V360</f>
        <v>3.5</v>
      </c>
      <c r="W384">
        <f t="shared" si="386"/>
        <v>3.1</v>
      </c>
      <c r="X384" s="9">
        <v>3.0456197</v>
      </c>
    </row>
    <row r="385" spans="1:24">
      <c r="A385" s="29">
        <f t="shared" si="322"/>
        <v>45851.91666666574</v>
      </c>
      <c r="B385" s="30">
        <f t="shared" si="346"/>
        <v>5000</v>
      </c>
      <c r="C385" s="8">
        <v>25000</v>
      </c>
      <c r="D385" s="8">
        <v>0</v>
      </c>
      <c r="E385" s="8">
        <v>0</v>
      </c>
      <c r="F385" s="8">
        <v>0</v>
      </c>
      <c r="G385" s="30">
        <f t="shared" si="347"/>
        <v>2400</v>
      </c>
      <c r="H385" s="8">
        <v>25000</v>
      </c>
      <c r="I385" s="30">
        <f t="shared" si="348"/>
        <v>5000</v>
      </c>
      <c r="J385" s="8">
        <v>25000</v>
      </c>
      <c r="K385" s="30">
        <f t="shared" si="349"/>
        <v>5000</v>
      </c>
      <c r="L385" s="8">
        <v>25000</v>
      </c>
      <c r="M385" s="9">
        <f>VLOOKUP(DATE(YEAR(A385),MONTH(A385),DAY(A385)),FY24_Temp[],4,FALSE)</f>
        <v>8.4</v>
      </c>
      <c r="N385" s="9">
        <f>VLOOKUP(DATE(YEAR(A385),MONTH(A385),DAY(A385)),FY24_Temp[],3,FALSE)</f>
        <v>12.8</v>
      </c>
      <c r="O385" s="9">
        <v>13</v>
      </c>
      <c r="P385" s="9">
        <v>19.5</v>
      </c>
      <c r="Q385" s="79">
        <f>VLOOKUP(VLOOKUP(DATEVALUE(TEXT(A385,"m/d/yyyy")),FY24_Temp[],5,FALSE)&amp;TEXT(A385,"-h"),Table6[],4,FALSE)</f>
        <v>0.5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VLOOKUP(TEXT(A385,"yy-mm")&amp;"-"&amp;IF(AND(WEEKDAY(A385)&gt;1,WEEKDAY(A385)&lt;7),"Wkd",TEXT(A385,"Ddd"))&amp;"-"&amp;TEXT(A385,"hh"),LoadTable[],5,FALSE)*0.92</f>
        <v>342.93920000000003</v>
      </c>
      <c r="U385" s="104">
        <f>VLOOKUP(TEXT(A385,"yy-mm")&amp;"-"&amp;IF(AND(WEEKDAY(A385)&gt;1,WEEKDAY(A385)&lt;7),"Wkd",TEXT(A385,"Ddd"))&amp;"-"&amp;TEXT(A385,"hh"),LoadTable[],6,FALSE)*T385</f>
        <v>19376.4077392</v>
      </c>
      <c r="V385">
        <f t="shared" ref="V385:W385" si="387">V361</f>
        <v>2.9</v>
      </c>
      <c r="W385">
        <f t="shared" si="387"/>
        <v>3.1</v>
      </c>
      <c r="X385" s="9">
        <v>3.0097027000000001</v>
      </c>
    </row>
    <row r="386" spans="1:24">
      <c r="A386" s="29">
        <f t="shared" si="322"/>
        <v>45851.958333332404</v>
      </c>
      <c r="B386" s="30">
        <f t="shared" si="346"/>
        <v>5000</v>
      </c>
      <c r="C386" s="8">
        <v>25000</v>
      </c>
      <c r="D386" s="8">
        <v>0</v>
      </c>
      <c r="E386" s="8">
        <v>0</v>
      </c>
      <c r="F386" s="8">
        <v>0</v>
      </c>
      <c r="G386" s="30">
        <f t="shared" si="347"/>
        <v>2400</v>
      </c>
      <c r="H386" s="8">
        <v>25000</v>
      </c>
      <c r="I386" s="30">
        <f t="shared" si="348"/>
        <v>5000</v>
      </c>
      <c r="J386" s="8">
        <v>25000</v>
      </c>
      <c r="K386" s="30">
        <f t="shared" si="349"/>
        <v>5000</v>
      </c>
      <c r="L386" s="8">
        <v>25000</v>
      </c>
      <c r="M386" s="9">
        <f>VLOOKUP(DATE(YEAR(A386),MONTH(A386),DAY(A386)),FY24_Temp[],4,FALSE)</f>
        <v>8.4</v>
      </c>
      <c r="N386" s="9">
        <f>VLOOKUP(DATE(YEAR(A386),MONTH(A386),DAY(A386)),FY24_Temp[],3,FALSE)</f>
        <v>12.8</v>
      </c>
      <c r="O386" s="9">
        <v>13</v>
      </c>
      <c r="P386" s="9">
        <v>19.5</v>
      </c>
      <c r="Q386" s="79">
        <f>VLOOKUP(VLOOKUP(DATEVALUE(TEXT(A386,"m/d/yyyy")),FY24_Temp[],5,FALSE)&amp;TEXT(A386,"-h"),Table6[],4,FALSE)</f>
        <v>0.5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VLOOKUP(TEXT(A386,"yy-mm")&amp;"-"&amp;IF(AND(WEEKDAY(A386)&gt;1,WEEKDAY(A386)&lt;7),"Wkd",TEXT(A386,"Ddd"))&amp;"-"&amp;TEXT(A386,"hh"),LoadTable[],5,FALSE)*0.92</f>
        <v>279.25312000000002</v>
      </c>
      <c r="U386" s="104">
        <f>VLOOKUP(TEXT(A386,"yy-mm")&amp;"-"&amp;IF(AND(WEEKDAY(A386)&gt;1,WEEKDAY(A386)&lt;7),"Wkd",TEXT(A386,"Ddd"))&amp;"-"&amp;TEXT(A386,"hh"),LoadTable[],6,FALSE)*T386</f>
        <v>14528.981327360001</v>
      </c>
      <c r="V386">
        <f t="shared" ref="V386:W386" si="388">V362</f>
        <v>3.6</v>
      </c>
      <c r="W386">
        <f t="shared" si="388"/>
        <v>3.1</v>
      </c>
      <c r="X386" s="9">
        <v>2.9064643000000001</v>
      </c>
    </row>
    <row r="387" spans="1:24">
      <c r="A387" s="29">
        <f t="shared" si="322"/>
        <v>45851.999999999069</v>
      </c>
      <c r="B387" s="30">
        <f t="shared" si="346"/>
        <v>5000</v>
      </c>
      <c r="C387" s="8">
        <v>25000</v>
      </c>
      <c r="D387" s="8">
        <v>0</v>
      </c>
      <c r="E387" s="8">
        <v>0</v>
      </c>
      <c r="F387" s="8">
        <v>0</v>
      </c>
      <c r="G387" s="30">
        <f t="shared" si="347"/>
        <v>2400</v>
      </c>
      <c r="H387" s="8">
        <v>25000</v>
      </c>
      <c r="I387" s="30">
        <f t="shared" si="348"/>
        <v>5000</v>
      </c>
      <c r="J387" s="8">
        <v>25000</v>
      </c>
      <c r="K387" s="30">
        <f t="shared" si="349"/>
        <v>5000</v>
      </c>
      <c r="L387" s="8">
        <v>25000</v>
      </c>
      <c r="M387" s="9">
        <f>VLOOKUP(DATE(YEAR(A387),MONTH(A387),DAY(A387)),FY24_Temp[],4,FALSE)</f>
        <v>8.4</v>
      </c>
      <c r="N387" s="9">
        <f>VLOOKUP(DATE(YEAR(A387),MONTH(A387),DAY(A387)),FY24_Temp[],3,FALSE)</f>
        <v>12.8</v>
      </c>
      <c r="O387" s="9">
        <v>13</v>
      </c>
      <c r="P387" s="9">
        <v>19.5</v>
      </c>
      <c r="Q387" s="79">
        <f>VLOOKUP(VLOOKUP(DATEVALUE(TEXT(A387,"m/d/yyyy")),FY24_Temp[],5,FALSE)&amp;TEXT(A387,"-h"),Table6[],4,FALSE)</f>
        <v>0.5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VLOOKUP(TEXT(A387,"yy-mm")&amp;"-"&amp;IF(AND(WEEKDAY(A387)&gt;1,WEEKDAY(A387)&lt;7),"Wkd",TEXT(A387,"Ddd"))&amp;"-"&amp;TEXT(A387,"hh"),LoadTable[],5,FALSE)*0.92</f>
        <v>279.25312000000002</v>
      </c>
      <c r="U387" s="104">
        <f>VLOOKUP(TEXT(A387,"yy-mm")&amp;"-"&amp;IF(AND(WEEKDAY(A387)&gt;1,WEEKDAY(A387)&lt;7),"Wkd",TEXT(A387,"Ddd"))&amp;"-"&amp;TEXT(A387,"hh"),LoadTable[],6,FALSE)*T387</f>
        <v>14895.640673920001</v>
      </c>
      <c r="V387">
        <f t="shared" ref="V387:W387" si="389">V363</f>
        <v>3</v>
      </c>
      <c r="W387">
        <f t="shared" si="389"/>
        <v>3.2</v>
      </c>
      <c r="X387" s="9">
        <v>2.8267083</v>
      </c>
    </row>
    <row r="388" spans="1:24">
      <c r="A388" s="29">
        <f t="shared" si="322"/>
        <v>45852.041666665733</v>
      </c>
      <c r="B388" s="30">
        <f t="shared" si="346"/>
        <v>5000</v>
      </c>
      <c r="C388" s="8">
        <v>25000</v>
      </c>
      <c r="D388" s="8">
        <v>0</v>
      </c>
      <c r="E388" s="8">
        <v>0</v>
      </c>
      <c r="F388" s="8">
        <v>0</v>
      </c>
      <c r="G388" s="30">
        <f t="shared" si="347"/>
        <v>2400</v>
      </c>
      <c r="H388" s="8">
        <v>25000</v>
      </c>
      <c r="I388" s="30">
        <f t="shared" si="348"/>
        <v>5000</v>
      </c>
      <c r="J388" s="8">
        <v>25000</v>
      </c>
      <c r="K388" s="30">
        <f t="shared" si="349"/>
        <v>5000</v>
      </c>
      <c r="L388" s="8">
        <v>25000</v>
      </c>
      <c r="M388" s="9">
        <f>VLOOKUP(DATE(YEAR(A388),MONTH(A388),DAY(A388)),FY24_Temp[],4,FALSE)</f>
        <v>8.4</v>
      </c>
      <c r="N388" s="9">
        <f>VLOOKUP(DATE(YEAR(A388),MONTH(A388),DAY(A388)),FY24_Temp[],3,FALSE)</f>
        <v>12.8</v>
      </c>
      <c r="O388" s="9">
        <v>13</v>
      </c>
      <c r="P388" s="9">
        <v>19.5</v>
      </c>
      <c r="Q388" s="79">
        <f>VLOOKUP(VLOOKUP(DATEVALUE(TEXT(A388,"m/d/yyyy")),FY24_Temp[],5,FALSE)&amp;TEXT(A388,"-h"),Table6[],4,FALSE)</f>
        <v>0.5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VLOOKUP(TEXT(A388,"yy-mm")&amp;"-"&amp;IF(AND(WEEKDAY(A388)&gt;1,WEEKDAY(A388)&lt;7),"Wkd",TEXT(A388,"Ddd"))&amp;"-"&amp;TEXT(A388,"hh"),LoadTable[],5,FALSE)*0.92</f>
        <v>279.25312000000002</v>
      </c>
      <c r="U388" s="104">
        <f>VLOOKUP(TEXT(A388,"yy-mm")&amp;"-"&amp;IF(AND(WEEKDAY(A388)&gt;1,WEEKDAY(A388)&lt;7),"Wkd",TEXT(A388,"Ddd"))&amp;"-"&amp;TEXT(A388,"hh"),LoadTable[],6,FALSE)*T388</f>
        <v>14470.896678400002</v>
      </c>
      <c r="V388">
        <f t="shared" ref="V388:W388" si="390">V364</f>
        <v>2.6</v>
      </c>
      <c r="W388">
        <f t="shared" si="390"/>
        <v>3.2</v>
      </c>
      <c r="X388" s="9">
        <v>2.7748713</v>
      </c>
    </row>
    <row r="389" spans="1:24">
      <c r="A389" s="29">
        <f t="shared" ref="A389:A452" si="391">A388+TIME(1,0,0)</f>
        <v>45852.083333332397</v>
      </c>
      <c r="B389" s="30">
        <f t="shared" si="346"/>
        <v>5000</v>
      </c>
      <c r="C389" s="8">
        <v>25000</v>
      </c>
      <c r="D389" s="8">
        <v>0</v>
      </c>
      <c r="E389" s="8">
        <v>0</v>
      </c>
      <c r="F389" s="8">
        <v>0</v>
      </c>
      <c r="G389" s="30">
        <f t="shared" si="347"/>
        <v>2400</v>
      </c>
      <c r="H389" s="8">
        <v>25000</v>
      </c>
      <c r="I389" s="30">
        <f t="shared" si="348"/>
        <v>5000</v>
      </c>
      <c r="J389" s="8">
        <v>25000</v>
      </c>
      <c r="K389" s="30">
        <f t="shared" si="349"/>
        <v>5000</v>
      </c>
      <c r="L389" s="8">
        <v>25000</v>
      </c>
      <c r="M389" s="9">
        <f>VLOOKUP(DATE(YEAR(A389),MONTH(A389),DAY(A389)),FY24_Temp[],4,FALSE)</f>
        <v>8.4</v>
      </c>
      <c r="N389" s="9">
        <f>VLOOKUP(DATE(YEAR(A389),MONTH(A389),DAY(A389)),FY24_Temp[],3,FALSE)</f>
        <v>12.8</v>
      </c>
      <c r="O389" s="9">
        <v>13</v>
      </c>
      <c r="P389" s="9">
        <v>19.5</v>
      </c>
      <c r="Q389" s="79">
        <f>VLOOKUP(VLOOKUP(DATEVALUE(TEXT(A389,"m/d/yyyy")),FY24_Temp[],5,FALSE)&amp;TEXT(A389,"-h"),Table6[],4,FALSE)</f>
        <v>0.5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VLOOKUP(TEXT(A389,"yy-mm")&amp;"-"&amp;IF(AND(WEEKDAY(A389)&gt;1,WEEKDAY(A389)&lt;7),"Wkd",TEXT(A389,"Ddd"))&amp;"-"&amp;TEXT(A389,"hh"),LoadTable[],5,FALSE)*0.92</f>
        <v>279.25312000000002</v>
      </c>
      <c r="U389" s="104">
        <f>VLOOKUP(TEXT(A389,"yy-mm")&amp;"-"&amp;IF(AND(WEEKDAY(A389)&gt;1,WEEKDAY(A389)&lt;7),"Wkd",TEXT(A389,"Ddd"))&amp;"-"&amp;TEXT(A389,"hh"),LoadTable[],6,FALSE)*T389</f>
        <v>14154.50289344</v>
      </c>
      <c r="V389">
        <f t="shared" ref="V389:W389" si="392">V365</f>
        <v>2.8</v>
      </c>
      <c r="W389">
        <f t="shared" si="392"/>
        <v>3.2</v>
      </c>
      <c r="X389" s="9">
        <v>2.8488425999999998</v>
      </c>
    </row>
    <row r="390" spans="1:24">
      <c r="A390" s="29">
        <f t="shared" si="391"/>
        <v>45852.124999999061</v>
      </c>
      <c r="B390" s="30">
        <f t="shared" si="346"/>
        <v>5000</v>
      </c>
      <c r="C390" s="8">
        <v>25000</v>
      </c>
      <c r="D390" s="8">
        <v>0</v>
      </c>
      <c r="E390" s="8">
        <v>0</v>
      </c>
      <c r="F390" s="8">
        <v>0</v>
      </c>
      <c r="G390" s="30">
        <f t="shared" si="347"/>
        <v>2400</v>
      </c>
      <c r="H390" s="8">
        <v>25000</v>
      </c>
      <c r="I390" s="30">
        <f t="shared" si="348"/>
        <v>5000</v>
      </c>
      <c r="J390" s="8">
        <v>25000</v>
      </c>
      <c r="K390" s="30">
        <f t="shared" si="349"/>
        <v>5000</v>
      </c>
      <c r="L390" s="8">
        <v>25000</v>
      </c>
      <c r="M390" s="9">
        <f>VLOOKUP(DATE(YEAR(A390),MONTH(A390),DAY(A390)),FY24_Temp[],4,FALSE)</f>
        <v>8.4</v>
      </c>
      <c r="N390" s="9">
        <f>VLOOKUP(DATE(YEAR(A390),MONTH(A390),DAY(A390)),FY24_Temp[],3,FALSE)</f>
        <v>12.8</v>
      </c>
      <c r="O390" s="9">
        <v>13</v>
      </c>
      <c r="P390" s="9">
        <v>19.5</v>
      </c>
      <c r="Q390" s="79">
        <f>VLOOKUP(VLOOKUP(DATEVALUE(TEXT(A390,"m/d/yyyy")),FY24_Temp[],5,FALSE)&amp;TEXT(A390,"-h"),Table6[],4,FALSE)</f>
        <v>0.5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VLOOKUP(TEXT(A390,"yy-mm")&amp;"-"&amp;IF(AND(WEEKDAY(A390)&gt;1,WEEKDAY(A390)&lt;7),"Wkd",TEXT(A390,"Ddd"))&amp;"-"&amp;TEXT(A390,"hh"),LoadTable[],5,FALSE)*0.92</f>
        <v>279.25312000000002</v>
      </c>
      <c r="U390" s="104">
        <f>VLOOKUP(TEXT(A390,"yy-mm")&amp;"-"&amp;IF(AND(WEEKDAY(A390)&gt;1,WEEKDAY(A390)&lt;7),"Wkd",TEXT(A390,"Ddd"))&amp;"-"&amp;TEXT(A390,"hh"),LoadTable[],6,FALSE)*T390</f>
        <v>14206.443973760001</v>
      </c>
      <c r="V390">
        <f t="shared" ref="V390:W390" si="393">V366</f>
        <v>2.7</v>
      </c>
      <c r="W390">
        <f t="shared" si="393"/>
        <v>3.2</v>
      </c>
      <c r="X390" s="9">
        <v>2.9007998000000002</v>
      </c>
    </row>
    <row r="391" spans="1:24">
      <c r="A391" s="29">
        <f t="shared" si="391"/>
        <v>45852.166666665726</v>
      </c>
      <c r="B391" s="30">
        <f t="shared" si="346"/>
        <v>5000</v>
      </c>
      <c r="C391" s="8">
        <v>25000</v>
      </c>
      <c r="D391" s="8">
        <v>0</v>
      </c>
      <c r="E391" s="8">
        <v>0</v>
      </c>
      <c r="F391" s="8">
        <v>0</v>
      </c>
      <c r="G391" s="30">
        <f t="shared" si="347"/>
        <v>2400</v>
      </c>
      <c r="H391" s="8">
        <v>25000</v>
      </c>
      <c r="I391" s="30">
        <f t="shared" si="348"/>
        <v>5000</v>
      </c>
      <c r="J391" s="8">
        <v>25000</v>
      </c>
      <c r="K391" s="30">
        <f t="shared" si="349"/>
        <v>5000</v>
      </c>
      <c r="L391" s="8">
        <v>25000</v>
      </c>
      <c r="M391" s="9">
        <f>VLOOKUP(DATE(YEAR(A391),MONTH(A391),DAY(A391)),FY24_Temp[],4,FALSE)</f>
        <v>8.4</v>
      </c>
      <c r="N391" s="9">
        <f>VLOOKUP(DATE(YEAR(A391),MONTH(A391),DAY(A391)),FY24_Temp[],3,FALSE)</f>
        <v>12.8</v>
      </c>
      <c r="O391" s="9">
        <v>13</v>
      </c>
      <c r="P391" s="9">
        <v>19.5</v>
      </c>
      <c r="Q391" s="79">
        <f>VLOOKUP(VLOOKUP(DATEVALUE(TEXT(A391,"m/d/yyyy")),FY24_Temp[],5,FALSE)&amp;TEXT(A391,"-h"),Table6[],4,FALSE)</f>
        <v>0.5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VLOOKUP(TEXT(A391,"yy-mm")&amp;"-"&amp;IF(AND(WEEKDAY(A391)&gt;1,WEEKDAY(A391)&lt;7),"Wkd",TEXT(A391,"Ddd"))&amp;"-"&amp;TEXT(A391,"hh"),LoadTable[],5,FALSE)*0.92</f>
        <v>279.25312000000002</v>
      </c>
      <c r="U391" s="104">
        <f>VLOOKUP(TEXT(A391,"yy-mm")&amp;"-"&amp;IF(AND(WEEKDAY(A391)&gt;1,WEEKDAY(A391)&lt;7),"Wkd",TEXT(A391,"Ddd"))&amp;"-"&amp;TEXT(A391,"hh"),LoadTable[],6,FALSE)*T391</f>
        <v>14229.063476480002</v>
      </c>
      <c r="V391">
        <f t="shared" ref="V391:W391" si="394">V367</f>
        <v>3</v>
      </c>
      <c r="W391">
        <f t="shared" si="394"/>
        <v>3.1</v>
      </c>
      <c r="X391" s="9">
        <v>2.9294829</v>
      </c>
    </row>
    <row r="392" spans="1:24">
      <c r="A392" s="29">
        <f t="shared" si="391"/>
        <v>45852.20833333239</v>
      </c>
      <c r="B392" s="30">
        <f t="shared" si="346"/>
        <v>5000</v>
      </c>
      <c r="C392" s="8">
        <v>25000</v>
      </c>
      <c r="D392" s="8">
        <v>0</v>
      </c>
      <c r="E392" s="8">
        <v>0</v>
      </c>
      <c r="F392" s="8">
        <v>0</v>
      </c>
      <c r="G392" s="30">
        <f t="shared" si="347"/>
        <v>2400</v>
      </c>
      <c r="H392" s="8">
        <v>25000</v>
      </c>
      <c r="I392" s="30">
        <f t="shared" si="348"/>
        <v>5000</v>
      </c>
      <c r="J392" s="8">
        <v>25000</v>
      </c>
      <c r="K392" s="30">
        <f t="shared" si="349"/>
        <v>5000</v>
      </c>
      <c r="L392" s="8">
        <v>25000</v>
      </c>
      <c r="M392" s="9">
        <f>VLOOKUP(DATE(YEAR(A392),MONTH(A392),DAY(A392)),FY24_Temp[],4,FALSE)</f>
        <v>8.4</v>
      </c>
      <c r="N392" s="9">
        <f>VLOOKUP(DATE(YEAR(A392),MONTH(A392),DAY(A392)),FY24_Temp[],3,FALSE)</f>
        <v>12.8</v>
      </c>
      <c r="O392" s="9">
        <v>13</v>
      </c>
      <c r="P392" s="9">
        <v>19.5</v>
      </c>
      <c r="Q392" s="79">
        <f>VLOOKUP(VLOOKUP(DATEVALUE(TEXT(A392,"m/d/yyyy")),FY24_Temp[],5,FALSE)&amp;TEXT(A392,"-h"),Table6[],4,FALSE)</f>
        <v>0.5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VLOOKUP(TEXT(A392,"yy-mm")&amp;"-"&amp;IF(AND(WEEKDAY(A392)&gt;1,WEEKDAY(A392)&lt;7),"Wkd",TEXT(A392,"Ddd"))&amp;"-"&amp;TEXT(A392,"hh"),LoadTable[],5,FALSE)*0.92</f>
        <v>279.25312000000002</v>
      </c>
      <c r="U392" s="104">
        <f>VLOOKUP(TEXT(A392,"yy-mm")&amp;"-"&amp;IF(AND(WEEKDAY(A392)&gt;1,WEEKDAY(A392)&lt;7),"Wkd",TEXT(A392,"Ddd"))&amp;"-"&amp;TEXT(A392,"hh"),LoadTable[],6,FALSE)*T392</f>
        <v>14735.070129920001</v>
      </c>
      <c r="V392">
        <f t="shared" ref="V392:W392" si="395">V368</f>
        <v>2.9</v>
      </c>
      <c r="W392">
        <f t="shared" si="395"/>
        <v>3.1</v>
      </c>
      <c r="X392" s="9">
        <v>3.0074700999999999</v>
      </c>
    </row>
    <row r="393" spans="1:24">
      <c r="A393" s="29">
        <f t="shared" si="391"/>
        <v>45852.249999999054</v>
      </c>
      <c r="B393" s="30">
        <f t="shared" si="346"/>
        <v>8000</v>
      </c>
      <c r="C393" s="8">
        <v>25000</v>
      </c>
      <c r="D393" s="8">
        <v>0</v>
      </c>
      <c r="E393" s="8">
        <v>0</v>
      </c>
      <c r="F393" s="8">
        <v>0</v>
      </c>
      <c r="G393" s="30">
        <f t="shared" si="347"/>
        <v>2400</v>
      </c>
      <c r="H393" s="8">
        <v>25000</v>
      </c>
      <c r="I393" s="30">
        <f t="shared" si="348"/>
        <v>8000</v>
      </c>
      <c r="J393" s="8">
        <v>25000</v>
      </c>
      <c r="K393" s="30">
        <f t="shared" si="349"/>
        <v>8000</v>
      </c>
      <c r="L393" s="8">
        <v>25000</v>
      </c>
      <c r="M393" s="9">
        <f>VLOOKUP(DATE(YEAR(A393),MONTH(A393),DAY(A393)),FY24_Temp[],4,FALSE)</f>
        <v>8.4</v>
      </c>
      <c r="N393" s="9">
        <f>VLOOKUP(DATE(YEAR(A393),MONTH(A393),DAY(A393)),FY24_Temp[],3,FALSE)</f>
        <v>12.8</v>
      </c>
      <c r="O393" s="9">
        <v>13</v>
      </c>
      <c r="P393" s="9">
        <v>19.5</v>
      </c>
      <c r="Q393" s="79">
        <f>VLOOKUP(VLOOKUP(DATEVALUE(TEXT(A393,"m/d/yyyy")),FY24_Temp[],5,FALSE)&amp;TEXT(A393,"-h"),Table6[],4,FALSE)</f>
        <v>0.5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VLOOKUP(TEXT(A393,"yy-mm")&amp;"-"&amp;IF(AND(WEEKDAY(A393)&gt;1,WEEKDAY(A393)&lt;7),"Wkd",TEXT(A393,"Ddd"))&amp;"-"&amp;TEXT(A393,"hh"),LoadTable[],5,FALSE)*0.92</f>
        <v>279.25312000000002</v>
      </c>
      <c r="U393" s="104">
        <f>VLOOKUP(TEXT(A393,"yy-mm")&amp;"-"&amp;IF(AND(WEEKDAY(A393)&gt;1,WEEKDAY(A393)&lt;7),"Wkd",TEXT(A393,"Ddd"))&amp;"-"&amp;TEXT(A393,"hh"),LoadTable[],6,FALSE)*T393</f>
        <v>26238.902408320002</v>
      </c>
      <c r="V393">
        <f t="shared" ref="V393:W393" si="396">V369</f>
        <v>2.5</v>
      </c>
      <c r="W393">
        <f t="shared" si="396"/>
        <v>3.1</v>
      </c>
      <c r="X393" s="9">
        <v>3.1285221999999999</v>
      </c>
    </row>
    <row r="394" spans="1:24">
      <c r="A394" s="29">
        <f t="shared" si="391"/>
        <v>45852.291666665718</v>
      </c>
      <c r="B394" s="30">
        <f t="shared" si="346"/>
        <v>8000</v>
      </c>
      <c r="C394" s="8">
        <v>25000</v>
      </c>
      <c r="D394" s="8">
        <v>0</v>
      </c>
      <c r="E394" s="8">
        <v>0</v>
      </c>
      <c r="F394" s="8">
        <v>0</v>
      </c>
      <c r="G394" s="30">
        <f t="shared" si="347"/>
        <v>2400</v>
      </c>
      <c r="H394" s="8">
        <v>25000</v>
      </c>
      <c r="I394" s="30">
        <f t="shared" si="348"/>
        <v>8000</v>
      </c>
      <c r="J394" s="8">
        <v>25000</v>
      </c>
      <c r="K394" s="30">
        <f t="shared" si="349"/>
        <v>8000</v>
      </c>
      <c r="L394" s="8">
        <v>25000</v>
      </c>
      <c r="M394" s="9">
        <f>VLOOKUP(DATE(YEAR(A394),MONTH(A394),DAY(A394)),FY24_Temp[],4,FALSE)</f>
        <v>8.4</v>
      </c>
      <c r="N394" s="9">
        <f>VLOOKUP(DATE(YEAR(A394),MONTH(A394),DAY(A394)),FY24_Temp[],3,FALSE)</f>
        <v>12.8</v>
      </c>
      <c r="O394" s="9">
        <v>13</v>
      </c>
      <c r="P394" s="9">
        <v>19.5</v>
      </c>
      <c r="Q394" s="79">
        <f>VLOOKUP(VLOOKUP(DATEVALUE(TEXT(A394,"m/d/yyyy")),FY24_Temp[],5,FALSE)&amp;TEXT(A394,"-h"),Table6[],4,FALSE)</f>
        <v>0.5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VLOOKUP(TEXT(A394,"yy-mm")&amp;"-"&amp;IF(AND(WEEKDAY(A394)&gt;1,WEEKDAY(A394)&lt;7),"Wkd",TEXT(A394,"Ddd"))&amp;"-"&amp;TEXT(A394,"hh"),LoadTable[],5,FALSE)*0.92</f>
        <v>279.25312000000002</v>
      </c>
      <c r="U394" s="104">
        <f>VLOOKUP(TEXT(A394,"yy-mm")&amp;"-"&amp;IF(AND(WEEKDAY(A394)&gt;1,WEEKDAY(A394)&lt;7),"Wkd",TEXT(A394,"Ddd"))&amp;"-"&amp;TEXT(A394,"hh"),LoadTable[],6,FALSE)*T394</f>
        <v>22145.051669120003</v>
      </c>
      <c r="V394">
        <f t="shared" ref="V394:W394" si="397">V370</f>
        <v>2.5</v>
      </c>
      <c r="W394">
        <f t="shared" si="397"/>
        <v>3.1</v>
      </c>
      <c r="X394" s="9">
        <v>3.2666010999999999</v>
      </c>
    </row>
    <row r="395" spans="1:24">
      <c r="A395" s="29">
        <f t="shared" si="391"/>
        <v>45852.333333332383</v>
      </c>
      <c r="B395" s="30">
        <f t="shared" si="346"/>
        <v>8000</v>
      </c>
      <c r="C395" s="8">
        <v>25000</v>
      </c>
      <c r="D395" s="8">
        <v>0</v>
      </c>
      <c r="E395" s="8">
        <v>0</v>
      </c>
      <c r="F395" s="8">
        <v>0</v>
      </c>
      <c r="G395" s="30">
        <f t="shared" si="347"/>
        <v>2400</v>
      </c>
      <c r="H395" s="8">
        <v>25000</v>
      </c>
      <c r="I395" s="30">
        <f t="shared" si="348"/>
        <v>8000</v>
      </c>
      <c r="J395" s="8">
        <v>25000</v>
      </c>
      <c r="K395" s="30">
        <f t="shared" si="349"/>
        <v>8000</v>
      </c>
      <c r="L395" s="8">
        <v>25000</v>
      </c>
      <c r="M395" s="9">
        <f>VLOOKUP(DATE(YEAR(A395),MONTH(A395),DAY(A395)),FY24_Temp[],4,FALSE)</f>
        <v>8.4</v>
      </c>
      <c r="N395" s="9">
        <f>VLOOKUP(DATE(YEAR(A395),MONTH(A395),DAY(A395)),FY24_Temp[],3,FALSE)</f>
        <v>12.8</v>
      </c>
      <c r="O395" s="9">
        <v>13</v>
      </c>
      <c r="P395" s="9">
        <v>19.5</v>
      </c>
      <c r="Q395" s="79">
        <f>VLOOKUP(VLOOKUP(DATEVALUE(TEXT(A395,"m/d/yyyy")),FY24_Temp[],5,FALSE)&amp;TEXT(A395,"-h"),Table6[],4,FALSE)</f>
        <v>0.5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VLOOKUP(TEXT(A395,"yy-mm")&amp;"-"&amp;IF(AND(WEEKDAY(A395)&gt;1,WEEKDAY(A395)&lt;7),"Wkd",TEXT(A395,"Ddd"))&amp;"-"&amp;TEXT(A395,"hh"),LoadTable[],5,FALSE)*0.92</f>
        <v>279.25312000000002</v>
      </c>
      <c r="U395" s="104">
        <f>VLOOKUP(TEXT(A395,"yy-mm")&amp;"-"&amp;IF(AND(WEEKDAY(A395)&gt;1,WEEKDAY(A395)&lt;7),"Wkd",TEXT(A395,"Ddd"))&amp;"-"&amp;TEXT(A395,"hh"),LoadTable[],6,FALSE)*T395</f>
        <v>17686.77560832</v>
      </c>
      <c r="V395">
        <f t="shared" ref="V395:W395" si="398">V371</f>
        <v>3.2</v>
      </c>
      <c r="W395">
        <f t="shared" si="398"/>
        <v>3</v>
      </c>
      <c r="X395" s="9">
        <v>3.3398736000000002</v>
      </c>
    </row>
    <row r="396" spans="1:24">
      <c r="A396" s="29">
        <f t="shared" si="391"/>
        <v>45852.374999999047</v>
      </c>
      <c r="B396" s="30">
        <f t="shared" si="346"/>
        <v>8000</v>
      </c>
      <c r="C396" s="8">
        <v>25000</v>
      </c>
      <c r="D396" s="8">
        <v>0</v>
      </c>
      <c r="E396" s="8">
        <v>0</v>
      </c>
      <c r="F396" s="8">
        <v>0</v>
      </c>
      <c r="G396" s="30">
        <f t="shared" si="347"/>
        <v>2400</v>
      </c>
      <c r="H396" s="8">
        <v>25000</v>
      </c>
      <c r="I396" s="30">
        <f t="shared" si="348"/>
        <v>8000</v>
      </c>
      <c r="J396" s="8">
        <v>25000</v>
      </c>
      <c r="K396" s="30">
        <f t="shared" si="349"/>
        <v>8000</v>
      </c>
      <c r="L396" s="8">
        <v>25000</v>
      </c>
      <c r="M396" s="9">
        <f>VLOOKUP(DATE(YEAR(A396),MONTH(A396),DAY(A396)),FY24_Temp[],4,FALSE)</f>
        <v>8.4</v>
      </c>
      <c r="N396" s="9">
        <f>VLOOKUP(DATE(YEAR(A396),MONTH(A396),DAY(A396)),FY24_Temp[],3,FALSE)</f>
        <v>12.8</v>
      </c>
      <c r="O396" s="9">
        <v>13</v>
      </c>
      <c r="P396" s="9">
        <v>19.5</v>
      </c>
      <c r="Q396" s="79">
        <f>VLOOKUP(VLOOKUP(DATEVALUE(TEXT(A396,"m/d/yyyy")),FY24_Temp[],5,FALSE)&amp;TEXT(A396,"-h"),Table6[],4,FALSE)</f>
        <v>0.5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VLOOKUP(TEXT(A396,"yy-mm")&amp;"-"&amp;IF(AND(WEEKDAY(A396)&gt;1,WEEKDAY(A396)&lt;7),"Wkd",TEXT(A396,"Ddd"))&amp;"-"&amp;TEXT(A396,"hh"),LoadTable[],5,FALSE)*0.92</f>
        <v>279.25312000000002</v>
      </c>
      <c r="U396" s="104">
        <f>VLOOKUP(TEXT(A396,"yy-mm")&amp;"-"&amp;IF(AND(WEEKDAY(A396)&gt;1,WEEKDAY(A396)&lt;7),"Wkd",TEXT(A396,"Ddd"))&amp;"-"&amp;TEXT(A396,"hh"),LoadTable[],6,FALSE)*T396</f>
        <v>14265.924888320002</v>
      </c>
      <c r="V396">
        <f t="shared" ref="V396:W396" si="399">V372</f>
        <v>2.9</v>
      </c>
      <c r="W396">
        <f t="shared" si="399"/>
        <v>3</v>
      </c>
      <c r="X396" s="9">
        <v>3.3662000000000001</v>
      </c>
    </row>
    <row r="397" spans="1:24">
      <c r="A397" s="29">
        <f t="shared" si="391"/>
        <v>45852.416666665711</v>
      </c>
      <c r="B397" s="30">
        <f t="shared" si="346"/>
        <v>8000</v>
      </c>
      <c r="C397" s="8">
        <v>25000</v>
      </c>
      <c r="D397" s="8">
        <v>0</v>
      </c>
      <c r="E397" s="8">
        <v>0</v>
      </c>
      <c r="F397" s="8">
        <v>0</v>
      </c>
      <c r="G397" s="30">
        <f t="shared" si="347"/>
        <v>2400</v>
      </c>
      <c r="H397" s="8">
        <v>25000</v>
      </c>
      <c r="I397" s="30">
        <f t="shared" si="348"/>
        <v>8000</v>
      </c>
      <c r="J397" s="8">
        <v>25000</v>
      </c>
      <c r="K397" s="30">
        <f t="shared" si="349"/>
        <v>8000</v>
      </c>
      <c r="L397" s="8">
        <v>25000</v>
      </c>
      <c r="M397" s="9">
        <f>VLOOKUP(DATE(YEAR(A397),MONTH(A397),DAY(A397)),FY24_Temp[],4,FALSE)</f>
        <v>8.4</v>
      </c>
      <c r="N397" s="9">
        <f>VLOOKUP(DATE(YEAR(A397),MONTH(A397),DAY(A397)),FY24_Temp[],3,FALSE)</f>
        <v>12.8</v>
      </c>
      <c r="O397" s="9">
        <v>13</v>
      </c>
      <c r="P397" s="9">
        <v>19.5</v>
      </c>
      <c r="Q397" s="79">
        <f>VLOOKUP(VLOOKUP(DATEVALUE(TEXT(A397,"m/d/yyyy")),FY24_Temp[],5,FALSE)&amp;TEXT(A397,"-h"),Table6[],4,FALSE)</f>
        <v>0.5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VLOOKUP(TEXT(A397,"yy-mm")&amp;"-"&amp;IF(AND(WEEKDAY(A397)&gt;1,WEEKDAY(A397)&lt;7),"Wkd",TEXT(A397,"Ddd"))&amp;"-"&amp;TEXT(A397,"hh"),LoadTable[],5,FALSE)*0.92</f>
        <v>279.25312000000002</v>
      </c>
      <c r="U397" s="104">
        <f>VLOOKUP(TEXT(A397,"yy-mm")&amp;"-"&amp;IF(AND(WEEKDAY(A397)&gt;1,WEEKDAY(A397)&lt;7),"Wkd",TEXT(A397,"Ddd"))&amp;"-"&amp;TEXT(A397,"hh"),LoadTable[],6,FALSE)*T397</f>
        <v>13649.054746240003</v>
      </c>
      <c r="V397">
        <f t="shared" ref="V397:W397" si="400">V373</f>
        <v>2.9</v>
      </c>
      <c r="W397">
        <f t="shared" si="400"/>
        <v>3</v>
      </c>
      <c r="X397" s="9">
        <v>3.4190966999999999</v>
      </c>
    </row>
    <row r="398" spans="1:24">
      <c r="A398" s="29">
        <f t="shared" si="391"/>
        <v>45852.458333332375</v>
      </c>
      <c r="B398" s="30">
        <f t="shared" si="346"/>
        <v>8000</v>
      </c>
      <c r="C398" s="8">
        <v>25000</v>
      </c>
      <c r="D398" s="8">
        <v>0</v>
      </c>
      <c r="E398" s="8">
        <v>0</v>
      </c>
      <c r="F398" s="8">
        <v>0</v>
      </c>
      <c r="G398" s="30">
        <f t="shared" si="347"/>
        <v>2400</v>
      </c>
      <c r="H398" s="8">
        <v>25000</v>
      </c>
      <c r="I398" s="30">
        <f t="shared" si="348"/>
        <v>8000</v>
      </c>
      <c r="J398" s="8">
        <v>25000</v>
      </c>
      <c r="K398" s="30">
        <f t="shared" si="349"/>
        <v>8000</v>
      </c>
      <c r="L398" s="8">
        <v>25000</v>
      </c>
      <c r="M398" s="9">
        <f>VLOOKUP(DATE(YEAR(A398),MONTH(A398),DAY(A398)),FY24_Temp[],4,FALSE)</f>
        <v>8.4</v>
      </c>
      <c r="N398" s="9">
        <f>VLOOKUP(DATE(YEAR(A398),MONTH(A398),DAY(A398)),FY24_Temp[],3,FALSE)</f>
        <v>12.8</v>
      </c>
      <c r="O398" s="9">
        <v>13</v>
      </c>
      <c r="P398" s="9">
        <v>19.5</v>
      </c>
      <c r="Q398" s="79">
        <f>VLOOKUP(VLOOKUP(DATEVALUE(TEXT(A398,"m/d/yyyy")),FY24_Temp[],5,FALSE)&amp;TEXT(A398,"-h"),Table6[],4,FALSE)</f>
        <v>0.5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VLOOKUP(TEXT(A398,"yy-mm")&amp;"-"&amp;IF(AND(WEEKDAY(A398)&gt;1,WEEKDAY(A398)&lt;7),"Wkd",TEXT(A398,"Ddd"))&amp;"-"&amp;TEXT(A398,"hh"),LoadTable[],5,FALSE)*0.92</f>
        <v>279.25312000000002</v>
      </c>
      <c r="U398" s="104">
        <f>VLOOKUP(TEXT(A398,"yy-mm")&amp;"-"&amp;IF(AND(WEEKDAY(A398)&gt;1,WEEKDAY(A398)&lt;7),"Wkd",TEXT(A398,"Ddd"))&amp;"-"&amp;TEXT(A398,"hh"),LoadTable[],6,FALSE)*T398</f>
        <v>13153.938964480001</v>
      </c>
      <c r="V398">
        <f t="shared" ref="V398:W398" si="401">V374</f>
        <v>3.4</v>
      </c>
      <c r="W398">
        <f t="shared" si="401"/>
        <v>3</v>
      </c>
      <c r="X398" s="9">
        <v>3.3652639</v>
      </c>
    </row>
    <row r="399" spans="1:24">
      <c r="A399" s="29">
        <f t="shared" si="391"/>
        <v>45852.49999999904</v>
      </c>
      <c r="B399" s="30">
        <f t="shared" si="346"/>
        <v>8000</v>
      </c>
      <c r="C399" s="8">
        <v>25000</v>
      </c>
      <c r="D399" s="8">
        <v>0</v>
      </c>
      <c r="E399" s="8">
        <v>0</v>
      </c>
      <c r="F399" s="8">
        <v>0</v>
      </c>
      <c r="G399" s="30">
        <f t="shared" si="347"/>
        <v>2400</v>
      </c>
      <c r="H399" s="8">
        <v>25000</v>
      </c>
      <c r="I399" s="30">
        <f t="shared" si="348"/>
        <v>8000</v>
      </c>
      <c r="J399" s="8">
        <v>25000</v>
      </c>
      <c r="K399" s="30">
        <f t="shared" si="349"/>
        <v>8000</v>
      </c>
      <c r="L399" s="8">
        <v>25000</v>
      </c>
      <c r="M399" s="9">
        <f>VLOOKUP(DATE(YEAR(A399),MONTH(A399),DAY(A399)),FY24_Temp[],4,FALSE)</f>
        <v>8.4</v>
      </c>
      <c r="N399" s="9">
        <f>VLOOKUP(DATE(YEAR(A399),MONTH(A399),DAY(A399)),FY24_Temp[],3,FALSE)</f>
        <v>12.8</v>
      </c>
      <c r="O399" s="9">
        <v>13</v>
      </c>
      <c r="P399" s="9">
        <v>19.5</v>
      </c>
      <c r="Q399" s="79">
        <f>VLOOKUP(VLOOKUP(DATEVALUE(TEXT(A399,"m/d/yyyy")),FY24_Temp[],5,FALSE)&amp;TEXT(A399,"-h"),Table6[],4,FALSE)</f>
        <v>0.5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VLOOKUP(TEXT(A399,"yy-mm")&amp;"-"&amp;IF(AND(WEEKDAY(A399)&gt;1,WEEKDAY(A399)&lt;7),"Wkd",TEXT(A399,"Ddd"))&amp;"-"&amp;TEXT(A399,"hh"),LoadTable[],5,FALSE)*0.92</f>
        <v>279.25312000000002</v>
      </c>
      <c r="U399" s="104">
        <f>VLOOKUP(TEXT(A399,"yy-mm")&amp;"-"&amp;IF(AND(WEEKDAY(A399)&gt;1,WEEKDAY(A399)&lt;7),"Wkd",TEXT(A399,"Ddd"))&amp;"-"&amp;TEXT(A399,"hh"),LoadTable[],6,FALSE)*T399</f>
        <v>13898.427782400002</v>
      </c>
      <c r="V399">
        <f t="shared" ref="V399:W399" si="402">V375</f>
        <v>3.1</v>
      </c>
      <c r="W399">
        <f t="shared" si="402"/>
        <v>2.9</v>
      </c>
      <c r="X399" s="9">
        <v>3.2290022</v>
      </c>
    </row>
    <row r="400" spans="1:24">
      <c r="A400" s="29">
        <f t="shared" si="391"/>
        <v>45852.541666665704</v>
      </c>
      <c r="B400" s="30">
        <f t="shared" si="346"/>
        <v>8000</v>
      </c>
      <c r="C400" s="8">
        <v>25000</v>
      </c>
      <c r="D400" s="8">
        <v>0</v>
      </c>
      <c r="E400" s="8">
        <v>0</v>
      </c>
      <c r="F400" s="8">
        <v>0</v>
      </c>
      <c r="G400" s="30">
        <f t="shared" si="347"/>
        <v>2400</v>
      </c>
      <c r="H400" s="8">
        <v>25000</v>
      </c>
      <c r="I400" s="30">
        <f t="shared" si="348"/>
        <v>8000</v>
      </c>
      <c r="J400" s="8">
        <v>25000</v>
      </c>
      <c r="K400" s="30">
        <f t="shared" si="349"/>
        <v>8000</v>
      </c>
      <c r="L400" s="8">
        <v>25000</v>
      </c>
      <c r="M400" s="9">
        <f>VLOOKUP(DATE(YEAR(A400),MONTH(A400),DAY(A400)),FY24_Temp[],4,FALSE)</f>
        <v>8.4</v>
      </c>
      <c r="N400" s="9">
        <f>VLOOKUP(DATE(YEAR(A400),MONTH(A400),DAY(A400)),FY24_Temp[],3,FALSE)</f>
        <v>12.8</v>
      </c>
      <c r="O400" s="9">
        <v>13</v>
      </c>
      <c r="P400" s="9">
        <v>19.5</v>
      </c>
      <c r="Q400" s="79">
        <f>VLOOKUP(VLOOKUP(DATEVALUE(TEXT(A400,"m/d/yyyy")),FY24_Temp[],5,FALSE)&amp;TEXT(A400,"-h"),Table6[],4,FALSE)</f>
        <v>0.5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VLOOKUP(TEXT(A400,"yy-mm")&amp;"-"&amp;IF(AND(WEEKDAY(A400)&gt;1,WEEKDAY(A400)&lt;7),"Wkd",TEXT(A400,"Ddd"))&amp;"-"&amp;TEXT(A400,"hh"),LoadTable[],5,FALSE)*0.92</f>
        <v>279.25312000000002</v>
      </c>
      <c r="U400" s="104">
        <f>VLOOKUP(TEXT(A400,"yy-mm")&amp;"-"&amp;IF(AND(WEEKDAY(A400)&gt;1,WEEKDAY(A400)&lt;7),"Wkd",TEXT(A400,"Ddd"))&amp;"-"&amp;TEXT(A400,"hh"),LoadTable[],6,FALSE)*T400</f>
        <v>16526.1996416</v>
      </c>
      <c r="V400">
        <f t="shared" ref="V400:W400" si="403">V376</f>
        <v>3.2</v>
      </c>
      <c r="W400">
        <f t="shared" si="403"/>
        <v>2.9</v>
      </c>
      <c r="X400" s="9">
        <v>3.0566325000000001</v>
      </c>
    </row>
    <row r="401" spans="1:24">
      <c r="A401" s="29">
        <f t="shared" si="391"/>
        <v>45852.583333332368</v>
      </c>
      <c r="B401" s="30">
        <f t="shared" si="346"/>
        <v>8000</v>
      </c>
      <c r="C401" s="8">
        <v>25000</v>
      </c>
      <c r="D401" s="8">
        <v>0</v>
      </c>
      <c r="E401" s="8">
        <v>0</v>
      </c>
      <c r="F401" s="8">
        <v>0</v>
      </c>
      <c r="G401" s="30">
        <f t="shared" si="347"/>
        <v>2400</v>
      </c>
      <c r="H401" s="8">
        <v>25000</v>
      </c>
      <c r="I401" s="30">
        <f t="shared" si="348"/>
        <v>8000</v>
      </c>
      <c r="J401" s="8">
        <v>25000</v>
      </c>
      <c r="K401" s="30">
        <f t="shared" si="349"/>
        <v>8000</v>
      </c>
      <c r="L401" s="8">
        <v>25000</v>
      </c>
      <c r="M401" s="9">
        <f>VLOOKUP(DATE(YEAR(A401),MONTH(A401),DAY(A401)),FY24_Temp[],4,FALSE)</f>
        <v>8.4</v>
      </c>
      <c r="N401" s="9">
        <f>VLOOKUP(DATE(YEAR(A401),MONTH(A401),DAY(A401)),FY24_Temp[],3,FALSE)</f>
        <v>12.8</v>
      </c>
      <c r="O401" s="9">
        <v>13</v>
      </c>
      <c r="P401" s="9">
        <v>19.5</v>
      </c>
      <c r="Q401" s="79">
        <f>VLOOKUP(VLOOKUP(DATEVALUE(TEXT(A401,"m/d/yyyy")),FY24_Temp[],5,FALSE)&amp;TEXT(A401,"-h"),Table6[],4,FALSE)</f>
        <v>0.5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VLOOKUP(TEXT(A401,"yy-mm")&amp;"-"&amp;IF(AND(WEEKDAY(A401)&gt;1,WEEKDAY(A401)&lt;7),"Wkd",TEXT(A401,"Ddd"))&amp;"-"&amp;TEXT(A401,"hh"),LoadTable[],5,FALSE)*0.92</f>
        <v>373.26607999999999</v>
      </c>
      <c r="U401" s="104">
        <f>VLOOKUP(TEXT(A401,"yy-mm")&amp;"-"&amp;IF(AND(WEEKDAY(A401)&gt;1,WEEKDAY(A401)&lt;7),"Wkd",TEXT(A401,"Ddd"))&amp;"-"&amp;TEXT(A401,"hh"),LoadTable[],6,FALSE)*T401</f>
        <v>27132.338089119996</v>
      </c>
      <c r="V401">
        <f t="shared" ref="V401:W401" si="404">V377</f>
        <v>3.5</v>
      </c>
      <c r="W401">
        <f t="shared" si="404"/>
        <v>2.9</v>
      </c>
      <c r="X401" s="9">
        <v>3.0047432999999999</v>
      </c>
    </row>
    <row r="402" spans="1:24">
      <c r="A402" s="29">
        <f t="shared" si="391"/>
        <v>45852.624999999032</v>
      </c>
      <c r="B402" s="30">
        <f t="shared" si="346"/>
        <v>8000</v>
      </c>
      <c r="C402" s="8">
        <v>25000</v>
      </c>
      <c r="D402" s="8">
        <v>0</v>
      </c>
      <c r="E402" s="8">
        <v>0</v>
      </c>
      <c r="F402" s="8">
        <v>0</v>
      </c>
      <c r="G402" s="30">
        <f t="shared" si="347"/>
        <v>2400</v>
      </c>
      <c r="H402" s="8">
        <v>25000</v>
      </c>
      <c r="I402" s="30">
        <f t="shared" si="348"/>
        <v>8000</v>
      </c>
      <c r="J402" s="8">
        <v>25000</v>
      </c>
      <c r="K402" s="30">
        <f t="shared" si="349"/>
        <v>8000</v>
      </c>
      <c r="L402" s="8">
        <v>25000</v>
      </c>
      <c r="M402" s="9">
        <f>VLOOKUP(DATE(YEAR(A402),MONTH(A402),DAY(A402)),FY24_Temp[],4,FALSE)</f>
        <v>8.4</v>
      </c>
      <c r="N402" s="9">
        <f>VLOOKUP(DATE(YEAR(A402),MONTH(A402),DAY(A402)),FY24_Temp[],3,FALSE)</f>
        <v>12.8</v>
      </c>
      <c r="O402" s="9">
        <v>13</v>
      </c>
      <c r="P402" s="9">
        <v>19.5</v>
      </c>
      <c r="Q402" s="79">
        <f>VLOOKUP(VLOOKUP(DATEVALUE(TEXT(A402,"m/d/yyyy")),FY24_Temp[],5,FALSE)&amp;TEXT(A402,"-h"),Table6[],4,FALSE)</f>
        <v>0.5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VLOOKUP(TEXT(A402,"yy-mm")&amp;"-"&amp;IF(AND(WEEKDAY(A402)&gt;1,WEEKDAY(A402)&lt;7),"Wkd",TEXT(A402,"Ddd"))&amp;"-"&amp;TEXT(A402,"hh"),LoadTable[],5,FALSE)*0.92</f>
        <v>494.57360000000006</v>
      </c>
      <c r="U402" s="104">
        <f>VLOOKUP(TEXT(A402,"yy-mm")&amp;"-"&amp;IF(AND(WEEKDAY(A402)&gt;1,WEEKDAY(A402)&lt;7),"Wkd",TEXT(A402,"Ddd"))&amp;"-"&amp;TEXT(A402,"hh"),LoadTable[],6,FALSE)*T402</f>
        <v>42310.771480000003</v>
      </c>
      <c r="V402">
        <f t="shared" ref="V402:W402" si="405">V378</f>
        <v>3.2</v>
      </c>
      <c r="W402">
        <f t="shared" si="405"/>
        <v>2.9</v>
      </c>
      <c r="X402" s="9">
        <v>3.3104586999999999</v>
      </c>
    </row>
    <row r="403" spans="1:24">
      <c r="A403" s="29">
        <f t="shared" si="391"/>
        <v>45852.666666665697</v>
      </c>
      <c r="B403" s="30">
        <f t="shared" si="346"/>
        <v>8000</v>
      </c>
      <c r="C403" s="8">
        <v>25000</v>
      </c>
      <c r="D403" s="8">
        <v>0</v>
      </c>
      <c r="E403" s="8">
        <v>0</v>
      </c>
      <c r="F403" s="8">
        <v>0</v>
      </c>
      <c r="G403" s="30">
        <f t="shared" si="347"/>
        <v>2400</v>
      </c>
      <c r="H403" s="8">
        <v>25000</v>
      </c>
      <c r="I403" s="30">
        <f t="shared" si="348"/>
        <v>8000</v>
      </c>
      <c r="J403" s="8">
        <v>25000</v>
      </c>
      <c r="K403" s="30">
        <f t="shared" si="349"/>
        <v>8000</v>
      </c>
      <c r="L403" s="8">
        <v>25000</v>
      </c>
      <c r="M403" s="9">
        <f>VLOOKUP(DATE(YEAR(A403),MONTH(A403),DAY(A403)),FY24_Temp[],4,FALSE)</f>
        <v>8.4</v>
      </c>
      <c r="N403" s="9">
        <f>VLOOKUP(DATE(YEAR(A403),MONTH(A403),DAY(A403)),FY24_Temp[],3,FALSE)</f>
        <v>12.8</v>
      </c>
      <c r="O403" s="9">
        <v>13</v>
      </c>
      <c r="P403" s="9">
        <v>19.5</v>
      </c>
      <c r="Q403" s="79">
        <f>VLOOKUP(VLOOKUP(DATEVALUE(TEXT(A403,"m/d/yyyy")),FY24_Temp[],5,FALSE)&amp;TEXT(A403,"-h"),Table6[],4,FALSE)</f>
        <v>0.5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VLOOKUP(TEXT(A403,"yy-mm")&amp;"-"&amp;IF(AND(WEEKDAY(A403)&gt;1,WEEKDAY(A403)&lt;7),"Wkd",TEXT(A403,"Ddd"))&amp;"-"&amp;TEXT(A403,"hh"),LoadTable[],5,FALSE)*0.92</f>
        <v>494.57360000000006</v>
      </c>
      <c r="U403" s="104">
        <f>VLOOKUP(TEXT(A403,"yy-mm")&amp;"-"&amp;IF(AND(WEEKDAY(A403)&gt;1,WEEKDAY(A403)&lt;7),"Wkd",TEXT(A403,"Ddd"))&amp;"-"&amp;TEXT(A403,"hh"),LoadTable[],6,FALSE)*T403</f>
        <v>50694.28857360001</v>
      </c>
      <c r="V403">
        <f t="shared" ref="V403:W403" si="406">V379</f>
        <v>3.5</v>
      </c>
      <c r="W403">
        <f t="shared" si="406"/>
        <v>3</v>
      </c>
      <c r="X403" s="9">
        <v>3.2360806000000002</v>
      </c>
    </row>
    <row r="404" spans="1:24">
      <c r="A404" s="29">
        <f t="shared" si="391"/>
        <v>45852.708333332361</v>
      </c>
      <c r="B404" s="30">
        <f t="shared" si="346"/>
        <v>8000</v>
      </c>
      <c r="C404" s="8">
        <v>25000</v>
      </c>
      <c r="D404" s="8">
        <v>0</v>
      </c>
      <c r="E404" s="8">
        <v>0</v>
      </c>
      <c r="F404" s="8">
        <v>0</v>
      </c>
      <c r="G404" s="30">
        <f t="shared" si="347"/>
        <v>2400</v>
      </c>
      <c r="H404" s="8">
        <v>25000</v>
      </c>
      <c r="I404" s="30">
        <f t="shared" si="348"/>
        <v>8000</v>
      </c>
      <c r="J404" s="8">
        <v>25000</v>
      </c>
      <c r="K404" s="30">
        <f t="shared" si="349"/>
        <v>8000</v>
      </c>
      <c r="L404" s="8">
        <v>25000</v>
      </c>
      <c r="M404" s="9">
        <f>VLOOKUP(DATE(YEAR(A404),MONTH(A404),DAY(A404)),FY24_Temp[],4,FALSE)</f>
        <v>8.4</v>
      </c>
      <c r="N404" s="9">
        <f>VLOOKUP(DATE(YEAR(A404),MONTH(A404),DAY(A404)),FY24_Temp[],3,FALSE)</f>
        <v>12.8</v>
      </c>
      <c r="O404" s="9">
        <v>13</v>
      </c>
      <c r="P404" s="9">
        <v>19.5</v>
      </c>
      <c r="Q404" s="79">
        <f>VLOOKUP(VLOOKUP(DATEVALUE(TEXT(A404,"m/d/yyyy")),FY24_Temp[],5,FALSE)&amp;TEXT(A404,"-h"),Table6[],4,FALSE)</f>
        <v>0.5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VLOOKUP(TEXT(A404,"yy-mm")&amp;"-"&amp;IF(AND(WEEKDAY(A404)&gt;1,WEEKDAY(A404)&lt;7),"Wkd",TEXT(A404,"Ddd"))&amp;"-"&amp;TEXT(A404,"hh"),LoadTable[],5,FALSE)*0.92</f>
        <v>494.57360000000006</v>
      </c>
      <c r="U404" s="104">
        <f>VLOOKUP(TEXT(A404,"yy-mm")&amp;"-"&amp;IF(AND(WEEKDAY(A404)&gt;1,WEEKDAY(A404)&lt;7),"Wkd",TEXT(A404,"Ddd"))&amp;"-"&amp;TEXT(A404,"hh"),LoadTable[],6,FALSE)*T404</f>
        <v>56025.791981600007</v>
      </c>
      <c r="V404">
        <f t="shared" ref="V404:W404" si="407">V380</f>
        <v>3.6</v>
      </c>
      <c r="W404">
        <f t="shared" si="407"/>
        <v>3</v>
      </c>
      <c r="X404" s="9">
        <v>3.1497853</v>
      </c>
    </row>
    <row r="405" spans="1:24">
      <c r="A405" s="29">
        <f t="shared" si="391"/>
        <v>45852.749999999025</v>
      </c>
      <c r="B405" s="30">
        <f t="shared" si="346"/>
        <v>5000</v>
      </c>
      <c r="C405" s="8">
        <v>25000</v>
      </c>
      <c r="D405" s="8">
        <v>0</v>
      </c>
      <c r="E405" s="8">
        <v>0</v>
      </c>
      <c r="F405" s="8">
        <v>0</v>
      </c>
      <c r="G405" s="30">
        <f t="shared" si="347"/>
        <v>2400</v>
      </c>
      <c r="H405" s="8">
        <v>25000</v>
      </c>
      <c r="I405" s="30">
        <f t="shared" si="348"/>
        <v>5000</v>
      </c>
      <c r="J405" s="8">
        <v>25000</v>
      </c>
      <c r="K405" s="30">
        <f t="shared" si="349"/>
        <v>5000</v>
      </c>
      <c r="L405" s="8">
        <v>25000</v>
      </c>
      <c r="M405" s="9">
        <f>VLOOKUP(DATE(YEAR(A405),MONTH(A405),DAY(A405)),FY24_Temp[],4,FALSE)</f>
        <v>8.4</v>
      </c>
      <c r="N405" s="9">
        <f>VLOOKUP(DATE(YEAR(A405),MONTH(A405),DAY(A405)),FY24_Temp[],3,FALSE)</f>
        <v>12.8</v>
      </c>
      <c r="O405" s="9">
        <v>13</v>
      </c>
      <c r="P405" s="9">
        <v>19.5</v>
      </c>
      <c r="Q405" s="79">
        <f>VLOOKUP(VLOOKUP(DATEVALUE(TEXT(A405,"m/d/yyyy")),FY24_Temp[],5,FALSE)&amp;TEXT(A405,"-h"),Table6[],4,FALSE)</f>
        <v>0.5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VLOOKUP(TEXT(A405,"yy-mm")&amp;"-"&amp;IF(AND(WEEKDAY(A405)&gt;1,WEEKDAY(A405)&lt;7),"Wkd",TEXT(A405,"Ddd"))&amp;"-"&amp;TEXT(A405,"hh"),LoadTable[],5,FALSE)*0.92</f>
        <v>494.57360000000006</v>
      </c>
      <c r="U405" s="104">
        <f>VLOOKUP(TEXT(A405,"yy-mm")&amp;"-"&amp;IF(AND(WEEKDAY(A405)&gt;1,WEEKDAY(A405)&lt;7),"Wkd",TEXT(A405,"Ddd"))&amp;"-"&amp;TEXT(A405,"hh"),LoadTable[],6,FALSE)*T405</f>
        <v>60164.383866400007</v>
      </c>
      <c r="V405">
        <f t="shared" ref="V405:W405" si="408">V381</f>
        <v>2.9</v>
      </c>
      <c r="W405">
        <f t="shared" si="408"/>
        <v>3</v>
      </c>
      <c r="X405" s="9">
        <v>3.1255590999999998</v>
      </c>
    </row>
    <row r="406" spans="1:24">
      <c r="A406" s="29">
        <f t="shared" si="391"/>
        <v>45852.791666665689</v>
      </c>
      <c r="B406" s="30">
        <f t="shared" si="346"/>
        <v>5000</v>
      </c>
      <c r="C406" s="8">
        <v>25000</v>
      </c>
      <c r="D406" s="8">
        <v>0</v>
      </c>
      <c r="E406" s="8">
        <v>0</v>
      </c>
      <c r="F406" s="8">
        <v>0</v>
      </c>
      <c r="G406" s="30">
        <f t="shared" si="347"/>
        <v>2400</v>
      </c>
      <c r="H406" s="8">
        <v>25000</v>
      </c>
      <c r="I406" s="30">
        <f t="shared" si="348"/>
        <v>5000</v>
      </c>
      <c r="J406" s="8">
        <v>25000</v>
      </c>
      <c r="K406" s="30">
        <f t="shared" si="349"/>
        <v>5000</v>
      </c>
      <c r="L406" s="8">
        <v>25000</v>
      </c>
      <c r="M406" s="9">
        <f>VLOOKUP(DATE(YEAR(A406),MONTH(A406),DAY(A406)),FY24_Temp[],4,FALSE)</f>
        <v>8.4</v>
      </c>
      <c r="N406" s="9">
        <f>VLOOKUP(DATE(YEAR(A406),MONTH(A406),DAY(A406)),FY24_Temp[],3,FALSE)</f>
        <v>12.8</v>
      </c>
      <c r="O406" s="9">
        <v>13</v>
      </c>
      <c r="P406" s="9">
        <v>19.5</v>
      </c>
      <c r="Q406" s="79">
        <f>VLOOKUP(VLOOKUP(DATEVALUE(TEXT(A406,"m/d/yyyy")),FY24_Temp[],5,FALSE)&amp;TEXT(A406,"-h"),Table6[],4,FALSE)</f>
        <v>0.5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VLOOKUP(TEXT(A406,"yy-mm")&amp;"-"&amp;IF(AND(WEEKDAY(A406)&gt;1,WEEKDAY(A406)&lt;7),"Wkd",TEXT(A406,"Ddd"))&amp;"-"&amp;TEXT(A406,"hh"),LoadTable[],5,FALSE)*0.92</f>
        <v>494.57360000000006</v>
      </c>
      <c r="U406" s="104">
        <f>VLOOKUP(TEXT(A406,"yy-mm")&amp;"-"&amp;IF(AND(WEEKDAY(A406)&gt;1,WEEKDAY(A406)&lt;7),"Wkd",TEXT(A406,"Ddd"))&amp;"-"&amp;TEXT(A406,"hh"),LoadTable[],6,FALSE)*T406</f>
        <v>60548.172980000003</v>
      </c>
      <c r="V406">
        <f t="shared" ref="V406:W406" si="409">V382</f>
        <v>3</v>
      </c>
      <c r="W406">
        <f t="shared" si="409"/>
        <v>3</v>
      </c>
      <c r="X406" s="9">
        <v>3.0902758000000001</v>
      </c>
    </row>
    <row r="407" spans="1:24">
      <c r="A407" s="29">
        <f t="shared" si="391"/>
        <v>45852.833333332354</v>
      </c>
      <c r="B407" s="30">
        <f t="shared" si="346"/>
        <v>5000</v>
      </c>
      <c r="C407" s="8">
        <v>25000</v>
      </c>
      <c r="D407" s="8">
        <v>0</v>
      </c>
      <c r="E407" s="8">
        <v>0</v>
      </c>
      <c r="F407" s="8">
        <v>0</v>
      </c>
      <c r="G407" s="30">
        <f t="shared" si="347"/>
        <v>2400</v>
      </c>
      <c r="H407" s="8">
        <v>25000</v>
      </c>
      <c r="I407" s="30">
        <f t="shared" si="348"/>
        <v>5000</v>
      </c>
      <c r="J407" s="8">
        <v>25000</v>
      </c>
      <c r="K407" s="30">
        <f t="shared" si="349"/>
        <v>5000</v>
      </c>
      <c r="L407" s="8">
        <v>25000</v>
      </c>
      <c r="M407" s="9">
        <f>VLOOKUP(DATE(YEAR(A407),MONTH(A407),DAY(A407)),FY24_Temp[],4,FALSE)</f>
        <v>8.4</v>
      </c>
      <c r="N407" s="9">
        <f>VLOOKUP(DATE(YEAR(A407),MONTH(A407),DAY(A407)),FY24_Temp[],3,FALSE)</f>
        <v>12.8</v>
      </c>
      <c r="O407" s="9">
        <v>13</v>
      </c>
      <c r="P407" s="9">
        <v>19.5</v>
      </c>
      <c r="Q407" s="79">
        <f>VLOOKUP(VLOOKUP(DATEVALUE(TEXT(A407,"m/d/yyyy")),FY24_Temp[],5,FALSE)&amp;TEXT(A407,"-h"),Table6[],4,FALSE)</f>
        <v>0.5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VLOOKUP(TEXT(A407,"yy-mm")&amp;"-"&amp;IF(AND(WEEKDAY(A407)&gt;1,WEEKDAY(A407)&lt;7),"Wkd",TEXT(A407,"Ddd"))&amp;"-"&amp;TEXT(A407,"hh"),LoadTable[],5,FALSE)*0.92</f>
        <v>494.57360000000006</v>
      </c>
      <c r="U407" s="104">
        <f>VLOOKUP(TEXT(A407,"yy-mm")&amp;"-"&amp;IF(AND(WEEKDAY(A407)&gt;1,WEEKDAY(A407)&lt;7),"Wkd",TEXT(A407,"Ddd"))&amp;"-"&amp;TEXT(A407,"hh"),LoadTable[],6,FALSE)*T407</f>
        <v>60532.346624800004</v>
      </c>
      <c r="V407">
        <f t="shared" ref="V407:W407" si="410">V383</f>
        <v>2.8</v>
      </c>
      <c r="W407">
        <f t="shared" si="410"/>
        <v>3.1</v>
      </c>
      <c r="X407" s="9">
        <v>3.0518586999999999</v>
      </c>
    </row>
    <row r="408" spans="1:24">
      <c r="A408" s="29">
        <f t="shared" si="391"/>
        <v>45852.874999999018</v>
      </c>
      <c r="B408" s="30">
        <f t="shared" si="346"/>
        <v>5000</v>
      </c>
      <c r="C408" s="8">
        <v>25000</v>
      </c>
      <c r="D408" s="8">
        <v>0</v>
      </c>
      <c r="E408" s="8">
        <v>0</v>
      </c>
      <c r="F408" s="8">
        <v>0</v>
      </c>
      <c r="G408" s="30">
        <f t="shared" si="347"/>
        <v>2400</v>
      </c>
      <c r="H408" s="8">
        <v>25000</v>
      </c>
      <c r="I408" s="30">
        <f t="shared" si="348"/>
        <v>5000</v>
      </c>
      <c r="J408" s="8">
        <v>25000</v>
      </c>
      <c r="K408" s="30">
        <f t="shared" si="349"/>
        <v>5000</v>
      </c>
      <c r="L408" s="8">
        <v>25000</v>
      </c>
      <c r="M408" s="9">
        <f>VLOOKUP(DATE(YEAR(A408),MONTH(A408),DAY(A408)),FY24_Temp[],4,FALSE)</f>
        <v>8.4</v>
      </c>
      <c r="N408" s="9">
        <f>VLOOKUP(DATE(YEAR(A408),MONTH(A408),DAY(A408)),FY24_Temp[],3,FALSE)</f>
        <v>12.8</v>
      </c>
      <c r="O408" s="9">
        <v>13</v>
      </c>
      <c r="P408" s="9">
        <v>19.5</v>
      </c>
      <c r="Q408" s="79">
        <f>VLOOKUP(VLOOKUP(DATEVALUE(TEXT(A408,"m/d/yyyy")),FY24_Temp[],5,FALSE)&amp;TEXT(A408,"-h"),Table6[],4,FALSE)</f>
        <v>0.5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VLOOKUP(TEXT(A408,"yy-mm")&amp;"-"&amp;IF(AND(WEEKDAY(A408)&gt;1,WEEKDAY(A408)&lt;7),"Wkd",TEXT(A408,"Ddd"))&amp;"-"&amp;TEXT(A408,"hh"),LoadTable[],5,FALSE)*0.92</f>
        <v>494.57360000000006</v>
      </c>
      <c r="U408" s="104">
        <f>VLOOKUP(TEXT(A408,"yy-mm")&amp;"-"&amp;IF(AND(WEEKDAY(A408)&gt;1,WEEKDAY(A408)&lt;7),"Wkd",TEXT(A408,"Ddd"))&amp;"-"&amp;TEXT(A408,"hh"),LoadTable[],6,FALSE)*T408</f>
        <v>58481.349905600007</v>
      </c>
      <c r="V408">
        <f t="shared" ref="V408:W408" si="411">V384</f>
        <v>3.5</v>
      </c>
      <c r="W408">
        <f t="shared" si="411"/>
        <v>3.1</v>
      </c>
      <c r="X408" s="9">
        <v>3.0212998</v>
      </c>
    </row>
    <row r="409" spans="1:24">
      <c r="A409" s="29">
        <f t="shared" si="391"/>
        <v>45852.916666665682</v>
      </c>
      <c r="B409" s="30">
        <f t="shared" si="346"/>
        <v>5000</v>
      </c>
      <c r="C409" s="8">
        <v>25000</v>
      </c>
      <c r="D409" s="8">
        <v>0</v>
      </c>
      <c r="E409" s="8">
        <v>0</v>
      </c>
      <c r="F409" s="8">
        <v>0</v>
      </c>
      <c r="G409" s="30">
        <f t="shared" si="347"/>
        <v>2400</v>
      </c>
      <c r="H409" s="8">
        <v>25000</v>
      </c>
      <c r="I409" s="30">
        <f t="shared" si="348"/>
        <v>5000</v>
      </c>
      <c r="J409" s="8">
        <v>25000</v>
      </c>
      <c r="K409" s="30">
        <f t="shared" si="349"/>
        <v>5000</v>
      </c>
      <c r="L409" s="8">
        <v>25000</v>
      </c>
      <c r="M409" s="9">
        <f>VLOOKUP(DATE(YEAR(A409),MONTH(A409),DAY(A409)),FY24_Temp[],4,FALSE)</f>
        <v>8.4</v>
      </c>
      <c r="N409" s="9">
        <f>VLOOKUP(DATE(YEAR(A409),MONTH(A409),DAY(A409)),FY24_Temp[],3,FALSE)</f>
        <v>12.8</v>
      </c>
      <c r="O409" s="9">
        <v>13</v>
      </c>
      <c r="P409" s="9">
        <v>19.5</v>
      </c>
      <c r="Q409" s="79">
        <f>VLOOKUP(VLOOKUP(DATEVALUE(TEXT(A409,"m/d/yyyy")),FY24_Temp[],5,FALSE)&amp;TEXT(A409,"-h"),Table6[],4,FALSE)</f>
        <v>0.5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VLOOKUP(TEXT(A409,"yy-mm")&amp;"-"&amp;IF(AND(WEEKDAY(A409)&gt;1,WEEKDAY(A409)&lt;7),"Wkd",TEXT(A409,"Ddd"))&amp;"-"&amp;TEXT(A409,"hh"),LoadTable[],5,FALSE)*0.92</f>
        <v>418.75640000000004</v>
      </c>
      <c r="U409" s="104">
        <f>VLOOKUP(TEXT(A409,"yy-mm")&amp;"-"&amp;IF(AND(WEEKDAY(A409)&gt;1,WEEKDAY(A409)&lt;7),"Wkd",TEXT(A409,"Ddd"))&amp;"-"&amp;TEXT(A409,"hh"),LoadTable[],6,FALSE)*T409</f>
        <v>27547.889774000003</v>
      </c>
      <c r="V409">
        <f t="shared" ref="V409:W409" si="412">V385</f>
        <v>2.9</v>
      </c>
      <c r="W409">
        <f t="shared" si="412"/>
        <v>3.1</v>
      </c>
      <c r="X409" s="9">
        <v>2.989697</v>
      </c>
    </row>
    <row r="410" spans="1:24">
      <c r="A410" s="29">
        <f t="shared" si="391"/>
        <v>45852.958333332346</v>
      </c>
      <c r="B410" s="30">
        <f t="shared" si="346"/>
        <v>5000</v>
      </c>
      <c r="C410" s="8">
        <v>25000</v>
      </c>
      <c r="D410" s="8">
        <v>0</v>
      </c>
      <c r="E410" s="8">
        <v>0</v>
      </c>
      <c r="F410" s="8">
        <v>0</v>
      </c>
      <c r="G410" s="30">
        <f t="shared" si="347"/>
        <v>2400</v>
      </c>
      <c r="H410" s="8">
        <v>25000</v>
      </c>
      <c r="I410" s="30">
        <f t="shared" si="348"/>
        <v>5000</v>
      </c>
      <c r="J410" s="8">
        <v>25000</v>
      </c>
      <c r="K410" s="30">
        <f t="shared" si="349"/>
        <v>5000</v>
      </c>
      <c r="L410" s="8">
        <v>25000</v>
      </c>
      <c r="M410" s="9">
        <f>VLOOKUP(DATE(YEAR(A410),MONTH(A410),DAY(A410)),FY24_Temp[],4,FALSE)</f>
        <v>8.4</v>
      </c>
      <c r="N410" s="9">
        <f>VLOOKUP(DATE(YEAR(A410),MONTH(A410),DAY(A410)),FY24_Temp[],3,FALSE)</f>
        <v>12.8</v>
      </c>
      <c r="O410" s="9">
        <v>13</v>
      </c>
      <c r="P410" s="9">
        <v>19.5</v>
      </c>
      <c r="Q410" s="79">
        <f>VLOOKUP(VLOOKUP(DATEVALUE(TEXT(A410,"m/d/yyyy")),FY24_Temp[],5,FALSE)&amp;TEXT(A410,"-h"),Table6[],4,FALSE)</f>
        <v>0.5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VLOOKUP(TEXT(A410,"yy-mm")&amp;"-"&amp;IF(AND(WEEKDAY(A410)&gt;1,WEEKDAY(A410)&lt;7),"Wkd",TEXT(A410,"Ddd"))&amp;"-"&amp;TEXT(A410,"hh"),LoadTable[],5,FALSE)*0.92</f>
        <v>342.93920000000003</v>
      </c>
      <c r="U410" s="104">
        <f>VLOOKUP(TEXT(A410,"yy-mm")&amp;"-"&amp;IF(AND(WEEKDAY(A410)&gt;1,WEEKDAY(A410)&lt;7),"Wkd",TEXT(A410,"Ddd"))&amp;"-"&amp;TEXT(A410,"hh"),LoadTable[],6,FALSE)*T410</f>
        <v>19873.669579200003</v>
      </c>
      <c r="V410">
        <f t="shared" ref="V410:W410" si="413">V386</f>
        <v>3.6</v>
      </c>
      <c r="W410">
        <f t="shared" si="413"/>
        <v>3.1</v>
      </c>
      <c r="X410" s="9">
        <v>2.8955831999999999</v>
      </c>
    </row>
    <row r="411" spans="1:24">
      <c r="A411" s="29">
        <f t="shared" si="391"/>
        <v>45852.99999999901</v>
      </c>
      <c r="B411" s="30">
        <f t="shared" si="346"/>
        <v>5000</v>
      </c>
      <c r="C411" s="8">
        <v>25000</v>
      </c>
      <c r="D411" s="8">
        <v>0</v>
      </c>
      <c r="E411" s="8">
        <v>0</v>
      </c>
      <c r="F411" s="8">
        <v>0</v>
      </c>
      <c r="G411" s="30">
        <f t="shared" si="347"/>
        <v>2400</v>
      </c>
      <c r="H411" s="8">
        <v>25000</v>
      </c>
      <c r="I411" s="30">
        <f t="shared" si="348"/>
        <v>5000</v>
      </c>
      <c r="J411" s="8">
        <v>25000</v>
      </c>
      <c r="K411" s="30">
        <f t="shared" si="349"/>
        <v>5000</v>
      </c>
      <c r="L411" s="8">
        <v>25000</v>
      </c>
      <c r="M411" s="9">
        <f>VLOOKUP(DATE(YEAR(A411),MONTH(A411),DAY(A411)),FY24_Temp[],4,FALSE)</f>
        <v>8.4</v>
      </c>
      <c r="N411" s="9">
        <f>VLOOKUP(DATE(YEAR(A411),MONTH(A411),DAY(A411)),FY24_Temp[],3,FALSE)</f>
        <v>12.8</v>
      </c>
      <c r="O411" s="9">
        <v>13</v>
      </c>
      <c r="P411" s="9">
        <v>19.5</v>
      </c>
      <c r="Q411" s="79">
        <f>VLOOKUP(VLOOKUP(DATEVALUE(TEXT(A411,"m/d/yyyy")),FY24_Temp[],5,FALSE)&amp;TEXT(A411,"-h"),Table6[],4,FALSE)</f>
        <v>0.5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VLOOKUP(TEXT(A411,"yy-mm")&amp;"-"&amp;IF(AND(WEEKDAY(A411)&gt;1,WEEKDAY(A411)&lt;7),"Wkd",TEXT(A411,"Ddd"))&amp;"-"&amp;TEXT(A411,"hh"),LoadTable[],5,FALSE)*0.92</f>
        <v>279.25312000000002</v>
      </c>
      <c r="U411" s="104">
        <f>VLOOKUP(TEXT(A411,"yy-mm")&amp;"-"&amp;IF(AND(WEEKDAY(A411)&gt;1,WEEKDAY(A411)&lt;7),"Wkd",TEXT(A411,"Ddd"))&amp;"-"&amp;TEXT(A411,"hh"),LoadTable[],6,FALSE)*T411</f>
        <v>14895.640673920001</v>
      </c>
      <c r="V411">
        <f t="shared" ref="V411:W411" si="414">V387</f>
        <v>3</v>
      </c>
      <c r="W411">
        <f t="shared" si="414"/>
        <v>3.2</v>
      </c>
      <c r="X411" s="9">
        <v>2.8014898000000001</v>
      </c>
    </row>
    <row r="412" spans="1:24">
      <c r="A412" s="29">
        <f t="shared" si="391"/>
        <v>45853.041666665675</v>
      </c>
      <c r="B412" s="30">
        <f t="shared" ref="B412:B475" si="415">B388</f>
        <v>5000</v>
      </c>
      <c r="C412" s="8">
        <v>25000</v>
      </c>
      <c r="D412" s="8">
        <v>0</v>
      </c>
      <c r="E412" s="8">
        <v>0</v>
      </c>
      <c r="F412" s="8">
        <v>0</v>
      </c>
      <c r="G412" s="30">
        <f t="shared" ref="G412:G475" si="416">G388</f>
        <v>2400</v>
      </c>
      <c r="H412" s="8">
        <v>25000</v>
      </c>
      <c r="I412" s="30">
        <f t="shared" ref="I412:I475" si="417">I388</f>
        <v>5000</v>
      </c>
      <c r="J412" s="8">
        <v>25000</v>
      </c>
      <c r="K412" s="30">
        <f t="shared" ref="K412:K475" si="418">K388</f>
        <v>5000</v>
      </c>
      <c r="L412" s="8">
        <v>25000</v>
      </c>
      <c r="M412" s="9">
        <f>VLOOKUP(DATE(YEAR(A412),MONTH(A412),DAY(A412)),FY24_Temp[],4,FALSE)</f>
        <v>8.4</v>
      </c>
      <c r="N412" s="9">
        <f>VLOOKUP(DATE(YEAR(A412),MONTH(A412),DAY(A412)),FY24_Temp[],3,FALSE)</f>
        <v>12.8</v>
      </c>
      <c r="O412" s="9">
        <v>13</v>
      </c>
      <c r="P412" s="9">
        <v>19.5</v>
      </c>
      <c r="Q412" s="79">
        <f>VLOOKUP(VLOOKUP(DATEVALUE(TEXT(A412,"m/d/yyyy")),FY24_Temp[],5,FALSE)&amp;TEXT(A412,"-h"),Table6[],4,FALSE)</f>
        <v>0.5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VLOOKUP(TEXT(A412,"yy-mm")&amp;"-"&amp;IF(AND(WEEKDAY(A412)&gt;1,WEEKDAY(A412)&lt;7),"Wkd",TEXT(A412,"Ddd"))&amp;"-"&amp;TEXT(A412,"hh"),LoadTable[],5,FALSE)*0.92</f>
        <v>279.25312000000002</v>
      </c>
      <c r="U412" s="104">
        <f>VLOOKUP(TEXT(A412,"yy-mm")&amp;"-"&amp;IF(AND(WEEKDAY(A412)&gt;1,WEEKDAY(A412)&lt;7),"Wkd",TEXT(A412,"Ddd"))&amp;"-"&amp;TEXT(A412,"hh"),LoadTable[],6,FALSE)*T412</f>
        <v>14470.896678400002</v>
      </c>
      <c r="V412">
        <f t="shared" ref="V412:W412" si="419">V388</f>
        <v>2.6</v>
      </c>
      <c r="W412">
        <f t="shared" si="419"/>
        <v>3.2</v>
      </c>
      <c r="X412" s="9">
        <v>2.7269306000000002</v>
      </c>
    </row>
    <row r="413" spans="1:24">
      <c r="A413" s="29">
        <f t="shared" si="391"/>
        <v>45853.083333332339</v>
      </c>
      <c r="B413" s="30">
        <f t="shared" si="415"/>
        <v>5000</v>
      </c>
      <c r="C413" s="8">
        <v>25000</v>
      </c>
      <c r="D413" s="8">
        <v>0</v>
      </c>
      <c r="E413" s="8">
        <v>0</v>
      </c>
      <c r="F413" s="8">
        <v>0</v>
      </c>
      <c r="G413" s="30">
        <f t="shared" si="416"/>
        <v>2400</v>
      </c>
      <c r="H413" s="8">
        <v>25000</v>
      </c>
      <c r="I413" s="30">
        <f t="shared" si="417"/>
        <v>5000</v>
      </c>
      <c r="J413" s="8">
        <v>25000</v>
      </c>
      <c r="K413" s="30">
        <f t="shared" si="418"/>
        <v>5000</v>
      </c>
      <c r="L413" s="8">
        <v>25000</v>
      </c>
      <c r="M413" s="9">
        <f>VLOOKUP(DATE(YEAR(A413),MONTH(A413),DAY(A413)),FY24_Temp[],4,FALSE)</f>
        <v>8.4</v>
      </c>
      <c r="N413" s="9">
        <f>VLOOKUP(DATE(YEAR(A413),MONTH(A413),DAY(A413)),FY24_Temp[],3,FALSE)</f>
        <v>12.8</v>
      </c>
      <c r="O413" s="9">
        <v>13</v>
      </c>
      <c r="P413" s="9">
        <v>19.5</v>
      </c>
      <c r="Q413" s="79">
        <f>VLOOKUP(VLOOKUP(DATEVALUE(TEXT(A413,"m/d/yyyy")),FY24_Temp[],5,FALSE)&amp;TEXT(A413,"-h"),Table6[],4,FALSE)</f>
        <v>0.5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VLOOKUP(TEXT(A413,"yy-mm")&amp;"-"&amp;IF(AND(WEEKDAY(A413)&gt;1,WEEKDAY(A413)&lt;7),"Wkd",TEXT(A413,"Ddd"))&amp;"-"&amp;TEXT(A413,"hh"),LoadTable[],5,FALSE)*0.92</f>
        <v>279.25312000000002</v>
      </c>
      <c r="U413" s="104">
        <f>VLOOKUP(TEXT(A413,"yy-mm")&amp;"-"&amp;IF(AND(WEEKDAY(A413)&gt;1,WEEKDAY(A413)&lt;7),"Wkd",TEXT(A413,"Ddd"))&amp;"-"&amp;TEXT(A413,"hh"),LoadTable[],6,FALSE)*T413</f>
        <v>14154.50289344</v>
      </c>
      <c r="V413">
        <f t="shared" ref="V413:W413" si="420">V389</f>
        <v>2.8</v>
      </c>
      <c r="W413">
        <f t="shared" si="420"/>
        <v>3.2</v>
      </c>
      <c r="X413" s="9">
        <v>2.8019254</v>
      </c>
    </row>
    <row r="414" spans="1:24">
      <c r="A414" s="29">
        <f t="shared" si="391"/>
        <v>45853.124999999003</v>
      </c>
      <c r="B414" s="30">
        <f t="shared" si="415"/>
        <v>5000</v>
      </c>
      <c r="C414" s="8">
        <v>25000</v>
      </c>
      <c r="D414" s="8">
        <v>0</v>
      </c>
      <c r="E414" s="8">
        <v>0</v>
      </c>
      <c r="F414" s="8">
        <v>0</v>
      </c>
      <c r="G414" s="30">
        <f t="shared" si="416"/>
        <v>2400</v>
      </c>
      <c r="H414" s="8">
        <v>25000</v>
      </c>
      <c r="I414" s="30">
        <f t="shared" si="417"/>
        <v>5000</v>
      </c>
      <c r="J414" s="8">
        <v>25000</v>
      </c>
      <c r="K414" s="30">
        <f t="shared" si="418"/>
        <v>5000</v>
      </c>
      <c r="L414" s="8">
        <v>25000</v>
      </c>
      <c r="M414" s="9">
        <f>VLOOKUP(DATE(YEAR(A414),MONTH(A414),DAY(A414)),FY24_Temp[],4,FALSE)</f>
        <v>8.4</v>
      </c>
      <c r="N414" s="9">
        <f>VLOOKUP(DATE(YEAR(A414),MONTH(A414),DAY(A414)),FY24_Temp[],3,FALSE)</f>
        <v>12.8</v>
      </c>
      <c r="O414" s="9">
        <v>13</v>
      </c>
      <c r="P414" s="9">
        <v>19.5</v>
      </c>
      <c r="Q414" s="79">
        <f>VLOOKUP(VLOOKUP(DATEVALUE(TEXT(A414,"m/d/yyyy")),FY24_Temp[],5,FALSE)&amp;TEXT(A414,"-h"),Table6[],4,FALSE)</f>
        <v>0.5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VLOOKUP(TEXT(A414,"yy-mm")&amp;"-"&amp;IF(AND(WEEKDAY(A414)&gt;1,WEEKDAY(A414)&lt;7),"Wkd",TEXT(A414,"Ddd"))&amp;"-"&amp;TEXT(A414,"hh"),LoadTable[],5,FALSE)*0.92</f>
        <v>279.25312000000002</v>
      </c>
      <c r="U414" s="104">
        <f>VLOOKUP(TEXT(A414,"yy-mm")&amp;"-"&amp;IF(AND(WEEKDAY(A414)&gt;1,WEEKDAY(A414)&lt;7),"Wkd",TEXT(A414,"Ddd"))&amp;"-"&amp;TEXT(A414,"hh"),LoadTable[],6,FALSE)*T414</f>
        <v>14206.443973760001</v>
      </c>
      <c r="V414">
        <f t="shared" ref="V414:W414" si="421">V390</f>
        <v>2.7</v>
      </c>
      <c r="W414">
        <f t="shared" si="421"/>
        <v>3.2</v>
      </c>
      <c r="X414" s="9">
        <v>2.8642986000000001</v>
      </c>
    </row>
    <row r="415" spans="1:24">
      <c r="A415" s="29">
        <f t="shared" si="391"/>
        <v>45853.166666665667</v>
      </c>
      <c r="B415" s="30">
        <f t="shared" si="415"/>
        <v>5000</v>
      </c>
      <c r="C415" s="8">
        <v>25000</v>
      </c>
      <c r="D415" s="8">
        <v>0</v>
      </c>
      <c r="E415" s="8">
        <v>0</v>
      </c>
      <c r="F415" s="8">
        <v>0</v>
      </c>
      <c r="G415" s="30">
        <f t="shared" si="416"/>
        <v>2400</v>
      </c>
      <c r="H415" s="8">
        <v>25000</v>
      </c>
      <c r="I415" s="30">
        <f t="shared" si="417"/>
        <v>5000</v>
      </c>
      <c r="J415" s="8">
        <v>25000</v>
      </c>
      <c r="K415" s="30">
        <f t="shared" si="418"/>
        <v>5000</v>
      </c>
      <c r="L415" s="8">
        <v>25000</v>
      </c>
      <c r="M415" s="9">
        <f>VLOOKUP(DATE(YEAR(A415),MONTH(A415),DAY(A415)),FY24_Temp[],4,FALSE)</f>
        <v>8.4</v>
      </c>
      <c r="N415" s="9">
        <f>VLOOKUP(DATE(YEAR(A415),MONTH(A415),DAY(A415)),FY24_Temp[],3,FALSE)</f>
        <v>12.8</v>
      </c>
      <c r="O415" s="9">
        <v>13</v>
      </c>
      <c r="P415" s="9">
        <v>19.5</v>
      </c>
      <c r="Q415" s="79">
        <f>VLOOKUP(VLOOKUP(DATEVALUE(TEXT(A415,"m/d/yyyy")),FY24_Temp[],5,FALSE)&amp;TEXT(A415,"-h"),Table6[],4,FALSE)</f>
        <v>0.5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VLOOKUP(TEXT(A415,"yy-mm")&amp;"-"&amp;IF(AND(WEEKDAY(A415)&gt;1,WEEKDAY(A415)&lt;7),"Wkd",TEXT(A415,"Ddd"))&amp;"-"&amp;TEXT(A415,"hh"),LoadTable[],5,FALSE)*0.92</f>
        <v>279.25312000000002</v>
      </c>
      <c r="U415" s="104">
        <f>VLOOKUP(TEXT(A415,"yy-mm")&amp;"-"&amp;IF(AND(WEEKDAY(A415)&gt;1,WEEKDAY(A415)&lt;7),"Wkd",TEXT(A415,"Ddd"))&amp;"-"&amp;TEXT(A415,"hh"),LoadTable[],6,FALSE)*T415</f>
        <v>14229.063476480002</v>
      </c>
      <c r="V415">
        <f t="shared" ref="V415:W415" si="422">V391</f>
        <v>3</v>
      </c>
      <c r="W415">
        <f t="shared" si="422"/>
        <v>3.1</v>
      </c>
      <c r="X415" s="9">
        <v>2.8921006</v>
      </c>
    </row>
    <row r="416" spans="1:24">
      <c r="A416" s="29">
        <f t="shared" si="391"/>
        <v>45853.208333332332</v>
      </c>
      <c r="B416" s="30">
        <f t="shared" si="415"/>
        <v>5000</v>
      </c>
      <c r="C416" s="8">
        <v>25000</v>
      </c>
      <c r="D416" s="8">
        <v>0</v>
      </c>
      <c r="E416" s="8">
        <v>0</v>
      </c>
      <c r="F416" s="8">
        <v>0</v>
      </c>
      <c r="G416" s="30">
        <f t="shared" si="416"/>
        <v>2400</v>
      </c>
      <c r="H416" s="8">
        <v>25000</v>
      </c>
      <c r="I416" s="30">
        <f t="shared" si="417"/>
        <v>5000</v>
      </c>
      <c r="J416" s="8">
        <v>25000</v>
      </c>
      <c r="K416" s="30">
        <f t="shared" si="418"/>
        <v>5000</v>
      </c>
      <c r="L416" s="8">
        <v>25000</v>
      </c>
      <c r="M416" s="9">
        <f>VLOOKUP(DATE(YEAR(A416),MONTH(A416),DAY(A416)),FY24_Temp[],4,FALSE)</f>
        <v>8.4</v>
      </c>
      <c r="N416" s="9">
        <f>VLOOKUP(DATE(YEAR(A416),MONTH(A416),DAY(A416)),FY24_Temp[],3,FALSE)</f>
        <v>12.8</v>
      </c>
      <c r="O416" s="9">
        <v>13</v>
      </c>
      <c r="P416" s="9">
        <v>19.5</v>
      </c>
      <c r="Q416" s="79">
        <f>VLOOKUP(VLOOKUP(DATEVALUE(TEXT(A416,"m/d/yyyy")),FY24_Temp[],5,FALSE)&amp;TEXT(A416,"-h"),Table6[],4,FALSE)</f>
        <v>0.5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VLOOKUP(TEXT(A416,"yy-mm")&amp;"-"&amp;IF(AND(WEEKDAY(A416)&gt;1,WEEKDAY(A416)&lt;7),"Wkd",TEXT(A416,"Ddd"))&amp;"-"&amp;TEXT(A416,"hh"),LoadTable[],5,FALSE)*0.92</f>
        <v>279.25312000000002</v>
      </c>
      <c r="U416" s="104">
        <f>VLOOKUP(TEXT(A416,"yy-mm")&amp;"-"&amp;IF(AND(WEEKDAY(A416)&gt;1,WEEKDAY(A416)&lt;7),"Wkd",TEXT(A416,"Ddd"))&amp;"-"&amp;TEXT(A416,"hh"),LoadTable[],6,FALSE)*T416</f>
        <v>14735.070129920001</v>
      </c>
      <c r="V416">
        <f t="shared" ref="V416:W416" si="423">V392</f>
        <v>2.9</v>
      </c>
      <c r="W416">
        <f t="shared" si="423"/>
        <v>3.1</v>
      </c>
      <c r="X416" s="9">
        <v>2.9666727000000002</v>
      </c>
    </row>
    <row r="417" spans="1:24">
      <c r="A417" s="29">
        <f t="shared" si="391"/>
        <v>45853.249999998996</v>
      </c>
      <c r="B417" s="30">
        <f t="shared" si="415"/>
        <v>8000</v>
      </c>
      <c r="C417" s="8">
        <v>25000</v>
      </c>
      <c r="D417" s="8">
        <v>0</v>
      </c>
      <c r="E417" s="8">
        <v>0</v>
      </c>
      <c r="F417" s="8">
        <v>0</v>
      </c>
      <c r="G417" s="30">
        <f t="shared" si="416"/>
        <v>2400</v>
      </c>
      <c r="H417" s="8">
        <v>25000</v>
      </c>
      <c r="I417" s="30">
        <f t="shared" si="417"/>
        <v>8000</v>
      </c>
      <c r="J417" s="8">
        <v>25000</v>
      </c>
      <c r="K417" s="30">
        <f t="shared" si="418"/>
        <v>8000</v>
      </c>
      <c r="L417" s="8">
        <v>25000</v>
      </c>
      <c r="M417" s="9">
        <f>VLOOKUP(DATE(YEAR(A417),MONTH(A417),DAY(A417)),FY24_Temp[],4,FALSE)</f>
        <v>8.4</v>
      </c>
      <c r="N417" s="9">
        <f>VLOOKUP(DATE(YEAR(A417),MONTH(A417),DAY(A417)),FY24_Temp[],3,FALSE)</f>
        <v>12.8</v>
      </c>
      <c r="O417" s="9">
        <v>13</v>
      </c>
      <c r="P417" s="9">
        <v>19.5</v>
      </c>
      <c r="Q417" s="79">
        <f>VLOOKUP(VLOOKUP(DATEVALUE(TEXT(A417,"m/d/yyyy")),FY24_Temp[],5,FALSE)&amp;TEXT(A417,"-h"),Table6[],4,FALSE)</f>
        <v>0.5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VLOOKUP(TEXT(A417,"yy-mm")&amp;"-"&amp;IF(AND(WEEKDAY(A417)&gt;1,WEEKDAY(A417)&lt;7),"Wkd",TEXT(A417,"Ddd"))&amp;"-"&amp;TEXT(A417,"hh"),LoadTable[],5,FALSE)*0.92</f>
        <v>279.25312000000002</v>
      </c>
      <c r="U417" s="104">
        <f>VLOOKUP(TEXT(A417,"yy-mm")&amp;"-"&amp;IF(AND(WEEKDAY(A417)&gt;1,WEEKDAY(A417)&lt;7),"Wkd",TEXT(A417,"Ddd"))&amp;"-"&amp;TEXT(A417,"hh"),LoadTable[],6,FALSE)*T417</f>
        <v>26238.902408320002</v>
      </c>
      <c r="V417">
        <f t="shared" ref="V417:W417" si="424">V393</f>
        <v>2.5</v>
      </c>
      <c r="W417">
        <f t="shared" si="424"/>
        <v>3.1</v>
      </c>
      <c r="X417" s="9">
        <v>3.0892305000000002</v>
      </c>
    </row>
    <row r="418" spans="1:24">
      <c r="A418" s="29">
        <f t="shared" si="391"/>
        <v>45853.29166666566</v>
      </c>
      <c r="B418" s="30">
        <f t="shared" si="415"/>
        <v>8000</v>
      </c>
      <c r="C418" s="8">
        <v>25000</v>
      </c>
      <c r="D418" s="8">
        <v>0</v>
      </c>
      <c r="E418" s="8">
        <v>0</v>
      </c>
      <c r="F418" s="8">
        <v>0</v>
      </c>
      <c r="G418" s="30">
        <f t="shared" si="416"/>
        <v>2400</v>
      </c>
      <c r="H418" s="8">
        <v>25000</v>
      </c>
      <c r="I418" s="30">
        <f t="shared" si="417"/>
        <v>8000</v>
      </c>
      <c r="J418" s="8">
        <v>25000</v>
      </c>
      <c r="K418" s="30">
        <f t="shared" si="418"/>
        <v>8000</v>
      </c>
      <c r="L418" s="8">
        <v>25000</v>
      </c>
      <c r="M418" s="9">
        <f>VLOOKUP(DATE(YEAR(A418),MONTH(A418),DAY(A418)),FY24_Temp[],4,FALSE)</f>
        <v>8.4</v>
      </c>
      <c r="N418" s="9">
        <f>VLOOKUP(DATE(YEAR(A418),MONTH(A418),DAY(A418)),FY24_Temp[],3,FALSE)</f>
        <v>12.8</v>
      </c>
      <c r="O418" s="9">
        <v>13</v>
      </c>
      <c r="P418" s="9">
        <v>19.5</v>
      </c>
      <c r="Q418" s="79">
        <f>VLOOKUP(VLOOKUP(DATEVALUE(TEXT(A418,"m/d/yyyy")),FY24_Temp[],5,FALSE)&amp;TEXT(A418,"-h"),Table6[],4,FALSE)</f>
        <v>0.5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VLOOKUP(TEXT(A418,"yy-mm")&amp;"-"&amp;IF(AND(WEEKDAY(A418)&gt;1,WEEKDAY(A418)&lt;7),"Wkd",TEXT(A418,"Ddd"))&amp;"-"&amp;TEXT(A418,"hh"),LoadTable[],5,FALSE)*0.92</f>
        <v>279.25312000000002</v>
      </c>
      <c r="U418" s="104">
        <f>VLOOKUP(TEXT(A418,"yy-mm")&amp;"-"&amp;IF(AND(WEEKDAY(A418)&gt;1,WEEKDAY(A418)&lt;7),"Wkd",TEXT(A418,"Ddd"))&amp;"-"&amp;TEXT(A418,"hh"),LoadTable[],6,FALSE)*T418</f>
        <v>22145.051669120003</v>
      </c>
      <c r="V418">
        <f t="shared" ref="V418:W418" si="425">V394</f>
        <v>2.5</v>
      </c>
      <c r="W418">
        <f t="shared" si="425"/>
        <v>3.1</v>
      </c>
      <c r="X418" s="9">
        <v>3.2333927</v>
      </c>
    </row>
    <row r="419" spans="1:24">
      <c r="A419" s="29">
        <f t="shared" si="391"/>
        <v>45853.333333332324</v>
      </c>
      <c r="B419" s="30">
        <f t="shared" si="415"/>
        <v>8000</v>
      </c>
      <c r="C419" s="8">
        <v>25000</v>
      </c>
      <c r="D419" s="8">
        <v>0</v>
      </c>
      <c r="E419" s="8">
        <v>0</v>
      </c>
      <c r="F419" s="8">
        <v>0</v>
      </c>
      <c r="G419" s="30">
        <f t="shared" si="416"/>
        <v>2400</v>
      </c>
      <c r="H419" s="8">
        <v>25000</v>
      </c>
      <c r="I419" s="30">
        <f t="shared" si="417"/>
        <v>8000</v>
      </c>
      <c r="J419" s="8">
        <v>25000</v>
      </c>
      <c r="K419" s="30">
        <f t="shared" si="418"/>
        <v>8000</v>
      </c>
      <c r="L419" s="8">
        <v>25000</v>
      </c>
      <c r="M419" s="9">
        <f>VLOOKUP(DATE(YEAR(A419),MONTH(A419),DAY(A419)),FY24_Temp[],4,FALSE)</f>
        <v>8.4</v>
      </c>
      <c r="N419" s="9">
        <f>VLOOKUP(DATE(YEAR(A419),MONTH(A419),DAY(A419)),FY24_Temp[],3,FALSE)</f>
        <v>12.8</v>
      </c>
      <c r="O419" s="9">
        <v>13</v>
      </c>
      <c r="P419" s="9">
        <v>19.5</v>
      </c>
      <c r="Q419" s="79">
        <f>VLOOKUP(VLOOKUP(DATEVALUE(TEXT(A419,"m/d/yyyy")),FY24_Temp[],5,FALSE)&amp;TEXT(A419,"-h"),Table6[],4,FALSE)</f>
        <v>0.5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VLOOKUP(TEXT(A419,"yy-mm")&amp;"-"&amp;IF(AND(WEEKDAY(A419)&gt;1,WEEKDAY(A419)&lt;7),"Wkd",TEXT(A419,"Ddd"))&amp;"-"&amp;TEXT(A419,"hh"),LoadTable[],5,FALSE)*0.92</f>
        <v>279.25312000000002</v>
      </c>
      <c r="U419" s="104">
        <f>VLOOKUP(TEXT(A419,"yy-mm")&amp;"-"&amp;IF(AND(WEEKDAY(A419)&gt;1,WEEKDAY(A419)&lt;7),"Wkd",TEXT(A419,"Ddd"))&amp;"-"&amp;TEXT(A419,"hh"),LoadTable[],6,FALSE)*T419</f>
        <v>17686.77560832</v>
      </c>
      <c r="V419">
        <f t="shared" ref="V419:W419" si="426">V395</f>
        <v>3.2</v>
      </c>
      <c r="W419">
        <f t="shared" si="426"/>
        <v>3</v>
      </c>
      <c r="X419" s="9">
        <v>3.2958759999999998</v>
      </c>
    </row>
    <row r="420" spans="1:24">
      <c r="A420" s="29">
        <f t="shared" si="391"/>
        <v>45853.374999998989</v>
      </c>
      <c r="B420" s="30">
        <f t="shared" si="415"/>
        <v>8000</v>
      </c>
      <c r="C420" s="8">
        <v>25000</v>
      </c>
      <c r="D420" s="8">
        <v>0</v>
      </c>
      <c r="E420" s="8">
        <v>0</v>
      </c>
      <c r="F420" s="8">
        <v>0</v>
      </c>
      <c r="G420" s="30">
        <f t="shared" si="416"/>
        <v>2400</v>
      </c>
      <c r="H420" s="8">
        <v>25000</v>
      </c>
      <c r="I420" s="30">
        <f t="shared" si="417"/>
        <v>8000</v>
      </c>
      <c r="J420" s="8">
        <v>25000</v>
      </c>
      <c r="K420" s="30">
        <f t="shared" si="418"/>
        <v>8000</v>
      </c>
      <c r="L420" s="8">
        <v>25000</v>
      </c>
      <c r="M420" s="9">
        <f>VLOOKUP(DATE(YEAR(A420),MONTH(A420),DAY(A420)),FY24_Temp[],4,FALSE)</f>
        <v>8.4</v>
      </c>
      <c r="N420" s="9">
        <f>VLOOKUP(DATE(YEAR(A420),MONTH(A420),DAY(A420)),FY24_Temp[],3,FALSE)</f>
        <v>12.8</v>
      </c>
      <c r="O420" s="9">
        <v>13</v>
      </c>
      <c r="P420" s="9">
        <v>19.5</v>
      </c>
      <c r="Q420" s="79">
        <f>VLOOKUP(VLOOKUP(DATEVALUE(TEXT(A420,"m/d/yyyy")),FY24_Temp[],5,FALSE)&amp;TEXT(A420,"-h"),Table6[],4,FALSE)</f>
        <v>0.5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VLOOKUP(TEXT(A420,"yy-mm")&amp;"-"&amp;IF(AND(WEEKDAY(A420)&gt;1,WEEKDAY(A420)&lt;7),"Wkd",TEXT(A420,"Ddd"))&amp;"-"&amp;TEXT(A420,"hh"),LoadTable[],5,FALSE)*0.92</f>
        <v>279.25312000000002</v>
      </c>
      <c r="U420" s="104">
        <f>VLOOKUP(TEXT(A420,"yy-mm")&amp;"-"&amp;IF(AND(WEEKDAY(A420)&gt;1,WEEKDAY(A420)&lt;7),"Wkd",TEXT(A420,"Ddd"))&amp;"-"&amp;TEXT(A420,"hh"),LoadTable[],6,FALSE)*T420</f>
        <v>14265.924888320002</v>
      </c>
      <c r="V420">
        <f t="shared" ref="V420:W420" si="427">V396</f>
        <v>2.9</v>
      </c>
      <c r="W420">
        <f t="shared" si="427"/>
        <v>3</v>
      </c>
      <c r="X420" s="9">
        <v>3.3353233000000002</v>
      </c>
    </row>
    <row r="421" spans="1:24">
      <c r="A421" s="29">
        <f t="shared" si="391"/>
        <v>45853.416666665653</v>
      </c>
      <c r="B421" s="30">
        <f t="shared" si="415"/>
        <v>8000</v>
      </c>
      <c r="C421" s="8">
        <v>25000</v>
      </c>
      <c r="D421" s="8">
        <v>0</v>
      </c>
      <c r="E421" s="8">
        <v>0</v>
      </c>
      <c r="F421" s="8">
        <v>0</v>
      </c>
      <c r="G421" s="30">
        <f t="shared" si="416"/>
        <v>2400</v>
      </c>
      <c r="H421" s="8">
        <v>25000</v>
      </c>
      <c r="I421" s="30">
        <f t="shared" si="417"/>
        <v>8000</v>
      </c>
      <c r="J421" s="8">
        <v>25000</v>
      </c>
      <c r="K421" s="30">
        <f t="shared" si="418"/>
        <v>8000</v>
      </c>
      <c r="L421" s="8">
        <v>25000</v>
      </c>
      <c r="M421" s="9">
        <f>VLOOKUP(DATE(YEAR(A421),MONTH(A421),DAY(A421)),FY24_Temp[],4,FALSE)</f>
        <v>8.4</v>
      </c>
      <c r="N421" s="9">
        <f>VLOOKUP(DATE(YEAR(A421),MONTH(A421),DAY(A421)),FY24_Temp[],3,FALSE)</f>
        <v>12.8</v>
      </c>
      <c r="O421" s="9">
        <v>13</v>
      </c>
      <c r="P421" s="9">
        <v>19.5</v>
      </c>
      <c r="Q421" s="79">
        <f>VLOOKUP(VLOOKUP(DATEVALUE(TEXT(A421,"m/d/yyyy")),FY24_Temp[],5,FALSE)&amp;TEXT(A421,"-h"),Table6[],4,FALSE)</f>
        <v>0.5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VLOOKUP(TEXT(A421,"yy-mm")&amp;"-"&amp;IF(AND(WEEKDAY(A421)&gt;1,WEEKDAY(A421)&lt;7),"Wkd",TEXT(A421,"Ddd"))&amp;"-"&amp;TEXT(A421,"hh"),LoadTable[],5,FALSE)*0.92</f>
        <v>279.25312000000002</v>
      </c>
      <c r="U421" s="104">
        <f>VLOOKUP(TEXT(A421,"yy-mm")&amp;"-"&amp;IF(AND(WEEKDAY(A421)&gt;1,WEEKDAY(A421)&lt;7),"Wkd",TEXT(A421,"Ddd"))&amp;"-"&amp;TEXT(A421,"hh"),LoadTable[],6,FALSE)*T421</f>
        <v>13649.054746240003</v>
      </c>
      <c r="V421">
        <f t="shared" ref="V421:W421" si="428">V397</f>
        <v>2.9</v>
      </c>
      <c r="W421">
        <f t="shared" si="428"/>
        <v>3</v>
      </c>
      <c r="X421" s="9">
        <v>3.4043614999999998</v>
      </c>
    </row>
    <row r="422" spans="1:24">
      <c r="A422" s="29">
        <f t="shared" si="391"/>
        <v>45853.458333332317</v>
      </c>
      <c r="B422" s="30">
        <f t="shared" si="415"/>
        <v>8000</v>
      </c>
      <c r="C422" s="8">
        <v>25000</v>
      </c>
      <c r="D422" s="8">
        <v>0</v>
      </c>
      <c r="E422" s="8">
        <v>0</v>
      </c>
      <c r="F422" s="8">
        <v>0</v>
      </c>
      <c r="G422" s="30">
        <f t="shared" si="416"/>
        <v>2400</v>
      </c>
      <c r="H422" s="8">
        <v>25000</v>
      </c>
      <c r="I422" s="30">
        <f t="shared" si="417"/>
        <v>8000</v>
      </c>
      <c r="J422" s="8">
        <v>25000</v>
      </c>
      <c r="K422" s="30">
        <f t="shared" si="418"/>
        <v>8000</v>
      </c>
      <c r="L422" s="8">
        <v>25000</v>
      </c>
      <c r="M422" s="9">
        <f>VLOOKUP(DATE(YEAR(A422),MONTH(A422),DAY(A422)),FY24_Temp[],4,FALSE)</f>
        <v>8.4</v>
      </c>
      <c r="N422" s="9">
        <f>VLOOKUP(DATE(YEAR(A422),MONTH(A422),DAY(A422)),FY24_Temp[],3,FALSE)</f>
        <v>12.8</v>
      </c>
      <c r="O422" s="9">
        <v>13</v>
      </c>
      <c r="P422" s="9">
        <v>19.5</v>
      </c>
      <c r="Q422" s="79">
        <f>VLOOKUP(VLOOKUP(DATEVALUE(TEXT(A422,"m/d/yyyy")),FY24_Temp[],5,FALSE)&amp;TEXT(A422,"-h"),Table6[],4,FALSE)</f>
        <v>0.5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VLOOKUP(TEXT(A422,"yy-mm")&amp;"-"&amp;IF(AND(WEEKDAY(A422)&gt;1,WEEKDAY(A422)&lt;7),"Wkd",TEXT(A422,"Ddd"))&amp;"-"&amp;TEXT(A422,"hh"),LoadTable[],5,FALSE)*0.92</f>
        <v>279.25312000000002</v>
      </c>
      <c r="U422" s="104">
        <f>VLOOKUP(TEXT(A422,"yy-mm")&amp;"-"&amp;IF(AND(WEEKDAY(A422)&gt;1,WEEKDAY(A422)&lt;7),"Wkd",TEXT(A422,"Ddd"))&amp;"-"&amp;TEXT(A422,"hh"),LoadTable[],6,FALSE)*T422</f>
        <v>13153.938964480001</v>
      </c>
      <c r="V422">
        <f t="shared" ref="V422:W422" si="429">V398</f>
        <v>3.4</v>
      </c>
      <c r="W422">
        <f t="shared" si="429"/>
        <v>3</v>
      </c>
      <c r="X422" s="9">
        <v>3.3494524999999999</v>
      </c>
    </row>
    <row r="423" spans="1:24">
      <c r="A423" s="29">
        <f t="shared" si="391"/>
        <v>45853.499999998981</v>
      </c>
      <c r="B423" s="30">
        <f t="shared" si="415"/>
        <v>8000</v>
      </c>
      <c r="C423" s="8">
        <v>25000</v>
      </c>
      <c r="D423" s="8">
        <v>0</v>
      </c>
      <c r="E423" s="8">
        <v>0</v>
      </c>
      <c r="F423" s="8">
        <v>0</v>
      </c>
      <c r="G423" s="30">
        <f t="shared" si="416"/>
        <v>2400</v>
      </c>
      <c r="H423" s="8">
        <v>25000</v>
      </c>
      <c r="I423" s="30">
        <f t="shared" si="417"/>
        <v>8000</v>
      </c>
      <c r="J423" s="8">
        <v>25000</v>
      </c>
      <c r="K423" s="30">
        <f t="shared" si="418"/>
        <v>8000</v>
      </c>
      <c r="L423" s="8">
        <v>25000</v>
      </c>
      <c r="M423" s="9">
        <f>VLOOKUP(DATE(YEAR(A423),MONTH(A423),DAY(A423)),FY24_Temp[],4,FALSE)</f>
        <v>8.4</v>
      </c>
      <c r="N423" s="9">
        <f>VLOOKUP(DATE(YEAR(A423),MONTH(A423),DAY(A423)),FY24_Temp[],3,FALSE)</f>
        <v>12.8</v>
      </c>
      <c r="O423" s="9">
        <v>13</v>
      </c>
      <c r="P423" s="9">
        <v>19.5</v>
      </c>
      <c r="Q423" s="79">
        <f>VLOOKUP(VLOOKUP(DATEVALUE(TEXT(A423,"m/d/yyyy")),FY24_Temp[],5,FALSE)&amp;TEXT(A423,"-h"),Table6[],4,FALSE)</f>
        <v>0.5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VLOOKUP(TEXT(A423,"yy-mm")&amp;"-"&amp;IF(AND(WEEKDAY(A423)&gt;1,WEEKDAY(A423)&lt;7),"Wkd",TEXT(A423,"Ddd"))&amp;"-"&amp;TEXT(A423,"hh"),LoadTable[],5,FALSE)*0.92</f>
        <v>279.25312000000002</v>
      </c>
      <c r="U423" s="104">
        <f>VLOOKUP(TEXT(A423,"yy-mm")&amp;"-"&amp;IF(AND(WEEKDAY(A423)&gt;1,WEEKDAY(A423)&lt;7),"Wkd",TEXT(A423,"Ddd"))&amp;"-"&amp;TEXT(A423,"hh"),LoadTable[],6,FALSE)*T423</f>
        <v>13898.427782400002</v>
      </c>
      <c r="V423">
        <f t="shared" ref="V423:W423" si="430">V399</f>
        <v>3.1</v>
      </c>
      <c r="W423">
        <f t="shared" si="430"/>
        <v>2.9</v>
      </c>
      <c r="X423" s="9">
        <v>3.2146881</v>
      </c>
    </row>
    <row r="424" spans="1:24">
      <c r="A424" s="29">
        <f t="shared" si="391"/>
        <v>45853.541666665646</v>
      </c>
      <c r="B424" s="30">
        <f t="shared" si="415"/>
        <v>8000</v>
      </c>
      <c r="C424" s="8">
        <v>25000</v>
      </c>
      <c r="D424" s="8">
        <v>0</v>
      </c>
      <c r="E424" s="8">
        <v>0</v>
      </c>
      <c r="F424" s="8">
        <v>0</v>
      </c>
      <c r="G424" s="30">
        <f t="shared" si="416"/>
        <v>2400</v>
      </c>
      <c r="H424" s="8">
        <v>25000</v>
      </c>
      <c r="I424" s="30">
        <f t="shared" si="417"/>
        <v>8000</v>
      </c>
      <c r="J424" s="8">
        <v>25000</v>
      </c>
      <c r="K424" s="30">
        <f t="shared" si="418"/>
        <v>8000</v>
      </c>
      <c r="L424" s="8">
        <v>25000</v>
      </c>
      <c r="M424" s="9">
        <f>VLOOKUP(DATE(YEAR(A424),MONTH(A424),DAY(A424)),FY24_Temp[],4,FALSE)</f>
        <v>8.4</v>
      </c>
      <c r="N424" s="9">
        <f>VLOOKUP(DATE(YEAR(A424),MONTH(A424),DAY(A424)),FY24_Temp[],3,FALSE)</f>
        <v>12.8</v>
      </c>
      <c r="O424" s="9">
        <v>13</v>
      </c>
      <c r="P424" s="9">
        <v>19.5</v>
      </c>
      <c r="Q424" s="79">
        <f>VLOOKUP(VLOOKUP(DATEVALUE(TEXT(A424,"m/d/yyyy")),FY24_Temp[],5,FALSE)&amp;TEXT(A424,"-h"),Table6[],4,FALSE)</f>
        <v>0.5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VLOOKUP(TEXT(A424,"yy-mm")&amp;"-"&amp;IF(AND(WEEKDAY(A424)&gt;1,WEEKDAY(A424)&lt;7),"Wkd",TEXT(A424,"Ddd"))&amp;"-"&amp;TEXT(A424,"hh"),LoadTable[],5,FALSE)*0.92</f>
        <v>279.25312000000002</v>
      </c>
      <c r="U424" s="104">
        <f>VLOOKUP(TEXT(A424,"yy-mm")&amp;"-"&amp;IF(AND(WEEKDAY(A424)&gt;1,WEEKDAY(A424)&lt;7),"Wkd",TEXT(A424,"Ddd"))&amp;"-"&amp;TEXT(A424,"hh"),LoadTable[],6,FALSE)*T424</f>
        <v>16526.1996416</v>
      </c>
      <c r="V424">
        <f t="shared" ref="V424:W424" si="431">V400</f>
        <v>3.2</v>
      </c>
      <c r="W424">
        <f t="shared" si="431"/>
        <v>2.9</v>
      </c>
      <c r="X424" s="9">
        <v>3.0306571</v>
      </c>
    </row>
    <row r="425" spans="1:24">
      <c r="A425" s="29">
        <f t="shared" si="391"/>
        <v>45853.58333333231</v>
      </c>
      <c r="B425" s="30">
        <f t="shared" si="415"/>
        <v>8000</v>
      </c>
      <c r="C425" s="8">
        <v>25000</v>
      </c>
      <c r="D425" s="8">
        <v>0</v>
      </c>
      <c r="E425" s="8">
        <v>0</v>
      </c>
      <c r="F425" s="8">
        <v>0</v>
      </c>
      <c r="G425" s="30">
        <f t="shared" si="416"/>
        <v>2400</v>
      </c>
      <c r="H425" s="8">
        <v>25000</v>
      </c>
      <c r="I425" s="30">
        <f t="shared" si="417"/>
        <v>8000</v>
      </c>
      <c r="J425" s="8">
        <v>25000</v>
      </c>
      <c r="K425" s="30">
        <f t="shared" si="418"/>
        <v>8000</v>
      </c>
      <c r="L425" s="8">
        <v>25000</v>
      </c>
      <c r="M425" s="9">
        <f>VLOOKUP(DATE(YEAR(A425),MONTH(A425),DAY(A425)),FY24_Temp[],4,FALSE)</f>
        <v>8.4</v>
      </c>
      <c r="N425" s="9">
        <f>VLOOKUP(DATE(YEAR(A425),MONTH(A425),DAY(A425)),FY24_Temp[],3,FALSE)</f>
        <v>12.8</v>
      </c>
      <c r="O425" s="9">
        <v>13</v>
      </c>
      <c r="P425" s="9">
        <v>19.5</v>
      </c>
      <c r="Q425" s="79">
        <f>VLOOKUP(VLOOKUP(DATEVALUE(TEXT(A425,"m/d/yyyy")),FY24_Temp[],5,FALSE)&amp;TEXT(A425,"-h"),Table6[],4,FALSE)</f>
        <v>0.5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VLOOKUP(TEXT(A425,"yy-mm")&amp;"-"&amp;IF(AND(WEEKDAY(A425)&gt;1,WEEKDAY(A425)&lt;7),"Wkd",TEXT(A425,"Ddd"))&amp;"-"&amp;TEXT(A425,"hh"),LoadTable[],5,FALSE)*0.92</f>
        <v>373.26607999999999</v>
      </c>
      <c r="U425" s="104">
        <f>VLOOKUP(TEXT(A425,"yy-mm")&amp;"-"&amp;IF(AND(WEEKDAY(A425)&gt;1,WEEKDAY(A425)&lt;7),"Wkd",TEXT(A425,"Ddd"))&amp;"-"&amp;TEXT(A425,"hh"),LoadTable[],6,FALSE)*T425</f>
        <v>27132.338089119996</v>
      </c>
      <c r="V425">
        <f t="shared" ref="V425:W425" si="432">V401</f>
        <v>3.5</v>
      </c>
      <c r="W425">
        <f t="shared" si="432"/>
        <v>2.9</v>
      </c>
      <c r="X425" s="9">
        <v>3.0173942999999999</v>
      </c>
    </row>
    <row r="426" spans="1:24">
      <c r="A426" s="29">
        <f t="shared" si="391"/>
        <v>45853.624999998974</v>
      </c>
      <c r="B426" s="30">
        <f t="shared" si="415"/>
        <v>8000</v>
      </c>
      <c r="C426" s="8">
        <v>25000</v>
      </c>
      <c r="D426" s="8">
        <v>0</v>
      </c>
      <c r="E426" s="8">
        <v>0</v>
      </c>
      <c r="F426" s="8">
        <v>0</v>
      </c>
      <c r="G426" s="30">
        <f t="shared" si="416"/>
        <v>2400</v>
      </c>
      <c r="H426" s="8">
        <v>25000</v>
      </c>
      <c r="I426" s="30">
        <f t="shared" si="417"/>
        <v>8000</v>
      </c>
      <c r="J426" s="8">
        <v>25000</v>
      </c>
      <c r="K426" s="30">
        <f t="shared" si="418"/>
        <v>8000</v>
      </c>
      <c r="L426" s="8">
        <v>25000</v>
      </c>
      <c r="M426" s="9">
        <f>VLOOKUP(DATE(YEAR(A426),MONTH(A426),DAY(A426)),FY24_Temp[],4,FALSE)</f>
        <v>8.4</v>
      </c>
      <c r="N426" s="9">
        <f>VLOOKUP(DATE(YEAR(A426),MONTH(A426),DAY(A426)),FY24_Temp[],3,FALSE)</f>
        <v>12.8</v>
      </c>
      <c r="O426" s="9">
        <v>13</v>
      </c>
      <c r="P426" s="9">
        <v>19.5</v>
      </c>
      <c r="Q426" s="79">
        <f>VLOOKUP(VLOOKUP(DATEVALUE(TEXT(A426,"m/d/yyyy")),FY24_Temp[],5,FALSE)&amp;TEXT(A426,"-h"),Table6[],4,FALSE)</f>
        <v>0.5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VLOOKUP(TEXT(A426,"yy-mm")&amp;"-"&amp;IF(AND(WEEKDAY(A426)&gt;1,WEEKDAY(A426)&lt;7),"Wkd",TEXT(A426,"Ddd"))&amp;"-"&amp;TEXT(A426,"hh"),LoadTable[],5,FALSE)*0.92</f>
        <v>494.57360000000006</v>
      </c>
      <c r="U426" s="104">
        <f>VLOOKUP(TEXT(A426,"yy-mm")&amp;"-"&amp;IF(AND(WEEKDAY(A426)&gt;1,WEEKDAY(A426)&lt;7),"Wkd",TEXT(A426,"Ddd"))&amp;"-"&amp;TEXT(A426,"hh"),LoadTable[],6,FALSE)*T426</f>
        <v>42310.771480000003</v>
      </c>
      <c r="V426">
        <f t="shared" ref="V426:W426" si="433">V402</f>
        <v>3.2</v>
      </c>
      <c r="W426">
        <f t="shared" si="433"/>
        <v>2.9</v>
      </c>
      <c r="X426" s="9">
        <v>3.3398889999999999</v>
      </c>
    </row>
    <row r="427" spans="1:24">
      <c r="A427" s="29">
        <f t="shared" si="391"/>
        <v>45853.666666665638</v>
      </c>
      <c r="B427" s="30">
        <f t="shared" si="415"/>
        <v>8000</v>
      </c>
      <c r="C427" s="8">
        <v>25000</v>
      </c>
      <c r="D427" s="8">
        <v>0</v>
      </c>
      <c r="E427" s="8">
        <v>0</v>
      </c>
      <c r="F427" s="8">
        <v>0</v>
      </c>
      <c r="G427" s="30">
        <f t="shared" si="416"/>
        <v>2400</v>
      </c>
      <c r="H427" s="8">
        <v>25000</v>
      </c>
      <c r="I427" s="30">
        <f t="shared" si="417"/>
        <v>8000</v>
      </c>
      <c r="J427" s="8">
        <v>25000</v>
      </c>
      <c r="K427" s="30">
        <f t="shared" si="418"/>
        <v>8000</v>
      </c>
      <c r="L427" s="8">
        <v>25000</v>
      </c>
      <c r="M427" s="9">
        <f>VLOOKUP(DATE(YEAR(A427),MONTH(A427),DAY(A427)),FY24_Temp[],4,FALSE)</f>
        <v>8.4</v>
      </c>
      <c r="N427" s="9">
        <f>VLOOKUP(DATE(YEAR(A427),MONTH(A427),DAY(A427)),FY24_Temp[],3,FALSE)</f>
        <v>12.8</v>
      </c>
      <c r="O427" s="9">
        <v>13</v>
      </c>
      <c r="P427" s="9">
        <v>19.5</v>
      </c>
      <c r="Q427" s="79">
        <f>VLOOKUP(VLOOKUP(DATEVALUE(TEXT(A427,"m/d/yyyy")),FY24_Temp[],5,FALSE)&amp;TEXT(A427,"-h"),Table6[],4,FALSE)</f>
        <v>0.5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VLOOKUP(TEXT(A427,"yy-mm")&amp;"-"&amp;IF(AND(WEEKDAY(A427)&gt;1,WEEKDAY(A427)&lt;7),"Wkd",TEXT(A427,"Ddd"))&amp;"-"&amp;TEXT(A427,"hh"),LoadTable[],5,FALSE)*0.92</f>
        <v>494.57360000000006</v>
      </c>
      <c r="U427" s="104">
        <f>VLOOKUP(TEXT(A427,"yy-mm")&amp;"-"&amp;IF(AND(WEEKDAY(A427)&gt;1,WEEKDAY(A427)&lt;7),"Wkd",TEXT(A427,"Ddd"))&amp;"-"&amp;TEXT(A427,"hh"),LoadTable[],6,FALSE)*T427</f>
        <v>50694.28857360001</v>
      </c>
      <c r="V427">
        <f t="shared" ref="V427:W427" si="434">V403</f>
        <v>3.5</v>
      </c>
      <c r="W427">
        <f t="shared" si="434"/>
        <v>3</v>
      </c>
      <c r="X427" s="9">
        <v>3.2384881999999999</v>
      </c>
    </row>
    <row r="428" spans="1:24">
      <c r="A428" s="29">
        <f t="shared" si="391"/>
        <v>45853.708333332303</v>
      </c>
      <c r="B428" s="30">
        <f t="shared" si="415"/>
        <v>8000</v>
      </c>
      <c r="C428" s="8">
        <v>25000</v>
      </c>
      <c r="D428" s="8">
        <v>0</v>
      </c>
      <c r="E428" s="8">
        <v>0</v>
      </c>
      <c r="F428" s="8">
        <v>0</v>
      </c>
      <c r="G428" s="30">
        <f t="shared" si="416"/>
        <v>2400</v>
      </c>
      <c r="H428" s="8">
        <v>25000</v>
      </c>
      <c r="I428" s="30">
        <f t="shared" si="417"/>
        <v>8000</v>
      </c>
      <c r="J428" s="8">
        <v>25000</v>
      </c>
      <c r="K428" s="30">
        <f t="shared" si="418"/>
        <v>8000</v>
      </c>
      <c r="L428" s="8">
        <v>25000</v>
      </c>
      <c r="M428" s="9">
        <f>VLOOKUP(DATE(YEAR(A428),MONTH(A428),DAY(A428)),FY24_Temp[],4,FALSE)</f>
        <v>8.4</v>
      </c>
      <c r="N428" s="9">
        <f>VLOOKUP(DATE(YEAR(A428),MONTH(A428),DAY(A428)),FY24_Temp[],3,FALSE)</f>
        <v>12.8</v>
      </c>
      <c r="O428" s="9">
        <v>13</v>
      </c>
      <c r="P428" s="9">
        <v>19.5</v>
      </c>
      <c r="Q428" s="79">
        <f>VLOOKUP(VLOOKUP(DATEVALUE(TEXT(A428,"m/d/yyyy")),FY24_Temp[],5,FALSE)&amp;TEXT(A428,"-h"),Table6[],4,FALSE)</f>
        <v>0.5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VLOOKUP(TEXT(A428,"yy-mm")&amp;"-"&amp;IF(AND(WEEKDAY(A428)&gt;1,WEEKDAY(A428)&lt;7),"Wkd",TEXT(A428,"Ddd"))&amp;"-"&amp;TEXT(A428,"hh"),LoadTable[],5,FALSE)*0.92</f>
        <v>494.57360000000006</v>
      </c>
      <c r="U428" s="104">
        <f>VLOOKUP(TEXT(A428,"yy-mm")&amp;"-"&amp;IF(AND(WEEKDAY(A428)&gt;1,WEEKDAY(A428)&lt;7),"Wkd",TEXT(A428,"Ddd"))&amp;"-"&amp;TEXT(A428,"hh"),LoadTable[],6,FALSE)*T428</f>
        <v>56025.791981600007</v>
      </c>
      <c r="V428">
        <f t="shared" ref="V428:W428" si="435">V404</f>
        <v>3.6</v>
      </c>
      <c r="W428">
        <f t="shared" si="435"/>
        <v>3</v>
      </c>
      <c r="X428" s="9">
        <v>3.1583163999999999</v>
      </c>
    </row>
    <row r="429" spans="1:24">
      <c r="A429" s="29">
        <f t="shared" si="391"/>
        <v>45853.749999998967</v>
      </c>
      <c r="B429" s="30">
        <f t="shared" si="415"/>
        <v>5000</v>
      </c>
      <c r="C429" s="8">
        <v>25000</v>
      </c>
      <c r="D429" s="8">
        <v>0</v>
      </c>
      <c r="E429" s="8">
        <v>0</v>
      </c>
      <c r="F429" s="8">
        <v>0</v>
      </c>
      <c r="G429" s="30">
        <f t="shared" si="416"/>
        <v>2400</v>
      </c>
      <c r="H429" s="8">
        <v>25000</v>
      </c>
      <c r="I429" s="30">
        <f t="shared" si="417"/>
        <v>5000</v>
      </c>
      <c r="J429" s="8">
        <v>25000</v>
      </c>
      <c r="K429" s="30">
        <f t="shared" si="418"/>
        <v>5000</v>
      </c>
      <c r="L429" s="8">
        <v>25000</v>
      </c>
      <c r="M429" s="9">
        <f>VLOOKUP(DATE(YEAR(A429),MONTH(A429),DAY(A429)),FY24_Temp[],4,FALSE)</f>
        <v>8.4</v>
      </c>
      <c r="N429" s="9">
        <f>VLOOKUP(DATE(YEAR(A429),MONTH(A429),DAY(A429)),FY24_Temp[],3,FALSE)</f>
        <v>12.8</v>
      </c>
      <c r="O429" s="9">
        <v>13</v>
      </c>
      <c r="P429" s="9">
        <v>19.5</v>
      </c>
      <c r="Q429" s="79">
        <f>VLOOKUP(VLOOKUP(DATEVALUE(TEXT(A429,"m/d/yyyy")),FY24_Temp[],5,FALSE)&amp;TEXT(A429,"-h"),Table6[],4,FALSE)</f>
        <v>0.5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VLOOKUP(TEXT(A429,"yy-mm")&amp;"-"&amp;IF(AND(WEEKDAY(A429)&gt;1,WEEKDAY(A429)&lt;7),"Wkd",TEXT(A429,"Ddd"))&amp;"-"&amp;TEXT(A429,"hh"),LoadTable[],5,FALSE)*0.92</f>
        <v>494.57360000000006</v>
      </c>
      <c r="U429" s="104">
        <f>VLOOKUP(TEXT(A429,"yy-mm")&amp;"-"&amp;IF(AND(WEEKDAY(A429)&gt;1,WEEKDAY(A429)&lt;7),"Wkd",TEXT(A429,"Ddd"))&amp;"-"&amp;TEXT(A429,"hh"),LoadTable[],6,FALSE)*T429</f>
        <v>60164.383866400007</v>
      </c>
      <c r="V429">
        <f t="shared" ref="V429:W429" si="436">V405</f>
        <v>2.9</v>
      </c>
      <c r="W429">
        <f t="shared" si="436"/>
        <v>3</v>
      </c>
      <c r="X429" s="9">
        <v>3.1374946000000001</v>
      </c>
    </row>
    <row r="430" spans="1:24">
      <c r="A430" s="29">
        <f t="shared" si="391"/>
        <v>45853.791666665631</v>
      </c>
      <c r="B430" s="30">
        <f t="shared" si="415"/>
        <v>5000</v>
      </c>
      <c r="C430" s="8">
        <v>25000</v>
      </c>
      <c r="D430" s="8">
        <v>0</v>
      </c>
      <c r="E430" s="8">
        <v>0</v>
      </c>
      <c r="F430" s="8">
        <v>0</v>
      </c>
      <c r="G430" s="30">
        <f t="shared" si="416"/>
        <v>2400</v>
      </c>
      <c r="H430" s="8">
        <v>25000</v>
      </c>
      <c r="I430" s="30">
        <f t="shared" si="417"/>
        <v>5000</v>
      </c>
      <c r="J430" s="8">
        <v>25000</v>
      </c>
      <c r="K430" s="30">
        <f t="shared" si="418"/>
        <v>5000</v>
      </c>
      <c r="L430" s="8">
        <v>25000</v>
      </c>
      <c r="M430" s="9">
        <f>VLOOKUP(DATE(YEAR(A430),MONTH(A430),DAY(A430)),FY24_Temp[],4,FALSE)</f>
        <v>8.4</v>
      </c>
      <c r="N430" s="9">
        <f>VLOOKUP(DATE(YEAR(A430),MONTH(A430),DAY(A430)),FY24_Temp[],3,FALSE)</f>
        <v>12.8</v>
      </c>
      <c r="O430" s="9">
        <v>13</v>
      </c>
      <c r="P430" s="9">
        <v>19.5</v>
      </c>
      <c r="Q430" s="79">
        <f>VLOOKUP(VLOOKUP(DATEVALUE(TEXT(A430,"m/d/yyyy")),FY24_Temp[],5,FALSE)&amp;TEXT(A430,"-h"),Table6[],4,FALSE)</f>
        <v>0.5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VLOOKUP(TEXT(A430,"yy-mm")&amp;"-"&amp;IF(AND(WEEKDAY(A430)&gt;1,WEEKDAY(A430)&lt;7),"Wkd",TEXT(A430,"Ddd"))&amp;"-"&amp;TEXT(A430,"hh"),LoadTable[],5,FALSE)*0.92</f>
        <v>494.57360000000006</v>
      </c>
      <c r="U430" s="104">
        <f>VLOOKUP(TEXT(A430,"yy-mm")&amp;"-"&amp;IF(AND(WEEKDAY(A430)&gt;1,WEEKDAY(A430)&lt;7),"Wkd",TEXT(A430,"Ddd"))&amp;"-"&amp;TEXT(A430,"hh"),LoadTable[],6,FALSE)*T430</f>
        <v>60548.172980000003</v>
      </c>
      <c r="V430">
        <f t="shared" ref="V430:W430" si="437">V406</f>
        <v>3</v>
      </c>
      <c r="W430">
        <f t="shared" si="437"/>
        <v>3</v>
      </c>
      <c r="X430" s="9">
        <v>3.0977394999999999</v>
      </c>
    </row>
    <row r="431" spans="1:24">
      <c r="A431" s="29">
        <f t="shared" si="391"/>
        <v>45853.833333332295</v>
      </c>
      <c r="B431" s="30">
        <f t="shared" si="415"/>
        <v>5000</v>
      </c>
      <c r="C431" s="8">
        <v>25000</v>
      </c>
      <c r="D431" s="8">
        <v>0</v>
      </c>
      <c r="E431" s="8">
        <v>0</v>
      </c>
      <c r="F431" s="8">
        <v>0</v>
      </c>
      <c r="G431" s="30">
        <f t="shared" si="416"/>
        <v>2400</v>
      </c>
      <c r="H431" s="8">
        <v>25000</v>
      </c>
      <c r="I431" s="30">
        <f t="shared" si="417"/>
        <v>5000</v>
      </c>
      <c r="J431" s="8">
        <v>25000</v>
      </c>
      <c r="K431" s="30">
        <f t="shared" si="418"/>
        <v>5000</v>
      </c>
      <c r="L431" s="8">
        <v>25000</v>
      </c>
      <c r="M431" s="9">
        <f>VLOOKUP(DATE(YEAR(A431),MONTH(A431),DAY(A431)),FY24_Temp[],4,FALSE)</f>
        <v>8.4</v>
      </c>
      <c r="N431" s="9">
        <f>VLOOKUP(DATE(YEAR(A431),MONTH(A431),DAY(A431)),FY24_Temp[],3,FALSE)</f>
        <v>12.8</v>
      </c>
      <c r="O431" s="9">
        <v>13</v>
      </c>
      <c r="P431" s="9">
        <v>19.5</v>
      </c>
      <c r="Q431" s="79">
        <f>VLOOKUP(VLOOKUP(DATEVALUE(TEXT(A431,"m/d/yyyy")),FY24_Temp[],5,FALSE)&amp;TEXT(A431,"-h"),Table6[],4,FALSE)</f>
        <v>0.5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VLOOKUP(TEXT(A431,"yy-mm")&amp;"-"&amp;IF(AND(WEEKDAY(A431)&gt;1,WEEKDAY(A431)&lt;7),"Wkd",TEXT(A431,"Ddd"))&amp;"-"&amp;TEXT(A431,"hh"),LoadTable[],5,FALSE)*0.92</f>
        <v>494.57360000000006</v>
      </c>
      <c r="U431" s="104">
        <f>VLOOKUP(TEXT(A431,"yy-mm")&amp;"-"&amp;IF(AND(WEEKDAY(A431)&gt;1,WEEKDAY(A431)&lt;7),"Wkd",TEXT(A431,"Ddd"))&amp;"-"&amp;TEXT(A431,"hh"),LoadTable[],6,FALSE)*T431</f>
        <v>60532.346624800004</v>
      </c>
      <c r="V431">
        <f t="shared" ref="V431:W431" si="438">V407</f>
        <v>2.8</v>
      </c>
      <c r="W431">
        <f t="shared" si="438"/>
        <v>3.1</v>
      </c>
      <c r="X431" s="9">
        <v>3.0590174000000001</v>
      </c>
    </row>
    <row r="432" spans="1:24">
      <c r="A432" s="29">
        <f t="shared" si="391"/>
        <v>45853.87499999896</v>
      </c>
      <c r="B432" s="30">
        <f t="shared" si="415"/>
        <v>5000</v>
      </c>
      <c r="C432" s="8">
        <v>25000</v>
      </c>
      <c r="D432" s="8">
        <v>0</v>
      </c>
      <c r="E432" s="8">
        <v>0</v>
      </c>
      <c r="F432" s="8">
        <v>0</v>
      </c>
      <c r="G432" s="30">
        <f t="shared" si="416"/>
        <v>2400</v>
      </c>
      <c r="H432" s="8">
        <v>25000</v>
      </c>
      <c r="I432" s="30">
        <f t="shared" si="417"/>
        <v>5000</v>
      </c>
      <c r="J432" s="8">
        <v>25000</v>
      </c>
      <c r="K432" s="30">
        <f t="shared" si="418"/>
        <v>5000</v>
      </c>
      <c r="L432" s="8">
        <v>25000</v>
      </c>
      <c r="M432" s="9">
        <f>VLOOKUP(DATE(YEAR(A432),MONTH(A432),DAY(A432)),FY24_Temp[],4,FALSE)</f>
        <v>8.4</v>
      </c>
      <c r="N432" s="9">
        <f>VLOOKUP(DATE(YEAR(A432),MONTH(A432),DAY(A432)),FY24_Temp[],3,FALSE)</f>
        <v>12.8</v>
      </c>
      <c r="O432" s="9">
        <v>13</v>
      </c>
      <c r="P432" s="9">
        <v>19.5</v>
      </c>
      <c r="Q432" s="79">
        <f>VLOOKUP(VLOOKUP(DATEVALUE(TEXT(A432,"m/d/yyyy")),FY24_Temp[],5,FALSE)&amp;TEXT(A432,"-h"),Table6[],4,FALSE)</f>
        <v>0.5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VLOOKUP(TEXT(A432,"yy-mm")&amp;"-"&amp;IF(AND(WEEKDAY(A432)&gt;1,WEEKDAY(A432)&lt;7),"Wkd",TEXT(A432,"Ddd"))&amp;"-"&amp;TEXT(A432,"hh"),LoadTable[],5,FALSE)*0.92</f>
        <v>494.57360000000006</v>
      </c>
      <c r="U432" s="104">
        <f>VLOOKUP(TEXT(A432,"yy-mm")&amp;"-"&amp;IF(AND(WEEKDAY(A432)&gt;1,WEEKDAY(A432)&lt;7),"Wkd",TEXT(A432,"Ddd"))&amp;"-"&amp;TEXT(A432,"hh"),LoadTable[],6,FALSE)*T432</f>
        <v>58481.349905600007</v>
      </c>
      <c r="V432">
        <f t="shared" ref="V432:W432" si="439">V408</f>
        <v>3.5</v>
      </c>
      <c r="W432">
        <f t="shared" si="439"/>
        <v>3.1</v>
      </c>
      <c r="X432" s="9">
        <v>3.0243745</v>
      </c>
    </row>
    <row r="433" spans="1:24">
      <c r="A433" s="29">
        <f t="shared" si="391"/>
        <v>45853.916666665624</v>
      </c>
      <c r="B433" s="30">
        <f t="shared" si="415"/>
        <v>5000</v>
      </c>
      <c r="C433" s="8">
        <v>25000</v>
      </c>
      <c r="D433" s="8">
        <v>0</v>
      </c>
      <c r="E433" s="8">
        <v>0</v>
      </c>
      <c r="F433" s="8">
        <v>0</v>
      </c>
      <c r="G433" s="30">
        <f t="shared" si="416"/>
        <v>2400</v>
      </c>
      <c r="H433" s="8">
        <v>25000</v>
      </c>
      <c r="I433" s="30">
        <f t="shared" si="417"/>
        <v>5000</v>
      </c>
      <c r="J433" s="8">
        <v>25000</v>
      </c>
      <c r="K433" s="30">
        <f t="shared" si="418"/>
        <v>5000</v>
      </c>
      <c r="L433" s="8">
        <v>25000</v>
      </c>
      <c r="M433" s="9">
        <f>VLOOKUP(DATE(YEAR(A433),MONTH(A433),DAY(A433)),FY24_Temp[],4,FALSE)</f>
        <v>8.4</v>
      </c>
      <c r="N433" s="9">
        <f>VLOOKUP(DATE(YEAR(A433),MONTH(A433),DAY(A433)),FY24_Temp[],3,FALSE)</f>
        <v>12.8</v>
      </c>
      <c r="O433" s="9">
        <v>13</v>
      </c>
      <c r="P433" s="9">
        <v>19.5</v>
      </c>
      <c r="Q433" s="79">
        <f>VLOOKUP(VLOOKUP(DATEVALUE(TEXT(A433,"m/d/yyyy")),FY24_Temp[],5,FALSE)&amp;TEXT(A433,"-h"),Table6[],4,FALSE)</f>
        <v>0.5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VLOOKUP(TEXT(A433,"yy-mm")&amp;"-"&amp;IF(AND(WEEKDAY(A433)&gt;1,WEEKDAY(A433)&lt;7),"Wkd",TEXT(A433,"Ddd"))&amp;"-"&amp;TEXT(A433,"hh"),LoadTable[],5,FALSE)*0.92</f>
        <v>418.75640000000004</v>
      </c>
      <c r="U433" s="104">
        <f>VLOOKUP(TEXT(A433,"yy-mm")&amp;"-"&amp;IF(AND(WEEKDAY(A433)&gt;1,WEEKDAY(A433)&lt;7),"Wkd",TEXT(A433,"Ddd"))&amp;"-"&amp;TEXT(A433,"hh"),LoadTable[],6,FALSE)*T433</f>
        <v>27547.889774000003</v>
      </c>
      <c r="V433">
        <f t="shared" ref="V433:W433" si="440">V409</f>
        <v>2.9</v>
      </c>
      <c r="W433">
        <f t="shared" si="440"/>
        <v>3.1</v>
      </c>
      <c r="X433" s="9">
        <v>2.9841011000000002</v>
      </c>
    </row>
    <row r="434" spans="1:24">
      <c r="A434" s="29">
        <f t="shared" si="391"/>
        <v>45853.958333332288</v>
      </c>
      <c r="B434" s="30">
        <f t="shared" si="415"/>
        <v>5000</v>
      </c>
      <c r="C434" s="8">
        <v>25000</v>
      </c>
      <c r="D434" s="8">
        <v>0</v>
      </c>
      <c r="E434" s="8">
        <v>0</v>
      </c>
      <c r="F434" s="8">
        <v>0</v>
      </c>
      <c r="G434" s="30">
        <f t="shared" si="416"/>
        <v>2400</v>
      </c>
      <c r="H434" s="8">
        <v>25000</v>
      </c>
      <c r="I434" s="30">
        <f t="shared" si="417"/>
        <v>5000</v>
      </c>
      <c r="J434" s="8">
        <v>25000</v>
      </c>
      <c r="K434" s="30">
        <f t="shared" si="418"/>
        <v>5000</v>
      </c>
      <c r="L434" s="8">
        <v>25000</v>
      </c>
      <c r="M434" s="9">
        <f>VLOOKUP(DATE(YEAR(A434),MONTH(A434),DAY(A434)),FY24_Temp[],4,FALSE)</f>
        <v>8.4</v>
      </c>
      <c r="N434" s="9">
        <f>VLOOKUP(DATE(YEAR(A434),MONTH(A434),DAY(A434)),FY24_Temp[],3,FALSE)</f>
        <v>12.8</v>
      </c>
      <c r="O434" s="9">
        <v>13</v>
      </c>
      <c r="P434" s="9">
        <v>19.5</v>
      </c>
      <c r="Q434" s="79">
        <f>VLOOKUP(VLOOKUP(DATEVALUE(TEXT(A434,"m/d/yyyy")),FY24_Temp[],5,FALSE)&amp;TEXT(A434,"-h"),Table6[],4,FALSE)</f>
        <v>0.5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VLOOKUP(TEXT(A434,"yy-mm")&amp;"-"&amp;IF(AND(WEEKDAY(A434)&gt;1,WEEKDAY(A434)&lt;7),"Wkd",TEXT(A434,"Ddd"))&amp;"-"&amp;TEXT(A434,"hh"),LoadTable[],5,FALSE)*0.92</f>
        <v>342.93920000000003</v>
      </c>
      <c r="U434" s="104">
        <f>VLOOKUP(TEXT(A434,"yy-mm")&amp;"-"&amp;IF(AND(WEEKDAY(A434)&gt;1,WEEKDAY(A434)&lt;7),"Wkd",TEXT(A434,"Ddd"))&amp;"-"&amp;TEXT(A434,"hh"),LoadTable[],6,FALSE)*T434</f>
        <v>19873.669579200003</v>
      </c>
      <c r="V434">
        <f t="shared" ref="V434:W434" si="441">V410</f>
        <v>3.6</v>
      </c>
      <c r="W434">
        <f t="shared" si="441"/>
        <v>3.1</v>
      </c>
      <c r="X434" s="9">
        <v>2.884042</v>
      </c>
    </row>
    <row r="435" spans="1:24">
      <c r="A435" s="29">
        <f t="shared" si="391"/>
        <v>45853.999999998952</v>
      </c>
      <c r="B435" s="30">
        <f t="shared" si="415"/>
        <v>5000</v>
      </c>
      <c r="C435" s="8">
        <v>25000</v>
      </c>
      <c r="D435" s="8">
        <v>0</v>
      </c>
      <c r="E435" s="8">
        <v>0</v>
      </c>
      <c r="F435" s="8">
        <v>0</v>
      </c>
      <c r="G435" s="30">
        <f t="shared" si="416"/>
        <v>2400</v>
      </c>
      <c r="H435" s="8">
        <v>25000</v>
      </c>
      <c r="I435" s="30">
        <f t="shared" si="417"/>
        <v>5000</v>
      </c>
      <c r="J435" s="8">
        <v>25000</v>
      </c>
      <c r="K435" s="30">
        <f t="shared" si="418"/>
        <v>5000</v>
      </c>
      <c r="L435" s="8">
        <v>25000</v>
      </c>
      <c r="M435" s="9">
        <f>VLOOKUP(DATE(YEAR(A435),MONTH(A435),DAY(A435)),FY24_Temp[],4,FALSE)</f>
        <v>8.4</v>
      </c>
      <c r="N435" s="9">
        <f>VLOOKUP(DATE(YEAR(A435),MONTH(A435),DAY(A435)),FY24_Temp[],3,FALSE)</f>
        <v>12.8</v>
      </c>
      <c r="O435" s="9">
        <v>13</v>
      </c>
      <c r="P435" s="9">
        <v>19.5</v>
      </c>
      <c r="Q435" s="79">
        <f>VLOOKUP(VLOOKUP(DATEVALUE(TEXT(A435,"m/d/yyyy")),FY24_Temp[],5,FALSE)&amp;TEXT(A435,"-h"),Table6[],4,FALSE)</f>
        <v>0.5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VLOOKUP(TEXT(A435,"yy-mm")&amp;"-"&amp;IF(AND(WEEKDAY(A435)&gt;1,WEEKDAY(A435)&lt;7),"Wkd",TEXT(A435,"Ddd"))&amp;"-"&amp;TEXT(A435,"hh"),LoadTable[],5,FALSE)*0.92</f>
        <v>279.25312000000002</v>
      </c>
      <c r="U435" s="104">
        <f>VLOOKUP(TEXT(A435,"yy-mm")&amp;"-"&amp;IF(AND(WEEKDAY(A435)&gt;1,WEEKDAY(A435)&lt;7),"Wkd",TEXT(A435,"Ddd"))&amp;"-"&amp;TEXT(A435,"hh"),LoadTable[],6,FALSE)*T435</f>
        <v>14895.640673920001</v>
      </c>
      <c r="V435">
        <f t="shared" ref="V435:W435" si="442">V411</f>
        <v>3</v>
      </c>
      <c r="W435">
        <f t="shared" si="442"/>
        <v>3.2</v>
      </c>
      <c r="X435" s="9">
        <v>2.8029150999999999</v>
      </c>
    </row>
    <row r="436" spans="1:24">
      <c r="A436" s="29">
        <f t="shared" si="391"/>
        <v>45854.041666665617</v>
      </c>
      <c r="B436" s="30">
        <f t="shared" si="415"/>
        <v>5000</v>
      </c>
      <c r="C436" s="8">
        <v>25000</v>
      </c>
      <c r="D436" s="8">
        <v>0</v>
      </c>
      <c r="E436" s="8">
        <v>0</v>
      </c>
      <c r="F436" s="8">
        <v>0</v>
      </c>
      <c r="G436" s="30">
        <f t="shared" si="416"/>
        <v>2400</v>
      </c>
      <c r="H436" s="8">
        <v>25000</v>
      </c>
      <c r="I436" s="30">
        <f t="shared" si="417"/>
        <v>5000</v>
      </c>
      <c r="J436" s="8">
        <v>25000</v>
      </c>
      <c r="K436" s="30">
        <f t="shared" si="418"/>
        <v>5000</v>
      </c>
      <c r="L436" s="8">
        <v>25000</v>
      </c>
      <c r="M436" s="9">
        <f>VLOOKUP(DATE(YEAR(A436),MONTH(A436),DAY(A436)),FY24_Temp[],4,FALSE)</f>
        <v>8.4</v>
      </c>
      <c r="N436" s="9">
        <f>VLOOKUP(DATE(YEAR(A436),MONTH(A436),DAY(A436)),FY24_Temp[],3,FALSE)</f>
        <v>12.8</v>
      </c>
      <c r="O436" s="9">
        <v>13</v>
      </c>
      <c r="P436" s="9">
        <v>19.5</v>
      </c>
      <c r="Q436" s="79">
        <f>VLOOKUP(VLOOKUP(DATEVALUE(TEXT(A436,"m/d/yyyy")),FY24_Temp[],5,FALSE)&amp;TEXT(A436,"-h"),Table6[],4,FALSE)</f>
        <v>0.5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VLOOKUP(TEXT(A436,"yy-mm")&amp;"-"&amp;IF(AND(WEEKDAY(A436)&gt;1,WEEKDAY(A436)&lt;7),"Wkd",TEXT(A436,"Ddd"))&amp;"-"&amp;TEXT(A436,"hh"),LoadTable[],5,FALSE)*0.92</f>
        <v>279.25312000000002</v>
      </c>
      <c r="U436" s="104">
        <f>VLOOKUP(TEXT(A436,"yy-mm")&amp;"-"&amp;IF(AND(WEEKDAY(A436)&gt;1,WEEKDAY(A436)&lt;7),"Wkd",TEXT(A436,"Ddd"))&amp;"-"&amp;TEXT(A436,"hh"),LoadTable[],6,FALSE)*T436</f>
        <v>14470.896678400002</v>
      </c>
      <c r="V436">
        <f t="shared" ref="V436:W436" si="443">V412</f>
        <v>2.6</v>
      </c>
      <c r="W436">
        <f t="shared" si="443"/>
        <v>3.2</v>
      </c>
      <c r="X436" s="9">
        <v>2.7528806000000001</v>
      </c>
    </row>
    <row r="437" spans="1:24">
      <c r="A437" s="29">
        <f t="shared" si="391"/>
        <v>45854.083333332281</v>
      </c>
      <c r="B437" s="30">
        <f t="shared" si="415"/>
        <v>5000</v>
      </c>
      <c r="C437" s="8">
        <v>25000</v>
      </c>
      <c r="D437" s="8">
        <v>0</v>
      </c>
      <c r="E437" s="8">
        <v>0</v>
      </c>
      <c r="F437" s="8">
        <v>0</v>
      </c>
      <c r="G437" s="30">
        <f t="shared" si="416"/>
        <v>2400</v>
      </c>
      <c r="H437" s="8">
        <v>25000</v>
      </c>
      <c r="I437" s="30">
        <f t="shared" si="417"/>
        <v>5000</v>
      </c>
      <c r="J437" s="8">
        <v>25000</v>
      </c>
      <c r="K437" s="30">
        <f t="shared" si="418"/>
        <v>5000</v>
      </c>
      <c r="L437" s="8">
        <v>25000</v>
      </c>
      <c r="M437" s="9">
        <f>VLOOKUP(DATE(YEAR(A437),MONTH(A437),DAY(A437)),FY24_Temp[],4,FALSE)</f>
        <v>8.4</v>
      </c>
      <c r="N437" s="9">
        <f>VLOOKUP(DATE(YEAR(A437),MONTH(A437),DAY(A437)),FY24_Temp[],3,FALSE)</f>
        <v>12.8</v>
      </c>
      <c r="O437" s="9">
        <v>13</v>
      </c>
      <c r="P437" s="9">
        <v>19.5</v>
      </c>
      <c r="Q437" s="79">
        <f>VLOOKUP(VLOOKUP(DATEVALUE(TEXT(A437,"m/d/yyyy")),FY24_Temp[],5,FALSE)&amp;TEXT(A437,"-h"),Table6[],4,FALSE)</f>
        <v>0.5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VLOOKUP(TEXT(A437,"yy-mm")&amp;"-"&amp;IF(AND(WEEKDAY(A437)&gt;1,WEEKDAY(A437)&lt;7),"Wkd",TEXT(A437,"Ddd"))&amp;"-"&amp;TEXT(A437,"hh"),LoadTable[],5,FALSE)*0.92</f>
        <v>279.25312000000002</v>
      </c>
      <c r="U437" s="104">
        <f>VLOOKUP(TEXT(A437,"yy-mm")&amp;"-"&amp;IF(AND(WEEKDAY(A437)&gt;1,WEEKDAY(A437)&lt;7),"Wkd",TEXT(A437,"Ddd"))&amp;"-"&amp;TEXT(A437,"hh"),LoadTable[],6,FALSE)*T437</f>
        <v>14154.50289344</v>
      </c>
      <c r="V437">
        <f t="shared" ref="V437:W437" si="444">V413</f>
        <v>2.8</v>
      </c>
      <c r="W437">
        <f t="shared" si="444"/>
        <v>3.2</v>
      </c>
      <c r="X437" s="9">
        <v>2.8183205</v>
      </c>
    </row>
    <row r="438" spans="1:24">
      <c r="A438" s="29">
        <f t="shared" si="391"/>
        <v>45854.124999998945</v>
      </c>
      <c r="B438" s="30">
        <f t="shared" si="415"/>
        <v>5000</v>
      </c>
      <c r="C438" s="8">
        <v>25000</v>
      </c>
      <c r="D438" s="8">
        <v>0</v>
      </c>
      <c r="E438" s="8">
        <v>0</v>
      </c>
      <c r="F438" s="8">
        <v>0</v>
      </c>
      <c r="G438" s="30">
        <f t="shared" si="416"/>
        <v>2400</v>
      </c>
      <c r="H438" s="8">
        <v>25000</v>
      </c>
      <c r="I438" s="30">
        <f t="shared" si="417"/>
        <v>5000</v>
      </c>
      <c r="J438" s="8">
        <v>25000</v>
      </c>
      <c r="K438" s="30">
        <f t="shared" si="418"/>
        <v>5000</v>
      </c>
      <c r="L438" s="8">
        <v>25000</v>
      </c>
      <c r="M438" s="9">
        <f>VLOOKUP(DATE(YEAR(A438),MONTH(A438),DAY(A438)),FY24_Temp[],4,FALSE)</f>
        <v>8.4</v>
      </c>
      <c r="N438" s="9">
        <f>VLOOKUP(DATE(YEAR(A438),MONTH(A438),DAY(A438)),FY24_Temp[],3,FALSE)</f>
        <v>12.8</v>
      </c>
      <c r="O438" s="9">
        <v>13</v>
      </c>
      <c r="P438" s="9">
        <v>19.5</v>
      </c>
      <c r="Q438" s="79">
        <f>VLOOKUP(VLOOKUP(DATEVALUE(TEXT(A438,"m/d/yyyy")),FY24_Temp[],5,FALSE)&amp;TEXT(A438,"-h"),Table6[],4,FALSE)</f>
        <v>0.5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VLOOKUP(TEXT(A438,"yy-mm")&amp;"-"&amp;IF(AND(WEEKDAY(A438)&gt;1,WEEKDAY(A438)&lt;7),"Wkd",TEXT(A438,"Ddd"))&amp;"-"&amp;TEXT(A438,"hh"),LoadTable[],5,FALSE)*0.92</f>
        <v>279.25312000000002</v>
      </c>
      <c r="U438" s="104">
        <f>VLOOKUP(TEXT(A438,"yy-mm")&amp;"-"&amp;IF(AND(WEEKDAY(A438)&gt;1,WEEKDAY(A438)&lt;7),"Wkd",TEXT(A438,"Ddd"))&amp;"-"&amp;TEXT(A438,"hh"),LoadTable[],6,FALSE)*T438</f>
        <v>14206.443973760001</v>
      </c>
      <c r="V438">
        <f t="shared" ref="V438:W438" si="445">V414</f>
        <v>2.7</v>
      </c>
      <c r="W438">
        <f t="shared" si="445"/>
        <v>3.2</v>
      </c>
      <c r="X438" s="9">
        <v>2.8701300999999999</v>
      </c>
    </row>
    <row r="439" spans="1:24">
      <c r="A439" s="29">
        <f t="shared" si="391"/>
        <v>45854.166666665609</v>
      </c>
      <c r="B439" s="30">
        <f t="shared" si="415"/>
        <v>5000</v>
      </c>
      <c r="C439" s="8">
        <v>25000</v>
      </c>
      <c r="D439" s="8">
        <v>0</v>
      </c>
      <c r="E439" s="8">
        <v>0</v>
      </c>
      <c r="F439" s="8">
        <v>0</v>
      </c>
      <c r="G439" s="30">
        <f t="shared" si="416"/>
        <v>2400</v>
      </c>
      <c r="H439" s="8">
        <v>25000</v>
      </c>
      <c r="I439" s="30">
        <f t="shared" si="417"/>
        <v>5000</v>
      </c>
      <c r="J439" s="8">
        <v>25000</v>
      </c>
      <c r="K439" s="30">
        <f t="shared" si="418"/>
        <v>5000</v>
      </c>
      <c r="L439" s="8">
        <v>25000</v>
      </c>
      <c r="M439" s="9">
        <f>VLOOKUP(DATE(YEAR(A439),MONTH(A439),DAY(A439)),FY24_Temp[],4,FALSE)</f>
        <v>8.4</v>
      </c>
      <c r="N439" s="9">
        <f>VLOOKUP(DATE(YEAR(A439),MONTH(A439),DAY(A439)),FY24_Temp[],3,FALSE)</f>
        <v>12.8</v>
      </c>
      <c r="O439" s="9">
        <v>13</v>
      </c>
      <c r="P439" s="9">
        <v>19.5</v>
      </c>
      <c r="Q439" s="79">
        <f>VLOOKUP(VLOOKUP(DATEVALUE(TEXT(A439,"m/d/yyyy")),FY24_Temp[],5,FALSE)&amp;TEXT(A439,"-h"),Table6[],4,FALSE)</f>
        <v>0.5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VLOOKUP(TEXT(A439,"yy-mm")&amp;"-"&amp;IF(AND(WEEKDAY(A439)&gt;1,WEEKDAY(A439)&lt;7),"Wkd",TEXT(A439,"Ddd"))&amp;"-"&amp;TEXT(A439,"hh"),LoadTable[],5,FALSE)*0.92</f>
        <v>279.25312000000002</v>
      </c>
      <c r="U439" s="104">
        <f>VLOOKUP(TEXT(A439,"yy-mm")&amp;"-"&amp;IF(AND(WEEKDAY(A439)&gt;1,WEEKDAY(A439)&lt;7),"Wkd",TEXT(A439,"Ddd"))&amp;"-"&amp;TEXT(A439,"hh"),LoadTable[],6,FALSE)*T439</f>
        <v>14229.063476480002</v>
      </c>
      <c r="V439">
        <f t="shared" ref="V439:W439" si="446">V415</f>
        <v>3</v>
      </c>
      <c r="W439">
        <f t="shared" si="446"/>
        <v>3.1</v>
      </c>
      <c r="X439" s="9">
        <v>2.8984519999999998</v>
      </c>
    </row>
    <row r="440" spans="1:24">
      <c r="A440" s="29">
        <f t="shared" si="391"/>
        <v>45854.208333332273</v>
      </c>
      <c r="B440" s="30">
        <f t="shared" si="415"/>
        <v>5000</v>
      </c>
      <c r="C440" s="8">
        <v>25000</v>
      </c>
      <c r="D440" s="8">
        <v>0</v>
      </c>
      <c r="E440" s="8">
        <v>0</v>
      </c>
      <c r="F440" s="8">
        <v>0</v>
      </c>
      <c r="G440" s="30">
        <f t="shared" si="416"/>
        <v>2400</v>
      </c>
      <c r="H440" s="8">
        <v>25000</v>
      </c>
      <c r="I440" s="30">
        <f t="shared" si="417"/>
        <v>5000</v>
      </c>
      <c r="J440" s="8">
        <v>25000</v>
      </c>
      <c r="K440" s="30">
        <f t="shared" si="418"/>
        <v>5000</v>
      </c>
      <c r="L440" s="8">
        <v>25000</v>
      </c>
      <c r="M440" s="9">
        <f>VLOOKUP(DATE(YEAR(A440),MONTH(A440),DAY(A440)),FY24_Temp[],4,FALSE)</f>
        <v>8.4</v>
      </c>
      <c r="N440" s="9">
        <f>VLOOKUP(DATE(YEAR(A440),MONTH(A440),DAY(A440)),FY24_Temp[],3,FALSE)</f>
        <v>12.8</v>
      </c>
      <c r="O440" s="9">
        <v>13</v>
      </c>
      <c r="P440" s="9">
        <v>19.5</v>
      </c>
      <c r="Q440" s="79">
        <f>VLOOKUP(VLOOKUP(DATEVALUE(TEXT(A440,"m/d/yyyy")),FY24_Temp[],5,FALSE)&amp;TEXT(A440,"-h"),Table6[],4,FALSE)</f>
        <v>0.5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VLOOKUP(TEXT(A440,"yy-mm")&amp;"-"&amp;IF(AND(WEEKDAY(A440)&gt;1,WEEKDAY(A440)&lt;7),"Wkd",TEXT(A440,"Ddd"))&amp;"-"&amp;TEXT(A440,"hh"),LoadTable[],5,FALSE)*0.92</f>
        <v>279.25312000000002</v>
      </c>
      <c r="U440" s="104">
        <f>VLOOKUP(TEXT(A440,"yy-mm")&amp;"-"&amp;IF(AND(WEEKDAY(A440)&gt;1,WEEKDAY(A440)&lt;7),"Wkd",TEXT(A440,"Ddd"))&amp;"-"&amp;TEXT(A440,"hh"),LoadTable[],6,FALSE)*T440</f>
        <v>14735.070129920001</v>
      </c>
      <c r="V440">
        <f t="shared" ref="V440:W440" si="447">V416</f>
        <v>2.9</v>
      </c>
      <c r="W440">
        <f t="shared" si="447"/>
        <v>3.1</v>
      </c>
      <c r="X440" s="9">
        <v>2.9750345</v>
      </c>
    </row>
    <row r="441" spans="1:24">
      <c r="A441" s="29">
        <f t="shared" si="391"/>
        <v>45854.249999998938</v>
      </c>
      <c r="B441" s="30">
        <f t="shared" si="415"/>
        <v>8000</v>
      </c>
      <c r="C441" s="8">
        <v>25000</v>
      </c>
      <c r="D441" s="8">
        <v>0</v>
      </c>
      <c r="E441" s="8">
        <v>0</v>
      </c>
      <c r="F441" s="8">
        <v>0</v>
      </c>
      <c r="G441" s="30">
        <f t="shared" si="416"/>
        <v>2400</v>
      </c>
      <c r="H441" s="8">
        <v>25000</v>
      </c>
      <c r="I441" s="30">
        <f t="shared" si="417"/>
        <v>8000</v>
      </c>
      <c r="J441" s="8">
        <v>25000</v>
      </c>
      <c r="K441" s="30">
        <f t="shared" si="418"/>
        <v>8000</v>
      </c>
      <c r="L441" s="8">
        <v>25000</v>
      </c>
      <c r="M441" s="9">
        <f>VLOOKUP(DATE(YEAR(A441),MONTH(A441),DAY(A441)),FY24_Temp[],4,FALSE)</f>
        <v>8.4</v>
      </c>
      <c r="N441" s="9">
        <f>VLOOKUP(DATE(YEAR(A441),MONTH(A441),DAY(A441)),FY24_Temp[],3,FALSE)</f>
        <v>12.8</v>
      </c>
      <c r="O441" s="9">
        <v>13</v>
      </c>
      <c r="P441" s="9">
        <v>19.5</v>
      </c>
      <c r="Q441" s="79">
        <f>VLOOKUP(VLOOKUP(DATEVALUE(TEXT(A441,"m/d/yyyy")),FY24_Temp[],5,FALSE)&amp;TEXT(A441,"-h"),Table6[],4,FALSE)</f>
        <v>0.5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VLOOKUP(TEXT(A441,"yy-mm")&amp;"-"&amp;IF(AND(WEEKDAY(A441)&gt;1,WEEKDAY(A441)&lt;7),"Wkd",TEXT(A441,"Ddd"))&amp;"-"&amp;TEXT(A441,"hh"),LoadTable[],5,FALSE)*0.92</f>
        <v>279.25312000000002</v>
      </c>
      <c r="U441" s="104">
        <f>VLOOKUP(TEXT(A441,"yy-mm")&amp;"-"&amp;IF(AND(WEEKDAY(A441)&gt;1,WEEKDAY(A441)&lt;7),"Wkd",TEXT(A441,"Ddd"))&amp;"-"&amp;TEXT(A441,"hh"),LoadTable[],6,FALSE)*T441</f>
        <v>26238.902408320002</v>
      </c>
      <c r="V441">
        <f t="shared" ref="V441:W441" si="448">V417</f>
        <v>2.5</v>
      </c>
      <c r="W441">
        <f t="shared" si="448"/>
        <v>3.1</v>
      </c>
      <c r="X441" s="9">
        <v>3.0984048999999998</v>
      </c>
    </row>
    <row r="442" spans="1:24">
      <c r="A442" s="29">
        <f t="shared" si="391"/>
        <v>45854.291666665602</v>
      </c>
      <c r="B442" s="30">
        <f t="shared" si="415"/>
        <v>8000</v>
      </c>
      <c r="C442" s="8">
        <v>25000</v>
      </c>
      <c r="D442" s="8">
        <v>0</v>
      </c>
      <c r="E442" s="8">
        <v>0</v>
      </c>
      <c r="F442" s="8">
        <v>0</v>
      </c>
      <c r="G442" s="30">
        <f t="shared" si="416"/>
        <v>2400</v>
      </c>
      <c r="H442" s="8">
        <v>25000</v>
      </c>
      <c r="I442" s="30">
        <f t="shared" si="417"/>
        <v>8000</v>
      </c>
      <c r="J442" s="8">
        <v>25000</v>
      </c>
      <c r="K442" s="30">
        <f t="shared" si="418"/>
        <v>8000</v>
      </c>
      <c r="L442" s="8">
        <v>25000</v>
      </c>
      <c r="M442" s="9">
        <f>VLOOKUP(DATE(YEAR(A442),MONTH(A442),DAY(A442)),FY24_Temp[],4,FALSE)</f>
        <v>8.4</v>
      </c>
      <c r="N442" s="9">
        <f>VLOOKUP(DATE(YEAR(A442),MONTH(A442),DAY(A442)),FY24_Temp[],3,FALSE)</f>
        <v>12.8</v>
      </c>
      <c r="O442" s="9">
        <v>13</v>
      </c>
      <c r="P442" s="9">
        <v>19.5</v>
      </c>
      <c r="Q442" s="79">
        <f>VLOOKUP(VLOOKUP(DATEVALUE(TEXT(A442,"m/d/yyyy")),FY24_Temp[],5,FALSE)&amp;TEXT(A442,"-h"),Table6[],4,FALSE)</f>
        <v>0.5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VLOOKUP(TEXT(A442,"yy-mm")&amp;"-"&amp;IF(AND(WEEKDAY(A442)&gt;1,WEEKDAY(A442)&lt;7),"Wkd",TEXT(A442,"Ddd"))&amp;"-"&amp;TEXT(A442,"hh"),LoadTable[],5,FALSE)*0.92</f>
        <v>279.25312000000002</v>
      </c>
      <c r="U442" s="104">
        <f>VLOOKUP(TEXT(A442,"yy-mm")&amp;"-"&amp;IF(AND(WEEKDAY(A442)&gt;1,WEEKDAY(A442)&lt;7),"Wkd",TEXT(A442,"Ddd"))&amp;"-"&amp;TEXT(A442,"hh"),LoadTable[],6,FALSE)*T442</f>
        <v>22145.051669120003</v>
      </c>
      <c r="V442">
        <f t="shared" ref="V442:W442" si="449">V418</f>
        <v>2.5</v>
      </c>
      <c r="W442">
        <f t="shared" si="449"/>
        <v>3.1</v>
      </c>
      <c r="X442" s="9">
        <v>3.2419690999999999</v>
      </c>
    </row>
    <row r="443" spans="1:24">
      <c r="A443" s="29">
        <f t="shared" si="391"/>
        <v>45854.333333332266</v>
      </c>
      <c r="B443" s="30">
        <f t="shared" si="415"/>
        <v>8000</v>
      </c>
      <c r="C443" s="8">
        <v>25000</v>
      </c>
      <c r="D443" s="8">
        <v>0</v>
      </c>
      <c r="E443" s="8">
        <v>0</v>
      </c>
      <c r="F443" s="8">
        <v>0</v>
      </c>
      <c r="G443" s="30">
        <f t="shared" si="416"/>
        <v>2400</v>
      </c>
      <c r="H443" s="8">
        <v>25000</v>
      </c>
      <c r="I443" s="30">
        <f t="shared" si="417"/>
        <v>8000</v>
      </c>
      <c r="J443" s="8">
        <v>25000</v>
      </c>
      <c r="K443" s="30">
        <f t="shared" si="418"/>
        <v>8000</v>
      </c>
      <c r="L443" s="8">
        <v>25000</v>
      </c>
      <c r="M443" s="9">
        <f>VLOOKUP(DATE(YEAR(A443),MONTH(A443),DAY(A443)),FY24_Temp[],4,FALSE)</f>
        <v>8.4</v>
      </c>
      <c r="N443" s="9">
        <f>VLOOKUP(DATE(YEAR(A443),MONTH(A443),DAY(A443)),FY24_Temp[],3,FALSE)</f>
        <v>12.8</v>
      </c>
      <c r="O443" s="9">
        <v>13</v>
      </c>
      <c r="P443" s="9">
        <v>19.5</v>
      </c>
      <c r="Q443" s="79">
        <f>VLOOKUP(VLOOKUP(DATEVALUE(TEXT(A443,"m/d/yyyy")),FY24_Temp[],5,FALSE)&amp;TEXT(A443,"-h"),Table6[],4,FALSE)</f>
        <v>0.5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VLOOKUP(TEXT(A443,"yy-mm")&amp;"-"&amp;IF(AND(WEEKDAY(A443)&gt;1,WEEKDAY(A443)&lt;7),"Wkd",TEXT(A443,"Ddd"))&amp;"-"&amp;TEXT(A443,"hh"),LoadTable[],5,FALSE)*0.92</f>
        <v>279.25312000000002</v>
      </c>
      <c r="U443" s="104">
        <f>VLOOKUP(TEXT(A443,"yy-mm")&amp;"-"&amp;IF(AND(WEEKDAY(A443)&gt;1,WEEKDAY(A443)&lt;7),"Wkd",TEXT(A443,"Ddd"))&amp;"-"&amp;TEXT(A443,"hh"),LoadTable[],6,FALSE)*T443</f>
        <v>17686.77560832</v>
      </c>
      <c r="V443">
        <f t="shared" ref="V443:W443" si="450">V419</f>
        <v>3.2</v>
      </c>
      <c r="W443">
        <f t="shared" si="450"/>
        <v>3</v>
      </c>
      <c r="X443" s="9">
        <v>3.3028612000000002</v>
      </c>
    </row>
    <row r="444" spans="1:24">
      <c r="A444" s="29">
        <f t="shared" si="391"/>
        <v>45854.37499999893</v>
      </c>
      <c r="B444" s="30">
        <f t="shared" si="415"/>
        <v>8000</v>
      </c>
      <c r="C444" s="8">
        <v>25000</v>
      </c>
      <c r="D444" s="8">
        <v>0</v>
      </c>
      <c r="E444" s="8">
        <v>0</v>
      </c>
      <c r="F444" s="8">
        <v>0</v>
      </c>
      <c r="G444" s="30">
        <f t="shared" si="416"/>
        <v>2400</v>
      </c>
      <c r="H444" s="8">
        <v>25000</v>
      </c>
      <c r="I444" s="30">
        <f t="shared" si="417"/>
        <v>8000</v>
      </c>
      <c r="J444" s="8">
        <v>25000</v>
      </c>
      <c r="K444" s="30">
        <f t="shared" si="418"/>
        <v>8000</v>
      </c>
      <c r="L444" s="8">
        <v>25000</v>
      </c>
      <c r="M444" s="9">
        <f>VLOOKUP(DATE(YEAR(A444),MONTH(A444),DAY(A444)),FY24_Temp[],4,FALSE)</f>
        <v>8.4</v>
      </c>
      <c r="N444" s="9">
        <f>VLOOKUP(DATE(YEAR(A444),MONTH(A444),DAY(A444)),FY24_Temp[],3,FALSE)</f>
        <v>12.8</v>
      </c>
      <c r="O444" s="9">
        <v>13</v>
      </c>
      <c r="P444" s="9">
        <v>19.5</v>
      </c>
      <c r="Q444" s="79">
        <f>VLOOKUP(VLOOKUP(DATEVALUE(TEXT(A444,"m/d/yyyy")),FY24_Temp[],5,FALSE)&amp;TEXT(A444,"-h"),Table6[],4,FALSE)</f>
        <v>0.5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VLOOKUP(TEXT(A444,"yy-mm")&amp;"-"&amp;IF(AND(WEEKDAY(A444)&gt;1,WEEKDAY(A444)&lt;7),"Wkd",TEXT(A444,"Ddd"))&amp;"-"&amp;TEXT(A444,"hh"),LoadTable[],5,FALSE)*0.92</f>
        <v>279.25312000000002</v>
      </c>
      <c r="U444" s="104">
        <f>VLOOKUP(TEXT(A444,"yy-mm")&amp;"-"&amp;IF(AND(WEEKDAY(A444)&gt;1,WEEKDAY(A444)&lt;7),"Wkd",TEXT(A444,"Ddd"))&amp;"-"&amp;TEXT(A444,"hh"),LoadTable[],6,FALSE)*T444</f>
        <v>14265.924888320002</v>
      </c>
      <c r="V444">
        <f t="shared" ref="V444:W444" si="451">V420</f>
        <v>2.9</v>
      </c>
      <c r="W444">
        <f t="shared" si="451"/>
        <v>3</v>
      </c>
      <c r="X444" s="9">
        <v>3.3453672000000001</v>
      </c>
    </row>
    <row r="445" spans="1:24">
      <c r="A445" s="29">
        <f t="shared" si="391"/>
        <v>45854.416666665595</v>
      </c>
      <c r="B445" s="30">
        <f t="shared" si="415"/>
        <v>8000</v>
      </c>
      <c r="C445" s="8">
        <v>25000</v>
      </c>
      <c r="D445" s="8">
        <v>0</v>
      </c>
      <c r="E445" s="8">
        <v>0</v>
      </c>
      <c r="F445" s="8">
        <v>0</v>
      </c>
      <c r="G445" s="30">
        <f t="shared" si="416"/>
        <v>2400</v>
      </c>
      <c r="H445" s="8">
        <v>25000</v>
      </c>
      <c r="I445" s="30">
        <f t="shared" si="417"/>
        <v>8000</v>
      </c>
      <c r="J445" s="8">
        <v>25000</v>
      </c>
      <c r="K445" s="30">
        <f t="shared" si="418"/>
        <v>8000</v>
      </c>
      <c r="L445" s="8">
        <v>25000</v>
      </c>
      <c r="M445" s="9">
        <f>VLOOKUP(DATE(YEAR(A445),MONTH(A445),DAY(A445)),FY24_Temp[],4,FALSE)</f>
        <v>8.4</v>
      </c>
      <c r="N445" s="9">
        <f>VLOOKUP(DATE(YEAR(A445),MONTH(A445),DAY(A445)),FY24_Temp[],3,FALSE)</f>
        <v>12.8</v>
      </c>
      <c r="O445" s="9">
        <v>13</v>
      </c>
      <c r="P445" s="9">
        <v>19.5</v>
      </c>
      <c r="Q445" s="79">
        <f>VLOOKUP(VLOOKUP(DATEVALUE(TEXT(A445,"m/d/yyyy")),FY24_Temp[],5,FALSE)&amp;TEXT(A445,"-h"),Table6[],4,FALSE)</f>
        <v>0.5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VLOOKUP(TEXT(A445,"yy-mm")&amp;"-"&amp;IF(AND(WEEKDAY(A445)&gt;1,WEEKDAY(A445)&lt;7),"Wkd",TEXT(A445,"Ddd"))&amp;"-"&amp;TEXT(A445,"hh"),LoadTable[],5,FALSE)*0.92</f>
        <v>279.25312000000002</v>
      </c>
      <c r="U445" s="104">
        <f>VLOOKUP(TEXT(A445,"yy-mm")&amp;"-"&amp;IF(AND(WEEKDAY(A445)&gt;1,WEEKDAY(A445)&lt;7),"Wkd",TEXT(A445,"Ddd"))&amp;"-"&amp;TEXT(A445,"hh"),LoadTable[],6,FALSE)*T445</f>
        <v>13649.054746240003</v>
      </c>
      <c r="V445">
        <f t="shared" ref="V445:W445" si="452">V421</f>
        <v>2.9</v>
      </c>
      <c r="W445">
        <f t="shared" si="452"/>
        <v>3</v>
      </c>
      <c r="X445" s="9">
        <v>3.4101639000000001</v>
      </c>
    </row>
    <row r="446" spans="1:24">
      <c r="A446" s="29">
        <f t="shared" si="391"/>
        <v>45854.458333332259</v>
      </c>
      <c r="B446" s="30">
        <f t="shared" si="415"/>
        <v>8000</v>
      </c>
      <c r="C446" s="8">
        <v>25000</v>
      </c>
      <c r="D446" s="8">
        <v>0</v>
      </c>
      <c r="E446" s="8">
        <v>0</v>
      </c>
      <c r="F446" s="8">
        <v>0</v>
      </c>
      <c r="G446" s="30">
        <f t="shared" si="416"/>
        <v>2400</v>
      </c>
      <c r="H446" s="8">
        <v>25000</v>
      </c>
      <c r="I446" s="30">
        <f t="shared" si="417"/>
        <v>8000</v>
      </c>
      <c r="J446" s="8">
        <v>25000</v>
      </c>
      <c r="K446" s="30">
        <f t="shared" si="418"/>
        <v>8000</v>
      </c>
      <c r="L446" s="8">
        <v>25000</v>
      </c>
      <c r="M446" s="9">
        <f>VLOOKUP(DATE(YEAR(A446),MONTH(A446),DAY(A446)),FY24_Temp[],4,FALSE)</f>
        <v>8.4</v>
      </c>
      <c r="N446" s="9">
        <f>VLOOKUP(DATE(YEAR(A446),MONTH(A446),DAY(A446)),FY24_Temp[],3,FALSE)</f>
        <v>12.8</v>
      </c>
      <c r="O446" s="9">
        <v>13</v>
      </c>
      <c r="P446" s="9">
        <v>19.5</v>
      </c>
      <c r="Q446" s="79">
        <f>VLOOKUP(VLOOKUP(DATEVALUE(TEXT(A446,"m/d/yyyy")),FY24_Temp[],5,FALSE)&amp;TEXT(A446,"-h"),Table6[],4,FALSE)</f>
        <v>0.5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VLOOKUP(TEXT(A446,"yy-mm")&amp;"-"&amp;IF(AND(WEEKDAY(A446)&gt;1,WEEKDAY(A446)&lt;7),"Wkd",TEXT(A446,"Ddd"))&amp;"-"&amp;TEXT(A446,"hh"),LoadTable[],5,FALSE)*0.92</f>
        <v>279.25312000000002</v>
      </c>
      <c r="U446" s="104">
        <f>VLOOKUP(TEXT(A446,"yy-mm")&amp;"-"&amp;IF(AND(WEEKDAY(A446)&gt;1,WEEKDAY(A446)&lt;7),"Wkd",TEXT(A446,"Ddd"))&amp;"-"&amp;TEXT(A446,"hh"),LoadTable[],6,FALSE)*T446</f>
        <v>13153.938964480001</v>
      </c>
      <c r="V446">
        <f t="shared" ref="V446:W446" si="453">V422</f>
        <v>3.4</v>
      </c>
      <c r="W446">
        <f t="shared" si="453"/>
        <v>3</v>
      </c>
      <c r="X446" s="9">
        <v>3.3558118000000001</v>
      </c>
    </row>
    <row r="447" spans="1:24">
      <c r="A447" s="29">
        <f t="shared" si="391"/>
        <v>45854.499999998923</v>
      </c>
      <c r="B447" s="30">
        <f t="shared" si="415"/>
        <v>8000</v>
      </c>
      <c r="C447" s="8">
        <v>25000</v>
      </c>
      <c r="D447" s="8">
        <v>0</v>
      </c>
      <c r="E447" s="8">
        <v>0</v>
      </c>
      <c r="F447" s="8">
        <v>0</v>
      </c>
      <c r="G447" s="30">
        <f t="shared" si="416"/>
        <v>2400</v>
      </c>
      <c r="H447" s="8">
        <v>25000</v>
      </c>
      <c r="I447" s="30">
        <f t="shared" si="417"/>
        <v>8000</v>
      </c>
      <c r="J447" s="8">
        <v>25000</v>
      </c>
      <c r="K447" s="30">
        <f t="shared" si="418"/>
        <v>8000</v>
      </c>
      <c r="L447" s="8">
        <v>25000</v>
      </c>
      <c r="M447" s="9">
        <f>VLOOKUP(DATE(YEAR(A447),MONTH(A447),DAY(A447)),FY24_Temp[],4,FALSE)</f>
        <v>8.4</v>
      </c>
      <c r="N447" s="9">
        <f>VLOOKUP(DATE(YEAR(A447),MONTH(A447),DAY(A447)),FY24_Temp[],3,FALSE)</f>
        <v>12.8</v>
      </c>
      <c r="O447" s="9">
        <v>13</v>
      </c>
      <c r="P447" s="9">
        <v>19.5</v>
      </c>
      <c r="Q447" s="79">
        <f>VLOOKUP(VLOOKUP(DATEVALUE(TEXT(A447,"m/d/yyyy")),FY24_Temp[],5,FALSE)&amp;TEXT(A447,"-h"),Table6[],4,FALSE)</f>
        <v>0.5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VLOOKUP(TEXT(A447,"yy-mm")&amp;"-"&amp;IF(AND(WEEKDAY(A447)&gt;1,WEEKDAY(A447)&lt;7),"Wkd",TEXT(A447,"Ddd"))&amp;"-"&amp;TEXT(A447,"hh"),LoadTable[],5,FALSE)*0.92</f>
        <v>279.25312000000002</v>
      </c>
      <c r="U447" s="104">
        <f>VLOOKUP(TEXT(A447,"yy-mm")&amp;"-"&amp;IF(AND(WEEKDAY(A447)&gt;1,WEEKDAY(A447)&lt;7),"Wkd",TEXT(A447,"Ddd"))&amp;"-"&amp;TEXT(A447,"hh"),LoadTable[],6,FALSE)*T447</f>
        <v>13898.427782400002</v>
      </c>
      <c r="V447">
        <f t="shared" ref="V447:W447" si="454">V423</f>
        <v>3.1</v>
      </c>
      <c r="W447">
        <f t="shared" si="454"/>
        <v>2.9</v>
      </c>
      <c r="X447" s="9">
        <v>3.2249721999999998</v>
      </c>
    </row>
    <row r="448" spans="1:24">
      <c r="A448" s="29">
        <f t="shared" si="391"/>
        <v>45854.541666665587</v>
      </c>
      <c r="B448" s="30">
        <f t="shared" si="415"/>
        <v>8000</v>
      </c>
      <c r="C448" s="8">
        <v>25000</v>
      </c>
      <c r="D448" s="8">
        <v>0</v>
      </c>
      <c r="E448" s="8">
        <v>0</v>
      </c>
      <c r="F448" s="8">
        <v>0</v>
      </c>
      <c r="G448" s="30">
        <f t="shared" si="416"/>
        <v>2400</v>
      </c>
      <c r="H448" s="8">
        <v>25000</v>
      </c>
      <c r="I448" s="30">
        <f t="shared" si="417"/>
        <v>8000</v>
      </c>
      <c r="J448" s="8">
        <v>25000</v>
      </c>
      <c r="K448" s="30">
        <f t="shared" si="418"/>
        <v>8000</v>
      </c>
      <c r="L448" s="8">
        <v>25000</v>
      </c>
      <c r="M448" s="9">
        <f>VLOOKUP(DATE(YEAR(A448),MONTH(A448),DAY(A448)),FY24_Temp[],4,FALSE)</f>
        <v>8.4</v>
      </c>
      <c r="N448" s="9">
        <f>VLOOKUP(DATE(YEAR(A448),MONTH(A448),DAY(A448)),FY24_Temp[],3,FALSE)</f>
        <v>12.8</v>
      </c>
      <c r="O448" s="9">
        <v>13</v>
      </c>
      <c r="P448" s="9">
        <v>19.5</v>
      </c>
      <c r="Q448" s="79">
        <f>VLOOKUP(VLOOKUP(DATEVALUE(TEXT(A448,"m/d/yyyy")),FY24_Temp[],5,FALSE)&amp;TEXT(A448,"-h"),Table6[],4,FALSE)</f>
        <v>0.5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VLOOKUP(TEXT(A448,"yy-mm")&amp;"-"&amp;IF(AND(WEEKDAY(A448)&gt;1,WEEKDAY(A448)&lt;7),"Wkd",TEXT(A448,"Ddd"))&amp;"-"&amp;TEXT(A448,"hh"),LoadTable[],5,FALSE)*0.92</f>
        <v>279.25312000000002</v>
      </c>
      <c r="U448" s="104">
        <f>VLOOKUP(TEXT(A448,"yy-mm")&amp;"-"&amp;IF(AND(WEEKDAY(A448)&gt;1,WEEKDAY(A448)&lt;7),"Wkd",TEXT(A448,"Ddd"))&amp;"-"&amp;TEXT(A448,"hh"),LoadTable[],6,FALSE)*T448</f>
        <v>16526.1996416</v>
      </c>
      <c r="V448">
        <f t="shared" ref="V448:W448" si="455">V424</f>
        <v>3.2</v>
      </c>
      <c r="W448">
        <f t="shared" si="455"/>
        <v>2.9</v>
      </c>
      <c r="X448" s="9">
        <v>3.0427005</v>
      </c>
    </row>
    <row r="449" spans="1:24">
      <c r="A449" s="29">
        <f t="shared" si="391"/>
        <v>45854.583333332252</v>
      </c>
      <c r="B449" s="30">
        <f t="shared" si="415"/>
        <v>8000</v>
      </c>
      <c r="C449" s="8">
        <v>25000</v>
      </c>
      <c r="D449" s="8">
        <v>0</v>
      </c>
      <c r="E449" s="8">
        <v>0</v>
      </c>
      <c r="F449" s="8">
        <v>0</v>
      </c>
      <c r="G449" s="30">
        <f t="shared" si="416"/>
        <v>2400</v>
      </c>
      <c r="H449" s="8">
        <v>25000</v>
      </c>
      <c r="I449" s="30">
        <f t="shared" si="417"/>
        <v>8000</v>
      </c>
      <c r="J449" s="8">
        <v>25000</v>
      </c>
      <c r="K449" s="30">
        <f t="shared" si="418"/>
        <v>8000</v>
      </c>
      <c r="L449" s="8">
        <v>25000</v>
      </c>
      <c r="M449" s="9">
        <f>VLOOKUP(DATE(YEAR(A449),MONTH(A449),DAY(A449)),FY24_Temp[],4,FALSE)</f>
        <v>8.4</v>
      </c>
      <c r="N449" s="9">
        <f>VLOOKUP(DATE(YEAR(A449),MONTH(A449),DAY(A449)),FY24_Temp[],3,FALSE)</f>
        <v>12.8</v>
      </c>
      <c r="O449" s="9">
        <v>13</v>
      </c>
      <c r="P449" s="9">
        <v>19.5</v>
      </c>
      <c r="Q449" s="79">
        <f>VLOOKUP(VLOOKUP(DATEVALUE(TEXT(A449,"m/d/yyyy")),FY24_Temp[],5,FALSE)&amp;TEXT(A449,"-h"),Table6[],4,FALSE)</f>
        <v>0.5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VLOOKUP(TEXT(A449,"yy-mm")&amp;"-"&amp;IF(AND(WEEKDAY(A449)&gt;1,WEEKDAY(A449)&lt;7),"Wkd",TEXT(A449,"Ddd"))&amp;"-"&amp;TEXT(A449,"hh"),LoadTable[],5,FALSE)*0.92</f>
        <v>373.26607999999999</v>
      </c>
      <c r="U449" s="104">
        <f>VLOOKUP(TEXT(A449,"yy-mm")&amp;"-"&amp;IF(AND(WEEKDAY(A449)&gt;1,WEEKDAY(A449)&lt;7),"Wkd",TEXT(A449,"Ddd"))&amp;"-"&amp;TEXT(A449,"hh"),LoadTable[],6,FALSE)*T449</f>
        <v>27132.338089119996</v>
      </c>
      <c r="V449">
        <f t="shared" ref="V449:W449" si="456">V425</f>
        <v>3.5</v>
      </c>
      <c r="W449">
        <f t="shared" si="456"/>
        <v>2.9</v>
      </c>
      <c r="X449" s="9">
        <v>2.944293</v>
      </c>
    </row>
    <row r="450" spans="1:24">
      <c r="A450" s="29">
        <f t="shared" si="391"/>
        <v>45854.624999998916</v>
      </c>
      <c r="B450" s="30">
        <f t="shared" si="415"/>
        <v>8000</v>
      </c>
      <c r="C450" s="8">
        <v>25000</v>
      </c>
      <c r="D450" s="8">
        <v>0</v>
      </c>
      <c r="E450" s="8">
        <v>0</v>
      </c>
      <c r="F450" s="8">
        <v>0</v>
      </c>
      <c r="G450" s="30">
        <f t="shared" si="416"/>
        <v>2400</v>
      </c>
      <c r="H450" s="8">
        <v>25000</v>
      </c>
      <c r="I450" s="30">
        <f t="shared" si="417"/>
        <v>8000</v>
      </c>
      <c r="J450" s="8">
        <v>25000</v>
      </c>
      <c r="K450" s="30">
        <f t="shared" si="418"/>
        <v>8000</v>
      </c>
      <c r="L450" s="8">
        <v>25000</v>
      </c>
      <c r="M450" s="9">
        <f>VLOOKUP(DATE(YEAR(A450),MONTH(A450),DAY(A450)),FY24_Temp[],4,FALSE)</f>
        <v>8.4</v>
      </c>
      <c r="N450" s="9">
        <f>VLOOKUP(DATE(YEAR(A450),MONTH(A450),DAY(A450)),FY24_Temp[],3,FALSE)</f>
        <v>12.8</v>
      </c>
      <c r="O450" s="9">
        <v>13</v>
      </c>
      <c r="P450" s="9">
        <v>19.5</v>
      </c>
      <c r="Q450" s="79">
        <f>VLOOKUP(VLOOKUP(DATEVALUE(TEXT(A450,"m/d/yyyy")),FY24_Temp[],5,FALSE)&amp;TEXT(A450,"-h"),Table6[],4,FALSE)</f>
        <v>0.5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VLOOKUP(TEXT(A450,"yy-mm")&amp;"-"&amp;IF(AND(WEEKDAY(A450)&gt;1,WEEKDAY(A450)&lt;7),"Wkd",TEXT(A450,"Ddd"))&amp;"-"&amp;TEXT(A450,"hh"),LoadTable[],5,FALSE)*0.92</f>
        <v>494.57360000000006</v>
      </c>
      <c r="U450" s="104">
        <f>VLOOKUP(TEXT(A450,"yy-mm")&amp;"-"&amp;IF(AND(WEEKDAY(A450)&gt;1,WEEKDAY(A450)&lt;7),"Wkd",TEXT(A450,"Ddd"))&amp;"-"&amp;TEXT(A450,"hh"),LoadTable[],6,FALSE)*T450</f>
        <v>42310.771480000003</v>
      </c>
      <c r="V450">
        <f t="shared" ref="V450:W450" si="457">V426</f>
        <v>3.2</v>
      </c>
      <c r="W450">
        <f t="shared" si="457"/>
        <v>2.9</v>
      </c>
      <c r="X450" s="9">
        <v>3.0806775000000002</v>
      </c>
    </row>
    <row r="451" spans="1:24">
      <c r="A451" s="29">
        <f t="shared" si="391"/>
        <v>45854.66666666558</v>
      </c>
      <c r="B451" s="30">
        <f t="shared" si="415"/>
        <v>8000</v>
      </c>
      <c r="C451" s="8">
        <v>25000</v>
      </c>
      <c r="D451" s="8">
        <v>0</v>
      </c>
      <c r="E451" s="8">
        <v>0</v>
      </c>
      <c r="F451" s="8">
        <v>0</v>
      </c>
      <c r="G451" s="30">
        <f t="shared" si="416"/>
        <v>2400</v>
      </c>
      <c r="H451" s="8">
        <v>25000</v>
      </c>
      <c r="I451" s="30">
        <f t="shared" si="417"/>
        <v>8000</v>
      </c>
      <c r="J451" s="8">
        <v>25000</v>
      </c>
      <c r="K451" s="30">
        <f t="shared" si="418"/>
        <v>8000</v>
      </c>
      <c r="L451" s="8">
        <v>25000</v>
      </c>
      <c r="M451" s="9">
        <f>VLOOKUP(DATE(YEAR(A451),MONTH(A451),DAY(A451)),FY24_Temp[],4,FALSE)</f>
        <v>8.4</v>
      </c>
      <c r="N451" s="9">
        <f>VLOOKUP(DATE(YEAR(A451),MONTH(A451),DAY(A451)),FY24_Temp[],3,FALSE)</f>
        <v>12.8</v>
      </c>
      <c r="O451" s="9">
        <v>13</v>
      </c>
      <c r="P451" s="9">
        <v>19.5</v>
      </c>
      <c r="Q451" s="79">
        <f>VLOOKUP(VLOOKUP(DATEVALUE(TEXT(A451,"m/d/yyyy")),FY24_Temp[],5,FALSE)&amp;TEXT(A451,"-h"),Table6[],4,FALSE)</f>
        <v>0.5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VLOOKUP(TEXT(A451,"yy-mm")&amp;"-"&amp;IF(AND(WEEKDAY(A451)&gt;1,WEEKDAY(A451)&lt;7),"Wkd",TEXT(A451,"Ddd"))&amp;"-"&amp;TEXT(A451,"hh"),LoadTable[],5,FALSE)*0.92</f>
        <v>494.57360000000006</v>
      </c>
      <c r="U451" s="104">
        <f>VLOOKUP(TEXT(A451,"yy-mm")&amp;"-"&amp;IF(AND(WEEKDAY(A451)&gt;1,WEEKDAY(A451)&lt;7),"Wkd",TEXT(A451,"Ddd"))&amp;"-"&amp;TEXT(A451,"hh"),LoadTable[],6,FALSE)*T451</f>
        <v>50694.28857360001</v>
      </c>
      <c r="V451">
        <f t="shared" ref="V451:W451" si="458">V427</f>
        <v>3.5</v>
      </c>
      <c r="W451">
        <f t="shared" si="458"/>
        <v>3</v>
      </c>
      <c r="X451" s="9">
        <v>3.3692913</v>
      </c>
    </row>
    <row r="452" spans="1:24">
      <c r="A452" s="29">
        <f t="shared" si="391"/>
        <v>45854.708333332244</v>
      </c>
      <c r="B452" s="30">
        <f t="shared" si="415"/>
        <v>8000</v>
      </c>
      <c r="C452" s="8">
        <v>25000</v>
      </c>
      <c r="D452" s="8">
        <v>0</v>
      </c>
      <c r="E452" s="8">
        <v>0</v>
      </c>
      <c r="F452" s="8">
        <v>0</v>
      </c>
      <c r="G452" s="30">
        <f t="shared" si="416"/>
        <v>2400</v>
      </c>
      <c r="H452" s="8">
        <v>25000</v>
      </c>
      <c r="I452" s="30">
        <f t="shared" si="417"/>
        <v>8000</v>
      </c>
      <c r="J452" s="8">
        <v>25000</v>
      </c>
      <c r="K452" s="30">
        <f t="shared" si="418"/>
        <v>8000</v>
      </c>
      <c r="L452" s="8">
        <v>25000</v>
      </c>
      <c r="M452" s="9">
        <f>VLOOKUP(DATE(YEAR(A452),MONTH(A452),DAY(A452)),FY24_Temp[],4,FALSE)</f>
        <v>8.4</v>
      </c>
      <c r="N452" s="9">
        <f>VLOOKUP(DATE(YEAR(A452),MONTH(A452),DAY(A452)),FY24_Temp[],3,FALSE)</f>
        <v>12.8</v>
      </c>
      <c r="O452" s="9">
        <v>13</v>
      </c>
      <c r="P452" s="9">
        <v>19.5</v>
      </c>
      <c r="Q452" s="79">
        <f>VLOOKUP(VLOOKUP(DATEVALUE(TEXT(A452,"m/d/yyyy")),FY24_Temp[],5,FALSE)&amp;TEXT(A452,"-h"),Table6[],4,FALSE)</f>
        <v>0.5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VLOOKUP(TEXT(A452,"yy-mm")&amp;"-"&amp;IF(AND(WEEKDAY(A452)&gt;1,WEEKDAY(A452)&lt;7),"Wkd",TEXT(A452,"Ddd"))&amp;"-"&amp;TEXT(A452,"hh"),LoadTable[],5,FALSE)*0.92</f>
        <v>494.57360000000006</v>
      </c>
      <c r="U452" s="104">
        <f>VLOOKUP(TEXT(A452,"yy-mm")&amp;"-"&amp;IF(AND(WEEKDAY(A452)&gt;1,WEEKDAY(A452)&lt;7),"Wkd",TEXT(A452,"Ddd"))&amp;"-"&amp;TEXT(A452,"hh"),LoadTable[],6,FALSE)*T452</f>
        <v>56025.791981600007</v>
      </c>
      <c r="V452">
        <f t="shared" ref="V452:W452" si="459">V428</f>
        <v>3.6</v>
      </c>
      <c r="W452">
        <f t="shared" si="459"/>
        <v>3</v>
      </c>
      <c r="X452" s="9">
        <v>3.2623432000000001</v>
      </c>
    </row>
    <row r="453" spans="1:24">
      <c r="A453" s="29">
        <f t="shared" ref="A453:A516" si="460">A452+TIME(1,0,0)</f>
        <v>45854.749999998909</v>
      </c>
      <c r="B453" s="30">
        <f t="shared" si="415"/>
        <v>5000</v>
      </c>
      <c r="C453" s="8">
        <v>25000</v>
      </c>
      <c r="D453" s="8">
        <v>0</v>
      </c>
      <c r="E453" s="8">
        <v>0</v>
      </c>
      <c r="F453" s="8">
        <v>0</v>
      </c>
      <c r="G453" s="30">
        <f t="shared" si="416"/>
        <v>2400</v>
      </c>
      <c r="H453" s="8">
        <v>25000</v>
      </c>
      <c r="I453" s="30">
        <f t="shared" si="417"/>
        <v>5000</v>
      </c>
      <c r="J453" s="8">
        <v>25000</v>
      </c>
      <c r="K453" s="30">
        <f t="shared" si="418"/>
        <v>5000</v>
      </c>
      <c r="L453" s="8">
        <v>25000</v>
      </c>
      <c r="M453" s="9">
        <f>VLOOKUP(DATE(YEAR(A453),MONTH(A453),DAY(A453)),FY24_Temp[],4,FALSE)</f>
        <v>8.4</v>
      </c>
      <c r="N453" s="9">
        <f>VLOOKUP(DATE(YEAR(A453),MONTH(A453),DAY(A453)),FY24_Temp[],3,FALSE)</f>
        <v>12.8</v>
      </c>
      <c r="O453" s="9">
        <v>13</v>
      </c>
      <c r="P453" s="9">
        <v>19.5</v>
      </c>
      <c r="Q453" s="79">
        <f>VLOOKUP(VLOOKUP(DATEVALUE(TEXT(A453,"m/d/yyyy")),FY24_Temp[],5,FALSE)&amp;TEXT(A453,"-h"),Table6[],4,FALSE)</f>
        <v>0.5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VLOOKUP(TEXT(A453,"yy-mm")&amp;"-"&amp;IF(AND(WEEKDAY(A453)&gt;1,WEEKDAY(A453)&lt;7),"Wkd",TEXT(A453,"Ddd"))&amp;"-"&amp;TEXT(A453,"hh"),LoadTable[],5,FALSE)*0.92</f>
        <v>494.57360000000006</v>
      </c>
      <c r="U453" s="104">
        <f>VLOOKUP(TEXT(A453,"yy-mm")&amp;"-"&amp;IF(AND(WEEKDAY(A453)&gt;1,WEEKDAY(A453)&lt;7),"Wkd",TEXT(A453,"Ddd"))&amp;"-"&amp;TEXT(A453,"hh"),LoadTable[],6,FALSE)*T453</f>
        <v>60164.383866400007</v>
      </c>
      <c r="V453">
        <f t="shared" ref="V453:W453" si="461">V429</f>
        <v>2.9</v>
      </c>
      <c r="W453">
        <f t="shared" si="461"/>
        <v>3</v>
      </c>
      <c r="X453" s="9">
        <v>3.2066696000000001</v>
      </c>
    </row>
    <row r="454" spans="1:24">
      <c r="A454" s="29">
        <f t="shared" si="460"/>
        <v>45854.791666665573</v>
      </c>
      <c r="B454" s="30">
        <f t="shared" si="415"/>
        <v>5000</v>
      </c>
      <c r="C454" s="8">
        <v>25000</v>
      </c>
      <c r="D454" s="8">
        <v>0</v>
      </c>
      <c r="E454" s="8">
        <v>0</v>
      </c>
      <c r="F454" s="8">
        <v>0</v>
      </c>
      <c r="G454" s="30">
        <f t="shared" si="416"/>
        <v>2400</v>
      </c>
      <c r="H454" s="8">
        <v>25000</v>
      </c>
      <c r="I454" s="30">
        <f t="shared" si="417"/>
        <v>5000</v>
      </c>
      <c r="J454" s="8">
        <v>25000</v>
      </c>
      <c r="K454" s="30">
        <f t="shared" si="418"/>
        <v>5000</v>
      </c>
      <c r="L454" s="8">
        <v>25000</v>
      </c>
      <c r="M454" s="9">
        <f>VLOOKUP(DATE(YEAR(A454),MONTH(A454),DAY(A454)),FY24_Temp[],4,FALSE)</f>
        <v>8.4</v>
      </c>
      <c r="N454" s="9">
        <f>VLOOKUP(DATE(YEAR(A454),MONTH(A454),DAY(A454)),FY24_Temp[],3,FALSE)</f>
        <v>12.8</v>
      </c>
      <c r="O454" s="9">
        <v>13</v>
      </c>
      <c r="P454" s="9">
        <v>19.5</v>
      </c>
      <c r="Q454" s="79">
        <f>VLOOKUP(VLOOKUP(DATEVALUE(TEXT(A454,"m/d/yyyy")),FY24_Temp[],5,FALSE)&amp;TEXT(A454,"-h"),Table6[],4,FALSE)</f>
        <v>0.5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VLOOKUP(TEXT(A454,"yy-mm")&amp;"-"&amp;IF(AND(WEEKDAY(A454)&gt;1,WEEKDAY(A454)&lt;7),"Wkd",TEXT(A454,"Ddd"))&amp;"-"&amp;TEXT(A454,"hh"),LoadTable[],5,FALSE)*0.92</f>
        <v>494.57360000000006</v>
      </c>
      <c r="U454" s="104">
        <f>VLOOKUP(TEXT(A454,"yy-mm")&amp;"-"&amp;IF(AND(WEEKDAY(A454)&gt;1,WEEKDAY(A454)&lt;7),"Wkd",TEXT(A454,"Ddd"))&amp;"-"&amp;TEXT(A454,"hh"),LoadTable[],6,FALSE)*T454</f>
        <v>60548.172980000003</v>
      </c>
      <c r="V454">
        <f t="shared" ref="V454:W454" si="462">V430</f>
        <v>3</v>
      </c>
      <c r="W454">
        <f t="shared" si="462"/>
        <v>3</v>
      </c>
      <c r="X454" s="9">
        <v>3.2320395</v>
      </c>
    </row>
    <row r="455" spans="1:24">
      <c r="A455" s="29">
        <f t="shared" si="460"/>
        <v>45854.833333332237</v>
      </c>
      <c r="B455" s="30">
        <f t="shared" si="415"/>
        <v>5000</v>
      </c>
      <c r="C455" s="8">
        <v>25000</v>
      </c>
      <c r="D455" s="8">
        <v>0</v>
      </c>
      <c r="E455" s="8">
        <v>0</v>
      </c>
      <c r="F455" s="8">
        <v>0</v>
      </c>
      <c r="G455" s="30">
        <f t="shared" si="416"/>
        <v>2400</v>
      </c>
      <c r="H455" s="8">
        <v>25000</v>
      </c>
      <c r="I455" s="30">
        <f t="shared" si="417"/>
        <v>5000</v>
      </c>
      <c r="J455" s="8">
        <v>25000</v>
      </c>
      <c r="K455" s="30">
        <f t="shared" si="418"/>
        <v>5000</v>
      </c>
      <c r="L455" s="8">
        <v>25000</v>
      </c>
      <c r="M455" s="9">
        <f>VLOOKUP(DATE(YEAR(A455),MONTH(A455),DAY(A455)),FY24_Temp[],4,FALSE)</f>
        <v>8.4</v>
      </c>
      <c r="N455" s="9">
        <f>VLOOKUP(DATE(YEAR(A455),MONTH(A455),DAY(A455)),FY24_Temp[],3,FALSE)</f>
        <v>12.8</v>
      </c>
      <c r="O455" s="9">
        <v>13</v>
      </c>
      <c r="P455" s="9">
        <v>19.5</v>
      </c>
      <c r="Q455" s="79">
        <f>VLOOKUP(VLOOKUP(DATEVALUE(TEXT(A455,"m/d/yyyy")),FY24_Temp[],5,FALSE)&amp;TEXT(A455,"-h"),Table6[],4,FALSE)</f>
        <v>0.5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VLOOKUP(TEXT(A455,"yy-mm")&amp;"-"&amp;IF(AND(WEEKDAY(A455)&gt;1,WEEKDAY(A455)&lt;7),"Wkd",TEXT(A455,"Ddd"))&amp;"-"&amp;TEXT(A455,"hh"),LoadTable[],5,FALSE)*0.92</f>
        <v>494.57360000000006</v>
      </c>
      <c r="U455" s="104">
        <f>VLOOKUP(TEXT(A455,"yy-mm")&amp;"-"&amp;IF(AND(WEEKDAY(A455)&gt;1,WEEKDAY(A455)&lt;7),"Wkd",TEXT(A455,"Ddd"))&amp;"-"&amp;TEXT(A455,"hh"),LoadTable[],6,FALSE)*T455</f>
        <v>60532.346624800004</v>
      </c>
      <c r="V455">
        <f t="shared" ref="V455:W455" si="463">V431</f>
        <v>2.8</v>
      </c>
      <c r="W455">
        <f t="shared" si="463"/>
        <v>3.1</v>
      </c>
      <c r="X455" s="9">
        <v>3.2442055000000001</v>
      </c>
    </row>
    <row r="456" spans="1:24">
      <c r="A456" s="29">
        <f t="shared" si="460"/>
        <v>45854.874999998901</v>
      </c>
      <c r="B456" s="30">
        <f t="shared" si="415"/>
        <v>5000</v>
      </c>
      <c r="C456" s="8">
        <v>25000</v>
      </c>
      <c r="D456" s="8">
        <v>0</v>
      </c>
      <c r="E456" s="8">
        <v>0</v>
      </c>
      <c r="F456" s="8">
        <v>0</v>
      </c>
      <c r="G456" s="30">
        <f t="shared" si="416"/>
        <v>2400</v>
      </c>
      <c r="H456" s="8">
        <v>25000</v>
      </c>
      <c r="I456" s="30">
        <f t="shared" si="417"/>
        <v>5000</v>
      </c>
      <c r="J456" s="8">
        <v>25000</v>
      </c>
      <c r="K456" s="30">
        <f t="shared" si="418"/>
        <v>5000</v>
      </c>
      <c r="L456" s="8">
        <v>25000</v>
      </c>
      <c r="M456" s="9">
        <f>VLOOKUP(DATE(YEAR(A456),MONTH(A456),DAY(A456)),FY24_Temp[],4,FALSE)</f>
        <v>8.4</v>
      </c>
      <c r="N456" s="9">
        <f>VLOOKUP(DATE(YEAR(A456),MONTH(A456),DAY(A456)),FY24_Temp[],3,FALSE)</f>
        <v>12.8</v>
      </c>
      <c r="O456" s="9">
        <v>13</v>
      </c>
      <c r="P456" s="9">
        <v>19.5</v>
      </c>
      <c r="Q456" s="79">
        <f>VLOOKUP(VLOOKUP(DATEVALUE(TEXT(A456,"m/d/yyyy")),FY24_Temp[],5,FALSE)&amp;TEXT(A456,"-h"),Table6[],4,FALSE)</f>
        <v>0.5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VLOOKUP(TEXT(A456,"yy-mm")&amp;"-"&amp;IF(AND(WEEKDAY(A456)&gt;1,WEEKDAY(A456)&lt;7),"Wkd",TEXT(A456,"Ddd"))&amp;"-"&amp;TEXT(A456,"hh"),LoadTable[],5,FALSE)*0.92</f>
        <v>494.57360000000006</v>
      </c>
      <c r="U456" s="104">
        <f>VLOOKUP(TEXT(A456,"yy-mm")&amp;"-"&amp;IF(AND(WEEKDAY(A456)&gt;1,WEEKDAY(A456)&lt;7),"Wkd",TEXT(A456,"Ddd"))&amp;"-"&amp;TEXT(A456,"hh"),LoadTable[],6,FALSE)*T456</f>
        <v>58481.349905600007</v>
      </c>
      <c r="V456">
        <f t="shared" ref="V456:W456" si="464">V432</f>
        <v>3.5</v>
      </c>
      <c r="W456">
        <f t="shared" si="464"/>
        <v>3.1</v>
      </c>
      <c r="X456" s="9">
        <v>3.2236273</v>
      </c>
    </row>
    <row r="457" spans="1:24">
      <c r="A457" s="29">
        <f t="shared" si="460"/>
        <v>45854.916666665566</v>
      </c>
      <c r="B457" s="30">
        <f t="shared" si="415"/>
        <v>5000</v>
      </c>
      <c r="C457" s="8">
        <v>25000</v>
      </c>
      <c r="D457" s="8">
        <v>0</v>
      </c>
      <c r="E457" s="8">
        <v>0</v>
      </c>
      <c r="F457" s="8">
        <v>0</v>
      </c>
      <c r="G457" s="30">
        <f t="shared" si="416"/>
        <v>2400</v>
      </c>
      <c r="H457" s="8">
        <v>25000</v>
      </c>
      <c r="I457" s="30">
        <f t="shared" si="417"/>
        <v>5000</v>
      </c>
      <c r="J457" s="8">
        <v>25000</v>
      </c>
      <c r="K457" s="30">
        <f t="shared" si="418"/>
        <v>5000</v>
      </c>
      <c r="L457" s="8">
        <v>25000</v>
      </c>
      <c r="M457" s="9">
        <f>VLOOKUP(DATE(YEAR(A457),MONTH(A457),DAY(A457)),FY24_Temp[],4,FALSE)</f>
        <v>8.4</v>
      </c>
      <c r="N457" s="9">
        <f>VLOOKUP(DATE(YEAR(A457),MONTH(A457),DAY(A457)),FY24_Temp[],3,FALSE)</f>
        <v>12.8</v>
      </c>
      <c r="O457" s="9">
        <v>13</v>
      </c>
      <c r="P457" s="9">
        <v>19.5</v>
      </c>
      <c r="Q457" s="79">
        <f>VLOOKUP(VLOOKUP(DATEVALUE(TEXT(A457,"m/d/yyyy")),FY24_Temp[],5,FALSE)&amp;TEXT(A457,"-h"),Table6[],4,FALSE)</f>
        <v>0.5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VLOOKUP(TEXT(A457,"yy-mm")&amp;"-"&amp;IF(AND(WEEKDAY(A457)&gt;1,WEEKDAY(A457)&lt;7),"Wkd",TEXT(A457,"Ddd"))&amp;"-"&amp;TEXT(A457,"hh"),LoadTable[],5,FALSE)*0.92</f>
        <v>418.75640000000004</v>
      </c>
      <c r="U457" s="104">
        <f>VLOOKUP(TEXT(A457,"yy-mm")&amp;"-"&amp;IF(AND(WEEKDAY(A457)&gt;1,WEEKDAY(A457)&lt;7),"Wkd",TEXT(A457,"Ddd"))&amp;"-"&amp;TEXT(A457,"hh"),LoadTable[],6,FALSE)*T457</f>
        <v>27547.889774000003</v>
      </c>
      <c r="V457">
        <f t="shared" ref="V457:W457" si="465">V433</f>
        <v>2.9</v>
      </c>
      <c r="W457">
        <f t="shared" si="465"/>
        <v>3.1</v>
      </c>
      <c r="X457" s="9">
        <v>3.1790802</v>
      </c>
    </row>
    <row r="458" spans="1:24">
      <c r="A458" s="29">
        <f t="shared" si="460"/>
        <v>45854.95833333223</v>
      </c>
      <c r="B458" s="30">
        <f t="shared" si="415"/>
        <v>5000</v>
      </c>
      <c r="C458" s="8">
        <v>25000</v>
      </c>
      <c r="D458" s="8">
        <v>0</v>
      </c>
      <c r="E458" s="8">
        <v>0</v>
      </c>
      <c r="F458" s="8">
        <v>0</v>
      </c>
      <c r="G458" s="30">
        <f t="shared" si="416"/>
        <v>2400</v>
      </c>
      <c r="H458" s="8">
        <v>25000</v>
      </c>
      <c r="I458" s="30">
        <f t="shared" si="417"/>
        <v>5000</v>
      </c>
      <c r="J458" s="8">
        <v>25000</v>
      </c>
      <c r="K458" s="30">
        <f t="shared" si="418"/>
        <v>5000</v>
      </c>
      <c r="L458" s="8">
        <v>25000</v>
      </c>
      <c r="M458" s="9">
        <f>VLOOKUP(DATE(YEAR(A458),MONTH(A458),DAY(A458)),FY24_Temp[],4,FALSE)</f>
        <v>8.4</v>
      </c>
      <c r="N458" s="9">
        <f>VLOOKUP(DATE(YEAR(A458),MONTH(A458),DAY(A458)),FY24_Temp[],3,FALSE)</f>
        <v>12.8</v>
      </c>
      <c r="O458" s="9">
        <v>13</v>
      </c>
      <c r="P458" s="9">
        <v>19.5</v>
      </c>
      <c r="Q458" s="79">
        <f>VLOOKUP(VLOOKUP(DATEVALUE(TEXT(A458,"m/d/yyyy")),FY24_Temp[],5,FALSE)&amp;TEXT(A458,"-h"),Table6[],4,FALSE)</f>
        <v>0.5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VLOOKUP(TEXT(A458,"yy-mm")&amp;"-"&amp;IF(AND(WEEKDAY(A458)&gt;1,WEEKDAY(A458)&lt;7),"Wkd",TEXT(A458,"Ddd"))&amp;"-"&amp;TEXT(A458,"hh"),LoadTable[],5,FALSE)*0.92</f>
        <v>342.93920000000003</v>
      </c>
      <c r="U458" s="104">
        <f>VLOOKUP(TEXT(A458,"yy-mm")&amp;"-"&amp;IF(AND(WEEKDAY(A458)&gt;1,WEEKDAY(A458)&lt;7),"Wkd",TEXT(A458,"Ddd"))&amp;"-"&amp;TEXT(A458,"hh"),LoadTable[],6,FALSE)*T458</f>
        <v>19873.669579200003</v>
      </c>
      <c r="V458">
        <f t="shared" ref="V458:W458" si="466">V434</f>
        <v>3.6</v>
      </c>
      <c r="W458">
        <f t="shared" si="466"/>
        <v>3.1</v>
      </c>
      <c r="X458" s="9">
        <v>3.1051481000000001</v>
      </c>
    </row>
    <row r="459" spans="1:24">
      <c r="A459" s="29">
        <f t="shared" si="460"/>
        <v>45854.999999998894</v>
      </c>
      <c r="B459" s="30">
        <f t="shared" si="415"/>
        <v>5000</v>
      </c>
      <c r="C459" s="8">
        <v>25000</v>
      </c>
      <c r="D459" s="8">
        <v>0</v>
      </c>
      <c r="E459" s="8">
        <v>0</v>
      </c>
      <c r="F459" s="8">
        <v>0</v>
      </c>
      <c r="G459" s="30">
        <f t="shared" si="416"/>
        <v>2400</v>
      </c>
      <c r="H459" s="8">
        <v>25000</v>
      </c>
      <c r="I459" s="30">
        <f t="shared" si="417"/>
        <v>5000</v>
      </c>
      <c r="J459" s="8">
        <v>25000</v>
      </c>
      <c r="K459" s="30">
        <f t="shared" si="418"/>
        <v>5000</v>
      </c>
      <c r="L459" s="8">
        <v>25000</v>
      </c>
      <c r="M459" s="9">
        <f>VLOOKUP(DATE(YEAR(A459),MONTH(A459),DAY(A459)),FY24_Temp[],4,FALSE)</f>
        <v>8.4</v>
      </c>
      <c r="N459" s="9">
        <f>VLOOKUP(DATE(YEAR(A459),MONTH(A459),DAY(A459)),FY24_Temp[],3,FALSE)</f>
        <v>12.8</v>
      </c>
      <c r="O459" s="9">
        <v>13</v>
      </c>
      <c r="P459" s="9">
        <v>19.5</v>
      </c>
      <c r="Q459" s="79">
        <f>VLOOKUP(VLOOKUP(DATEVALUE(TEXT(A459,"m/d/yyyy")),FY24_Temp[],5,FALSE)&amp;TEXT(A459,"-h"),Table6[],4,FALSE)</f>
        <v>0.5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VLOOKUP(TEXT(A459,"yy-mm")&amp;"-"&amp;IF(AND(WEEKDAY(A459)&gt;1,WEEKDAY(A459)&lt;7),"Wkd",TEXT(A459,"Ddd"))&amp;"-"&amp;TEXT(A459,"hh"),LoadTable[],5,FALSE)*0.92</f>
        <v>279.25312000000002</v>
      </c>
      <c r="U459" s="104">
        <f>VLOOKUP(TEXT(A459,"yy-mm")&amp;"-"&amp;IF(AND(WEEKDAY(A459)&gt;1,WEEKDAY(A459)&lt;7),"Wkd",TEXT(A459,"Ddd"))&amp;"-"&amp;TEXT(A459,"hh"),LoadTable[],6,FALSE)*T459</f>
        <v>14895.640673920001</v>
      </c>
      <c r="V459">
        <f t="shared" ref="V459:W459" si="467">V435</f>
        <v>3</v>
      </c>
      <c r="W459">
        <f t="shared" si="467"/>
        <v>3.2</v>
      </c>
      <c r="X459" s="9">
        <v>3.0375257000000002</v>
      </c>
    </row>
    <row r="460" spans="1:24">
      <c r="A460" s="29">
        <f t="shared" si="460"/>
        <v>45855.041666665558</v>
      </c>
      <c r="B460" s="30">
        <f t="shared" si="415"/>
        <v>5000</v>
      </c>
      <c r="C460" s="8">
        <v>25000</v>
      </c>
      <c r="D460" s="8">
        <v>0</v>
      </c>
      <c r="E460" s="8">
        <v>0</v>
      </c>
      <c r="F460" s="8">
        <v>0</v>
      </c>
      <c r="G460" s="30">
        <f t="shared" si="416"/>
        <v>2400</v>
      </c>
      <c r="H460" s="8">
        <v>25000</v>
      </c>
      <c r="I460" s="30">
        <f t="shared" si="417"/>
        <v>5000</v>
      </c>
      <c r="J460" s="8">
        <v>25000</v>
      </c>
      <c r="K460" s="30">
        <f t="shared" si="418"/>
        <v>5000</v>
      </c>
      <c r="L460" s="8">
        <v>25000</v>
      </c>
      <c r="M460" s="9">
        <f>VLOOKUP(DATE(YEAR(A460),MONTH(A460),DAY(A460)),FY24_Temp[],4,FALSE)</f>
        <v>8.4</v>
      </c>
      <c r="N460" s="9">
        <f>VLOOKUP(DATE(YEAR(A460),MONTH(A460),DAY(A460)),FY24_Temp[],3,FALSE)</f>
        <v>12.8</v>
      </c>
      <c r="O460" s="9">
        <v>13</v>
      </c>
      <c r="P460" s="9">
        <v>19.5</v>
      </c>
      <c r="Q460" s="79">
        <f>VLOOKUP(VLOOKUP(DATEVALUE(TEXT(A460,"m/d/yyyy")),FY24_Temp[],5,FALSE)&amp;TEXT(A460,"-h"),Table6[],4,FALSE)</f>
        <v>0.5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VLOOKUP(TEXT(A460,"yy-mm")&amp;"-"&amp;IF(AND(WEEKDAY(A460)&gt;1,WEEKDAY(A460)&lt;7),"Wkd",TEXT(A460,"Ddd"))&amp;"-"&amp;TEXT(A460,"hh"),LoadTable[],5,FALSE)*0.92</f>
        <v>279.25312000000002</v>
      </c>
      <c r="U460" s="104">
        <f>VLOOKUP(TEXT(A460,"yy-mm")&amp;"-"&amp;IF(AND(WEEKDAY(A460)&gt;1,WEEKDAY(A460)&lt;7),"Wkd",TEXT(A460,"Ddd"))&amp;"-"&amp;TEXT(A460,"hh"),LoadTable[],6,FALSE)*T460</f>
        <v>14470.896678400002</v>
      </c>
      <c r="V460">
        <f t="shared" ref="V460:W460" si="468">V436</f>
        <v>2.6</v>
      </c>
      <c r="W460">
        <f t="shared" si="468"/>
        <v>3.2</v>
      </c>
      <c r="X460" s="9">
        <v>3.0554587999999998</v>
      </c>
    </row>
    <row r="461" spans="1:24">
      <c r="A461" s="29">
        <f t="shared" si="460"/>
        <v>45855.083333332223</v>
      </c>
      <c r="B461" s="30">
        <f t="shared" si="415"/>
        <v>5000</v>
      </c>
      <c r="C461" s="8">
        <v>25000</v>
      </c>
      <c r="D461" s="8">
        <v>0</v>
      </c>
      <c r="E461" s="8">
        <v>0</v>
      </c>
      <c r="F461" s="8">
        <v>0</v>
      </c>
      <c r="G461" s="30">
        <f t="shared" si="416"/>
        <v>2400</v>
      </c>
      <c r="H461" s="8">
        <v>25000</v>
      </c>
      <c r="I461" s="30">
        <f t="shared" si="417"/>
        <v>5000</v>
      </c>
      <c r="J461" s="8">
        <v>25000</v>
      </c>
      <c r="K461" s="30">
        <f t="shared" si="418"/>
        <v>5000</v>
      </c>
      <c r="L461" s="8">
        <v>25000</v>
      </c>
      <c r="M461" s="9">
        <f>VLOOKUP(DATE(YEAR(A461),MONTH(A461),DAY(A461)),FY24_Temp[],4,FALSE)</f>
        <v>8.4</v>
      </c>
      <c r="N461" s="9">
        <f>VLOOKUP(DATE(YEAR(A461),MONTH(A461),DAY(A461)),FY24_Temp[],3,FALSE)</f>
        <v>12.8</v>
      </c>
      <c r="O461" s="9">
        <v>13</v>
      </c>
      <c r="P461" s="9">
        <v>19.5</v>
      </c>
      <c r="Q461" s="79">
        <f>VLOOKUP(VLOOKUP(DATEVALUE(TEXT(A461,"m/d/yyyy")),FY24_Temp[],5,FALSE)&amp;TEXT(A461,"-h"),Table6[],4,FALSE)</f>
        <v>0.5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VLOOKUP(TEXT(A461,"yy-mm")&amp;"-"&amp;IF(AND(WEEKDAY(A461)&gt;1,WEEKDAY(A461)&lt;7),"Wkd",TEXT(A461,"Ddd"))&amp;"-"&amp;TEXT(A461,"hh"),LoadTable[],5,FALSE)*0.92</f>
        <v>279.25312000000002</v>
      </c>
      <c r="U461" s="104">
        <f>VLOOKUP(TEXT(A461,"yy-mm")&amp;"-"&amp;IF(AND(WEEKDAY(A461)&gt;1,WEEKDAY(A461)&lt;7),"Wkd",TEXT(A461,"Ddd"))&amp;"-"&amp;TEXT(A461,"hh"),LoadTable[],6,FALSE)*T461</f>
        <v>14154.50289344</v>
      </c>
      <c r="V461">
        <f t="shared" ref="V461:W461" si="469">V437</f>
        <v>2.8</v>
      </c>
      <c r="W461">
        <f t="shared" si="469"/>
        <v>3.2</v>
      </c>
      <c r="X461" s="9">
        <v>3.1061673000000001</v>
      </c>
    </row>
    <row r="462" spans="1:24">
      <c r="A462" s="29">
        <f t="shared" si="460"/>
        <v>45855.124999998887</v>
      </c>
      <c r="B462" s="30">
        <f t="shared" si="415"/>
        <v>5000</v>
      </c>
      <c r="C462" s="8">
        <v>25000</v>
      </c>
      <c r="D462" s="8">
        <v>0</v>
      </c>
      <c r="E462" s="8">
        <v>0</v>
      </c>
      <c r="F462" s="8">
        <v>0</v>
      </c>
      <c r="G462" s="30">
        <f t="shared" si="416"/>
        <v>2400</v>
      </c>
      <c r="H462" s="8">
        <v>25000</v>
      </c>
      <c r="I462" s="30">
        <f t="shared" si="417"/>
        <v>5000</v>
      </c>
      <c r="J462" s="8">
        <v>25000</v>
      </c>
      <c r="K462" s="30">
        <f t="shared" si="418"/>
        <v>5000</v>
      </c>
      <c r="L462" s="8">
        <v>25000</v>
      </c>
      <c r="M462" s="9">
        <f>VLOOKUP(DATE(YEAR(A462),MONTH(A462),DAY(A462)),FY24_Temp[],4,FALSE)</f>
        <v>8.4</v>
      </c>
      <c r="N462" s="9">
        <f>VLOOKUP(DATE(YEAR(A462),MONTH(A462),DAY(A462)),FY24_Temp[],3,FALSE)</f>
        <v>12.8</v>
      </c>
      <c r="O462" s="9">
        <v>13</v>
      </c>
      <c r="P462" s="9">
        <v>19.5</v>
      </c>
      <c r="Q462" s="79">
        <f>VLOOKUP(VLOOKUP(DATEVALUE(TEXT(A462,"m/d/yyyy")),FY24_Temp[],5,FALSE)&amp;TEXT(A462,"-h"),Table6[],4,FALSE)</f>
        <v>0.5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VLOOKUP(TEXT(A462,"yy-mm")&amp;"-"&amp;IF(AND(WEEKDAY(A462)&gt;1,WEEKDAY(A462)&lt;7),"Wkd",TEXT(A462,"Ddd"))&amp;"-"&amp;TEXT(A462,"hh"),LoadTable[],5,FALSE)*0.92</f>
        <v>279.25312000000002</v>
      </c>
      <c r="U462" s="104">
        <f>VLOOKUP(TEXT(A462,"yy-mm")&amp;"-"&amp;IF(AND(WEEKDAY(A462)&gt;1,WEEKDAY(A462)&lt;7),"Wkd",TEXT(A462,"Ddd"))&amp;"-"&amp;TEXT(A462,"hh"),LoadTable[],6,FALSE)*T462</f>
        <v>14206.443973760001</v>
      </c>
      <c r="V462">
        <f t="shared" ref="V462:W462" si="470">V438</f>
        <v>2.7</v>
      </c>
      <c r="W462">
        <f t="shared" si="470"/>
        <v>3.2</v>
      </c>
      <c r="X462" s="9">
        <v>3.1769303999999998</v>
      </c>
    </row>
    <row r="463" spans="1:24">
      <c r="A463" s="29">
        <f t="shared" si="460"/>
        <v>45855.166666665551</v>
      </c>
      <c r="B463" s="30">
        <f t="shared" si="415"/>
        <v>5000</v>
      </c>
      <c r="C463" s="8">
        <v>25000</v>
      </c>
      <c r="D463" s="8">
        <v>0</v>
      </c>
      <c r="E463" s="8">
        <v>0</v>
      </c>
      <c r="F463" s="8">
        <v>0</v>
      </c>
      <c r="G463" s="30">
        <f t="shared" si="416"/>
        <v>2400</v>
      </c>
      <c r="H463" s="8">
        <v>25000</v>
      </c>
      <c r="I463" s="30">
        <f t="shared" si="417"/>
        <v>5000</v>
      </c>
      <c r="J463" s="8">
        <v>25000</v>
      </c>
      <c r="K463" s="30">
        <f t="shared" si="418"/>
        <v>5000</v>
      </c>
      <c r="L463" s="8">
        <v>25000</v>
      </c>
      <c r="M463" s="9">
        <f>VLOOKUP(DATE(YEAR(A463),MONTH(A463),DAY(A463)),FY24_Temp[],4,FALSE)</f>
        <v>8.4</v>
      </c>
      <c r="N463" s="9">
        <f>VLOOKUP(DATE(YEAR(A463),MONTH(A463),DAY(A463)),FY24_Temp[],3,FALSE)</f>
        <v>12.8</v>
      </c>
      <c r="O463" s="9">
        <v>13</v>
      </c>
      <c r="P463" s="9">
        <v>19.5</v>
      </c>
      <c r="Q463" s="79">
        <f>VLOOKUP(VLOOKUP(DATEVALUE(TEXT(A463,"m/d/yyyy")),FY24_Temp[],5,FALSE)&amp;TEXT(A463,"-h"),Table6[],4,FALSE)</f>
        <v>0.5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VLOOKUP(TEXT(A463,"yy-mm")&amp;"-"&amp;IF(AND(WEEKDAY(A463)&gt;1,WEEKDAY(A463)&lt;7),"Wkd",TEXT(A463,"Ddd"))&amp;"-"&amp;TEXT(A463,"hh"),LoadTable[],5,FALSE)*0.92</f>
        <v>279.25312000000002</v>
      </c>
      <c r="U463" s="104">
        <f>VLOOKUP(TEXT(A463,"yy-mm")&amp;"-"&amp;IF(AND(WEEKDAY(A463)&gt;1,WEEKDAY(A463)&lt;7),"Wkd",TEXT(A463,"Ddd"))&amp;"-"&amp;TEXT(A463,"hh"),LoadTable[],6,FALSE)*T463</f>
        <v>14229.063476480002</v>
      </c>
      <c r="V463">
        <f t="shared" ref="V463:W463" si="471">V439</f>
        <v>3</v>
      </c>
      <c r="W463">
        <f t="shared" si="471"/>
        <v>3.1</v>
      </c>
      <c r="X463" s="9">
        <v>3.2080454999999999</v>
      </c>
    </row>
    <row r="464" spans="1:24">
      <c r="A464" s="29">
        <f t="shared" si="460"/>
        <v>45855.208333332215</v>
      </c>
      <c r="B464" s="30">
        <f t="shared" si="415"/>
        <v>5000</v>
      </c>
      <c r="C464" s="8">
        <v>25000</v>
      </c>
      <c r="D464" s="8">
        <v>0</v>
      </c>
      <c r="E464" s="8">
        <v>0</v>
      </c>
      <c r="F464" s="8">
        <v>0</v>
      </c>
      <c r="G464" s="30">
        <f t="shared" si="416"/>
        <v>2400</v>
      </c>
      <c r="H464" s="8">
        <v>25000</v>
      </c>
      <c r="I464" s="30">
        <f t="shared" si="417"/>
        <v>5000</v>
      </c>
      <c r="J464" s="8">
        <v>25000</v>
      </c>
      <c r="K464" s="30">
        <f t="shared" si="418"/>
        <v>5000</v>
      </c>
      <c r="L464" s="8">
        <v>25000</v>
      </c>
      <c r="M464" s="9">
        <f>VLOOKUP(DATE(YEAR(A464),MONTH(A464),DAY(A464)),FY24_Temp[],4,FALSE)</f>
        <v>8.4</v>
      </c>
      <c r="N464" s="9">
        <f>VLOOKUP(DATE(YEAR(A464),MONTH(A464),DAY(A464)),FY24_Temp[],3,FALSE)</f>
        <v>12.8</v>
      </c>
      <c r="O464" s="9">
        <v>13</v>
      </c>
      <c r="P464" s="9">
        <v>19.5</v>
      </c>
      <c r="Q464" s="79">
        <f>VLOOKUP(VLOOKUP(DATEVALUE(TEXT(A464,"m/d/yyyy")),FY24_Temp[],5,FALSE)&amp;TEXT(A464,"-h"),Table6[],4,FALSE)</f>
        <v>0.5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VLOOKUP(TEXT(A464,"yy-mm")&amp;"-"&amp;IF(AND(WEEKDAY(A464)&gt;1,WEEKDAY(A464)&lt;7),"Wkd",TEXT(A464,"Ddd"))&amp;"-"&amp;TEXT(A464,"hh"),LoadTable[],5,FALSE)*0.92</f>
        <v>279.25312000000002</v>
      </c>
      <c r="U464" s="104">
        <f>VLOOKUP(TEXT(A464,"yy-mm")&amp;"-"&amp;IF(AND(WEEKDAY(A464)&gt;1,WEEKDAY(A464)&lt;7),"Wkd",TEXT(A464,"Ddd"))&amp;"-"&amp;TEXT(A464,"hh"),LoadTable[],6,FALSE)*T464</f>
        <v>14735.070129920001</v>
      </c>
      <c r="V464">
        <f t="shared" ref="V464:W464" si="472">V440</f>
        <v>2.9</v>
      </c>
      <c r="W464">
        <f t="shared" si="472"/>
        <v>3.1</v>
      </c>
      <c r="X464" s="9">
        <v>3.2739530000000001</v>
      </c>
    </row>
    <row r="465" spans="1:24">
      <c r="A465" s="29">
        <f t="shared" si="460"/>
        <v>45855.24999999888</v>
      </c>
      <c r="B465" s="30">
        <f t="shared" si="415"/>
        <v>8000</v>
      </c>
      <c r="C465" s="8">
        <v>25000</v>
      </c>
      <c r="D465" s="8">
        <v>0</v>
      </c>
      <c r="E465" s="8">
        <v>0</v>
      </c>
      <c r="F465" s="8">
        <v>0</v>
      </c>
      <c r="G465" s="30">
        <f t="shared" si="416"/>
        <v>2400</v>
      </c>
      <c r="H465" s="8">
        <v>25000</v>
      </c>
      <c r="I465" s="30">
        <f t="shared" si="417"/>
        <v>8000</v>
      </c>
      <c r="J465" s="8">
        <v>25000</v>
      </c>
      <c r="K465" s="30">
        <f t="shared" si="418"/>
        <v>8000</v>
      </c>
      <c r="L465" s="8">
        <v>25000</v>
      </c>
      <c r="M465" s="9">
        <f>VLOOKUP(DATE(YEAR(A465),MONTH(A465),DAY(A465)),FY24_Temp[],4,FALSE)</f>
        <v>8.4</v>
      </c>
      <c r="N465" s="9">
        <f>VLOOKUP(DATE(YEAR(A465),MONTH(A465),DAY(A465)),FY24_Temp[],3,FALSE)</f>
        <v>12.8</v>
      </c>
      <c r="O465" s="9">
        <v>13</v>
      </c>
      <c r="P465" s="9">
        <v>19.5</v>
      </c>
      <c r="Q465" s="79">
        <f>VLOOKUP(VLOOKUP(DATEVALUE(TEXT(A465,"m/d/yyyy")),FY24_Temp[],5,FALSE)&amp;TEXT(A465,"-h"),Table6[],4,FALSE)</f>
        <v>0.5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VLOOKUP(TEXT(A465,"yy-mm")&amp;"-"&amp;IF(AND(WEEKDAY(A465)&gt;1,WEEKDAY(A465)&lt;7),"Wkd",TEXT(A465,"Ddd"))&amp;"-"&amp;TEXT(A465,"hh"),LoadTable[],5,FALSE)*0.92</f>
        <v>279.25312000000002</v>
      </c>
      <c r="U465" s="104">
        <f>VLOOKUP(TEXT(A465,"yy-mm")&amp;"-"&amp;IF(AND(WEEKDAY(A465)&gt;1,WEEKDAY(A465)&lt;7),"Wkd",TEXT(A465,"Ddd"))&amp;"-"&amp;TEXT(A465,"hh"),LoadTable[],6,FALSE)*T465</f>
        <v>26238.902408320002</v>
      </c>
      <c r="V465">
        <f t="shared" ref="V465:W465" si="473">V441</f>
        <v>2.5</v>
      </c>
      <c r="W465">
        <f t="shared" si="473"/>
        <v>3.1</v>
      </c>
      <c r="X465" s="9">
        <v>3.3684506000000001</v>
      </c>
    </row>
    <row r="466" spans="1:24">
      <c r="A466" s="29">
        <f t="shared" si="460"/>
        <v>45855.291666665544</v>
      </c>
      <c r="B466" s="30">
        <f t="shared" si="415"/>
        <v>8000</v>
      </c>
      <c r="C466" s="8">
        <v>25000</v>
      </c>
      <c r="D466" s="8">
        <v>0</v>
      </c>
      <c r="E466" s="8">
        <v>0</v>
      </c>
      <c r="F466" s="8">
        <v>0</v>
      </c>
      <c r="G466" s="30">
        <f t="shared" si="416"/>
        <v>2400</v>
      </c>
      <c r="H466" s="8">
        <v>25000</v>
      </c>
      <c r="I466" s="30">
        <f t="shared" si="417"/>
        <v>8000</v>
      </c>
      <c r="J466" s="8">
        <v>25000</v>
      </c>
      <c r="K466" s="30">
        <f t="shared" si="418"/>
        <v>8000</v>
      </c>
      <c r="L466" s="8">
        <v>25000</v>
      </c>
      <c r="M466" s="9">
        <f>VLOOKUP(DATE(YEAR(A466),MONTH(A466),DAY(A466)),FY24_Temp[],4,FALSE)</f>
        <v>8.4</v>
      </c>
      <c r="N466" s="9">
        <f>VLOOKUP(DATE(YEAR(A466),MONTH(A466),DAY(A466)),FY24_Temp[],3,FALSE)</f>
        <v>12.8</v>
      </c>
      <c r="O466" s="9">
        <v>13</v>
      </c>
      <c r="P466" s="9">
        <v>19.5</v>
      </c>
      <c r="Q466" s="79">
        <f>VLOOKUP(VLOOKUP(DATEVALUE(TEXT(A466,"m/d/yyyy")),FY24_Temp[],5,FALSE)&amp;TEXT(A466,"-h"),Table6[],4,FALSE)</f>
        <v>0.5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VLOOKUP(TEXT(A466,"yy-mm")&amp;"-"&amp;IF(AND(WEEKDAY(A466)&gt;1,WEEKDAY(A466)&lt;7),"Wkd",TEXT(A466,"Ddd"))&amp;"-"&amp;TEXT(A466,"hh"),LoadTable[],5,FALSE)*0.92</f>
        <v>279.25312000000002</v>
      </c>
      <c r="U466" s="104">
        <f>VLOOKUP(TEXT(A466,"yy-mm")&amp;"-"&amp;IF(AND(WEEKDAY(A466)&gt;1,WEEKDAY(A466)&lt;7),"Wkd",TEXT(A466,"Ddd"))&amp;"-"&amp;TEXT(A466,"hh"),LoadTable[],6,FALSE)*T466</f>
        <v>22145.051669120003</v>
      </c>
      <c r="V466">
        <f t="shared" ref="V466:W466" si="474">V442</f>
        <v>2.5</v>
      </c>
      <c r="W466">
        <f t="shared" si="474"/>
        <v>3.1</v>
      </c>
      <c r="X466" s="9">
        <v>3.3659408000000002</v>
      </c>
    </row>
    <row r="467" spans="1:24">
      <c r="A467" s="29">
        <f t="shared" si="460"/>
        <v>45855.333333332208</v>
      </c>
      <c r="B467" s="30">
        <f t="shared" si="415"/>
        <v>8000</v>
      </c>
      <c r="C467" s="8">
        <v>25000</v>
      </c>
      <c r="D467" s="8">
        <v>0</v>
      </c>
      <c r="E467" s="8">
        <v>0</v>
      </c>
      <c r="F467" s="8">
        <v>0</v>
      </c>
      <c r="G467" s="30">
        <f t="shared" si="416"/>
        <v>2400</v>
      </c>
      <c r="H467" s="8">
        <v>25000</v>
      </c>
      <c r="I467" s="30">
        <f t="shared" si="417"/>
        <v>8000</v>
      </c>
      <c r="J467" s="8">
        <v>25000</v>
      </c>
      <c r="K467" s="30">
        <f t="shared" si="418"/>
        <v>8000</v>
      </c>
      <c r="L467" s="8">
        <v>25000</v>
      </c>
      <c r="M467" s="9">
        <f>VLOOKUP(DATE(YEAR(A467),MONTH(A467),DAY(A467)),FY24_Temp[],4,FALSE)</f>
        <v>8.4</v>
      </c>
      <c r="N467" s="9">
        <f>VLOOKUP(DATE(YEAR(A467),MONTH(A467),DAY(A467)),FY24_Temp[],3,FALSE)</f>
        <v>12.8</v>
      </c>
      <c r="O467" s="9">
        <v>13</v>
      </c>
      <c r="P467" s="9">
        <v>19.5</v>
      </c>
      <c r="Q467" s="79">
        <f>VLOOKUP(VLOOKUP(DATEVALUE(TEXT(A467,"m/d/yyyy")),FY24_Temp[],5,FALSE)&amp;TEXT(A467,"-h"),Table6[],4,FALSE)</f>
        <v>0.5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VLOOKUP(TEXT(A467,"yy-mm")&amp;"-"&amp;IF(AND(WEEKDAY(A467)&gt;1,WEEKDAY(A467)&lt;7),"Wkd",TEXT(A467,"Ddd"))&amp;"-"&amp;TEXT(A467,"hh"),LoadTable[],5,FALSE)*0.92</f>
        <v>279.25312000000002</v>
      </c>
      <c r="U467" s="104">
        <f>VLOOKUP(TEXT(A467,"yy-mm")&amp;"-"&amp;IF(AND(WEEKDAY(A467)&gt;1,WEEKDAY(A467)&lt;7),"Wkd",TEXT(A467,"Ddd"))&amp;"-"&amp;TEXT(A467,"hh"),LoadTable[],6,FALSE)*T467</f>
        <v>17686.77560832</v>
      </c>
      <c r="V467">
        <f t="shared" ref="V467:W467" si="475">V443</f>
        <v>3.2</v>
      </c>
      <c r="W467">
        <f t="shared" si="475"/>
        <v>3</v>
      </c>
      <c r="X467" s="9">
        <v>3.4476060999999998</v>
      </c>
    </row>
    <row r="468" spans="1:24">
      <c r="A468" s="29">
        <f t="shared" si="460"/>
        <v>45855.374999998872</v>
      </c>
      <c r="B468" s="30">
        <f t="shared" si="415"/>
        <v>8000</v>
      </c>
      <c r="C468" s="8">
        <v>25000</v>
      </c>
      <c r="D468" s="8">
        <v>0</v>
      </c>
      <c r="E468" s="8">
        <v>0</v>
      </c>
      <c r="F468" s="8">
        <v>0</v>
      </c>
      <c r="G468" s="30">
        <f t="shared" si="416"/>
        <v>2400</v>
      </c>
      <c r="H468" s="8">
        <v>25000</v>
      </c>
      <c r="I468" s="30">
        <f t="shared" si="417"/>
        <v>8000</v>
      </c>
      <c r="J468" s="8">
        <v>25000</v>
      </c>
      <c r="K468" s="30">
        <f t="shared" si="418"/>
        <v>8000</v>
      </c>
      <c r="L468" s="8">
        <v>25000</v>
      </c>
      <c r="M468" s="9">
        <f>VLOOKUP(DATE(YEAR(A468),MONTH(A468),DAY(A468)),FY24_Temp[],4,FALSE)</f>
        <v>8.4</v>
      </c>
      <c r="N468" s="9">
        <f>VLOOKUP(DATE(YEAR(A468),MONTH(A468),DAY(A468)),FY24_Temp[],3,FALSE)</f>
        <v>12.8</v>
      </c>
      <c r="O468" s="9">
        <v>13</v>
      </c>
      <c r="P468" s="9">
        <v>19.5</v>
      </c>
      <c r="Q468" s="79">
        <f>VLOOKUP(VLOOKUP(DATEVALUE(TEXT(A468,"m/d/yyyy")),FY24_Temp[],5,FALSE)&amp;TEXT(A468,"-h"),Table6[],4,FALSE)</f>
        <v>0.5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VLOOKUP(TEXT(A468,"yy-mm")&amp;"-"&amp;IF(AND(WEEKDAY(A468)&gt;1,WEEKDAY(A468)&lt;7),"Wkd",TEXT(A468,"Ddd"))&amp;"-"&amp;TEXT(A468,"hh"),LoadTable[],5,FALSE)*0.92</f>
        <v>279.25312000000002</v>
      </c>
      <c r="U468" s="104">
        <f>VLOOKUP(TEXT(A468,"yy-mm")&amp;"-"&amp;IF(AND(WEEKDAY(A468)&gt;1,WEEKDAY(A468)&lt;7),"Wkd",TEXT(A468,"Ddd"))&amp;"-"&amp;TEXT(A468,"hh"),LoadTable[],6,FALSE)*T468</f>
        <v>14265.924888320002</v>
      </c>
      <c r="V468">
        <f t="shared" ref="V468:W468" si="476">V444</f>
        <v>2.9</v>
      </c>
      <c r="W468">
        <f t="shared" si="476"/>
        <v>3</v>
      </c>
      <c r="X468" s="9">
        <v>3.5583656000000001</v>
      </c>
    </row>
    <row r="469" spans="1:24">
      <c r="A469" s="29">
        <f t="shared" si="460"/>
        <v>45855.416666665536</v>
      </c>
      <c r="B469" s="30">
        <f t="shared" si="415"/>
        <v>8000</v>
      </c>
      <c r="C469" s="8">
        <v>25000</v>
      </c>
      <c r="D469" s="8">
        <v>0</v>
      </c>
      <c r="E469" s="8">
        <v>0</v>
      </c>
      <c r="F469" s="8">
        <v>0</v>
      </c>
      <c r="G469" s="30">
        <f t="shared" si="416"/>
        <v>2400</v>
      </c>
      <c r="H469" s="8">
        <v>25000</v>
      </c>
      <c r="I469" s="30">
        <f t="shared" si="417"/>
        <v>8000</v>
      </c>
      <c r="J469" s="8">
        <v>25000</v>
      </c>
      <c r="K469" s="30">
        <f t="shared" si="418"/>
        <v>8000</v>
      </c>
      <c r="L469" s="8">
        <v>25000</v>
      </c>
      <c r="M469" s="9">
        <f>VLOOKUP(DATE(YEAR(A469),MONTH(A469),DAY(A469)),FY24_Temp[],4,FALSE)</f>
        <v>8.4</v>
      </c>
      <c r="N469" s="9">
        <f>VLOOKUP(DATE(YEAR(A469),MONTH(A469),DAY(A469)),FY24_Temp[],3,FALSE)</f>
        <v>12.8</v>
      </c>
      <c r="O469" s="9">
        <v>13</v>
      </c>
      <c r="P469" s="9">
        <v>19.5</v>
      </c>
      <c r="Q469" s="79">
        <f>VLOOKUP(VLOOKUP(DATEVALUE(TEXT(A469,"m/d/yyyy")),FY24_Temp[],5,FALSE)&amp;TEXT(A469,"-h"),Table6[],4,FALSE)</f>
        <v>0.5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VLOOKUP(TEXT(A469,"yy-mm")&amp;"-"&amp;IF(AND(WEEKDAY(A469)&gt;1,WEEKDAY(A469)&lt;7),"Wkd",TEXT(A469,"Ddd"))&amp;"-"&amp;TEXT(A469,"hh"),LoadTable[],5,FALSE)*0.92</f>
        <v>279.25312000000002</v>
      </c>
      <c r="U469" s="104">
        <f>VLOOKUP(TEXT(A469,"yy-mm")&amp;"-"&amp;IF(AND(WEEKDAY(A469)&gt;1,WEEKDAY(A469)&lt;7),"Wkd",TEXT(A469,"Ddd"))&amp;"-"&amp;TEXT(A469,"hh"),LoadTable[],6,FALSE)*T469</f>
        <v>13649.054746240003</v>
      </c>
      <c r="V469">
        <f t="shared" ref="V469:W469" si="477">V445</f>
        <v>2.9</v>
      </c>
      <c r="W469">
        <f t="shared" si="477"/>
        <v>3</v>
      </c>
      <c r="X469" s="9">
        <v>3.5452615999999999</v>
      </c>
    </row>
    <row r="470" spans="1:24">
      <c r="A470" s="29">
        <f t="shared" si="460"/>
        <v>45855.458333332201</v>
      </c>
      <c r="B470" s="30">
        <f t="shared" si="415"/>
        <v>8000</v>
      </c>
      <c r="C470" s="8">
        <v>25000</v>
      </c>
      <c r="D470" s="8">
        <v>0</v>
      </c>
      <c r="E470" s="8">
        <v>0</v>
      </c>
      <c r="F470" s="8">
        <v>0</v>
      </c>
      <c r="G470" s="30">
        <f t="shared" si="416"/>
        <v>2400</v>
      </c>
      <c r="H470" s="8">
        <v>25000</v>
      </c>
      <c r="I470" s="30">
        <f t="shared" si="417"/>
        <v>8000</v>
      </c>
      <c r="J470" s="8">
        <v>25000</v>
      </c>
      <c r="K470" s="30">
        <f t="shared" si="418"/>
        <v>8000</v>
      </c>
      <c r="L470" s="8">
        <v>25000</v>
      </c>
      <c r="M470" s="9">
        <f>VLOOKUP(DATE(YEAR(A470),MONTH(A470),DAY(A470)),FY24_Temp[],4,FALSE)</f>
        <v>8.4</v>
      </c>
      <c r="N470" s="9">
        <f>VLOOKUP(DATE(YEAR(A470),MONTH(A470),DAY(A470)),FY24_Temp[],3,FALSE)</f>
        <v>12.8</v>
      </c>
      <c r="O470" s="9">
        <v>13</v>
      </c>
      <c r="P470" s="9">
        <v>19.5</v>
      </c>
      <c r="Q470" s="79">
        <f>VLOOKUP(VLOOKUP(DATEVALUE(TEXT(A470,"m/d/yyyy")),FY24_Temp[],5,FALSE)&amp;TEXT(A470,"-h"),Table6[],4,FALSE)</f>
        <v>0.5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VLOOKUP(TEXT(A470,"yy-mm")&amp;"-"&amp;IF(AND(WEEKDAY(A470)&gt;1,WEEKDAY(A470)&lt;7),"Wkd",TEXT(A470,"Ddd"))&amp;"-"&amp;TEXT(A470,"hh"),LoadTable[],5,FALSE)*0.92</f>
        <v>279.25312000000002</v>
      </c>
      <c r="U470" s="104">
        <f>VLOOKUP(TEXT(A470,"yy-mm")&amp;"-"&amp;IF(AND(WEEKDAY(A470)&gt;1,WEEKDAY(A470)&lt;7),"Wkd",TEXT(A470,"Ddd"))&amp;"-"&amp;TEXT(A470,"hh"),LoadTable[],6,FALSE)*T470</f>
        <v>13153.938964480001</v>
      </c>
      <c r="V470">
        <f t="shared" ref="V470:W470" si="478">V446</f>
        <v>3.4</v>
      </c>
      <c r="W470">
        <f t="shared" si="478"/>
        <v>3</v>
      </c>
      <c r="X470" s="9">
        <v>3.3669042999999999</v>
      </c>
    </row>
    <row r="471" spans="1:24">
      <c r="A471" s="29">
        <f t="shared" si="460"/>
        <v>45855.499999998865</v>
      </c>
      <c r="B471" s="30">
        <f t="shared" si="415"/>
        <v>8000</v>
      </c>
      <c r="C471" s="8">
        <v>25000</v>
      </c>
      <c r="D471" s="8">
        <v>0</v>
      </c>
      <c r="E471" s="8">
        <v>0</v>
      </c>
      <c r="F471" s="8">
        <v>0</v>
      </c>
      <c r="G471" s="30">
        <f t="shared" si="416"/>
        <v>2400</v>
      </c>
      <c r="H471" s="8">
        <v>25000</v>
      </c>
      <c r="I471" s="30">
        <f t="shared" si="417"/>
        <v>8000</v>
      </c>
      <c r="J471" s="8">
        <v>25000</v>
      </c>
      <c r="K471" s="30">
        <f t="shared" si="418"/>
        <v>8000</v>
      </c>
      <c r="L471" s="8">
        <v>25000</v>
      </c>
      <c r="M471" s="9">
        <f>VLOOKUP(DATE(YEAR(A471),MONTH(A471),DAY(A471)),FY24_Temp[],4,FALSE)</f>
        <v>8.4</v>
      </c>
      <c r="N471" s="9">
        <f>VLOOKUP(DATE(YEAR(A471),MONTH(A471),DAY(A471)),FY24_Temp[],3,FALSE)</f>
        <v>12.8</v>
      </c>
      <c r="O471" s="9">
        <v>13</v>
      </c>
      <c r="P471" s="9">
        <v>19.5</v>
      </c>
      <c r="Q471" s="79">
        <f>VLOOKUP(VLOOKUP(DATEVALUE(TEXT(A471,"m/d/yyyy")),FY24_Temp[],5,FALSE)&amp;TEXT(A471,"-h"),Table6[],4,FALSE)</f>
        <v>0.5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VLOOKUP(TEXT(A471,"yy-mm")&amp;"-"&amp;IF(AND(WEEKDAY(A471)&gt;1,WEEKDAY(A471)&lt;7),"Wkd",TEXT(A471,"Ddd"))&amp;"-"&amp;TEXT(A471,"hh"),LoadTable[],5,FALSE)*0.92</f>
        <v>279.25312000000002</v>
      </c>
      <c r="U471" s="104">
        <f>VLOOKUP(TEXT(A471,"yy-mm")&amp;"-"&amp;IF(AND(WEEKDAY(A471)&gt;1,WEEKDAY(A471)&lt;7),"Wkd",TEXT(A471,"Ddd"))&amp;"-"&amp;TEXT(A471,"hh"),LoadTable[],6,FALSE)*T471</f>
        <v>13898.427782400002</v>
      </c>
      <c r="V471">
        <f t="shared" ref="V471:W471" si="479">V447</f>
        <v>3.1</v>
      </c>
      <c r="W471">
        <f t="shared" si="479"/>
        <v>2.9</v>
      </c>
      <c r="X471" s="9">
        <v>3.1643815000000002</v>
      </c>
    </row>
    <row r="472" spans="1:24">
      <c r="A472" s="29">
        <f t="shared" si="460"/>
        <v>45855.541666665529</v>
      </c>
      <c r="B472" s="30">
        <f t="shared" si="415"/>
        <v>8000</v>
      </c>
      <c r="C472" s="8">
        <v>25000</v>
      </c>
      <c r="D472" s="8">
        <v>0</v>
      </c>
      <c r="E472" s="8">
        <v>0</v>
      </c>
      <c r="F472" s="8">
        <v>0</v>
      </c>
      <c r="G472" s="30">
        <f t="shared" si="416"/>
        <v>2400</v>
      </c>
      <c r="H472" s="8">
        <v>25000</v>
      </c>
      <c r="I472" s="30">
        <f t="shared" si="417"/>
        <v>8000</v>
      </c>
      <c r="J472" s="8">
        <v>25000</v>
      </c>
      <c r="K472" s="30">
        <f t="shared" si="418"/>
        <v>8000</v>
      </c>
      <c r="L472" s="8">
        <v>25000</v>
      </c>
      <c r="M472" s="9">
        <f>VLOOKUP(DATE(YEAR(A472),MONTH(A472),DAY(A472)),FY24_Temp[],4,FALSE)</f>
        <v>8.4</v>
      </c>
      <c r="N472" s="9">
        <f>VLOOKUP(DATE(YEAR(A472),MONTH(A472),DAY(A472)),FY24_Temp[],3,FALSE)</f>
        <v>12.8</v>
      </c>
      <c r="O472" s="9">
        <v>13</v>
      </c>
      <c r="P472" s="9">
        <v>19.5</v>
      </c>
      <c r="Q472" s="79">
        <f>VLOOKUP(VLOOKUP(DATEVALUE(TEXT(A472,"m/d/yyyy")),FY24_Temp[],5,FALSE)&amp;TEXT(A472,"-h"),Table6[],4,FALSE)</f>
        <v>0.5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VLOOKUP(TEXT(A472,"yy-mm")&amp;"-"&amp;IF(AND(WEEKDAY(A472)&gt;1,WEEKDAY(A472)&lt;7),"Wkd",TEXT(A472,"Ddd"))&amp;"-"&amp;TEXT(A472,"hh"),LoadTable[],5,FALSE)*0.92</f>
        <v>279.25312000000002</v>
      </c>
      <c r="U472" s="104">
        <f>VLOOKUP(TEXT(A472,"yy-mm")&amp;"-"&amp;IF(AND(WEEKDAY(A472)&gt;1,WEEKDAY(A472)&lt;7),"Wkd",TEXT(A472,"Ddd"))&amp;"-"&amp;TEXT(A472,"hh"),LoadTable[],6,FALSE)*T472</f>
        <v>16526.1996416</v>
      </c>
      <c r="V472">
        <f t="shared" ref="V472:W472" si="480">V448</f>
        <v>3.2</v>
      </c>
      <c r="W472">
        <f t="shared" si="480"/>
        <v>2.9</v>
      </c>
      <c r="X472" s="9">
        <v>3.0468031999999998</v>
      </c>
    </row>
    <row r="473" spans="1:24">
      <c r="A473" s="29">
        <f t="shared" si="460"/>
        <v>45855.583333332193</v>
      </c>
      <c r="B473" s="30">
        <f t="shared" si="415"/>
        <v>8000</v>
      </c>
      <c r="C473" s="8">
        <v>25000</v>
      </c>
      <c r="D473" s="8">
        <v>0</v>
      </c>
      <c r="E473" s="8">
        <v>0</v>
      </c>
      <c r="F473" s="8">
        <v>0</v>
      </c>
      <c r="G473" s="30">
        <f t="shared" si="416"/>
        <v>2400</v>
      </c>
      <c r="H473" s="8">
        <v>25000</v>
      </c>
      <c r="I473" s="30">
        <f t="shared" si="417"/>
        <v>8000</v>
      </c>
      <c r="J473" s="8">
        <v>25000</v>
      </c>
      <c r="K473" s="30">
        <f t="shared" si="418"/>
        <v>8000</v>
      </c>
      <c r="L473" s="8">
        <v>25000</v>
      </c>
      <c r="M473" s="9">
        <f>VLOOKUP(DATE(YEAR(A473),MONTH(A473),DAY(A473)),FY24_Temp[],4,FALSE)</f>
        <v>8.4</v>
      </c>
      <c r="N473" s="9">
        <f>VLOOKUP(DATE(YEAR(A473),MONTH(A473),DAY(A473)),FY24_Temp[],3,FALSE)</f>
        <v>12.8</v>
      </c>
      <c r="O473" s="9">
        <v>13</v>
      </c>
      <c r="P473" s="9">
        <v>19.5</v>
      </c>
      <c r="Q473" s="79">
        <f>VLOOKUP(VLOOKUP(DATEVALUE(TEXT(A473,"m/d/yyyy")),FY24_Temp[],5,FALSE)&amp;TEXT(A473,"-h"),Table6[],4,FALSE)</f>
        <v>0.5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VLOOKUP(TEXT(A473,"yy-mm")&amp;"-"&amp;IF(AND(WEEKDAY(A473)&gt;1,WEEKDAY(A473)&lt;7),"Wkd",TEXT(A473,"Ddd"))&amp;"-"&amp;TEXT(A473,"hh"),LoadTable[],5,FALSE)*0.92</f>
        <v>373.26607999999999</v>
      </c>
      <c r="U473" s="104">
        <f>VLOOKUP(TEXT(A473,"yy-mm")&amp;"-"&amp;IF(AND(WEEKDAY(A473)&gt;1,WEEKDAY(A473)&lt;7),"Wkd",TEXT(A473,"Ddd"))&amp;"-"&amp;TEXT(A473,"hh"),LoadTable[],6,FALSE)*T473</f>
        <v>27132.338089119996</v>
      </c>
      <c r="V473">
        <f t="shared" ref="V473:W473" si="481">V449</f>
        <v>3.5</v>
      </c>
      <c r="W473">
        <f t="shared" si="481"/>
        <v>2.9</v>
      </c>
      <c r="X473" s="9">
        <v>3.1284627999999999</v>
      </c>
    </row>
    <row r="474" spans="1:24">
      <c r="A474" s="29">
        <f t="shared" si="460"/>
        <v>45855.624999998858</v>
      </c>
      <c r="B474" s="30">
        <f t="shared" si="415"/>
        <v>8000</v>
      </c>
      <c r="C474" s="8">
        <v>25000</v>
      </c>
      <c r="D474" s="8">
        <v>0</v>
      </c>
      <c r="E474" s="8">
        <v>0</v>
      </c>
      <c r="F474" s="8">
        <v>0</v>
      </c>
      <c r="G474" s="30">
        <f t="shared" si="416"/>
        <v>2400</v>
      </c>
      <c r="H474" s="8">
        <v>25000</v>
      </c>
      <c r="I474" s="30">
        <f t="shared" si="417"/>
        <v>8000</v>
      </c>
      <c r="J474" s="8">
        <v>25000</v>
      </c>
      <c r="K474" s="30">
        <f t="shared" si="418"/>
        <v>8000</v>
      </c>
      <c r="L474" s="8">
        <v>25000</v>
      </c>
      <c r="M474" s="9">
        <f>VLOOKUP(DATE(YEAR(A474),MONTH(A474),DAY(A474)),FY24_Temp[],4,FALSE)</f>
        <v>8.4</v>
      </c>
      <c r="N474" s="9">
        <f>VLOOKUP(DATE(YEAR(A474),MONTH(A474),DAY(A474)),FY24_Temp[],3,FALSE)</f>
        <v>12.8</v>
      </c>
      <c r="O474" s="9">
        <v>13</v>
      </c>
      <c r="P474" s="9">
        <v>19.5</v>
      </c>
      <c r="Q474" s="79">
        <f>VLOOKUP(VLOOKUP(DATEVALUE(TEXT(A474,"m/d/yyyy")),FY24_Temp[],5,FALSE)&amp;TEXT(A474,"-h"),Table6[],4,FALSE)</f>
        <v>0.5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VLOOKUP(TEXT(A474,"yy-mm")&amp;"-"&amp;IF(AND(WEEKDAY(A474)&gt;1,WEEKDAY(A474)&lt;7),"Wkd",TEXT(A474,"Ddd"))&amp;"-"&amp;TEXT(A474,"hh"),LoadTable[],5,FALSE)*0.92</f>
        <v>494.57360000000006</v>
      </c>
      <c r="U474" s="104">
        <f>VLOOKUP(TEXT(A474,"yy-mm")&amp;"-"&amp;IF(AND(WEEKDAY(A474)&gt;1,WEEKDAY(A474)&lt;7),"Wkd",TEXT(A474,"Ddd"))&amp;"-"&amp;TEXT(A474,"hh"),LoadTable[],6,FALSE)*T474</f>
        <v>42310.771480000003</v>
      </c>
      <c r="V474">
        <f t="shared" ref="V474:W474" si="482">V450</f>
        <v>3.2</v>
      </c>
      <c r="W474">
        <f t="shared" si="482"/>
        <v>2.9</v>
      </c>
      <c r="X474" s="9">
        <v>3.5330187999999998</v>
      </c>
    </row>
    <row r="475" spans="1:24">
      <c r="A475" s="29">
        <f t="shared" si="460"/>
        <v>45855.666666665522</v>
      </c>
      <c r="B475" s="30">
        <f t="shared" si="415"/>
        <v>8000</v>
      </c>
      <c r="C475" s="8">
        <v>25000</v>
      </c>
      <c r="D475" s="8">
        <v>0</v>
      </c>
      <c r="E475" s="8">
        <v>0</v>
      </c>
      <c r="F475" s="8">
        <v>0</v>
      </c>
      <c r="G475" s="30">
        <f t="shared" si="416"/>
        <v>2400</v>
      </c>
      <c r="H475" s="8">
        <v>25000</v>
      </c>
      <c r="I475" s="30">
        <f t="shared" si="417"/>
        <v>8000</v>
      </c>
      <c r="J475" s="8">
        <v>25000</v>
      </c>
      <c r="K475" s="30">
        <f t="shared" si="418"/>
        <v>8000</v>
      </c>
      <c r="L475" s="8">
        <v>25000</v>
      </c>
      <c r="M475" s="9">
        <f>VLOOKUP(DATE(YEAR(A475),MONTH(A475),DAY(A475)),FY24_Temp[],4,FALSE)</f>
        <v>8.4</v>
      </c>
      <c r="N475" s="9">
        <f>VLOOKUP(DATE(YEAR(A475),MONTH(A475),DAY(A475)),FY24_Temp[],3,FALSE)</f>
        <v>12.8</v>
      </c>
      <c r="O475" s="9">
        <v>13</v>
      </c>
      <c r="P475" s="9">
        <v>19.5</v>
      </c>
      <c r="Q475" s="79">
        <f>VLOOKUP(VLOOKUP(DATEVALUE(TEXT(A475,"m/d/yyyy")),FY24_Temp[],5,FALSE)&amp;TEXT(A475,"-h"),Table6[],4,FALSE)</f>
        <v>0.5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VLOOKUP(TEXT(A475,"yy-mm")&amp;"-"&amp;IF(AND(WEEKDAY(A475)&gt;1,WEEKDAY(A475)&lt;7),"Wkd",TEXT(A475,"Ddd"))&amp;"-"&amp;TEXT(A475,"hh"),LoadTable[],5,FALSE)*0.92</f>
        <v>494.57360000000006</v>
      </c>
      <c r="U475" s="104">
        <f>VLOOKUP(TEXT(A475,"yy-mm")&amp;"-"&amp;IF(AND(WEEKDAY(A475)&gt;1,WEEKDAY(A475)&lt;7),"Wkd",TEXT(A475,"Ddd"))&amp;"-"&amp;TEXT(A475,"hh"),LoadTable[],6,FALSE)*T475</f>
        <v>50694.28857360001</v>
      </c>
      <c r="V475">
        <f t="shared" ref="V475:W475" si="483">V451</f>
        <v>3.5</v>
      </c>
      <c r="W475">
        <f t="shared" si="483"/>
        <v>3</v>
      </c>
      <c r="X475" s="9">
        <v>3.4744754000000002</v>
      </c>
    </row>
    <row r="476" spans="1:24">
      <c r="A476" s="29">
        <f t="shared" si="460"/>
        <v>45855.708333332186</v>
      </c>
      <c r="B476" s="30">
        <f t="shared" ref="B476:B539" si="484">B452</f>
        <v>8000</v>
      </c>
      <c r="C476" s="8">
        <v>25000</v>
      </c>
      <c r="D476" s="8">
        <v>0</v>
      </c>
      <c r="E476" s="8">
        <v>0</v>
      </c>
      <c r="F476" s="8">
        <v>0</v>
      </c>
      <c r="G476" s="30">
        <f t="shared" ref="G476:G539" si="485">G452</f>
        <v>2400</v>
      </c>
      <c r="H476" s="8">
        <v>25000</v>
      </c>
      <c r="I476" s="30">
        <f t="shared" ref="I476:I539" si="486">I452</f>
        <v>8000</v>
      </c>
      <c r="J476" s="8">
        <v>25000</v>
      </c>
      <c r="K476" s="30">
        <f t="shared" ref="K476:K539" si="487">K452</f>
        <v>8000</v>
      </c>
      <c r="L476" s="8">
        <v>25000</v>
      </c>
      <c r="M476" s="9">
        <f>VLOOKUP(DATE(YEAR(A476),MONTH(A476),DAY(A476)),FY24_Temp[],4,FALSE)</f>
        <v>8.4</v>
      </c>
      <c r="N476" s="9">
        <f>VLOOKUP(DATE(YEAR(A476),MONTH(A476),DAY(A476)),FY24_Temp[],3,FALSE)</f>
        <v>12.8</v>
      </c>
      <c r="O476" s="9">
        <v>13</v>
      </c>
      <c r="P476" s="9">
        <v>19.5</v>
      </c>
      <c r="Q476" s="79">
        <f>VLOOKUP(VLOOKUP(DATEVALUE(TEXT(A476,"m/d/yyyy")),FY24_Temp[],5,FALSE)&amp;TEXT(A476,"-h"),Table6[],4,FALSE)</f>
        <v>0.5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VLOOKUP(TEXT(A476,"yy-mm")&amp;"-"&amp;IF(AND(WEEKDAY(A476)&gt;1,WEEKDAY(A476)&lt;7),"Wkd",TEXT(A476,"Ddd"))&amp;"-"&amp;TEXT(A476,"hh"),LoadTable[],5,FALSE)*0.92</f>
        <v>494.57360000000006</v>
      </c>
      <c r="U476" s="104">
        <f>VLOOKUP(TEXT(A476,"yy-mm")&amp;"-"&amp;IF(AND(WEEKDAY(A476)&gt;1,WEEKDAY(A476)&lt;7),"Wkd",TEXT(A476,"Ddd"))&amp;"-"&amp;TEXT(A476,"hh"),LoadTable[],6,FALSE)*T476</f>
        <v>56025.791981600007</v>
      </c>
      <c r="V476">
        <f t="shared" ref="V476:W476" si="488">V452</f>
        <v>3.6</v>
      </c>
      <c r="W476">
        <f t="shared" si="488"/>
        <v>3</v>
      </c>
      <c r="X476" s="9">
        <v>3.3599141000000001</v>
      </c>
    </row>
    <row r="477" spans="1:24">
      <c r="A477" s="29">
        <f t="shared" si="460"/>
        <v>45855.74999999885</v>
      </c>
      <c r="B477" s="30">
        <f t="shared" si="484"/>
        <v>5000</v>
      </c>
      <c r="C477" s="8">
        <v>25000</v>
      </c>
      <c r="D477" s="8">
        <v>0</v>
      </c>
      <c r="E477" s="8">
        <v>0</v>
      </c>
      <c r="F477" s="8">
        <v>0</v>
      </c>
      <c r="G477" s="30">
        <f t="shared" si="485"/>
        <v>2400</v>
      </c>
      <c r="H477" s="8">
        <v>25000</v>
      </c>
      <c r="I477" s="30">
        <f t="shared" si="486"/>
        <v>5000</v>
      </c>
      <c r="J477" s="8">
        <v>25000</v>
      </c>
      <c r="K477" s="30">
        <f t="shared" si="487"/>
        <v>5000</v>
      </c>
      <c r="L477" s="8">
        <v>25000</v>
      </c>
      <c r="M477" s="9">
        <f>VLOOKUP(DATE(YEAR(A477),MONTH(A477),DAY(A477)),FY24_Temp[],4,FALSE)</f>
        <v>8.4</v>
      </c>
      <c r="N477" s="9">
        <f>VLOOKUP(DATE(YEAR(A477),MONTH(A477),DAY(A477)),FY24_Temp[],3,FALSE)</f>
        <v>12.8</v>
      </c>
      <c r="O477" s="9">
        <v>13</v>
      </c>
      <c r="P477" s="9">
        <v>19.5</v>
      </c>
      <c r="Q477" s="79">
        <f>VLOOKUP(VLOOKUP(DATEVALUE(TEXT(A477,"m/d/yyyy")),FY24_Temp[],5,FALSE)&amp;TEXT(A477,"-h"),Table6[],4,FALSE)</f>
        <v>0.5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VLOOKUP(TEXT(A477,"yy-mm")&amp;"-"&amp;IF(AND(WEEKDAY(A477)&gt;1,WEEKDAY(A477)&lt;7),"Wkd",TEXT(A477,"Ddd"))&amp;"-"&amp;TEXT(A477,"hh"),LoadTable[],5,FALSE)*0.92</f>
        <v>494.57360000000006</v>
      </c>
      <c r="U477" s="104">
        <f>VLOOKUP(TEXT(A477,"yy-mm")&amp;"-"&amp;IF(AND(WEEKDAY(A477)&gt;1,WEEKDAY(A477)&lt;7),"Wkd",TEXT(A477,"Ddd"))&amp;"-"&amp;TEXT(A477,"hh"),LoadTable[],6,FALSE)*T477</f>
        <v>60164.383866400007</v>
      </c>
      <c r="V477">
        <f t="shared" ref="V477:W477" si="489">V453</f>
        <v>2.9</v>
      </c>
      <c r="W477">
        <f t="shared" si="489"/>
        <v>3</v>
      </c>
      <c r="X477" s="9">
        <v>3.3320875000000001</v>
      </c>
    </row>
    <row r="478" spans="1:24">
      <c r="A478" s="29">
        <f t="shared" si="460"/>
        <v>45855.791666665515</v>
      </c>
      <c r="B478" s="30">
        <f t="shared" si="484"/>
        <v>5000</v>
      </c>
      <c r="C478" s="8">
        <v>25000</v>
      </c>
      <c r="D478" s="8">
        <v>0</v>
      </c>
      <c r="E478" s="8">
        <v>0</v>
      </c>
      <c r="F478" s="8">
        <v>0</v>
      </c>
      <c r="G478" s="30">
        <f t="shared" si="485"/>
        <v>2400</v>
      </c>
      <c r="H478" s="8">
        <v>25000</v>
      </c>
      <c r="I478" s="30">
        <f t="shared" si="486"/>
        <v>5000</v>
      </c>
      <c r="J478" s="8">
        <v>25000</v>
      </c>
      <c r="K478" s="30">
        <f t="shared" si="487"/>
        <v>5000</v>
      </c>
      <c r="L478" s="8">
        <v>25000</v>
      </c>
      <c r="M478" s="9">
        <f>VLOOKUP(DATE(YEAR(A478),MONTH(A478),DAY(A478)),FY24_Temp[],4,FALSE)</f>
        <v>8.4</v>
      </c>
      <c r="N478" s="9">
        <f>VLOOKUP(DATE(YEAR(A478),MONTH(A478),DAY(A478)),FY24_Temp[],3,FALSE)</f>
        <v>12.8</v>
      </c>
      <c r="O478" s="9">
        <v>13</v>
      </c>
      <c r="P478" s="9">
        <v>19.5</v>
      </c>
      <c r="Q478" s="79">
        <f>VLOOKUP(VLOOKUP(DATEVALUE(TEXT(A478,"m/d/yyyy")),FY24_Temp[],5,FALSE)&amp;TEXT(A478,"-h"),Table6[],4,FALSE)</f>
        <v>0.5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VLOOKUP(TEXT(A478,"yy-mm")&amp;"-"&amp;IF(AND(WEEKDAY(A478)&gt;1,WEEKDAY(A478)&lt;7),"Wkd",TEXT(A478,"Ddd"))&amp;"-"&amp;TEXT(A478,"hh"),LoadTable[],5,FALSE)*0.92</f>
        <v>494.57360000000006</v>
      </c>
      <c r="U478" s="104">
        <f>VLOOKUP(TEXT(A478,"yy-mm")&amp;"-"&amp;IF(AND(WEEKDAY(A478)&gt;1,WEEKDAY(A478)&lt;7),"Wkd",TEXT(A478,"Ddd"))&amp;"-"&amp;TEXT(A478,"hh"),LoadTable[],6,FALSE)*T478</f>
        <v>60548.172980000003</v>
      </c>
      <c r="V478">
        <f t="shared" ref="V478:W478" si="490">V454</f>
        <v>3</v>
      </c>
      <c r="W478">
        <f t="shared" si="490"/>
        <v>3</v>
      </c>
      <c r="X478" s="9">
        <v>3.3584776000000001</v>
      </c>
    </row>
    <row r="479" spans="1:24">
      <c r="A479" s="29">
        <f t="shared" si="460"/>
        <v>45855.833333332179</v>
      </c>
      <c r="B479" s="30">
        <f t="shared" si="484"/>
        <v>5000</v>
      </c>
      <c r="C479" s="8">
        <v>25000</v>
      </c>
      <c r="D479" s="8">
        <v>0</v>
      </c>
      <c r="E479" s="8">
        <v>0</v>
      </c>
      <c r="F479" s="8">
        <v>0</v>
      </c>
      <c r="G479" s="30">
        <f t="shared" si="485"/>
        <v>2400</v>
      </c>
      <c r="H479" s="8">
        <v>25000</v>
      </c>
      <c r="I479" s="30">
        <f t="shared" si="486"/>
        <v>5000</v>
      </c>
      <c r="J479" s="8">
        <v>25000</v>
      </c>
      <c r="K479" s="30">
        <f t="shared" si="487"/>
        <v>5000</v>
      </c>
      <c r="L479" s="8">
        <v>25000</v>
      </c>
      <c r="M479" s="9">
        <f>VLOOKUP(DATE(YEAR(A479),MONTH(A479),DAY(A479)),FY24_Temp[],4,FALSE)</f>
        <v>8.4</v>
      </c>
      <c r="N479" s="9">
        <f>VLOOKUP(DATE(YEAR(A479),MONTH(A479),DAY(A479)),FY24_Temp[],3,FALSE)</f>
        <v>12.8</v>
      </c>
      <c r="O479" s="9">
        <v>13</v>
      </c>
      <c r="P479" s="9">
        <v>19.5</v>
      </c>
      <c r="Q479" s="79">
        <f>VLOOKUP(VLOOKUP(DATEVALUE(TEXT(A479,"m/d/yyyy")),FY24_Temp[],5,FALSE)&amp;TEXT(A479,"-h"),Table6[],4,FALSE)</f>
        <v>0.5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VLOOKUP(TEXT(A479,"yy-mm")&amp;"-"&amp;IF(AND(WEEKDAY(A479)&gt;1,WEEKDAY(A479)&lt;7),"Wkd",TEXT(A479,"Ddd"))&amp;"-"&amp;TEXT(A479,"hh"),LoadTable[],5,FALSE)*0.92</f>
        <v>494.57360000000006</v>
      </c>
      <c r="U479" s="104">
        <f>VLOOKUP(TEXT(A479,"yy-mm")&amp;"-"&amp;IF(AND(WEEKDAY(A479)&gt;1,WEEKDAY(A479)&lt;7),"Wkd",TEXT(A479,"Ddd"))&amp;"-"&amp;TEXT(A479,"hh"),LoadTable[],6,FALSE)*T479</f>
        <v>60532.346624800004</v>
      </c>
      <c r="V479">
        <f t="shared" ref="V479:W479" si="491">V455</f>
        <v>2.8</v>
      </c>
      <c r="W479">
        <f t="shared" si="491"/>
        <v>3.1</v>
      </c>
      <c r="X479" s="9">
        <v>3.3422260000000001</v>
      </c>
    </row>
    <row r="480" spans="1:24">
      <c r="A480" s="29">
        <f t="shared" si="460"/>
        <v>45855.874999998843</v>
      </c>
      <c r="B480" s="30">
        <f t="shared" si="484"/>
        <v>5000</v>
      </c>
      <c r="C480" s="8">
        <v>25000</v>
      </c>
      <c r="D480" s="8">
        <v>0</v>
      </c>
      <c r="E480" s="8">
        <v>0</v>
      </c>
      <c r="F480" s="8">
        <v>0</v>
      </c>
      <c r="G480" s="30">
        <f t="shared" si="485"/>
        <v>2400</v>
      </c>
      <c r="H480" s="8">
        <v>25000</v>
      </c>
      <c r="I480" s="30">
        <f t="shared" si="486"/>
        <v>5000</v>
      </c>
      <c r="J480" s="8">
        <v>25000</v>
      </c>
      <c r="K480" s="30">
        <f t="shared" si="487"/>
        <v>5000</v>
      </c>
      <c r="L480" s="8">
        <v>25000</v>
      </c>
      <c r="M480" s="9">
        <f>VLOOKUP(DATE(YEAR(A480),MONTH(A480),DAY(A480)),FY24_Temp[],4,FALSE)</f>
        <v>8.4</v>
      </c>
      <c r="N480" s="9">
        <f>VLOOKUP(DATE(YEAR(A480),MONTH(A480),DAY(A480)),FY24_Temp[],3,FALSE)</f>
        <v>12.8</v>
      </c>
      <c r="O480" s="9">
        <v>13</v>
      </c>
      <c r="P480" s="9">
        <v>19.5</v>
      </c>
      <c r="Q480" s="79">
        <f>VLOOKUP(VLOOKUP(DATEVALUE(TEXT(A480,"m/d/yyyy")),FY24_Temp[],5,FALSE)&amp;TEXT(A480,"-h"),Table6[],4,FALSE)</f>
        <v>0.5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VLOOKUP(TEXT(A480,"yy-mm")&amp;"-"&amp;IF(AND(WEEKDAY(A480)&gt;1,WEEKDAY(A480)&lt;7),"Wkd",TEXT(A480,"Ddd"))&amp;"-"&amp;TEXT(A480,"hh"),LoadTable[],5,FALSE)*0.92</f>
        <v>494.57360000000006</v>
      </c>
      <c r="U480" s="104">
        <f>VLOOKUP(TEXT(A480,"yy-mm")&amp;"-"&amp;IF(AND(WEEKDAY(A480)&gt;1,WEEKDAY(A480)&lt;7),"Wkd",TEXT(A480,"Ddd"))&amp;"-"&amp;TEXT(A480,"hh"),LoadTable[],6,FALSE)*T480</f>
        <v>58481.349905600007</v>
      </c>
      <c r="V480">
        <f t="shared" ref="V480:W480" si="492">V456</f>
        <v>3.5</v>
      </c>
      <c r="W480">
        <f t="shared" si="492"/>
        <v>3.1</v>
      </c>
      <c r="X480" s="9">
        <v>3.2611921000000001</v>
      </c>
    </row>
    <row r="481" spans="1:24">
      <c r="A481" s="29">
        <f t="shared" si="460"/>
        <v>45855.916666665507</v>
      </c>
      <c r="B481" s="30">
        <f t="shared" si="484"/>
        <v>5000</v>
      </c>
      <c r="C481" s="8">
        <v>25000</v>
      </c>
      <c r="D481" s="8">
        <v>0</v>
      </c>
      <c r="E481" s="8">
        <v>0</v>
      </c>
      <c r="F481" s="8">
        <v>0</v>
      </c>
      <c r="G481" s="30">
        <f t="shared" si="485"/>
        <v>2400</v>
      </c>
      <c r="H481" s="8">
        <v>25000</v>
      </c>
      <c r="I481" s="30">
        <f t="shared" si="486"/>
        <v>5000</v>
      </c>
      <c r="J481" s="8">
        <v>25000</v>
      </c>
      <c r="K481" s="30">
        <f t="shared" si="487"/>
        <v>5000</v>
      </c>
      <c r="L481" s="8">
        <v>25000</v>
      </c>
      <c r="M481" s="9">
        <f>VLOOKUP(DATE(YEAR(A481),MONTH(A481),DAY(A481)),FY24_Temp[],4,FALSE)</f>
        <v>8.4</v>
      </c>
      <c r="N481" s="9">
        <f>VLOOKUP(DATE(YEAR(A481),MONTH(A481),DAY(A481)),FY24_Temp[],3,FALSE)</f>
        <v>12.8</v>
      </c>
      <c r="O481" s="9">
        <v>13</v>
      </c>
      <c r="P481" s="9">
        <v>19.5</v>
      </c>
      <c r="Q481" s="79">
        <f>VLOOKUP(VLOOKUP(DATEVALUE(TEXT(A481,"m/d/yyyy")),FY24_Temp[],5,FALSE)&amp;TEXT(A481,"-h"),Table6[],4,FALSE)</f>
        <v>0.5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VLOOKUP(TEXT(A481,"yy-mm")&amp;"-"&amp;IF(AND(WEEKDAY(A481)&gt;1,WEEKDAY(A481)&lt;7),"Wkd",TEXT(A481,"Ddd"))&amp;"-"&amp;TEXT(A481,"hh"),LoadTable[],5,FALSE)*0.92</f>
        <v>418.75640000000004</v>
      </c>
      <c r="U481" s="104">
        <f>VLOOKUP(TEXT(A481,"yy-mm")&amp;"-"&amp;IF(AND(WEEKDAY(A481)&gt;1,WEEKDAY(A481)&lt;7),"Wkd",TEXT(A481,"Ddd"))&amp;"-"&amp;TEXT(A481,"hh"),LoadTable[],6,FALSE)*T481</f>
        <v>27547.889774000003</v>
      </c>
      <c r="V481">
        <f t="shared" ref="V481:W481" si="493">V457</f>
        <v>2.9</v>
      </c>
      <c r="W481">
        <f t="shared" si="493"/>
        <v>3.1</v>
      </c>
      <c r="X481" s="9">
        <v>3.1820903</v>
      </c>
    </row>
    <row r="482" spans="1:24">
      <c r="A482" s="29">
        <f t="shared" si="460"/>
        <v>45855.958333332172</v>
      </c>
      <c r="B482" s="30">
        <f t="shared" si="484"/>
        <v>5000</v>
      </c>
      <c r="C482" s="41">
        <v>25000</v>
      </c>
      <c r="D482" s="41">
        <v>0</v>
      </c>
      <c r="E482" s="41">
        <v>0</v>
      </c>
      <c r="F482" s="41">
        <v>0</v>
      </c>
      <c r="G482" s="30">
        <f t="shared" si="485"/>
        <v>2400</v>
      </c>
      <c r="H482" s="41">
        <v>25000</v>
      </c>
      <c r="I482" s="30">
        <f t="shared" si="486"/>
        <v>5000</v>
      </c>
      <c r="J482" s="41">
        <v>25000</v>
      </c>
      <c r="K482" s="30">
        <f t="shared" si="487"/>
        <v>5000</v>
      </c>
      <c r="L482" s="41">
        <v>25000</v>
      </c>
      <c r="M482" s="9">
        <f>VLOOKUP(DATE(YEAR(A482),MONTH(A482),DAY(A482)),FY24_Temp[],4,FALSE)</f>
        <v>8.4</v>
      </c>
      <c r="N482" s="9">
        <f>VLOOKUP(DATE(YEAR(A482),MONTH(A482),DAY(A482)),FY24_Temp[],3,FALSE)</f>
        <v>12.8</v>
      </c>
      <c r="O482" s="84">
        <v>13</v>
      </c>
      <c r="P482" s="84">
        <v>19.5</v>
      </c>
      <c r="Q482" s="85">
        <f>VLOOKUP(VLOOKUP(DATEVALUE(TEXT(A482,"m/d/yyyy")),FY24_Temp[],5,FALSE)&amp;TEXT(A482,"-h"),Table6[],4,FALSE)</f>
        <v>0.5</v>
      </c>
      <c r="R482">
        <v>10</v>
      </c>
      <c r="S482">
        <v>1000</v>
      </c>
      <c r="T482" s="98">
        <f>VLOOKUP(TEXT(A482,"yy-mm")&amp;"-"&amp;IF(AND(WEEKDAY(A482)&gt;1,WEEKDAY(A482)&lt;7),"Wkd",TEXT(A482,"Ddd"))&amp;"-"&amp;TEXT(A482,"hh"),LoadTable[],5,FALSE)*0.92</f>
        <v>342.93920000000003</v>
      </c>
      <c r="U482" s="104">
        <f>VLOOKUP(TEXT(A482,"yy-mm")&amp;"-"&amp;IF(AND(WEEKDAY(A482)&gt;1,WEEKDAY(A482)&lt;7),"Wkd",TEXT(A482,"Ddd"))&amp;"-"&amp;TEXT(A482,"hh"),LoadTable[],6,FALSE)*T482</f>
        <v>19873.669579200003</v>
      </c>
      <c r="V482">
        <f t="shared" ref="V482:W482" si="494">V458</f>
        <v>3.6</v>
      </c>
      <c r="W482">
        <f t="shared" si="494"/>
        <v>3.1</v>
      </c>
      <c r="X482" s="84">
        <v>3.1228237000000001</v>
      </c>
    </row>
    <row r="483" spans="1:24">
      <c r="A483" s="29">
        <f t="shared" si="460"/>
        <v>45855.999999998836</v>
      </c>
      <c r="B483" s="30">
        <f t="shared" si="484"/>
        <v>5000</v>
      </c>
      <c r="C483" s="8">
        <v>25000</v>
      </c>
      <c r="D483" s="8">
        <v>0</v>
      </c>
      <c r="E483" s="8">
        <v>0</v>
      </c>
      <c r="F483" s="8">
        <v>0</v>
      </c>
      <c r="G483" s="30">
        <f t="shared" si="485"/>
        <v>2400</v>
      </c>
      <c r="H483" s="8">
        <v>25000</v>
      </c>
      <c r="I483" s="30">
        <f t="shared" si="486"/>
        <v>5000</v>
      </c>
      <c r="J483" s="8">
        <v>25000</v>
      </c>
      <c r="K483" s="30">
        <f t="shared" si="487"/>
        <v>5000</v>
      </c>
      <c r="L483" s="8">
        <v>25000</v>
      </c>
      <c r="M483" s="9">
        <f>VLOOKUP(DATE(YEAR(A483),MONTH(A483),DAY(A483)),FY24_Temp[],4,FALSE)</f>
        <v>8.4</v>
      </c>
      <c r="N483" s="9">
        <f>VLOOKUP(DATE(YEAR(A483),MONTH(A483),DAY(A483)),FY24_Temp[],3,FALSE)</f>
        <v>12.8</v>
      </c>
      <c r="O483" s="9">
        <v>13</v>
      </c>
      <c r="P483" s="9">
        <v>19.5</v>
      </c>
      <c r="Q483" s="79">
        <f>VLOOKUP(VLOOKUP(DATEVALUE(TEXT(A483,"m/d/yyyy")),FY24_Temp[],5,FALSE)&amp;TEXT(A483,"-h"),Table6[],4,FALSE)</f>
        <v>0.5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VLOOKUP(TEXT(A483,"yy-mm")&amp;"-"&amp;IF(AND(WEEKDAY(A483)&gt;1,WEEKDAY(A483)&lt;7),"Wkd",TEXT(A483,"Ddd"))&amp;"-"&amp;TEXT(A483,"hh"),LoadTable[],5,FALSE)*0.92</f>
        <v>279.25312000000002</v>
      </c>
      <c r="U483" s="104">
        <f>VLOOKUP(TEXT(A483,"yy-mm")&amp;"-"&amp;IF(AND(WEEKDAY(A483)&gt;1,WEEKDAY(A483)&lt;7),"Wkd",TEXT(A483,"Ddd"))&amp;"-"&amp;TEXT(A483,"hh"),LoadTable[],6,FALSE)*T483</f>
        <v>14895.640673920001</v>
      </c>
      <c r="V483">
        <f t="shared" ref="V483:W483" si="495">V459</f>
        <v>3</v>
      </c>
      <c r="W483">
        <f t="shared" si="495"/>
        <v>3.2</v>
      </c>
      <c r="X483" s="9">
        <v>3.1251657000000002</v>
      </c>
    </row>
    <row r="484" spans="1:24">
      <c r="A484" s="29">
        <f t="shared" si="460"/>
        <v>45856.0416666655</v>
      </c>
      <c r="B484" s="30">
        <f t="shared" si="484"/>
        <v>5000</v>
      </c>
      <c r="C484" s="42">
        <v>25000</v>
      </c>
      <c r="D484" s="42">
        <v>0</v>
      </c>
      <c r="E484" s="42">
        <v>0</v>
      </c>
      <c r="F484" s="42">
        <v>0</v>
      </c>
      <c r="G484" s="30">
        <f t="shared" si="485"/>
        <v>2400</v>
      </c>
      <c r="H484" s="42">
        <v>25000</v>
      </c>
      <c r="I484" s="30">
        <f t="shared" si="486"/>
        <v>5000</v>
      </c>
      <c r="J484" s="42">
        <v>25000</v>
      </c>
      <c r="K484" s="30">
        <f t="shared" si="487"/>
        <v>5000</v>
      </c>
      <c r="L484" s="42">
        <v>25000</v>
      </c>
      <c r="M484" s="9">
        <f>VLOOKUP(DATE(YEAR(A484),MONTH(A484),DAY(A484)),FY24_Temp[],4,FALSE)</f>
        <v>8.4</v>
      </c>
      <c r="N484" s="9">
        <f>VLOOKUP(DATE(YEAR(A484),MONTH(A484),DAY(A484)),FY24_Temp[],3,FALSE)</f>
        <v>12.8</v>
      </c>
      <c r="O484" s="86">
        <v>13</v>
      </c>
      <c r="P484" s="86">
        <v>19.5</v>
      </c>
      <c r="Q484" s="87">
        <f>VLOOKUP(VLOOKUP(DATEVALUE(TEXT(A484,"m/d/yyyy")),FY24_Temp[],5,FALSE)&amp;TEXT(A484,"-h"),Table6[],4,FALSE)</f>
        <v>0.5</v>
      </c>
      <c r="R484">
        <v>10</v>
      </c>
      <c r="S484">
        <v>1000</v>
      </c>
      <c r="T484" s="99">
        <f>VLOOKUP(TEXT(A484,"yy-mm")&amp;"-"&amp;IF(AND(WEEKDAY(A484)&gt;1,WEEKDAY(A484)&lt;7),"Wkd",TEXT(A484,"Ddd"))&amp;"-"&amp;TEXT(A484,"hh"),LoadTable[],5,FALSE)*0.92</f>
        <v>279.25312000000002</v>
      </c>
      <c r="U484" s="104">
        <f>VLOOKUP(TEXT(A484,"yy-mm")&amp;"-"&amp;IF(AND(WEEKDAY(A484)&gt;1,WEEKDAY(A484)&lt;7),"Wkd",TEXT(A484,"Ddd"))&amp;"-"&amp;TEXT(A484,"hh"),LoadTable[],6,FALSE)*T484</f>
        <v>14470.896678400002</v>
      </c>
      <c r="V484">
        <f t="shared" ref="V484:W484" si="496">V460</f>
        <v>2.6</v>
      </c>
      <c r="W484">
        <f t="shared" si="496"/>
        <v>3.2</v>
      </c>
      <c r="X484" s="86">
        <v>3.1533169999999999</v>
      </c>
    </row>
    <row r="485" spans="1:24">
      <c r="A485" s="29">
        <f t="shared" si="460"/>
        <v>45856.083333332164</v>
      </c>
      <c r="B485" s="30">
        <f t="shared" si="484"/>
        <v>5000</v>
      </c>
      <c r="C485" s="8">
        <v>25000</v>
      </c>
      <c r="D485" s="8">
        <v>0</v>
      </c>
      <c r="E485" s="8">
        <v>0</v>
      </c>
      <c r="F485" s="8">
        <v>0</v>
      </c>
      <c r="G485" s="30">
        <f t="shared" si="485"/>
        <v>2400</v>
      </c>
      <c r="H485" s="8">
        <v>25000</v>
      </c>
      <c r="I485" s="30">
        <f t="shared" si="486"/>
        <v>5000</v>
      </c>
      <c r="J485" s="8">
        <v>25000</v>
      </c>
      <c r="K485" s="30">
        <f t="shared" si="487"/>
        <v>5000</v>
      </c>
      <c r="L485" s="8">
        <v>25000</v>
      </c>
      <c r="M485" s="9">
        <f>VLOOKUP(DATE(YEAR(A485),MONTH(A485),DAY(A485)),FY24_Temp[],4,FALSE)</f>
        <v>8.4</v>
      </c>
      <c r="N485" s="9">
        <f>VLOOKUP(DATE(YEAR(A485),MONTH(A485),DAY(A485)),FY24_Temp[],3,FALSE)</f>
        <v>12.8</v>
      </c>
      <c r="O485" s="9">
        <v>13</v>
      </c>
      <c r="P485" s="9">
        <v>19.5</v>
      </c>
      <c r="Q485" s="79">
        <f>VLOOKUP(VLOOKUP(DATEVALUE(TEXT(A485,"m/d/yyyy")),FY24_Temp[],5,FALSE)&amp;TEXT(A485,"-h"),Table6[],4,FALSE)</f>
        <v>0.5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VLOOKUP(TEXT(A485,"yy-mm")&amp;"-"&amp;IF(AND(WEEKDAY(A485)&gt;1,WEEKDAY(A485)&lt;7),"Wkd",TEXT(A485,"Ddd"))&amp;"-"&amp;TEXT(A485,"hh"),LoadTable[],5,FALSE)*0.92</f>
        <v>279.25312000000002</v>
      </c>
      <c r="U485" s="104">
        <f>VLOOKUP(TEXT(A485,"yy-mm")&amp;"-"&amp;IF(AND(WEEKDAY(A485)&gt;1,WEEKDAY(A485)&lt;7),"Wkd",TEXT(A485,"Ddd"))&amp;"-"&amp;TEXT(A485,"hh"),LoadTable[],6,FALSE)*T485</f>
        <v>14154.50289344</v>
      </c>
      <c r="V485">
        <f t="shared" ref="V485:W485" si="497">V461</f>
        <v>2.8</v>
      </c>
      <c r="W485">
        <f t="shared" si="497"/>
        <v>3.2</v>
      </c>
      <c r="X485" s="9">
        <v>3.1929603000000002</v>
      </c>
    </row>
    <row r="486" spans="1:24">
      <c r="A486" s="29">
        <f t="shared" si="460"/>
        <v>45856.124999998829</v>
      </c>
      <c r="B486" s="30">
        <f t="shared" si="484"/>
        <v>5000</v>
      </c>
      <c r="C486" s="8">
        <v>25000</v>
      </c>
      <c r="D486" s="8">
        <v>0</v>
      </c>
      <c r="E486" s="8">
        <v>0</v>
      </c>
      <c r="F486" s="8">
        <v>0</v>
      </c>
      <c r="G486" s="30">
        <f t="shared" si="485"/>
        <v>2400</v>
      </c>
      <c r="H486" s="8">
        <v>25000</v>
      </c>
      <c r="I486" s="30">
        <f t="shared" si="486"/>
        <v>5000</v>
      </c>
      <c r="J486" s="8">
        <v>25000</v>
      </c>
      <c r="K486" s="30">
        <f t="shared" si="487"/>
        <v>5000</v>
      </c>
      <c r="L486" s="8">
        <v>25000</v>
      </c>
      <c r="M486" s="9">
        <f>VLOOKUP(DATE(YEAR(A486),MONTH(A486),DAY(A486)),FY24_Temp[],4,FALSE)</f>
        <v>8.4</v>
      </c>
      <c r="N486" s="9">
        <f>VLOOKUP(DATE(YEAR(A486),MONTH(A486),DAY(A486)),FY24_Temp[],3,FALSE)</f>
        <v>12.8</v>
      </c>
      <c r="O486" s="9">
        <v>13</v>
      </c>
      <c r="P486" s="9">
        <v>19.5</v>
      </c>
      <c r="Q486" s="79">
        <f>VLOOKUP(VLOOKUP(DATEVALUE(TEXT(A486,"m/d/yyyy")),FY24_Temp[],5,FALSE)&amp;TEXT(A486,"-h"),Table6[],4,FALSE)</f>
        <v>0.5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VLOOKUP(TEXT(A486,"yy-mm")&amp;"-"&amp;IF(AND(WEEKDAY(A486)&gt;1,WEEKDAY(A486)&lt;7),"Wkd",TEXT(A486,"Ddd"))&amp;"-"&amp;TEXT(A486,"hh"),LoadTable[],5,FALSE)*0.92</f>
        <v>279.25312000000002</v>
      </c>
      <c r="U486" s="104">
        <f>VLOOKUP(TEXT(A486,"yy-mm")&amp;"-"&amp;IF(AND(WEEKDAY(A486)&gt;1,WEEKDAY(A486)&lt;7),"Wkd",TEXT(A486,"Ddd"))&amp;"-"&amp;TEXT(A486,"hh"),LoadTable[],6,FALSE)*T486</f>
        <v>14206.443973760001</v>
      </c>
      <c r="V486">
        <f t="shared" ref="V486:W486" si="498">V462</f>
        <v>2.7</v>
      </c>
      <c r="W486">
        <f t="shared" si="498"/>
        <v>3.2</v>
      </c>
      <c r="X486" s="9">
        <v>3.2240991999999999</v>
      </c>
    </row>
    <row r="487" spans="1:24">
      <c r="A487" s="29">
        <f t="shared" si="460"/>
        <v>45856.166666665493</v>
      </c>
      <c r="B487" s="30">
        <f t="shared" si="484"/>
        <v>5000</v>
      </c>
      <c r="C487" s="8">
        <v>25000</v>
      </c>
      <c r="D487" s="8">
        <v>0</v>
      </c>
      <c r="E487" s="8">
        <v>0</v>
      </c>
      <c r="F487" s="8">
        <v>0</v>
      </c>
      <c r="G487" s="30">
        <f t="shared" si="485"/>
        <v>2400</v>
      </c>
      <c r="H487" s="8">
        <v>25000</v>
      </c>
      <c r="I487" s="30">
        <f t="shared" si="486"/>
        <v>5000</v>
      </c>
      <c r="J487" s="8">
        <v>25000</v>
      </c>
      <c r="K487" s="30">
        <f t="shared" si="487"/>
        <v>5000</v>
      </c>
      <c r="L487" s="8">
        <v>25000</v>
      </c>
      <c r="M487" s="9">
        <f>VLOOKUP(DATE(YEAR(A487),MONTH(A487),DAY(A487)),FY24_Temp[],4,FALSE)</f>
        <v>8.4</v>
      </c>
      <c r="N487" s="9">
        <f>VLOOKUP(DATE(YEAR(A487),MONTH(A487),DAY(A487)),FY24_Temp[],3,FALSE)</f>
        <v>12.8</v>
      </c>
      <c r="O487" s="9">
        <v>13</v>
      </c>
      <c r="P487" s="9">
        <v>19.5</v>
      </c>
      <c r="Q487" s="79">
        <f>VLOOKUP(VLOOKUP(DATEVALUE(TEXT(A487,"m/d/yyyy")),FY24_Temp[],5,FALSE)&amp;TEXT(A487,"-h"),Table6[],4,FALSE)</f>
        <v>0.5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VLOOKUP(TEXT(A487,"yy-mm")&amp;"-"&amp;IF(AND(WEEKDAY(A487)&gt;1,WEEKDAY(A487)&lt;7),"Wkd",TEXT(A487,"Ddd"))&amp;"-"&amp;TEXT(A487,"hh"),LoadTable[],5,FALSE)*0.92</f>
        <v>279.25312000000002</v>
      </c>
      <c r="U487" s="104">
        <f>VLOOKUP(TEXT(A487,"yy-mm")&amp;"-"&amp;IF(AND(WEEKDAY(A487)&gt;1,WEEKDAY(A487)&lt;7),"Wkd",TEXT(A487,"Ddd"))&amp;"-"&amp;TEXT(A487,"hh"),LoadTable[],6,FALSE)*T487</f>
        <v>14229.063476480002</v>
      </c>
      <c r="V487">
        <f t="shared" ref="V487:W487" si="499">V463</f>
        <v>3</v>
      </c>
      <c r="W487">
        <f t="shared" si="499"/>
        <v>3.1</v>
      </c>
      <c r="X487" s="9">
        <v>3.2385006000000001</v>
      </c>
    </row>
    <row r="488" spans="1:24">
      <c r="A488" s="29">
        <f t="shared" si="460"/>
        <v>45856.208333332157</v>
      </c>
      <c r="B488" s="30">
        <f t="shared" si="484"/>
        <v>5000</v>
      </c>
      <c r="C488" s="8">
        <v>25000</v>
      </c>
      <c r="D488" s="8">
        <v>0</v>
      </c>
      <c r="E488" s="8">
        <v>0</v>
      </c>
      <c r="F488" s="8">
        <v>0</v>
      </c>
      <c r="G488" s="30">
        <f t="shared" si="485"/>
        <v>2400</v>
      </c>
      <c r="H488" s="8">
        <v>25000</v>
      </c>
      <c r="I488" s="30">
        <f t="shared" si="486"/>
        <v>5000</v>
      </c>
      <c r="J488" s="8">
        <v>25000</v>
      </c>
      <c r="K488" s="30">
        <f t="shared" si="487"/>
        <v>5000</v>
      </c>
      <c r="L488" s="8">
        <v>25000</v>
      </c>
      <c r="M488" s="9">
        <f>VLOOKUP(DATE(YEAR(A488),MONTH(A488),DAY(A488)),FY24_Temp[],4,FALSE)</f>
        <v>8.4</v>
      </c>
      <c r="N488" s="9">
        <f>VLOOKUP(DATE(YEAR(A488),MONTH(A488),DAY(A488)),FY24_Temp[],3,FALSE)</f>
        <v>12.8</v>
      </c>
      <c r="O488" s="9">
        <v>13</v>
      </c>
      <c r="P488" s="9">
        <v>19.5</v>
      </c>
      <c r="Q488" s="79">
        <f>VLOOKUP(VLOOKUP(DATEVALUE(TEXT(A488,"m/d/yyyy")),FY24_Temp[],5,FALSE)&amp;TEXT(A488,"-h"),Table6[],4,FALSE)</f>
        <v>0.5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VLOOKUP(TEXT(A488,"yy-mm")&amp;"-"&amp;IF(AND(WEEKDAY(A488)&gt;1,WEEKDAY(A488)&lt;7),"Wkd",TEXT(A488,"Ddd"))&amp;"-"&amp;TEXT(A488,"hh"),LoadTable[],5,FALSE)*0.92</f>
        <v>279.25312000000002</v>
      </c>
      <c r="U488" s="104">
        <f>VLOOKUP(TEXT(A488,"yy-mm")&amp;"-"&amp;IF(AND(WEEKDAY(A488)&gt;1,WEEKDAY(A488)&lt;7),"Wkd",TEXT(A488,"Ddd"))&amp;"-"&amp;TEXT(A488,"hh"),LoadTable[],6,FALSE)*T488</f>
        <v>14735.070129920001</v>
      </c>
      <c r="V488">
        <f t="shared" ref="V488:W488" si="500">V464</f>
        <v>2.9</v>
      </c>
      <c r="W488">
        <f t="shared" si="500"/>
        <v>3.1</v>
      </c>
      <c r="X488" s="9">
        <v>3.2921939</v>
      </c>
    </row>
    <row r="489" spans="1:24">
      <c r="A489" s="29">
        <f t="shared" si="460"/>
        <v>45856.249999998821</v>
      </c>
      <c r="B489" s="30">
        <f t="shared" si="484"/>
        <v>8000</v>
      </c>
      <c r="C489" s="8">
        <v>25000</v>
      </c>
      <c r="D489" s="8">
        <v>0</v>
      </c>
      <c r="E489" s="8">
        <v>0</v>
      </c>
      <c r="F489" s="8">
        <v>0</v>
      </c>
      <c r="G489" s="30">
        <f t="shared" si="485"/>
        <v>2400</v>
      </c>
      <c r="H489" s="8">
        <v>25000</v>
      </c>
      <c r="I489" s="30">
        <f t="shared" si="486"/>
        <v>8000</v>
      </c>
      <c r="J489" s="8">
        <v>25000</v>
      </c>
      <c r="K489" s="30">
        <f t="shared" si="487"/>
        <v>8000</v>
      </c>
      <c r="L489" s="8">
        <v>25000</v>
      </c>
      <c r="M489" s="9">
        <f>VLOOKUP(DATE(YEAR(A489),MONTH(A489),DAY(A489)),FY24_Temp[],4,FALSE)</f>
        <v>8.4</v>
      </c>
      <c r="N489" s="9">
        <f>VLOOKUP(DATE(YEAR(A489),MONTH(A489),DAY(A489)),FY24_Temp[],3,FALSE)</f>
        <v>12.8</v>
      </c>
      <c r="O489" s="9">
        <v>13</v>
      </c>
      <c r="P489" s="9">
        <v>19.5</v>
      </c>
      <c r="Q489" s="79">
        <f>VLOOKUP(VLOOKUP(DATEVALUE(TEXT(A489,"m/d/yyyy")),FY24_Temp[],5,FALSE)&amp;TEXT(A489,"-h"),Table6[],4,FALSE)</f>
        <v>0.5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VLOOKUP(TEXT(A489,"yy-mm")&amp;"-"&amp;IF(AND(WEEKDAY(A489)&gt;1,WEEKDAY(A489)&lt;7),"Wkd",TEXT(A489,"Ddd"))&amp;"-"&amp;TEXT(A489,"hh"),LoadTable[],5,FALSE)*0.92</f>
        <v>279.25312000000002</v>
      </c>
      <c r="U489" s="104">
        <f>VLOOKUP(TEXT(A489,"yy-mm")&amp;"-"&amp;IF(AND(WEEKDAY(A489)&gt;1,WEEKDAY(A489)&lt;7),"Wkd",TEXT(A489,"Ddd"))&amp;"-"&amp;TEXT(A489,"hh"),LoadTable[],6,FALSE)*T489</f>
        <v>26238.902408320002</v>
      </c>
      <c r="V489">
        <f t="shared" ref="V489:W489" si="501">V465</f>
        <v>2.5</v>
      </c>
      <c r="W489">
        <f t="shared" si="501"/>
        <v>3.1</v>
      </c>
      <c r="X489" s="9">
        <v>3.3545598999999999</v>
      </c>
    </row>
    <row r="490" spans="1:24">
      <c r="A490" s="29">
        <f t="shared" si="460"/>
        <v>45856.291666665486</v>
      </c>
      <c r="B490" s="30">
        <f t="shared" si="484"/>
        <v>8000</v>
      </c>
      <c r="C490" s="8">
        <v>25000</v>
      </c>
      <c r="D490" s="8">
        <v>0</v>
      </c>
      <c r="E490" s="8">
        <v>0</v>
      </c>
      <c r="F490" s="8">
        <v>0</v>
      </c>
      <c r="G490" s="30">
        <f t="shared" si="485"/>
        <v>2400</v>
      </c>
      <c r="H490" s="8">
        <v>25000</v>
      </c>
      <c r="I490" s="30">
        <f t="shared" si="486"/>
        <v>8000</v>
      </c>
      <c r="J490" s="8">
        <v>25000</v>
      </c>
      <c r="K490" s="30">
        <f t="shared" si="487"/>
        <v>8000</v>
      </c>
      <c r="L490" s="8">
        <v>25000</v>
      </c>
      <c r="M490" s="9">
        <f>VLOOKUP(DATE(YEAR(A490),MONTH(A490),DAY(A490)),FY24_Temp[],4,FALSE)</f>
        <v>8.4</v>
      </c>
      <c r="N490" s="9">
        <f>VLOOKUP(DATE(YEAR(A490),MONTH(A490),DAY(A490)),FY24_Temp[],3,FALSE)</f>
        <v>12.8</v>
      </c>
      <c r="O490" s="9">
        <v>13</v>
      </c>
      <c r="P490" s="9">
        <v>19.5</v>
      </c>
      <c r="Q490" s="79">
        <f>VLOOKUP(VLOOKUP(DATEVALUE(TEXT(A490,"m/d/yyyy")),FY24_Temp[],5,FALSE)&amp;TEXT(A490,"-h"),Table6[],4,FALSE)</f>
        <v>0.5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VLOOKUP(TEXT(A490,"yy-mm")&amp;"-"&amp;IF(AND(WEEKDAY(A490)&gt;1,WEEKDAY(A490)&lt;7),"Wkd",TEXT(A490,"Ddd"))&amp;"-"&amp;TEXT(A490,"hh"),LoadTable[],5,FALSE)*0.92</f>
        <v>279.25312000000002</v>
      </c>
      <c r="U490" s="104">
        <f>VLOOKUP(TEXT(A490,"yy-mm")&amp;"-"&amp;IF(AND(WEEKDAY(A490)&gt;1,WEEKDAY(A490)&lt;7),"Wkd",TEXT(A490,"Ddd"))&amp;"-"&amp;TEXT(A490,"hh"),LoadTable[],6,FALSE)*T490</f>
        <v>22145.051669120003</v>
      </c>
      <c r="V490">
        <f t="shared" ref="V490:W490" si="502">V466</f>
        <v>2.5</v>
      </c>
      <c r="W490">
        <f t="shared" si="502"/>
        <v>3.1</v>
      </c>
      <c r="X490" s="9">
        <v>3.3548030999999998</v>
      </c>
    </row>
    <row r="491" spans="1:24">
      <c r="A491" s="29">
        <f t="shared" si="460"/>
        <v>45856.33333333215</v>
      </c>
      <c r="B491" s="30">
        <f t="shared" si="484"/>
        <v>8000</v>
      </c>
      <c r="C491" s="8">
        <v>25000</v>
      </c>
      <c r="D491" s="8">
        <v>0</v>
      </c>
      <c r="E491" s="8">
        <v>0</v>
      </c>
      <c r="F491" s="8">
        <v>0</v>
      </c>
      <c r="G491" s="30">
        <f t="shared" si="485"/>
        <v>2400</v>
      </c>
      <c r="H491" s="8">
        <v>25000</v>
      </c>
      <c r="I491" s="30">
        <f t="shared" si="486"/>
        <v>8000</v>
      </c>
      <c r="J491" s="8">
        <v>25000</v>
      </c>
      <c r="K491" s="30">
        <f t="shared" si="487"/>
        <v>8000</v>
      </c>
      <c r="L491" s="8">
        <v>25000</v>
      </c>
      <c r="M491" s="9">
        <f>VLOOKUP(DATE(YEAR(A491),MONTH(A491),DAY(A491)),FY24_Temp[],4,FALSE)</f>
        <v>8.4</v>
      </c>
      <c r="N491" s="9">
        <f>VLOOKUP(DATE(YEAR(A491),MONTH(A491),DAY(A491)),FY24_Temp[],3,FALSE)</f>
        <v>12.8</v>
      </c>
      <c r="O491" s="9">
        <v>13</v>
      </c>
      <c r="P491" s="9">
        <v>19.5</v>
      </c>
      <c r="Q491" s="79">
        <f>VLOOKUP(VLOOKUP(DATEVALUE(TEXT(A491,"m/d/yyyy")),FY24_Temp[],5,FALSE)&amp;TEXT(A491,"-h"),Table6[],4,FALSE)</f>
        <v>0.5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VLOOKUP(TEXT(A491,"yy-mm")&amp;"-"&amp;IF(AND(WEEKDAY(A491)&gt;1,WEEKDAY(A491)&lt;7),"Wkd",TEXT(A491,"Ddd"))&amp;"-"&amp;TEXT(A491,"hh"),LoadTable[],5,FALSE)*0.92</f>
        <v>279.25312000000002</v>
      </c>
      <c r="U491" s="104">
        <f>VLOOKUP(TEXT(A491,"yy-mm")&amp;"-"&amp;IF(AND(WEEKDAY(A491)&gt;1,WEEKDAY(A491)&lt;7),"Wkd",TEXT(A491,"Ddd"))&amp;"-"&amp;TEXT(A491,"hh"),LoadTable[],6,FALSE)*T491</f>
        <v>17686.77560832</v>
      </c>
      <c r="V491">
        <f t="shared" ref="V491:W491" si="503">V467</f>
        <v>3.2</v>
      </c>
      <c r="W491">
        <f t="shared" si="503"/>
        <v>3</v>
      </c>
      <c r="X491" s="9">
        <v>3.3969695999999998</v>
      </c>
    </row>
    <row r="492" spans="1:24">
      <c r="A492" s="29">
        <f t="shared" si="460"/>
        <v>45856.374999998814</v>
      </c>
      <c r="B492" s="30">
        <f t="shared" si="484"/>
        <v>8000</v>
      </c>
      <c r="C492" s="8">
        <v>25000</v>
      </c>
      <c r="D492" s="8">
        <v>0</v>
      </c>
      <c r="E492" s="8">
        <v>0</v>
      </c>
      <c r="F492" s="8">
        <v>0</v>
      </c>
      <c r="G492" s="30">
        <f t="shared" si="485"/>
        <v>2400</v>
      </c>
      <c r="H492" s="8">
        <v>25000</v>
      </c>
      <c r="I492" s="30">
        <f t="shared" si="486"/>
        <v>8000</v>
      </c>
      <c r="J492" s="8">
        <v>25000</v>
      </c>
      <c r="K492" s="30">
        <f t="shared" si="487"/>
        <v>8000</v>
      </c>
      <c r="L492" s="8">
        <v>25000</v>
      </c>
      <c r="M492" s="9">
        <f>VLOOKUP(DATE(YEAR(A492),MONTH(A492),DAY(A492)),FY24_Temp[],4,FALSE)</f>
        <v>8.4</v>
      </c>
      <c r="N492" s="9">
        <f>VLOOKUP(DATE(YEAR(A492),MONTH(A492),DAY(A492)),FY24_Temp[],3,FALSE)</f>
        <v>12.8</v>
      </c>
      <c r="O492" s="9">
        <v>13</v>
      </c>
      <c r="P492" s="9">
        <v>19.5</v>
      </c>
      <c r="Q492" s="79">
        <f>VLOOKUP(VLOOKUP(DATEVALUE(TEXT(A492,"m/d/yyyy")),FY24_Temp[],5,FALSE)&amp;TEXT(A492,"-h"),Table6[],4,FALSE)</f>
        <v>0.5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VLOOKUP(TEXT(A492,"yy-mm")&amp;"-"&amp;IF(AND(WEEKDAY(A492)&gt;1,WEEKDAY(A492)&lt;7),"Wkd",TEXT(A492,"Ddd"))&amp;"-"&amp;TEXT(A492,"hh"),LoadTable[],5,FALSE)*0.92</f>
        <v>279.25312000000002</v>
      </c>
      <c r="U492" s="104">
        <f>VLOOKUP(TEXT(A492,"yy-mm")&amp;"-"&amp;IF(AND(WEEKDAY(A492)&gt;1,WEEKDAY(A492)&lt;7),"Wkd",TEXT(A492,"Ddd"))&amp;"-"&amp;TEXT(A492,"hh"),LoadTable[],6,FALSE)*T492</f>
        <v>14265.924888320002</v>
      </c>
      <c r="V492">
        <f t="shared" ref="V492:W492" si="504">V468</f>
        <v>2.9</v>
      </c>
      <c r="W492">
        <f t="shared" si="504"/>
        <v>3</v>
      </c>
      <c r="X492" s="9">
        <v>3.4665666000000002</v>
      </c>
    </row>
    <row r="493" spans="1:24">
      <c r="A493" s="29">
        <f t="shared" si="460"/>
        <v>45856.416666665478</v>
      </c>
      <c r="B493" s="30">
        <f t="shared" si="484"/>
        <v>8000</v>
      </c>
      <c r="C493" s="8">
        <v>25000</v>
      </c>
      <c r="D493" s="8">
        <v>0</v>
      </c>
      <c r="E493" s="8">
        <v>0</v>
      </c>
      <c r="F493" s="8">
        <v>0</v>
      </c>
      <c r="G493" s="30">
        <f t="shared" si="485"/>
        <v>2400</v>
      </c>
      <c r="H493" s="8">
        <v>25000</v>
      </c>
      <c r="I493" s="30">
        <f t="shared" si="486"/>
        <v>8000</v>
      </c>
      <c r="J493" s="8">
        <v>25000</v>
      </c>
      <c r="K493" s="30">
        <f t="shared" si="487"/>
        <v>8000</v>
      </c>
      <c r="L493" s="8">
        <v>25000</v>
      </c>
      <c r="M493" s="9">
        <f>VLOOKUP(DATE(YEAR(A493),MONTH(A493),DAY(A493)),FY24_Temp[],4,FALSE)</f>
        <v>8.4</v>
      </c>
      <c r="N493" s="9">
        <f>VLOOKUP(DATE(YEAR(A493),MONTH(A493),DAY(A493)),FY24_Temp[],3,FALSE)</f>
        <v>12.8</v>
      </c>
      <c r="O493" s="9">
        <v>13</v>
      </c>
      <c r="P493" s="9">
        <v>19.5</v>
      </c>
      <c r="Q493" s="79">
        <f>VLOOKUP(VLOOKUP(DATEVALUE(TEXT(A493,"m/d/yyyy")),FY24_Temp[],5,FALSE)&amp;TEXT(A493,"-h"),Table6[],4,FALSE)</f>
        <v>0.5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VLOOKUP(TEXT(A493,"yy-mm")&amp;"-"&amp;IF(AND(WEEKDAY(A493)&gt;1,WEEKDAY(A493)&lt;7),"Wkd",TEXT(A493,"Ddd"))&amp;"-"&amp;TEXT(A493,"hh"),LoadTable[],5,FALSE)*0.92</f>
        <v>279.25312000000002</v>
      </c>
      <c r="U493" s="104">
        <f>VLOOKUP(TEXT(A493,"yy-mm")&amp;"-"&amp;IF(AND(WEEKDAY(A493)&gt;1,WEEKDAY(A493)&lt;7),"Wkd",TEXT(A493,"Ddd"))&amp;"-"&amp;TEXT(A493,"hh"),LoadTable[],6,FALSE)*T493</f>
        <v>13649.054746240003</v>
      </c>
      <c r="V493">
        <f t="shared" ref="V493:W493" si="505">V469</f>
        <v>2.9</v>
      </c>
      <c r="W493">
        <f t="shared" si="505"/>
        <v>3</v>
      </c>
      <c r="X493" s="9">
        <v>3.4711069999999999</v>
      </c>
    </row>
    <row r="494" spans="1:24">
      <c r="A494" s="29">
        <f t="shared" si="460"/>
        <v>45856.458333332143</v>
      </c>
      <c r="B494" s="30">
        <f t="shared" si="484"/>
        <v>8000</v>
      </c>
      <c r="C494" s="8">
        <v>25000</v>
      </c>
      <c r="D494" s="8">
        <v>0</v>
      </c>
      <c r="E494" s="8">
        <v>0</v>
      </c>
      <c r="F494" s="8">
        <v>0</v>
      </c>
      <c r="G494" s="30">
        <f t="shared" si="485"/>
        <v>2400</v>
      </c>
      <c r="H494" s="8">
        <v>25000</v>
      </c>
      <c r="I494" s="30">
        <f t="shared" si="486"/>
        <v>8000</v>
      </c>
      <c r="J494" s="8">
        <v>25000</v>
      </c>
      <c r="K494" s="30">
        <f t="shared" si="487"/>
        <v>8000</v>
      </c>
      <c r="L494" s="8">
        <v>25000</v>
      </c>
      <c r="M494" s="9">
        <f>VLOOKUP(DATE(YEAR(A494),MONTH(A494),DAY(A494)),FY24_Temp[],4,FALSE)</f>
        <v>8.4</v>
      </c>
      <c r="N494" s="9">
        <f>VLOOKUP(DATE(YEAR(A494),MONTH(A494),DAY(A494)),FY24_Temp[],3,FALSE)</f>
        <v>12.8</v>
      </c>
      <c r="O494" s="9">
        <v>13</v>
      </c>
      <c r="P494" s="9">
        <v>19.5</v>
      </c>
      <c r="Q494" s="79">
        <f>VLOOKUP(VLOOKUP(DATEVALUE(TEXT(A494,"m/d/yyyy")),FY24_Temp[],5,FALSE)&amp;TEXT(A494,"-h"),Table6[],4,FALSE)</f>
        <v>0.5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VLOOKUP(TEXT(A494,"yy-mm")&amp;"-"&amp;IF(AND(WEEKDAY(A494)&gt;1,WEEKDAY(A494)&lt;7),"Wkd",TEXT(A494,"Ddd"))&amp;"-"&amp;TEXT(A494,"hh"),LoadTable[],5,FALSE)*0.92</f>
        <v>279.25312000000002</v>
      </c>
      <c r="U494" s="104">
        <f>VLOOKUP(TEXT(A494,"yy-mm")&amp;"-"&amp;IF(AND(WEEKDAY(A494)&gt;1,WEEKDAY(A494)&lt;7),"Wkd",TEXT(A494,"Ddd"))&amp;"-"&amp;TEXT(A494,"hh"),LoadTable[],6,FALSE)*T494</f>
        <v>13153.938964480001</v>
      </c>
      <c r="V494">
        <f t="shared" ref="V494:W494" si="506">V470</f>
        <v>3.4</v>
      </c>
      <c r="W494">
        <f t="shared" si="506"/>
        <v>3</v>
      </c>
      <c r="X494" s="9">
        <v>3.3187902</v>
      </c>
    </row>
    <row r="495" spans="1:24">
      <c r="A495" s="29">
        <f t="shared" si="460"/>
        <v>45856.499999998807</v>
      </c>
      <c r="B495" s="30">
        <f t="shared" si="484"/>
        <v>8000</v>
      </c>
      <c r="C495" s="8">
        <v>25000</v>
      </c>
      <c r="D495" s="8">
        <v>0</v>
      </c>
      <c r="E495" s="8">
        <v>0</v>
      </c>
      <c r="F495" s="8">
        <v>0</v>
      </c>
      <c r="G495" s="30">
        <f t="shared" si="485"/>
        <v>2400</v>
      </c>
      <c r="H495" s="8">
        <v>25000</v>
      </c>
      <c r="I495" s="30">
        <f t="shared" si="486"/>
        <v>8000</v>
      </c>
      <c r="J495" s="8">
        <v>25000</v>
      </c>
      <c r="K495" s="30">
        <f t="shared" si="487"/>
        <v>8000</v>
      </c>
      <c r="L495" s="8">
        <v>25000</v>
      </c>
      <c r="M495" s="9">
        <f>VLOOKUP(DATE(YEAR(A495),MONTH(A495),DAY(A495)),FY24_Temp[],4,FALSE)</f>
        <v>8.4</v>
      </c>
      <c r="N495" s="9">
        <f>VLOOKUP(DATE(YEAR(A495),MONTH(A495),DAY(A495)),FY24_Temp[],3,FALSE)</f>
        <v>12.8</v>
      </c>
      <c r="O495" s="9">
        <v>13</v>
      </c>
      <c r="P495" s="9">
        <v>19.5</v>
      </c>
      <c r="Q495" s="79">
        <f>VLOOKUP(VLOOKUP(DATEVALUE(TEXT(A495,"m/d/yyyy")),FY24_Temp[],5,FALSE)&amp;TEXT(A495,"-h"),Table6[],4,FALSE)</f>
        <v>0.5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VLOOKUP(TEXT(A495,"yy-mm")&amp;"-"&amp;IF(AND(WEEKDAY(A495)&gt;1,WEEKDAY(A495)&lt;7),"Wkd",TEXT(A495,"Ddd"))&amp;"-"&amp;TEXT(A495,"hh"),LoadTable[],5,FALSE)*0.92</f>
        <v>279.25312000000002</v>
      </c>
      <c r="U495" s="104">
        <f>VLOOKUP(TEXT(A495,"yy-mm")&amp;"-"&amp;IF(AND(WEEKDAY(A495)&gt;1,WEEKDAY(A495)&lt;7),"Wkd",TEXT(A495,"Ddd"))&amp;"-"&amp;TEXT(A495,"hh"),LoadTable[],6,FALSE)*T495</f>
        <v>13898.427782400002</v>
      </c>
      <c r="V495">
        <f t="shared" ref="V495:W495" si="507">V471</f>
        <v>3.1</v>
      </c>
      <c r="W495">
        <f t="shared" si="507"/>
        <v>2.9</v>
      </c>
      <c r="X495" s="9">
        <v>3.1329349999999998</v>
      </c>
    </row>
    <row r="496" spans="1:24">
      <c r="A496" s="29">
        <f t="shared" si="460"/>
        <v>45856.541666665471</v>
      </c>
      <c r="B496" s="30">
        <f t="shared" si="484"/>
        <v>8000</v>
      </c>
      <c r="C496" s="8">
        <v>25000</v>
      </c>
      <c r="D496" s="8">
        <v>0</v>
      </c>
      <c r="E496" s="8">
        <v>0</v>
      </c>
      <c r="F496" s="8">
        <v>0</v>
      </c>
      <c r="G496" s="30">
        <f t="shared" si="485"/>
        <v>2400</v>
      </c>
      <c r="H496" s="8">
        <v>25000</v>
      </c>
      <c r="I496" s="30">
        <f t="shared" si="486"/>
        <v>8000</v>
      </c>
      <c r="J496" s="8">
        <v>25000</v>
      </c>
      <c r="K496" s="30">
        <f t="shared" si="487"/>
        <v>8000</v>
      </c>
      <c r="L496" s="8">
        <v>25000</v>
      </c>
      <c r="M496" s="9">
        <f>VLOOKUP(DATE(YEAR(A496),MONTH(A496),DAY(A496)),FY24_Temp[],4,FALSE)</f>
        <v>8.4</v>
      </c>
      <c r="N496" s="9">
        <f>VLOOKUP(DATE(YEAR(A496),MONTH(A496),DAY(A496)),FY24_Temp[],3,FALSE)</f>
        <v>12.8</v>
      </c>
      <c r="O496" s="9">
        <v>13</v>
      </c>
      <c r="P496" s="9">
        <v>19.5</v>
      </c>
      <c r="Q496" s="79">
        <f>VLOOKUP(VLOOKUP(DATEVALUE(TEXT(A496,"m/d/yyyy")),FY24_Temp[],5,FALSE)&amp;TEXT(A496,"-h"),Table6[],4,FALSE)</f>
        <v>0.5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VLOOKUP(TEXT(A496,"yy-mm")&amp;"-"&amp;IF(AND(WEEKDAY(A496)&gt;1,WEEKDAY(A496)&lt;7),"Wkd",TEXT(A496,"Ddd"))&amp;"-"&amp;TEXT(A496,"hh"),LoadTable[],5,FALSE)*0.92</f>
        <v>279.25312000000002</v>
      </c>
      <c r="U496" s="104">
        <f>VLOOKUP(TEXT(A496,"yy-mm")&amp;"-"&amp;IF(AND(WEEKDAY(A496)&gt;1,WEEKDAY(A496)&lt;7),"Wkd",TEXT(A496,"Ddd"))&amp;"-"&amp;TEXT(A496,"hh"),LoadTable[],6,FALSE)*T496</f>
        <v>16526.1996416</v>
      </c>
      <c r="V496">
        <f t="shared" ref="V496:W496" si="508">V472</f>
        <v>3.2</v>
      </c>
      <c r="W496">
        <f t="shared" si="508"/>
        <v>2.9</v>
      </c>
      <c r="X496" s="9">
        <v>2.9580188000000001</v>
      </c>
    </row>
    <row r="497" spans="1:24">
      <c r="A497" s="29">
        <f t="shared" si="460"/>
        <v>45856.583333332135</v>
      </c>
      <c r="B497" s="30">
        <f t="shared" si="484"/>
        <v>8000</v>
      </c>
      <c r="C497" s="8">
        <v>25000</v>
      </c>
      <c r="D497" s="8">
        <v>0</v>
      </c>
      <c r="E497" s="8">
        <v>0</v>
      </c>
      <c r="F497" s="8">
        <v>0</v>
      </c>
      <c r="G497" s="30">
        <f t="shared" si="485"/>
        <v>2400</v>
      </c>
      <c r="H497" s="8">
        <v>25000</v>
      </c>
      <c r="I497" s="30">
        <f t="shared" si="486"/>
        <v>8000</v>
      </c>
      <c r="J497" s="8">
        <v>25000</v>
      </c>
      <c r="K497" s="30">
        <f t="shared" si="487"/>
        <v>8000</v>
      </c>
      <c r="L497" s="8">
        <v>25000</v>
      </c>
      <c r="M497" s="9">
        <f>VLOOKUP(DATE(YEAR(A497),MONTH(A497),DAY(A497)),FY24_Temp[],4,FALSE)</f>
        <v>8.4</v>
      </c>
      <c r="N497" s="9">
        <f>VLOOKUP(DATE(YEAR(A497),MONTH(A497),DAY(A497)),FY24_Temp[],3,FALSE)</f>
        <v>12.8</v>
      </c>
      <c r="O497" s="9">
        <v>13</v>
      </c>
      <c r="P497" s="9">
        <v>19.5</v>
      </c>
      <c r="Q497" s="79">
        <f>VLOOKUP(VLOOKUP(DATEVALUE(TEXT(A497,"m/d/yyyy")),FY24_Temp[],5,FALSE)&amp;TEXT(A497,"-h"),Table6[],4,FALSE)</f>
        <v>0.5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VLOOKUP(TEXT(A497,"yy-mm")&amp;"-"&amp;IF(AND(WEEKDAY(A497)&gt;1,WEEKDAY(A497)&lt;7),"Wkd",TEXT(A497,"Ddd"))&amp;"-"&amp;TEXT(A497,"hh"),LoadTable[],5,FALSE)*0.92</f>
        <v>373.26607999999999</v>
      </c>
      <c r="U497" s="104">
        <f>VLOOKUP(TEXT(A497,"yy-mm")&amp;"-"&amp;IF(AND(WEEKDAY(A497)&gt;1,WEEKDAY(A497)&lt;7),"Wkd",TEXT(A497,"Ddd"))&amp;"-"&amp;TEXT(A497,"hh"),LoadTable[],6,FALSE)*T497</f>
        <v>27132.338089119996</v>
      </c>
      <c r="V497">
        <f t="shared" ref="V497:W497" si="509">V473</f>
        <v>3.5</v>
      </c>
      <c r="W497">
        <f t="shared" si="509"/>
        <v>2.9</v>
      </c>
      <c r="X497" s="9">
        <v>3.0202323999999998</v>
      </c>
    </row>
    <row r="498" spans="1:24">
      <c r="A498" s="29">
        <f t="shared" si="460"/>
        <v>45856.624999998799</v>
      </c>
      <c r="B498" s="30">
        <f t="shared" si="484"/>
        <v>8000</v>
      </c>
      <c r="C498" s="8">
        <v>25000</v>
      </c>
      <c r="D498" s="8">
        <v>0</v>
      </c>
      <c r="E498" s="8">
        <v>0</v>
      </c>
      <c r="F498" s="8">
        <v>0</v>
      </c>
      <c r="G498" s="30">
        <f t="shared" si="485"/>
        <v>2400</v>
      </c>
      <c r="H498" s="8">
        <v>25000</v>
      </c>
      <c r="I498" s="30">
        <f t="shared" si="486"/>
        <v>8000</v>
      </c>
      <c r="J498" s="8">
        <v>25000</v>
      </c>
      <c r="K498" s="30">
        <f t="shared" si="487"/>
        <v>8000</v>
      </c>
      <c r="L498" s="8">
        <v>25000</v>
      </c>
      <c r="M498" s="9">
        <f>VLOOKUP(DATE(YEAR(A498),MONTH(A498),DAY(A498)),FY24_Temp[],4,FALSE)</f>
        <v>8.4</v>
      </c>
      <c r="N498" s="9">
        <f>VLOOKUP(DATE(YEAR(A498),MONTH(A498),DAY(A498)),FY24_Temp[],3,FALSE)</f>
        <v>12.8</v>
      </c>
      <c r="O498" s="9">
        <v>13</v>
      </c>
      <c r="P498" s="9">
        <v>19.5</v>
      </c>
      <c r="Q498" s="79">
        <f>VLOOKUP(VLOOKUP(DATEVALUE(TEXT(A498,"m/d/yyyy")),FY24_Temp[],5,FALSE)&amp;TEXT(A498,"-h"),Table6[],4,FALSE)</f>
        <v>0.5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VLOOKUP(TEXT(A498,"yy-mm")&amp;"-"&amp;IF(AND(WEEKDAY(A498)&gt;1,WEEKDAY(A498)&lt;7),"Wkd",TEXT(A498,"Ddd"))&amp;"-"&amp;TEXT(A498,"hh"),LoadTable[],5,FALSE)*0.92</f>
        <v>494.57360000000006</v>
      </c>
      <c r="U498" s="104">
        <f>VLOOKUP(TEXT(A498,"yy-mm")&amp;"-"&amp;IF(AND(WEEKDAY(A498)&gt;1,WEEKDAY(A498)&lt;7),"Wkd",TEXT(A498,"Ddd"))&amp;"-"&amp;TEXT(A498,"hh"),LoadTable[],6,FALSE)*T498</f>
        <v>42310.771480000003</v>
      </c>
      <c r="V498">
        <f t="shared" ref="V498:W498" si="510">V474</f>
        <v>3.2</v>
      </c>
      <c r="W498">
        <f t="shared" si="510"/>
        <v>2.9</v>
      </c>
      <c r="X498" s="9">
        <v>3.3654788</v>
      </c>
    </row>
    <row r="499" spans="1:24">
      <c r="A499" s="29">
        <f t="shared" si="460"/>
        <v>45856.666666665464</v>
      </c>
      <c r="B499" s="30">
        <f t="shared" si="484"/>
        <v>8000</v>
      </c>
      <c r="C499" s="8">
        <v>25000</v>
      </c>
      <c r="D499" s="8">
        <v>0</v>
      </c>
      <c r="E499" s="8">
        <v>0</v>
      </c>
      <c r="F499" s="8">
        <v>0</v>
      </c>
      <c r="G499" s="30">
        <f t="shared" si="485"/>
        <v>2400</v>
      </c>
      <c r="H499" s="8">
        <v>25000</v>
      </c>
      <c r="I499" s="30">
        <f t="shared" si="486"/>
        <v>8000</v>
      </c>
      <c r="J499" s="8">
        <v>25000</v>
      </c>
      <c r="K499" s="30">
        <f t="shared" si="487"/>
        <v>8000</v>
      </c>
      <c r="L499" s="8">
        <v>25000</v>
      </c>
      <c r="M499" s="9">
        <f>VLOOKUP(DATE(YEAR(A499),MONTH(A499),DAY(A499)),FY24_Temp[],4,FALSE)</f>
        <v>8.4</v>
      </c>
      <c r="N499" s="9">
        <f>VLOOKUP(DATE(YEAR(A499),MONTH(A499),DAY(A499)),FY24_Temp[],3,FALSE)</f>
        <v>12.8</v>
      </c>
      <c r="O499" s="9">
        <v>13</v>
      </c>
      <c r="P499" s="9">
        <v>19.5</v>
      </c>
      <c r="Q499" s="79">
        <f>VLOOKUP(VLOOKUP(DATEVALUE(TEXT(A499,"m/d/yyyy")),FY24_Temp[],5,FALSE)&amp;TEXT(A499,"-h"),Table6[],4,FALSE)</f>
        <v>0.5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VLOOKUP(TEXT(A499,"yy-mm")&amp;"-"&amp;IF(AND(WEEKDAY(A499)&gt;1,WEEKDAY(A499)&lt;7),"Wkd",TEXT(A499,"Ddd"))&amp;"-"&amp;TEXT(A499,"hh"),LoadTable[],5,FALSE)*0.92</f>
        <v>494.57360000000006</v>
      </c>
      <c r="U499" s="104">
        <f>VLOOKUP(TEXT(A499,"yy-mm")&amp;"-"&amp;IF(AND(WEEKDAY(A499)&gt;1,WEEKDAY(A499)&lt;7),"Wkd",TEXT(A499,"Ddd"))&amp;"-"&amp;TEXT(A499,"hh"),LoadTable[],6,FALSE)*T499</f>
        <v>50694.28857360001</v>
      </c>
      <c r="V499">
        <f t="shared" ref="V499:W499" si="511">V475</f>
        <v>3.5</v>
      </c>
      <c r="W499">
        <f t="shared" si="511"/>
        <v>3</v>
      </c>
      <c r="X499" s="9">
        <v>3.2380209</v>
      </c>
    </row>
    <row r="500" spans="1:24">
      <c r="A500" s="29">
        <f t="shared" si="460"/>
        <v>45856.708333332128</v>
      </c>
      <c r="B500" s="30">
        <f t="shared" si="484"/>
        <v>8000</v>
      </c>
      <c r="C500" s="8">
        <v>25000</v>
      </c>
      <c r="D500" s="8">
        <v>0</v>
      </c>
      <c r="E500" s="8">
        <v>0</v>
      </c>
      <c r="F500" s="8">
        <v>0</v>
      </c>
      <c r="G500" s="30">
        <f t="shared" si="485"/>
        <v>2400</v>
      </c>
      <c r="H500" s="8">
        <v>25000</v>
      </c>
      <c r="I500" s="30">
        <f t="shared" si="486"/>
        <v>8000</v>
      </c>
      <c r="J500" s="8">
        <v>25000</v>
      </c>
      <c r="K500" s="30">
        <f t="shared" si="487"/>
        <v>8000</v>
      </c>
      <c r="L500" s="8">
        <v>25000</v>
      </c>
      <c r="M500" s="9">
        <f>VLOOKUP(DATE(YEAR(A500),MONTH(A500),DAY(A500)),FY24_Temp[],4,FALSE)</f>
        <v>8.4</v>
      </c>
      <c r="N500" s="9">
        <f>VLOOKUP(DATE(YEAR(A500),MONTH(A500),DAY(A500)),FY24_Temp[],3,FALSE)</f>
        <v>12.8</v>
      </c>
      <c r="O500" s="9">
        <v>13</v>
      </c>
      <c r="P500" s="9">
        <v>19.5</v>
      </c>
      <c r="Q500" s="79">
        <f>VLOOKUP(VLOOKUP(DATEVALUE(TEXT(A500,"m/d/yyyy")),FY24_Temp[],5,FALSE)&amp;TEXT(A500,"-h"),Table6[],4,FALSE)</f>
        <v>0.5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VLOOKUP(TEXT(A500,"yy-mm")&amp;"-"&amp;IF(AND(WEEKDAY(A500)&gt;1,WEEKDAY(A500)&lt;7),"Wkd",TEXT(A500,"Ddd"))&amp;"-"&amp;TEXT(A500,"hh"),LoadTable[],5,FALSE)*0.92</f>
        <v>494.57360000000006</v>
      </c>
      <c r="U500" s="104">
        <f>VLOOKUP(TEXT(A500,"yy-mm")&amp;"-"&amp;IF(AND(WEEKDAY(A500)&gt;1,WEEKDAY(A500)&lt;7),"Wkd",TEXT(A500,"Ddd"))&amp;"-"&amp;TEXT(A500,"hh"),LoadTable[],6,FALSE)*T500</f>
        <v>56025.791981600007</v>
      </c>
      <c r="V500">
        <f t="shared" ref="V500:W500" si="512">V476</f>
        <v>3.6</v>
      </c>
      <c r="W500">
        <f t="shared" si="512"/>
        <v>3</v>
      </c>
      <c r="X500" s="9">
        <v>3.1685851</v>
      </c>
    </row>
    <row r="501" spans="1:24">
      <c r="A501" s="29">
        <f t="shared" si="460"/>
        <v>45856.749999998792</v>
      </c>
      <c r="B501" s="30">
        <f t="shared" si="484"/>
        <v>5000</v>
      </c>
      <c r="C501" s="8">
        <v>25000</v>
      </c>
      <c r="D501" s="8">
        <v>0</v>
      </c>
      <c r="E501" s="8">
        <v>0</v>
      </c>
      <c r="F501" s="8">
        <v>0</v>
      </c>
      <c r="G501" s="30">
        <f t="shared" si="485"/>
        <v>2400</v>
      </c>
      <c r="H501" s="8">
        <v>25000</v>
      </c>
      <c r="I501" s="30">
        <f t="shared" si="486"/>
        <v>5000</v>
      </c>
      <c r="J501" s="8">
        <v>25000</v>
      </c>
      <c r="K501" s="30">
        <f t="shared" si="487"/>
        <v>5000</v>
      </c>
      <c r="L501" s="8">
        <v>25000</v>
      </c>
      <c r="M501" s="9">
        <f>VLOOKUP(DATE(YEAR(A501),MONTH(A501),DAY(A501)),FY24_Temp[],4,FALSE)</f>
        <v>8.4</v>
      </c>
      <c r="N501" s="9">
        <f>VLOOKUP(DATE(YEAR(A501),MONTH(A501),DAY(A501)),FY24_Temp[],3,FALSE)</f>
        <v>12.8</v>
      </c>
      <c r="O501" s="9">
        <v>13</v>
      </c>
      <c r="P501" s="9">
        <v>19.5</v>
      </c>
      <c r="Q501" s="79">
        <f>VLOOKUP(VLOOKUP(DATEVALUE(TEXT(A501,"m/d/yyyy")),FY24_Temp[],5,FALSE)&amp;TEXT(A501,"-h"),Table6[],4,FALSE)</f>
        <v>0.5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VLOOKUP(TEXT(A501,"yy-mm")&amp;"-"&amp;IF(AND(WEEKDAY(A501)&gt;1,WEEKDAY(A501)&lt;7),"Wkd",TEXT(A501,"Ddd"))&amp;"-"&amp;TEXT(A501,"hh"),LoadTable[],5,FALSE)*0.92</f>
        <v>494.57360000000006</v>
      </c>
      <c r="U501" s="104">
        <f>VLOOKUP(TEXT(A501,"yy-mm")&amp;"-"&amp;IF(AND(WEEKDAY(A501)&gt;1,WEEKDAY(A501)&lt;7),"Wkd",TEXT(A501,"Ddd"))&amp;"-"&amp;TEXT(A501,"hh"),LoadTable[],6,FALSE)*T501</f>
        <v>60164.383866400007</v>
      </c>
      <c r="V501">
        <f t="shared" ref="V501:W501" si="513">V477</f>
        <v>2.9</v>
      </c>
      <c r="W501">
        <f t="shared" si="513"/>
        <v>3</v>
      </c>
      <c r="X501" s="9">
        <v>3.1572616</v>
      </c>
    </row>
    <row r="502" spans="1:24">
      <c r="A502" s="29">
        <f t="shared" si="460"/>
        <v>45856.791666665456</v>
      </c>
      <c r="B502" s="30">
        <f t="shared" si="484"/>
        <v>5000</v>
      </c>
      <c r="C502" s="8">
        <v>25000</v>
      </c>
      <c r="D502" s="8">
        <v>0</v>
      </c>
      <c r="E502" s="8">
        <v>0</v>
      </c>
      <c r="F502" s="8">
        <v>0</v>
      </c>
      <c r="G502" s="30">
        <f t="shared" si="485"/>
        <v>2400</v>
      </c>
      <c r="H502" s="8">
        <v>25000</v>
      </c>
      <c r="I502" s="30">
        <f t="shared" si="486"/>
        <v>5000</v>
      </c>
      <c r="J502" s="8">
        <v>25000</v>
      </c>
      <c r="K502" s="30">
        <f t="shared" si="487"/>
        <v>5000</v>
      </c>
      <c r="L502" s="8">
        <v>25000</v>
      </c>
      <c r="M502" s="9">
        <f>VLOOKUP(DATE(YEAR(A502),MONTH(A502),DAY(A502)),FY24_Temp[],4,FALSE)</f>
        <v>8.4</v>
      </c>
      <c r="N502" s="9">
        <f>VLOOKUP(DATE(YEAR(A502),MONTH(A502),DAY(A502)),FY24_Temp[],3,FALSE)</f>
        <v>12.8</v>
      </c>
      <c r="O502" s="9">
        <v>13</v>
      </c>
      <c r="P502" s="9">
        <v>19.5</v>
      </c>
      <c r="Q502" s="79">
        <f>VLOOKUP(VLOOKUP(DATEVALUE(TEXT(A502,"m/d/yyyy")),FY24_Temp[],5,FALSE)&amp;TEXT(A502,"-h"),Table6[],4,FALSE)</f>
        <v>0.5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VLOOKUP(TEXT(A502,"yy-mm")&amp;"-"&amp;IF(AND(WEEKDAY(A502)&gt;1,WEEKDAY(A502)&lt;7),"Wkd",TEXT(A502,"Ddd"))&amp;"-"&amp;TEXT(A502,"hh"),LoadTable[],5,FALSE)*0.92</f>
        <v>494.57360000000006</v>
      </c>
      <c r="U502" s="104">
        <f>VLOOKUP(TEXT(A502,"yy-mm")&amp;"-"&amp;IF(AND(WEEKDAY(A502)&gt;1,WEEKDAY(A502)&lt;7),"Wkd",TEXT(A502,"Ddd"))&amp;"-"&amp;TEXT(A502,"hh"),LoadTable[],6,FALSE)*T502</f>
        <v>60548.172980000003</v>
      </c>
      <c r="V502">
        <f t="shared" ref="V502:W502" si="514">V478</f>
        <v>3</v>
      </c>
      <c r="W502">
        <f t="shared" si="514"/>
        <v>3</v>
      </c>
      <c r="X502" s="9">
        <v>3.1153629</v>
      </c>
    </row>
    <row r="503" spans="1:24">
      <c r="A503" s="29">
        <f t="shared" si="460"/>
        <v>45856.833333332121</v>
      </c>
      <c r="B503" s="30">
        <f t="shared" si="484"/>
        <v>5000</v>
      </c>
      <c r="C503" s="8">
        <v>25000</v>
      </c>
      <c r="D503" s="8">
        <v>0</v>
      </c>
      <c r="E503" s="8">
        <v>0</v>
      </c>
      <c r="F503" s="8">
        <v>0</v>
      </c>
      <c r="G503" s="30">
        <f t="shared" si="485"/>
        <v>2400</v>
      </c>
      <c r="H503" s="8">
        <v>25000</v>
      </c>
      <c r="I503" s="30">
        <f t="shared" si="486"/>
        <v>5000</v>
      </c>
      <c r="J503" s="8">
        <v>25000</v>
      </c>
      <c r="K503" s="30">
        <f t="shared" si="487"/>
        <v>5000</v>
      </c>
      <c r="L503" s="8">
        <v>25000</v>
      </c>
      <c r="M503" s="9">
        <f>VLOOKUP(DATE(YEAR(A503),MONTH(A503),DAY(A503)),FY24_Temp[],4,FALSE)</f>
        <v>8.4</v>
      </c>
      <c r="N503" s="9">
        <f>VLOOKUP(DATE(YEAR(A503),MONTH(A503),DAY(A503)),FY24_Temp[],3,FALSE)</f>
        <v>12.8</v>
      </c>
      <c r="O503" s="9">
        <v>13</v>
      </c>
      <c r="P503" s="9">
        <v>19.5</v>
      </c>
      <c r="Q503" s="79">
        <f>VLOOKUP(VLOOKUP(DATEVALUE(TEXT(A503,"m/d/yyyy")),FY24_Temp[],5,FALSE)&amp;TEXT(A503,"-h"),Table6[],4,FALSE)</f>
        <v>0.5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VLOOKUP(TEXT(A503,"yy-mm")&amp;"-"&amp;IF(AND(WEEKDAY(A503)&gt;1,WEEKDAY(A503)&lt;7),"Wkd",TEXT(A503,"Ddd"))&amp;"-"&amp;TEXT(A503,"hh"),LoadTable[],5,FALSE)*0.92</f>
        <v>494.57360000000006</v>
      </c>
      <c r="U503" s="104">
        <f>VLOOKUP(TEXT(A503,"yy-mm")&amp;"-"&amp;IF(AND(WEEKDAY(A503)&gt;1,WEEKDAY(A503)&lt;7),"Wkd",TEXT(A503,"Ddd"))&amp;"-"&amp;TEXT(A503,"hh"),LoadTable[],6,FALSE)*T503</f>
        <v>60532.346624800004</v>
      </c>
      <c r="V503">
        <f t="shared" ref="V503:W503" si="515">V479</f>
        <v>2.8</v>
      </c>
      <c r="W503">
        <f t="shared" si="515"/>
        <v>3.1</v>
      </c>
      <c r="X503" s="9">
        <v>3.0770534999999999</v>
      </c>
    </row>
    <row r="504" spans="1:24">
      <c r="A504" s="29">
        <f t="shared" si="460"/>
        <v>45856.874999998785</v>
      </c>
      <c r="B504" s="30">
        <f t="shared" si="484"/>
        <v>5000</v>
      </c>
      <c r="C504" s="8">
        <v>25000</v>
      </c>
      <c r="D504" s="8">
        <v>0</v>
      </c>
      <c r="E504" s="8">
        <v>0</v>
      </c>
      <c r="F504" s="8">
        <v>0</v>
      </c>
      <c r="G504" s="30">
        <f t="shared" si="485"/>
        <v>2400</v>
      </c>
      <c r="H504" s="8">
        <v>25000</v>
      </c>
      <c r="I504" s="30">
        <f t="shared" si="486"/>
        <v>5000</v>
      </c>
      <c r="J504" s="8">
        <v>25000</v>
      </c>
      <c r="K504" s="30">
        <f t="shared" si="487"/>
        <v>5000</v>
      </c>
      <c r="L504" s="8">
        <v>25000</v>
      </c>
      <c r="M504" s="9">
        <f>VLOOKUP(DATE(YEAR(A504),MONTH(A504),DAY(A504)),FY24_Temp[],4,FALSE)</f>
        <v>8.4</v>
      </c>
      <c r="N504" s="9">
        <f>VLOOKUP(DATE(YEAR(A504),MONTH(A504),DAY(A504)),FY24_Temp[],3,FALSE)</f>
        <v>12.8</v>
      </c>
      <c r="O504" s="9">
        <v>13</v>
      </c>
      <c r="P504" s="9">
        <v>19.5</v>
      </c>
      <c r="Q504" s="79">
        <f>VLOOKUP(VLOOKUP(DATEVALUE(TEXT(A504,"m/d/yyyy")),FY24_Temp[],5,FALSE)&amp;TEXT(A504,"-h"),Table6[],4,FALSE)</f>
        <v>0.5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VLOOKUP(TEXT(A504,"yy-mm")&amp;"-"&amp;IF(AND(WEEKDAY(A504)&gt;1,WEEKDAY(A504)&lt;7),"Wkd",TEXT(A504,"Ddd"))&amp;"-"&amp;TEXT(A504,"hh"),LoadTable[],5,FALSE)*0.92</f>
        <v>494.57360000000006</v>
      </c>
      <c r="U504" s="104">
        <f>VLOOKUP(TEXT(A504,"yy-mm")&amp;"-"&amp;IF(AND(WEEKDAY(A504)&gt;1,WEEKDAY(A504)&lt;7),"Wkd",TEXT(A504,"Ddd"))&amp;"-"&amp;TEXT(A504,"hh"),LoadTable[],6,FALSE)*T504</f>
        <v>58481.349905600007</v>
      </c>
      <c r="V504">
        <f t="shared" ref="V504:W504" si="516">V480</f>
        <v>3.5</v>
      </c>
      <c r="W504">
        <f t="shared" si="516"/>
        <v>3.1</v>
      </c>
      <c r="X504" s="9">
        <v>3.0377347000000001</v>
      </c>
    </row>
    <row r="505" spans="1:24">
      <c r="A505" s="29">
        <f t="shared" si="460"/>
        <v>45856.916666665449</v>
      </c>
      <c r="B505" s="30">
        <f t="shared" si="484"/>
        <v>5000</v>
      </c>
      <c r="C505" s="8">
        <v>25000</v>
      </c>
      <c r="D505" s="8">
        <v>0</v>
      </c>
      <c r="E505" s="8">
        <v>0</v>
      </c>
      <c r="F505" s="8">
        <v>0</v>
      </c>
      <c r="G505" s="30">
        <f t="shared" si="485"/>
        <v>2400</v>
      </c>
      <c r="H505" s="8">
        <v>25000</v>
      </c>
      <c r="I505" s="30">
        <f t="shared" si="486"/>
        <v>5000</v>
      </c>
      <c r="J505" s="8">
        <v>25000</v>
      </c>
      <c r="K505" s="30">
        <f t="shared" si="487"/>
        <v>5000</v>
      </c>
      <c r="L505" s="8">
        <v>25000</v>
      </c>
      <c r="M505" s="9">
        <f>VLOOKUP(DATE(YEAR(A505),MONTH(A505),DAY(A505)),FY24_Temp[],4,FALSE)</f>
        <v>8.4</v>
      </c>
      <c r="N505" s="9">
        <f>VLOOKUP(DATE(YEAR(A505),MONTH(A505),DAY(A505)),FY24_Temp[],3,FALSE)</f>
        <v>12.8</v>
      </c>
      <c r="O505" s="9">
        <v>13</v>
      </c>
      <c r="P505" s="9">
        <v>19.5</v>
      </c>
      <c r="Q505" s="79">
        <f>VLOOKUP(VLOOKUP(DATEVALUE(TEXT(A505,"m/d/yyyy")),FY24_Temp[],5,FALSE)&amp;TEXT(A505,"-h"),Table6[],4,FALSE)</f>
        <v>0.5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VLOOKUP(TEXT(A505,"yy-mm")&amp;"-"&amp;IF(AND(WEEKDAY(A505)&gt;1,WEEKDAY(A505)&lt;7),"Wkd",TEXT(A505,"Ddd"))&amp;"-"&amp;TEXT(A505,"hh"),LoadTable[],5,FALSE)*0.92</f>
        <v>418.75640000000004</v>
      </c>
      <c r="U505" s="104">
        <f>VLOOKUP(TEXT(A505,"yy-mm")&amp;"-"&amp;IF(AND(WEEKDAY(A505)&gt;1,WEEKDAY(A505)&lt;7),"Wkd",TEXT(A505,"Ddd"))&amp;"-"&amp;TEXT(A505,"hh"),LoadTable[],6,FALSE)*T505</f>
        <v>27547.889774000003</v>
      </c>
      <c r="V505">
        <f t="shared" ref="V505:W505" si="517">V481</f>
        <v>2.9</v>
      </c>
      <c r="W505">
        <f t="shared" si="517"/>
        <v>3.1</v>
      </c>
      <c r="X505" s="9">
        <v>2.9893608</v>
      </c>
    </row>
    <row r="506" spans="1:24" ht="16" thickBot="1">
      <c r="A506" s="29">
        <f t="shared" si="460"/>
        <v>45856.958333332113</v>
      </c>
      <c r="B506" s="30">
        <f t="shared" si="484"/>
        <v>5000</v>
      </c>
      <c r="C506" s="8">
        <v>25000</v>
      </c>
      <c r="D506" s="8">
        <v>0</v>
      </c>
      <c r="E506" s="8">
        <v>0</v>
      </c>
      <c r="F506" s="8">
        <v>0</v>
      </c>
      <c r="G506" s="30">
        <f t="shared" si="485"/>
        <v>2400</v>
      </c>
      <c r="H506" s="8">
        <v>25000</v>
      </c>
      <c r="I506" s="30">
        <f t="shared" si="486"/>
        <v>5000</v>
      </c>
      <c r="J506" s="8">
        <v>25000</v>
      </c>
      <c r="K506" s="30">
        <f t="shared" si="487"/>
        <v>5000</v>
      </c>
      <c r="L506" s="8">
        <v>25000</v>
      </c>
      <c r="M506" s="9">
        <f>VLOOKUP(DATE(YEAR(A506),MONTH(A506),DAY(A506)),FY24_Temp[],4,FALSE)</f>
        <v>8.4</v>
      </c>
      <c r="N506" s="9">
        <f>VLOOKUP(DATE(YEAR(A506),MONTH(A506),DAY(A506)),FY24_Temp[],3,FALSE)</f>
        <v>12.8</v>
      </c>
      <c r="O506" s="9">
        <v>13</v>
      </c>
      <c r="P506" s="9">
        <v>19.5</v>
      </c>
      <c r="Q506" s="79">
        <f>VLOOKUP(VLOOKUP(DATEVALUE(TEXT(A506,"m/d/yyyy")),FY24_Temp[],5,FALSE)&amp;TEXT(A506,"-h"),Table6[],4,FALSE)</f>
        <v>0.5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VLOOKUP(TEXT(A506,"yy-mm")&amp;"-"&amp;IF(AND(WEEKDAY(A506)&gt;1,WEEKDAY(A506)&lt;7),"Wkd",TEXT(A506,"Ddd"))&amp;"-"&amp;TEXT(A506,"hh"),LoadTable[],5,FALSE)*0.92</f>
        <v>342.93920000000003</v>
      </c>
      <c r="U506" s="104">
        <f>VLOOKUP(TEXT(A506,"yy-mm")&amp;"-"&amp;IF(AND(WEEKDAY(A506)&gt;1,WEEKDAY(A506)&lt;7),"Wkd",TEXT(A506,"Ddd"))&amp;"-"&amp;TEXT(A506,"hh"),LoadTable[],6,FALSE)*T506</f>
        <v>19873.669579200003</v>
      </c>
      <c r="V506">
        <f t="shared" ref="V506:W506" si="518">V482</f>
        <v>3.6</v>
      </c>
      <c r="W506">
        <f t="shared" si="518"/>
        <v>3.1</v>
      </c>
      <c r="X506" s="9">
        <v>2.8832080000000002</v>
      </c>
    </row>
    <row r="507" spans="1:24" ht="16" thickBot="1">
      <c r="A507" s="120">
        <f t="shared" si="460"/>
        <v>45856.999999998778</v>
      </c>
      <c r="B507" s="121">
        <f t="shared" si="484"/>
        <v>5000</v>
      </c>
      <c r="C507" s="114">
        <v>25000</v>
      </c>
      <c r="D507" s="114">
        <v>0</v>
      </c>
      <c r="E507" s="114">
        <v>700</v>
      </c>
      <c r="F507" s="114">
        <v>15000</v>
      </c>
      <c r="G507" s="114">
        <f t="shared" si="485"/>
        <v>2400</v>
      </c>
      <c r="H507" s="114">
        <v>25000</v>
      </c>
      <c r="I507" s="114">
        <f t="shared" si="486"/>
        <v>5000</v>
      </c>
      <c r="J507" s="114">
        <v>25000</v>
      </c>
      <c r="K507" s="114">
        <f t="shared" si="487"/>
        <v>5000</v>
      </c>
      <c r="L507" s="114">
        <v>25000</v>
      </c>
      <c r="M507" s="115">
        <f>VLOOKUP(DATE(YEAR(A507),MONTH(A507),DAY(A507)),FY24_Temp[],4,FALSE)</f>
        <v>8.4</v>
      </c>
      <c r="N507" s="115">
        <f>VLOOKUP(DATE(YEAR(A507),MONTH(A507),DAY(A507)),FY24_Temp[],3,FALSE)</f>
        <v>12.8</v>
      </c>
      <c r="O507" s="115">
        <v>13.5</v>
      </c>
      <c r="P507" s="115">
        <v>19.5</v>
      </c>
      <c r="Q507" s="116">
        <f>VLOOKUP(VLOOKUP(DATEVALUE(TEXT(A507,"m/d/yyyy")),FY24_Temp[],5,FALSE)&amp;TEXT(A507,"-h"),Table6[],4,FALSE)</f>
        <v>2.990142822265625</v>
      </c>
      <c r="R507" s="117">
        <v>10</v>
      </c>
      <c r="S507" s="117">
        <v>1000</v>
      </c>
      <c r="T507" s="100">
        <f>VLOOKUP(TEXT(A507,"yy-mm")&amp;"-"&amp;IF(AND(WEEKDAY(A507)&gt;1,WEEKDAY(A507)&lt;7),"Wkd",TEXT(A507,"Ddd"))&amp;"-"&amp;TEXT(A507,"hh"),LoadTable[],5,FALSE)*0.92</f>
        <v>279.25312000000002</v>
      </c>
      <c r="U507" s="118">
        <f>VLOOKUP(TEXT(A507,"yy-mm")&amp;"-"&amp;IF(AND(WEEKDAY(A507)&gt;1,WEEKDAY(A507)&lt;7),"Wkd",TEXT(A507,"Ddd"))&amp;"-"&amp;TEXT(A507,"hh"),LoadTable[],6,FALSE)*T507</f>
        <v>13845.648942720001</v>
      </c>
      <c r="V507" s="117">
        <f t="shared" ref="V507:W507" si="519">V483</f>
        <v>3</v>
      </c>
      <c r="W507" s="117">
        <f t="shared" si="519"/>
        <v>3.2</v>
      </c>
      <c r="X507" s="119">
        <v>2.8159010000000002</v>
      </c>
    </row>
    <row r="508" spans="1:24">
      <c r="A508" s="29">
        <f t="shared" si="460"/>
        <v>45857.041666665442</v>
      </c>
      <c r="B508" s="30">
        <f t="shared" si="484"/>
        <v>5000</v>
      </c>
      <c r="C508" s="8">
        <v>25000</v>
      </c>
      <c r="D508" s="8">
        <v>0</v>
      </c>
      <c r="E508" s="8">
        <v>700</v>
      </c>
      <c r="F508" s="8">
        <v>15000</v>
      </c>
      <c r="G508" s="30">
        <f t="shared" si="485"/>
        <v>2400</v>
      </c>
      <c r="H508" s="8">
        <v>25000</v>
      </c>
      <c r="I508" s="30">
        <f t="shared" si="486"/>
        <v>5000</v>
      </c>
      <c r="J508" s="8">
        <v>25000</v>
      </c>
      <c r="K508" s="30">
        <f t="shared" si="487"/>
        <v>5000</v>
      </c>
      <c r="L508" s="8">
        <v>25000</v>
      </c>
      <c r="M508" s="9">
        <f>VLOOKUP(DATE(YEAR(A508),MONTH(A508),DAY(A508)),FY24_Temp[],4,FALSE)</f>
        <v>8.4</v>
      </c>
      <c r="N508" s="9">
        <f>VLOOKUP(DATE(YEAR(A508),MONTH(A508),DAY(A508)),FY24_Temp[],3,FALSE)</f>
        <v>12.8</v>
      </c>
      <c r="O508" s="9">
        <v>13.5</v>
      </c>
      <c r="P508" s="9">
        <v>19.5</v>
      </c>
      <c r="Q508" s="79">
        <f>VLOOKUP(VLOOKUP(DATEVALUE(TEXT(A508,"m/d/yyyy")),FY24_Temp[],5,FALSE)&amp;TEXT(A508,"-h"),Table6[],4,FALSE)</f>
        <v>2.8801428590502058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VLOOKUP(TEXT(A508,"yy-mm")&amp;"-"&amp;IF(AND(WEEKDAY(A508)&gt;1,WEEKDAY(A508)&lt;7),"Wkd",TEXT(A508,"Ddd"))&amp;"-"&amp;TEXT(A508,"hh"),LoadTable[],5,FALSE)*0.92</f>
        <v>279.25312000000002</v>
      </c>
      <c r="U508" s="104">
        <f>VLOOKUP(TEXT(A508,"yy-mm")&amp;"-"&amp;IF(AND(WEEKDAY(A508)&gt;1,WEEKDAY(A508)&lt;7),"Wkd",TEXT(A508,"Ddd"))&amp;"-"&amp;TEXT(A508,"hh"),LoadTable[],6,FALSE)*T508</f>
        <v>13695.131511040001</v>
      </c>
      <c r="V508">
        <f t="shared" ref="V508:W508" si="520">V484</f>
        <v>2.6</v>
      </c>
      <c r="W508">
        <f t="shared" si="520"/>
        <v>3.2</v>
      </c>
      <c r="X508" s="9">
        <v>2.7889013</v>
      </c>
    </row>
    <row r="509" spans="1:24">
      <c r="A509" s="29">
        <f t="shared" si="460"/>
        <v>45857.083333332106</v>
      </c>
      <c r="B509" s="30">
        <f t="shared" si="484"/>
        <v>5000</v>
      </c>
      <c r="C509" s="8">
        <v>25000</v>
      </c>
      <c r="D509" s="8">
        <v>0</v>
      </c>
      <c r="E509" s="8">
        <v>700</v>
      </c>
      <c r="F509" s="8">
        <v>15000</v>
      </c>
      <c r="G509" s="30">
        <f t="shared" si="485"/>
        <v>2400</v>
      </c>
      <c r="H509" s="8">
        <v>25000</v>
      </c>
      <c r="I509" s="30">
        <f t="shared" si="486"/>
        <v>5000</v>
      </c>
      <c r="J509" s="8">
        <v>25000</v>
      </c>
      <c r="K509" s="30">
        <f t="shared" si="487"/>
        <v>5000</v>
      </c>
      <c r="L509" s="8">
        <v>25000</v>
      </c>
      <c r="M509" s="9">
        <f>VLOOKUP(DATE(YEAR(A509),MONTH(A509),DAY(A509)),FY24_Temp[],4,FALSE)</f>
        <v>8.4</v>
      </c>
      <c r="N509" s="9">
        <f>VLOOKUP(DATE(YEAR(A509),MONTH(A509),DAY(A509)),FY24_Temp[],3,FALSE)</f>
        <v>12.8</v>
      </c>
      <c r="O509" s="9">
        <v>13.5</v>
      </c>
      <c r="P509" s="9">
        <v>19.5</v>
      </c>
      <c r="Q509" s="79">
        <f>VLOOKUP(VLOOKUP(DATEVALUE(TEXT(A509,"m/d/yyyy")),FY24_Temp[],5,FALSE)&amp;TEXT(A509,"-h"),Table6[],4,FALSE)</f>
        <v>2.7695714065006802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VLOOKUP(TEXT(A509,"yy-mm")&amp;"-"&amp;IF(AND(WEEKDAY(A509)&gt;1,WEEKDAY(A509)&lt;7),"Wkd",TEXT(A509,"Ddd"))&amp;"-"&amp;TEXT(A509,"hh"),LoadTable[],5,FALSE)*0.92</f>
        <v>279.25312000000002</v>
      </c>
      <c r="U509" s="104">
        <f>VLOOKUP(TEXT(A509,"yy-mm")&amp;"-"&amp;IF(AND(WEEKDAY(A509)&gt;1,WEEKDAY(A509)&lt;7),"Wkd",TEXT(A509,"Ddd"))&amp;"-"&amp;TEXT(A509,"hh"),LoadTable[],6,FALSE)*T509</f>
        <v>13726.12860736</v>
      </c>
      <c r="V509">
        <f t="shared" ref="V509:W509" si="521">V485</f>
        <v>2.8</v>
      </c>
      <c r="W509">
        <f t="shared" si="521"/>
        <v>3.2</v>
      </c>
      <c r="X509" s="9">
        <v>2.8349934000000001</v>
      </c>
    </row>
    <row r="510" spans="1:24">
      <c r="A510" s="29">
        <f t="shared" si="460"/>
        <v>45857.12499999877</v>
      </c>
      <c r="B510" s="30">
        <f t="shared" si="484"/>
        <v>5000</v>
      </c>
      <c r="C510" s="8">
        <v>25000</v>
      </c>
      <c r="D510" s="8">
        <v>0</v>
      </c>
      <c r="E510" s="8">
        <v>700</v>
      </c>
      <c r="F510" s="8">
        <v>15000</v>
      </c>
      <c r="G510" s="30">
        <f t="shared" si="485"/>
        <v>2400</v>
      </c>
      <c r="H510" s="8">
        <v>25000</v>
      </c>
      <c r="I510" s="30">
        <f t="shared" si="486"/>
        <v>5000</v>
      </c>
      <c r="J510" s="8">
        <v>25000</v>
      </c>
      <c r="K510" s="30">
        <f t="shared" si="487"/>
        <v>5000</v>
      </c>
      <c r="L510" s="8">
        <v>25000</v>
      </c>
      <c r="M510" s="9">
        <f>VLOOKUP(DATE(YEAR(A510),MONTH(A510),DAY(A510)),FY24_Temp[],4,FALSE)</f>
        <v>8.4</v>
      </c>
      <c r="N510" s="9">
        <f>VLOOKUP(DATE(YEAR(A510),MONTH(A510),DAY(A510)),FY24_Temp[],3,FALSE)</f>
        <v>12.8</v>
      </c>
      <c r="O510" s="9">
        <v>13.5</v>
      </c>
      <c r="P510" s="9">
        <v>19.5</v>
      </c>
      <c r="Q510" s="79">
        <f>VLOOKUP(VLOOKUP(DATEVALUE(TEXT(A510,"m/d/yyyy")),FY24_Temp[],5,FALSE)&amp;TEXT(A510,"-h"),Table6[],4,FALSE)</f>
        <v>2.65728565624782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VLOOKUP(TEXT(A510,"yy-mm")&amp;"-"&amp;IF(AND(WEEKDAY(A510)&gt;1,WEEKDAY(A510)&lt;7),"Wkd",TEXT(A510,"Ddd"))&amp;"-"&amp;TEXT(A510,"hh"),LoadTable[],5,FALSE)*0.92</f>
        <v>279.25312000000002</v>
      </c>
      <c r="U510" s="104">
        <f>VLOOKUP(TEXT(A510,"yy-mm")&amp;"-"&amp;IF(AND(WEEKDAY(A510)&gt;1,WEEKDAY(A510)&lt;7),"Wkd",TEXT(A510,"Ddd"))&amp;"-"&amp;TEXT(A510,"hh"),LoadTable[],6,FALSE)*T510</f>
        <v>13756.287944320002</v>
      </c>
      <c r="V510">
        <f t="shared" ref="V510:W510" si="522">V486</f>
        <v>2.7</v>
      </c>
      <c r="W510">
        <f t="shared" si="522"/>
        <v>3.2</v>
      </c>
      <c r="X510" s="9">
        <v>2.8707242000000002</v>
      </c>
    </row>
    <row r="511" spans="1:24">
      <c r="A511" s="29">
        <f t="shared" si="460"/>
        <v>45857.166666665435</v>
      </c>
      <c r="B511" s="30">
        <f t="shared" si="484"/>
        <v>5000</v>
      </c>
      <c r="C511" s="8">
        <v>25000</v>
      </c>
      <c r="D511" s="8">
        <v>0</v>
      </c>
      <c r="E511" s="8">
        <v>700</v>
      </c>
      <c r="F511" s="8">
        <v>15000</v>
      </c>
      <c r="G511" s="30">
        <f t="shared" si="485"/>
        <v>2400</v>
      </c>
      <c r="H511" s="8">
        <v>25000</v>
      </c>
      <c r="I511" s="30">
        <f t="shared" si="486"/>
        <v>5000</v>
      </c>
      <c r="J511" s="8">
        <v>25000</v>
      </c>
      <c r="K511" s="30">
        <f t="shared" si="487"/>
        <v>5000</v>
      </c>
      <c r="L511" s="8">
        <v>25000</v>
      </c>
      <c r="M511" s="9">
        <f>VLOOKUP(DATE(YEAR(A511),MONTH(A511),DAY(A511)),FY24_Temp[],4,FALSE)</f>
        <v>8.4</v>
      </c>
      <c r="N511" s="9">
        <f>VLOOKUP(DATE(YEAR(A511),MONTH(A511),DAY(A511)),FY24_Temp[],3,FALSE)</f>
        <v>12.8</v>
      </c>
      <c r="O511" s="9">
        <v>13.5</v>
      </c>
      <c r="P511" s="9">
        <v>19.5</v>
      </c>
      <c r="Q511" s="79">
        <f>VLOOKUP(VLOOKUP(DATEVALUE(TEXT(A511,"m/d/yyyy")),FY24_Temp[],5,FALSE)&amp;TEXT(A511,"-h"),Table6[],4,FALSE)</f>
        <v>2.4975714342934743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VLOOKUP(TEXT(A511,"yy-mm")&amp;"-"&amp;IF(AND(WEEKDAY(A511)&gt;1,WEEKDAY(A511)&lt;7),"Wkd",TEXT(A511,"Ddd"))&amp;"-"&amp;TEXT(A511,"hh"),LoadTable[],5,FALSE)*0.92</f>
        <v>279.25312000000002</v>
      </c>
      <c r="U511" s="104">
        <f>VLOOKUP(TEXT(A511,"yy-mm")&amp;"-"&amp;IF(AND(WEEKDAY(A511)&gt;1,WEEKDAY(A511)&lt;7),"Wkd",TEXT(A511,"Ddd"))&amp;"-"&amp;TEXT(A511,"hh"),LoadTable[],6,FALSE)*T511</f>
        <v>13728.641885440002</v>
      </c>
      <c r="V511">
        <f t="shared" ref="V511:W511" si="523">V487</f>
        <v>3</v>
      </c>
      <c r="W511">
        <f t="shared" si="523"/>
        <v>3.1</v>
      </c>
      <c r="X511" s="9">
        <v>2.8936185999999999</v>
      </c>
    </row>
    <row r="512" spans="1:24">
      <c r="A512" s="29">
        <f t="shared" si="460"/>
        <v>45857.208333332099</v>
      </c>
      <c r="B512" s="30">
        <f t="shared" si="484"/>
        <v>5000</v>
      </c>
      <c r="C512" s="8">
        <v>25000</v>
      </c>
      <c r="D512" s="8">
        <v>0</v>
      </c>
      <c r="E512" s="8">
        <v>700</v>
      </c>
      <c r="F512" s="8">
        <v>15000</v>
      </c>
      <c r="G512" s="30">
        <f t="shared" si="485"/>
        <v>2400</v>
      </c>
      <c r="H512" s="8">
        <v>25000</v>
      </c>
      <c r="I512" s="30">
        <f t="shared" si="486"/>
        <v>5000</v>
      </c>
      <c r="J512" s="8">
        <v>25000</v>
      </c>
      <c r="K512" s="30">
        <f t="shared" si="487"/>
        <v>5000</v>
      </c>
      <c r="L512" s="8">
        <v>25000</v>
      </c>
      <c r="M512" s="9">
        <f>VLOOKUP(DATE(YEAR(A512),MONTH(A512),DAY(A512)),FY24_Temp[],4,FALSE)</f>
        <v>8.4</v>
      </c>
      <c r="N512" s="9">
        <f>VLOOKUP(DATE(YEAR(A512),MONTH(A512),DAY(A512)),FY24_Temp[],3,FALSE)</f>
        <v>12.8</v>
      </c>
      <c r="O512" s="9">
        <v>13.5</v>
      </c>
      <c r="P512" s="9">
        <v>19.5</v>
      </c>
      <c r="Q512" s="79">
        <f>VLOOKUP(VLOOKUP(DATEVALUE(TEXT(A512,"m/d/yyyy")),FY24_Temp[],5,FALSE)&amp;TEXT(A512,"-h"),Table6[],4,FALSE)</f>
        <v>2.3462857518877303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VLOOKUP(TEXT(A512,"yy-mm")&amp;"-"&amp;IF(AND(WEEKDAY(A512)&gt;1,WEEKDAY(A512)&lt;7),"Wkd",TEXT(A512,"Ddd"))&amp;"-"&amp;TEXT(A512,"hh"),LoadTable[],5,FALSE)*0.92</f>
        <v>279.25312000000002</v>
      </c>
      <c r="U512" s="104">
        <f>VLOOKUP(TEXT(A512,"yy-mm")&amp;"-"&amp;IF(AND(WEEKDAY(A512)&gt;1,WEEKDAY(A512)&lt;7),"Wkd",TEXT(A512,"Ddd"))&amp;"-"&amp;TEXT(A512,"hh"),LoadTable[],6,FALSE)*T512</f>
        <v>13828.33524928</v>
      </c>
      <c r="V512">
        <f t="shared" ref="V512:W512" si="524">V488</f>
        <v>2.9</v>
      </c>
      <c r="W512">
        <f t="shared" si="524"/>
        <v>3.1</v>
      </c>
      <c r="X512" s="9">
        <v>2.9660606</v>
      </c>
    </row>
    <row r="513" spans="1:24">
      <c r="A513" s="29">
        <f t="shared" si="460"/>
        <v>45857.249999998763</v>
      </c>
      <c r="B513" s="30">
        <f t="shared" si="484"/>
        <v>8000</v>
      </c>
      <c r="C513" s="8">
        <v>25000</v>
      </c>
      <c r="D513" s="8">
        <v>0</v>
      </c>
      <c r="E513" s="8">
        <v>700</v>
      </c>
      <c r="F513" s="8">
        <v>15000</v>
      </c>
      <c r="G513" s="30">
        <f t="shared" si="485"/>
        <v>2400</v>
      </c>
      <c r="H513" s="8">
        <v>25000</v>
      </c>
      <c r="I513" s="30">
        <f t="shared" si="486"/>
        <v>8000</v>
      </c>
      <c r="J513" s="8">
        <v>25000</v>
      </c>
      <c r="K513" s="30">
        <f t="shared" si="487"/>
        <v>8000</v>
      </c>
      <c r="L513" s="8">
        <v>25000</v>
      </c>
      <c r="M513" s="9">
        <f>VLOOKUP(DATE(YEAR(A513),MONTH(A513),DAY(A513)),FY24_Temp[],4,FALSE)</f>
        <v>8.4</v>
      </c>
      <c r="N513" s="9">
        <f>VLOOKUP(DATE(YEAR(A513),MONTH(A513),DAY(A513)),FY24_Temp[],3,FALSE)</f>
        <v>12.8</v>
      </c>
      <c r="O513" s="9">
        <v>13.5</v>
      </c>
      <c r="P513" s="9">
        <v>19.5</v>
      </c>
      <c r="Q513" s="79">
        <f>VLOOKUP(VLOOKUP(DATEVALUE(TEXT(A513,"m/d/yyyy")),FY24_Temp[],5,FALSE)&amp;TEXT(A513,"-h"),Table6[],4,FALSE)</f>
        <v>2.2328571251460483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VLOOKUP(TEXT(A513,"yy-mm")&amp;"-"&amp;IF(AND(WEEKDAY(A513)&gt;1,WEEKDAY(A513)&lt;7),"Wkd",TEXT(A513,"Ddd"))&amp;"-"&amp;TEXT(A513,"hh"),LoadTable[],5,FALSE)*0.92</f>
        <v>279.25312000000002</v>
      </c>
      <c r="U513" s="104">
        <f>VLOOKUP(TEXT(A513,"yy-mm")&amp;"-"&amp;IF(AND(WEEKDAY(A513)&gt;1,WEEKDAY(A513)&lt;7),"Wkd",TEXT(A513,"Ddd"))&amp;"-"&amp;TEXT(A513,"hh"),LoadTable[],6,FALSE)*T513</f>
        <v>21929.747513600003</v>
      </c>
      <c r="V513">
        <f t="shared" ref="V513:W513" si="525">V489</f>
        <v>2.5</v>
      </c>
      <c r="W513">
        <f t="shared" si="525"/>
        <v>3.1</v>
      </c>
      <c r="X513" s="9">
        <v>3.0844893</v>
      </c>
    </row>
    <row r="514" spans="1:24">
      <c r="A514" s="29">
        <f t="shared" si="460"/>
        <v>45857.291666665427</v>
      </c>
      <c r="B514" s="30">
        <f t="shared" si="484"/>
        <v>8000</v>
      </c>
      <c r="C514" s="8">
        <v>25000</v>
      </c>
      <c r="D514" s="8">
        <v>0</v>
      </c>
      <c r="E514" s="8">
        <v>700</v>
      </c>
      <c r="F514" s="8">
        <v>15000</v>
      </c>
      <c r="G514" s="30">
        <f t="shared" si="485"/>
        <v>2400</v>
      </c>
      <c r="H514" s="8">
        <v>25000</v>
      </c>
      <c r="I514" s="30">
        <f t="shared" si="486"/>
        <v>8000</v>
      </c>
      <c r="J514" s="8">
        <v>25000</v>
      </c>
      <c r="K514" s="30">
        <f t="shared" si="487"/>
        <v>8000</v>
      </c>
      <c r="L514" s="8">
        <v>25000</v>
      </c>
      <c r="M514" s="9">
        <f>VLOOKUP(DATE(YEAR(A514),MONTH(A514),DAY(A514)),FY24_Temp[],4,FALSE)</f>
        <v>8.4</v>
      </c>
      <c r="N514" s="9">
        <f>VLOOKUP(DATE(YEAR(A514),MONTH(A514),DAY(A514)),FY24_Temp[],3,FALSE)</f>
        <v>12.8</v>
      </c>
      <c r="O514" s="9">
        <v>13.5</v>
      </c>
      <c r="P514" s="9">
        <v>19.5</v>
      </c>
      <c r="Q514" s="79">
        <f>VLOOKUP(VLOOKUP(DATEVALUE(TEXT(A514,"m/d/yyyy")),FY24_Temp[],5,FALSE)&amp;TEXT(A514,"-h"),Table6[],4,FALSE)</f>
        <v>2.127857106072562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VLOOKUP(TEXT(A514,"yy-mm")&amp;"-"&amp;IF(AND(WEEKDAY(A514)&gt;1,WEEKDAY(A514)&lt;7),"Wkd",TEXT(A514,"Ddd"))&amp;"-"&amp;TEXT(A514,"hh"),LoadTable[],5,FALSE)*0.92</f>
        <v>279.25312000000002</v>
      </c>
      <c r="U514" s="104">
        <f>VLOOKUP(TEXT(A514,"yy-mm")&amp;"-"&amp;IF(AND(WEEKDAY(A514)&gt;1,WEEKDAY(A514)&lt;7),"Wkd",TEXT(A514,"Ddd"))&amp;"-"&amp;TEXT(A514,"hh"),LoadTable[],6,FALSE)*T514</f>
        <v>19925.827124480002</v>
      </c>
      <c r="V514">
        <f t="shared" ref="V514:W514" si="526">V490</f>
        <v>2.5</v>
      </c>
      <c r="W514">
        <f t="shared" si="526"/>
        <v>3.1</v>
      </c>
      <c r="X514" s="9">
        <v>3.2220724000000001</v>
      </c>
    </row>
    <row r="515" spans="1:24">
      <c r="A515" s="29">
        <f t="shared" si="460"/>
        <v>45857.333333332092</v>
      </c>
      <c r="B515" s="30">
        <f t="shared" si="484"/>
        <v>8000</v>
      </c>
      <c r="C515" s="8">
        <v>25000</v>
      </c>
      <c r="D515" s="8">
        <v>0</v>
      </c>
      <c r="E515" s="8">
        <v>700</v>
      </c>
      <c r="F515" s="8">
        <v>15000</v>
      </c>
      <c r="G515" s="30">
        <f t="shared" si="485"/>
        <v>2400</v>
      </c>
      <c r="H515" s="8">
        <v>25000</v>
      </c>
      <c r="I515" s="30">
        <f t="shared" si="486"/>
        <v>8000</v>
      </c>
      <c r="J515" s="8">
        <v>25000</v>
      </c>
      <c r="K515" s="30">
        <f t="shared" si="487"/>
        <v>8000</v>
      </c>
      <c r="L515" s="8">
        <v>25000</v>
      </c>
      <c r="M515" s="9">
        <f>VLOOKUP(DATE(YEAR(A515),MONTH(A515),DAY(A515)),FY24_Temp[],4,FALSE)</f>
        <v>8.4</v>
      </c>
      <c r="N515" s="9">
        <f>VLOOKUP(DATE(YEAR(A515),MONTH(A515),DAY(A515)),FY24_Temp[],3,FALSE)</f>
        <v>12.8</v>
      </c>
      <c r="O515" s="9">
        <v>13.5</v>
      </c>
      <c r="P515" s="9">
        <v>19.5</v>
      </c>
      <c r="Q515" s="79">
        <f>VLOOKUP(VLOOKUP(DATEVALUE(TEXT(A515,"m/d/yyyy")),FY24_Temp[],5,FALSE)&amp;TEXT(A515,"-h"),Table6[],4,FALSE)</f>
        <v>2.00528575692858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VLOOKUP(TEXT(A515,"yy-mm")&amp;"-"&amp;IF(AND(WEEKDAY(A515)&gt;1,WEEKDAY(A515)&lt;7),"Wkd",TEXT(A515,"Ddd"))&amp;"-"&amp;TEXT(A515,"hh"),LoadTable[],5,FALSE)*0.92</f>
        <v>279.25312000000002</v>
      </c>
      <c r="U515" s="104">
        <f>VLOOKUP(TEXT(A515,"yy-mm")&amp;"-"&amp;IF(AND(WEEKDAY(A515)&gt;1,WEEKDAY(A515)&lt;7),"Wkd",TEXT(A515,"Ddd"))&amp;"-"&amp;TEXT(A515,"hh"),LoadTable[],6,FALSE)*T515</f>
        <v>15771.37845824</v>
      </c>
      <c r="V515">
        <f t="shared" ref="V515:W515" si="527">V491</f>
        <v>3.2</v>
      </c>
      <c r="W515">
        <f t="shared" si="527"/>
        <v>3</v>
      </c>
      <c r="X515" s="9">
        <v>3.2723078999999999</v>
      </c>
    </row>
    <row r="516" spans="1:24">
      <c r="A516" s="29">
        <f t="shared" si="460"/>
        <v>45857.374999998756</v>
      </c>
      <c r="B516" s="30">
        <f t="shared" si="484"/>
        <v>8000</v>
      </c>
      <c r="C516" s="8">
        <v>25000</v>
      </c>
      <c r="D516" s="8">
        <v>0</v>
      </c>
      <c r="E516" s="8">
        <v>700</v>
      </c>
      <c r="F516" s="8">
        <v>15000</v>
      </c>
      <c r="G516" s="30">
        <f t="shared" si="485"/>
        <v>2400</v>
      </c>
      <c r="H516" s="8">
        <v>25000</v>
      </c>
      <c r="I516" s="30">
        <f t="shared" si="486"/>
        <v>8000</v>
      </c>
      <c r="J516" s="8">
        <v>25000</v>
      </c>
      <c r="K516" s="30">
        <f t="shared" si="487"/>
        <v>8000</v>
      </c>
      <c r="L516" s="8">
        <v>25000</v>
      </c>
      <c r="M516" s="9">
        <f>VLOOKUP(DATE(YEAR(A516),MONTH(A516),DAY(A516)),FY24_Temp[],4,FALSE)</f>
        <v>8.4</v>
      </c>
      <c r="N516" s="9">
        <f>VLOOKUP(DATE(YEAR(A516),MONTH(A516),DAY(A516)),FY24_Temp[],3,FALSE)</f>
        <v>12.8</v>
      </c>
      <c r="O516" s="9">
        <v>13.5</v>
      </c>
      <c r="P516" s="9">
        <v>19.5</v>
      </c>
      <c r="Q516" s="79">
        <f>VLOOKUP(VLOOKUP(DATEVALUE(TEXT(A516,"m/d/yyyy")),FY24_Temp[],5,FALSE)&amp;TEXT(A516,"-h"),Table6[],4,FALSE)</f>
        <v>1.90142856325422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VLOOKUP(TEXT(A516,"yy-mm")&amp;"-"&amp;IF(AND(WEEKDAY(A516)&gt;1,WEEKDAY(A516)&lt;7),"Wkd",TEXT(A516,"Ddd"))&amp;"-"&amp;TEXT(A516,"hh"),LoadTable[],5,FALSE)*0.92</f>
        <v>279.25312000000002</v>
      </c>
      <c r="U516" s="104">
        <f>VLOOKUP(TEXT(A516,"yy-mm")&amp;"-"&amp;IF(AND(WEEKDAY(A516)&gt;1,WEEKDAY(A516)&lt;7),"Wkd",TEXT(A516,"Ddd"))&amp;"-"&amp;TEXT(A516,"hh"),LoadTable[],6,FALSE)*T516</f>
        <v>13260.61365632</v>
      </c>
      <c r="V516">
        <f t="shared" ref="V516:W516" si="528">V492</f>
        <v>2.9</v>
      </c>
      <c r="W516">
        <f t="shared" si="528"/>
        <v>3</v>
      </c>
      <c r="X516" s="9">
        <v>3.3121296999999998</v>
      </c>
    </row>
    <row r="517" spans="1:24">
      <c r="A517" s="29">
        <f t="shared" ref="A517:A580" si="529">A516+TIME(1,0,0)</f>
        <v>45857.41666666542</v>
      </c>
      <c r="B517" s="30">
        <f t="shared" si="484"/>
        <v>8000</v>
      </c>
      <c r="C517" s="8">
        <v>25000</v>
      </c>
      <c r="D517" s="8">
        <v>0</v>
      </c>
      <c r="E517" s="8">
        <v>700</v>
      </c>
      <c r="F517" s="8">
        <v>15000</v>
      </c>
      <c r="G517" s="30">
        <f t="shared" si="485"/>
        <v>2400</v>
      </c>
      <c r="H517" s="8">
        <v>25000</v>
      </c>
      <c r="I517" s="30">
        <f t="shared" si="486"/>
        <v>8000</v>
      </c>
      <c r="J517" s="8">
        <v>25000</v>
      </c>
      <c r="K517" s="30">
        <f t="shared" si="487"/>
        <v>8000</v>
      </c>
      <c r="L517" s="8">
        <v>25000</v>
      </c>
      <c r="M517" s="9">
        <f>VLOOKUP(DATE(YEAR(A517),MONTH(A517),DAY(A517)),FY24_Temp[],4,FALSE)</f>
        <v>8.4</v>
      </c>
      <c r="N517" s="9">
        <f>VLOOKUP(DATE(YEAR(A517),MONTH(A517),DAY(A517)),FY24_Temp[],3,FALSE)</f>
        <v>12.8</v>
      </c>
      <c r="O517" s="9">
        <v>13.5</v>
      </c>
      <c r="P517" s="9">
        <v>19.5</v>
      </c>
      <c r="Q517" s="79">
        <f>VLOOKUP(VLOOKUP(DATEVALUE(TEXT(A517,"m/d/yyyy")),FY24_Temp[],5,FALSE)&amp;TEXT(A517,"-h"),Table6[],4,FALSE)</f>
        <v>1.8012857096535819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VLOOKUP(TEXT(A517,"yy-mm")&amp;"-"&amp;IF(AND(WEEKDAY(A517)&gt;1,WEEKDAY(A517)&lt;7),"Wkd",TEXT(A517,"Ddd"))&amp;"-"&amp;TEXT(A517,"hh"),LoadTable[],5,FALSE)*0.92</f>
        <v>279.25312000000002</v>
      </c>
      <c r="U517" s="104">
        <f>VLOOKUP(TEXT(A517,"yy-mm")&amp;"-"&amp;IF(AND(WEEKDAY(A517)&gt;1,WEEKDAY(A517)&lt;7),"Wkd",TEXT(A517,"Ddd"))&amp;"-"&amp;TEXT(A517,"hh"),LoadTable[],6,FALSE)*T517</f>
        <v>12908.475472000002</v>
      </c>
      <c r="V517">
        <f t="shared" ref="V517:W517" si="530">V493</f>
        <v>2.9</v>
      </c>
      <c r="W517">
        <f t="shared" si="530"/>
        <v>3</v>
      </c>
      <c r="X517" s="9">
        <v>3.3689580000000001</v>
      </c>
    </row>
    <row r="518" spans="1:24">
      <c r="A518" s="29">
        <f t="shared" si="529"/>
        <v>45857.458333332084</v>
      </c>
      <c r="B518" s="30">
        <f t="shared" si="484"/>
        <v>8000</v>
      </c>
      <c r="C518" s="8">
        <v>25000</v>
      </c>
      <c r="D518" s="8">
        <v>0</v>
      </c>
      <c r="E518" s="8">
        <v>700</v>
      </c>
      <c r="F518" s="8">
        <v>15000</v>
      </c>
      <c r="G518" s="30">
        <f t="shared" si="485"/>
        <v>2400</v>
      </c>
      <c r="H518" s="8">
        <v>25000</v>
      </c>
      <c r="I518" s="30">
        <f t="shared" si="486"/>
        <v>8000</v>
      </c>
      <c r="J518" s="8">
        <v>25000</v>
      </c>
      <c r="K518" s="30">
        <f t="shared" si="487"/>
        <v>8000</v>
      </c>
      <c r="L518" s="8">
        <v>25000</v>
      </c>
      <c r="M518" s="9">
        <f>VLOOKUP(DATE(YEAR(A518),MONTH(A518),DAY(A518)),FY24_Temp[],4,FALSE)</f>
        <v>8.4</v>
      </c>
      <c r="N518" s="9">
        <f>VLOOKUP(DATE(YEAR(A518),MONTH(A518),DAY(A518)),FY24_Temp[],3,FALSE)</f>
        <v>12.8</v>
      </c>
      <c r="O518" s="9">
        <v>13.5</v>
      </c>
      <c r="P518" s="9">
        <v>19.5</v>
      </c>
      <c r="Q518" s="79">
        <f>VLOOKUP(VLOOKUP(DATEVALUE(TEXT(A518,"m/d/yyyy")),FY24_Temp[],5,FALSE)&amp;TEXT(A518,"-h"),Table6[],4,FALSE)</f>
        <v>1.6742857013429915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VLOOKUP(TEXT(A518,"yy-mm")&amp;"-"&amp;IF(AND(WEEKDAY(A518)&gt;1,WEEKDAY(A518)&lt;7),"Wkd",TEXT(A518,"Ddd"))&amp;"-"&amp;TEXT(A518,"hh"),LoadTable[],5,FALSE)*0.92</f>
        <v>279.25312000000002</v>
      </c>
      <c r="U518" s="104">
        <f>VLOOKUP(TEXT(A518,"yy-mm")&amp;"-"&amp;IF(AND(WEEKDAY(A518)&gt;1,WEEKDAY(A518)&lt;7),"Wkd",TEXT(A518,"Ddd"))&amp;"-"&amp;TEXT(A518,"hh"),LoadTable[],6,FALSE)*T518</f>
        <v>12893.395803520001</v>
      </c>
      <c r="V518">
        <f t="shared" ref="V518:W518" si="531">V494</f>
        <v>3.4</v>
      </c>
      <c r="W518">
        <f t="shared" si="531"/>
        <v>3</v>
      </c>
      <c r="X518" s="9">
        <v>3.3216116000000002</v>
      </c>
    </row>
    <row r="519" spans="1:24">
      <c r="A519" s="29">
        <f t="shared" si="529"/>
        <v>45857.499999998749</v>
      </c>
      <c r="B519" s="30">
        <f t="shared" si="484"/>
        <v>8000</v>
      </c>
      <c r="C519" s="8">
        <v>25000</v>
      </c>
      <c r="D519" s="8">
        <v>0</v>
      </c>
      <c r="E519" s="8">
        <v>700</v>
      </c>
      <c r="F519" s="8">
        <v>15000</v>
      </c>
      <c r="G519" s="30">
        <f t="shared" si="485"/>
        <v>2400</v>
      </c>
      <c r="H519" s="8">
        <v>25000</v>
      </c>
      <c r="I519" s="30">
        <f t="shared" si="486"/>
        <v>8000</v>
      </c>
      <c r="J519" s="8">
        <v>25000</v>
      </c>
      <c r="K519" s="30">
        <f t="shared" si="487"/>
        <v>8000</v>
      </c>
      <c r="L519" s="8">
        <v>25000</v>
      </c>
      <c r="M519" s="9">
        <f>VLOOKUP(DATE(YEAR(A519),MONTH(A519),DAY(A519)),FY24_Temp[],4,FALSE)</f>
        <v>8.4</v>
      </c>
      <c r="N519" s="9">
        <f>VLOOKUP(DATE(YEAR(A519),MONTH(A519),DAY(A519)),FY24_Temp[],3,FALSE)</f>
        <v>12.8</v>
      </c>
      <c r="O519" s="9">
        <v>13.5</v>
      </c>
      <c r="P519" s="9">
        <v>19.5</v>
      </c>
      <c r="Q519" s="79">
        <f>VLOOKUP(VLOOKUP(DATEVALUE(TEXT(A519,"m/d/yyyy")),FY24_Temp[],5,FALSE)&amp;TEXT(A519,"-h"),Table6[],4,FALSE)</f>
        <v>1.5174285684313094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VLOOKUP(TEXT(A519,"yy-mm")&amp;"-"&amp;IF(AND(WEEKDAY(A519)&gt;1,WEEKDAY(A519)&lt;7),"Wkd",TEXT(A519,"Ddd"))&amp;"-"&amp;TEXT(A519,"hh"),LoadTable[],5,FALSE)*0.92</f>
        <v>279.25312000000002</v>
      </c>
      <c r="U519" s="104">
        <f>VLOOKUP(TEXT(A519,"yy-mm")&amp;"-"&amp;IF(AND(WEEKDAY(A519)&gt;1,WEEKDAY(A519)&lt;7),"Wkd",TEXT(A519,"Ddd"))&amp;"-"&amp;TEXT(A519,"hh"),LoadTable[],6,FALSE)*T519</f>
        <v>12888.648500480002</v>
      </c>
      <c r="V519">
        <f t="shared" ref="V519:W519" si="532">V495</f>
        <v>3.1</v>
      </c>
      <c r="W519">
        <f t="shared" si="532"/>
        <v>2.9</v>
      </c>
      <c r="X519" s="9">
        <v>3.1836430999999998</v>
      </c>
    </row>
    <row r="520" spans="1:24">
      <c r="A520" s="29">
        <f t="shared" si="529"/>
        <v>45857.541666665413</v>
      </c>
      <c r="B520" s="30">
        <f t="shared" si="484"/>
        <v>8000</v>
      </c>
      <c r="C520" s="8">
        <v>25000</v>
      </c>
      <c r="D520" s="8">
        <v>0</v>
      </c>
      <c r="E520" s="8">
        <v>700</v>
      </c>
      <c r="F520" s="8">
        <v>15000</v>
      </c>
      <c r="G520" s="30">
        <f t="shared" si="485"/>
        <v>2400</v>
      </c>
      <c r="H520" s="8">
        <v>25000</v>
      </c>
      <c r="I520" s="30">
        <f t="shared" si="486"/>
        <v>8000</v>
      </c>
      <c r="J520" s="8">
        <v>25000</v>
      </c>
      <c r="K520" s="30">
        <f t="shared" si="487"/>
        <v>8000</v>
      </c>
      <c r="L520" s="8">
        <v>25000</v>
      </c>
      <c r="M520" s="9">
        <f>VLOOKUP(DATE(YEAR(A520),MONTH(A520),DAY(A520)),FY24_Temp[],4,FALSE)</f>
        <v>8.4</v>
      </c>
      <c r="N520" s="9">
        <f>VLOOKUP(DATE(YEAR(A520),MONTH(A520),DAY(A520)),FY24_Temp[],3,FALSE)</f>
        <v>12.8</v>
      </c>
      <c r="O520" s="9">
        <v>13.5</v>
      </c>
      <c r="P520" s="9">
        <v>19.5</v>
      </c>
      <c r="Q520" s="79">
        <f>VLOOKUP(VLOOKUP(DATEVALUE(TEXT(A520,"m/d/yyyy")),FY24_Temp[],5,FALSE)&amp;TEXT(A520,"-h"),Table6[],4,FALSE)</f>
        <v>1.3370000123977661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VLOOKUP(TEXT(A520,"yy-mm")&amp;"-"&amp;IF(AND(WEEKDAY(A520)&gt;1,WEEKDAY(A520)&lt;7),"Wkd",TEXT(A520,"Ddd"))&amp;"-"&amp;TEXT(A520,"hh"),LoadTable[],5,FALSE)*0.92</f>
        <v>279.25312000000002</v>
      </c>
      <c r="U520" s="104">
        <f>VLOOKUP(TEXT(A520,"yy-mm")&amp;"-"&amp;IF(AND(WEEKDAY(A520)&gt;1,WEEKDAY(A520)&lt;7),"Wkd",TEXT(A520,"Ddd"))&amp;"-"&amp;TEXT(A520,"hh"),LoadTable[],6,FALSE)*T520</f>
        <v>12892.837297280001</v>
      </c>
      <c r="V520">
        <f t="shared" ref="V520:W520" si="533">V496</f>
        <v>3.2</v>
      </c>
      <c r="W520">
        <f t="shared" si="533"/>
        <v>2.9</v>
      </c>
      <c r="X520" s="9">
        <v>3.0148758999999998</v>
      </c>
    </row>
    <row r="521" spans="1:24">
      <c r="A521" s="29">
        <f t="shared" si="529"/>
        <v>45857.583333332077</v>
      </c>
      <c r="B521" s="30">
        <f t="shared" si="484"/>
        <v>8000</v>
      </c>
      <c r="C521" s="8">
        <v>25000</v>
      </c>
      <c r="D521" s="8">
        <v>0</v>
      </c>
      <c r="E521" s="8">
        <v>700</v>
      </c>
      <c r="F521" s="8">
        <v>15000</v>
      </c>
      <c r="G521" s="30">
        <f t="shared" si="485"/>
        <v>2400</v>
      </c>
      <c r="H521" s="8">
        <v>25000</v>
      </c>
      <c r="I521" s="30">
        <f t="shared" si="486"/>
        <v>8000</v>
      </c>
      <c r="J521" s="8">
        <v>25000</v>
      </c>
      <c r="K521" s="30">
        <f t="shared" si="487"/>
        <v>8000</v>
      </c>
      <c r="L521" s="8">
        <v>25000</v>
      </c>
      <c r="M521" s="9">
        <f>VLOOKUP(DATE(YEAR(A521),MONTH(A521),DAY(A521)),FY24_Temp[],4,FALSE)</f>
        <v>8.4</v>
      </c>
      <c r="N521" s="9">
        <f>VLOOKUP(DATE(YEAR(A521),MONTH(A521),DAY(A521)),FY24_Temp[],3,FALSE)</f>
        <v>12.8</v>
      </c>
      <c r="O521" s="9">
        <v>13.5</v>
      </c>
      <c r="P521" s="9">
        <v>19.5</v>
      </c>
      <c r="Q521" s="79">
        <f>VLOOKUP(VLOOKUP(DATEVALUE(TEXT(A521,"m/d/yyyy")),FY24_Temp[],5,FALSE)&amp;TEXT(A521,"-h"),Table6[],4,FALSE)</f>
        <v>1.1481428657259261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VLOOKUP(TEXT(A521,"yy-mm")&amp;"-"&amp;IF(AND(WEEKDAY(A521)&gt;1,WEEKDAY(A521)&lt;7),"Wkd",TEXT(A521,"Ddd"))&amp;"-"&amp;TEXT(A521,"hh"),LoadTable[],5,FALSE)*0.92</f>
        <v>279.25312000000002</v>
      </c>
      <c r="U521" s="104">
        <f>VLOOKUP(TEXT(A521,"yy-mm")&amp;"-"&amp;IF(AND(WEEKDAY(A521)&gt;1,WEEKDAY(A521)&lt;7),"Wkd",TEXT(A521,"Ddd"))&amp;"-"&amp;TEXT(A521,"hh"),LoadTable[],6,FALSE)*T521</f>
        <v>12904.007422080002</v>
      </c>
      <c r="V521">
        <f t="shared" ref="V521:W521" si="534">V497</f>
        <v>3.5</v>
      </c>
      <c r="W521">
        <f t="shared" si="534"/>
        <v>2.9</v>
      </c>
      <c r="X521" s="9">
        <v>2.9732566</v>
      </c>
    </row>
    <row r="522" spans="1:24">
      <c r="A522" s="29">
        <f t="shared" si="529"/>
        <v>45857.624999998741</v>
      </c>
      <c r="B522" s="30">
        <f t="shared" si="484"/>
        <v>8000</v>
      </c>
      <c r="C522" s="8">
        <v>25000</v>
      </c>
      <c r="D522" s="8">
        <v>0</v>
      </c>
      <c r="E522" s="8">
        <v>700</v>
      </c>
      <c r="F522" s="8">
        <v>15000</v>
      </c>
      <c r="G522" s="30">
        <f t="shared" si="485"/>
        <v>2400</v>
      </c>
      <c r="H522" s="8">
        <v>25000</v>
      </c>
      <c r="I522" s="30">
        <f t="shared" si="486"/>
        <v>8000</v>
      </c>
      <c r="J522" s="8">
        <v>25000</v>
      </c>
      <c r="K522" s="30">
        <f t="shared" si="487"/>
        <v>8000</v>
      </c>
      <c r="L522" s="8">
        <v>25000</v>
      </c>
      <c r="M522" s="9">
        <f>VLOOKUP(DATE(YEAR(A522),MONTH(A522),DAY(A522)),FY24_Temp[],4,FALSE)</f>
        <v>8.4</v>
      </c>
      <c r="N522" s="9">
        <f>VLOOKUP(DATE(YEAR(A522),MONTH(A522),DAY(A522)),FY24_Temp[],3,FALSE)</f>
        <v>12.8</v>
      </c>
      <c r="O522" s="9">
        <v>13.5</v>
      </c>
      <c r="P522" s="9">
        <v>19.5</v>
      </c>
      <c r="Q522" s="79">
        <f>VLOOKUP(VLOOKUP(DATEVALUE(TEXT(A522,"m/d/yyyy")),FY24_Temp[],5,FALSE)&amp;TEXT(A522,"-h"),Table6[],4,FALSE)</f>
        <v>0.98957143511090961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VLOOKUP(TEXT(A522,"yy-mm")&amp;"-"&amp;IF(AND(WEEKDAY(A522)&gt;1,WEEKDAY(A522)&lt;7),"Wkd",TEXT(A522,"Ddd"))&amp;"-"&amp;TEXT(A522,"hh"),LoadTable[],5,FALSE)*0.92</f>
        <v>400.56064000000003</v>
      </c>
      <c r="U522" s="104">
        <f>VLOOKUP(TEXT(A522,"yy-mm")&amp;"-"&amp;IF(AND(WEEKDAY(A522)&gt;1,WEEKDAY(A522)&lt;7),"Wkd",TEXT(A522,"Ddd"))&amp;"-"&amp;TEXT(A522,"hh"),LoadTable[],6,FALSE)*T522</f>
        <v>19679.143682559999</v>
      </c>
      <c r="V522">
        <f t="shared" ref="V522:W522" si="535">V498</f>
        <v>3.2</v>
      </c>
      <c r="W522">
        <f t="shared" si="535"/>
        <v>2.9</v>
      </c>
      <c r="X522" s="9">
        <v>3.2984241999999999</v>
      </c>
    </row>
    <row r="523" spans="1:24">
      <c r="A523" s="29">
        <f t="shared" si="529"/>
        <v>45857.666666665406</v>
      </c>
      <c r="B523" s="30">
        <f t="shared" si="484"/>
        <v>8000</v>
      </c>
      <c r="C523" s="8">
        <v>25000</v>
      </c>
      <c r="D523" s="8">
        <v>0</v>
      </c>
      <c r="E523" s="8">
        <v>700</v>
      </c>
      <c r="F523" s="8">
        <v>15000</v>
      </c>
      <c r="G523" s="30">
        <f t="shared" si="485"/>
        <v>2400</v>
      </c>
      <c r="H523" s="8">
        <v>25000</v>
      </c>
      <c r="I523" s="30">
        <f t="shared" si="486"/>
        <v>8000</v>
      </c>
      <c r="J523" s="8">
        <v>25000</v>
      </c>
      <c r="K523" s="30">
        <f t="shared" si="487"/>
        <v>8000</v>
      </c>
      <c r="L523" s="8">
        <v>25000</v>
      </c>
      <c r="M523" s="9">
        <f>VLOOKUP(DATE(YEAR(A523),MONTH(A523),DAY(A523)),FY24_Temp[],4,FALSE)</f>
        <v>8.4</v>
      </c>
      <c r="N523" s="9">
        <f>VLOOKUP(DATE(YEAR(A523),MONTH(A523),DAY(A523)),FY24_Temp[],3,FALSE)</f>
        <v>12.8</v>
      </c>
      <c r="O523" s="9">
        <v>13.5</v>
      </c>
      <c r="P523" s="9">
        <v>19.5</v>
      </c>
      <c r="Q523" s="79">
        <f>VLOOKUP(VLOOKUP(DATEVALUE(TEXT(A523,"m/d/yyyy")),FY24_Temp[],5,FALSE)&amp;TEXT(A523,"-h"),Table6[],4,FALSE)</f>
        <v>0.95228569848196842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VLOOKUP(TEXT(A523,"yy-mm")&amp;"-"&amp;IF(AND(WEEKDAY(A523)&gt;1,WEEKDAY(A523)&lt;7),"Wkd",TEXT(A523,"Ddd"))&amp;"-"&amp;TEXT(A523,"hh"),LoadTable[],5,FALSE)*0.92</f>
        <v>447.97376000000003</v>
      </c>
      <c r="U523" s="104">
        <f>VLOOKUP(TEXT(A523,"yy-mm")&amp;"-"&amp;IF(AND(WEEKDAY(A523)&gt;1,WEEKDAY(A523)&lt;7),"Wkd",TEXT(A523,"Ddd"))&amp;"-"&amp;TEXT(A523,"hh"),LoadTable[],6,FALSE)*T523</f>
        <v>28334.788293760001</v>
      </c>
      <c r="V523">
        <f t="shared" ref="V523:W523" si="536">V499</f>
        <v>3.5</v>
      </c>
      <c r="W523">
        <f t="shared" si="536"/>
        <v>3</v>
      </c>
      <c r="X523" s="9">
        <v>3.2315499999999999</v>
      </c>
    </row>
    <row r="524" spans="1:24">
      <c r="A524" s="29">
        <f t="shared" si="529"/>
        <v>45857.70833333207</v>
      </c>
      <c r="B524" s="30">
        <f t="shared" si="484"/>
        <v>8000</v>
      </c>
      <c r="C524" s="8">
        <v>25000</v>
      </c>
      <c r="D524" s="8">
        <v>0</v>
      </c>
      <c r="E524" s="8">
        <v>700</v>
      </c>
      <c r="F524" s="8">
        <v>15000</v>
      </c>
      <c r="G524" s="30">
        <f t="shared" si="485"/>
        <v>2400</v>
      </c>
      <c r="H524" s="8">
        <v>25000</v>
      </c>
      <c r="I524" s="30">
        <f t="shared" si="486"/>
        <v>8000</v>
      </c>
      <c r="J524" s="8">
        <v>25000</v>
      </c>
      <c r="K524" s="30">
        <f t="shared" si="487"/>
        <v>8000</v>
      </c>
      <c r="L524" s="8">
        <v>25000</v>
      </c>
      <c r="M524" s="9">
        <f>VLOOKUP(DATE(YEAR(A524),MONTH(A524),DAY(A524)),FY24_Temp[],4,FALSE)</f>
        <v>8.4</v>
      </c>
      <c r="N524" s="9">
        <f>VLOOKUP(DATE(YEAR(A524),MONTH(A524),DAY(A524)),FY24_Temp[],3,FALSE)</f>
        <v>12.8</v>
      </c>
      <c r="O524" s="9">
        <v>13.5</v>
      </c>
      <c r="P524" s="9">
        <v>19.5</v>
      </c>
      <c r="Q524" s="79">
        <f>VLOOKUP(VLOOKUP(DATEVALUE(TEXT(A524,"m/d/yyyy")),FY24_Temp[],5,FALSE)&amp;TEXT(A524,"-h"),Table6[],4,FALSE)</f>
        <v>1.1852857215063912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VLOOKUP(TEXT(A524,"yy-mm")&amp;"-"&amp;IF(AND(WEEKDAY(A524)&gt;1,WEEKDAY(A524)&lt;7),"Wkd",TEXT(A524,"Ddd"))&amp;"-"&amp;TEXT(A524,"hh"),LoadTable[],5,FALSE)*0.92</f>
        <v>494.57360000000006</v>
      </c>
      <c r="U524" s="104">
        <f>VLOOKUP(TEXT(A524,"yy-mm")&amp;"-"&amp;IF(AND(WEEKDAY(A524)&gt;1,WEEKDAY(A524)&lt;7),"Wkd",TEXT(A524,"Ddd"))&amp;"-"&amp;TEXT(A524,"hh"),LoadTable[],6,FALSE)*T524</f>
        <v>41619.852160800008</v>
      </c>
      <c r="V524">
        <f t="shared" ref="V524:W524" si="537">V500</f>
        <v>3.6</v>
      </c>
      <c r="W524">
        <f t="shared" si="537"/>
        <v>3</v>
      </c>
      <c r="X524" s="9">
        <v>3.1511233000000001</v>
      </c>
    </row>
    <row r="525" spans="1:24">
      <c r="A525" s="29">
        <f t="shared" si="529"/>
        <v>45857.749999998734</v>
      </c>
      <c r="B525" s="30">
        <f t="shared" si="484"/>
        <v>5000</v>
      </c>
      <c r="C525" s="8">
        <v>25000</v>
      </c>
      <c r="D525" s="8">
        <v>0</v>
      </c>
      <c r="E525" s="8">
        <v>700</v>
      </c>
      <c r="F525" s="8">
        <v>15000</v>
      </c>
      <c r="G525" s="30">
        <f t="shared" si="485"/>
        <v>2400</v>
      </c>
      <c r="H525" s="8">
        <v>25000</v>
      </c>
      <c r="I525" s="30">
        <f t="shared" si="486"/>
        <v>5000</v>
      </c>
      <c r="J525" s="8">
        <v>25000</v>
      </c>
      <c r="K525" s="30">
        <f t="shared" si="487"/>
        <v>5000</v>
      </c>
      <c r="L525" s="8">
        <v>25000</v>
      </c>
      <c r="M525" s="9">
        <f>VLOOKUP(DATE(YEAR(A525),MONTH(A525),DAY(A525)),FY24_Temp[],4,FALSE)</f>
        <v>8.4</v>
      </c>
      <c r="N525" s="9">
        <f>VLOOKUP(DATE(YEAR(A525),MONTH(A525),DAY(A525)),FY24_Temp[],3,FALSE)</f>
        <v>12.8</v>
      </c>
      <c r="O525" s="9">
        <v>13.5</v>
      </c>
      <c r="P525" s="9">
        <v>19.5</v>
      </c>
      <c r="Q525" s="79">
        <f>VLOOKUP(VLOOKUP(DATEVALUE(TEXT(A525,"m/d/yyyy")),FY24_Temp[],5,FALSE)&amp;TEXT(A525,"-h"),Table6[],4,FALSE)</f>
        <v>1.5737142562866211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VLOOKUP(TEXT(A525,"yy-mm")&amp;"-"&amp;IF(AND(WEEKDAY(A525)&gt;1,WEEKDAY(A525)&lt;7),"Wkd",TEXT(A525,"Ddd"))&amp;"-"&amp;TEXT(A525,"hh"),LoadTable[],5,FALSE)*0.92</f>
        <v>494.57360000000006</v>
      </c>
      <c r="U525" s="104">
        <f>VLOOKUP(TEXT(A525,"yy-mm")&amp;"-"&amp;IF(AND(WEEKDAY(A525)&gt;1,WEEKDAY(A525)&lt;7),"Wkd",TEXT(A525,"Ddd"))&amp;"-"&amp;TEXT(A525,"hh"),LoadTable[],6,FALSE)*T525</f>
        <v>52802.655830400006</v>
      </c>
      <c r="V525">
        <f t="shared" ref="V525:W525" si="538">V501</f>
        <v>2.9</v>
      </c>
      <c r="W525">
        <f t="shared" si="538"/>
        <v>3</v>
      </c>
      <c r="X525" s="9">
        <v>3.1322350999999999</v>
      </c>
    </row>
    <row r="526" spans="1:24">
      <c r="A526" s="29">
        <f t="shared" si="529"/>
        <v>45857.791666665398</v>
      </c>
      <c r="B526" s="30">
        <f t="shared" si="484"/>
        <v>5000</v>
      </c>
      <c r="C526" s="8">
        <v>25000</v>
      </c>
      <c r="D526" s="8">
        <v>0</v>
      </c>
      <c r="E526" s="8">
        <v>700</v>
      </c>
      <c r="F526" s="8">
        <v>15000</v>
      </c>
      <c r="G526" s="30">
        <f t="shared" si="485"/>
        <v>2400</v>
      </c>
      <c r="H526" s="8">
        <v>25000</v>
      </c>
      <c r="I526" s="30">
        <f t="shared" si="486"/>
        <v>5000</v>
      </c>
      <c r="J526" s="8">
        <v>25000</v>
      </c>
      <c r="K526" s="30">
        <f t="shared" si="487"/>
        <v>5000</v>
      </c>
      <c r="L526" s="8">
        <v>25000</v>
      </c>
      <c r="M526" s="9">
        <f>VLOOKUP(DATE(YEAR(A526),MONTH(A526),DAY(A526)),FY24_Temp[],4,FALSE)</f>
        <v>8.4</v>
      </c>
      <c r="N526" s="9">
        <f>VLOOKUP(DATE(YEAR(A526),MONTH(A526),DAY(A526)),FY24_Temp[],3,FALSE)</f>
        <v>12.8</v>
      </c>
      <c r="O526" s="9">
        <v>13.5</v>
      </c>
      <c r="P526" s="9">
        <v>19.5</v>
      </c>
      <c r="Q526" s="79">
        <f>VLOOKUP(VLOOKUP(DATEVALUE(TEXT(A526,"m/d/yyyy")),FY24_Temp[],5,FALSE)&amp;TEXT(A526,"-h"),Table6[],4,FALSE)</f>
        <v>2.4347143173217773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VLOOKUP(TEXT(A526,"yy-mm")&amp;"-"&amp;IF(AND(WEEKDAY(A526)&gt;1,WEEKDAY(A526)&lt;7),"Wkd",TEXT(A526,"Ddd"))&amp;"-"&amp;TEXT(A526,"hh"),LoadTable[],5,FALSE)*0.92</f>
        <v>494.57360000000006</v>
      </c>
      <c r="U526" s="104">
        <f>VLOOKUP(TEXT(A526,"yy-mm")&amp;"-"&amp;IF(AND(WEEKDAY(A526)&gt;1,WEEKDAY(A526)&lt;7),"Wkd",TEXT(A526,"Ddd"))&amp;"-"&amp;TEXT(A526,"hh"),LoadTable[],6,FALSE)*T526</f>
        <v>56766.168660800009</v>
      </c>
      <c r="V526">
        <f t="shared" ref="V526:W526" si="539">V502</f>
        <v>3</v>
      </c>
      <c r="W526">
        <f t="shared" si="539"/>
        <v>3</v>
      </c>
      <c r="X526" s="9">
        <v>3.1002128</v>
      </c>
    </row>
    <row r="527" spans="1:24">
      <c r="A527" s="29">
        <f t="shared" si="529"/>
        <v>45857.833333332062</v>
      </c>
      <c r="B527" s="30">
        <f t="shared" si="484"/>
        <v>5000</v>
      </c>
      <c r="C527" s="8">
        <v>25000</v>
      </c>
      <c r="D527" s="8">
        <v>0</v>
      </c>
      <c r="E527" s="8">
        <v>700</v>
      </c>
      <c r="F527" s="8">
        <v>15000</v>
      </c>
      <c r="G527" s="30">
        <f t="shared" si="485"/>
        <v>2400</v>
      </c>
      <c r="H527" s="8">
        <v>25000</v>
      </c>
      <c r="I527" s="30">
        <f t="shared" si="486"/>
        <v>5000</v>
      </c>
      <c r="J527" s="8">
        <v>25000</v>
      </c>
      <c r="K527" s="30">
        <f t="shared" si="487"/>
        <v>5000</v>
      </c>
      <c r="L527" s="8">
        <v>25000</v>
      </c>
      <c r="M527" s="9">
        <f>VLOOKUP(DATE(YEAR(A527),MONTH(A527),DAY(A527)),FY24_Temp[],4,FALSE)</f>
        <v>8.4</v>
      </c>
      <c r="N527" s="9">
        <f>VLOOKUP(DATE(YEAR(A527),MONTH(A527),DAY(A527)),FY24_Temp[],3,FALSE)</f>
        <v>12.8</v>
      </c>
      <c r="O527" s="9">
        <v>13.5</v>
      </c>
      <c r="P527" s="9">
        <v>19.5</v>
      </c>
      <c r="Q527" s="79">
        <f>VLOOKUP(VLOOKUP(DATEVALUE(TEXT(A527,"m/d/yyyy")),FY24_Temp[],5,FALSE)&amp;TEXT(A527,"-h"),Table6[],4,FALSE)</f>
        <v>3.1158571583884105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VLOOKUP(TEXT(A527,"yy-mm")&amp;"-"&amp;IF(AND(WEEKDAY(A527)&gt;1,WEEKDAY(A527)&lt;7),"Wkd",TEXT(A527,"Ddd"))&amp;"-"&amp;TEXT(A527,"hh"),LoadTable[],5,FALSE)*0.92</f>
        <v>494.57360000000006</v>
      </c>
      <c r="U527" s="104">
        <f>VLOOKUP(TEXT(A527,"yy-mm")&amp;"-"&amp;IF(AND(WEEKDAY(A527)&gt;1,WEEKDAY(A527)&lt;7),"Wkd",TEXT(A527,"Ddd"))&amp;"-"&amp;TEXT(A527,"hh"),LoadTable[],6,FALSE)*T527</f>
        <v>58951.194825600003</v>
      </c>
      <c r="V527">
        <f t="shared" ref="V527:W527" si="540">V503</f>
        <v>2.8</v>
      </c>
      <c r="W527">
        <f t="shared" si="540"/>
        <v>3.1</v>
      </c>
      <c r="X527" s="9">
        <v>3.0641251</v>
      </c>
    </row>
    <row r="528" spans="1:24">
      <c r="A528" s="29">
        <f t="shared" si="529"/>
        <v>45857.874999998727</v>
      </c>
      <c r="B528" s="30">
        <f t="shared" si="484"/>
        <v>5000</v>
      </c>
      <c r="C528" s="8">
        <v>25000</v>
      </c>
      <c r="D528" s="8">
        <v>0</v>
      </c>
      <c r="E528" s="8">
        <v>700</v>
      </c>
      <c r="F528" s="8">
        <v>15000</v>
      </c>
      <c r="G528" s="30">
        <f t="shared" si="485"/>
        <v>2400</v>
      </c>
      <c r="H528" s="8">
        <v>25000</v>
      </c>
      <c r="I528" s="30">
        <f t="shared" si="486"/>
        <v>5000</v>
      </c>
      <c r="J528" s="8">
        <v>25000</v>
      </c>
      <c r="K528" s="30">
        <f t="shared" si="487"/>
        <v>5000</v>
      </c>
      <c r="L528" s="8">
        <v>25000</v>
      </c>
      <c r="M528" s="9">
        <f>VLOOKUP(DATE(YEAR(A528),MONTH(A528),DAY(A528)),FY24_Temp[],4,FALSE)</f>
        <v>8.4</v>
      </c>
      <c r="N528" s="9">
        <f>VLOOKUP(DATE(YEAR(A528),MONTH(A528),DAY(A528)),FY24_Temp[],3,FALSE)</f>
        <v>12.8</v>
      </c>
      <c r="O528" s="9">
        <v>13.5</v>
      </c>
      <c r="P528" s="9">
        <v>19.5</v>
      </c>
      <c r="Q528" s="79">
        <f>VLOOKUP(VLOOKUP(DATEVALUE(TEXT(A528,"m/d/yyyy")),FY24_Temp[],5,FALSE)&amp;TEXT(A528,"-h"),Table6[],4,FALSE)</f>
        <v>3.3202857630593434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VLOOKUP(TEXT(A528,"yy-mm")&amp;"-"&amp;IF(AND(WEEKDAY(A528)&gt;1,WEEKDAY(A528)&lt;7),"Wkd",TEXT(A528,"Ddd"))&amp;"-"&amp;TEXT(A528,"hh"),LoadTable[],5,FALSE)*0.92</f>
        <v>494.57360000000006</v>
      </c>
      <c r="U528" s="104">
        <f>VLOOKUP(TEXT(A528,"yy-mm")&amp;"-"&amp;IF(AND(WEEKDAY(A528)&gt;1,WEEKDAY(A528)&lt;7),"Wkd",TEXT(A528,"Ddd"))&amp;"-"&amp;TEXT(A528,"hh"),LoadTable[],6,FALSE)*T528</f>
        <v>55655.850928800006</v>
      </c>
      <c r="V528">
        <f t="shared" ref="V528:W528" si="541">V504</f>
        <v>3.5</v>
      </c>
      <c r="W528">
        <f t="shared" si="541"/>
        <v>3.1</v>
      </c>
      <c r="X528" s="9">
        <v>3.0357854</v>
      </c>
    </row>
    <row r="529" spans="1:24">
      <c r="A529" s="29">
        <f t="shared" si="529"/>
        <v>45857.916666665391</v>
      </c>
      <c r="B529" s="30">
        <f t="shared" si="484"/>
        <v>5000</v>
      </c>
      <c r="C529" s="8">
        <v>25000</v>
      </c>
      <c r="D529" s="8">
        <v>0</v>
      </c>
      <c r="E529" s="8">
        <v>700</v>
      </c>
      <c r="F529" s="8">
        <v>15000</v>
      </c>
      <c r="G529" s="30">
        <f t="shared" si="485"/>
        <v>2400</v>
      </c>
      <c r="H529" s="8">
        <v>25000</v>
      </c>
      <c r="I529" s="30">
        <f t="shared" si="486"/>
        <v>5000</v>
      </c>
      <c r="J529" s="8">
        <v>25000</v>
      </c>
      <c r="K529" s="30">
        <f t="shared" si="487"/>
        <v>5000</v>
      </c>
      <c r="L529" s="8">
        <v>25000</v>
      </c>
      <c r="M529" s="9">
        <f>VLOOKUP(DATE(YEAR(A529),MONTH(A529),DAY(A529)),FY24_Temp[],4,FALSE)</f>
        <v>8.4</v>
      </c>
      <c r="N529" s="9">
        <f>VLOOKUP(DATE(YEAR(A529),MONTH(A529),DAY(A529)),FY24_Temp[],3,FALSE)</f>
        <v>12.8</v>
      </c>
      <c r="O529" s="9">
        <v>13.5</v>
      </c>
      <c r="P529" s="9">
        <v>19.5</v>
      </c>
      <c r="Q529" s="79">
        <f>VLOOKUP(VLOOKUP(DATEVALUE(TEXT(A529,"m/d/yyyy")),FY24_Temp[],5,FALSE)&amp;TEXT(A529,"-h"),Table6[],4,FALSE)</f>
        <v>3.2868570940835133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VLOOKUP(TEXT(A529,"yy-mm")&amp;"-"&amp;IF(AND(WEEKDAY(A529)&gt;1,WEEKDAY(A529)&lt;7),"Wkd",TEXT(A529,"Ddd"))&amp;"-"&amp;TEXT(A529,"hh"),LoadTable[],5,FALSE)*0.92</f>
        <v>418.75640000000004</v>
      </c>
      <c r="U529" s="104">
        <f>VLOOKUP(TEXT(A529,"yy-mm")&amp;"-"&amp;IF(AND(WEEKDAY(A529)&gt;1,WEEKDAY(A529)&lt;7),"Wkd",TEXT(A529,"Ddd"))&amp;"-"&amp;TEXT(A529,"hh"),LoadTable[],6,FALSE)*T529</f>
        <v>25450.757722800005</v>
      </c>
      <c r="V529">
        <f t="shared" ref="V529:W529" si="542">V505</f>
        <v>2.9</v>
      </c>
      <c r="W529">
        <f t="shared" si="542"/>
        <v>3.1</v>
      </c>
      <c r="X529" s="9">
        <v>3.0061977</v>
      </c>
    </row>
    <row r="530" spans="1:24">
      <c r="A530" s="29">
        <f t="shared" si="529"/>
        <v>45857.958333332055</v>
      </c>
      <c r="B530" s="30">
        <f t="shared" si="484"/>
        <v>5000</v>
      </c>
      <c r="C530" s="8">
        <v>25000</v>
      </c>
      <c r="D530" s="8">
        <v>0</v>
      </c>
      <c r="E530" s="8">
        <v>700</v>
      </c>
      <c r="F530" s="8">
        <v>15000</v>
      </c>
      <c r="G530" s="30">
        <f t="shared" si="485"/>
        <v>2400</v>
      </c>
      <c r="H530" s="8">
        <v>25000</v>
      </c>
      <c r="I530" s="30">
        <f t="shared" si="486"/>
        <v>5000</v>
      </c>
      <c r="J530" s="8">
        <v>25000</v>
      </c>
      <c r="K530" s="30">
        <f t="shared" si="487"/>
        <v>5000</v>
      </c>
      <c r="L530" s="8">
        <v>25000</v>
      </c>
      <c r="M530" s="9">
        <f>VLOOKUP(DATE(YEAR(A530),MONTH(A530),DAY(A530)),FY24_Temp[],4,FALSE)</f>
        <v>8.4</v>
      </c>
      <c r="N530" s="9">
        <f>VLOOKUP(DATE(YEAR(A530),MONTH(A530),DAY(A530)),FY24_Temp[],3,FALSE)</f>
        <v>12.8</v>
      </c>
      <c r="O530" s="9">
        <v>13.5</v>
      </c>
      <c r="P530" s="9">
        <v>19.5</v>
      </c>
      <c r="Q530" s="79">
        <f>VLOOKUP(VLOOKUP(DATEVALUE(TEXT(A530,"m/d/yyyy")),FY24_Temp[],5,FALSE)&amp;TEXT(A530,"-h"),Table6[],4,FALSE)</f>
        <v>3.1470000062670027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VLOOKUP(TEXT(A530,"yy-mm")&amp;"-"&amp;IF(AND(WEEKDAY(A530)&gt;1,WEEKDAY(A530)&lt;7),"Wkd",TEXT(A530,"Ddd"))&amp;"-"&amp;TEXT(A530,"hh"),LoadTable[],5,FALSE)*0.92</f>
        <v>342.93920000000003</v>
      </c>
      <c r="U530" s="104">
        <f>VLOOKUP(TEXT(A530,"yy-mm")&amp;"-"&amp;IF(AND(WEEKDAY(A530)&gt;1,WEEKDAY(A530)&lt;7),"Wkd",TEXT(A530,"Ddd"))&amp;"-"&amp;TEXT(A530,"hh"),LoadTable[],6,FALSE)*T530</f>
        <v>19353.430812800001</v>
      </c>
      <c r="V530">
        <f t="shared" ref="V530:W530" si="543">V506</f>
        <v>3.6</v>
      </c>
      <c r="W530">
        <f t="shared" si="543"/>
        <v>3.1</v>
      </c>
      <c r="X530" s="9">
        <v>2.9136994000000001</v>
      </c>
    </row>
    <row r="531" spans="1:24">
      <c r="A531" s="29">
        <f t="shared" si="529"/>
        <v>45857.999999998719</v>
      </c>
      <c r="B531" s="30">
        <f t="shared" si="484"/>
        <v>5000</v>
      </c>
      <c r="C531" s="8">
        <v>25000</v>
      </c>
      <c r="D531" s="8">
        <v>0</v>
      </c>
      <c r="E531" s="8">
        <v>700</v>
      </c>
      <c r="F531" s="8">
        <v>15000</v>
      </c>
      <c r="G531" s="30">
        <f t="shared" si="485"/>
        <v>2400</v>
      </c>
      <c r="H531" s="8">
        <v>25000</v>
      </c>
      <c r="I531" s="30">
        <f t="shared" si="486"/>
        <v>5000</v>
      </c>
      <c r="J531" s="8">
        <v>25000</v>
      </c>
      <c r="K531" s="30">
        <f t="shared" si="487"/>
        <v>5000</v>
      </c>
      <c r="L531" s="8">
        <v>25000</v>
      </c>
      <c r="M531" s="9">
        <f>VLOOKUP(DATE(YEAR(A531),MONTH(A531),DAY(A531)),FY24_Temp[],4,FALSE)</f>
        <v>8.4</v>
      </c>
      <c r="N531" s="9">
        <f>VLOOKUP(DATE(YEAR(A531),MONTH(A531),DAY(A531)),FY24_Temp[],3,FALSE)</f>
        <v>12.8</v>
      </c>
      <c r="O531" s="9">
        <v>13.5</v>
      </c>
      <c r="P531" s="9">
        <v>19.5</v>
      </c>
      <c r="Q531" s="79">
        <f>VLOOKUP(VLOOKUP(DATEVALUE(TEXT(A531,"m/d/yyyy")),FY24_Temp[],5,FALSE)&amp;TEXT(A531,"-h"),Table6[],4,FALSE)</f>
        <v>2.990142822265625</v>
      </c>
      <c r="R531">
        <v>10</v>
      </c>
      <c r="S531">
        <v>1000</v>
      </c>
      <c r="T531" s="5">
        <f>VLOOKUP(TEXT(A531,"yy-mm")&amp;"-"&amp;IF(AND(WEEKDAY(A531)&gt;1,WEEKDAY(A531)&lt;7),"Wkd",TEXT(A531,"Ddd"))&amp;"-"&amp;TEXT(A531,"hh"),LoadTable[],5,FALSE)*0.92</f>
        <v>279.25312000000002</v>
      </c>
      <c r="U531" s="104">
        <f>VLOOKUP(TEXT(A531,"yy-mm")&amp;"-"&amp;IF(AND(WEEKDAY(A531)&gt;1,WEEKDAY(A531)&lt;7),"Wkd",TEXT(A531,"Ddd"))&amp;"-"&amp;TEXT(A531,"hh"),LoadTable[],6,FALSE)*T531</f>
        <v>13653.802049280001</v>
      </c>
      <c r="V531">
        <f t="shared" ref="V531:W531" si="544">V507</f>
        <v>3</v>
      </c>
      <c r="W531">
        <f t="shared" si="544"/>
        <v>3.2</v>
      </c>
      <c r="X531" s="9">
        <v>2.8204486000000002</v>
      </c>
    </row>
    <row r="532" spans="1:24">
      <c r="A532" s="29">
        <f t="shared" si="529"/>
        <v>45858.041666665384</v>
      </c>
      <c r="B532" s="30">
        <f t="shared" si="484"/>
        <v>5000</v>
      </c>
      <c r="C532" s="8">
        <v>25000</v>
      </c>
      <c r="D532" s="8">
        <v>0</v>
      </c>
      <c r="E532" s="8">
        <v>700</v>
      </c>
      <c r="F532" s="8">
        <v>15000</v>
      </c>
      <c r="G532" s="30">
        <f t="shared" si="485"/>
        <v>2400</v>
      </c>
      <c r="H532" s="8">
        <v>25000</v>
      </c>
      <c r="I532" s="30">
        <f t="shared" si="486"/>
        <v>5000</v>
      </c>
      <c r="J532" s="8">
        <v>25000</v>
      </c>
      <c r="K532" s="30">
        <f t="shared" si="487"/>
        <v>5000</v>
      </c>
      <c r="L532" s="8">
        <v>25000</v>
      </c>
      <c r="M532" s="9">
        <f>VLOOKUP(DATE(YEAR(A532),MONTH(A532),DAY(A532)),FY24_Temp[],4,FALSE)</f>
        <v>8.4</v>
      </c>
      <c r="N532" s="9">
        <f>VLOOKUP(DATE(YEAR(A532),MONTH(A532),DAY(A532)),FY24_Temp[],3,FALSE)</f>
        <v>12.8</v>
      </c>
      <c r="O532" s="9">
        <v>13.5</v>
      </c>
      <c r="P532" s="9">
        <v>19.5</v>
      </c>
      <c r="Q532" s="79">
        <f>VLOOKUP(VLOOKUP(DATEVALUE(TEXT(A532,"m/d/yyyy")),FY24_Temp[],5,FALSE)&amp;TEXT(A532,"-h"),Table6[],4,FALSE)</f>
        <v>2.8801428590502058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VLOOKUP(TEXT(A532,"yy-mm")&amp;"-"&amp;IF(AND(WEEKDAY(A532)&gt;1,WEEKDAY(A532)&lt;7),"Wkd",TEXT(A532,"Ddd"))&amp;"-"&amp;TEXT(A532,"hh"),LoadTable[],5,FALSE)*0.92</f>
        <v>279.25312000000002</v>
      </c>
      <c r="U532" s="104">
        <f>VLOOKUP(TEXT(A532,"yy-mm")&amp;"-"&amp;IF(AND(WEEKDAY(A532)&gt;1,WEEKDAY(A532)&lt;7),"Wkd",TEXT(A532,"Ddd"))&amp;"-"&amp;TEXT(A532,"hh"),LoadTable[],6,FALSE)*T532</f>
        <v>13616.102878080001</v>
      </c>
      <c r="V532">
        <f t="shared" ref="V532:W532" si="545">V508</f>
        <v>2.6</v>
      </c>
      <c r="W532">
        <f t="shared" si="545"/>
        <v>3.2</v>
      </c>
      <c r="X532" s="9">
        <v>2.7464726000000002</v>
      </c>
    </row>
    <row r="533" spans="1:24">
      <c r="A533" s="29">
        <f t="shared" si="529"/>
        <v>45858.083333332048</v>
      </c>
      <c r="B533" s="30">
        <f t="shared" si="484"/>
        <v>5000</v>
      </c>
      <c r="C533" s="8">
        <v>25000</v>
      </c>
      <c r="D533" s="8">
        <v>0</v>
      </c>
      <c r="E533" s="8">
        <v>700</v>
      </c>
      <c r="F533" s="8">
        <v>15000</v>
      </c>
      <c r="G533" s="30">
        <f t="shared" si="485"/>
        <v>2400</v>
      </c>
      <c r="H533" s="8">
        <v>25000</v>
      </c>
      <c r="I533" s="30">
        <f t="shared" si="486"/>
        <v>5000</v>
      </c>
      <c r="J533" s="8">
        <v>25000</v>
      </c>
      <c r="K533" s="30">
        <f t="shared" si="487"/>
        <v>5000</v>
      </c>
      <c r="L533" s="8">
        <v>25000</v>
      </c>
      <c r="M533" s="9">
        <f>VLOOKUP(DATE(YEAR(A533),MONTH(A533),DAY(A533)),FY24_Temp[],4,FALSE)</f>
        <v>8.4</v>
      </c>
      <c r="N533" s="9">
        <f>VLOOKUP(DATE(YEAR(A533),MONTH(A533),DAY(A533)),FY24_Temp[],3,FALSE)</f>
        <v>12.8</v>
      </c>
      <c r="O533" s="9">
        <v>13.5</v>
      </c>
      <c r="P533" s="9">
        <v>19.5</v>
      </c>
      <c r="Q533" s="79">
        <f>VLOOKUP(VLOOKUP(DATEVALUE(TEXT(A533,"m/d/yyyy")),FY24_Temp[],5,FALSE)&amp;TEXT(A533,"-h"),Table6[],4,FALSE)</f>
        <v>2.7695714065006802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VLOOKUP(TEXT(A533,"yy-mm")&amp;"-"&amp;IF(AND(WEEKDAY(A533)&gt;1,WEEKDAY(A533)&lt;7),"Wkd",TEXT(A533,"Ddd"))&amp;"-"&amp;TEXT(A533,"hh"),LoadTable[],5,FALSE)*0.92</f>
        <v>279.25312000000002</v>
      </c>
      <c r="U533" s="104">
        <f>VLOOKUP(TEXT(A533,"yy-mm")&amp;"-"&amp;IF(AND(WEEKDAY(A533)&gt;1,WEEKDAY(A533)&lt;7),"Wkd",TEXT(A533,"Ddd"))&amp;"-"&amp;TEXT(A533,"hh"),LoadTable[],6,FALSE)*T533</f>
        <v>13493.510758400002</v>
      </c>
      <c r="V533">
        <f t="shared" ref="V533:W533" si="546">V509</f>
        <v>2.8</v>
      </c>
      <c r="W533">
        <f t="shared" si="546"/>
        <v>3.2</v>
      </c>
      <c r="X533" s="9">
        <v>2.8187099</v>
      </c>
    </row>
    <row r="534" spans="1:24">
      <c r="A534" s="29">
        <f t="shared" si="529"/>
        <v>45858.124999998712</v>
      </c>
      <c r="B534" s="30">
        <f t="shared" si="484"/>
        <v>5000</v>
      </c>
      <c r="C534" s="8">
        <v>25000</v>
      </c>
      <c r="D534" s="8">
        <v>0</v>
      </c>
      <c r="E534" s="8">
        <v>700</v>
      </c>
      <c r="F534" s="8">
        <v>15000</v>
      </c>
      <c r="G534" s="30">
        <f t="shared" si="485"/>
        <v>2400</v>
      </c>
      <c r="H534" s="8">
        <v>25000</v>
      </c>
      <c r="I534" s="30">
        <f t="shared" si="486"/>
        <v>5000</v>
      </c>
      <c r="J534" s="8">
        <v>25000</v>
      </c>
      <c r="K534" s="30">
        <f t="shared" si="487"/>
        <v>5000</v>
      </c>
      <c r="L534" s="8">
        <v>25000</v>
      </c>
      <c r="M534" s="9">
        <f>VLOOKUP(DATE(YEAR(A534),MONTH(A534),DAY(A534)),FY24_Temp[],4,FALSE)</f>
        <v>8.4</v>
      </c>
      <c r="N534" s="9">
        <f>VLOOKUP(DATE(YEAR(A534),MONTH(A534),DAY(A534)),FY24_Temp[],3,FALSE)</f>
        <v>12.8</v>
      </c>
      <c r="O534" s="9">
        <v>13.5</v>
      </c>
      <c r="P534" s="9">
        <v>19.5</v>
      </c>
      <c r="Q534" s="79">
        <f>VLOOKUP(VLOOKUP(DATEVALUE(TEXT(A534,"m/d/yyyy")),FY24_Temp[],5,FALSE)&amp;TEXT(A534,"-h"),Table6[],4,FALSE)</f>
        <v>2.65728565624782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VLOOKUP(TEXT(A534,"yy-mm")&amp;"-"&amp;IF(AND(WEEKDAY(A534)&gt;1,WEEKDAY(A534)&lt;7),"Wkd",TEXT(A534,"Ddd"))&amp;"-"&amp;TEXT(A534,"hh"),LoadTable[],5,FALSE)*0.92</f>
        <v>279.25312000000002</v>
      </c>
      <c r="U534" s="104">
        <f>VLOOKUP(TEXT(A534,"yy-mm")&amp;"-"&amp;IF(AND(WEEKDAY(A534)&gt;1,WEEKDAY(A534)&lt;7),"Wkd",TEXT(A534,"Ddd"))&amp;"-"&amp;TEXT(A534,"hh"),LoadTable[],6,FALSE)*T534</f>
        <v>13424.255984640002</v>
      </c>
      <c r="V534">
        <f t="shared" ref="V534:W534" si="547">V510</f>
        <v>2.7</v>
      </c>
      <c r="W534">
        <f t="shared" si="547"/>
        <v>3.2</v>
      </c>
      <c r="X534" s="9">
        <v>2.8785938999999998</v>
      </c>
    </row>
    <row r="535" spans="1:24">
      <c r="A535" s="29">
        <f t="shared" si="529"/>
        <v>45858.166666665376</v>
      </c>
      <c r="B535" s="30">
        <f t="shared" si="484"/>
        <v>5000</v>
      </c>
      <c r="C535" s="8">
        <v>25000</v>
      </c>
      <c r="D535" s="8">
        <v>0</v>
      </c>
      <c r="E535" s="8">
        <v>700</v>
      </c>
      <c r="F535" s="8">
        <v>15000</v>
      </c>
      <c r="G535" s="30">
        <f t="shared" si="485"/>
        <v>2400</v>
      </c>
      <c r="H535" s="8">
        <v>25000</v>
      </c>
      <c r="I535" s="30">
        <f t="shared" si="486"/>
        <v>5000</v>
      </c>
      <c r="J535" s="8">
        <v>25000</v>
      </c>
      <c r="K535" s="30">
        <f t="shared" si="487"/>
        <v>5000</v>
      </c>
      <c r="L535" s="8">
        <v>25000</v>
      </c>
      <c r="M535" s="9">
        <f>VLOOKUP(DATE(YEAR(A535),MONTH(A535),DAY(A535)),FY24_Temp[],4,FALSE)</f>
        <v>8.4</v>
      </c>
      <c r="N535" s="9">
        <f>VLOOKUP(DATE(YEAR(A535),MONTH(A535),DAY(A535)),FY24_Temp[],3,FALSE)</f>
        <v>12.8</v>
      </c>
      <c r="O535" s="9">
        <v>13.5</v>
      </c>
      <c r="P535" s="9">
        <v>19.5</v>
      </c>
      <c r="Q535" s="79">
        <f>VLOOKUP(VLOOKUP(DATEVALUE(TEXT(A535,"m/d/yyyy")),FY24_Temp[],5,FALSE)&amp;TEXT(A535,"-h"),Table6[],4,FALSE)</f>
        <v>2.4975714342934743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VLOOKUP(TEXT(A535,"yy-mm")&amp;"-"&amp;IF(AND(WEEKDAY(A535)&gt;1,WEEKDAY(A535)&lt;7),"Wkd",TEXT(A535,"Ddd"))&amp;"-"&amp;TEXT(A535,"hh"),LoadTable[],5,FALSE)*0.92</f>
        <v>279.25312000000002</v>
      </c>
      <c r="U535" s="104">
        <f>VLOOKUP(TEXT(A535,"yy-mm")&amp;"-"&amp;IF(AND(WEEKDAY(A535)&gt;1,WEEKDAY(A535)&lt;7),"Wkd",TEXT(A535,"Ddd"))&amp;"-"&amp;TEXT(A535,"hh"),LoadTable[],6,FALSE)*T535</f>
        <v>13538.470510720002</v>
      </c>
      <c r="V535">
        <f t="shared" ref="V535:W535" si="548">V511</f>
        <v>3</v>
      </c>
      <c r="W535">
        <f t="shared" si="548"/>
        <v>3.1</v>
      </c>
      <c r="X535" s="9">
        <v>2.9032160999999999</v>
      </c>
    </row>
    <row r="536" spans="1:24">
      <c r="A536" s="29">
        <f t="shared" si="529"/>
        <v>45858.208333332041</v>
      </c>
      <c r="B536" s="30">
        <f t="shared" si="484"/>
        <v>5000</v>
      </c>
      <c r="C536" s="8">
        <v>25000</v>
      </c>
      <c r="D536" s="8">
        <v>0</v>
      </c>
      <c r="E536" s="8">
        <v>700</v>
      </c>
      <c r="F536" s="8">
        <v>15000</v>
      </c>
      <c r="G536" s="30">
        <f t="shared" si="485"/>
        <v>2400</v>
      </c>
      <c r="H536" s="8">
        <v>25000</v>
      </c>
      <c r="I536" s="30">
        <f t="shared" si="486"/>
        <v>5000</v>
      </c>
      <c r="J536" s="8">
        <v>25000</v>
      </c>
      <c r="K536" s="30">
        <f t="shared" si="487"/>
        <v>5000</v>
      </c>
      <c r="L536" s="8">
        <v>25000</v>
      </c>
      <c r="M536" s="9">
        <f>VLOOKUP(DATE(YEAR(A536),MONTH(A536),DAY(A536)),FY24_Temp[],4,FALSE)</f>
        <v>8.4</v>
      </c>
      <c r="N536" s="9">
        <f>VLOOKUP(DATE(YEAR(A536),MONTH(A536),DAY(A536)),FY24_Temp[],3,FALSE)</f>
        <v>12.8</v>
      </c>
      <c r="O536" s="9">
        <v>13.5</v>
      </c>
      <c r="P536" s="9">
        <v>19.5</v>
      </c>
      <c r="Q536" s="79">
        <f>VLOOKUP(VLOOKUP(DATEVALUE(TEXT(A536,"m/d/yyyy")),FY24_Temp[],5,FALSE)&amp;TEXT(A536,"-h"),Table6[],4,FALSE)</f>
        <v>2.3462857518877303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VLOOKUP(TEXT(A536,"yy-mm")&amp;"-"&amp;IF(AND(WEEKDAY(A536)&gt;1,WEEKDAY(A536)&lt;7),"Wkd",TEXT(A536,"Ddd"))&amp;"-"&amp;TEXT(A536,"hh"),LoadTable[],5,FALSE)*0.92</f>
        <v>279.25312000000002</v>
      </c>
      <c r="U536" s="104">
        <f>VLOOKUP(TEXT(A536,"yy-mm")&amp;"-"&amp;IF(AND(WEEKDAY(A536)&gt;1,WEEKDAY(A536)&lt;7),"Wkd",TEXT(A536,"Ddd"))&amp;"-"&amp;TEXT(A536,"hh"),LoadTable[],6,FALSE)*T536</f>
        <v>13637.605368320001</v>
      </c>
      <c r="V536">
        <f t="shared" ref="V536:W536" si="549">V512</f>
        <v>2.9</v>
      </c>
      <c r="W536">
        <f t="shared" si="549"/>
        <v>3.1</v>
      </c>
      <c r="X536" s="9">
        <v>2.9714581999999998</v>
      </c>
    </row>
    <row r="537" spans="1:24">
      <c r="A537" s="29">
        <f t="shared" si="529"/>
        <v>45858.249999998705</v>
      </c>
      <c r="B537" s="30">
        <f t="shared" si="484"/>
        <v>8000</v>
      </c>
      <c r="C537" s="8">
        <v>25000</v>
      </c>
      <c r="D537" s="8">
        <v>0</v>
      </c>
      <c r="E537" s="8">
        <v>700</v>
      </c>
      <c r="F537" s="8">
        <v>15000</v>
      </c>
      <c r="G537" s="30">
        <f t="shared" si="485"/>
        <v>2400</v>
      </c>
      <c r="H537" s="8">
        <v>25000</v>
      </c>
      <c r="I537" s="30">
        <f t="shared" si="486"/>
        <v>8000</v>
      </c>
      <c r="J537" s="8">
        <v>25000</v>
      </c>
      <c r="K537" s="30">
        <f t="shared" si="487"/>
        <v>8000</v>
      </c>
      <c r="L537" s="8">
        <v>25000</v>
      </c>
      <c r="M537" s="9">
        <f>VLOOKUP(DATE(YEAR(A537),MONTH(A537),DAY(A537)),FY24_Temp[],4,FALSE)</f>
        <v>8.4</v>
      </c>
      <c r="N537" s="9">
        <f>VLOOKUP(DATE(YEAR(A537),MONTH(A537),DAY(A537)),FY24_Temp[],3,FALSE)</f>
        <v>12.8</v>
      </c>
      <c r="O537" s="9">
        <v>13.5</v>
      </c>
      <c r="P537" s="9">
        <v>19.5</v>
      </c>
      <c r="Q537" s="79">
        <f>VLOOKUP(VLOOKUP(DATEVALUE(TEXT(A537,"m/d/yyyy")),FY24_Temp[],5,FALSE)&amp;TEXT(A537,"-h"),Table6[],4,FALSE)</f>
        <v>2.2328571251460483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VLOOKUP(TEXT(A537,"yy-mm")&amp;"-"&amp;IF(AND(WEEKDAY(A537)&gt;1,WEEKDAY(A537)&lt;7),"Wkd",TEXT(A537,"Ddd"))&amp;"-"&amp;TEXT(A537,"hh"),LoadTable[],5,FALSE)*0.92</f>
        <v>279.25312000000002</v>
      </c>
      <c r="U537" s="104">
        <f>VLOOKUP(TEXT(A537,"yy-mm")&amp;"-"&amp;IF(AND(WEEKDAY(A537)&gt;1,WEEKDAY(A537)&lt;7),"Wkd",TEXT(A537,"Ddd"))&amp;"-"&amp;TEXT(A537,"hh"),LoadTable[],6,FALSE)*T537</f>
        <v>15015.99876864</v>
      </c>
      <c r="V537">
        <f t="shared" ref="V537:W537" si="550">V513</f>
        <v>2.5</v>
      </c>
      <c r="W537">
        <f t="shared" si="550"/>
        <v>3.1</v>
      </c>
      <c r="X537" s="9">
        <v>3.0860484000000001</v>
      </c>
    </row>
    <row r="538" spans="1:24">
      <c r="A538" s="29">
        <f t="shared" si="529"/>
        <v>45858.291666665369</v>
      </c>
      <c r="B538" s="30">
        <f t="shared" si="484"/>
        <v>8000</v>
      </c>
      <c r="C538" s="8">
        <v>25000</v>
      </c>
      <c r="D538" s="8">
        <v>0</v>
      </c>
      <c r="E538" s="8">
        <v>700</v>
      </c>
      <c r="F538" s="8">
        <v>15000</v>
      </c>
      <c r="G538" s="30">
        <f t="shared" si="485"/>
        <v>2400</v>
      </c>
      <c r="H538" s="8">
        <v>25000</v>
      </c>
      <c r="I538" s="30">
        <f t="shared" si="486"/>
        <v>8000</v>
      </c>
      <c r="J538" s="8">
        <v>25000</v>
      </c>
      <c r="K538" s="30">
        <f t="shared" si="487"/>
        <v>8000</v>
      </c>
      <c r="L538" s="8">
        <v>25000</v>
      </c>
      <c r="M538" s="9">
        <f>VLOOKUP(DATE(YEAR(A538),MONTH(A538),DAY(A538)),FY24_Temp[],4,FALSE)</f>
        <v>8.4</v>
      </c>
      <c r="N538" s="9">
        <f>VLOOKUP(DATE(YEAR(A538),MONTH(A538),DAY(A538)),FY24_Temp[],3,FALSE)</f>
        <v>12.8</v>
      </c>
      <c r="O538" s="9">
        <v>13.5</v>
      </c>
      <c r="P538" s="9">
        <v>19.5</v>
      </c>
      <c r="Q538" s="79">
        <f>VLOOKUP(VLOOKUP(DATEVALUE(TEXT(A538,"m/d/yyyy")),FY24_Temp[],5,FALSE)&amp;TEXT(A538,"-h"),Table6[],4,FALSE)</f>
        <v>2.127857106072562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VLOOKUP(TEXT(A538,"yy-mm")&amp;"-"&amp;IF(AND(WEEKDAY(A538)&gt;1,WEEKDAY(A538)&lt;7),"Wkd",TEXT(A538,"Ddd"))&amp;"-"&amp;TEXT(A538,"hh"),LoadTable[],5,FALSE)*0.92</f>
        <v>279.25312000000002</v>
      </c>
      <c r="U538" s="104">
        <f>VLOOKUP(TEXT(A538,"yy-mm")&amp;"-"&amp;IF(AND(WEEKDAY(A538)&gt;1,WEEKDAY(A538)&lt;7),"Wkd",TEXT(A538,"Ddd"))&amp;"-"&amp;TEXT(A538,"hh"),LoadTable[],6,FALSE)*T538</f>
        <v>13166.505354880001</v>
      </c>
      <c r="V538">
        <f t="shared" ref="V538:W538" si="551">V514</f>
        <v>2.5</v>
      </c>
      <c r="W538">
        <f t="shared" si="551"/>
        <v>3.1</v>
      </c>
      <c r="X538" s="9">
        <v>3.2215992999999998</v>
      </c>
    </row>
    <row r="539" spans="1:24">
      <c r="A539" s="29">
        <f t="shared" si="529"/>
        <v>45858.333333332033</v>
      </c>
      <c r="B539" s="30">
        <f t="shared" si="484"/>
        <v>8000</v>
      </c>
      <c r="C539" s="8">
        <v>25000</v>
      </c>
      <c r="D539" s="8">
        <v>0</v>
      </c>
      <c r="E539" s="8">
        <v>700</v>
      </c>
      <c r="F539" s="8">
        <v>15000</v>
      </c>
      <c r="G539" s="30">
        <f t="shared" si="485"/>
        <v>2400</v>
      </c>
      <c r="H539" s="8">
        <v>25000</v>
      </c>
      <c r="I539" s="30">
        <f t="shared" si="486"/>
        <v>8000</v>
      </c>
      <c r="J539" s="8">
        <v>25000</v>
      </c>
      <c r="K539" s="30">
        <f t="shared" si="487"/>
        <v>8000</v>
      </c>
      <c r="L539" s="8">
        <v>25000</v>
      </c>
      <c r="M539" s="9">
        <f>VLOOKUP(DATE(YEAR(A539),MONTH(A539),DAY(A539)),FY24_Temp[],4,FALSE)</f>
        <v>8.4</v>
      </c>
      <c r="N539" s="9">
        <f>VLOOKUP(DATE(YEAR(A539),MONTH(A539),DAY(A539)),FY24_Temp[],3,FALSE)</f>
        <v>12.8</v>
      </c>
      <c r="O539" s="9">
        <v>13.5</v>
      </c>
      <c r="P539" s="9">
        <v>19.5</v>
      </c>
      <c r="Q539" s="79">
        <f>VLOOKUP(VLOOKUP(DATEVALUE(TEXT(A539,"m/d/yyyy")),FY24_Temp[],5,FALSE)&amp;TEXT(A539,"-h"),Table6[],4,FALSE)</f>
        <v>2.00528575692858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VLOOKUP(TEXT(A539,"yy-mm")&amp;"-"&amp;IF(AND(WEEKDAY(A539)&gt;1,WEEKDAY(A539)&lt;7),"Wkd",TEXT(A539,"Ddd"))&amp;"-"&amp;TEXT(A539,"hh"),LoadTable[],5,FALSE)*0.92</f>
        <v>279.25312000000002</v>
      </c>
      <c r="U539" s="104">
        <f>VLOOKUP(TEXT(A539,"yy-mm")&amp;"-"&amp;IF(AND(WEEKDAY(A539)&gt;1,WEEKDAY(A539)&lt;7),"Wkd",TEXT(A539,"Ddd"))&amp;"-"&amp;TEXT(A539,"hh"),LoadTable[],6,FALSE)*T539</f>
        <v>12889.20700672</v>
      </c>
      <c r="V539">
        <f t="shared" ref="V539:W539" si="552">V515</f>
        <v>3.2</v>
      </c>
      <c r="W539">
        <f t="shared" si="552"/>
        <v>3</v>
      </c>
      <c r="X539" s="9">
        <v>3.2751283999999998</v>
      </c>
    </row>
    <row r="540" spans="1:24">
      <c r="A540" s="29">
        <f t="shared" si="529"/>
        <v>45858.374999998698</v>
      </c>
      <c r="B540" s="30">
        <f t="shared" ref="B540:B603" si="553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30">
        <f t="shared" ref="G540:G603" si="554">G516</f>
        <v>2400</v>
      </c>
      <c r="H540" s="8">
        <v>25000</v>
      </c>
      <c r="I540" s="30">
        <f t="shared" ref="I540:I603" si="555">I516</f>
        <v>8000</v>
      </c>
      <c r="J540" s="8">
        <v>25000</v>
      </c>
      <c r="K540" s="30">
        <f t="shared" ref="K540:K603" si="556">K516</f>
        <v>8000</v>
      </c>
      <c r="L540" s="8">
        <v>25000</v>
      </c>
      <c r="M540" s="9">
        <f>VLOOKUP(DATE(YEAR(A540),MONTH(A540),DAY(A540)),FY24_Temp[],4,FALSE)</f>
        <v>8.4</v>
      </c>
      <c r="N540" s="9">
        <f>VLOOKUP(DATE(YEAR(A540),MONTH(A540),DAY(A540)),FY24_Temp[],3,FALSE)</f>
        <v>12.8</v>
      </c>
      <c r="O540" s="9">
        <v>13.5</v>
      </c>
      <c r="P540" s="9">
        <v>19.5</v>
      </c>
      <c r="Q540" s="79">
        <f>VLOOKUP(VLOOKUP(DATEVALUE(TEXT(A540,"m/d/yyyy")),FY24_Temp[],5,FALSE)&amp;TEXT(A540,"-h"),Table6[],4,FALSE)</f>
        <v>1.90142856325422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VLOOKUP(TEXT(A540,"yy-mm")&amp;"-"&amp;IF(AND(WEEKDAY(A540)&gt;1,WEEKDAY(A540)&lt;7),"Wkd",TEXT(A540,"Ddd"))&amp;"-"&amp;TEXT(A540,"hh"),LoadTable[],5,FALSE)*0.92</f>
        <v>279.25312000000002</v>
      </c>
      <c r="U540" s="104">
        <f>VLOOKUP(TEXT(A540,"yy-mm")&amp;"-"&amp;IF(AND(WEEKDAY(A540)&gt;1,WEEKDAY(A540)&lt;7),"Wkd",TEXT(A540,"Ddd"))&amp;"-"&amp;TEXT(A540,"hh"),LoadTable[],6,FALSE)*T540</f>
        <v>12852.904101120002</v>
      </c>
      <c r="V540">
        <f t="shared" ref="V540:W540" si="557">V516</f>
        <v>2.9</v>
      </c>
      <c r="W540">
        <f t="shared" si="557"/>
        <v>3</v>
      </c>
      <c r="X540" s="9">
        <v>3.3064859000000002</v>
      </c>
    </row>
    <row r="541" spans="1:24">
      <c r="A541" s="29">
        <f t="shared" si="529"/>
        <v>45858.416666665362</v>
      </c>
      <c r="B541" s="30">
        <f t="shared" si="553"/>
        <v>8000</v>
      </c>
      <c r="C541" s="8">
        <v>25000</v>
      </c>
      <c r="D541" s="8">
        <v>0</v>
      </c>
      <c r="E541" s="8">
        <v>700</v>
      </c>
      <c r="F541" s="8">
        <v>15000</v>
      </c>
      <c r="G541" s="30">
        <f t="shared" si="554"/>
        <v>2400</v>
      </c>
      <c r="H541" s="8">
        <v>25000</v>
      </c>
      <c r="I541" s="30">
        <f t="shared" si="555"/>
        <v>8000</v>
      </c>
      <c r="J541" s="8">
        <v>25000</v>
      </c>
      <c r="K541" s="30">
        <f t="shared" si="556"/>
        <v>8000</v>
      </c>
      <c r="L541" s="8">
        <v>25000</v>
      </c>
      <c r="M541" s="9">
        <f>VLOOKUP(DATE(YEAR(A541),MONTH(A541),DAY(A541)),FY24_Temp[],4,FALSE)</f>
        <v>8.4</v>
      </c>
      <c r="N541" s="9">
        <f>VLOOKUP(DATE(YEAR(A541),MONTH(A541),DAY(A541)),FY24_Temp[],3,FALSE)</f>
        <v>12.8</v>
      </c>
      <c r="O541" s="9">
        <v>13.5</v>
      </c>
      <c r="P541" s="9">
        <v>19.5</v>
      </c>
      <c r="Q541" s="79">
        <f>VLOOKUP(VLOOKUP(DATEVALUE(TEXT(A541,"m/d/yyyy")),FY24_Temp[],5,FALSE)&amp;TEXT(A541,"-h"),Table6[],4,FALSE)</f>
        <v>1.8012857096535819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VLOOKUP(TEXT(A541,"yy-mm")&amp;"-"&amp;IF(AND(WEEKDAY(A541)&gt;1,WEEKDAY(A541)&lt;7),"Wkd",TEXT(A541,"Ddd"))&amp;"-"&amp;TEXT(A541,"hh"),LoadTable[],5,FALSE)*0.92</f>
        <v>279.25312000000002</v>
      </c>
      <c r="U541" s="104">
        <f>VLOOKUP(TEXT(A541,"yy-mm")&amp;"-"&amp;IF(AND(WEEKDAY(A541)&gt;1,WEEKDAY(A541)&lt;7),"Wkd",TEXT(A541,"Ddd"))&amp;"-"&amp;TEXT(A541,"hh"),LoadTable[],6,FALSE)*T541</f>
        <v>12842.57173568</v>
      </c>
      <c r="V541">
        <f t="shared" ref="V541:W541" si="558">V517</f>
        <v>2.9</v>
      </c>
      <c r="W541">
        <f t="shared" si="558"/>
        <v>3</v>
      </c>
      <c r="X541" s="9">
        <v>3.3682430000000001</v>
      </c>
    </row>
    <row r="542" spans="1:24">
      <c r="A542" s="29">
        <f t="shared" si="529"/>
        <v>45858.458333332026</v>
      </c>
      <c r="B542" s="30">
        <f t="shared" si="553"/>
        <v>8000</v>
      </c>
      <c r="C542" s="8">
        <v>25000</v>
      </c>
      <c r="D542" s="8">
        <v>0</v>
      </c>
      <c r="E542" s="8">
        <v>700</v>
      </c>
      <c r="F542" s="8">
        <v>15000</v>
      </c>
      <c r="G542" s="30">
        <f t="shared" si="554"/>
        <v>2400</v>
      </c>
      <c r="H542" s="8">
        <v>25000</v>
      </c>
      <c r="I542" s="30">
        <f t="shared" si="555"/>
        <v>8000</v>
      </c>
      <c r="J542" s="8">
        <v>25000</v>
      </c>
      <c r="K542" s="30">
        <f t="shared" si="556"/>
        <v>8000</v>
      </c>
      <c r="L542" s="8">
        <v>25000</v>
      </c>
      <c r="M542" s="9">
        <f>VLOOKUP(DATE(YEAR(A542),MONTH(A542),DAY(A542)),FY24_Temp[],4,FALSE)</f>
        <v>8.4</v>
      </c>
      <c r="N542" s="9">
        <f>VLOOKUP(DATE(YEAR(A542),MONTH(A542),DAY(A542)),FY24_Temp[],3,FALSE)</f>
        <v>12.8</v>
      </c>
      <c r="O542" s="9">
        <v>13.5</v>
      </c>
      <c r="P542" s="9">
        <v>19.5</v>
      </c>
      <c r="Q542" s="79">
        <f>VLOOKUP(VLOOKUP(DATEVALUE(TEXT(A542,"m/d/yyyy")),FY24_Temp[],5,FALSE)&amp;TEXT(A542,"-h"),Table6[],4,FALSE)</f>
        <v>1.6742857013429915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VLOOKUP(TEXT(A542,"yy-mm")&amp;"-"&amp;IF(AND(WEEKDAY(A542)&gt;1,WEEKDAY(A542)&lt;7),"Wkd",TEXT(A542,"Ddd"))&amp;"-"&amp;TEXT(A542,"hh"),LoadTable[],5,FALSE)*0.92</f>
        <v>279.25312000000002</v>
      </c>
      <c r="U542" s="104">
        <f>VLOOKUP(TEXT(A542,"yy-mm")&amp;"-"&amp;IF(AND(WEEKDAY(A542)&gt;1,WEEKDAY(A542)&lt;7),"Wkd",TEXT(A542,"Ddd"))&amp;"-"&amp;TEXT(A542,"hh"),LoadTable[],6,FALSE)*T542</f>
        <v>12828.050573440001</v>
      </c>
      <c r="V542">
        <f t="shared" ref="V542:W542" si="559">V518</f>
        <v>3.4</v>
      </c>
      <c r="W542">
        <f t="shared" si="559"/>
        <v>3</v>
      </c>
      <c r="X542" s="9">
        <v>3.3145058000000001</v>
      </c>
    </row>
    <row r="543" spans="1:24">
      <c r="A543" s="29">
        <f t="shared" si="529"/>
        <v>45858.49999999869</v>
      </c>
      <c r="B543" s="30">
        <f t="shared" si="553"/>
        <v>8000</v>
      </c>
      <c r="C543" s="8">
        <v>25000</v>
      </c>
      <c r="D543" s="8">
        <v>0</v>
      </c>
      <c r="E543" s="8">
        <v>700</v>
      </c>
      <c r="F543" s="8">
        <v>15000</v>
      </c>
      <c r="G543" s="30">
        <f t="shared" si="554"/>
        <v>2400</v>
      </c>
      <c r="H543" s="8">
        <v>25000</v>
      </c>
      <c r="I543" s="30">
        <f t="shared" si="555"/>
        <v>8000</v>
      </c>
      <c r="J543" s="8">
        <v>25000</v>
      </c>
      <c r="K543" s="30">
        <f t="shared" si="556"/>
        <v>8000</v>
      </c>
      <c r="L543" s="8">
        <v>25000</v>
      </c>
      <c r="M543" s="9">
        <f>VLOOKUP(DATE(YEAR(A543),MONTH(A543),DAY(A543)),FY24_Temp[],4,FALSE)</f>
        <v>8.4</v>
      </c>
      <c r="N543" s="9">
        <f>VLOOKUP(DATE(YEAR(A543),MONTH(A543),DAY(A543)),FY24_Temp[],3,FALSE)</f>
        <v>12.8</v>
      </c>
      <c r="O543" s="9">
        <v>13.5</v>
      </c>
      <c r="P543" s="9">
        <v>19.5</v>
      </c>
      <c r="Q543" s="79">
        <f>VLOOKUP(VLOOKUP(DATEVALUE(TEXT(A543,"m/d/yyyy")),FY24_Temp[],5,FALSE)&amp;TEXT(A543,"-h"),Table6[],4,FALSE)</f>
        <v>1.5174285684313094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VLOOKUP(TEXT(A543,"yy-mm")&amp;"-"&amp;IF(AND(WEEKDAY(A543)&gt;1,WEEKDAY(A543)&lt;7),"Wkd",TEXT(A543,"Ddd"))&amp;"-"&amp;TEXT(A543,"hh"),LoadTable[],5,FALSE)*0.92</f>
        <v>279.25312000000002</v>
      </c>
      <c r="U543" s="104">
        <f>VLOOKUP(TEXT(A543,"yy-mm")&amp;"-"&amp;IF(AND(WEEKDAY(A543)&gt;1,WEEKDAY(A543)&lt;7),"Wkd",TEXT(A543,"Ddd"))&amp;"-"&amp;TEXT(A543,"hh"),LoadTable[],6,FALSE)*T543</f>
        <v>12824.141029760001</v>
      </c>
      <c r="V543">
        <f t="shared" ref="V543:W543" si="560">V519</f>
        <v>3.1</v>
      </c>
      <c r="W543">
        <f t="shared" si="560"/>
        <v>2.9</v>
      </c>
      <c r="X543" s="9">
        <v>3.1831577000000002</v>
      </c>
    </row>
    <row r="544" spans="1:24">
      <c r="A544" s="29">
        <f t="shared" si="529"/>
        <v>45858.541666665355</v>
      </c>
      <c r="B544" s="30">
        <f t="shared" si="553"/>
        <v>8000</v>
      </c>
      <c r="C544" s="8">
        <v>25000</v>
      </c>
      <c r="D544" s="8">
        <v>0</v>
      </c>
      <c r="E544" s="8">
        <v>700</v>
      </c>
      <c r="F544" s="8">
        <v>15000</v>
      </c>
      <c r="G544" s="30">
        <f t="shared" si="554"/>
        <v>2400</v>
      </c>
      <c r="H544" s="8">
        <v>25000</v>
      </c>
      <c r="I544" s="30">
        <f t="shared" si="555"/>
        <v>8000</v>
      </c>
      <c r="J544" s="8">
        <v>25000</v>
      </c>
      <c r="K544" s="30">
        <f t="shared" si="556"/>
        <v>8000</v>
      </c>
      <c r="L544" s="8">
        <v>25000</v>
      </c>
      <c r="M544" s="9">
        <f>VLOOKUP(DATE(YEAR(A544),MONTH(A544),DAY(A544)),FY24_Temp[],4,FALSE)</f>
        <v>8.4</v>
      </c>
      <c r="N544" s="9">
        <f>VLOOKUP(DATE(YEAR(A544),MONTH(A544),DAY(A544)),FY24_Temp[],3,FALSE)</f>
        <v>12.8</v>
      </c>
      <c r="O544" s="9">
        <v>13.5</v>
      </c>
      <c r="P544" s="9">
        <v>19.5</v>
      </c>
      <c r="Q544" s="79">
        <f>VLOOKUP(VLOOKUP(DATEVALUE(TEXT(A544,"m/d/yyyy")),FY24_Temp[],5,FALSE)&amp;TEXT(A544,"-h"),Table6[],4,FALSE)</f>
        <v>1.3370000123977661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VLOOKUP(TEXT(A544,"yy-mm")&amp;"-"&amp;IF(AND(WEEKDAY(A544)&gt;1,WEEKDAY(A544)&lt;7),"Wkd",TEXT(A544,"Ddd"))&amp;"-"&amp;TEXT(A544,"hh"),LoadTable[],5,FALSE)*0.92</f>
        <v>279.25312000000002</v>
      </c>
      <c r="U544" s="104">
        <f>VLOOKUP(TEXT(A544,"yy-mm")&amp;"-"&amp;IF(AND(WEEKDAY(A544)&gt;1,WEEKDAY(A544)&lt;7),"Wkd",TEXT(A544,"Ddd"))&amp;"-"&amp;TEXT(A544,"hh"),LoadTable[],6,FALSE)*T544</f>
        <v>12831.401610880001</v>
      </c>
      <c r="V544">
        <f t="shared" ref="V544:W544" si="561">V520</f>
        <v>3.2</v>
      </c>
      <c r="W544">
        <f t="shared" si="561"/>
        <v>2.9</v>
      </c>
      <c r="X544" s="9">
        <v>3.0070024000000002</v>
      </c>
    </row>
    <row r="545" spans="1:24">
      <c r="A545" s="29">
        <f t="shared" si="529"/>
        <v>45858.583333332019</v>
      </c>
      <c r="B545" s="30">
        <f t="shared" si="553"/>
        <v>8000</v>
      </c>
      <c r="C545" s="8">
        <v>25000</v>
      </c>
      <c r="D545" s="8">
        <v>0</v>
      </c>
      <c r="E545" s="8">
        <v>700</v>
      </c>
      <c r="F545" s="8">
        <v>15000</v>
      </c>
      <c r="G545" s="30">
        <f t="shared" si="554"/>
        <v>2400</v>
      </c>
      <c r="H545" s="8">
        <v>25000</v>
      </c>
      <c r="I545" s="30">
        <f t="shared" si="555"/>
        <v>8000</v>
      </c>
      <c r="J545" s="8">
        <v>25000</v>
      </c>
      <c r="K545" s="30">
        <f t="shared" si="556"/>
        <v>8000</v>
      </c>
      <c r="L545" s="8">
        <v>25000</v>
      </c>
      <c r="M545" s="9">
        <f>VLOOKUP(DATE(YEAR(A545),MONTH(A545),DAY(A545)),FY24_Temp[],4,FALSE)</f>
        <v>8.4</v>
      </c>
      <c r="N545" s="9">
        <f>VLOOKUP(DATE(YEAR(A545),MONTH(A545),DAY(A545)),FY24_Temp[],3,FALSE)</f>
        <v>12.8</v>
      </c>
      <c r="O545" s="9">
        <v>13.5</v>
      </c>
      <c r="P545" s="9">
        <v>19.5</v>
      </c>
      <c r="Q545" s="79">
        <f>VLOOKUP(VLOOKUP(DATEVALUE(TEXT(A545,"m/d/yyyy")),FY24_Temp[],5,FALSE)&amp;TEXT(A545,"-h"),Table6[],4,FALSE)</f>
        <v>1.1481428657259261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VLOOKUP(TEXT(A545,"yy-mm")&amp;"-"&amp;IF(AND(WEEKDAY(A545)&gt;1,WEEKDAY(A545)&lt;7),"Wkd",TEXT(A545,"Ddd"))&amp;"-"&amp;TEXT(A545,"hh"),LoadTable[],5,FALSE)*0.92</f>
        <v>279.25312000000002</v>
      </c>
      <c r="U545" s="104">
        <f>VLOOKUP(TEXT(A545,"yy-mm")&amp;"-"&amp;IF(AND(WEEKDAY(A545)&gt;1,WEEKDAY(A545)&lt;7),"Wkd",TEXT(A545,"Ddd"))&amp;"-"&amp;TEXT(A545,"hh"),LoadTable[],6,FALSE)*T545</f>
        <v>12856.25513856</v>
      </c>
      <c r="V545">
        <f t="shared" ref="V545:W545" si="562">V521</f>
        <v>3.5</v>
      </c>
      <c r="W545">
        <f t="shared" si="562"/>
        <v>2.9</v>
      </c>
      <c r="X545" s="9">
        <v>2.9982924</v>
      </c>
    </row>
    <row r="546" spans="1:24">
      <c r="A546" s="29">
        <f t="shared" si="529"/>
        <v>45858.624999998683</v>
      </c>
      <c r="B546" s="30">
        <f t="shared" si="553"/>
        <v>8000</v>
      </c>
      <c r="C546" s="8">
        <v>25000</v>
      </c>
      <c r="D546" s="8">
        <v>0</v>
      </c>
      <c r="E546" s="8">
        <v>700</v>
      </c>
      <c r="F546" s="8">
        <v>15000</v>
      </c>
      <c r="G546" s="30">
        <f t="shared" si="554"/>
        <v>2400</v>
      </c>
      <c r="H546" s="8">
        <v>25000</v>
      </c>
      <c r="I546" s="30">
        <f t="shared" si="555"/>
        <v>8000</v>
      </c>
      <c r="J546" s="8">
        <v>25000</v>
      </c>
      <c r="K546" s="30">
        <f t="shared" si="556"/>
        <v>8000</v>
      </c>
      <c r="L546" s="8">
        <v>25000</v>
      </c>
      <c r="M546" s="9">
        <f>VLOOKUP(DATE(YEAR(A546),MONTH(A546),DAY(A546)),FY24_Temp[],4,FALSE)</f>
        <v>8.4</v>
      </c>
      <c r="N546" s="9">
        <f>VLOOKUP(DATE(YEAR(A546),MONTH(A546),DAY(A546)),FY24_Temp[],3,FALSE)</f>
        <v>12.8</v>
      </c>
      <c r="O546" s="9">
        <v>13.5</v>
      </c>
      <c r="P546" s="9">
        <v>19.5</v>
      </c>
      <c r="Q546" s="79">
        <f>VLOOKUP(VLOOKUP(DATEVALUE(TEXT(A546,"m/d/yyyy")),FY24_Temp[],5,FALSE)&amp;TEXT(A546,"-h"),Table6[],4,FALSE)</f>
        <v>0.98957143511090961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VLOOKUP(TEXT(A546,"yy-mm")&amp;"-"&amp;IF(AND(WEEKDAY(A546)&gt;1,WEEKDAY(A546)&lt;7),"Wkd",TEXT(A546,"Ddd"))&amp;"-"&amp;TEXT(A546,"hh"),LoadTable[],5,FALSE)*0.92</f>
        <v>400.56064000000003</v>
      </c>
      <c r="U546" s="104">
        <f>VLOOKUP(TEXT(A546,"yy-mm")&amp;"-"&amp;IF(AND(WEEKDAY(A546)&gt;1,WEEKDAY(A546)&lt;7),"Wkd",TEXT(A546,"Ddd"))&amp;"-"&amp;TEXT(A546,"hh"),LoadTable[],6,FALSE)*T546</f>
        <v>18478.262883840001</v>
      </c>
      <c r="V546">
        <f t="shared" ref="V546:W546" si="563">V522</f>
        <v>3.2</v>
      </c>
      <c r="W546">
        <f t="shared" si="563"/>
        <v>2.9</v>
      </c>
      <c r="X546" s="9">
        <v>3.3571078999999999</v>
      </c>
    </row>
    <row r="547" spans="1:24">
      <c r="A547" s="29">
        <f t="shared" si="529"/>
        <v>45858.666666665347</v>
      </c>
      <c r="B547" s="30">
        <f t="shared" si="553"/>
        <v>8000</v>
      </c>
      <c r="C547" s="8">
        <v>25000</v>
      </c>
      <c r="D547" s="8">
        <v>0</v>
      </c>
      <c r="E547" s="8">
        <v>700</v>
      </c>
      <c r="F547" s="8">
        <v>15000</v>
      </c>
      <c r="G547" s="30">
        <f t="shared" si="554"/>
        <v>2400</v>
      </c>
      <c r="H547" s="8">
        <v>25000</v>
      </c>
      <c r="I547" s="30">
        <f t="shared" si="555"/>
        <v>8000</v>
      </c>
      <c r="J547" s="8">
        <v>25000</v>
      </c>
      <c r="K547" s="30">
        <f t="shared" si="556"/>
        <v>8000</v>
      </c>
      <c r="L547" s="8">
        <v>25000</v>
      </c>
      <c r="M547" s="9">
        <f>VLOOKUP(DATE(YEAR(A547),MONTH(A547),DAY(A547)),FY24_Temp[],4,FALSE)</f>
        <v>8.4</v>
      </c>
      <c r="N547" s="9">
        <f>VLOOKUP(DATE(YEAR(A547),MONTH(A547),DAY(A547)),FY24_Temp[],3,FALSE)</f>
        <v>12.8</v>
      </c>
      <c r="O547" s="9">
        <v>13.5</v>
      </c>
      <c r="P547" s="9">
        <v>19.5</v>
      </c>
      <c r="Q547" s="79">
        <f>VLOOKUP(VLOOKUP(DATEVALUE(TEXT(A547,"m/d/yyyy")),FY24_Temp[],5,FALSE)&amp;TEXT(A547,"-h"),Table6[],4,FALSE)</f>
        <v>0.95228569848196842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VLOOKUP(TEXT(A547,"yy-mm")&amp;"-"&amp;IF(AND(WEEKDAY(A547)&gt;1,WEEKDAY(A547)&lt;7),"Wkd",TEXT(A547,"Ddd"))&amp;"-"&amp;TEXT(A547,"hh"),LoadTable[],5,FALSE)*0.92</f>
        <v>473.62059999999997</v>
      </c>
      <c r="U547" s="104">
        <f>VLOOKUP(TEXT(A547,"yy-mm")&amp;"-"&amp;IF(AND(WEEKDAY(A547)&gt;1,WEEKDAY(A547)&lt;7),"Wkd",TEXT(A547,"Ddd"))&amp;"-"&amp;TEXT(A547,"hh"),LoadTable[],6,FALSE)*T547</f>
        <v>22424.040927599995</v>
      </c>
      <c r="V547">
        <f t="shared" ref="V547:W547" si="564">V523</f>
        <v>3.5</v>
      </c>
      <c r="W547">
        <f t="shared" si="564"/>
        <v>3</v>
      </c>
      <c r="X547" s="9">
        <v>3.2602608000000002</v>
      </c>
    </row>
    <row r="548" spans="1:24">
      <c r="A548" s="29">
        <f t="shared" si="529"/>
        <v>45858.708333332012</v>
      </c>
      <c r="B548" s="30">
        <f t="shared" si="553"/>
        <v>8000</v>
      </c>
      <c r="C548" s="8">
        <v>25000</v>
      </c>
      <c r="D548" s="8">
        <v>0</v>
      </c>
      <c r="E548" s="8">
        <v>700</v>
      </c>
      <c r="F548" s="8">
        <v>15000</v>
      </c>
      <c r="G548" s="30">
        <f t="shared" si="554"/>
        <v>2400</v>
      </c>
      <c r="H548" s="8">
        <v>25000</v>
      </c>
      <c r="I548" s="30">
        <f t="shared" si="555"/>
        <v>8000</v>
      </c>
      <c r="J548" s="8">
        <v>25000</v>
      </c>
      <c r="K548" s="30">
        <f t="shared" si="556"/>
        <v>8000</v>
      </c>
      <c r="L548" s="8">
        <v>25000</v>
      </c>
      <c r="M548" s="9">
        <f>VLOOKUP(DATE(YEAR(A548),MONTH(A548),DAY(A548)),FY24_Temp[],4,FALSE)</f>
        <v>8.4</v>
      </c>
      <c r="N548" s="9">
        <f>VLOOKUP(DATE(YEAR(A548),MONTH(A548),DAY(A548)),FY24_Temp[],3,FALSE)</f>
        <v>12.8</v>
      </c>
      <c r="O548" s="9">
        <v>13.5</v>
      </c>
      <c r="P548" s="9">
        <v>19.5</v>
      </c>
      <c r="Q548" s="79">
        <f>VLOOKUP(VLOOKUP(DATEVALUE(TEXT(A548,"m/d/yyyy")),FY24_Temp[],5,FALSE)&amp;TEXT(A548,"-h"),Table6[],4,FALSE)</f>
        <v>1.1852857215063912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VLOOKUP(TEXT(A548,"yy-mm")&amp;"-"&amp;IF(AND(WEEKDAY(A548)&gt;1,WEEKDAY(A548)&lt;7),"Wkd",TEXT(A548,"Ddd"))&amp;"-"&amp;TEXT(A548,"hh"),LoadTable[],5,FALSE)*0.92</f>
        <v>473.62059999999997</v>
      </c>
      <c r="U548" s="104">
        <f>VLOOKUP(TEXT(A548,"yy-mm")&amp;"-"&amp;IF(AND(WEEKDAY(A548)&gt;1,WEEKDAY(A548)&lt;7),"Wkd",TEXT(A548,"Ddd"))&amp;"-"&amp;TEXT(A548,"hh"),LoadTable[],6,FALSE)*T548</f>
        <v>25901.363372799999</v>
      </c>
      <c r="V548">
        <f t="shared" ref="V548:W548" si="565">V524</f>
        <v>3.6</v>
      </c>
      <c r="W548">
        <f t="shared" si="565"/>
        <v>3</v>
      </c>
      <c r="X548" s="9">
        <v>3.1825820999999999</v>
      </c>
    </row>
    <row r="549" spans="1:24">
      <c r="A549" s="29">
        <f t="shared" si="529"/>
        <v>45858.749999998676</v>
      </c>
      <c r="B549" s="30">
        <f t="shared" si="553"/>
        <v>5000</v>
      </c>
      <c r="C549" s="8">
        <v>25000</v>
      </c>
      <c r="D549" s="8">
        <v>0</v>
      </c>
      <c r="E549" s="8">
        <v>700</v>
      </c>
      <c r="F549" s="8">
        <v>15000</v>
      </c>
      <c r="G549" s="30">
        <f t="shared" si="554"/>
        <v>2400</v>
      </c>
      <c r="H549" s="8">
        <v>25000</v>
      </c>
      <c r="I549" s="30">
        <f t="shared" si="555"/>
        <v>5000</v>
      </c>
      <c r="J549" s="8">
        <v>25000</v>
      </c>
      <c r="K549" s="30">
        <f t="shared" si="556"/>
        <v>5000</v>
      </c>
      <c r="L549" s="8">
        <v>25000</v>
      </c>
      <c r="M549" s="9">
        <f>VLOOKUP(DATE(YEAR(A549),MONTH(A549),DAY(A549)),FY24_Temp[],4,FALSE)</f>
        <v>8.4</v>
      </c>
      <c r="N549" s="9">
        <f>VLOOKUP(DATE(YEAR(A549),MONTH(A549),DAY(A549)),FY24_Temp[],3,FALSE)</f>
        <v>12.8</v>
      </c>
      <c r="O549" s="9">
        <v>13.5</v>
      </c>
      <c r="P549" s="9">
        <v>19.5</v>
      </c>
      <c r="Q549" s="79">
        <f>VLOOKUP(VLOOKUP(DATEVALUE(TEXT(A549,"m/d/yyyy")),FY24_Temp[],5,FALSE)&amp;TEXT(A549,"-h"),Table6[],4,FALSE)</f>
        <v>1.5737142562866211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VLOOKUP(TEXT(A549,"yy-mm")&amp;"-"&amp;IF(AND(WEEKDAY(A549)&gt;1,WEEKDAY(A549)&lt;7),"Wkd",TEXT(A549,"Ddd"))&amp;"-"&amp;TEXT(A549,"hh"),LoadTable[],5,FALSE)*0.92</f>
        <v>494.57360000000006</v>
      </c>
      <c r="U549" s="104">
        <f>VLOOKUP(TEXT(A549,"yy-mm")&amp;"-"&amp;IF(AND(WEEKDAY(A549)&gt;1,WEEKDAY(A549)&lt;7),"Wkd",TEXT(A549,"Ddd"))&amp;"-"&amp;TEXT(A549,"hh"),LoadTable[],6,FALSE)*T549</f>
        <v>34985.641890400009</v>
      </c>
      <c r="V549">
        <f t="shared" ref="V549:W549" si="566">V525</f>
        <v>2.9</v>
      </c>
      <c r="W549">
        <f t="shared" si="566"/>
        <v>3</v>
      </c>
      <c r="X549" s="9">
        <v>3.1718544999999998</v>
      </c>
    </row>
    <row r="550" spans="1:24">
      <c r="A550" s="29">
        <f t="shared" si="529"/>
        <v>45858.79166666534</v>
      </c>
      <c r="B550" s="30">
        <f t="shared" si="553"/>
        <v>5000</v>
      </c>
      <c r="C550" s="8">
        <v>25000</v>
      </c>
      <c r="D550" s="8">
        <v>0</v>
      </c>
      <c r="E550" s="8">
        <v>700</v>
      </c>
      <c r="F550" s="8">
        <v>15000</v>
      </c>
      <c r="G550" s="30">
        <f t="shared" si="554"/>
        <v>2400</v>
      </c>
      <c r="H550" s="8">
        <v>25000</v>
      </c>
      <c r="I550" s="30">
        <f t="shared" si="555"/>
        <v>5000</v>
      </c>
      <c r="J550" s="8">
        <v>25000</v>
      </c>
      <c r="K550" s="30">
        <f t="shared" si="556"/>
        <v>5000</v>
      </c>
      <c r="L550" s="8">
        <v>25000</v>
      </c>
      <c r="M550" s="9">
        <f>VLOOKUP(DATE(YEAR(A550),MONTH(A550),DAY(A550)),FY24_Temp[],4,FALSE)</f>
        <v>8.4</v>
      </c>
      <c r="N550" s="9">
        <f>VLOOKUP(DATE(YEAR(A550),MONTH(A550),DAY(A550)),FY24_Temp[],3,FALSE)</f>
        <v>12.8</v>
      </c>
      <c r="O550" s="9">
        <v>13.5</v>
      </c>
      <c r="P550" s="9">
        <v>19.5</v>
      </c>
      <c r="Q550" s="79">
        <f>VLOOKUP(VLOOKUP(DATEVALUE(TEXT(A550,"m/d/yyyy")),FY24_Temp[],5,FALSE)&amp;TEXT(A550,"-h"),Table6[],4,FALSE)</f>
        <v>2.4347143173217773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VLOOKUP(TEXT(A550,"yy-mm")&amp;"-"&amp;IF(AND(WEEKDAY(A550)&gt;1,WEEKDAY(A550)&lt;7),"Wkd",TEXT(A550,"Ddd"))&amp;"-"&amp;TEXT(A550,"hh"),LoadTable[],5,FALSE)*0.92</f>
        <v>494.57360000000006</v>
      </c>
      <c r="U550" s="104">
        <f>VLOOKUP(TEXT(A550,"yy-mm")&amp;"-"&amp;IF(AND(WEEKDAY(A550)&gt;1,WEEKDAY(A550)&lt;7),"Wkd",TEXT(A550,"Ddd"))&amp;"-"&amp;TEXT(A550,"hh"),LoadTable[],6,FALSE)*T550</f>
        <v>41988.804066400007</v>
      </c>
      <c r="V550">
        <f t="shared" ref="V550:W550" si="567">V526</f>
        <v>3</v>
      </c>
      <c r="W550">
        <f t="shared" si="567"/>
        <v>3</v>
      </c>
      <c r="X550" s="9">
        <v>3.1364779</v>
      </c>
    </row>
    <row r="551" spans="1:24">
      <c r="A551" s="29">
        <f t="shared" si="529"/>
        <v>45858.833333332004</v>
      </c>
      <c r="B551" s="30">
        <f t="shared" si="553"/>
        <v>5000</v>
      </c>
      <c r="C551" s="8">
        <v>25000</v>
      </c>
      <c r="D551" s="8">
        <v>0</v>
      </c>
      <c r="E551" s="8">
        <v>700</v>
      </c>
      <c r="F551" s="8">
        <v>15000</v>
      </c>
      <c r="G551" s="30">
        <f t="shared" si="554"/>
        <v>2400</v>
      </c>
      <c r="H551" s="8">
        <v>25000</v>
      </c>
      <c r="I551" s="30">
        <f t="shared" si="555"/>
        <v>5000</v>
      </c>
      <c r="J551" s="8">
        <v>25000</v>
      </c>
      <c r="K551" s="30">
        <f t="shared" si="556"/>
        <v>5000</v>
      </c>
      <c r="L551" s="8">
        <v>25000</v>
      </c>
      <c r="M551" s="9">
        <f>VLOOKUP(DATE(YEAR(A551),MONTH(A551),DAY(A551)),FY24_Temp[],4,FALSE)</f>
        <v>8.4</v>
      </c>
      <c r="N551" s="9">
        <f>VLOOKUP(DATE(YEAR(A551),MONTH(A551),DAY(A551)),FY24_Temp[],3,FALSE)</f>
        <v>12.8</v>
      </c>
      <c r="O551" s="9">
        <v>13.5</v>
      </c>
      <c r="P551" s="9">
        <v>19.5</v>
      </c>
      <c r="Q551" s="79">
        <f>VLOOKUP(VLOOKUP(DATEVALUE(TEXT(A551,"m/d/yyyy")),FY24_Temp[],5,FALSE)&amp;TEXT(A551,"-h"),Table6[],4,FALSE)</f>
        <v>3.1158571583884105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VLOOKUP(TEXT(A551,"yy-mm")&amp;"-"&amp;IF(AND(WEEKDAY(A551)&gt;1,WEEKDAY(A551)&lt;7),"Wkd",TEXT(A551,"Ddd"))&amp;"-"&amp;TEXT(A551,"hh"),LoadTable[],5,FALSE)*0.92</f>
        <v>494.57360000000006</v>
      </c>
      <c r="U551" s="104">
        <f>VLOOKUP(TEXT(A551,"yy-mm")&amp;"-"&amp;IF(AND(WEEKDAY(A551)&gt;1,WEEKDAY(A551)&lt;7),"Wkd",TEXT(A551,"Ddd"))&amp;"-"&amp;TEXT(A551,"hh"),LoadTable[],6,FALSE)*T551</f>
        <v>41403.723497600004</v>
      </c>
      <c r="V551">
        <f t="shared" ref="V551:W551" si="568">V527</f>
        <v>2.8</v>
      </c>
      <c r="W551">
        <f t="shared" si="568"/>
        <v>3.1</v>
      </c>
      <c r="X551" s="9">
        <v>3.0999582000000001</v>
      </c>
    </row>
    <row r="552" spans="1:24">
      <c r="A552" s="29">
        <f t="shared" si="529"/>
        <v>45858.874999998668</v>
      </c>
      <c r="B552" s="30">
        <f t="shared" si="553"/>
        <v>5000</v>
      </c>
      <c r="C552" s="8">
        <v>25000</v>
      </c>
      <c r="D552" s="8">
        <v>0</v>
      </c>
      <c r="E552" s="8">
        <v>700</v>
      </c>
      <c r="F552" s="8">
        <v>15000</v>
      </c>
      <c r="G552" s="30">
        <f t="shared" si="554"/>
        <v>2400</v>
      </c>
      <c r="H552" s="8">
        <v>25000</v>
      </c>
      <c r="I552" s="30">
        <f t="shared" si="555"/>
        <v>5000</v>
      </c>
      <c r="J552" s="8">
        <v>25000</v>
      </c>
      <c r="K552" s="30">
        <f t="shared" si="556"/>
        <v>5000</v>
      </c>
      <c r="L552" s="8">
        <v>25000</v>
      </c>
      <c r="M552" s="9">
        <f>VLOOKUP(DATE(YEAR(A552),MONTH(A552),DAY(A552)),FY24_Temp[],4,FALSE)</f>
        <v>8.4</v>
      </c>
      <c r="N552" s="9">
        <f>VLOOKUP(DATE(YEAR(A552),MONTH(A552),DAY(A552)),FY24_Temp[],3,FALSE)</f>
        <v>12.8</v>
      </c>
      <c r="O552" s="9">
        <v>13.5</v>
      </c>
      <c r="P552" s="9">
        <v>19.5</v>
      </c>
      <c r="Q552" s="79">
        <f>VLOOKUP(VLOOKUP(DATEVALUE(TEXT(A552,"m/d/yyyy")),FY24_Temp[],5,FALSE)&amp;TEXT(A552,"-h"),Table6[],4,FALSE)</f>
        <v>3.3202857630593434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VLOOKUP(TEXT(A552,"yy-mm")&amp;"-"&amp;IF(AND(WEEKDAY(A552)&gt;1,WEEKDAY(A552)&lt;7),"Wkd",TEXT(A552,"Ddd"))&amp;"-"&amp;TEXT(A552,"hh"),LoadTable[],5,FALSE)*0.92</f>
        <v>418.75640000000004</v>
      </c>
      <c r="U552" s="104">
        <f>VLOOKUP(TEXT(A552,"yy-mm")&amp;"-"&amp;IF(AND(WEEKDAY(A552)&gt;1,WEEKDAY(A552)&lt;7),"Wkd",TEXT(A552,"Ddd"))&amp;"-"&amp;TEXT(A552,"hh"),LoadTable[],6,FALSE)*T552</f>
        <v>31234.202363200002</v>
      </c>
      <c r="V552">
        <f t="shared" ref="V552:W552" si="569">V528</f>
        <v>3.5</v>
      </c>
      <c r="W552">
        <f t="shared" si="569"/>
        <v>3.1</v>
      </c>
      <c r="X552" s="9">
        <v>3.0655272</v>
      </c>
    </row>
    <row r="553" spans="1:24">
      <c r="A553" s="29">
        <f t="shared" si="529"/>
        <v>45858.916666665333</v>
      </c>
      <c r="B553" s="30">
        <f t="shared" si="553"/>
        <v>5000</v>
      </c>
      <c r="C553" s="8">
        <v>25000</v>
      </c>
      <c r="D553" s="8">
        <v>0</v>
      </c>
      <c r="E553" s="8">
        <v>700</v>
      </c>
      <c r="F553" s="8">
        <v>15000</v>
      </c>
      <c r="G553" s="30">
        <f t="shared" si="554"/>
        <v>2400</v>
      </c>
      <c r="H553" s="8">
        <v>25000</v>
      </c>
      <c r="I553" s="30">
        <f t="shared" si="555"/>
        <v>5000</v>
      </c>
      <c r="J553" s="8">
        <v>25000</v>
      </c>
      <c r="K553" s="30">
        <f t="shared" si="556"/>
        <v>5000</v>
      </c>
      <c r="L553" s="8">
        <v>25000</v>
      </c>
      <c r="M553" s="9">
        <f>VLOOKUP(DATE(YEAR(A553),MONTH(A553),DAY(A553)),FY24_Temp[],4,FALSE)</f>
        <v>8.4</v>
      </c>
      <c r="N553" s="9">
        <f>VLOOKUP(DATE(YEAR(A553),MONTH(A553),DAY(A553)),FY24_Temp[],3,FALSE)</f>
        <v>12.8</v>
      </c>
      <c r="O553" s="9">
        <v>13.5</v>
      </c>
      <c r="P553" s="9">
        <v>19.5</v>
      </c>
      <c r="Q553" s="79">
        <f>VLOOKUP(VLOOKUP(DATEVALUE(TEXT(A553,"m/d/yyyy")),FY24_Temp[],5,FALSE)&amp;TEXT(A553,"-h"),Table6[],4,FALSE)</f>
        <v>3.2868570940835133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VLOOKUP(TEXT(A553,"yy-mm")&amp;"-"&amp;IF(AND(WEEKDAY(A553)&gt;1,WEEKDAY(A553)&lt;7),"Wkd",TEXT(A553,"Ddd"))&amp;"-"&amp;TEXT(A553,"hh"),LoadTable[],5,FALSE)*0.92</f>
        <v>342.93920000000003</v>
      </c>
      <c r="U553" s="104">
        <f>VLOOKUP(TEXT(A553,"yy-mm")&amp;"-"&amp;IF(AND(WEEKDAY(A553)&gt;1,WEEKDAY(A553)&lt;7),"Wkd",TEXT(A553,"Ddd"))&amp;"-"&amp;TEXT(A553,"hh"),LoadTable[],6,FALSE)*T553</f>
        <v>19376.4077392</v>
      </c>
      <c r="V553">
        <f t="shared" ref="V553:W553" si="570">V529</f>
        <v>2.9</v>
      </c>
      <c r="W553">
        <f t="shared" si="570"/>
        <v>3.1</v>
      </c>
      <c r="X553" s="9">
        <v>3.0289983999999999</v>
      </c>
    </row>
    <row r="554" spans="1:24">
      <c r="A554" s="29">
        <f t="shared" si="529"/>
        <v>45858.958333331997</v>
      </c>
      <c r="B554" s="30">
        <f t="shared" si="553"/>
        <v>5000</v>
      </c>
      <c r="C554" s="8">
        <v>25000</v>
      </c>
      <c r="D554" s="8">
        <v>0</v>
      </c>
      <c r="E554" s="8">
        <v>700</v>
      </c>
      <c r="F554" s="8">
        <v>15000</v>
      </c>
      <c r="G554" s="30">
        <f t="shared" si="554"/>
        <v>2400</v>
      </c>
      <c r="H554" s="8">
        <v>25000</v>
      </c>
      <c r="I554" s="30">
        <f t="shared" si="555"/>
        <v>5000</v>
      </c>
      <c r="J554" s="8">
        <v>25000</v>
      </c>
      <c r="K554" s="30">
        <f t="shared" si="556"/>
        <v>5000</v>
      </c>
      <c r="L554" s="8">
        <v>25000</v>
      </c>
      <c r="M554" s="9">
        <f>VLOOKUP(DATE(YEAR(A554),MONTH(A554),DAY(A554)),FY24_Temp[],4,FALSE)</f>
        <v>8.4</v>
      </c>
      <c r="N554" s="9">
        <f>VLOOKUP(DATE(YEAR(A554),MONTH(A554),DAY(A554)),FY24_Temp[],3,FALSE)</f>
        <v>12.8</v>
      </c>
      <c r="O554" s="9">
        <v>13.5</v>
      </c>
      <c r="P554" s="9">
        <v>19.5</v>
      </c>
      <c r="Q554" s="79">
        <f>VLOOKUP(VLOOKUP(DATEVALUE(TEXT(A554,"m/d/yyyy")),FY24_Temp[],5,FALSE)&amp;TEXT(A554,"-h"),Table6[],4,FALSE)</f>
        <v>3.1470000062670027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VLOOKUP(TEXT(A554,"yy-mm")&amp;"-"&amp;IF(AND(WEEKDAY(A554)&gt;1,WEEKDAY(A554)&lt;7),"Wkd",TEXT(A554,"Ddd"))&amp;"-"&amp;TEXT(A554,"hh"),LoadTable[],5,FALSE)*0.92</f>
        <v>279.25312000000002</v>
      </c>
      <c r="U554" s="104">
        <f>VLOOKUP(TEXT(A554,"yy-mm")&amp;"-"&amp;IF(AND(WEEKDAY(A554)&gt;1,WEEKDAY(A554)&lt;7),"Wkd",TEXT(A554,"Ddd"))&amp;"-"&amp;TEXT(A554,"hh"),LoadTable[],6,FALSE)*T554</f>
        <v>14528.981327360001</v>
      </c>
      <c r="V554">
        <f t="shared" ref="V554:W554" si="571">V530</f>
        <v>3.6</v>
      </c>
      <c r="W554">
        <f t="shared" si="571"/>
        <v>3.1</v>
      </c>
      <c r="X554" s="9">
        <v>2.9247817999999999</v>
      </c>
    </row>
    <row r="555" spans="1:24">
      <c r="A555" s="29">
        <f t="shared" si="529"/>
        <v>45858.999999998661</v>
      </c>
      <c r="B555" s="30">
        <f t="shared" si="553"/>
        <v>5000</v>
      </c>
      <c r="C555" s="8">
        <v>25000</v>
      </c>
      <c r="D555" s="8">
        <v>0</v>
      </c>
      <c r="E555" s="8">
        <v>700</v>
      </c>
      <c r="F555" s="8">
        <v>15000</v>
      </c>
      <c r="G555" s="30">
        <f t="shared" si="554"/>
        <v>2400</v>
      </c>
      <c r="H555" s="8">
        <v>25000</v>
      </c>
      <c r="I555" s="30">
        <f t="shared" si="555"/>
        <v>5000</v>
      </c>
      <c r="J555" s="8">
        <v>25000</v>
      </c>
      <c r="K555" s="30">
        <f t="shared" si="556"/>
        <v>5000</v>
      </c>
      <c r="L555" s="8">
        <v>25000</v>
      </c>
      <c r="M555" s="9">
        <f>VLOOKUP(DATE(YEAR(A555),MONTH(A555),DAY(A555)),FY24_Temp[],4,FALSE)</f>
        <v>8.4</v>
      </c>
      <c r="N555" s="9">
        <f>VLOOKUP(DATE(YEAR(A555),MONTH(A555),DAY(A555)),FY24_Temp[],3,FALSE)</f>
        <v>12.8</v>
      </c>
      <c r="O555" s="9">
        <v>13.5</v>
      </c>
      <c r="P555" s="9">
        <v>19.5</v>
      </c>
      <c r="Q555" s="79">
        <f>VLOOKUP(VLOOKUP(DATEVALUE(TEXT(A555,"m/d/yyyy")),FY24_Temp[],5,FALSE)&amp;TEXT(A555,"-h"),Table6[],4,FALSE)</f>
        <v>2.990142822265625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VLOOKUP(TEXT(A555,"yy-mm")&amp;"-"&amp;IF(AND(WEEKDAY(A555)&gt;1,WEEKDAY(A555)&lt;7),"Wkd",TEXT(A555,"Ddd"))&amp;"-"&amp;TEXT(A555,"hh"),LoadTable[],5,FALSE)*0.92</f>
        <v>279.25312000000002</v>
      </c>
      <c r="U555" s="104">
        <f>VLOOKUP(TEXT(A555,"yy-mm")&amp;"-"&amp;IF(AND(WEEKDAY(A555)&gt;1,WEEKDAY(A555)&lt;7),"Wkd",TEXT(A555,"Ddd"))&amp;"-"&amp;TEXT(A555,"hh"),LoadTable[],6,FALSE)*T555</f>
        <v>14895.640673920001</v>
      </c>
      <c r="V555">
        <f t="shared" ref="V555:W555" si="572">V531</f>
        <v>3</v>
      </c>
      <c r="W555">
        <f t="shared" si="572"/>
        <v>3.2</v>
      </c>
      <c r="X555" s="9">
        <v>2.8429899000000001</v>
      </c>
    </row>
    <row r="556" spans="1:24">
      <c r="A556" s="29">
        <f t="shared" si="529"/>
        <v>45859.041666665325</v>
      </c>
      <c r="B556" s="30">
        <f t="shared" si="553"/>
        <v>5000</v>
      </c>
      <c r="C556" s="8">
        <v>25000</v>
      </c>
      <c r="D556" s="8">
        <v>0</v>
      </c>
      <c r="E556" s="8">
        <v>700</v>
      </c>
      <c r="F556" s="8">
        <v>15000</v>
      </c>
      <c r="G556" s="30">
        <f t="shared" si="554"/>
        <v>2400</v>
      </c>
      <c r="H556" s="8">
        <v>25000</v>
      </c>
      <c r="I556" s="30">
        <f t="shared" si="555"/>
        <v>5000</v>
      </c>
      <c r="J556" s="8">
        <v>25000</v>
      </c>
      <c r="K556" s="30">
        <f t="shared" si="556"/>
        <v>5000</v>
      </c>
      <c r="L556" s="8">
        <v>25000</v>
      </c>
      <c r="M556" s="9">
        <f>VLOOKUP(DATE(YEAR(A556),MONTH(A556),DAY(A556)),FY24_Temp[],4,FALSE)</f>
        <v>8.4</v>
      </c>
      <c r="N556" s="9">
        <f>VLOOKUP(DATE(YEAR(A556),MONTH(A556),DAY(A556)),FY24_Temp[],3,FALSE)</f>
        <v>12.8</v>
      </c>
      <c r="O556" s="9">
        <v>13.5</v>
      </c>
      <c r="P556" s="9">
        <v>19.5</v>
      </c>
      <c r="Q556" s="79">
        <f>VLOOKUP(VLOOKUP(DATEVALUE(TEXT(A556,"m/d/yyyy")),FY24_Temp[],5,FALSE)&amp;TEXT(A556,"-h"),Table6[],4,FALSE)</f>
        <v>2.8801428590502058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VLOOKUP(TEXT(A556,"yy-mm")&amp;"-"&amp;IF(AND(WEEKDAY(A556)&gt;1,WEEKDAY(A556)&lt;7),"Wkd",TEXT(A556,"Ddd"))&amp;"-"&amp;TEXT(A556,"hh"),LoadTable[],5,FALSE)*0.92</f>
        <v>279.25312000000002</v>
      </c>
      <c r="U556" s="104">
        <f>VLOOKUP(TEXT(A556,"yy-mm")&amp;"-"&amp;IF(AND(WEEKDAY(A556)&gt;1,WEEKDAY(A556)&lt;7),"Wkd",TEXT(A556,"Ddd"))&amp;"-"&amp;TEXT(A556,"hh"),LoadTable[],6,FALSE)*T556</f>
        <v>14470.896678400002</v>
      </c>
      <c r="V556">
        <f t="shared" ref="V556:W556" si="573">V532</f>
        <v>2.6</v>
      </c>
      <c r="W556">
        <f t="shared" si="573"/>
        <v>3.2</v>
      </c>
      <c r="X556" s="9">
        <v>2.7882495</v>
      </c>
    </row>
    <row r="557" spans="1:24">
      <c r="A557" s="29">
        <f t="shared" si="529"/>
        <v>45859.08333333199</v>
      </c>
      <c r="B557" s="30">
        <f t="shared" si="553"/>
        <v>5000</v>
      </c>
      <c r="C557" s="8">
        <v>25000</v>
      </c>
      <c r="D557" s="8">
        <v>0</v>
      </c>
      <c r="E557" s="8">
        <v>700</v>
      </c>
      <c r="F557" s="8">
        <v>15000</v>
      </c>
      <c r="G557" s="30">
        <f t="shared" si="554"/>
        <v>2400</v>
      </c>
      <c r="H557" s="8">
        <v>25000</v>
      </c>
      <c r="I557" s="30">
        <f t="shared" si="555"/>
        <v>5000</v>
      </c>
      <c r="J557" s="8">
        <v>25000</v>
      </c>
      <c r="K557" s="30">
        <f t="shared" si="556"/>
        <v>5000</v>
      </c>
      <c r="L557" s="8">
        <v>25000</v>
      </c>
      <c r="M557" s="9">
        <f>VLOOKUP(DATE(YEAR(A557),MONTH(A557),DAY(A557)),FY24_Temp[],4,FALSE)</f>
        <v>8.4</v>
      </c>
      <c r="N557" s="9">
        <f>VLOOKUP(DATE(YEAR(A557),MONTH(A557),DAY(A557)),FY24_Temp[],3,FALSE)</f>
        <v>12.8</v>
      </c>
      <c r="O557" s="9">
        <v>13.5</v>
      </c>
      <c r="P557" s="9">
        <v>19.5</v>
      </c>
      <c r="Q557" s="79">
        <f>VLOOKUP(VLOOKUP(DATEVALUE(TEXT(A557,"m/d/yyyy")),FY24_Temp[],5,FALSE)&amp;TEXT(A557,"-h"),Table6[],4,FALSE)</f>
        <v>2.7695714065006802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VLOOKUP(TEXT(A557,"yy-mm")&amp;"-"&amp;IF(AND(WEEKDAY(A557)&gt;1,WEEKDAY(A557)&lt;7),"Wkd",TEXT(A557,"Ddd"))&amp;"-"&amp;TEXT(A557,"hh"),LoadTable[],5,FALSE)*0.92</f>
        <v>279.25312000000002</v>
      </c>
      <c r="U557" s="104">
        <f>VLOOKUP(TEXT(A557,"yy-mm")&amp;"-"&amp;IF(AND(WEEKDAY(A557)&gt;1,WEEKDAY(A557)&lt;7),"Wkd",TEXT(A557,"Ddd"))&amp;"-"&amp;TEXT(A557,"hh"),LoadTable[],6,FALSE)*T557</f>
        <v>14154.50289344</v>
      </c>
      <c r="V557">
        <f t="shared" ref="V557:W557" si="574">V533</f>
        <v>2.8</v>
      </c>
      <c r="W557">
        <f t="shared" si="574"/>
        <v>3.2</v>
      </c>
      <c r="X557" s="9">
        <v>2.8574746000000002</v>
      </c>
    </row>
    <row r="558" spans="1:24">
      <c r="A558" s="29">
        <f t="shared" si="529"/>
        <v>45859.124999998654</v>
      </c>
      <c r="B558" s="30">
        <f t="shared" si="553"/>
        <v>5000</v>
      </c>
      <c r="C558" s="8">
        <v>25000</v>
      </c>
      <c r="D558" s="8">
        <v>0</v>
      </c>
      <c r="E558" s="8">
        <v>700</v>
      </c>
      <c r="F558" s="8">
        <v>15000</v>
      </c>
      <c r="G558" s="30">
        <f t="shared" si="554"/>
        <v>2400</v>
      </c>
      <c r="H558" s="8">
        <v>25000</v>
      </c>
      <c r="I558" s="30">
        <f t="shared" si="555"/>
        <v>5000</v>
      </c>
      <c r="J558" s="8">
        <v>25000</v>
      </c>
      <c r="K558" s="30">
        <f t="shared" si="556"/>
        <v>5000</v>
      </c>
      <c r="L558" s="8">
        <v>25000</v>
      </c>
      <c r="M558" s="9">
        <f>VLOOKUP(DATE(YEAR(A558),MONTH(A558),DAY(A558)),FY24_Temp[],4,FALSE)</f>
        <v>8.4</v>
      </c>
      <c r="N558" s="9">
        <f>VLOOKUP(DATE(YEAR(A558),MONTH(A558),DAY(A558)),FY24_Temp[],3,FALSE)</f>
        <v>12.8</v>
      </c>
      <c r="O558" s="9">
        <v>13.5</v>
      </c>
      <c r="P558" s="9">
        <v>19.5</v>
      </c>
      <c r="Q558" s="79">
        <f>VLOOKUP(VLOOKUP(DATEVALUE(TEXT(A558,"m/d/yyyy")),FY24_Temp[],5,FALSE)&amp;TEXT(A558,"-h"),Table6[],4,FALSE)</f>
        <v>2.65728565624782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VLOOKUP(TEXT(A558,"yy-mm")&amp;"-"&amp;IF(AND(WEEKDAY(A558)&gt;1,WEEKDAY(A558)&lt;7),"Wkd",TEXT(A558,"Ddd"))&amp;"-"&amp;TEXT(A558,"hh"),LoadTable[],5,FALSE)*0.92</f>
        <v>279.25312000000002</v>
      </c>
      <c r="U558" s="104">
        <f>VLOOKUP(TEXT(A558,"yy-mm")&amp;"-"&amp;IF(AND(WEEKDAY(A558)&gt;1,WEEKDAY(A558)&lt;7),"Wkd",TEXT(A558,"Ddd"))&amp;"-"&amp;TEXT(A558,"hh"),LoadTable[],6,FALSE)*T558</f>
        <v>14206.443973760001</v>
      </c>
      <c r="V558">
        <f t="shared" ref="V558:W558" si="575">V534</f>
        <v>2.7</v>
      </c>
      <c r="W558">
        <f t="shared" si="575"/>
        <v>3.2</v>
      </c>
      <c r="X558" s="9">
        <v>2.9044726000000001</v>
      </c>
    </row>
    <row r="559" spans="1:24">
      <c r="A559" s="29">
        <f t="shared" si="529"/>
        <v>45859.166666665318</v>
      </c>
      <c r="B559" s="30">
        <f t="shared" si="553"/>
        <v>5000</v>
      </c>
      <c r="C559" s="8">
        <v>25000</v>
      </c>
      <c r="D559" s="8">
        <v>0</v>
      </c>
      <c r="E559" s="8">
        <v>700</v>
      </c>
      <c r="F559" s="8">
        <v>15000</v>
      </c>
      <c r="G559" s="30">
        <f t="shared" si="554"/>
        <v>2400</v>
      </c>
      <c r="H559" s="8">
        <v>25000</v>
      </c>
      <c r="I559" s="30">
        <f t="shared" si="555"/>
        <v>5000</v>
      </c>
      <c r="J559" s="8">
        <v>25000</v>
      </c>
      <c r="K559" s="30">
        <f t="shared" si="556"/>
        <v>5000</v>
      </c>
      <c r="L559" s="8">
        <v>25000</v>
      </c>
      <c r="M559" s="9">
        <f>VLOOKUP(DATE(YEAR(A559),MONTH(A559),DAY(A559)),FY24_Temp[],4,FALSE)</f>
        <v>8.4</v>
      </c>
      <c r="N559" s="9">
        <f>VLOOKUP(DATE(YEAR(A559),MONTH(A559),DAY(A559)),FY24_Temp[],3,FALSE)</f>
        <v>12.8</v>
      </c>
      <c r="O559" s="9">
        <v>13.5</v>
      </c>
      <c r="P559" s="9">
        <v>19.5</v>
      </c>
      <c r="Q559" s="79">
        <f>VLOOKUP(VLOOKUP(DATEVALUE(TEXT(A559,"m/d/yyyy")),FY24_Temp[],5,FALSE)&amp;TEXT(A559,"-h"),Table6[],4,FALSE)</f>
        <v>2.4975714342934743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VLOOKUP(TEXT(A559,"yy-mm")&amp;"-"&amp;IF(AND(WEEKDAY(A559)&gt;1,WEEKDAY(A559)&lt;7),"Wkd",TEXT(A559,"Ddd"))&amp;"-"&amp;TEXT(A559,"hh"),LoadTable[],5,FALSE)*0.92</f>
        <v>279.25312000000002</v>
      </c>
      <c r="U559" s="104">
        <f>VLOOKUP(TEXT(A559,"yy-mm")&amp;"-"&amp;IF(AND(WEEKDAY(A559)&gt;1,WEEKDAY(A559)&lt;7),"Wkd",TEXT(A559,"Ddd"))&amp;"-"&amp;TEXT(A559,"hh"),LoadTable[],6,FALSE)*T559</f>
        <v>14229.063476480002</v>
      </c>
      <c r="V559">
        <f t="shared" ref="V559:W559" si="576">V535</f>
        <v>3</v>
      </c>
      <c r="W559">
        <f t="shared" si="576"/>
        <v>3.1</v>
      </c>
      <c r="X559" s="9">
        <v>2.9276197000000002</v>
      </c>
    </row>
    <row r="560" spans="1:24">
      <c r="A560" s="29">
        <f t="shared" si="529"/>
        <v>45859.208333331982</v>
      </c>
      <c r="B560" s="30">
        <f t="shared" si="553"/>
        <v>5000</v>
      </c>
      <c r="C560" s="8">
        <v>25000</v>
      </c>
      <c r="D560" s="8">
        <v>0</v>
      </c>
      <c r="E560" s="8">
        <v>700</v>
      </c>
      <c r="F560" s="8">
        <v>15000</v>
      </c>
      <c r="G560" s="30">
        <f t="shared" si="554"/>
        <v>2400</v>
      </c>
      <c r="H560" s="8">
        <v>25000</v>
      </c>
      <c r="I560" s="30">
        <f t="shared" si="555"/>
        <v>5000</v>
      </c>
      <c r="J560" s="8">
        <v>25000</v>
      </c>
      <c r="K560" s="30">
        <f t="shared" si="556"/>
        <v>5000</v>
      </c>
      <c r="L560" s="8">
        <v>25000</v>
      </c>
      <c r="M560" s="9">
        <f>VLOOKUP(DATE(YEAR(A560),MONTH(A560),DAY(A560)),FY24_Temp[],4,FALSE)</f>
        <v>8.4</v>
      </c>
      <c r="N560" s="9">
        <f>VLOOKUP(DATE(YEAR(A560),MONTH(A560),DAY(A560)),FY24_Temp[],3,FALSE)</f>
        <v>12.8</v>
      </c>
      <c r="O560" s="9">
        <v>13.5</v>
      </c>
      <c r="P560" s="9">
        <v>19.5</v>
      </c>
      <c r="Q560" s="79">
        <f>VLOOKUP(VLOOKUP(DATEVALUE(TEXT(A560,"m/d/yyyy")),FY24_Temp[],5,FALSE)&amp;TEXT(A560,"-h"),Table6[],4,FALSE)</f>
        <v>2.3462857518877303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VLOOKUP(TEXT(A560,"yy-mm")&amp;"-"&amp;IF(AND(WEEKDAY(A560)&gt;1,WEEKDAY(A560)&lt;7),"Wkd",TEXT(A560,"Ddd"))&amp;"-"&amp;TEXT(A560,"hh"),LoadTable[],5,FALSE)*0.92</f>
        <v>279.25312000000002</v>
      </c>
      <c r="U560" s="104">
        <f>VLOOKUP(TEXT(A560,"yy-mm")&amp;"-"&amp;IF(AND(WEEKDAY(A560)&gt;1,WEEKDAY(A560)&lt;7),"Wkd",TEXT(A560,"Ddd"))&amp;"-"&amp;TEXT(A560,"hh"),LoadTable[],6,FALSE)*T560</f>
        <v>14735.070129920001</v>
      </c>
      <c r="V560">
        <f t="shared" ref="V560:W560" si="577">V536</f>
        <v>2.9</v>
      </c>
      <c r="W560">
        <f t="shared" si="577"/>
        <v>3.1</v>
      </c>
      <c r="X560" s="9">
        <v>2.9956455000000002</v>
      </c>
    </row>
    <row r="561" spans="1:24">
      <c r="A561" s="29">
        <f t="shared" si="529"/>
        <v>45859.249999998647</v>
      </c>
      <c r="B561" s="30">
        <f t="shared" si="553"/>
        <v>8000</v>
      </c>
      <c r="C561" s="8">
        <v>25000</v>
      </c>
      <c r="D561" s="8">
        <v>0</v>
      </c>
      <c r="E561" s="8">
        <v>700</v>
      </c>
      <c r="F561" s="8">
        <v>15000</v>
      </c>
      <c r="G561" s="30">
        <f t="shared" si="554"/>
        <v>2400</v>
      </c>
      <c r="H561" s="8">
        <v>25000</v>
      </c>
      <c r="I561" s="30">
        <f t="shared" si="555"/>
        <v>8000</v>
      </c>
      <c r="J561" s="8">
        <v>25000</v>
      </c>
      <c r="K561" s="30">
        <f t="shared" si="556"/>
        <v>8000</v>
      </c>
      <c r="L561" s="8">
        <v>25000</v>
      </c>
      <c r="M561" s="9">
        <f>VLOOKUP(DATE(YEAR(A561),MONTH(A561),DAY(A561)),FY24_Temp[],4,FALSE)</f>
        <v>8.4</v>
      </c>
      <c r="N561" s="9">
        <f>VLOOKUP(DATE(YEAR(A561),MONTH(A561),DAY(A561)),FY24_Temp[],3,FALSE)</f>
        <v>12.8</v>
      </c>
      <c r="O561" s="9">
        <v>13.5</v>
      </c>
      <c r="P561" s="9">
        <v>19.5</v>
      </c>
      <c r="Q561" s="79">
        <f>VLOOKUP(VLOOKUP(DATEVALUE(TEXT(A561,"m/d/yyyy")),FY24_Temp[],5,FALSE)&amp;TEXT(A561,"-h"),Table6[],4,FALSE)</f>
        <v>2.2328571251460483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VLOOKUP(TEXT(A561,"yy-mm")&amp;"-"&amp;IF(AND(WEEKDAY(A561)&gt;1,WEEKDAY(A561)&lt;7),"Wkd",TEXT(A561,"Ddd"))&amp;"-"&amp;TEXT(A561,"hh"),LoadTable[],5,FALSE)*0.92</f>
        <v>279.25312000000002</v>
      </c>
      <c r="U561" s="104">
        <f>VLOOKUP(TEXT(A561,"yy-mm")&amp;"-"&amp;IF(AND(WEEKDAY(A561)&gt;1,WEEKDAY(A561)&lt;7),"Wkd",TEXT(A561,"Ddd"))&amp;"-"&amp;TEXT(A561,"hh"),LoadTable[],6,FALSE)*T561</f>
        <v>26238.902408320002</v>
      </c>
      <c r="V561">
        <f t="shared" ref="V561:W561" si="578">V537</f>
        <v>2.5</v>
      </c>
      <c r="W561">
        <f t="shared" si="578"/>
        <v>3.1</v>
      </c>
      <c r="X561" s="9">
        <v>3.1045457999999999</v>
      </c>
    </row>
    <row r="562" spans="1:24">
      <c r="A562" s="29">
        <f t="shared" si="529"/>
        <v>45859.291666665311</v>
      </c>
      <c r="B562" s="30">
        <f t="shared" si="553"/>
        <v>8000</v>
      </c>
      <c r="C562" s="8">
        <v>25000</v>
      </c>
      <c r="D562" s="8">
        <v>0</v>
      </c>
      <c r="E562" s="8">
        <v>700</v>
      </c>
      <c r="F562" s="8">
        <v>15000</v>
      </c>
      <c r="G562" s="30">
        <f t="shared" si="554"/>
        <v>2400</v>
      </c>
      <c r="H562" s="8">
        <v>25000</v>
      </c>
      <c r="I562" s="30">
        <f t="shared" si="555"/>
        <v>8000</v>
      </c>
      <c r="J562" s="8">
        <v>25000</v>
      </c>
      <c r="K562" s="30">
        <f t="shared" si="556"/>
        <v>8000</v>
      </c>
      <c r="L562" s="8">
        <v>25000</v>
      </c>
      <c r="M562" s="9">
        <f>VLOOKUP(DATE(YEAR(A562),MONTH(A562),DAY(A562)),FY24_Temp[],4,FALSE)</f>
        <v>8.4</v>
      </c>
      <c r="N562" s="9">
        <f>VLOOKUP(DATE(YEAR(A562),MONTH(A562),DAY(A562)),FY24_Temp[],3,FALSE)</f>
        <v>12.8</v>
      </c>
      <c r="O562" s="9">
        <v>13.5</v>
      </c>
      <c r="P562" s="9">
        <v>19.5</v>
      </c>
      <c r="Q562" s="79">
        <f>VLOOKUP(VLOOKUP(DATEVALUE(TEXT(A562,"m/d/yyyy")),FY24_Temp[],5,FALSE)&amp;TEXT(A562,"-h"),Table6[],4,FALSE)</f>
        <v>2.127857106072562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VLOOKUP(TEXT(A562,"yy-mm")&amp;"-"&amp;IF(AND(WEEKDAY(A562)&gt;1,WEEKDAY(A562)&lt;7),"Wkd",TEXT(A562,"Ddd"))&amp;"-"&amp;TEXT(A562,"hh"),LoadTable[],5,FALSE)*0.92</f>
        <v>279.25312000000002</v>
      </c>
      <c r="U562" s="104">
        <f>VLOOKUP(TEXT(A562,"yy-mm")&amp;"-"&amp;IF(AND(WEEKDAY(A562)&gt;1,WEEKDAY(A562)&lt;7),"Wkd",TEXT(A562,"Ddd"))&amp;"-"&amp;TEXT(A562,"hh"),LoadTable[],6,FALSE)*T562</f>
        <v>22145.051669120003</v>
      </c>
      <c r="V562">
        <f t="shared" ref="V562:W562" si="579">V538</f>
        <v>2.5</v>
      </c>
      <c r="W562">
        <f t="shared" si="579"/>
        <v>3.1</v>
      </c>
      <c r="X562" s="9">
        <v>3.2301082999999999</v>
      </c>
    </row>
    <row r="563" spans="1:24">
      <c r="A563" s="29">
        <f t="shared" si="529"/>
        <v>45859.333333331975</v>
      </c>
      <c r="B563" s="30">
        <f t="shared" si="553"/>
        <v>8000</v>
      </c>
      <c r="C563" s="8">
        <v>25000</v>
      </c>
      <c r="D563" s="8">
        <v>0</v>
      </c>
      <c r="E563" s="8">
        <v>700</v>
      </c>
      <c r="F563" s="8">
        <v>15000</v>
      </c>
      <c r="G563" s="30">
        <f t="shared" si="554"/>
        <v>2400</v>
      </c>
      <c r="H563" s="8">
        <v>25000</v>
      </c>
      <c r="I563" s="30">
        <f t="shared" si="555"/>
        <v>8000</v>
      </c>
      <c r="J563" s="8">
        <v>25000</v>
      </c>
      <c r="K563" s="30">
        <f t="shared" si="556"/>
        <v>8000</v>
      </c>
      <c r="L563" s="8">
        <v>25000</v>
      </c>
      <c r="M563" s="9">
        <f>VLOOKUP(DATE(YEAR(A563),MONTH(A563),DAY(A563)),FY24_Temp[],4,FALSE)</f>
        <v>8.4</v>
      </c>
      <c r="N563" s="9">
        <f>VLOOKUP(DATE(YEAR(A563),MONTH(A563),DAY(A563)),FY24_Temp[],3,FALSE)</f>
        <v>12.8</v>
      </c>
      <c r="O563" s="9">
        <v>13.5</v>
      </c>
      <c r="P563" s="9">
        <v>19.5</v>
      </c>
      <c r="Q563" s="79">
        <f>VLOOKUP(VLOOKUP(DATEVALUE(TEXT(A563,"m/d/yyyy")),FY24_Temp[],5,FALSE)&amp;TEXT(A563,"-h"),Table6[],4,FALSE)</f>
        <v>2.00528575692858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VLOOKUP(TEXT(A563,"yy-mm")&amp;"-"&amp;IF(AND(WEEKDAY(A563)&gt;1,WEEKDAY(A563)&lt;7),"Wkd",TEXT(A563,"Ddd"))&amp;"-"&amp;TEXT(A563,"hh"),LoadTable[],5,FALSE)*0.92</f>
        <v>279.25312000000002</v>
      </c>
      <c r="U563" s="104">
        <f>VLOOKUP(TEXT(A563,"yy-mm")&amp;"-"&amp;IF(AND(WEEKDAY(A563)&gt;1,WEEKDAY(A563)&lt;7),"Wkd",TEXT(A563,"Ddd"))&amp;"-"&amp;TEXT(A563,"hh"),LoadTable[],6,FALSE)*T563</f>
        <v>17686.77560832</v>
      </c>
      <c r="V563">
        <f t="shared" ref="V563:W563" si="580">V539</f>
        <v>3.2</v>
      </c>
      <c r="W563">
        <f t="shared" si="580"/>
        <v>3</v>
      </c>
      <c r="X563" s="9">
        <v>3.2939707999999999</v>
      </c>
    </row>
    <row r="564" spans="1:24">
      <c r="A564" s="29">
        <f t="shared" si="529"/>
        <v>45859.374999998639</v>
      </c>
      <c r="B564" s="30">
        <f t="shared" si="553"/>
        <v>8000</v>
      </c>
      <c r="C564" s="8">
        <v>25000</v>
      </c>
      <c r="D564" s="8">
        <v>0</v>
      </c>
      <c r="E564" s="8">
        <v>700</v>
      </c>
      <c r="F564" s="8">
        <v>15000</v>
      </c>
      <c r="G564" s="30">
        <f t="shared" si="554"/>
        <v>2400</v>
      </c>
      <c r="H564" s="8">
        <v>25000</v>
      </c>
      <c r="I564" s="30">
        <f t="shared" si="555"/>
        <v>8000</v>
      </c>
      <c r="J564" s="8">
        <v>25000</v>
      </c>
      <c r="K564" s="30">
        <f t="shared" si="556"/>
        <v>8000</v>
      </c>
      <c r="L564" s="8">
        <v>25000</v>
      </c>
      <c r="M564" s="9">
        <f>VLOOKUP(DATE(YEAR(A564),MONTH(A564),DAY(A564)),FY24_Temp[],4,FALSE)</f>
        <v>8.4</v>
      </c>
      <c r="N564" s="9">
        <f>VLOOKUP(DATE(YEAR(A564),MONTH(A564),DAY(A564)),FY24_Temp[],3,FALSE)</f>
        <v>12.8</v>
      </c>
      <c r="O564" s="9">
        <v>13.5</v>
      </c>
      <c r="P564" s="9">
        <v>19.5</v>
      </c>
      <c r="Q564" s="79">
        <f>VLOOKUP(VLOOKUP(DATEVALUE(TEXT(A564,"m/d/yyyy")),FY24_Temp[],5,FALSE)&amp;TEXT(A564,"-h"),Table6[],4,FALSE)</f>
        <v>1.90142856325422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VLOOKUP(TEXT(A564,"yy-mm")&amp;"-"&amp;IF(AND(WEEKDAY(A564)&gt;1,WEEKDAY(A564)&lt;7),"Wkd",TEXT(A564,"Ddd"))&amp;"-"&amp;TEXT(A564,"hh"),LoadTable[],5,FALSE)*0.92</f>
        <v>279.25312000000002</v>
      </c>
      <c r="U564" s="104">
        <f>VLOOKUP(TEXT(A564,"yy-mm")&amp;"-"&amp;IF(AND(WEEKDAY(A564)&gt;1,WEEKDAY(A564)&lt;7),"Wkd",TEXT(A564,"Ddd"))&amp;"-"&amp;TEXT(A564,"hh"),LoadTable[],6,FALSE)*T564</f>
        <v>14265.924888320002</v>
      </c>
      <c r="V564">
        <f t="shared" ref="V564:W564" si="581">V540</f>
        <v>2.9</v>
      </c>
      <c r="W564">
        <f t="shared" si="581"/>
        <v>3</v>
      </c>
      <c r="X564" s="9">
        <v>3.3186890999999998</v>
      </c>
    </row>
    <row r="565" spans="1:24">
      <c r="A565" s="29">
        <f t="shared" si="529"/>
        <v>45859.416666665304</v>
      </c>
      <c r="B565" s="30">
        <f t="shared" si="553"/>
        <v>8000</v>
      </c>
      <c r="C565" s="8">
        <v>25000</v>
      </c>
      <c r="D565" s="8">
        <v>0</v>
      </c>
      <c r="E565" s="8">
        <v>700</v>
      </c>
      <c r="F565" s="8">
        <v>15000</v>
      </c>
      <c r="G565" s="30">
        <f t="shared" si="554"/>
        <v>2400</v>
      </c>
      <c r="H565" s="8">
        <v>25000</v>
      </c>
      <c r="I565" s="30">
        <f t="shared" si="555"/>
        <v>8000</v>
      </c>
      <c r="J565" s="8">
        <v>25000</v>
      </c>
      <c r="K565" s="30">
        <f t="shared" si="556"/>
        <v>8000</v>
      </c>
      <c r="L565" s="8">
        <v>25000</v>
      </c>
      <c r="M565" s="9">
        <f>VLOOKUP(DATE(YEAR(A565),MONTH(A565),DAY(A565)),FY24_Temp[],4,FALSE)</f>
        <v>8.4</v>
      </c>
      <c r="N565" s="9">
        <f>VLOOKUP(DATE(YEAR(A565),MONTH(A565),DAY(A565)),FY24_Temp[],3,FALSE)</f>
        <v>12.8</v>
      </c>
      <c r="O565" s="9">
        <v>13.5</v>
      </c>
      <c r="P565" s="9">
        <v>19.5</v>
      </c>
      <c r="Q565" s="79">
        <f>VLOOKUP(VLOOKUP(DATEVALUE(TEXT(A565,"m/d/yyyy")),FY24_Temp[],5,FALSE)&amp;TEXT(A565,"-h"),Table6[],4,FALSE)</f>
        <v>1.8012857096535819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VLOOKUP(TEXT(A565,"yy-mm")&amp;"-"&amp;IF(AND(WEEKDAY(A565)&gt;1,WEEKDAY(A565)&lt;7),"Wkd",TEXT(A565,"Ddd"))&amp;"-"&amp;TEXT(A565,"hh"),LoadTable[],5,FALSE)*0.92</f>
        <v>279.25312000000002</v>
      </c>
      <c r="U565" s="104">
        <f>VLOOKUP(TEXT(A565,"yy-mm")&amp;"-"&amp;IF(AND(WEEKDAY(A565)&gt;1,WEEKDAY(A565)&lt;7),"Wkd",TEXT(A565,"Ddd"))&amp;"-"&amp;TEXT(A565,"hh"),LoadTable[],6,FALSE)*T565</f>
        <v>13649.054746240003</v>
      </c>
      <c r="V565">
        <f t="shared" ref="V565:W565" si="582">V541</f>
        <v>2.9</v>
      </c>
      <c r="W565">
        <f t="shared" si="582"/>
        <v>3</v>
      </c>
      <c r="X565" s="9">
        <v>3.3738774999999999</v>
      </c>
    </row>
    <row r="566" spans="1:24">
      <c r="A566" s="29">
        <f t="shared" si="529"/>
        <v>45859.458333331968</v>
      </c>
      <c r="B566" s="30">
        <f t="shared" si="553"/>
        <v>8000</v>
      </c>
      <c r="C566" s="8">
        <v>25000</v>
      </c>
      <c r="D566" s="8">
        <v>0</v>
      </c>
      <c r="E566" s="8">
        <v>700</v>
      </c>
      <c r="F566" s="8">
        <v>15000</v>
      </c>
      <c r="G566" s="30">
        <f t="shared" si="554"/>
        <v>2400</v>
      </c>
      <c r="H566" s="8">
        <v>25000</v>
      </c>
      <c r="I566" s="30">
        <f t="shared" si="555"/>
        <v>8000</v>
      </c>
      <c r="J566" s="8">
        <v>25000</v>
      </c>
      <c r="K566" s="30">
        <f t="shared" si="556"/>
        <v>8000</v>
      </c>
      <c r="L566" s="8">
        <v>25000</v>
      </c>
      <c r="M566" s="9">
        <f>VLOOKUP(DATE(YEAR(A566),MONTH(A566),DAY(A566)),FY24_Temp[],4,FALSE)</f>
        <v>8.4</v>
      </c>
      <c r="N566" s="9">
        <f>VLOOKUP(DATE(YEAR(A566),MONTH(A566),DAY(A566)),FY24_Temp[],3,FALSE)</f>
        <v>12.8</v>
      </c>
      <c r="O566" s="9">
        <v>13.5</v>
      </c>
      <c r="P566" s="9">
        <v>19.5</v>
      </c>
      <c r="Q566" s="79">
        <f>VLOOKUP(VLOOKUP(DATEVALUE(TEXT(A566,"m/d/yyyy")),FY24_Temp[],5,FALSE)&amp;TEXT(A566,"-h"),Table6[],4,FALSE)</f>
        <v>1.6742857013429915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VLOOKUP(TEXT(A566,"yy-mm")&amp;"-"&amp;IF(AND(WEEKDAY(A566)&gt;1,WEEKDAY(A566)&lt;7),"Wkd",TEXT(A566,"Ddd"))&amp;"-"&amp;TEXT(A566,"hh"),LoadTable[],5,FALSE)*0.92</f>
        <v>279.25312000000002</v>
      </c>
      <c r="U566" s="104">
        <f>VLOOKUP(TEXT(A566,"yy-mm")&amp;"-"&amp;IF(AND(WEEKDAY(A566)&gt;1,WEEKDAY(A566)&lt;7),"Wkd",TEXT(A566,"Ddd"))&amp;"-"&amp;TEXT(A566,"hh"),LoadTable[],6,FALSE)*T566</f>
        <v>13153.938964480001</v>
      </c>
      <c r="V566">
        <f t="shared" ref="V566:W566" si="583">V542</f>
        <v>3.4</v>
      </c>
      <c r="W566">
        <f t="shared" si="583"/>
        <v>3</v>
      </c>
      <c r="X566" s="9">
        <v>3.3245087</v>
      </c>
    </row>
    <row r="567" spans="1:24">
      <c r="A567" s="29">
        <f t="shared" si="529"/>
        <v>45859.499999998632</v>
      </c>
      <c r="B567" s="30">
        <f t="shared" si="553"/>
        <v>8000</v>
      </c>
      <c r="C567" s="8">
        <v>25000</v>
      </c>
      <c r="D567" s="8">
        <v>0</v>
      </c>
      <c r="E567" s="8">
        <v>700</v>
      </c>
      <c r="F567" s="8">
        <v>15000</v>
      </c>
      <c r="G567" s="30">
        <f t="shared" si="554"/>
        <v>2400</v>
      </c>
      <c r="H567" s="8">
        <v>25000</v>
      </c>
      <c r="I567" s="30">
        <f t="shared" si="555"/>
        <v>8000</v>
      </c>
      <c r="J567" s="8">
        <v>25000</v>
      </c>
      <c r="K567" s="30">
        <f t="shared" si="556"/>
        <v>8000</v>
      </c>
      <c r="L567" s="8">
        <v>25000</v>
      </c>
      <c r="M567" s="9">
        <f>VLOOKUP(DATE(YEAR(A567),MONTH(A567),DAY(A567)),FY24_Temp[],4,FALSE)</f>
        <v>8.4</v>
      </c>
      <c r="N567" s="9">
        <f>VLOOKUP(DATE(YEAR(A567),MONTH(A567),DAY(A567)),FY24_Temp[],3,FALSE)</f>
        <v>12.8</v>
      </c>
      <c r="O567" s="9">
        <v>13.5</v>
      </c>
      <c r="P567" s="9">
        <v>19.5</v>
      </c>
      <c r="Q567" s="79">
        <f>VLOOKUP(VLOOKUP(DATEVALUE(TEXT(A567,"m/d/yyyy")),FY24_Temp[],5,FALSE)&amp;TEXT(A567,"-h"),Table6[],4,FALSE)</f>
        <v>1.5174285684313094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VLOOKUP(TEXT(A567,"yy-mm")&amp;"-"&amp;IF(AND(WEEKDAY(A567)&gt;1,WEEKDAY(A567)&lt;7),"Wkd",TEXT(A567,"Ddd"))&amp;"-"&amp;TEXT(A567,"hh"),LoadTable[],5,FALSE)*0.92</f>
        <v>279.25312000000002</v>
      </c>
      <c r="U567" s="104">
        <f>VLOOKUP(TEXT(A567,"yy-mm")&amp;"-"&amp;IF(AND(WEEKDAY(A567)&gt;1,WEEKDAY(A567)&lt;7),"Wkd",TEXT(A567,"Ddd"))&amp;"-"&amp;TEXT(A567,"hh"),LoadTable[],6,FALSE)*T567</f>
        <v>13898.427782400002</v>
      </c>
      <c r="V567">
        <f t="shared" ref="V567:W567" si="584">V543</f>
        <v>3.1</v>
      </c>
      <c r="W567">
        <f t="shared" si="584"/>
        <v>2.9</v>
      </c>
      <c r="X567" s="9">
        <v>3.1881216000000001</v>
      </c>
    </row>
    <row r="568" spans="1:24">
      <c r="A568" s="29">
        <f t="shared" si="529"/>
        <v>45859.541666665296</v>
      </c>
      <c r="B568" s="30">
        <f t="shared" si="553"/>
        <v>8000</v>
      </c>
      <c r="C568" s="8">
        <v>25000</v>
      </c>
      <c r="D568" s="8">
        <v>0</v>
      </c>
      <c r="E568" s="8">
        <v>700</v>
      </c>
      <c r="F568" s="8">
        <v>15000</v>
      </c>
      <c r="G568" s="30">
        <f t="shared" si="554"/>
        <v>2400</v>
      </c>
      <c r="H568" s="8">
        <v>25000</v>
      </c>
      <c r="I568" s="30">
        <f t="shared" si="555"/>
        <v>8000</v>
      </c>
      <c r="J568" s="8">
        <v>25000</v>
      </c>
      <c r="K568" s="30">
        <f t="shared" si="556"/>
        <v>8000</v>
      </c>
      <c r="L568" s="8">
        <v>25000</v>
      </c>
      <c r="M568" s="9">
        <f>VLOOKUP(DATE(YEAR(A568),MONTH(A568),DAY(A568)),FY24_Temp[],4,FALSE)</f>
        <v>8.4</v>
      </c>
      <c r="N568" s="9">
        <f>VLOOKUP(DATE(YEAR(A568),MONTH(A568),DAY(A568)),FY24_Temp[],3,FALSE)</f>
        <v>12.8</v>
      </c>
      <c r="O568" s="9">
        <v>13.5</v>
      </c>
      <c r="P568" s="9">
        <v>19.5</v>
      </c>
      <c r="Q568" s="79">
        <f>VLOOKUP(VLOOKUP(DATEVALUE(TEXT(A568,"m/d/yyyy")),FY24_Temp[],5,FALSE)&amp;TEXT(A568,"-h"),Table6[],4,FALSE)</f>
        <v>1.3370000123977661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VLOOKUP(TEXT(A568,"yy-mm")&amp;"-"&amp;IF(AND(WEEKDAY(A568)&gt;1,WEEKDAY(A568)&lt;7),"Wkd",TEXT(A568,"Ddd"))&amp;"-"&amp;TEXT(A568,"hh"),LoadTable[],5,FALSE)*0.92</f>
        <v>279.25312000000002</v>
      </c>
      <c r="U568" s="104">
        <f>VLOOKUP(TEXT(A568,"yy-mm")&amp;"-"&amp;IF(AND(WEEKDAY(A568)&gt;1,WEEKDAY(A568)&lt;7),"Wkd",TEXT(A568,"Ddd"))&amp;"-"&amp;TEXT(A568,"hh"),LoadTable[],6,FALSE)*T568</f>
        <v>16526.1996416</v>
      </c>
      <c r="V568">
        <f t="shared" ref="V568:W568" si="585">V544</f>
        <v>3.2</v>
      </c>
      <c r="W568">
        <f t="shared" si="585"/>
        <v>2.9</v>
      </c>
      <c r="X568" s="9">
        <v>3.0214536000000001</v>
      </c>
    </row>
    <row r="569" spans="1:24">
      <c r="A569" s="29">
        <f t="shared" si="529"/>
        <v>45859.583333331961</v>
      </c>
      <c r="B569" s="30">
        <f t="shared" si="553"/>
        <v>8000</v>
      </c>
      <c r="C569" s="8">
        <v>25000</v>
      </c>
      <c r="D569" s="8">
        <v>0</v>
      </c>
      <c r="E569" s="8">
        <v>700</v>
      </c>
      <c r="F569" s="8">
        <v>15000</v>
      </c>
      <c r="G569" s="30">
        <f t="shared" si="554"/>
        <v>2400</v>
      </c>
      <c r="H569" s="8">
        <v>25000</v>
      </c>
      <c r="I569" s="30">
        <f t="shared" si="555"/>
        <v>8000</v>
      </c>
      <c r="J569" s="8">
        <v>25000</v>
      </c>
      <c r="K569" s="30">
        <f t="shared" si="556"/>
        <v>8000</v>
      </c>
      <c r="L569" s="8">
        <v>25000</v>
      </c>
      <c r="M569" s="9">
        <f>VLOOKUP(DATE(YEAR(A569),MONTH(A569),DAY(A569)),FY24_Temp[],4,FALSE)</f>
        <v>8.4</v>
      </c>
      <c r="N569" s="9">
        <f>VLOOKUP(DATE(YEAR(A569),MONTH(A569),DAY(A569)),FY24_Temp[],3,FALSE)</f>
        <v>12.8</v>
      </c>
      <c r="O569" s="9">
        <v>13.5</v>
      </c>
      <c r="P569" s="9">
        <v>19.5</v>
      </c>
      <c r="Q569" s="79">
        <f>VLOOKUP(VLOOKUP(DATEVALUE(TEXT(A569,"m/d/yyyy")),FY24_Temp[],5,FALSE)&amp;TEXT(A569,"-h"),Table6[],4,FALSE)</f>
        <v>1.1481428657259261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VLOOKUP(TEXT(A569,"yy-mm")&amp;"-"&amp;IF(AND(WEEKDAY(A569)&gt;1,WEEKDAY(A569)&lt;7),"Wkd",TEXT(A569,"Ddd"))&amp;"-"&amp;TEXT(A569,"hh"),LoadTable[],5,FALSE)*0.92</f>
        <v>373.26607999999999</v>
      </c>
      <c r="U569" s="104">
        <f>VLOOKUP(TEXT(A569,"yy-mm")&amp;"-"&amp;IF(AND(WEEKDAY(A569)&gt;1,WEEKDAY(A569)&lt;7),"Wkd",TEXT(A569,"Ddd"))&amp;"-"&amp;TEXT(A569,"hh"),LoadTable[],6,FALSE)*T569</f>
        <v>27132.338089119996</v>
      </c>
      <c r="V569">
        <f t="shared" ref="V569:W569" si="586">V545</f>
        <v>3.5</v>
      </c>
      <c r="W569">
        <f t="shared" si="586"/>
        <v>2.9</v>
      </c>
      <c r="X569" s="9">
        <v>2.9830420000000002</v>
      </c>
    </row>
    <row r="570" spans="1:24">
      <c r="A570" s="29">
        <f t="shared" si="529"/>
        <v>45859.624999998625</v>
      </c>
      <c r="B570" s="30">
        <f t="shared" si="553"/>
        <v>8000</v>
      </c>
      <c r="C570" s="8">
        <v>25000</v>
      </c>
      <c r="D570" s="8">
        <v>0</v>
      </c>
      <c r="E570" s="8">
        <v>700</v>
      </c>
      <c r="F570" s="8">
        <v>15000</v>
      </c>
      <c r="G570" s="30">
        <f t="shared" si="554"/>
        <v>2400</v>
      </c>
      <c r="H570" s="8">
        <v>25000</v>
      </c>
      <c r="I570" s="30">
        <f t="shared" si="555"/>
        <v>8000</v>
      </c>
      <c r="J570" s="8">
        <v>25000</v>
      </c>
      <c r="K570" s="30">
        <f t="shared" si="556"/>
        <v>8000</v>
      </c>
      <c r="L570" s="8">
        <v>25000</v>
      </c>
      <c r="M570" s="9">
        <f>VLOOKUP(DATE(YEAR(A570),MONTH(A570),DAY(A570)),FY24_Temp[],4,FALSE)</f>
        <v>8.4</v>
      </c>
      <c r="N570" s="9">
        <f>VLOOKUP(DATE(YEAR(A570),MONTH(A570),DAY(A570)),FY24_Temp[],3,FALSE)</f>
        <v>12.8</v>
      </c>
      <c r="O570" s="9">
        <v>13.5</v>
      </c>
      <c r="P570" s="9">
        <v>19.5</v>
      </c>
      <c r="Q570" s="79">
        <f>VLOOKUP(VLOOKUP(DATEVALUE(TEXT(A570,"m/d/yyyy")),FY24_Temp[],5,FALSE)&amp;TEXT(A570,"-h"),Table6[],4,FALSE)</f>
        <v>0.98957143511090961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VLOOKUP(TEXT(A570,"yy-mm")&amp;"-"&amp;IF(AND(WEEKDAY(A570)&gt;1,WEEKDAY(A570)&lt;7),"Wkd",TEXT(A570,"Ddd"))&amp;"-"&amp;TEXT(A570,"hh"),LoadTable[],5,FALSE)*0.92</f>
        <v>494.57360000000006</v>
      </c>
      <c r="U570" s="104">
        <f>VLOOKUP(TEXT(A570,"yy-mm")&amp;"-"&amp;IF(AND(WEEKDAY(A570)&gt;1,WEEKDAY(A570)&lt;7),"Wkd",TEXT(A570,"Ddd"))&amp;"-"&amp;TEXT(A570,"hh"),LoadTable[],6,FALSE)*T570</f>
        <v>42310.771480000003</v>
      </c>
      <c r="V570">
        <f t="shared" ref="V570:W570" si="587">V546</f>
        <v>3.2</v>
      </c>
      <c r="W570">
        <f t="shared" si="587"/>
        <v>2.9</v>
      </c>
      <c r="X570" s="9">
        <v>3.3155792000000002</v>
      </c>
    </row>
    <row r="571" spans="1:24">
      <c r="A571" s="29">
        <f t="shared" si="529"/>
        <v>45859.666666665289</v>
      </c>
      <c r="B571" s="30">
        <f t="shared" si="553"/>
        <v>8000</v>
      </c>
      <c r="C571" s="8">
        <v>25000</v>
      </c>
      <c r="D571" s="8">
        <v>0</v>
      </c>
      <c r="E571" s="8">
        <v>700</v>
      </c>
      <c r="F571" s="8">
        <v>15000</v>
      </c>
      <c r="G571" s="30">
        <f t="shared" si="554"/>
        <v>2400</v>
      </c>
      <c r="H571" s="8">
        <v>25000</v>
      </c>
      <c r="I571" s="30">
        <f t="shared" si="555"/>
        <v>8000</v>
      </c>
      <c r="J571" s="8">
        <v>25000</v>
      </c>
      <c r="K571" s="30">
        <f t="shared" si="556"/>
        <v>8000</v>
      </c>
      <c r="L571" s="8">
        <v>25000</v>
      </c>
      <c r="M571" s="9">
        <f>VLOOKUP(DATE(YEAR(A571),MONTH(A571),DAY(A571)),FY24_Temp[],4,FALSE)</f>
        <v>8.4</v>
      </c>
      <c r="N571" s="9">
        <f>VLOOKUP(DATE(YEAR(A571),MONTH(A571),DAY(A571)),FY24_Temp[],3,FALSE)</f>
        <v>12.8</v>
      </c>
      <c r="O571" s="9">
        <v>13.5</v>
      </c>
      <c r="P571" s="9">
        <v>19.5</v>
      </c>
      <c r="Q571" s="79">
        <f>VLOOKUP(VLOOKUP(DATEVALUE(TEXT(A571,"m/d/yyyy")),FY24_Temp[],5,FALSE)&amp;TEXT(A571,"-h"),Table6[],4,FALSE)</f>
        <v>0.95228569848196842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VLOOKUP(TEXT(A571,"yy-mm")&amp;"-"&amp;IF(AND(WEEKDAY(A571)&gt;1,WEEKDAY(A571)&lt;7),"Wkd",TEXT(A571,"Ddd"))&amp;"-"&amp;TEXT(A571,"hh"),LoadTable[],5,FALSE)*0.92</f>
        <v>494.57360000000006</v>
      </c>
      <c r="U571" s="104">
        <f>VLOOKUP(TEXT(A571,"yy-mm")&amp;"-"&amp;IF(AND(WEEKDAY(A571)&gt;1,WEEKDAY(A571)&lt;7),"Wkd",TEXT(A571,"Ddd"))&amp;"-"&amp;TEXT(A571,"hh"),LoadTable[],6,FALSE)*T571</f>
        <v>50694.28857360001</v>
      </c>
      <c r="V571">
        <f t="shared" ref="V571:W571" si="588">V547</f>
        <v>3.5</v>
      </c>
      <c r="W571">
        <f t="shared" si="588"/>
        <v>3</v>
      </c>
      <c r="X571" s="9">
        <v>3.2524986</v>
      </c>
    </row>
    <row r="572" spans="1:24">
      <c r="A572" s="29">
        <f t="shared" si="529"/>
        <v>45859.708333331953</v>
      </c>
      <c r="B572" s="30">
        <f t="shared" si="553"/>
        <v>8000</v>
      </c>
      <c r="C572" s="8">
        <v>25000</v>
      </c>
      <c r="D572" s="8">
        <v>0</v>
      </c>
      <c r="E572" s="8">
        <v>700</v>
      </c>
      <c r="F572" s="8">
        <v>15000</v>
      </c>
      <c r="G572" s="30">
        <f t="shared" si="554"/>
        <v>2400</v>
      </c>
      <c r="H572" s="8">
        <v>25000</v>
      </c>
      <c r="I572" s="30">
        <f t="shared" si="555"/>
        <v>8000</v>
      </c>
      <c r="J572" s="8">
        <v>25000</v>
      </c>
      <c r="K572" s="30">
        <f t="shared" si="556"/>
        <v>8000</v>
      </c>
      <c r="L572" s="8">
        <v>25000</v>
      </c>
      <c r="M572" s="9">
        <f>VLOOKUP(DATE(YEAR(A572),MONTH(A572),DAY(A572)),FY24_Temp[],4,FALSE)</f>
        <v>8.4</v>
      </c>
      <c r="N572" s="9">
        <f>VLOOKUP(DATE(YEAR(A572),MONTH(A572),DAY(A572)),FY24_Temp[],3,FALSE)</f>
        <v>12.8</v>
      </c>
      <c r="O572" s="9">
        <v>13.5</v>
      </c>
      <c r="P572" s="9">
        <v>19.5</v>
      </c>
      <c r="Q572" s="79">
        <f>VLOOKUP(VLOOKUP(DATEVALUE(TEXT(A572,"m/d/yyyy")),FY24_Temp[],5,FALSE)&amp;TEXT(A572,"-h"),Table6[],4,FALSE)</f>
        <v>1.1852857215063912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VLOOKUP(TEXT(A572,"yy-mm")&amp;"-"&amp;IF(AND(WEEKDAY(A572)&gt;1,WEEKDAY(A572)&lt;7),"Wkd",TEXT(A572,"Ddd"))&amp;"-"&amp;TEXT(A572,"hh"),LoadTable[],5,FALSE)*0.92</f>
        <v>494.57360000000006</v>
      </c>
      <c r="U572" s="104">
        <f>VLOOKUP(TEXT(A572,"yy-mm")&amp;"-"&amp;IF(AND(WEEKDAY(A572)&gt;1,WEEKDAY(A572)&lt;7),"Wkd",TEXT(A572,"Ddd"))&amp;"-"&amp;TEXT(A572,"hh"),LoadTable[],6,FALSE)*T572</f>
        <v>56025.791981600007</v>
      </c>
      <c r="V572">
        <f t="shared" ref="V572:W572" si="589">V548</f>
        <v>3.6</v>
      </c>
      <c r="W572">
        <f t="shared" si="589"/>
        <v>3</v>
      </c>
      <c r="X572" s="9">
        <v>3.1744667999999998</v>
      </c>
    </row>
    <row r="573" spans="1:24">
      <c r="A573" s="29">
        <f t="shared" si="529"/>
        <v>45859.749999998618</v>
      </c>
      <c r="B573" s="30">
        <f t="shared" si="553"/>
        <v>5000</v>
      </c>
      <c r="C573" s="8">
        <v>25000</v>
      </c>
      <c r="D573" s="8">
        <v>0</v>
      </c>
      <c r="E573" s="8">
        <v>700</v>
      </c>
      <c r="F573" s="8">
        <v>15000</v>
      </c>
      <c r="G573" s="30">
        <f t="shared" si="554"/>
        <v>2400</v>
      </c>
      <c r="H573" s="8">
        <v>25000</v>
      </c>
      <c r="I573" s="30">
        <f t="shared" si="555"/>
        <v>5000</v>
      </c>
      <c r="J573" s="8">
        <v>25000</v>
      </c>
      <c r="K573" s="30">
        <f t="shared" si="556"/>
        <v>5000</v>
      </c>
      <c r="L573" s="8">
        <v>25000</v>
      </c>
      <c r="M573" s="9">
        <f>VLOOKUP(DATE(YEAR(A573),MONTH(A573),DAY(A573)),FY24_Temp[],4,FALSE)</f>
        <v>8.4</v>
      </c>
      <c r="N573" s="9">
        <f>VLOOKUP(DATE(YEAR(A573),MONTH(A573),DAY(A573)),FY24_Temp[],3,FALSE)</f>
        <v>12.8</v>
      </c>
      <c r="O573" s="9">
        <v>13.5</v>
      </c>
      <c r="P573" s="9">
        <v>19.5</v>
      </c>
      <c r="Q573" s="79">
        <f>VLOOKUP(VLOOKUP(DATEVALUE(TEXT(A573,"m/d/yyyy")),FY24_Temp[],5,FALSE)&amp;TEXT(A573,"-h"),Table6[],4,FALSE)</f>
        <v>1.5737142562866211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VLOOKUP(TEXT(A573,"yy-mm")&amp;"-"&amp;IF(AND(WEEKDAY(A573)&gt;1,WEEKDAY(A573)&lt;7),"Wkd",TEXT(A573,"Ddd"))&amp;"-"&amp;TEXT(A573,"hh"),LoadTable[],5,FALSE)*0.92</f>
        <v>494.57360000000006</v>
      </c>
      <c r="U573" s="104">
        <f>VLOOKUP(TEXT(A573,"yy-mm")&amp;"-"&amp;IF(AND(WEEKDAY(A573)&gt;1,WEEKDAY(A573)&lt;7),"Wkd",TEXT(A573,"Ddd"))&amp;"-"&amp;TEXT(A573,"hh"),LoadTable[],6,FALSE)*T573</f>
        <v>60164.383866400007</v>
      </c>
      <c r="V573">
        <f t="shared" ref="V573:W573" si="590">V549</f>
        <v>2.9</v>
      </c>
      <c r="W573">
        <f t="shared" si="590"/>
        <v>3</v>
      </c>
      <c r="X573" s="9">
        <v>3.1572087</v>
      </c>
    </row>
    <row r="574" spans="1:24">
      <c r="A574" s="29">
        <f t="shared" si="529"/>
        <v>45859.791666665282</v>
      </c>
      <c r="B574" s="30">
        <f t="shared" si="553"/>
        <v>5000</v>
      </c>
      <c r="C574" s="8">
        <v>25000</v>
      </c>
      <c r="D574" s="8">
        <v>0</v>
      </c>
      <c r="E574" s="8">
        <v>700</v>
      </c>
      <c r="F574" s="8">
        <v>15000</v>
      </c>
      <c r="G574" s="30">
        <f t="shared" si="554"/>
        <v>2400</v>
      </c>
      <c r="H574" s="8">
        <v>25000</v>
      </c>
      <c r="I574" s="30">
        <f t="shared" si="555"/>
        <v>5000</v>
      </c>
      <c r="J574" s="8">
        <v>25000</v>
      </c>
      <c r="K574" s="30">
        <f t="shared" si="556"/>
        <v>5000</v>
      </c>
      <c r="L574" s="8">
        <v>25000</v>
      </c>
      <c r="M574" s="9">
        <f>VLOOKUP(DATE(YEAR(A574),MONTH(A574),DAY(A574)),FY24_Temp[],4,FALSE)</f>
        <v>8.4</v>
      </c>
      <c r="N574" s="9">
        <f>VLOOKUP(DATE(YEAR(A574),MONTH(A574),DAY(A574)),FY24_Temp[],3,FALSE)</f>
        <v>12.8</v>
      </c>
      <c r="O574" s="9">
        <v>13.5</v>
      </c>
      <c r="P574" s="9">
        <v>19.5</v>
      </c>
      <c r="Q574" s="79">
        <f>VLOOKUP(VLOOKUP(DATEVALUE(TEXT(A574,"m/d/yyyy")),FY24_Temp[],5,FALSE)&amp;TEXT(A574,"-h"),Table6[],4,FALSE)</f>
        <v>2.4347143173217773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VLOOKUP(TEXT(A574,"yy-mm")&amp;"-"&amp;IF(AND(WEEKDAY(A574)&gt;1,WEEKDAY(A574)&lt;7),"Wkd",TEXT(A574,"Ddd"))&amp;"-"&amp;TEXT(A574,"hh"),LoadTable[],5,FALSE)*0.92</f>
        <v>494.57360000000006</v>
      </c>
      <c r="U574" s="104">
        <f>VLOOKUP(TEXT(A574,"yy-mm")&amp;"-"&amp;IF(AND(WEEKDAY(A574)&gt;1,WEEKDAY(A574)&lt;7),"Wkd",TEXT(A574,"Ddd"))&amp;"-"&amp;TEXT(A574,"hh"),LoadTable[],6,FALSE)*T574</f>
        <v>60548.172980000003</v>
      </c>
      <c r="V574">
        <f t="shared" ref="V574:W574" si="591">V550</f>
        <v>3</v>
      </c>
      <c r="W574">
        <f t="shared" si="591"/>
        <v>3</v>
      </c>
      <c r="X574" s="9">
        <v>3.1256213000000002</v>
      </c>
    </row>
    <row r="575" spans="1:24">
      <c r="A575" s="29">
        <f t="shared" si="529"/>
        <v>45859.833333331946</v>
      </c>
      <c r="B575" s="30">
        <f t="shared" si="553"/>
        <v>5000</v>
      </c>
      <c r="C575" s="8">
        <v>25000</v>
      </c>
      <c r="D575" s="8">
        <v>0</v>
      </c>
      <c r="E575" s="8">
        <v>700</v>
      </c>
      <c r="F575" s="8">
        <v>15000</v>
      </c>
      <c r="G575" s="30">
        <f t="shared" si="554"/>
        <v>2400</v>
      </c>
      <c r="H575" s="8">
        <v>25000</v>
      </c>
      <c r="I575" s="30">
        <f t="shared" si="555"/>
        <v>5000</v>
      </c>
      <c r="J575" s="8">
        <v>25000</v>
      </c>
      <c r="K575" s="30">
        <f t="shared" si="556"/>
        <v>5000</v>
      </c>
      <c r="L575" s="8">
        <v>25000</v>
      </c>
      <c r="M575" s="9">
        <f>VLOOKUP(DATE(YEAR(A575),MONTH(A575),DAY(A575)),FY24_Temp[],4,FALSE)</f>
        <v>8.4</v>
      </c>
      <c r="N575" s="9">
        <f>VLOOKUP(DATE(YEAR(A575),MONTH(A575),DAY(A575)),FY24_Temp[],3,FALSE)</f>
        <v>12.8</v>
      </c>
      <c r="O575" s="9">
        <v>13.5</v>
      </c>
      <c r="P575" s="9">
        <v>19.5</v>
      </c>
      <c r="Q575" s="79">
        <f>VLOOKUP(VLOOKUP(DATEVALUE(TEXT(A575,"m/d/yyyy")),FY24_Temp[],5,FALSE)&amp;TEXT(A575,"-h"),Table6[],4,FALSE)</f>
        <v>3.1158571583884105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VLOOKUP(TEXT(A575,"yy-mm")&amp;"-"&amp;IF(AND(WEEKDAY(A575)&gt;1,WEEKDAY(A575)&lt;7),"Wkd",TEXT(A575,"Ddd"))&amp;"-"&amp;TEXT(A575,"hh"),LoadTable[],5,FALSE)*0.92</f>
        <v>494.57360000000006</v>
      </c>
      <c r="U575" s="104">
        <f>VLOOKUP(TEXT(A575,"yy-mm")&amp;"-"&amp;IF(AND(WEEKDAY(A575)&gt;1,WEEKDAY(A575)&lt;7),"Wkd",TEXT(A575,"Ddd"))&amp;"-"&amp;TEXT(A575,"hh"),LoadTable[],6,FALSE)*T575</f>
        <v>60532.346624800004</v>
      </c>
      <c r="V575">
        <f t="shared" ref="V575:W575" si="592">V551</f>
        <v>2.8</v>
      </c>
      <c r="W575">
        <f t="shared" si="592"/>
        <v>3.1</v>
      </c>
      <c r="X575" s="9">
        <v>3.0890228999999998</v>
      </c>
    </row>
    <row r="576" spans="1:24">
      <c r="A576" s="29">
        <f t="shared" si="529"/>
        <v>45859.87499999861</v>
      </c>
      <c r="B576" s="30">
        <f t="shared" si="553"/>
        <v>5000</v>
      </c>
      <c r="C576" s="8">
        <v>25000</v>
      </c>
      <c r="D576" s="8">
        <v>0</v>
      </c>
      <c r="E576" s="8">
        <v>700</v>
      </c>
      <c r="F576" s="8">
        <v>15000</v>
      </c>
      <c r="G576" s="30">
        <f t="shared" si="554"/>
        <v>2400</v>
      </c>
      <c r="H576" s="8">
        <v>25000</v>
      </c>
      <c r="I576" s="30">
        <f t="shared" si="555"/>
        <v>5000</v>
      </c>
      <c r="J576" s="8">
        <v>25000</v>
      </c>
      <c r="K576" s="30">
        <f t="shared" si="556"/>
        <v>5000</v>
      </c>
      <c r="L576" s="8">
        <v>25000</v>
      </c>
      <c r="M576" s="9">
        <f>VLOOKUP(DATE(YEAR(A576),MONTH(A576),DAY(A576)),FY24_Temp[],4,FALSE)</f>
        <v>8.4</v>
      </c>
      <c r="N576" s="9">
        <f>VLOOKUP(DATE(YEAR(A576),MONTH(A576),DAY(A576)),FY24_Temp[],3,FALSE)</f>
        <v>12.8</v>
      </c>
      <c r="O576" s="9">
        <v>13.5</v>
      </c>
      <c r="P576" s="9">
        <v>19.5</v>
      </c>
      <c r="Q576" s="79">
        <f>VLOOKUP(VLOOKUP(DATEVALUE(TEXT(A576,"m/d/yyyy")),FY24_Temp[],5,FALSE)&amp;TEXT(A576,"-h"),Table6[],4,FALSE)</f>
        <v>3.3202857630593434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VLOOKUP(TEXT(A576,"yy-mm")&amp;"-"&amp;IF(AND(WEEKDAY(A576)&gt;1,WEEKDAY(A576)&lt;7),"Wkd",TEXT(A576,"Ddd"))&amp;"-"&amp;TEXT(A576,"hh"),LoadTable[],5,FALSE)*0.92</f>
        <v>494.57360000000006</v>
      </c>
      <c r="U576" s="104">
        <f>VLOOKUP(TEXT(A576,"yy-mm")&amp;"-"&amp;IF(AND(WEEKDAY(A576)&gt;1,WEEKDAY(A576)&lt;7),"Wkd",TEXT(A576,"Ddd"))&amp;"-"&amp;TEXT(A576,"hh"),LoadTable[],6,FALSE)*T576</f>
        <v>58481.349905600007</v>
      </c>
      <c r="V576">
        <f t="shared" ref="V576:W576" si="593">V552</f>
        <v>3.5</v>
      </c>
      <c r="W576">
        <f t="shared" si="593"/>
        <v>3.1</v>
      </c>
      <c r="X576" s="9">
        <v>3.0593989000000001</v>
      </c>
    </row>
    <row r="577" spans="1:24">
      <c r="A577" s="29">
        <f t="shared" si="529"/>
        <v>45859.916666665275</v>
      </c>
      <c r="B577" s="30">
        <f t="shared" si="553"/>
        <v>5000</v>
      </c>
      <c r="C577" s="8">
        <v>25000</v>
      </c>
      <c r="D577" s="8">
        <v>0</v>
      </c>
      <c r="E577" s="8">
        <v>700</v>
      </c>
      <c r="F577" s="8">
        <v>15000</v>
      </c>
      <c r="G577" s="30">
        <f t="shared" si="554"/>
        <v>2400</v>
      </c>
      <c r="H577" s="8">
        <v>25000</v>
      </c>
      <c r="I577" s="30">
        <f t="shared" si="555"/>
        <v>5000</v>
      </c>
      <c r="J577" s="8">
        <v>25000</v>
      </c>
      <c r="K577" s="30">
        <f t="shared" si="556"/>
        <v>5000</v>
      </c>
      <c r="L577" s="8">
        <v>25000</v>
      </c>
      <c r="M577" s="9">
        <f>VLOOKUP(DATE(YEAR(A577),MONTH(A577),DAY(A577)),FY24_Temp[],4,FALSE)</f>
        <v>8.4</v>
      </c>
      <c r="N577" s="9">
        <f>VLOOKUP(DATE(YEAR(A577),MONTH(A577),DAY(A577)),FY24_Temp[],3,FALSE)</f>
        <v>12.8</v>
      </c>
      <c r="O577" s="9">
        <v>13.5</v>
      </c>
      <c r="P577" s="9">
        <v>19.5</v>
      </c>
      <c r="Q577" s="79">
        <f>VLOOKUP(VLOOKUP(DATEVALUE(TEXT(A577,"m/d/yyyy")),FY24_Temp[],5,FALSE)&amp;TEXT(A577,"-h"),Table6[],4,FALSE)</f>
        <v>3.2868570940835133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VLOOKUP(TEXT(A577,"yy-mm")&amp;"-"&amp;IF(AND(WEEKDAY(A577)&gt;1,WEEKDAY(A577)&lt;7),"Wkd",TEXT(A577,"Ddd"))&amp;"-"&amp;TEXT(A577,"hh"),LoadTable[],5,FALSE)*0.92</f>
        <v>418.75640000000004</v>
      </c>
      <c r="U577" s="104">
        <f>VLOOKUP(TEXT(A577,"yy-mm")&amp;"-"&amp;IF(AND(WEEKDAY(A577)&gt;1,WEEKDAY(A577)&lt;7),"Wkd",TEXT(A577,"Ddd"))&amp;"-"&amp;TEXT(A577,"hh"),LoadTable[],6,FALSE)*T577</f>
        <v>27547.889774000003</v>
      </c>
      <c r="V577">
        <f t="shared" ref="V577:W577" si="594">V553</f>
        <v>2.9</v>
      </c>
      <c r="W577">
        <f t="shared" si="594"/>
        <v>3.1</v>
      </c>
      <c r="X577" s="9">
        <v>3.0277400000000001</v>
      </c>
    </row>
    <row r="578" spans="1:24">
      <c r="A578" s="29">
        <f t="shared" si="529"/>
        <v>45859.958333331939</v>
      </c>
      <c r="B578" s="30">
        <f t="shared" si="553"/>
        <v>5000</v>
      </c>
      <c r="C578" s="8">
        <v>25000</v>
      </c>
      <c r="D578" s="8">
        <v>0</v>
      </c>
      <c r="E578" s="8">
        <v>700</v>
      </c>
      <c r="F578" s="8">
        <v>15000</v>
      </c>
      <c r="G578" s="30">
        <f t="shared" si="554"/>
        <v>2400</v>
      </c>
      <c r="H578" s="8">
        <v>25000</v>
      </c>
      <c r="I578" s="30">
        <f t="shared" si="555"/>
        <v>5000</v>
      </c>
      <c r="J578" s="8">
        <v>25000</v>
      </c>
      <c r="K578" s="30">
        <f t="shared" si="556"/>
        <v>5000</v>
      </c>
      <c r="L578" s="8">
        <v>25000</v>
      </c>
      <c r="M578" s="9">
        <f>VLOOKUP(DATE(YEAR(A578),MONTH(A578),DAY(A578)),FY24_Temp[],4,FALSE)</f>
        <v>8.4</v>
      </c>
      <c r="N578" s="9">
        <f>VLOOKUP(DATE(YEAR(A578),MONTH(A578),DAY(A578)),FY24_Temp[],3,FALSE)</f>
        <v>12.8</v>
      </c>
      <c r="O578" s="9">
        <v>13.5</v>
      </c>
      <c r="P578" s="9">
        <v>19.5</v>
      </c>
      <c r="Q578" s="79">
        <f>VLOOKUP(VLOOKUP(DATEVALUE(TEXT(A578,"m/d/yyyy")),FY24_Temp[],5,FALSE)&amp;TEXT(A578,"-h"),Table6[],4,FALSE)</f>
        <v>3.1470000062670027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VLOOKUP(TEXT(A578,"yy-mm")&amp;"-"&amp;IF(AND(WEEKDAY(A578)&gt;1,WEEKDAY(A578)&lt;7),"Wkd",TEXT(A578,"Ddd"))&amp;"-"&amp;TEXT(A578,"hh"),LoadTable[],5,FALSE)*0.92</f>
        <v>342.93920000000003</v>
      </c>
      <c r="U578" s="104">
        <f>VLOOKUP(TEXT(A578,"yy-mm")&amp;"-"&amp;IF(AND(WEEKDAY(A578)&gt;1,WEEKDAY(A578)&lt;7),"Wkd",TEXT(A578,"Ddd"))&amp;"-"&amp;TEXT(A578,"hh"),LoadTable[],6,FALSE)*T578</f>
        <v>19873.669579200003</v>
      </c>
      <c r="V578">
        <f t="shared" ref="V578:W578" si="595">V554</f>
        <v>3.6</v>
      </c>
      <c r="W578">
        <f t="shared" si="595"/>
        <v>3.1</v>
      </c>
      <c r="X578" s="9">
        <v>2.9326799000000001</v>
      </c>
    </row>
    <row r="579" spans="1:24">
      <c r="A579" s="29">
        <f t="shared" si="529"/>
        <v>45859.999999998603</v>
      </c>
      <c r="B579" s="30">
        <f t="shared" si="553"/>
        <v>5000</v>
      </c>
      <c r="C579" s="8">
        <v>25000</v>
      </c>
      <c r="D579" s="8">
        <v>0</v>
      </c>
      <c r="E579" s="8">
        <v>700</v>
      </c>
      <c r="F579" s="8">
        <v>15000</v>
      </c>
      <c r="G579" s="30">
        <f t="shared" si="554"/>
        <v>2400</v>
      </c>
      <c r="H579" s="8">
        <v>25000</v>
      </c>
      <c r="I579" s="30">
        <f t="shared" si="555"/>
        <v>5000</v>
      </c>
      <c r="J579" s="8">
        <v>25000</v>
      </c>
      <c r="K579" s="30">
        <f t="shared" si="556"/>
        <v>5000</v>
      </c>
      <c r="L579" s="8">
        <v>25000</v>
      </c>
      <c r="M579" s="9">
        <f>VLOOKUP(DATE(YEAR(A579),MONTH(A579),DAY(A579)),FY24_Temp[],4,FALSE)</f>
        <v>8.4</v>
      </c>
      <c r="N579" s="9">
        <f>VLOOKUP(DATE(YEAR(A579),MONTH(A579),DAY(A579)),FY24_Temp[],3,FALSE)</f>
        <v>12.8</v>
      </c>
      <c r="O579" s="9">
        <v>13.5</v>
      </c>
      <c r="P579" s="9">
        <v>19.5</v>
      </c>
      <c r="Q579" s="79">
        <f>VLOOKUP(VLOOKUP(DATEVALUE(TEXT(A579,"m/d/yyyy")),FY24_Temp[],5,FALSE)&amp;TEXT(A579,"-h"),Table6[],4,FALSE)</f>
        <v>2.990142822265625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VLOOKUP(TEXT(A579,"yy-mm")&amp;"-"&amp;IF(AND(WEEKDAY(A579)&gt;1,WEEKDAY(A579)&lt;7),"Wkd",TEXT(A579,"Ddd"))&amp;"-"&amp;TEXT(A579,"hh"),LoadTable[],5,FALSE)*0.92</f>
        <v>279.25312000000002</v>
      </c>
      <c r="U579" s="104">
        <f>VLOOKUP(TEXT(A579,"yy-mm")&amp;"-"&amp;IF(AND(WEEKDAY(A579)&gt;1,WEEKDAY(A579)&lt;7),"Wkd",TEXT(A579,"Ddd"))&amp;"-"&amp;TEXT(A579,"hh"),LoadTable[],6,FALSE)*T579</f>
        <v>14895.640673920001</v>
      </c>
      <c r="V579">
        <f t="shared" ref="V579:W579" si="596">V555</f>
        <v>3</v>
      </c>
      <c r="W579">
        <f t="shared" si="596"/>
        <v>3.2</v>
      </c>
      <c r="X579" s="9">
        <v>2.8367070999999999</v>
      </c>
    </row>
    <row r="580" spans="1:24">
      <c r="A580" s="29">
        <f t="shared" si="529"/>
        <v>45860.041666665267</v>
      </c>
      <c r="B580" s="30">
        <f t="shared" si="553"/>
        <v>5000</v>
      </c>
      <c r="C580" s="8">
        <v>25000</v>
      </c>
      <c r="D580" s="8">
        <v>0</v>
      </c>
      <c r="E580" s="8">
        <v>700</v>
      </c>
      <c r="F580" s="8">
        <v>15000</v>
      </c>
      <c r="G580" s="30">
        <f t="shared" si="554"/>
        <v>2400</v>
      </c>
      <c r="H580" s="8">
        <v>25000</v>
      </c>
      <c r="I580" s="30">
        <f t="shared" si="555"/>
        <v>5000</v>
      </c>
      <c r="J580" s="8">
        <v>25000</v>
      </c>
      <c r="K580" s="30">
        <f t="shared" si="556"/>
        <v>5000</v>
      </c>
      <c r="L580" s="8">
        <v>25000</v>
      </c>
      <c r="M580" s="9">
        <f>VLOOKUP(DATE(YEAR(A580),MONTH(A580),DAY(A580)),FY24_Temp[],4,FALSE)</f>
        <v>8.4</v>
      </c>
      <c r="N580" s="9">
        <f>VLOOKUP(DATE(YEAR(A580),MONTH(A580),DAY(A580)),FY24_Temp[],3,FALSE)</f>
        <v>12.8</v>
      </c>
      <c r="O580" s="9">
        <v>13.5</v>
      </c>
      <c r="P580" s="9">
        <v>19.5</v>
      </c>
      <c r="Q580" s="79">
        <f>VLOOKUP(VLOOKUP(DATEVALUE(TEXT(A580,"m/d/yyyy")),FY24_Temp[],5,FALSE)&amp;TEXT(A580,"-h"),Table6[],4,FALSE)</f>
        <v>2.8801428590502058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VLOOKUP(TEXT(A580,"yy-mm")&amp;"-"&amp;IF(AND(WEEKDAY(A580)&gt;1,WEEKDAY(A580)&lt;7),"Wkd",TEXT(A580,"Ddd"))&amp;"-"&amp;TEXT(A580,"hh"),LoadTable[],5,FALSE)*0.92</f>
        <v>279.25312000000002</v>
      </c>
      <c r="U580" s="104">
        <f>VLOOKUP(TEXT(A580,"yy-mm")&amp;"-"&amp;IF(AND(WEEKDAY(A580)&gt;1,WEEKDAY(A580)&lt;7),"Wkd",TEXT(A580,"Ddd"))&amp;"-"&amp;TEXT(A580,"hh"),LoadTable[],6,FALSE)*T580</f>
        <v>14470.896678400002</v>
      </c>
      <c r="V580">
        <f t="shared" ref="V580:W580" si="597">V556</f>
        <v>2.6</v>
      </c>
      <c r="W580">
        <f t="shared" si="597"/>
        <v>3.2</v>
      </c>
      <c r="X580" s="9">
        <v>2.7599320000000001</v>
      </c>
    </row>
    <row r="581" spans="1:24">
      <c r="A581" s="29">
        <f t="shared" ref="A581:A644" si="598">A580+TIME(1,0,0)</f>
        <v>45860.083333331931</v>
      </c>
      <c r="B581" s="30">
        <f t="shared" si="553"/>
        <v>5000</v>
      </c>
      <c r="C581" s="8">
        <v>25000</v>
      </c>
      <c r="D581" s="8">
        <v>0</v>
      </c>
      <c r="E581" s="8">
        <v>700</v>
      </c>
      <c r="F581" s="8">
        <v>15000</v>
      </c>
      <c r="G581" s="30">
        <f t="shared" si="554"/>
        <v>2400</v>
      </c>
      <c r="H581" s="8">
        <v>25000</v>
      </c>
      <c r="I581" s="30">
        <f t="shared" si="555"/>
        <v>5000</v>
      </c>
      <c r="J581" s="8">
        <v>25000</v>
      </c>
      <c r="K581" s="30">
        <f t="shared" si="556"/>
        <v>5000</v>
      </c>
      <c r="L581" s="8">
        <v>25000</v>
      </c>
      <c r="M581" s="9">
        <f>VLOOKUP(DATE(YEAR(A581),MONTH(A581),DAY(A581)),FY24_Temp[],4,FALSE)</f>
        <v>8.4</v>
      </c>
      <c r="N581" s="9">
        <f>VLOOKUP(DATE(YEAR(A581),MONTH(A581),DAY(A581)),FY24_Temp[],3,FALSE)</f>
        <v>12.8</v>
      </c>
      <c r="O581" s="9">
        <v>13.5</v>
      </c>
      <c r="P581" s="9">
        <v>19.5</v>
      </c>
      <c r="Q581" s="79">
        <f>VLOOKUP(VLOOKUP(DATEVALUE(TEXT(A581,"m/d/yyyy")),FY24_Temp[],5,FALSE)&amp;TEXT(A581,"-h"),Table6[],4,FALSE)</f>
        <v>2.7695714065006802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VLOOKUP(TEXT(A581,"yy-mm")&amp;"-"&amp;IF(AND(WEEKDAY(A581)&gt;1,WEEKDAY(A581)&lt;7),"Wkd",TEXT(A581,"Ddd"))&amp;"-"&amp;TEXT(A581,"hh"),LoadTable[],5,FALSE)*0.92</f>
        <v>279.25312000000002</v>
      </c>
      <c r="U581" s="104">
        <f>VLOOKUP(TEXT(A581,"yy-mm")&amp;"-"&amp;IF(AND(WEEKDAY(A581)&gt;1,WEEKDAY(A581)&lt;7),"Wkd",TEXT(A581,"Ddd"))&amp;"-"&amp;TEXT(A581,"hh"),LoadTable[],6,FALSE)*T581</f>
        <v>14154.50289344</v>
      </c>
      <c r="V581">
        <f t="shared" ref="V581:W581" si="599">V557</f>
        <v>2.8</v>
      </c>
      <c r="W581">
        <f t="shared" si="599"/>
        <v>3.2</v>
      </c>
      <c r="X581" s="9">
        <v>2.8298844999999999</v>
      </c>
    </row>
    <row r="582" spans="1:24">
      <c r="A582" s="29">
        <f t="shared" si="598"/>
        <v>45860.124999998596</v>
      </c>
      <c r="B582" s="30">
        <f t="shared" si="553"/>
        <v>5000</v>
      </c>
      <c r="C582" s="8">
        <v>25000</v>
      </c>
      <c r="D582" s="8">
        <v>0</v>
      </c>
      <c r="E582" s="8">
        <v>700</v>
      </c>
      <c r="F582" s="8">
        <v>15000</v>
      </c>
      <c r="G582" s="30">
        <f t="shared" si="554"/>
        <v>2400</v>
      </c>
      <c r="H582" s="8">
        <v>25000</v>
      </c>
      <c r="I582" s="30">
        <f t="shared" si="555"/>
        <v>5000</v>
      </c>
      <c r="J582" s="8">
        <v>25000</v>
      </c>
      <c r="K582" s="30">
        <f t="shared" si="556"/>
        <v>5000</v>
      </c>
      <c r="L582" s="8">
        <v>25000</v>
      </c>
      <c r="M582" s="9">
        <f>VLOOKUP(DATE(YEAR(A582),MONTH(A582),DAY(A582)),FY24_Temp[],4,FALSE)</f>
        <v>8.4</v>
      </c>
      <c r="N582" s="9">
        <f>VLOOKUP(DATE(YEAR(A582),MONTH(A582),DAY(A582)),FY24_Temp[],3,FALSE)</f>
        <v>12.8</v>
      </c>
      <c r="O582" s="9">
        <v>13.5</v>
      </c>
      <c r="P582" s="9">
        <v>19.5</v>
      </c>
      <c r="Q582" s="79">
        <f>VLOOKUP(VLOOKUP(DATEVALUE(TEXT(A582,"m/d/yyyy")),FY24_Temp[],5,FALSE)&amp;TEXT(A582,"-h"),Table6[],4,FALSE)</f>
        <v>2.65728565624782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VLOOKUP(TEXT(A582,"yy-mm")&amp;"-"&amp;IF(AND(WEEKDAY(A582)&gt;1,WEEKDAY(A582)&lt;7),"Wkd",TEXT(A582,"Ddd"))&amp;"-"&amp;TEXT(A582,"hh"),LoadTable[],5,FALSE)*0.92</f>
        <v>279.25312000000002</v>
      </c>
      <c r="U582" s="104">
        <f>VLOOKUP(TEXT(A582,"yy-mm")&amp;"-"&amp;IF(AND(WEEKDAY(A582)&gt;1,WEEKDAY(A582)&lt;7),"Wkd",TEXT(A582,"Ddd"))&amp;"-"&amp;TEXT(A582,"hh"),LoadTable[],6,FALSE)*T582</f>
        <v>14206.443973760001</v>
      </c>
      <c r="V582">
        <f t="shared" ref="V582:W582" si="600">V558</f>
        <v>2.7</v>
      </c>
      <c r="W582">
        <f t="shared" si="600"/>
        <v>3.2</v>
      </c>
      <c r="X582" s="9">
        <v>2.8883402</v>
      </c>
    </row>
    <row r="583" spans="1:24">
      <c r="A583" s="29">
        <f t="shared" si="598"/>
        <v>45860.16666666526</v>
      </c>
      <c r="B583" s="30">
        <f t="shared" si="553"/>
        <v>5000</v>
      </c>
      <c r="C583" s="8">
        <v>25000</v>
      </c>
      <c r="D583" s="8">
        <v>0</v>
      </c>
      <c r="E583" s="8">
        <v>700</v>
      </c>
      <c r="F583" s="8">
        <v>15000</v>
      </c>
      <c r="G583" s="30">
        <f t="shared" si="554"/>
        <v>2400</v>
      </c>
      <c r="H583" s="8">
        <v>25000</v>
      </c>
      <c r="I583" s="30">
        <f t="shared" si="555"/>
        <v>5000</v>
      </c>
      <c r="J583" s="8">
        <v>25000</v>
      </c>
      <c r="K583" s="30">
        <f t="shared" si="556"/>
        <v>5000</v>
      </c>
      <c r="L583" s="8">
        <v>25000</v>
      </c>
      <c r="M583" s="9">
        <f>VLOOKUP(DATE(YEAR(A583),MONTH(A583),DAY(A583)),FY24_Temp[],4,FALSE)</f>
        <v>8.4</v>
      </c>
      <c r="N583" s="9">
        <f>VLOOKUP(DATE(YEAR(A583),MONTH(A583),DAY(A583)),FY24_Temp[],3,FALSE)</f>
        <v>12.8</v>
      </c>
      <c r="O583" s="9">
        <v>13.5</v>
      </c>
      <c r="P583" s="9">
        <v>19.5</v>
      </c>
      <c r="Q583" s="79">
        <f>VLOOKUP(VLOOKUP(DATEVALUE(TEXT(A583,"m/d/yyyy")),FY24_Temp[],5,FALSE)&amp;TEXT(A583,"-h"),Table6[],4,FALSE)</f>
        <v>2.4975714342934743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VLOOKUP(TEXT(A583,"yy-mm")&amp;"-"&amp;IF(AND(WEEKDAY(A583)&gt;1,WEEKDAY(A583)&lt;7),"Wkd",TEXT(A583,"Ddd"))&amp;"-"&amp;TEXT(A583,"hh"),LoadTable[],5,FALSE)*0.92</f>
        <v>279.25312000000002</v>
      </c>
      <c r="U583" s="104">
        <f>VLOOKUP(TEXT(A583,"yy-mm")&amp;"-"&amp;IF(AND(WEEKDAY(A583)&gt;1,WEEKDAY(A583)&lt;7),"Wkd",TEXT(A583,"Ddd"))&amp;"-"&amp;TEXT(A583,"hh"),LoadTable[],6,FALSE)*T583</f>
        <v>14229.063476480002</v>
      </c>
      <c r="V583">
        <f t="shared" ref="V583:W583" si="601">V559</f>
        <v>3</v>
      </c>
      <c r="W583">
        <f t="shared" si="601"/>
        <v>3.1</v>
      </c>
      <c r="X583" s="9">
        <v>2.9127181000000002</v>
      </c>
    </row>
    <row r="584" spans="1:24">
      <c r="A584" s="29">
        <f t="shared" si="598"/>
        <v>45860.208333331924</v>
      </c>
      <c r="B584" s="30">
        <f t="shared" si="553"/>
        <v>5000</v>
      </c>
      <c r="C584" s="8">
        <v>25000</v>
      </c>
      <c r="D584" s="8">
        <v>0</v>
      </c>
      <c r="E584" s="8">
        <v>700</v>
      </c>
      <c r="F584" s="8">
        <v>15000</v>
      </c>
      <c r="G584" s="30">
        <f t="shared" si="554"/>
        <v>2400</v>
      </c>
      <c r="H584" s="8">
        <v>25000</v>
      </c>
      <c r="I584" s="30">
        <f t="shared" si="555"/>
        <v>5000</v>
      </c>
      <c r="J584" s="8">
        <v>25000</v>
      </c>
      <c r="K584" s="30">
        <f t="shared" si="556"/>
        <v>5000</v>
      </c>
      <c r="L584" s="8">
        <v>25000</v>
      </c>
      <c r="M584" s="9">
        <f>VLOOKUP(DATE(YEAR(A584),MONTH(A584),DAY(A584)),FY24_Temp[],4,FALSE)</f>
        <v>8.4</v>
      </c>
      <c r="N584" s="9">
        <f>VLOOKUP(DATE(YEAR(A584),MONTH(A584),DAY(A584)),FY24_Temp[],3,FALSE)</f>
        <v>12.8</v>
      </c>
      <c r="O584" s="9">
        <v>13.5</v>
      </c>
      <c r="P584" s="9">
        <v>19.5</v>
      </c>
      <c r="Q584" s="79">
        <f>VLOOKUP(VLOOKUP(DATEVALUE(TEXT(A584,"m/d/yyyy")),FY24_Temp[],5,FALSE)&amp;TEXT(A584,"-h"),Table6[],4,FALSE)</f>
        <v>2.3462857518877303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VLOOKUP(TEXT(A584,"yy-mm")&amp;"-"&amp;IF(AND(WEEKDAY(A584)&gt;1,WEEKDAY(A584)&lt;7),"Wkd",TEXT(A584,"Ddd"))&amp;"-"&amp;TEXT(A584,"hh"),LoadTable[],5,FALSE)*0.92</f>
        <v>279.25312000000002</v>
      </c>
      <c r="U584" s="104">
        <f>VLOOKUP(TEXT(A584,"yy-mm")&amp;"-"&amp;IF(AND(WEEKDAY(A584)&gt;1,WEEKDAY(A584)&lt;7),"Wkd",TEXT(A584,"Ddd"))&amp;"-"&amp;TEXT(A584,"hh"),LoadTable[],6,FALSE)*T584</f>
        <v>14735.070129920001</v>
      </c>
      <c r="V584">
        <f t="shared" ref="V584:W584" si="602">V560</f>
        <v>2.9</v>
      </c>
      <c r="W584">
        <f t="shared" si="602"/>
        <v>3.1</v>
      </c>
      <c r="X584" s="9">
        <v>2.9824866999999999</v>
      </c>
    </row>
    <row r="585" spans="1:24">
      <c r="A585" s="29">
        <f t="shared" si="598"/>
        <v>45860.249999998588</v>
      </c>
      <c r="B585" s="30">
        <f t="shared" si="553"/>
        <v>8000</v>
      </c>
      <c r="C585" s="8">
        <v>25000</v>
      </c>
      <c r="D585" s="8">
        <v>0</v>
      </c>
      <c r="E585" s="8">
        <v>700</v>
      </c>
      <c r="F585" s="8">
        <v>15000</v>
      </c>
      <c r="G585" s="30">
        <f t="shared" si="554"/>
        <v>2400</v>
      </c>
      <c r="H585" s="8">
        <v>25000</v>
      </c>
      <c r="I585" s="30">
        <f t="shared" si="555"/>
        <v>8000</v>
      </c>
      <c r="J585" s="8">
        <v>25000</v>
      </c>
      <c r="K585" s="30">
        <f t="shared" si="556"/>
        <v>8000</v>
      </c>
      <c r="L585" s="8">
        <v>25000</v>
      </c>
      <c r="M585" s="9">
        <f>VLOOKUP(DATE(YEAR(A585),MONTH(A585),DAY(A585)),FY24_Temp[],4,FALSE)</f>
        <v>8.4</v>
      </c>
      <c r="N585" s="9">
        <f>VLOOKUP(DATE(YEAR(A585),MONTH(A585),DAY(A585)),FY24_Temp[],3,FALSE)</f>
        <v>12.8</v>
      </c>
      <c r="O585" s="9">
        <v>13.5</v>
      </c>
      <c r="P585" s="9">
        <v>19.5</v>
      </c>
      <c r="Q585" s="79">
        <f>VLOOKUP(VLOOKUP(DATEVALUE(TEXT(A585,"m/d/yyyy")),FY24_Temp[],5,FALSE)&amp;TEXT(A585,"-h"),Table6[],4,FALSE)</f>
        <v>2.2328571251460483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VLOOKUP(TEXT(A585,"yy-mm")&amp;"-"&amp;IF(AND(WEEKDAY(A585)&gt;1,WEEKDAY(A585)&lt;7),"Wkd",TEXT(A585,"Ddd"))&amp;"-"&amp;TEXT(A585,"hh"),LoadTable[],5,FALSE)*0.92</f>
        <v>279.25312000000002</v>
      </c>
      <c r="U585" s="104">
        <f>VLOOKUP(TEXT(A585,"yy-mm")&amp;"-"&amp;IF(AND(WEEKDAY(A585)&gt;1,WEEKDAY(A585)&lt;7),"Wkd",TEXT(A585,"Ddd"))&amp;"-"&amp;TEXT(A585,"hh"),LoadTable[],6,FALSE)*T585</f>
        <v>26238.902408320002</v>
      </c>
      <c r="V585">
        <f t="shared" ref="V585:W585" si="603">V561</f>
        <v>2.5</v>
      </c>
      <c r="W585">
        <f t="shared" si="603"/>
        <v>3.1</v>
      </c>
      <c r="X585" s="9">
        <v>3.0992891999999999</v>
      </c>
    </row>
    <row r="586" spans="1:24">
      <c r="A586" s="29">
        <f t="shared" si="598"/>
        <v>45860.291666665253</v>
      </c>
      <c r="B586" s="30">
        <f t="shared" si="553"/>
        <v>8000</v>
      </c>
      <c r="C586" s="8">
        <v>25000</v>
      </c>
      <c r="D586" s="8">
        <v>0</v>
      </c>
      <c r="E586" s="8">
        <v>700</v>
      </c>
      <c r="F586" s="8">
        <v>15000</v>
      </c>
      <c r="G586" s="30">
        <f t="shared" si="554"/>
        <v>2400</v>
      </c>
      <c r="H586" s="8">
        <v>25000</v>
      </c>
      <c r="I586" s="30">
        <f t="shared" si="555"/>
        <v>8000</v>
      </c>
      <c r="J586" s="8">
        <v>25000</v>
      </c>
      <c r="K586" s="30">
        <f t="shared" si="556"/>
        <v>8000</v>
      </c>
      <c r="L586" s="8">
        <v>25000</v>
      </c>
      <c r="M586" s="9">
        <f>VLOOKUP(DATE(YEAR(A586),MONTH(A586),DAY(A586)),FY24_Temp[],4,FALSE)</f>
        <v>8.4</v>
      </c>
      <c r="N586" s="9">
        <f>VLOOKUP(DATE(YEAR(A586),MONTH(A586),DAY(A586)),FY24_Temp[],3,FALSE)</f>
        <v>12.8</v>
      </c>
      <c r="O586" s="9">
        <v>13.5</v>
      </c>
      <c r="P586" s="9">
        <v>19.5</v>
      </c>
      <c r="Q586" s="79">
        <f>VLOOKUP(VLOOKUP(DATEVALUE(TEXT(A586,"m/d/yyyy")),FY24_Temp[],5,FALSE)&amp;TEXT(A586,"-h"),Table6[],4,FALSE)</f>
        <v>2.127857106072562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VLOOKUP(TEXT(A586,"yy-mm")&amp;"-"&amp;IF(AND(WEEKDAY(A586)&gt;1,WEEKDAY(A586)&lt;7),"Wkd",TEXT(A586,"Ddd"))&amp;"-"&amp;TEXT(A586,"hh"),LoadTable[],5,FALSE)*0.92</f>
        <v>279.25312000000002</v>
      </c>
      <c r="U586" s="104">
        <f>VLOOKUP(TEXT(A586,"yy-mm")&amp;"-"&amp;IF(AND(WEEKDAY(A586)&gt;1,WEEKDAY(A586)&lt;7),"Wkd",TEXT(A586,"Ddd"))&amp;"-"&amp;TEXT(A586,"hh"),LoadTable[],6,FALSE)*T586</f>
        <v>22145.051669120003</v>
      </c>
      <c r="V586">
        <f t="shared" ref="V586:W586" si="604">V562</f>
        <v>2.5</v>
      </c>
      <c r="W586">
        <f t="shared" si="604"/>
        <v>3.1</v>
      </c>
      <c r="X586" s="9">
        <v>3.2376782999999998</v>
      </c>
    </row>
    <row r="587" spans="1:24">
      <c r="A587" s="29">
        <f t="shared" si="598"/>
        <v>45860.333333331917</v>
      </c>
      <c r="B587" s="30">
        <f t="shared" si="553"/>
        <v>8000</v>
      </c>
      <c r="C587" s="8">
        <v>25000</v>
      </c>
      <c r="D587" s="8">
        <v>0</v>
      </c>
      <c r="E587" s="8">
        <v>700</v>
      </c>
      <c r="F587" s="8">
        <v>15000</v>
      </c>
      <c r="G587" s="30">
        <f t="shared" si="554"/>
        <v>2400</v>
      </c>
      <c r="H587" s="8">
        <v>25000</v>
      </c>
      <c r="I587" s="30">
        <f t="shared" si="555"/>
        <v>8000</v>
      </c>
      <c r="J587" s="8">
        <v>25000</v>
      </c>
      <c r="K587" s="30">
        <f t="shared" si="556"/>
        <v>8000</v>
      </c>
      <c r="L587" s="8">
        <v>25000</v>
      </c>
      <c r="M587" s="9">
        <f>VLOOKUP(DATE(YEAR(A587),MONTH(A587),DAY(A587)),FY24_Temp[],4,FALSE)</f>
        <v>8.4</v>
      </c>
      <c r="N587" s="9">
        <f>VLOOKUP(DATE(YEAR(A587),MONTH(A587),DAY(A587)),FY24_Temp[],3,FALSE)</f>
        <v>12.8</v>
      </c>
      <c r="O587" s="9">
        <v>13.5</v>
      </c>
      <c r="P587" s="9">
        <v>19.5</v>
      </c>
      <c r="Q587" s="79">
        <f>VLOOKUP(VLOOKUP(DATEVALUE(TEXT(A587,"m/d/yyyy")),FY24_Temp[],5,FALSE)&amp;TEXT(A587,"-h"),Table6[],4,FALSE)</f>
        <v>2.00528575692858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VLOOKUP(TEXT(A587,"yy-mm")&amp;"-"&amp;IF(AND(WEEKDAY(A587)&gt;1,WEEKDAY(A587)&lt;7),"Wkd",TEXT(A587,"Ddd"))&amp;"-"&amp;TEXT(A587,"hh"),LoadTable[],5,FALSE)*0.92</f>
        <v>279.25312000000002</v>
      </c>
      <c r="U587" s="104">
        <f>VLOOKUP(TEXT(A587,"yy-mm")&amp;"-"&amp;IF(AND(WEEKDAY(A587)&gt;1,WEEKDAY(A587)&lt;7),"Wkd",TEXT(A587,"Ddd"))&amp;"-"&amp;TEXT(A587,"hh"),LoadTable[],6,FALSE)*T587</f>
        <v>17686.77560832</v>
      </c>
      <c r="V587">
        <f t="shared" ref="V587:W587" si="605">V563</f>
        <v>3.2</v>
      </c>
      <c r="W587">
        <f t="shared" si="605"/>
        <v>3</v>
      </c>
      <c r="X587" s="9">
        <v>3.2945416000000001</v>
      </c>
    </row>
    <row r="588" spans="1:24">
      <c r="A588" s="29">
        <f t="shared" si="598"/>
        <v>45860.374999998581</v>
      </c>
      <c r="B588" s="30">
        <f t="shared" si="553"/>
        <v>8000</v>
      </c>
      <c r="C588" s="8">
        <v>25000</v>
      </c>
      <c r="D588" s="8">
        <v>0</v>
      </c>
      <c r="E588" s="8">
        <v>700</v>
      </c>
      <c r="F588" s="8">
        <v>15000</v>
      </c>
      <c r="G588" s="30">
        <f t="shared" si="554"/>
        <v>2400</v>
      </c>
      <c r="H588" s="8">
        <v>25000</v>
      </c>
      <c r="I588" s="30">
        <f t="shared" si="555"/>
        <v>8000</v>
      </c>
      <c r="J588" s="8">
        <v>25000</v>
      </c>
      <c r="K588" s="30">
        <f t="shared" si="556"/>
        <v>8000</v>
      </c>
      <c r="L588" s="8">
        <v>25000</v>
      </c>
      <c r="M588" s="9">
        <f>VLOOKUP(DATE(YEAR(A588),MONTH(A588),DAY(A588)),FY24_Temp[],4,FALSE)</f>
        <v>8.4</v>
      </c>
      <c r="N588" s="9">
        <f>VLOOKUP(DATE(YEAR(A588),MONTH(A588),DAY(A588)),FY24_Temp[],3,FALSE)</f>
        <v>12.8</v>
      </c>
      <c r="O588" s="9">
        <v>13.5</v>
      </c>
      <c r="P588" s="9">
        <v>19.5</v>
      </c>
      <c r="Q588" s="79">
        <f>VLOOKUP(VLOOKUP(DATEVALUE(TEXT(A588,"m/d/yyyy")),FY24_Temp[],5,FALSE)&amp;TEXT(A588,"-h"),Table6[],4,FALSE)</f>
        <v>1.90142856325422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VLOOKUP(TEXT(A588,"yy-mm")&amp;"-"&amp;IF(AND(WEEKDAY(A588)&gt;1,WEEKDAY(A588)&lt;7),"Wkd",TEXT(A588,"Ddd"))&amp;"-"&amp;TEXT(A588,"hh"),LoadTable[],5,FALSE)*0.92</f>
        <v>279.25312000000002</v>
      </c>
      <c r="U588" s="104">
        <f>VLOOKUP(TEXT(A588,"yy-mm")&amp;"-"&amp;IF(AND(WEEKDAY(A588)&gt;1,WEEKDAY(A588)&lt;7),"Wkd",TEXT(A588,"Ddd"))&amp;"-"&amp;TEXT(A588,"hh"),LoadTable[],6,FALSE)*T588</f>
        <v>14265.924888320002</v>
      </c>
      <c r="V588">
        <f t="shared" ref="V588:W588" si="606">V564</f>
        <v>2.9</v>
      </c>
      <c r="W588">
        <f t="shared" si="606"/>
        <v>3</v>
      </c>
      <c r="X588" s="9">
        <v>3.3307959999999999</v>
      </c>
    </row>
    <row r="589" spans="1:24">
      <c r="A589" s="29">
        <f t="shared" si="598"/>
        <v>45860.416666665245</v>
      </c>
      <c r="B589" s="30">
        <f t="shared" si="553"/>
        <v>8000</v>
      </c>
      <c r="C589" s="8">
        <v>25000</v>
      </c>
      <c r="D589" s="8">
        <v>0</v>
      </c>
      <c r="E589" s="8">
        <v>700</v>
      </c>
      <c r="F589" s="8">
        <v>15000</v>
      </c>
      <c r="G589" s="30">
        <f t="shared" si="554"/>
        <v>2400</v>
      </c>
      <c r="H589" s="8">
        <v>25000</v>
      </c>
      <c r="I589" s="30">
        <f t="shared" si="555"/>
        <v>8000</v>
      </c>
      <c r="J589" s="8">
        <v>25000</v>
      </c>
      <c r="K589" s="30">
        <f t="shared" si="556"/>
        <v>8000</v>
      </c>
      <c r="L589" s="8">
        <v>25000</v>
      </c>
      <c r="M589" s="9">
        <f>VLOOKUP(DATE(YEAR(A589),MONTH(A589),DAY(A589)),FY24_Temp[],4,FALSE)</f>
        <v>8.4</v>
      </c>
      <c r="N589" s="9">
        <f>VLOOKUP(DATE(YEAR(A589),MONTH(A589),DAY(A589)),FY24_Temp[],3,FALSE)</f>
        <v>12.8</v>
      </c>
      <c r="O589" s="9">
        <v>13.5</v>
      </c>
      <c r="P589" s="9">
        <v>19.5</v>
      </c>
      <c r="Q589" s="79">
        <f>VLOOKUP(VLOOKUP(DATEVALUE(TEXT(A589,"m/d/yyyy")),FY24_Temp[],5,FALSE)&amp;TEXT(A589,"-h"),Table6[],4,FALSE)</f>
        <v>1.8012857096535819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VLOOKUP(TEXT(A589,"yy-mm")&amp;"-"&amp;IF(AND(WEEKDAY(A589)&gt;1,WEEKDAY(A589)&lt;7),"Wkd",TEXT(A589,"Ddd"))&amp;"-"&amp;TEXT(A589,"hh"),LoadTable[],5,FALSE)*0.92</f>
        <v>279.25312000000002</v>
      </c>
      <c r="U589" s="104">
        <f>VLOOKUP(TEXT(A589,"yy-mm")&amp;"-"&amp;IF(AND(WEEKDAY(A589)&gt;1,WEEKDAY(A589)&lt;7),"Wkd",TEXT(A589,"Ddd"))&amp;"-"&amp;TEXT(A589,"hh"),LoadTable[],6,FALSE)*T589</f>
        <v>13649.054746240003</v>
      </c>
      <c r="V589">
        <f t="shared" ref="V589:W589" si="607">V565</f>
        <v>2.9</v>
      </c>
      <c r="W589">
        <f t="shared" si="607"/>
        <v>3</v>
      </c>
      <c r="X589" s="9">
        <v>3.398927</v>
      </c>
    </row>
    <row r="590" spans="1:24">
      <c r="A590" s="29">
        <f t="shared" si="598"/>
        <v>45860.45833333191</v>
      </c>
      <c r="B590" s="30">
        <f t="shared" si="553"/>
        <v>8000</v>
      </c>
      <c r="C590" s="8">
        <v>25000</v>
      </c>
      <c r="D590" s="8">
        <v>0</v>
      </c>
      <c r="E590" s="8">
        <v>700</v>
      </c>
      <c r="F590" s="8">
        <v>15000</v>
      </c>
      <c r="G590" s="30">
        <f t="shared" si="554"/>
        <v>2400</v>
      </c>
      <c r="H590" s="8">
        <v>25000</v>
      </c>
      <c r="I590" s="30">
        <f t="shared" si="555"/>
        <v>8000</v>
      </c>
      <c r="J590" s="8">
        <v>25000</v>
      </c>
      <c r="K590" s="30">
        <f t="shared" si="556"/>
        <v>8000</v>
      </c>
      <c r="L590" s="8">
        <v>25000</v>
      </c>
      <c r="M590" s="9">
        <f>VLOOKUP(DATE(YEAR(A590),MONTH(A590),DAY(A590)),FY24_Temp[],4,FALSE)</f>
        <v>8.4</v>
      </c>
      <c r="N590" s="9">
        <f>VLOOKUP(DATE(YEAR(A590),MONTH(A590),DAY(A590)),FY24_Temp[],3,FALSE)</f>
        <v>12.8</v>
      </c>
      <c r="O590" s="9">
        <v>13.5</v>
      </c>
      <c r="P590" s="9">
        <v>19.5</v>
      </c>
      <c r="Q590" s="79">
        <f>VLOOKUP(VLOOKUP(DATEVALUE(TEXT(A590,"m/d/yyyy")),FY24_Temp[],5,FALSE)&amp;TEXT(A590,"-h"),Table6[],4,FALSE)</f>
        <v>1.6742857013429915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VLOOKUP(TEXT(A590,"yy-mm")&amp;"-"&amp;IF(AND(WEEKDAY(A590)&gt;1,WEEKDAY(A590)&lt;7),"Wkd",TEXT(A590,"Ddd"))&amp;"-"&amp;TEXT(A590,"hh"),LoadTable[],5,FALSE)*0.92</f>
        <v>279.25312000000002</v>
      </c>
      <c r="U590" s="104">
        <f>VLOOKUP(TEXT(A590,"yy-mm")&amp;"-"&amp;IF(AND(WEEKDAY(A590)&gt;1,WEEKDAY(A590)&lt;7),"Wkd",TEXT(A590,"Ddd"))&amp;"-"&amp;TEXT(A590,"hh"),LoadTable[],6,FALSE)*T590</f>
        <v>13153.938964480001</v>
      </c>
      <c r="V590">
        <f t="shared" ref="V590:W590" si="608">V566</f>
        <v>3.4</v>
      </c>
      <c r="W590">
        <f t="shared" si="608"/>
        <v>3</v>
      </c>
      <c r="X590" s="9">
        <v>3.3382580000000002</v>
      </c>
    </row>
    <row r="591" spans="1:24">
      <c r="A591" s="29">
        <f t="shared" si="598"/>
        <v>45860.499999998574</v>
      </c>
      <c r="B591" s="30">
        <f t="shared" si="553"/>
        <v>8000</v>
      </c>
      <c r="C591" s="8">
        <v>25000</v>
      </c>
      <c r="D591" s="8">
        <v>0</v>
      </c>
      <c r="E591" s="8">
        <v>700</v>
      </c>
      <c r="F591" s="8">
        <v>15000</v>
      </c>
      <c r="G591" s="30">
        <f t="shared" si="554"/>
        <v>2400</v>
      </c>
      <c r="H591" s="8">
        <v>25000</v>
      </c>
      <c r="I591" s="30">
        <f t="shared" si="555"/>
        <v>8000</v>
      </c>
      <c r="J591" s="8">
        <v>25000</v>
      </c>
      <c r="K591" s="30">
        <f t="shared" si="556"/>
        <v>8000</v>
      </c>
      <c r="L591" s="8">
        <v>25000</v>
      </c>
      <c r="M591" s="9">
        <f>VLOOKUP(DATE(YEAR(A591),MONTH(A591),DAY(A591)),FY24_Temp[],4,FALSE)</f>
        <v>8.4</v>
      </c>
      <c r="N591" s="9">
        <f>VLOOKUP(DATE(YEAR(A591),MONTH(A591),DAY(A591)),FY24_Temp[],3,FALSE)</f>
        <v>12.8</v>
      </c>
      <c r="O591" s="9">
        <v>13.5</v>
      </c>
      <c r="P591" s="9">
        <v>19.5</v>
      </c>
      <c r="Q591" s="79">
        <f>VLOOKUP(VLOOKUP(DATEVALUE(TEXT(A591,"m/d/yyyy")),FY24_Temp[],5,FALSE)&amp;TEXT(A591,"-h"),Table6[],4,FALSE)</f>
        <v>1.5174285684313094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VLOOKUP(TEXT(A591,"yy-mm")&amp;"-"&amp;IF(AND(WEEKDAY(A591)&gt;1,WEEKDAY(A591)&lt;7),"Wkd",TEXT(A591,"Ddd"))&amp;"-"&amp;TEXT(A591,"hh"),LoadTable[],5,FALSE)*0.92</f>
        <v>279.25312000000002</v>
      </c>
      <c r="U591" s="104">
        <f>VLOOKUP(TEXT(A591,"yy-mm")&amp;"-"&amp;IF(AND(WEEKDAY(A591)&gt;1,WEEKDAY(A591)&lt;7),"Wkd",TEXT(A591,"Ddd"))&amp;"-"&amp;TEXT(A591,"hh"),LoadTable[],6,FALSE)*T591</f>
        <v>13898.427782400002</v>
      </c>
      <c r="V591">
        <f t="shared" ref="V591:W591" si="609">V567</f>
        <v>3.1</v>
      </c>
      <c r="W591">
        <f t="shared" si="609"/>
        <v>2.9</v>
      </c>
      <c r="X591" s="9">
        <v>3.2039938000000001</v>
      </c>
    </row>
    <row r="592" spans="1:24">
      <c r="A592" s="29">
        <f t="shared" si="598"/>
        <v>45860.541666665238</v>
      </c>
      <c r="B592" s="30">
        <f t="shared" si="553"/>
        <v>8000</v>
      </c>
      <c r="C592" s="8">
        <v>25000</v>
      </c>
      <c r="D592" s="8">
        <v>0</v>
      </c>
      <c r="E592" s="8">
        <v>700</v>
      </c>
      <c r="F592" s="8">
        <v>15000</v>
      </c>
      <c r="G592" s="30">
        <f t="shared" si="554"/>
        <v>2400</v>
      </c>
      <c r="H592" s="8">
        <v>25000</v>
      </c>
      <c r="I592" s="30">
        <f t="shared" si="555"/>
        <v>8000</v>
      </c>
      <c r="J592" s="8">
        <v>25000</v>
      </c>
      <c r="K592" s="30">
        <f t="shared" si="556"/>
        <v>8000</v>
      </c>
      <c r="L592" s="8">
        <v>25000</v>
      </c>
      <c r="M592" s="9">
        <f>VLOOKUP(DATE(YEAR(A592),MONTH(A592),DAY(A592)),FY24_Temp[],4,FALSE)</f>
        <v>8.4</v>
      </c>
      <c r="N592" s="9">
        <f>VLOOKUP(DATE(YEAR(A592),MONTH(A592),DAY(A592)),FY24_Temp[],3,FALSE)</f>
        <v>12.8</v>
      </c>
      <c r="O592" s="9">
        <v>13.5</v>
      </c>
      <c r="P592" s="9">
        <v>19.5</v>
      </c>
      <c r="Q592" s="79">
        <f>VLOOKUP(VLOOKUP(DATEVALUE(TEXT(A592,"m/d/yyyy")),FY24_Temp[],5,FALSE)&amp;TEXT(A592,"-h"),Table6[],4,FALSE)</f>
        <v>1.3370000123977661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VLOOKUP(TEXT(A592,"yy-mm")&amp;"-"&amp;IF(AND(WEEKDAY(A592)&gt;1,WEEKDAY(A592)&lt;7),"Wkd",TEXT(A592,"Ddd"))&amp;"-"&amp;TEXT(A592,"hh"),LoadTable[],5,FALSE)*0.92</f>
        <v>279.25312000000002</v>
      </c>
      <c r="U592" s="104">
        <f>VLOOKUP(TEXT(A592,"yy-mm")&amp;"-"&amp;IF(AND(WEEKDAY(A592)&gt;1,WEEKDAY(A592)&lt;7),"Wkd",TEXT(A592,"Ddd"))&amp;"-"&amp;TEXT(A592,"hh"),LoadTable[],6,FALSE)*T592</f>
        <v>16526.1996416</v>
      </c>
      <c r="V592">
        <f t="shared" ref="V592:W592" si="610">V568</f>
        <v>3.2</v>
      </c>
      <c r="W592">
        <f t="shared" si="610"/>
        <v>2.9</v>
      </c>
      <c r="X592" s="9">
        <v>3.0252186999999999</v>
      </c>
    </row>
    <row r="593" spans="1:24">
      <c r="A593" s="29">
        <f t="shared" si="598"/>
        <v>45860.583333331902</v>
      </c>
      <c r="B593" s="30">
        <f t="shared" si="553"/>
        <v>8000</v>
      </c>
      <c r="C593" s="8">
        <v>25000</v>
      </c>
      <c r="D593" s="8">
        <v>0</v>
      </c>
      <c r="E593" s="8">
        <v>700</v>
      </c>
      <c r="F593" s="8">
        <v>15000</v>
      </c>
      <c r="G593" s="30">
        <f t="shared" si="554"/>
        <v>2400</v>
      </c>
      <c r="H593" s="8">
        <v>25000</v>
      </c>
      <c r="I593" s="30">
        <f t="shared" si="555"/>
        <v>8000</v>
      </c>
      <c r="J593" s="8">
        <v>25000</v>
      </c>
      <c r="K593" s="30">
        <f t="shared" si="556"/>
        <v>8000</v>
      </c>
      <c r="L593" s="8">
        <v>25000</v>
      </c>
      <c r="M593" s="9">
        <f>VLOOKUP(DATE(YEAR(A593),MONTH(A593),DAY(A593)),FY24_Temp[],4,FALSE)</f>
        <v>8.4</v>
      </c>
      <c r="N593" s="9">
        <f>VLOOKUP(DATE(YEAR(A593),MONTH(A593),DAY(A593)),FY24_Temp[],3,FALSE)</f>
        <v>12.8</v>
      </c>
      <c r="O593" s="9">
        <v>13.5</v>
      </c>
      <c r="P593" s="9">
        <v>19.5</v>
      </c>
      <c r="Q593" s="79">
        <f>VLOOKUP(VLOOKUP(DATEVALUE(TEXT(A593,"m/d/yyyy")),FY24_Temp[],5,FALSE)&amp;TEXT(A593,"-h"),Table6[],4,FALSE)</f>
        <v>1.1481428657259261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VLOOKUP(TEXT(A593,"yy-mm")&amp;"-"&amp;IF(AND(WEEKDAY(A593)&gt;1,WEEKDAY(A593)&lt;7),"Wkd",TEXT(A593,"Ddd"))&amp;"-"&amp;TEXT(A593,"hh"),LoadTable[],5,FALSE)*0.92</f>
        <v>373.26607999999999</v>
      </c>
      <c r="U593" s="104">
        <f>VLOOKUP(TEXT(A593,"yy-mm")&amp;"-"&amp;IF(AND(WEEKDAY(A593)&gt;1,WEEKDAY(A593)&lt;7),"Wkd",TEXT(A593,"Ddd"))&amp;"-"&amp;TEXT(A593,"hh"),LoadTable[],6,FALSE)*T593</f>
        <v>27132.338089119996</v>
      </c>
      <c r="V593">
        <f t="shared" ref="V593:W593" si="611">V569</f>
        <v>3.5</v>
      </c>
      <c r="W593">
        <f t="shared" si="611"/>
        <v>2.9</v>
      </c>
      <c r="X593" s="9">
        <v>3.0245110999999998</v>
      </c>
    </row>
    <row r="594" spans="1:24">
      <c r="A594" s="29">
        <f t="shared" si="598"/>
        <v>45860.624999998567</v>
      </c>
      <c r="B594" s="30">
        <f t="shared" si="553"/>
        <v>8000</v>
      </c>
      <c r="C594" s="8">
        <v>25000</v>
      </c>
      <c r="D594" s="8">
        <v>0</v>
      </c>
      <c r="E594" s="8">
        <v>700</v>
      </c>
      <c r="F594" s="8">
        <v>15000</v>
      </c>
      <c r="G594" s="30">
        <f t="shared" si="554"/>
        <v>2400</v>
      </c>
      <c r="H594" s="8">
        <v>25000</v>
      </c>
      <c r="I594" s="30">
        <f t="shared" si="555"/>
        <v>8000</v>
      </c>
      <c r="J594" s="8">
        <v>25000</v>
      </c>
      <c r="K594" s="30">
        <f t="shared" si="556"/>
        <v>8000</v>
      </c>
      <c r="L594" s="8">
        <v>25000</v>
      </c>
      <c r="M594" s="9">
        <f>VLOOKUP(DATE(YEAR(A594),MONTH(A594),DAY(A594)),FY24_Temp[],4,FALSE)</f>
        <v>8.4</v>
      </c>
      <c r="N594" s="9">
        <f>VLOOKUP(DATE(YEAR(A594),MONTH(A594),DAY(A594)),FY24_Temp[],3,FALSE)</f>
        <v>12.8</v>
      </c>
      <c r="O594" s="9">
        <v>13.5</v>
      </c>
      <c r="P594" s="9">
        <v>19.5</v>
      </c>
      <c r="Q594" s="79">
        <f>VLOOKUP(VLOOKUP(DATEVALUE(TEXT(A594,"m/d/yyyy")),FY24_Temp[],5,FALSE)&amp;TEXT(A594,"-h"),Table6[],4,FALSE)</f>
        <v>0.98957143511090961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VLOOKUP(TEXT(A594,"yy-mm")&amp;"-"&amp;IF(AND(WEEKDAY(A594)&gt;1,WEEKDAY(A594)&lt;7),"Wkd",TEXT(A594,"Ddd"))&amp;"-"&amp;TEXT(A594,"hh"),LoadTable[],5,FALSE)*0.92</f>
        <v>494.57360000000006</v>
      </c>
      <c r="U594" s="104">
        <f>VLOOKUP(TEXT(A594,"yy-mm")&amp;"-"&amp;IF(AND(WEEKDAY(A594)&gt;1,WEEKDAY(A594)&lt;7),"Wkd",TEXT(A594,"Ddd"))&amp;"-"&amp;TEXT(A594,"hh"),LoadTable[],6,FALSE)*T594</f>
        <v>42310.771480000003</v>
      </c>
      <c r="V594">
        <f t="shared" ref="V594:W594" si="612">V570</f>
        <v>3.2</v>
      </c>
      <c r="W594">
        <f t="shared" si="612"/>
        <v>2.9</v>
      </c>
      <c r="X594" s="9">
        <v>3.3710214999999999</v>
      </c>
    </row>
    <row r="595" spans="1:24">
      <c r="A595" s="29">
        <f t="shared" si="598"/>
        <v>45860.666666665231</v>
      </c>
      <c r="B595" s="30">
        <f t="shared" si="553"/>
        <v>8000</v>
      </c>
      <c r="C595" s="8">
        <v>25000</v>
      </c>
      <c r="D595" s="8">
        <v>0</v>
      </c>
      <c r="E595" s="8">
        <v>700</v>
      </c>
      <c r="F595" s="8">
        <v>15000</v>
      </c>
      <c r="G595" s="30">
        <f t="shared" si="554"/>
        <v>2400</v>
      </c>
      <c r="H595" s="8">
        <v>25000</v>
      </c>
      <c r="I595" s="30">
        <f t="shared" si="555"/>
        <v>8000</v>
      </c>
      <c r="J595" s="8">
        <v>25000</v>
      </c>
      <c r="K595" s="30">
        <f t="shared" si="556"/>
        <v>8000</v>
      </c>
      <c r="L595" s="8">
        <v>25000</v>
      </c>
      <c r="M595" s="9">
        <f>VLOOKUP(DATE(YEAR(A595),MONTH(A595),DAY(A595)),FY24_Temp[],4,FALSE)</f>
        <v>8.4</v>
      </c>
      <c r="N595" s="9">
        <f>VLOOKUP(DATE(YEAR(A595),MONTH(A595),DAY(A595)),FY24_Temp[],3,FALSE)</f>
        <v>12.8</v>
      </c>
      <c r="O595" s="9">
        <v>13.5</v>
      </c>
      <c r="P595" s="9">
        <v>19.5</v>
      </c>
      <c r="Q595" s="79">
        <f>VLOOKUP(VLOOKUP(DATEVALUE(TEXT(A595,"m/d/yyyy")),FY24_Temp[],5,FALSE)&amp;TEXT(A595,"-h"),Table6[],4,FALSE)</f>
        <v>0.95228569848196842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VLOOKUP(TEXT(A595,"yy-mm")&amp;"-"&amp;IF(AND(WEEKDAY(A595)&gt;1,WEEKDAY(A595)&lt;7),"Wkd",TEXT(A595,"Ddd"))&amp;"-"&amp;TEXT(A595,"hh"),LoadTable[],5,FALSE)*0.92</f>
        <v>494.57360000000006</v>
      </c>
      <c r="U595" s="104">
        <f>VLOOKUP(TEXT(A595,"yy-mm")&amp;"-"&amp;IF(AND(WEEKDAY(A595)&gt;1,WEEKDAY(A595)&lt;7),"Wkd",TEXT(A595,"Ddd"))&amp;"-"&amp;TEXT(A595,"hh"),LoadTable[],6,FALSE)*T595</f>
        <v>50694.28857360001</v>
      </c>
      <c r="V595">
        <f t="shared" ref="V595:W595" si="613">V571</f>
        <v>3.5</v>
      </c>
      <c r="W595">
        <f t="shared" si="613"/>
        <v>3</v>
      </c>
      <c r="X595" s="9">
        <v>3.2764316</v>
      </c>
    </row>
    <row r="596" spans="1:24">
      <c r="A596" s="29">
        <f t="shared" si="598"/>
        <v>45860.708333331895</v>
      </c>
      <c r="B596" s="30">
        <f t="shared" si="553"/>
        <v>8000</v>
      </c>
      <c r="C596" s="8">
        <v>25000</v>
      </c>
      <c r="D596" s="8">
        <v>0</v>
      </c>
      <c r="E596" s="8">
        <v>700</v>
      </c>
      <c r="F596" s="8">
        <v>15000</v>
      </c>
      <c r="G596" s="30">
        <f t="shared" si="554"/>
        <v>2400</v>
      </c>
      <c r="H596" s="8">
        <v>25000</v>
      </c>
      <c r="I596" s="30">
        <f t="shared" si="555"/>
        <v>8000</v>
      </c>
      <c r="J596" s="8">
        <v>25000</v>
      </c>
      <c r="K596" s="30">
        <f t="shared" si="556"/>
        <v>8000</v>
      </c>
      <c r="L596" s="8">
        <v>25000</v>
      </c>
      <c r="M596" s="9">
        <f>VLOOKUP(DATE(YEAR(A596),MONTH(A596),DAY(A596)),FY24_Temp[],4,FALSE)</f>
        <v>8.4</v>
      </c>
      <c r="N596" s="9">
        <f>VLOOKUP(DATE(YEAR(A596),MONTH(A596),DAY(A596)),FY24_Temp[],3,FALSE)</f>
        <v>12.8</v>
      </c>
      <c r="O596" s="9">
        <v>13.5</v>
      </c>
      <c r="P596" s="9">
        <v>19.5</v>
      </c>
      <c r="Q596" s="79">
        <f>VLOOKUP(VLOOKUP(DATEVALUE(TEXT(A596,"m/d/yyyy")),FY24_Temp[],5,FALSE)&amp;TEXT(A596,"-h"),Table6[],4,FALSE)</f>
        <v>1.1852857215063912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VLOOKUP(TEXT(A596,"yy-mm")&amp;"-"&amp;IF(AND(WEEKDAY(A596)&gt;1,WEEKDAY(A596)&lt;7),"Wkd",TEXT(A596,"Ddd"))&amp;"-"&amp;TEXT(A596,"hh"),LoadTable[],5,FALSE)*0.92</f>
        <v>494.57360000000006</v>
      </c>
      <c r="U596" s="104">
        <f>VLOOKUP(TEXT(A596,"yy-mm")&amp;"-"&amp;IF(AND(WEEKDAY(A596)&gt;1,WEEKDAY(A596)&lt;7),"Wkd",TEXT(A596,"Ddd"))&amp;"-"&amp;TEXT(A596,"hh"),LoadTable[],6,FALSE)*T596</f>
        <v>56025.791981600007</v>
      </c>
      <c r="V596">
        <f t="shared" ref="V596:W596" si="614">V572</f>
        <v>3.6</v>
      </c>
      <c r="W596">
        <f t="shared" si="614"/>
        <v>3</v>
      </c>
      <c r="X596" s="9">
        <v>3.2011818999999999</v>
      </c>
    </row>
    <row r="597" spans="1:24">
      <c r="A597" s="29">
        <f t="shared" si="598"/>
        <v>45860.749999998559</v>
      </c>
      <c r="B597" s="30">
        <f t="shared" si="553"/>
        <v>5000</v>
      </c>
      <c r="C597" s="8">
        <v>25000</v>
      </c>
      <c r="D597" s="8">
        <v>0</v>
      </c>
      <c r="E597" s="8">
        <v>700</v>
      </c>
      <c r="F597" s="8">
        <v>15000</v>
      </c>
      <c r="G597" s="30">
        <f t="shared" si="554"/>
        <v>2400</v>
      </c>
      <c r="H597" s="8">
        <v>25000</v>
      </c>
      <c r="I597" s="30">
        <f t="shared" si="555"/>
        <v>5000</v>
      </c>
      <c r="J597" s="8">
        <v>25000</v>
      </c>
      <c r="K597" s="30">
        <f t="shared" si="556"/>
        <v>5000</v>
      </c>
      <c r="L597" s="8">
        <v>25000</v>
      </c>
      <c r="M597" s="9">
        <f>VLOOKUP(DATE(YEAR(A597),MONTH(A597),DAY(A597)),FY24_Temp[],4,FALSE)</f>
        <v>8.4</v>
      </c>
      <c r="N597" s="9">
        <f>VLOOKUP(DATE(YEAR(A597),MONTH(A597),DAY(A597)),FY24_Temp[],3,FALSE)</f>
        <v>12.8</v>
      </c>
      <c r="O597" s="9">
        <v>13.5</v>
      </c>
      <c r="P597" s="9">
        <v>19.5</v>
      </c>
      <c r="Q597" s="79">
        <f>VLOOKUP(VLOOKUP(DATEVALUE(TEXT(A597,"m/d/yyyy")),FY24_Temp[],5,FALSE)&amp;TEXT(A597,"-h"),Table6[],4,FALSE)</f>
        <v>1.5737142562866211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VLOOKUP(TEXT(A597,"yy-mm")&amp;"-"&amp;IF(AND(WEEKDAY(A597)&gt;1,WEEKDAY(A597)&lt;7),"Wkd",TEXT(A597,"Ddd"))&amp;"-"&amp;TEXT(A597,"hh"),LoadTable[],5,FALSE)*0.92</f>
        <v>494.57360000000006</v>
      </c>
      <c r="U597" s="104">
        <f>VLOOKUP(TEXT(A597,"yy-mm")&amp;"-"&amp;IF(AND(WEEKDAY(A597)&gt;1,WEEKDAY(A597)&lt;7),"Wkd",TEXT(A597,"Ddd"))&amp;"-"&amp;TEXT(A597,"hh"),LoadTable[],6,FALSE)*T597</f>
        <v>60164.383866400007</v>
      </c>
      <c r="V597">
        <f t="shared" ref="V597:W597" si="615">V573</f>
        <v>2.9</v>
      </c>
      <c r="W597">
        <f t="shared" si="615"/>
        <v>3</v>
      </c>
      <c r="X597" s="9">
        <v>3.1851916</v>
      </c>
    </row>
    <row r="598" spans="1:24">
      <c r="A598" s="29">
        <f t="shared" si="598"/>
        <v>45860.791666665224</v>
      </c>
      <c r="B598" s="30">
        <f t="shared" si="553"/>
        <v>5000</v>
      </c>
      <c r="C598" s="8">
        <v>25000</v>
      </c>
      <c r="D598" s="8">
        <v>0</v>
      </c>
      <c r="E598" s="8">
        <v>700</v>
      </c>
      <c r="F598" s="8">
        <v>15000</v>
      </c>
      <c r="G598" s="30">
        <f t="shared" si="554"/>
        <v>2400</v>
      </c>
      <c r="H598" s="8">
        <v>25000</v>
      </c>
      <c r="I598" s="30">
        <f t="shared" si="555"/>
        <v>5000</v>
      </c>
      <c r="J598" s="8">
        <v>25000</v>
      </c>
      <c r="K598" s="30">
        <f t="shared" si="556"/>
        <v>5000</v>
      </c>
      <c r="L598" s="8">
        <v>25000</v>
      </c>
      <c r="M598" s="9">
        <f>VLOOKUP(DATE(YEAR(A598),MONTH(A598),DAY(A598)),FY24_Temp[],4,FALSE)</f>
        <v>8.4</v>
      </c>
      <c r="N598" s="9">
        <f>VLOOKUP(DATE(YEAR(A598),MONTH(A598),DAY(A598)),FY24_Temp[],3,FALSE)</f>
        <v>12.8</v>
      </c>
      <c r="O598" s="9">
        <v>13.5</v>
      </c>
      <c r="P598" s="9">
        <v>19.5</v>
      </c>
      <c r="Q598" s="79">
        <f>VLOOKUP(VLOOKUP(DATEVALUE(TEXT(A598,"m/d/yyyy")),FY24_Temp[],5,FALSE)&amp;TEXT(A598,"-h"),Table6[],4,FALSE)</f>
        <v>2.4347143173217773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VLOOKUP(TEXT(A598,"yy-mm")&amp;"-"&amp;IF(AND(WEEKDAY(A598)&gt;1,WEEKDAY(A598)&lt;7),"Wkd",TEXT(A598,"Ddd"))&amp;"-"&amp;TEXT(A598,"hh"),LoadTable[],5,FALSE)*0.92</f>
        <v>494.57360000000006</v>
      </c>
      <c r="U598" s="104">
        <f>VLOOKUP(TEXT(A598,"yy-mm")&amp;"-"&amp;IF(AND(WEEKDAY(A598)&gt;1,WEEKDAY(A598)&lt;7),"Wkd",TEXT(A598,"Ddd"))&amp;"-"&amp;TEXT(A598,"hh"),LoadTable[],6,FALSE)*T598</f>
        <v>60548.172980000003</v>
      </c>
      <c r="V598">
        <f t="shared" ref="V598:W598" si="616">V574</f>
        <v>3</v>
      </c>
      <c r="W598">
        <f t="shared" si="616"/>
        <v>3</v>
      </c>
      <c r="X598" s="9">
        <v>3.1480915999999999</v>
      </c>
    </row>
    <row r="599" spans="1:24">
      <c r="A599" s="29">
        <f t="shared" si="598"/>
        <v>45860.833333331888</v>
      </c>
      <c r="B599" s="30">
        <f t="shared" si="553"/>
        <v>5000</v>
      </c>
      <c r="C599" s="8">
        <v>25000</v>
      </c>
      <c r="D599" s="8">
        <v>0</v>
      </c>
      <c r="E599" s="8">
        <v>700</v>
      </c>
      <c r="F599" s="8">
        <v>15000</v>
      </c>
      <c r="G599" s="30">
        <f t="shared" si="554"/>
        <v>2400</v>
      </c>
      <c r="H599" s="8">
        <v>25000</v>
      </c>
      <c r="I599" s="30">
        <f t="shared" si="555"/>
        <v>5000</v>
      </c>
      <c r="J599" s="8">
        <v>25000</v>
      </c>
      <c r="K599" s="30">
        <f t="shared" si="556"/>
        <v>5000</v>
      </c>
      <c r="L599" s="8">
        <v>25000</v>
      </c>
      <c r="M599" s="9">
        <f>VLOOKUP(DATE(YEAR(A599),MONTH(A599),DAY(A599)),FY24_Temp[],4,FALSE)</f>
        <v>8.4</v>
      </c>
      <c r="N599" s="9">
        <f>VLOOKUP(DATE(YEAR(A599),MONTH(A599),DAY(A599)),FY24_Temp[],3,FALSE)</f>
        <v>12.8</v>
      </c>
      <c r="O599" s="9">
        <v>13.5</v>
      </c>
      <c r="P599" s="9">
        <v>19.5</v>
      </c>
      <c r="Q599" s="79">
        <f>VLOOKUP(VLOOKUP(DATEVALUE(TEXT(A599,"m/d/yyyy")),FY24_Temp[],5,FALSE)&amp;TEXT(A599,"-h"),Table6[],4,FALSE)</f>
        <v>3.1158571583884105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VLOOKUP(TEXT(A599,"yy-mm")&amp;"-"&amp;IF(AND(WEEKDAY(A599)&gt;1,WEEKDAY(A599)&lt;7),"Wkd",TEXT(A599,"Ddd"))&amp;"-"&amp;TEXT(A599,"hh"),LoadTable[],5,FALSE)*0.92</f>
        <v>494.57360000000006</v>
      </c>
      <c r="U599" s="104">
        <f>VLOOKUP(TEXT(A599,"yy-mm")&amp;"-"&amp;IF(AND(WEEKDAY(A599)&gt;1,WEEKDAY(A599)&lt;7),"Wkd",TEXT(A599,"Ddd"))&amp;"-"&amp;TEXT(A599,"hh"),LoadTable[],6,FALSE)*T599</f>
        <v>60532.346624800004</v>
      </c>
      <c r="V599">
        <f t="shared" ref="V599:W599" si="617">V575</f>
        <v>2.8</v>
      </c>
      <c r="W599">
        <f t="shared" si="617"/>
        <v>3.1</v>
      </c>
      <c r="X599" s="9">
        <v>3.1108763000000001</v>
      </c>
    </row>
    <row r="600" spans="1:24">
      <c r="A600" s="29">
        <f t="shared" si="598"/>
        <v>45860.874999998552</v>
      </c>
      <c r="B600" s="30">
        <f t="shared" si="553"/>
        <v>5000</v>
      </c>
      <c r="C600" s="8">
        <v>25000</v>
      </c>
      <c r="D600" s="8">
        <v>0</v>
      </c>
      <c r="E600" s="8">
        <v>700</v>
      </c>
      <c r="F600" s="8">
        <v>15000</v>
      </c>
      <c r="G600" s="30">
        <f t="shared" si="554"/>
        <v>2400</v>
      </c>
      <c r="H600" s="8">
        <v>25000</v>
      </c>
      <c r="I600" s="30">
        <f t="shared" si="555"/>
        <v>5000</v>
      </c>
      <c r="J600" s="8">
        <v>25000</v>
      </c>
      <c r="K600" s="30">
        <f t="shared" si="556"/>
        <v>5000</v>
      </c>
      <c r="L600" s="8">
        <v>25000</v>
      </c>
      <c r="M600" s="9">
        <f>VLOOKUP(DATE(YEAR(A600),MONTH(A600),DAY(A600)),FY24_Temp[],4,FALSE)</f>
        <v>8.4</v>
      </c>
      <c r="N600" s="9">
        <f>VLOOKUP(DATE(YEAR(A600),MONTH(A600),DAY(A600)),FY24_Temp[],3,FALSE)</f>
        <v>12.8</v>
      </c>
      <c r="O600" s="9">
        <v>13.5</v>
      </c>
      <c r="P600" s="9">
        <v>19.5</v>
      </c>
      <c r="Q600" s="79">
        <f>VLOOKUP(VLOOKUP(DATEVALUE(TEXT(A600,"m/d/yyyy")),FY24_Temp[],5,FALSE)&amp;TEXT(A600,"-h"),Table6[],4,FALSE)</f>
        <v>3.3202857630593434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VLOOKUP(TEXT(A600,"yy-mm")&amp;"-"&amp;IF(AND(WEEKDAY(A600)&gt;1,WEEKDAY(A600)&lt;7),"Wkd",TEXT(A600,"Ddd"))&amp;"-"&amp;TEXT(A600,"hh"),LoadTable[],5,FALSE)*0.92</f>
        <v>494.57360000000006</v>
      </c>
      <c r="U600" s="104">
        <f>VLOOKUP(TEXT(A600,"yy-mm")&amp;"-"&amp;IF(AND(WEEKDAY(A600)&gt;1,WEEKDAY(A600)&lt;7),"Wkd",TEXT(A600,"Ddd"))&amp;"-"&amp;TEXT(A600,"hh"),LoadTable[],6,FALSE)*T600</f>
        <v>58481.349905600007</v>
      </c>
      <c r="V600">
        <f t="shared" ref="V600:W600" si="618">V576</f>
        <v>3.5</v>
      </c>
      <c r="W600">
        <f t="shared" si="618"/>
        <v>3.1</v>
      </c>
      <c r="X600" s="9">
        <v>3.0770871999999998</v>
      </c>
    </row>
    <row r="601" spans="1:24">
      <c r="A601" s="29">
        <f t="shared" si="598"/>
        <v>45860.916666665216</v>
      </c>
      <c r="B601" s="30">
        <f t="shared" si="553"/>
        <v>5000</v>
      </c>
      <c r="C601" s="8">
        <v>25000</v>
      </c>
      <c r="D601" s="8">
        <v>0</v>
      </c>
      <c r="E601" s="8">
        <v>700</v>
      </c>
      <c r="F601" s="8">
        <v>15000</v>
      </c>
      <c r="G601" s="30">
        <f t="shared" si="554"/>
        <v>2400</v>
      </c>
      <c r="H601" s="8">
        <v>25000</v>
      </c>
      <c r="I601" s="30">
        <f t="shared" si="555"/>
        <v>5000</v>
      </c>
      <c r="J601" s="8">
        <v>25000</v>
      </c>
      <c r="K601" s="30">
        <f t="shared" si="556"/>
        <v>5000</v>
      </c>
      <c r="L601" s="8">
        <v>25000</v>
      </c>
      <c r="M601" s="9">
        <f>VLOOKUP(DATE(YEAR(A601),MONTH(A601),DAY(A601)),FY24_Temp[],4,FALSE)</f>
        <v>8.4</v>
      </c>
      <c r="N601" s="9">
        <f>VLOOKUP(DATE(YEAR(A601),MONTH(A601),DAY(A601)),FY24_Temp[],3,FALSE)</f>
        <v>12.8</v>
      </c>
      <c r="O601" s="9">
        <v>13.5</v>
      </c>
      <c r="P601" s="9">
        <v>19.5</v>
      </c>
      <c r="Q601" s="79">
        <f>VLOOKUP(VLOOKUP(DATEVALUE(TEXT(A601,"m/d/yyyy")),FY24_Temp[],5,FALSE)&amp;TEXT(A601,"-h"),Table6[],4,FALSE)</f>
        <v>3.2868570940835133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VLOOKUP(TEXT(A601,"yy-mm")&amp;"-"&amp;IF(AND(WEEKDAY(A601)&gt;1,WEEKDAY(A601)&lt;7),"Wkd",TEXT(A601,"Ddd"))&amp;"-"&amp;TEXT(A601,"hh"),LoadTable[],5,FALSE)*0.92</f>
        <v>418.75640000000004</v>
      </c>
      <c r="U601" s="104">
        <f>VLOOKUP(TEXT(A601,"yy-mm")&amp;"-"&amp;IF(AND(WEEKDAY(A601)&gt;1,WEEKDAY(A601)&lt;7),"Wkd",TEXT(A601,"Ddd"))&amp;"-"&amp;TEXT(A601,"hh"),LoadTable[],6,FALSE)*T601</f>
        <v>27547.889774000003</v>
      </c>
      <c r="V601">
        <f t="shared" ref="V601:W601" si="619">V577</f>
        <v>2.9</v>
      </c>
      <c r="W601">
        <f t="shared" si="619"/>
        <v>3.1</v>
      </c>
      <c r="X601" s="9">
        <v>3.0366825999999998</v>
      </c>
    </row>
    <row r="602" spans="1:24">
      <c r="A602" s="29">
        <f t="shared" si="598"/>
        <v>45860.958333331881</v>
      </c>
      <c r="B602" s="30">
        <f t="shared" si="553"/>
        <v>5000</v>
      </c>
      <c r="C602" s="8">
        <v>25000</v>
      </c>
      <c r="D602" s="8">
        <v>0</v>
      </c>
      <c r="E602" s="8">
        <v>700</v>
      </c>
      <c r="F602" s="8">
        <v>15000</v>
      </c>
      <c r="G602" s="30">
        <f t="shared" si="554"/>
        <v>2400</v>
      </c>
      <c r="H602" s="8">
        <v>25000</v>
      </c>
      <c r="I602" s="30">
        <f t="shared" si="555"/>
        <v>5000</v>
      </c>
      <c r="J602" s="8">
        <v>25000</v>
      </c>
      <c r="K602" s="30">
        <f t="shared" si="556"/>
        <v>5000</v>
      </c>
      <c r="L602" s="8">
        <v>25000</v>
      </c>
      <c r="M602" s="9">
        <f>VLOOKUP(DATE(YEAR(A602),MONTH(A602),DAY(A602)),FY24_Temp[],4,FALSE)</f>
        <v>8.4</v>
      </c>
      <c r="N602" s="9">
        <f>VLOOKUP(DATE(YEAR(A602),MONTH(A602),DAY(A602)),FY24_Temp[],3,FALSE)</f>
        <v>12.8</v>
      </c>
      <c r="O602" s="9">
        <v>13.5</v>
      </c>
      <c r="P602" s="9">
        <v>19.5</v>
      </c>
      <c r="Q602" s="79">
        <f>VLOOKUP(VLOOKUP(DATEVALUE(TEXT(A602,"m/d/yyyy")),FY24_Temp[],5,FALSE)&amp;TEXT(A602,"-h"),Table6[],4,FALSE)</f>
        <v>3.1470000062670027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VLOOKUP(TEXT(A602,"yy-mm")&amp;"-"&amp;IF(AND(WEEKDAY(A602)&gt;1,WEEKDAY(A602)&lt;7),"Wkd",TEXT(A602,"Ddd"))&amp;"-"&amp;TEXT(A602,"hh"),LoadTable[],5,FALSE)*0.92</f>
        <v>342.93920000000003</v>
      </c>
      <c r="U602" s="104">
        <f>VLOOKUP(TEXT(A602,"yy-mm")&amp;"-"&amp;IF(AND(WEEKDAY(A602)&gt;1,WEEKDAY(A602)&lt;7),"Wkd",TEXT(A602,"Ddd"))&amp;"-"&amp;TEXT(A602,"hh"),LoadTable[],6,FALSE)*T602</f>
        <v>19873.669579200003</v>
      </c>
      <c r="V602">
        <f t="shared" ref="V602:W602" si="620">V578</f>
        <v>3.6</v>
      </c>
      <c r="W602">
        <f t="shared" si="620"/>
        <v>3.1</v>
      </c>
      <c r="X602" s="9">
        <v>2.9351552000000001</v>
      </c>
    </row>
    <row r="603" spans="1:24">
      <c r="A603" s="29">
        <f t="shared" si="598"/>
        <v>45860.999999998545</v>
      </c>
      <c r="B603" s="30">
        <f t="shared" si="553"/>
        <v>5000</v>
      </c>
      <c r="C603" s="8">
        <v>25000</v>
      </c>
      <c r="D603" s="8">
        <v>0</v>
      </c>
      <c r="E603" s="8">
        <v>700</v>
      </c>
      <c r="F603" s="8">
        <v>15000</v>
      </c>
      <c r="G603" s="30">
        <f t="shared" si="554"/>
        <v>2400</v>
      </c>
      <c r="H603" s="8">
        <v>25000</v>
      </c>
      <c r="I603" s="30">
        <f t="shared" si="555"/>
        <v>5000</v>
      </c>
      <c r="J603" s="8">
        <v>25000</v>
      </c>
      <c r="K603" s="30">
        <f t="shared" si="556"/>
        <v>5000</v>
      </c>
      <c r="L603" s="8">
        <v>25000</v>
      </c>
      <c r="M603" s="9">
        <f>VLOOKUP(DATE(YEAR(A603),MONTH(A603),DAY(A603)),FY24_Temp[],4,FALSE)</f>
        <v>8.4</v>
      </c>
      <c r="N603" s="9">
        <f>VLOOKUP(DATE(YEAR(A603),MONTH(A603),DAY(A603)),FY24_Temp[],3,FALSE)</f>
        <v>12.8</v>
      </c>
      <c r="O603" s="9">
        <v>13.5</v>
      </c>
      <c r="P603" s="9">
        <v>19.5</v>
      </c>
      <c r="Q603" s="79">
        <f>VLOOKUP(VLOOKUP(DATEVALUE(TEXT(A603,"m/d/yyyy")),FY24_Temp[],5,FALSE)&amp;TEXT(A603,"-h"),Table6[],4,FALSE)</f>
        <v>2.990142822265625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VLOOKUP(TEXT(A603,"yy-mm")&amp;"-"&amp;IF(AND(WEEKDAY(A603)&gt;1,WEEKDAY(A603)&lt;7),"Wkd",TEXT(A603,"Ddd"))&amp;"-"&amp;TEXT(A603,"hh"),LoadTable[],5,FALSE)*0.92</f>
        <v>279.25312000000002</v>
      </c>
      <c r="U603" s="104">
        <f>VLOOKUP(TEXT(A603,"yy-mm")&amp;"-"&amp;IF(AND(WEEKDAY(A603)&gt;1,WEEKDAY(A603)&lt;7),"Wkd",TEXT(A603,"Ddd"))&amp;"-"&amp;TEXT(A603,"hh"),LoadTable[],6,FALSE)*T603</f>
        <v>14895.640673920001</v>
      </c>
      <c r="V603">
        <f t="shared" ref="V603:W603" si="621">V579</f>
        <v>3</v>
      </c>
      <c r="W603">
        <f t="shared" si="621"/>
        <v>3.2</v>
      </c>
      <c r="X603" s="9">
        <v>2.8514173</v>
      </c>
    </row>
    <row r="604" spans="1:24">
      <c r="A604" s="29">
        <f t="shared" si="598"/>
        <v>45861.041666665209</v>
      </c>
      <c r="B604" s="30">
        <f t="shared" ref="B604:B667" si="622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30">
        <f t="shared" ref="G604:G667" si="623">G580</f>
        <v>2400</v>
      </c>
      <c r="H604" s="8">
        <v>25000</v>
      </c>
      <c r="I604" s="30">
        <f t="shared" ref="I604:I667" si="624">I580</f>
        <v>5000</v>
      </c>
      <c r="J604" s="8">
        <v>25000</v>
      </c>
      <c r="K604" s="30">
        <f t="shared" ref="K604:K667" si="625">K580</f>
        <v>5000</v>
      </c>
      <c r="L604" s="8">
        <v>25000</v>
      </c>
      <c r="M604" s="9">
        <f>VLOOKUP(DATE(YEAR(A604),MONTH(A604),DAY(A604)),FY24_Temp[],4,FALSE)</f>
        <v>8.4</v>
      </c>
      <c r="N604" s="9">
        <f>VLOOKUP(DATE(YEAR(A604),MONTH(A604),DAY(A604)),FY24_Temp[],3,FALSE)</f>
        <v>12.8</v>
      </c>
      <c r="O604" s="9">
        <v>13.5</v>
      </c>
      <c r="P604" s="9">
        <v>19.5</v>
      </c>
      <c r="Q604" s="79">
        <f>VLOOKUP(VLOOKUP(DATEVALUE(TEXT(A604,"m/d/yyyy")),FY24_Temp[],5,FALSE)&amp;TEXT(A604,"-h"),Table6[],4,FALSE)</f>
        <v>2.8801428590502058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VLOOKUP(TEXT(A604,"yy-mm")&amp;"-"&amp;IF(AND(WEEKDAY(A604)&gt;1,WEEKDAY(A604)&lt;7),"Wkd",TEXT(A604,"Ddd"))&amp;"-"&amp;TEXT(A604,"hh"),LoadTable[],5,FALSE)*0.92</f>
        <v>279.25312000000002</v>
      </c>
      <c r="U604" s="104">
        <f>VLOOKUP(TEXT(A604,"yy-mm")&amp;"-"&amp;IF(AND(WEEKDAY(A604)&gt;1,WEEKDAY(A604)&lt;7),"Wkd",TEXT(A604,"Ddd"))&amp;"-"&amp;TEXT(A604,"hh"),LoadTable[],6,FALSE)*T604</f>
        <v>14470.896678400002</v>
      </c>
      <c r="V604">
        <f t="shared" ref="V604:W604" si="626">V580</f>
        <v>2.6</v>
      </c>
      <c r="W604">
        <f t="shared" si="626"/>
        <v>3.2</v>
      </c>
      <c r="X604" s="9">
        <v>2.798362</v>
      </c>
    </row>
    <row r="605" spans="1:24">
      <c r="A605" s="29">
        <f t="shared" si="598"/>
        <v>45861.083333331873</v>
      </c>
      <c r="B605" s="30">
        <f t="shared" si="622"/>
        <v>5000</v>
      </c>
      <c r="C605" s="8">
        <v>25000</v>
      </c>
      <c r="D605" s="8">
        <v>0</v>
      </c>
      <c r="E605" s="8">
        <v>700</v>
      </c>
      <c r="F605" s="8">
        <v>15000</v>
      </c>
      <c r="G605" s="30">
        <f t="shared" si="623"/>
        <v>2400</v>
      </c>
      <c r="H605" s="8">
        <v>25000</v>
      </c>
      <c r="I605" s="30">
        <f t="shared" si="624"/>
        <v>5000</v>
      </c>
      <c r="J605" s="8">
        <v>25000</v>
      </c>
      <c r="K605" s="30">
        <f t="shared" si="625"/>
        <v>5000</v>
      </c>
      <c r="L605" s="8">
        <v>25000</v>
      </c>
      <c r="M605" s="9">
        <f>VLOOKUP(DATE(YEAR(A605),MONTH(A605),DAY(A605)),FY24_Temp[],4,FALSE)</f>
        <v>8.4</v>
      </c>
      <c r="N605" s="9">
        <f>VLOOKUP(DATE(YEAR(A605),MONTH(A605),DAY(A605)),FY24_Temp[],3,FALSE)</f>
        <v>12.8</v>
      </c>
      <c r="O605" s="9">
        <v>13.5</v>
      </c>
      <c r="P605" s="9">
        <v>19.5</v>
      </c>
      <c r="Q605" s="79">
        <f>VLOOKUP(VLOOKUP(DATEVALUE(TEXT(A605,"m/d/yyyy")),FY24_Temp[],5,FALSE)&amp;TEXT(A605,"-h"),Table6[],4,FALSE)</f>
        <v>2.7695714065006802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VLOOKUP(TEXT(A605,"yy-mm")&amp;"-"&amp;IF(AND(WEEKDAY(A605)&gt;1,WEEKDAY(A605)&lt;7),"Wkd",TEXT(A605,"Ddd"))&amp;"-"&amp;TEXT(A605,"hh"),LoadTable[],5,FALSE)*0.92</f>
        <v>279.25312000000002</v>
      </c>
      <c r="U605" s="104">
        <f>VLOOKUP(TEXT(A605,"yy-mm")&amp;"-"&amp;IF(AND(WEEKDAY(A605)&gt;1,WEEKDAY(A605)&lt;7),"Wkd",TEXT(A605,"Ddd"))&amp;"-"&amp;TEXT(A605,"hh"),LoadTable[],6,FALSE)*T605</f>
        <v>14154.50289344</v>
      </c>
      <c r="V605">
        <f t="shared" ref="V605:W605" si="627">V581</f>
        <v>2.8</v>
      </c>
      <c r="W605">
        <f t="shared" si="627"/>
        <v>3.2</v>
      </c>
      <c r="X605" s="9">
        <v>2.8581230999999998</v>
      </c>
    </row>
    <row r="606" spans="1:24">
      <c r="A606" s="29">
        <f t="shared" si="598"/>
        <v>45861.124999998538</v>
      </c>
      <c r="B606" s="30">
        <f t="shared" si="622"/>
        <v>5000</v>
      </c>
      <c r="C606" s="8">
        <v>25000</v>
      </c>
      <c r="D606" s="8">
        <v>0</v>
      </c>
      <c r="E606" s="8">
        <v>700</v>
      </c>
      <c r="F606" s="8">
        <v>15000</v>
      </c>
      <c r="G606" s="30">
        <f t="shared" si="623"/>
        <v>2400</v>
      </c>
      <c r="H606" s="8">
        <v>25000</v>
      </c>
      <c r="I606" s="30">
        <f t="shared" si="624"/>
        <v>5000</v>
      </c>
      <c r="J606" s="8">
        <v>25000</v>
      </c>
      <c r="K606" s="30">
        <f t="shared" si="625"/>
        <v>5000</v>
      </c>
      <c r="L606" s="8">
        <v>25000</v>
      </c>
      <c r="M606" s="9">
        <f>VLOOKUP(DATE(YEAR(A606),MONTH(A606),DAY(A606)),FY24_Temp[],4,FALSE)</f>
        <v>8.4</v>
      </c>
      <c r="N606" s="9">
        <f>VLOOKUP(DATE(YEAR(A606),MONTH(A606),DAY(A606)),FY24_Temp[],3,FALSE)</f>
        <v>12.8</v>
      </c>
      <c r="O606" s="9">
        <v>13.5</v>
      </c>
      <c r="P606" s="9">
        <v>19.5</v>
      </c>
      <c r="Q606" s="79">
        <f>VLOOKUP(VLOOKUP(DATEVALUE(TEXT(A606,"m/d/yyyy")),FY24_Temp[],5,FALSE)&amp;TEXT(A606,"-h"),Table6[],4,FALSE)</f>
        <v>2.65728565624782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VLOOKUP(TEXT(A606,"yy-mm")&amp;"-"&amp;IF(AND(WEEKDAY(A606)&gt;1,WEEKDAY(A606)&lt;7),"Wkd",TEXT(A606,"Ddd"))&amp;"-"&amp;TEXT(A606,"hh"),LoadTable[],5,FALSE)*0.92</f>
        <v>279.25312000000002</v>
      </c>
      <c r="U606" s="104">
        <f>VLOOKUP(TEXT(A606,"yy-mm")&amp;"-"&amp;IF(AND(WEEKDAY(A606)&gt;1,WEEKDAY(A606)&lt;7),"Wkd",TEXT(A606,"Ddd"))&amp;"-"&amp;TEXT(A606,"hh"),LoadTable[],6,FALSE)*T606</f>
        <v>14206.443973760001</v>
      </c>
      <c r="V606">
        <f t="shared" ref="V606:W606" si="628">V582</f>
        <v>2.7</v>
      </c>
      <c r="W606">
        <f t="shared" si="628"/>
        <v>3.2</v>
      </c>
      <c r="X606" s="9">
        <v>2.9050837</v>
      </c>
    </row>
    <row r="607" spans="1:24">
      <c r="A607" s="29">
        <f t="shared" si="598"/>
        <v>45861.166666665202</v>
      </c>
      <c r="B607" s="30">
        <f t="shared" si="622"/>
        <v>5000</v>
      </c>
      <c r="C607" s="8">
        <v>25000</v>
      </c>
      <c r="D607" s="8">
        <v>0</v>
      </c>
      <c r="E607" s="8">
        <v>700</v>
      </c>
      <c r="F607" s="8">
        <v>15000</v>
      </c>
      <c r="G607" s="30">
        <f t="shared" si="623"/>
        <v>2400</v>
      </c>
      <c r="H607" s="8">
        <v>25000</v>
      </c>
      <c r="I607" s="30">
        <f t="shared" si="624"/>
        <v>5000</v>
      </c>
      <c r="J607" s="8">
        <v>25000</v>
      </c>
      <c r="K607" s="30">
        <f t="shared" si="625"/>
        <v>5000</v>
      </c>
      <c r="L607" s="8">
        <v>25000</v>
      </c>
      <c r="M607" s="9">
        <f>VLOOKUP(DATE(YEAR(A607),MONTH(A607),DAY(A607)),FY24_Temp[],4,FALSE)</f>
        <v>8.4</v>
      </c>
      <c r="N607" s="9">
        <f>VLOOKUP(DATE(YEAR(A607),MONTH(A607),DAY(A607)),FY24_Temp[],3,FALSE)</f>
        <v>12.8</v>
      </c>
      <c r="O607" s="9">
        <v>13.5</v>
      </c>
      <c r="P607" s="9">
        <v>19.5</v>
      </c>
      <c r="Q607" s="79">
        <f>VLOOKUP(VLOOKUP(DATEVALUE(TEXT(A607,"m/d/yyyy")),FY24_Temp[],5,FALSE)&amp;TEXT(A607,"-h"),Table6[],4,FALSE)</f>
        <v>2.4975714342934743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VLOOKUP(TEXT(A607,"yy-mm")&amp;"-"&amp;IF(AND(WEEKDAY(A607)&gt;1,WEEKDAY(A607)&lt;7),"Wkd",TEXT(A607,"Ddd"))&amp;"-"&amp;TEXT(A607,"hh"),LoadTable[],5,FALSE)*0.92</f>
        <v>279.25312000000002</v>
      </c>
      <c r="U607" s="104">
        <f>VLOOKUP(TEXT(A607,"yy-mm")&amp;"-"&amp;IF(AND(WEEKDAY(A607)&gt;1,WEEKDAY(A607)&lt;7),"Wkd",TEXT(A607,"Ddd"))&amp;"-"&amp;TEXT(A607,"hh"),LoadTable[],6,FALSE)*T607</f>
        <v>14229.063476480002</v>
      </c>
      <c r="V607">
        <f t="shared" ref="V607:W607" si="629">V583</f>
        <v>3</v>
      </c>
      <c r="W607">
        <f t="shared" si="629"/>
        <v>3.1</v>
      </c>
      <c r="X607" s="9">
        <v>2.9288175000000001</v>
      </c>
    </row>
    <row r="608" spans="1:24">
      <c r="A608" s="29">
        <f t="shared" si="598"/>
        <v>45861.208333331866</v>
      </c>
      <c r="B608" s="30">
        <f t="shared" si="622"/>
        <v>5000</v>
      </c>
      <c r="C608" s="8">
        <v>25000</v>
      </c>
      <c r="D608" s="8">
        <v>0</v>
      </c>
      <c r="E608" s="8">
        <v>700</v>
      </c>
      <c r="F608" s="8">
        <v>15000</v>
      </c>
      <c r="G608" s="30">
        <f t="shared" si="623"/>
        <v>2400</v>
      </c>
      <c r="H608" s="8">
        <v>25000</v>
      </c>
      <c r="I608" s="30">
        <f t="shared" si="624"/>
        <v>5000</v>
      </c>
      <c r="J608" s="8">
        <v>25000</v>
      </c>
      <c r="K608" s="30">
        <f t="shared" si="625"/>
        <v>5000</v>
      </c>
      <c r="L608" s="8">
        <v>25000</v>
      </c>
      <c r="M608" s="9">
        <f>VLOOKUP(DATE(YEAR(A608),MONTH(A608),DAY(A608)),FY24_Temp[],4,FALSE)</f>
        <v>8.4</v>
      </c>
      <c r="N608" s="9">
        <f>VLOOKUP(DATE(YEAR(A608),MONTH(A608),DAY(A608)),FY24_Temp[],3,FALSE)</f>
        <v>12.8</v>
      </c>
      <c r="O608" s="9">
        <v>13.5</v>
      </c>
      <c r="P608" s="9">
        <v>19.5</v>
      </c>
      <c r="Q608" s="79">
        <f>VLOOKUP(VLOOKUP(DATEVALUE(TEXT(A608,"m/d/yyyy")),FY24_Temp[],5,FALSE)&amp;TEXT(A608,"-h"),Table6[],4,FALSE)</f>
        <v>2.3462857518877303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VLOOKUP(TEXT(A608,"yy-mm")&amp;"-"&amp;IF(AND(WEEKDAY(A608)&gt;1,WEEKDAY(A608)&lt;7),"Wkd",TEXT(A608,"Ddd"))&amp;"-"&amp;TEXT(A608,"hh"),LoadTable[],5,FALSE)*0.92</f>
        <v>279.25312000000002</v>
      </c>
      <c r="U608" s="104">
        <f>VLOOKUP(TEXT(A608,"yy-mm")&amp;"-"&amp;IF(AND(WEEKDAY(A608)&gt;1,WEEKDAY(A608)&lt;7),"Wkd",TEXT(A608,"Ddd"))&amp;"-"&amp;TEXT(A608,"hh"),LoadTable[],6,FALSE)*T608</f>
        <v>14735.070129920001</v>
      </c>
      <c r="V608">
        <f t="shared" ref="V608:W608" si="630">V584</f>
        <v>2.9</v>
      </c>
      <c r="W608">
        <f t="shared" si="630"/>
        <v>3.1</v>
      </c>
      <c r="X608" s="9">
        <v>3.0009432</v>
      </c>
    </row>
    <row r="609" spans="1:24">
      <c r="A609" s="29">
        <f t="shared" si="598"/>
        <v>45861.24999999853</v>
      </c>
      <c r="B609" s="30">
        <f t="shared" si="622"/>
        <v>8000</v>
      </c>
      <c r="C609" s="8">
        <v>25000</v>
      </c>
      <c r="D609" s="8">
        <v>0</v>
      </c>
      <c r="E609" s="8">
        <v>700</v>
      </c>
      <c r="F609" s="8">
        <v>15000</v>
      </c>
      <c r="G609" s="30">
        <f t="shared" si="623"/>
        <v>2400</v>
      </c>
      <c r="H609" s="8">
        <v>25000</v>
      </c>
      <c r="I609" s="30">
        <f t="shared" si="624"/>
        <v>8000</v>
      </c>
      <c r="J609" s="8">
        <v>25000</v>
      </c>
      <c r="K609" s="30">
        <f t="shared" si="625"/>
        <v>8000</v>
      </c>
      <c r="L609" s="8">
        <v>25000</v>
      </c>
      <c r="M609" s="9">
        <f>VLOOKUP(DATE(YEAR(A609),MONTH(A609),DAY(A609)),FY24_Temp[],4,FALSE)</f>
        <v>8.4</v>
      </c>
      <c r="N609" s="9">
        <f>VLOOKUP(DATE(YEAR(A609),MONTH(A609),DAY(A609)),FY24_Temp[],3,FALSE)</f>
        <v>12.8</v>
      </c>
      <c r="O609" s="9">
        <v>13.5</v>
      </c>
      <c r="P609" s="9">
        <v>19.5</v>
      </c>
      <c r="Q609" s="79">
        <f>VLOOKUP(VLOOKUP(DATEVALUE(TEXT(A609,"m/d/yyyy")),FY24_Temp[],5,FALSE)&amp;TEXT(A609,"-h"),Table6[],4,FALSE)</f>
        <v>2.2328571251460483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VLOOKUP(TEXT(A609,"yy-mm")&amp;"-"&amp;IF(AND(WEEKDAY(A609)&gt;1,WEEKDAY(A609)&lt;7),"Wkd",TEXT(A609,"Ddd"))&amp;"-"&amp;TEXT(A609,"hh"),LoadTable[],5,FALSE)*0.92</f>
        <v>279.25312000000002</v>
      </c>
      <c r="U609" s="104">
        <f>VLOOKUP(TEXT(A609,"yy-mm")&amp;"-"&amp;IF(AND(WEEKDAY(A609)&gt;1,WEEKDAY(A609)&lt;7),"Wkd",TEXT(A609,"Ddd"))&amp;"-"&amp;TEXT(A609,"hh"),LoadTable[],6,FALSE)*T609</f>
        <v>26238.902408320002</v>
      </c>
      <c r="V609">
        <f t="shared" ref="V609:W609" si="631">V585</f>
        <v>2.5</v>
      </c>
      <c r="W609">
        <f t="shared" si="631"/>
        <v>3.1</v>
      </c>
      <c r="X609" s="9">
        <v>3.1199050000000002</v>
      </c>
    </row>
    <row r="610" spans="1:24">
      <c r="A610" s="29">
        <f t="shared" si="598"/>
        <v>45861.291666665194</v>
      </c>
      <c r="B610" s="30">
        <f t="shared" si="622"/>
        <v>8000</v>
      </c>
      <c r="C610" s="8">
        <v>25000</v>
      </c>
      <c r="D610" s="8">
        <v>0</v>
      </c>
      <c r="E610" s="8">
        <v>700</v>
      </c>
      <c r="F610" s="8">
        <v>15000</v>
      </c>
      <c r="G610" s="30">
        <f t="shared" si="623"/>
        <v>2400</v>
      </c>
      <c r="H610" s="8">
        <v>25000</v>
      </c>
      <c r="I610" s="30">
        <f t="shared" si="624"/>
        <v>8000</v>
      </c>
      <c r="J610" s="8">
        <v>25000</v>
      </c>
      <c r="K610" s="30">
        <f t="shared" si="625"/>
        <v>8000</v>
      </c>
      <c r="L610" s="8">
        <v>25000</v>
      </c>
      <c r="M610" s="9">
        <f>VLOOKUP(DATE(YEAR(A610),MONTH(A610),DAY(A610)),FY24_Temp[],4,FALSE)</f>
        <v>8.4</v>
      </c>
      <c r="N610" s="9">
        <f>VLOOKUP(DATE(YEAR(A610),MONTH(A610),DAY(A610)),FY24_Temp[],3,FALSE)</f>
        <v>12.8</v>
      </c>
      <c r="O610" s="9">
        <v>13.5</v>
      </c>
      <c r="P610" s="9">
        <v>19.5</v>
      </c>
      <c r="Q610" s="79">
        <f>VLOOKUP(VLOOKUP(DATEVALUE(TEXT(A610,"m/d/yyyy")),FY24_Temp[],5,FALSE)&amp;TEXT(A610,"-h"),Table6[],4,FALSE)</f>
        <v>2.127857106072562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VLOOKUP(TEXT(A610,"yy-mm")&amp;"-"&amp;IF(AND(WEEKDAY(A610)&gt;1,WEEKDAY(A610)&lt;7),"Wkd",TEXT(A610,"Ddd"))&amp;"-"&amp;TEXT(A610,"hh"),LoadTable[],5,FALSE)*0.92</f>
        <v>279.25312000000002</v>
      </c>
      <c r="U610" s="104">
        <f>VLOOKUP(TEXT(A610,"yy-mm")&amp;"-"&amp;IF(AND(WEEKDAY(A610)&gt;1,WEEKDAY(A610)&lt;7),"Wkd",TEXT(A610,"Ddd"))&amp;"-"&amp;TEXT(A610,"hh"),LoadTable[],6,FALSE)*T610</f>
        <v>22145.051669120003</v>
      </c>
      <c r="V610">
        <f t="shared" ref="V610:W610" si="632">V586</f>
        <v>2.5</v>
      </c>
      <c r="W610">
        <f t="shared" si="632"/>
        <v>3.1</v>
      </c>
      <c r="X610" s="9">
        <v>3.2598688999999998</v>
      </c>
    </row>
    <row r="611" spans="1:24">
      <c r="A611" s="29">
        <f t="shared" si="598"/>
        <v>45861.333333331859</v>
      </c>
      <c r="B611" s="30">
        <f t="shared" si="622"/>
        <v>8000</v>
      </c>
      <c r="C611" s="8">
        <v>25000</v>
      </c>
      <c r="D611" s="8">
        <v>0</v>
      </c>
      <c r="E611" s="8">
        <v>700</v>
      </c>
      <c r="F611" s="8">
        <v>15000</v>
      </c>
      <c r="G611" s="30">
        <f t="shared" si="623"/>
        <v>2400</v>
      </c>
      <c r="H611" s="8">
        <v>25000</v>
      </c>
      <c r="I611" s="30">
        <f t="shared" si="624"/>
        <v>8000</v>
      </c>
      <c r="J611" s="8">
        <v>25000</v>
      </c>
      <c r="K611" s="30">
        <f t="shared" si="625"/>
        <v>8000</v>
      </c>
      <c r="L611" s="8">
        <v>25000</v>
      </c>
      <c r="M611" s="9">
        <f>VLOOKUP(DATE(YEAR(A611),MONTH(A611),DAY(A611)),FY24_Temp[],4,FALSE)</f>
        <v>8.4</v>
      </c>
      <c r="N611" s="9">
        <f>VLOOKUP(DATE(YEAR(A611),MONTH(A611),DAY(A611)),FY24_Temp[],3,FALSE)</f>
        <v>12.8</v>
      </c>
      <c r="O611" s="9">
        <v>13.5</v>
      </c>
      <c r="P611" s="9">
        <v>19.5</v>
      </c>
      <c r="Q611" s="79">
        <f>VLOOKUP(VLOOKUP(DATEVALUE(TEXT(A611,"m/d/yyyy")),FY24_Temp[],5,FALSE)&amp;TEXT(A611,"-h"),Table6[],4,FALSE)</f>
        <v>2.00528575692858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VLOOKUP(TEXT(A611,"yy-mm")&amp;"-"&amp;IF(AND(WEEKDAY(A611)&gt;1,WEEKDAY(A611)&lt;7),"Wkd",TEXT(A611,"Ddd"))&amp;"-"&amp;TEXT(A611,"hh"),LoadTable[],5,FALSE)*0.92</f>
        <v>279.25312000000002</v>
      </c>
      <c r="U611" s="104">
        <f>VLOOKUP(TEXT(A611,"yy-mm")&amp;"-"&amp;IF(AND(WEEKDAY(A611)&gt;1,WEEKDAY(A611)&lt;7),"Wkd",TEXT(A611,"Ddd"))&amp;"-"&amp;TEXT(A611,"hh"),LoadTable[],6,FALSE)*T611</f>
        <v>17686.77560832</v>
      </c>
      <c r="V611">
        <f t="shared" ref="V611:W611" si="633">V587</f>
        <v>3.2</v>
      </c>
      <c r="W611">
        <f t="shared" si="633"/>
        <v>3</v>
      </c>
      <c r="X611" s="9">
        <v>3.31724</v>
      </c>
    </row>
    <row r="612" spans="1:24">
      <c r="A612" s="29">
        <f t="shared" si="598"/>
        <v>45861.374999998523</v>
      </c>
      <c r="B612" s="30">
        <f t="shared" si="622"/>
        <v>8000</v>
      </c>
      <c r="C612" s="8">
        <v>25000</v>
      </c>
      <c r="D612" s="8">
        <v>0</v>
      </c>
      <c r="E612" s="8">
        <v>700</v>
      </c>
      <c r="F612" s="8">
        <v>15000</v>
      </c>
      <c r="G612" s="30">
        <f t="shared" si="623"/>
        <v>2400</v>
      </c>
      <c r="H612" s="8">
        <v>25000</v>
      </c>
      <c r="I612" s="30">
        <f t="shared" si="624"/>
        <v>8000</v>
      </c>
      <c r="J612" s="8">
        <v>25000</v>
      </c>
      <c r="K612" s="30">
        <f t="shared" si="625"/>
        <v>8000</v>
      </c>
      <c r="L612" s="8">
        <v>25000</v>
      </c>
      <c r="M612" s="9">
        <f>VLOOKUP(DATE(YEAR(A612),MONTH(A612),DAY(A612)),FY24_Temp[],4,FALSE)</f>
        <v>8.4</v>
      </c>
      <c r="N612" s="9">
        <f>VLOOKUP(DATE(YEAR(A612),MONTH(A612),DAY(A612)),FY24_Temp[],3,FALSE)</f>
        <v>12.8</v>
      </c>
      <c r="O612" s="9">
        <v>13.5</v>
      </c>
      <c r="P612" s="9">
        <v>19.5</v>
      </c>
      <c r="Q612" s="79">
        <f>VLOOKUP(VLOOKUP(DATEVALUE(TEXT(A612,"m/d/yyyy")),FY24_Temp[],5,FALSE)&amp;TEXT(A612,"-h"),Table6[],4,FALSE)</f>
        <v>1.90142856325422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VLOOKUP(TEXT(A612,"yy-mm")&amp;"-"&amp;IF(AND(WEEKDAY(A612)&gt;1,WEEKDAY(A612)&lt;7),"Wkd",TEXT(A612,"Ddd"))&amp;"-"&amp;TEXT(A612,"hh"),LoadTable[],5,FALSE)*0.92</f>
        <v>279.25312000000002</v>
      </c>
      <c r="U612" s="104">
        <f>VLOOKUP(TEXT(A612,"yy-mm")&amp;"-"&amp;IF(AND(WEEKDAY(A612)&gt;1,WEEKDAY(A612)&lt;7),"Wkd",TEXT(A612,"Ddd"))&amp;"-"&amp;TEXT(A612,"hh"),LoadTable[],6,FALSE)*T612</f>
        <v>14265.924888320002</v>
      </c>
      <c r="V612">
        <f t="shared" ref="V612:W612" si="634">V588</f>
        <v>2.9</v>
      </c>
      <c r="W612">
        <f t="shared" si="634"/>
        <v>3</v>
      </c>
      <c r="X612" s="9">
        <v>3.3582907</v>
      </c>
    </row>
    <row r="613" spans="1:24">
      <c r="A613" s="29">
        <f t="shared" si="598"/>
        <v>45861.416666665187</v>
      </c>
      <c r="B613" s="30">
        <f t="shared" si="622"/>
        <v>8000</v>
      </c>
      <c r="C613" s="8">
        <v>25000</v>
      </c>
      <c r="D613" s="8">
        <v>0</v>
      </c>
      <c r="E613" s="8">
        <v>700</v>
      </c>
      <c r="F613" s="8">
        <v>15000</v>
      </c>
      <c r="G613" s="30">
        <f t="shared" si="623"/>
        <v>2400</v>
      </c>
      <c r="H613" s="8">
        <v>25000</v>
      </c>
      <c r="I613" s="30">
        <f t="shared" si="624"/>
        <v>8000</v>
      </c>
      <c r="J613" s="8">
        <v>25000</v>
      </c>
      <c r="K613" s="30">
        <f t="shared" si="625"/>
        <v>8000</v>
      </c>
      <c r="L613" s="8">
        <v>25000</v>
      </c>
      <c r="M613" s="9">
        <f>VLOOKUP(DATE(YEAR(A613),MONTH(A613),DAY(A613)),FY24_Temp[],4,FALSE)</f>
        <v>8.4</v>
      </c>
      <c r="N613" s="9">
        <f>VLOOKUP(DATE(YEAR(A613),MONTH(A613),DAY(A613)),FY24_Temp[],3,FALSE)</f>
        <v>12.8</v>
      </c>
      <c r="O613" s="9">
        <v>13.5</v>
      </c>
      <c r="P613" s="9">
        <v>19.5</v>
      </c>
      <c r="Q613" s="79">
        <f>VLOOKUP(VLOOKUP(DATEVALUE(TEXT(A613,"m/d/yyyy")),FY24_Temp[],5,FALSE)&amp;TEXT(A613,"-h"),Table6[],4,FALSE)</f>
        <v>1.8012857096535819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VLOOKUP(TEXT(A613,"yy-mm")&amp;"-"&amp;IF(AND(WEEKDAY(A613)&gt;1,WEEKDAY(A613)&lt;7),"Wkd",TEXT(A613,"Ddd"))&amp;"-"&amp;TEXT(A613,"hh"),LoadTable[],5,FALSE)*0.92</f>
        <v>279.25312000000002</v>
      </c>
      <c r="U613" s="104">
        <f>VLOOKUP(TEXT(A613,"yy-mm")&amp;"-"&amp;IF(AND(WEEKDAY(A613)&gt;1,WEEKDAY(A613)&lt;7),"Wkd",TEXT(A613,"Ddd"))&amp;"-"&amp;TEXT(A613,"hh"),LoadTable[],6,FALSE)*T613</f>
        <v>13649.054746240003</v>
      </c>
      <c r="V613">
        <f t="shared" ref="V613:W613" si="635">V589</f>
        <v>2.9</v>
      </c>
      <c r="W613">
        <f t="shared" si="635"/>
        <v>3</v>
      </c>
      <c r="X613" s="9">
        <v>3.4230849999999999</v>
      </c>
    </row>
    <row r="614" spans="1:24">
      <c r="A614" s="29">
        <f t="shared" si="598"/>
        <v>45861.458333331851</v>
      </c>
      <c r="B614" s="30">
        <f t="shared" si="622"/>
        <v>8000</v>
      </c>
      <c r="C614" s="8">
        <v>25000</v>
      </c>
      <c r="D614" s="8">
        <v>0</v>
      </c>
      <c r="E614" s="8">
        <v>700</v>
      </c>
      <c r="F614" s="8">
        <v>15000</v>
      </c>
      <c r="G614" s="30">
        <f t="shared" si="623"/>
        <v>2400</v>
      </c>
      <c r="H614" s="8">
        <v>25000</v>
      </c>
      <c r="I614" s="30">
        <f t="shared" si="624"/>
        <v>8000</v>
      </c>
      <c r="J614" s="8">
        <v>25000</v>
      </c>
      <c r="K614" s="30">
        <f t="shared" si="625"/>
        <v>8000</v>
      </c>
      <c r="L614" s="8">
        <v>25000</v>
      </c>
      <c r="M614" s="9">
        <f>VLOOKUP(DATE(YEAR(A614),MONTH(A614),DAY(A614)),FY24_Temp[],4,FALSE)</f>
        <v>8.4</v>
      </c>
      <c r="N614" s="9">
        <f>VLOOKUP(DATE(YEAR(A614),MONTH(A614),DAY(A614)),FY24_Temp[],3,FALSE)</f>
        <v>12.8</v>
      </c>
      <c r="O614" s="9">
        <v>13.5</v>
      </c>
      <c r="P614" s="9">
        <v>19.5</v>
      </c>
      <c r="Q614" s="79">
        <f>VLOOKUP(VLOOKUP(DATEVALUE(TEXT(A614,"m/d/yyyy")),FY24_Temp[],5,FALSE)&amp;TEXT(A614,"-h"),Table6[],4,FALSE)</f>
        <v>1.6742857013429915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VLOOKUP(TEXT(A614,"yy-mm")&amp;"-"&amp;IF(AND(WEEKDAY(A614)&gt;1,WEEKDAY(A614)&lt;7),"Wkd",TEXT(A614,"Ddd"))&amp;"-"&amp;TEXT(A614,"hh"),LoadTable[],5,FALSE)*0.92</f>
        <v>279.25312000000002</v>
      </c>
      <c r="U614" s="104">
        <f>VLOOKUP(TEXT(A614,"yy-mm")&amp;"-"&amp;IF(AND(WEEKDAY(A614)&gt;1,WEEKDAY(A614)&lt;7),"Wkd",TEXT(A614,"Ddd"))&amp;"-"&amp;TEXT(A614,"hh"),LoadTable[],6,FALSE)*T614</f>
        <v>13153.938964480001</v>
      </c>
      <c r="V614">
        <f t="shared" ref="V614:W614" si="636">V590</f>
        <v>3.4</v>
      </c>
      <c r="W614">
        <f t="shared" si="636"/>
        <v>3</v>
      </c>
      <c r="X614" s="9">
        <v>3.3580744</v>
      </c>
    </row>
    <row r="615" spans="1:24">
      <c r="A615" s="29">
        <f t="shared" si="598"/>
        <v>45861.499999998516</v>
      </c>
      <c r="B615" s="30">
        <f t="shared" si="622"/>
        <v>8000</v>
      </c>
      <c r="C615" s="8">
        <v>25000</v>
      </c>
      <c r="D615" s="8">
        <v>0</v>
      </c>
      <c r="E615" s="8">
        <v>700</v>
      </c>
      <c r="F615" s="8">
        <v>15000</v>
      </c>
      <c r="G615" s="30">
        <f t="shared" si="623"/>
        <v>2400</v>
      </c>
      <c r="H615" s="8">
        <v>25000</v>
      </c>
      <c r="I615" s="30">
        <f t="shared" si="624"/>
        <v>8000</v>
      </c>
      <c r="J615" s="8">
        <v>25000</v>
      </c>
      <c r="K615" s="30">
        <f t="shared" si="625"/>
        <v>8000</v>
      </c>
      <c r="L615" s="8">
        <v>25000</v>
      </c>
      <c r="M615" s="9">
        <f>VLOOKUP(DATE(YEAR(A615),MONTH(A615),DAY(A615)),FY24_Temp[],4,FALSE)</f>
        <v>8.4</v>
      </c>
      <c r="N615" s="9">
        <f>VLOOKUP(DATE(YEAR(A615),MONTH(A615),DAY(A615)),FY24_Temp[],3,FALSE)</f>
        <v>12.8</v>
      </c>
      <c r="O615" s="9">
        <v>13.5</v>
      </c>
      <c r="P615" s="9">
        <v>19.5</v>
      </c>
      <c r="Q615" s="79">
        <f>VLOOKUP(VLOOKUP(DATEVALUE(TEXT(A615,"m/d/yyyy")),FY24_Temp[],5,FALSE)&amp;TEXT(A615,"-h"),Table6[],4,FALSE)</f>
        <v>1.5174285684313094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VLOOKUP(TEXT(A615,"yy-mm")&amp;"-"&amp;IF(AND(WEEKDAY(A615)&gt;1,WEEKDAY(A615)&lt;7),"Wkd",TEXT(A615,"Ddd"))&amp;"-"&amp;TEXT(A615,"hh"),LoadTable[],5,FALSE)*0.92</f>
        <v>279.25312000000002</v>
      </c>
      <c r="U615" s="104">
        <f>VLOOKUP(TEXT(A615,"yy-mm")&amp;"-"&amp;IF(AND(WEEKDAY(A615)&gt;1,WEEKDAY(A615)&lt;7),"Wkd",TEXT(A615,"Ddd"))&amp;"-"&amp;TEXT(A615,"hh"),LoadTable[],6,FALSE)*T615</f>
        <v>13898.427782400002</v>
      </c>
      <c r="V615">
        <f t="shared" ref="V615:W615" si="637">V591</f>
        <v>3.1</v>
      </c>
      <c r="W615">
        <f t="shared" si="637"/>
        <v>2.9</v>
      </c>
      <c r="X615" s="9">
        <v>3.2136230000000001</v>
      </c>
    </row>
    <row r="616" spans="1:24">
      <c r="A616" s="29">
        <f t="shared" si="598"/>
        <v>45861.54166666518</v>
      </c>
      <c r="B616" s="30">
        <f t="shared" si="622"/>
        <v>8000</v>
      </c>
      <c r="C616" s="8">
        <v>25000</v>
      </c>
      <c r="D616" s="8">
        <v>0</v>
      </c>
      <c r="E616" s="8">
        <v>700</v>
      </c>
      <c r="F616" s="8">
        <v>15000</v>
      </c>
      <c r="G616" s="30">
        <f t="shared" si="623"/>
        <v>2400</v>
      </c>
      <c r="H616" s="8">
        <v>25000</v>
      </c>
      <c r="I616" s="30">
        <f t="shared" si="624"/>
        <v>8000</v>
      </c>
      <c r="J616" s="8">
        <v>25000</v>
      </c>
      <c r="K616" s="30">
        <f t="shared" si="625"/>
        <v>8000</v>
      </c>
      <c r="L616" s="8">
        <v>25000</v>
      </c>
      <c r="M616" s="9">
        <f>VLOOKUP(DATE(YEAR(A616),MONTH(A616),DAY(A616)),FY24_Temp[],4,FALSE)</f>
        <v>8.4</v>
      </c>
      <c r="N616" s="9">
        <f>VLOOKUP(DATE(YEAR(A616),MONTH(A616),DAY(A616)),FY24_Temp[],3,FALSE)</f>
        <v>12.8</v>
      </c>
      <c r="O616" s="9">
        <v>13.5</v>
      </c>
      <c r="P616" s="9">
        <v>19.5</v>
      </c>
      <c r="Q616" s="79">
        <f>VLOOKUP(VLOOKUP(DATEVALUE(TEXT(A616,"m/d/yyyy")),FY24_Temp[],5,FALSE)&amp;TEXT(A616,"-h"),Table6[],4,FALSE)</f>
        <v>1.3370000123977661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VLOOKUP(TEXT(A616,"yy-mm")&amp;"-"&amp;IF(AND(WEEKDAY(A616)&gt;1,WEEKDAY(A616)&lt;7),"Wkd",TEXT(A616,"Ddd"))&amp;"-"&amp;TEXT(A616,"hh"),LoadTable[],5,FALSE)*0.92</f>
        <v>279.25312000000002</v>
      </c>
      <c r="U616" s="104">
        <f>VLOOKUP(TEXT(A616,"yy-mm")&amp;"-"&amp;IF(AND(WEEKDAY(A616)&gt;1,WEEKDAY(A616)&lt;7),"Wkd",TEXT(A616,"Ddd"))&amp;"-"&amp;TEXT(A616,"hh"),LoadTable[],6,FALSE)*T616</f>
        <v>16526.1996416</v>
      </c>
      <c r="V616">
        <f t="shared" ref="V616:W616" si="638">V592</f>
        <v>3.2</v>
      </c>
      <c r="W616">
        <f t="shared" si="638"/>
        <v>2.9</v>
      </c>
      <c r="X616" s="9">
        <v>3.0238923999999998</v>
      </c>
    </row>
    <row r="617" spans="1:24">
      <c r="A617" s="29">
        <f t="shared" si="598"/>
        <v>45861.583333331844</v>
      </c>
      <c r="B617" s="30">
        <f t="shared" si="622"/>
        <v>8000</v>
      </c>
      <c r="C617" s="8">
        <v>25000</v>
      </c>
      <c r="D617" s="8">
        <v>0</v>
      </c>
      <c r="E617" s="8">
        <v>700</v>
      </c>
      <c r="F617" s="8">
        <v>15000</v>
      </c>
      <c r="G617" s="30">
        <f t="shared" si="623"/>
        <v>2400</v>
      </c>
      <c r="H617" s="8">
        <v>25000</v>
      </c>
      <c r="I617" s="30">
        <f t="shared" si="624"/>
        <v>8000</v>
      </c>
      <c r="J617" s="8">
        <v>25000</v>
      </c>
      <c r="K617" s="30">
        <f t="shared" si="625"/>
        <v>8000</v>
      </c>
      <c r="L617" s="8">
        <v>25000</v>
      </c>
      <c r="M617" s="9">
        <f>VLOOKUP(DATE(YEAR(A617),MONTH(A617),DAY(A617)),FY24_Temp[],4,FALSE)</f>
        <v>8.4</v>
      </c>
      <c r="N617" s="9">
        <f>VLOOKUP(DATE(YEAR(A617),MONTH(A617),DAY(A617)),FY24_Temp[],3,FALSE)</f>
        <v>12.8</v>
      </c>
      <c r="O617" s="9">
        <v>13.5</v>
      </c>
      <c r="P617" s="9">
        <v>19.5</v>
      </c>
      <c r="Q617" s="79">
        <f>VLOOKUP(VLOOKUP(DATEVALUE(TEXT(A617,"m/d/yyyy")),FY24_Temp[],5,FALSE)&amp;TEXT(A617,"-h"),Table6[],4,FALSE)</f>
        <v>1.1481428657259261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VLOOKUP(TEXT(A617,"yy-mm")&amp;"-"&amp;IF(AND(WEEKDAY(A617)&gt;1,WEEKDAY(A617)&lt;7),"Wkd",TEXT(A617,"Ddd"))&amp;"-"&amp;TEXT(A617,"hh"),LoadTable[],5,FALSE)*0.92</f>
        <v>373.26607999999999</v>
      </c>
      <c r="U617" s="104">
        <f>VLOOKUP(TEXT(A617,"yy-mm")&amp;"-"&amp;IF(AND(WEEKDAY(A617)&gt;1,WEEKDAY(A617)&lt;7),"Wkd",TEXT(A617,"Ddd"))&amp;"-"&amp;TEXT(A617,"hh"),LoadTable[],6,FALSE)*T617</f>
        <v>27132.338089119996</v>
      </c>
      <c r="V617">
        <f t="shared" ref="V617:W617" si="639">V593</f>
        <v>3.5</v>
      </c>
      <c r="W617">
        <f t="shared" si="639"/>
        <v>2.9</v>
      </c>
      <c r="X617" s="9">
        <v>2.9290090000000002</v>
      </c>
    </row>
    <row r="618" spans="1:24">
      <c r="A618" s="29">
        <f t="shared" si="598"/>
        <v>45861.624999998508</v>
      </c>
      <c r="B618" s="30">
        <f t="shared" si="622"/>
        <v>8000</v>
      </c>
      <c r="C618" s="8">
        <v>25000</v>
      </c>
      <c r="D618" s="8">
        <v>0</v>
      </c>
      <c r="E618" s="8">
        <v>700</v>
      </c>
      <c r="F618" s="8">
        <v>15000</v>
      </c>
      <c r="G618" s="30">
        <f t="shared" si="623"/>
        <v>2400</v>
      </c>
      <c r="H618" s="8">
        <v>25000</v>
      </c>
      <c r="I618" s="30">
        <f t="shared" si="624"/>
        <v>8000</v>
      </c>
      <c r="J618" s="8">
        <v>25000</v>
      </c>
      <c r="K618" s="30">
        <f t="shared" si="625"/>
        <v>8000</v>
      </c>
      <c r="L618" s="8">
        <v>25000</v>
      </c>
      <c r="M618" s="9">
        <f>VLOOKUP(DATE(YEAR(A618),MONTH(A618),DAY(A618)),FY24_Temp[],4,FALSE)</f>
        <v>8.4</v>
      </c>
      <c r="N618" s="9">
        <f>VLOOKUP(DATE(YEAR(A618),MONTH(A618),DAY(A618)),FY24_Temp[],3,FALSE)</f>
        <v>12.8</v>
      </c>
      <c r="O618" s="9">
        <v>13.5</v>
      </c>
      <c r="P618" s="9">
        <v>19.5</v>
      </c>
      <c r="Q618" s="79">
        <f>VLOOKUP(VLOOKUP(DATEVALUE(TEXT(A618,"m/d/yyyy")),FY24_Temp[],5,FALSE)&amp;TEXT(A618,"-h"),Table6[],4,FALSE)</f>
        <v>0.98957143511090961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VLOOKUP(TEXT(A618,"yy-mm")&amp;"-"&amp;IF(AND(WEEKDAY(A618)&gt;1,WEEKDAY(A618)&lt;7),"Wkd",TEXT(A618,"Ddd"))&amp;"-"&amp;TEXT(A618,"hh"),LoadTable[],5,FALSE)*0.92</f>
        <v>494.57360000000006</v>
      </c>
      <c r="U618" s="104">
        <f>VLOOKUP(TEXT(A618,"yy-mm")&amp;"-"&amp;IF(AND(WEEKDAY(A618)&gt;1,WEEKDAY(A618)&lt;7),"Wkd",TEXT(A618,"Ddd"))&amp;"-"&amp;TEXT(A618,"hh"),LoadTable[],6,FALSE)*T618</f>
        <v>42310.771480000003</v>
      </c>
      <c r="V618">
        <f t="shared" ref="V618:W618" si="640">V594</f>
        <v>3.2</v>
      </c>
      <c r="W618">
        <f t="shared" si="640"/>
        <v>2.9</v>
      </c>
      <c r="X618" s="9">
        <v>3.0735749999999999</v>
      </c>
    </row>
    <row r="619" spans="1:24">
      <c r="A619" s="29">
        <f t="shared" si="598"/>
        <v>45861.666666665173</v>
      </c>
      <c r="B619" s="30">
        <f t="shared" si="622"/>
        <v>8000</v>
      </c>
      <c r="C619" s="8">
        <v>25000</v>
      </c>
      <c r="D619" s="8">
        <v>0</v>
      </c>
      <c r="E619" s="8">
        <v>700</v>
      </c>
      <c r="F619" s="8">
        <v>15000</v>
      </c>
      <c r="G619" s="30">
        <f t="shared" si="623"/>
        <v>2400</v>
      </c>
      <c r="H619" s="8">
        <v>25000</v>
      </c>
      <c r="I619" s="30">
        <f t="shared" si="624"/>
        <v>8000</v>
      </c>
      <c r="J619" s="8">
        <v>25000</v>
      </c>
      <c r="K619" s="30">
        <f t="shared" si="625"/>
        <v>8000</v>
      </c>
      <c r="L619" s="8">
        <v>25000</v>
      </c>
      <c r="M619" s="9">
        <f>VLOOKUP(DATE(YEAR(A619),MONTH(A619),DAY(A619)),FY24_Temp[],4,FALSE)</f>
        <v>8.4</v>
      </c>
      <c r="N619" s="9">
        <f>VLOOKUP(DATE(YEAR(A619),MONTH(A619),DAY(A619)),FY24_Temp[],3,FALSE)</f>
        <v>12.8</v>
      </c>
      <c r="O619" s="9">
        <v>13.5</v>
      </c>
      <c r="P619" s="9">
        <v>19.5</v>
      </c>
      <c r="Q619" s="79">
        <f>VLOOKUP(VLOOKUP(DATEVALUE(TEXT(A619,"m/d/yyyy")),FY24_Temp[],5,FALSE)&amp;TEXT(A619,"-h"),Table6[],4,FALSE)</f>
        <v>0.95228569848196842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VLOOKUP(TEXT(A619,"yy-mm")&amp;"-"&amp;IF(AND(WEEKDAY(A619)&gt;1,WEEKDAY(A619)&lt;7),"Wkd",TEXT(A619,"Ddd"))&amp;"-"&amp;TEXT(A619,"hh"),LoadTable[],5,FALSE)*0.92</f>
        <v>494.57360000000006</v>
      </c>
      <c r="U619" s="104">
        <f>VLOOKUP(TEXT(A619,"yy-mm")&amp;"-"&amp;IF(AND(WEEKDAY(A619)&gt;1,WEEKDAY(A619)&lt;7),"Wkd",TEXT(A619,"Ddd"))&amp;"-"&amp;TEXT(A619,"hh"),LoadTable[],6,FALSE)*T619</f>
        <v>50694.28857360001</v>
      </c>
      <c r="V619">
        <f t="shared" ref="V619:W619" si="641">V595</f>
        <v>3.5</v>
      </c>
      <c r="W619">
        <f t="shared" si="641"/>
        <v>3</v>
      </c>
      <c r="X619" s="9">
        <v>3.3711674</v>
      </c>
    </row>
    <row r="620" spans="1:24">
      <c r="A620" s="29">
        <f t="shared" si="598"/>
        <v>45861.708333331837</v>
      </c>
      <c r="B620" s="30">
        <f t="shared" si="622"/>
        <v>8000</v>
      </c>
      <c r="C620" s="8">
        <v>25000</v>
      </c>
      <c r="D620" s="8">
        <v>0</v>
      </c>
      <c r="E620" s="8">
        <v>700</v>
      </c>
      <c r="F620" s="8">
        <v>15000</v>
      </c>
      <c r="G620" s="30">
        <f t="shared" si="623"/>
        <v>2400</v>
      </c>
      <c r="H620" s="8">
        <v>25000</v>
      </c>
      <c r="I620" s="30">
        <f t="shared" si="624"/>
        <v>8000</v>
      </c>
      <c r="J620" s="8">
        <v>25000</v>
      </c>
      <c r="K620" s="30">
        <f t="shared" si="625"/>
        <v>8000</v>
      </c>
      <c r="L620" s="8">
        <v>25000</v>
      </c>
      <c r="M620" s="9">
        <f>VLOOKUP(DATE(YEAR(A620),MONTH(A620),DAY(A620)),FY24_Temp[],4,FALSE)</f>
        <v>8.4</v>
      </c>
      <c r="N620" s="9">
        <f>VLOOKUP(DATE(YEAR(A620),MONTH(A620),DAY(A620)),FY24_Temp[],3,FALSE)</f>
        <v>12.8</v>
      </c>
      <c r="O620" s="9">
        <v>13.5</v>
      </c>
      <c r="P620" s="9">
        <v>19.5</v>
      </c>
      <c r="Q620" s="79">
        <f>VLOOKUP(VLOOKUP(DATEVALUE(TEXT(A620,"m/d/yyyy")),FY24_Temp[],5,FALSE)&amp;TEXT(A620,"-h"),Table6[],4,FALSE)</f>
        <v>1.1852857215063912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VLOOKUP(TEXT(A620,"yy-mm")&amp;"-"&amp;IF(AND(WEEKDAY(A620)&gt;1,WEEKDAY(A620)&lt;7),"Wkd",TEXT(A620,"Ddd"))&amp;"-"&amp;TEXT(A620,"hh"),LoadTable[],5,FALSE)*0.92</f>
        <v>494.57360000000006</v>
      </c>
      <c r="U620" s="104">
        <f>VLOOKUP(TEXT(A620,"yy-mm")&amp;"-"&amp;IF(AND(WEEKDAY(A620)&gt;1,WEEKDAY(A620)&lt;7),"Wkd",TEXT(A620,"Ddd"))&amp;"-"&amp;TEXT(A620,"hh"),LoadTable[],6,FALSE)*T620</f>
        <v>56025.791981600007</v>
      </c>
      <c r="V620">
        <f t="shared" ref="V620:W620" si="642">V596</f>
        <v>3.6</v>
      </c>
      <c r="W620">
        <f t="shared" si="642"/>
        <v>3</v>
      </c>
      <c r="X620" s="9">
        <v>3.2652898000000001</v>
      </c>
    </row>
    <row r="621" spans="1:24">
      <c r="A621" s="29">
        <f t="shared" si="598"/>
        <v>45861.749999998501</v>
      </c>
      <c r="B621" s="30">
        <f t="shared" si="622"/>
        <v>5000</v>
      </c>
      <c r="C621" s="8">
        <v>25000</v>
      </c>
      <c r="D621" s="8">
        <v>0</v>
      </c>
      <c r="E621" s="8">
        <v>700</v>
      </c>
      <c r="F621" s="8">
        <v>15000</v>
      </c>
      <c r="G621" s="30">
        <f t="shared" si="623"/>
        <v>2400</v>
      </c>
      <c r="H621" s="8">
        <v>25000</v>
      </c>
      <c r="I621" s="30">
        <f t="shared" si="624"/>
        <v>5000</v>
      </c>
      <c r="J621" s="8">
        <v>25000</v>
      </c>
      <c r="K621" s="30">
        <f t="shared" si="625"/>
        <v>5000</v>
      </c>
      <c r="L621" s="8">
        <v>25000</v>
      </c>
      <c r="M621" s="9">
        <f>VLOOKUP(DATE(YEAR(A621),MONTH(A621),DAY(A621)),FY24_Temp[],4,FALSE)</f>
        <v>8.4</v>
      </c>
      <c r="N621" s="9">
        <f>VLOOKUP(DATE(YEAR(A621),MONTH(A621),DAY(A621)),FY24_Temp[],3,FALSE)</f>
        <v>12.8</v>
      </c>
      <c r="O621" s="9">
        <v>13.5</v>
      </c>
      <c r="P621" s="9">
        <v>19.5</v>
      </c>
      <c r="Q621" s="79">
        <f>VLOOKUP(VLOOKUP(DATEVALUE(TEXT(A621,"m/d/yyyy")),FY24_Temp[],5,FALSE)&amp;TEXT(A621,"-h"),Table6[],4,FALSE)</f>
        <v>1.5737142562866211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VLOOKUP(TEXT(A621,"yy-mm")&amp;"-"&amp;IF(AND(WEEKDAY(A621)&gt;1,WEEKDAY(A621)&lt;7),"Wkd",TEXT(A621,"Ddd"))&amp;"-"&amp;TEXT(A621,"hh"),LoadTable[],5,FALSE)*0.92</f>
        <v>494.57360000000006</v>
      </c>
      <c r="U621" s="104">
        <f>VLOOKUP(TEXT(A621,"yy-mm")&amp;"-"&amp;IF(AND(WEEKDAY(A621)&gt;1,WEEKDAY(A621)&lt;7),"Wkd",TEXT(A621,"Ddd"))&amp;"-"&amp;TEXT(A621,"hh"),LoadTable[],6,FALSE)*T621</f>
        <v>60164.383866400007</v>
      </c>
      <c r="V621">
        <f t="shared" ref="V621:W621" si="643">V597</f>
        <v>2.9</v>
      </c>
      <c r="W621">
        <f t="shared" si="643"/>
        <v>3</v>
      </c>
      <c r="X621" s="9">
        <v>3.2100737000000001</v>
      </c>
    </row>
    <row r="622" spans="1:24">
      <c r="A622" s="29">
        <f t="shared" si="598"/>
        <v>45861.791666665165</v>
      </c>
      <c r="B622" s="30">
        <f t="shared" si="622"/>
        <v>5000</v>
      </c>
      <c r="C622" s="8">
        <v>25000</v>
      </c>
      <c r="D622" s="8">
        <v>0</v>
      </c>
      <c r="E622" s="8">
        <v>700</v>
      </c>
      <c r="F622" s="8">
        <v>15000</v>
      </c>
      <c r="G622" s="30">
        <f t="shared" si="623"/>
        <v>2400</v>
      </c>
      <c r="H622" s="8">
        <v>25000</v>
      </c>
      <c r="I622" s="30">
        <f t="shared" si="624"/>
        <v>5000</v>
      </c>
      <c r="J622" s="8">
        <v>25000</v>
      </c>
      <c r="K622" s="30">
        <f t="shared" si="625"/>
        <v>5000</v>
      </c>
      <c r="L622" s="8">
        <v>25000</v>
      </c>
      <c r="M622" s="9">
        <f>VLOOKUP(DATE(YEAR(A622),MONTH(A622),DAY(A622)),FY24_Temp[],4,FALSE)</f>
        <v>8.4</v>
      </c>
      <c r="N622" s="9">
        <f>VLOOKUP(DATE(YEAR(A622),MONTH(A622),DAY(A622)),FY24_Temp[],3,FALSE)</f>
        <v>12.8</v>
      </c>
      <c r="O622" s="9">
        <v>13.5</v>
      </c>
      <c r="P622" s="9">
        <v>19.5</v>
      </c>
      <c r="Q622" s="79">
        <f>VLOOKUP(VLOOKUP(DATEVALUE(TEXT(A622,"m/d/yyyy")),FY24_Temp[],5,FALSE)&amp;TEXT(A622,"-h"),Table6[],4,FALSE)</f>
        <v>2.4347143173217773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VLOOKUP(TEXT(A622,"yy-mm")&amp;"-"&amp;IF(AND(WEEKDAY(A622)&gt;1,WEEKDAY(A622)&lt;7),"Wkd",TEXT(A622,"Ddd"))&amp;"-"&amp;TEXT(A622,"hh"),LoadTable[],5,FALSE)*0.92</f>
        <v>494.57360000000006</v>
      </c>
      <c r="U622" s="104">
        <f>VLOOKUP(TEXT(A622,"yy-mm")&amp;"-"&amp;IF(AND(WEEKDAY(A622)&gt;1,WEEKDAY(A622)&lt;7),"Wkd",TEXT(A622,"Ddd"))&amp;"-"&amp;TEXT(A622,"hh"),LoadTable[],6,FALSE)*T622</f>
        <v>60548.172980000003</v>
      </c>
      <c r="V622">
        <f t="shared" ref="V622:W622" si="644">V598</f>
        <v>3</v>
      </c>
      <c r="W622">
        <f t="shared" si="644"/>
        <v>3</v>
      </c>
      <c r="X622" s="9">
        <v>3.2364888000000001</v>
      </c>
    </row>
    <row r="623" spans="1:24">
      <c r="A623" s="29">
        <f t="shared" si="598"/>
        <v>45861.83333333183</v>
      </c>
      <c r="B623" s="30">
        <f t="shared" si="622"/>
        <v>5000</v>
      </c>
      <c r="C623" s="8">
        <v>25000</v>
      </c>
      <c r="D623" s="8">
        <v>0</v>
      </c>
      <c r="E623" s="8">
        <v>700</v>
      </c>
      <c r="F623" s="8">
        <v>15000</v>
      </c>
      <c r="G623" s="30">
        <f t="shared" si="623"/>
        <v>2400</v>
      </c>
      <c r="H623" s="8">
        <v>25000</v>
      </c>
      <c r="I623" s="30">
        <f t="shared" si="624"/>
        <v>5000</v>
      </c>
      <c r="J623" s="8">
        <v>25000</v>
      </c>
      <c r="K623" s="30">
        <f t="shared" si="625"/>
        <v>5000</v>
      </c>
      <c r="L623" s="8">
        <v>25000</v>
      </c>
      <c r="M623" s="9">
        <f>VLOOKUP(DATE(YEAR(A623),MONTH(A623),DAY(A623)),FY24_Temp[],4,FALSE)</f>
        <v>8.4</v>
      </c>
      <c r="N623" s="9">
        <f>VLOOKUP(DATE(YEAR(A623),MONTH(A623),DAY(A623)),FY24_Temp[],3,FALSE)</f>
        <v>12.8</v>
      </c>
      <c r="O623" s="9">
        <v>13.5</v>
      </c>
      <c r="P623" s="9">
        <v>19.5</v>
      </c>
      <c r="Q623" s="79">
        <f>VLOOKUP(VLOOKUP(DATEVALUE(TEXT(A623,"m/d/yyyy")),FY24_Temp[],5,FALSE)&amp;TEXT(A623,"-h"),Table6[],4,FALSE)</f>
        <v>3.1158571583884105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VLOOKUP(TEXT(A623,"yy-mm")&amp;"-"&amp;IF(AND(WEEKDAY(A623)&gt;1,WEEKDAY(A623)&lt;7),"Wkd",TEXT(A623,"Ddd"))&amp;"-"&amp;TEXT(A623,"hh"),LoadTable[],5,FALSE)*0.92</f>
        <v>494.57360000000006</v>
      </c>
      <c r="U623" s="104">
        <f>VLOOKUP(TEXT(A623,"yy-mm")&amp;"-"&amp;IF(AND(WEEKDAY(A623)&gt;1,WEEKDAY(A623)&lt;7),"Wkd",TEXT(A623,"Ddd"))&amp;"-"&amp;TEXT(A623,"hh"),LoadTable[],6,FALSE)*T623</f>
        <v>60532.346624800004</v>
      </c>
      <c r="V623">
        <f t="shared" ref="V623:W623" si="645">V599</f>
        <v>2.8</v>
      </c>
      <c r="W623">
        <f t="shared" si="645"/>
        <v>3.1</v>
      </c>
      <c r="X623" s="9">
        <v>3.2492391999999999</v>
      </c>
    </row>
    <row r="624" spans="1:24">
      <c r="A624" s="29">
        <f t="shared" si="598"/>
        <v>45861.874999998494</v>
      </c>
      <c r="B624" s="30">
        <f t="shared" si="622"/>
        <v>5000</v>
      </c>
      <c r="C624" s="8">
        <v>25000</v>
      </c>
      <c r="D624" s="8">
        <v>0</v>
      </c>
      <c r="E624" s="8">
        <v>700</v>
      </c>
      <c r="F624" s="8">
        <v>15000</v>
      </c>
      <c r="G624" s="30">
        <f t="shared" si="623"/>
        <v>2400</v>
      </c>
      <c r="H624" s="8">
        <v>25000</v>
      </c>
      <c r="I624" s="30">
        <f t="shared" si="624"/>
        <v>5000</v>
      </c>
      <c r="J624" s="8">
        <v>25000</v>
      </c>
      <c r="K624" s="30">
        <f t="shared" si="625"/>
        <v>5000</v>
      </c>
      <c r="L624" s="8">
        <v>25000</v>
      </c>
      <c r="M624" s="9">
        <f>VLOOKUP(DATE(YEAR(A624),MONTH(A624),DAY(A624)),FY24_Temp[],4,FALSE)</f>
        <v>8.4</v>
      </c>
      <c r="N624" s="9">
        <f>VLOOKUP(DATE(YEAR(A624),MONTH(A624),DAY(A624)),FY24_Temp[],3,FALSE)</f>
        <v>12.8</v>
      </c>
      <c r="O624" s="9">
        <v>13.5</v>
      </c>
      <c r="P624" s="9">
        <v>19.5</v>
      </c>
      <c r="Q624" s="79">
        <f>VLOOKUP(VLOOKUP(DATEVALUE(TEXT(A624,"m/d/yyyy")),FY24_Temp[],5,FALSE)&amp;TEXT(A624,"-h"),Table6[],4,FALSE)</f>
        <v>3.3202857630593434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VLOOKUP(TEXT(A624,"yy-mm")&amp;"-"&amp;IF(AND(WEEKDAY(A624)&gt;1,WEEKDAY(A624)&lt;7),"Wkd",TEXT(A624,"Ddd"))&amp;"-"&amp;TEXT(A624,"hh"),LoadTable[],5,FALSE)*0.92</f>
        <v>494.57360000000006</v>
      </c>
      <c r="U624" s="104">
        <f>VLOOKUP(TEXT(A624,"yy-mm")&amp;"-"&amp;IF(AND(WEEKDAY(A624)&gt;1,WEEKDAY(A624)&lt;7),"Wkd",TEXT(A624,"Ddd"))&amp;"-"&amp;TEXT(A624,"hh"),LoadTable[],6,FALSE)*T624</f>
        <v>58481.349905600007</v>
      </c>
      <c r="V624">
        <f t="shared" ref="V624:W624" si="646">V600</f>
        <v>3.5</v>
      </c>
      <c r="W624">
        <f t="shared" si="646"/>
        <v>3.1</v>
      </c>
      <c r="X624" s="9">
        <v>3.2285127999999998</v>
      </c>
    </row>
    <row r="625" spans="1:24">
      <c r="A625" s="29">
        <f t="shared" si="598"/>
        <v>45861.916666665158</v>
      </c>
      <c r="B625" s="30">
        <f t="shared" si="622"/>
        <v>5000</v>
      </c>
      <c r="C625" s="8">
        <v>25000</v>
      </c>
      <c r="D625" s="8">
        <v>0</v>
      </c>
      <c r="E625" s="8">
        <v>700</v>
      </c>
      <c r="F625" s="8">
        <v>15000</v>
      </c>
      <c r="G625" s="30">
        <f t="shared" si="623"/>
        <v>2400</v>
      </c>
      <c r="H625" s="8">
        <v>25000</v>
      </c>
      <c r="I625" s="30">
        <f t="shared" si="624"/>
        <v>5000</v>
      </c>
      <c r="J625" s="8">
        <v>25000</v>
      </c>
      <c r="K625" s="30">
        <f t="shared" si="625"/>
        <v>5000</v>
      </c>
      <c r="L625" s="8">
        <v>25000</v>
      </c>
      <c r="M625" s="9">
        <f>VLOOKUP(DATE(YEAR(A625),MONTH(A625),DAY(A625)),FY24_Temp[],4,FALSE)</f>
        <v>8.4</v>
      </c>
      <c r="N625" s="9">
        <f>VLOOKUP(DATE(YEAR(A625),MONTH(A625),DAY(A625)),FY24_Temp[],3,FALSE)</f>
        <v>12.8</v>
      </c>
      <c r="O625" s="9">
        <v>13.5</v>
      </c>
      <c r="P625" s="9">
        <v>19.5</v>
      </c>
      <c r="Q625" s="79">
        <f>VLOOKUP(VLOOKUP(DATEVALUE(TEXT(A625,"m/d/yyyy")),FY24_Temp[],5,FALSE)&amp;TEXT(A625,"-h"),Table6[],4,FALSE)</f>
        <v>3.2868570940835133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VLOOKUP(TEXT(A625,"yy-mm")&amp;"-"&amp;IF(AND(WEEKDAY(A625)&gt;1,WEEKDAY(A625)&lt;7),"Wkd",TEXT(A625,"Ddd"))&amp;"-"&amp;TEXT(A625,"hh"),LoadTable[],5,FALSE)*0.92</f>
        <v>418.75640000000004</v>
      </c>
      <c r="U625" s="104">
        <f>VLOOKUP(TEXT(A625,"yy-mm")&amp;"-"&amp;IF(AND(WEEKDAY(A625)&gt;1,WEEKDAY(A625)&lt;7),"Wkd",TEXT(A625,"Ddd"))&amp;"-"&amp;TEXT(A625,"hh"),LoadTable[],6,FALSE)*T625</f>
        <v>27547.889774000003</v>
      </c>
      <c r="V625">
        <f t="shared" ref="V625:W625" si="647">V601</f>
        <v>2.9</v>
      </c>
      <c r="W625">
        <f t="shared" si="647"/>
        <v>3.1</v>
      </c>
      <c r="X625" s="9">
        <v>3.1827182999999999</v>
      </c>
    </row>
    <row r="626" spans="1:24">
      <c r="A626" s="29">
        <f t="shared" si="598"/>
        <v>45861.958333331822</v>
      </c>
      <c r="B626" s="30">
        <f t="shared" si="622"/>
        <v>5000</v>
      </c>
      <c r="C626" s="8">
        <v>25000</v>
      </c>
      <c r="D626" s="8">
        <v>0</v>
      </c>
      <c r="E626" s="8">
        <v>700</v>
      </c>
      <c r="F626" s="8">
        <v>15000</v>
      </c>
      <c r="G626" s="30">
        <f t="shared" si="623"/>
        <v>2400</v>
      </c>
      <c r="H626" s="8">
        <v>25000</v>
      </c>
      <c r="I626" s="30">
        <f t="shared" si="624"/>
        <v>5000</v>
      </c>
      <c r="J626" s="8">
        <v>25000</v>
      </c>
      <c r="K626" s="30">
        <f t="shared" si="625"/>
        <v>5000</v>
      </c>
      <c r="L626" s="8">
        <v>25000</v>
      </c>
      <c r="M626" s="9">
        <f>VLOOKUP(DATE(YEAR(A626),MONTH(A626),DAY(A626)),FY24_Temp[],4,FALSE)</f>
        <v>8.4</v>
      </c>
      <c r="N626" s="9">
        <f>VLOOKUP(DATE(YEAR(A626),MONTH(A626),DAY(A626)),FY24_Temp[],3,FALSE)</f>
        <v>12.8</v>
      </c>
      <c r="O626" s="9">
        <v>13.5</v>
      </c>
      <c r="P626" s="9">
        <v>19.5</v>
      </c>
      <c r="Q626" s="79">
        <f>VLOOKUP(VLOOKUP(DATEVALUE(TEXT(A626,"m/d/yyyy")),FY24_Temp[],5,FALSE)&amp;TEXT(A626,"-h"),Table6[],4,FALSE)</f>
        <v>3.1470000062670027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VLOOKUP(TEXT(A626,"yy-mm")&amp;"-"&amp;IF(AND(WEEKDAY(A626)&gt;1,WEEKDAY(A626)&lt;7),"Wkd",TEXT(A626,"Ddd"))&amp;"-"&amp;TEXT(A626,"hh"),LoadTable[],5,FALSE)*0.92</f>
        <v>342.93920000000003</v>
      </c>
      <c r="U626" s="104">
        <f>VLOOKUP(TEXT(A626,"yy-mm")&amp;"-"&amp;IF(AND(WEEKDAY(A626)&gt;1,WEEKDAY(A626)&lt;7),"Wkd",TEXT(A626,"Ddd"))&amp;"-"&amp;TEXT(A626,"hh"),LoadTable[],6,FALSE)*T626</f>
        <v>19873.669579200003</v>
      </c>
      <c r="V626">
        <f t="shared" ref="V626:W626" si="648">V602</f>
        <v>3.6</v>
      </c>
      <c r="W626">
        <f t="shared" si="648"/>
        <v>3.1</v>
      </c>
      <c r="X626" s="9">
        <v>3.1073455999999999</v>
      </c>
    </row>
    <row r="627" spans="1:24">
      <c r="A627" s="29">
        <f t="shared" si="598"/>
        <v>45861.999999998487</v>
      </c>
      <c r="B627" s="30">
        <f t="shared" si="622"/>
        <v>5000</v>
      </c>
      <c r="C627" s="8">
        <v>25000</v>
      </c>
      <c r="D627" s="8">
        <v>0</v>
      </c>
      <c r="E627" s="8">
        <v>700</v>
      </c>
      <c r="F627" s="8">
        <v>15000</v>
      </c>
      <c r="G627" s="30">
        <f t="shared" si="623"/>
        <v>2400</v>
      </c>
      <c r="H627" s="8">
        <v>25000</v>
      </c>
      <c r="I627" s="30">
        <f t="shared" si="624"/>
        <v>5000</v>
      </c>
      <c r="J627" s="8">
        <v>25000</v>
      </c>
      <c r="K627" s="30">
        <f t="shared" si="625"/>
        <v>5000</v>
      </c>
      <c r="L627" s="8">
        <v>25000</v>
      </c>
      <c r="M627" s="9">
        <f>VLOOKUP(DATE(YEAR(A627),MONTH(A627),DAY(A627)),FY24_Temp[],4,FALSE)</f>
        <v>8.4</v>
      </c>
      <c r="N627" s="9">
        <f>VLOOKUP(DATE(YEAR(A627),MONTH(A627),DAY(A627)),FY24_Temp[],3,FALSE)</f>
        <v>12.8</v>
      </c>
      <c r="O627" s="9">
        <v>13.5</v>
      </c>
      <c r="P627" s="9">
        <v>19.5</v>
      </c>
      <c r="Q627" s="79">
        <f>VLOOKUP(VLOOKUP(DATEVALUE(TEXT(A627,"m/d/yyyy")),FY24_Temp[],5,FALSE)&amp;TEXT(A627,"-h"),Table6[],4,FALSE)</f>
        <v>2.990142822265625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VLOOKUP(TEXT(A627,"yy-mm")&amp;"-"&amp;IF(AND(WEEKDAY(A627)&gt;1,WEEKDAY(A627)&lt;7),"Wkd",TEXT(A627,"Ddd"))&amp;"-"&amp;TEXT(A627,"hh"),LoadTable[],5,FALSE)*0.92</f>
        <v>279.25312000000002</v>
      </c>
      <c r="U627" s="104">
        <f>VLOOKUP(TEXT(A627,"yy-mm")&amp;"-"&amp;IF(AND(WEEKDAY(A627)&gt;1,WEEKDAY(A627)&lt;7),"Wkd",TEXT(A627,"Ddd"))&amp;"-"&amp;TEXT(A627,"hh"),LoadTable[],6,FALSE)*T627</f>
        <v>14895.640673920001</v>
      </c>
      <c r="V627">
        <f t="shared" ref="V627:W627" si="649">V603</f>
        <v>3</v>
      </c>
      <c r="W627">
        <f t="shared" si="649"/>
        <v>3.2</v>
      </c>
      <c r="X627" s="9">
        <v>3.0372998999999998</v>
      </c>
    </row>
    <row r="628" spans="1:24">
      <c r="A628" s="29">
        <f t="shared" si="598"/>
        <v>45862.041666665151</v>
      </c>
      <c r="B628" s="30">
        <f t="shared" si="622"/>
        <v>5000</v>
      </c>
      <c r="C628" s="8">
        <v>25000</v>
      </c>
      <c r="D628" s="8">
        <v>0</v>
      </c>
      <c r="E628" s="8">
        <v>700</v>
      </c>
      <c r="F628" s="8">
        <v>15000</v>
      </c>
      <c r="G628" s="30">
        <f t="shared" si="623"/>
        <v>2400</v>
      </c>
      <c r="H628" s="8">
        <v>25000</v>
      </c>
      <c r="I628" s="30">
        <f t="shared" si="624"/>
        <v>5000</v>
      </c>
      <c r="J628" s="8">
        <v>25000</v>
      </c>
      <c r="K628" s="30">
        <f t="shared" si="625"/>
        <v>5000</v>
      </c>
      <c r="L628" s="8">
        <v>25000</v>
      </c>
      <c r="M628" s="9">
        <f>VLOOKUP(DATE(YEAR(A628),MONTH(A628),DAY(A628)),FY24_Temp[],4,FALSE)</f>
        <v>8.4</v>
      </c>
      <c r="N628" s="9">
        <f>VLOOKUP(DATE(YEAR(A628),MONTH(A628),DAY(A628)),FY24_Temp[],3,FALSE)</f>
        <v>12.8</v>
      </c>
      <c r="O628" s="9">
        <v>13.5</v>
      </c>
      <c r="P628" s="9">
        <v>19.5</v>
      </c>
      <c r="Q628" s="79">
        <f>VLOOKUP(VLOOKUP(DATEVALUE(TEXT(A628,"m/d/yyyy")),FY24_Temp[],5,FALSE)&amp;TEXT(A628,"-h"),Table6[],4,FALSE)</f>
        <v>2.8801428590502058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VLOOKUP(TEXT(A628,"yy-mm")&amp;"-"&amp;IF(AND(WEEKDAY(A628)&gt;1,WEEKDAY(A628)&lt;7),"Wkd",TEXT(A628,"Ddd"))&amp;"-"&amp;TEXT(A628,"hh"),LoadTable[],5,FALSE)*0.92</f>
        <v>279.25312000000002</v>
      </c>
      <c r="U628" s="104">
        <f>VLOOKUP(TEXT(A628,"yy-mm")&amp;"-"&amp;IF(AND(WEEKDAY(A628)&gt;1,WEEKDAY(A628)&lt;7),"Wkd",TEXT(A628,"Ddd"))&amp;"-"&amp;TEXT(A628,"hh"),LoadTable[],6,FALSE)*T628</f>
        <v>14470.896678400002</v>
      </c>
      <c r="V628">
        <f t="shared" ref="V628:W628" si="650">V604</f>
        <v>2.6</v>
      </c>
      <c r="W628">
        <f t="shared" si="650"/>
        <v>3.2</v>
      </c>
      <c r="X628" s="9">
        <v>3.0525186</v>
      </c>
    </row>
    <row r="629" spans="1:24">
      <c r="A629" s="29">
        <f t="shared" si="598"/>
        <v>45862.083333331815</v>
      </c>
      <c r="B629" s="30">
        <f t="shared" si="622"/>
        <v>5000</v>
      </c>
      <c r="C629" s="8">
        <v>25000</v>
      </c>
      <c r="D629" s="8">
        <v>0</v>
      </c>
      <c r="E629" s="8">
        <v>700</v>
      </c>
      <c r="F629" s="8">
        <v>15000</v>
      </c>
      <c r="G629" s="30">
        <f t="shared" si="623"/>
        <v>2400</v>
      </c>
      <c r="H629" s="8">
        <v>25000</v>
      </c>
      <c r="I629" s="30">
        <f t="shared" si="624"/>
        <v>5000</v>
      </c>
      <c r="J629" s="8">
        <v>25000</v>
      </c>
      <c r="K629" s="30">
        <f t="shared" si="625"/>
        <v>5000</v>
      </c>
      <c r="L629" s="8">
        <v>25000</v>
      </c>
      <c r="M629" s="9">
        <f>VLOOKUP(DATE(YEAR(A629),MONTH(A629),DAY(A629)),FY24_Temp[],4,FALSE)</f>
        <v>8.4</v>
      </c>
      <c r="N629" s="9">
        <f>VLOOKUP(DATE(YEAR(A629),MONTH(A629),DAY(A629)),FY24_Temp[],3,FALSE)</f>
        <v>12.8</v>
      </c>
      <c r="O629" s="9">
        <v>13.5</v>
      </c>
      <c r="P629" s="9">
        <v>19.5</v>
      </c>
      <c r="Q629" s="79">
        <f>VLOOKUP(VLOOKUP(DATEVALUE(TEXT(A629,"m/d/yyyy")),FY24_Temp[],5,FALSE)&amp;TEXT(A629,"-h"),Table6[],4,FALSE)</f>
        <v>2.7695714065006802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VLOOKUP(TEXT(A629,"yy-mm")&amp;"-"&amp;IF(AND(WEEKDAY(A629)&gt;1,WEEKDAY(A629)&lt;7),"Wkd",TEXT(A629,"Ddd"))&amp;"-"&amp;TEXT(A629,"hh"),LoadTable[],5,FALSE)*0.92</f>
        <v>279.25312000000002</v>
      </c>
      <c r="U629" s="104">
        <f>VLOOKUP(TEXT(A629,"yy-mm")&amp;"-"&amp;IF(AND(WEEKDAY(A629)&gt;1,WEEKDAY(A629)&lt;7),"Wkd",TEXT(A629,"Ddd"))&amp;"-"&amp;TEXT(A629,"hh"),LoadTable[],6,FALSE)*T629</f>
        <v>14154.50289344</v>
      </c>
      <c r="V629">
        <f t="shared" ref="V629:W629" si="651">V605</f>
        <v>2.8</v>
      </c>
      <c r="W629">
        <f t="shared" si="651"/>
        <v>3.2</v>
      </c>
      <c r="X629" s="9">
        <v>3.0989428000000001</v>
      </c>
    </row>
    <row r="630" spans="1:24">
      <c r="A630" s="29">
        <f t="shared" si="598"/>
        <v>45862.124999998479</v>
      </c>
      <c r="B630" s="30">
        <f t="shared" si="622"/>
        <v>5000</v>
      </c>
      <c r="C630" s="8">
        <v>25000</v>
      </c>
      <c r="D630" s="8">
        <v>0</v>
      </c>
      <c r="E630" s="8">
        <v>700</v>
      </c>
      <c r="F630" s="8">
        <v>15000</v>
      </c>
      <c r="G630" s="30">
        <f t="shared" si="623"/>
        <v>2400</v>
      </c>
      <c r="H630" s="8">
        <v>25000</v>
      </c>
      <c r="I630" s="30">
        <f t="shared" si="624"/>
        <v>5000</v>
      </c>
      <c r="J630" s="8">
        <v>25000</v>
      </c>
      <c r="K630" s="30">
        <f t="shared" si="625"/>
        <v>5000</v>
      </c>
      <c r="L630" s="8">
        <v>25000</v>
      </c>
      <c r="M630" s="9">
        <f>VLOOKUP(DATE(YEAR(A630),MONTH(A630),DAY(A630)),FY24_Temp[],4,FALSE)</f>
        <v>8.4</v>
      </c>
      <c r="N630" s="9">
        <f>VLOOKUP(DATE(YEAR(A630),MONTH(A630),DAY(A630)),FY24_Temp[],3,FALSE)</f>
        <v>12.8</v>
      </c>
      <c r="O630" s="9">
        <v>13.5</v>
      </c>
      <c r="P630" s="9">
        <v>19.5</v>
      </c>
      <c r="Q630" s="79">
        <f>VLOOKUP(VLOOKUP(DATEVALUE(TEXT(A630,"m/d/yyyy")),FY24_Temp[],5,FALSE)&amp;TEXT(A630,"-h"),Table6[],4,FALSE)</f>
        <v>2.65728565624782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VLOOKUP(TEXT(A630,"yy-mm")&amp;"-"&amp;IF(AND(WEEKDAY(A630)&gt;1,WEEKDAY(A630)&lt;7),"Wkd",TEXT(A630,"Ddd"))&amp;"-"&amp;TEXT(A630,"hh"),LoadTable[],5,FALSE)*0.92</f>
        <v>279.25312000000002</v>
      </c>
      <c r="U630" s="104">
        <f>VLOOKUP(TEXT(A630,"yy-mm")&amp;"-"&amp;IF(AND(WEEKDAY(A630)&gt;1,WEEKDAY(A630)&lt;7),"Wkd",TEXT(A630,"Ddd"))&amp;"-"&amp;TEXT(A630,"hh"),LoadTable[],6,FALSE)*T630</f>
        <v>14206.443973760001</v>
      </c>
      <c r="V630">
        <f t="shared" ref="V630:W630" si="652">V606</f>
        <v>2.7</v>
      </c>
      <c r="W630">
        <f t="shared" si="652"/>
        <v>3.2</v>
      </c>
      <c r="X630" s="9">
        <v>3.1649503999999999</v>
      </c>
    </row>
    <row r="631" spans="1:24">
      <c r="A631" s="29">
        <f t="shared" si="598"/>
        <v>45862.166666665144</v>
      </c>
      <c r="B631" s="30">
        <f t="shared" si="622"/>
        <v>5000</v>
      </c>
      <c r="C631" s="8">
        <v>25000</v>
      </c>
      <c r="D631" s="8">
        <v>0</v>
      </c>
      <c r="E631" s="8">
        <v>700</v>
      </c>
      <c r="F631" s="8">
        <v>15000</v>
      </c>
      <c r="G631" s="30">
        <f t="shared" si="623"/>
        <v>2400</v>
      </c>
      <c r="H631" s="8">
        <v>25000</v>
      </c>
      <c r="I631" s="30">
        <f t="shared" si="624"/>
        <v>5000</v>
      </c>
      <c r="J631" s="8">
        <v>25000</v>
      </c>
      <c r="K631" s="30">
        <f t="shared" si="625"/>
        <v>5000</v>
      </c>
      <c r="L631" s="8">
        <v>25000</v>
      </c>
      <c r="M631" s="9">
        <f>VLOOKUP(DATE(YEAR(A631),MONTH(A631),DAY(A631)),FY24_Temp[],4,FALSE)</f>
        <v>8.4</v>
      </c>
      <c r="N631" s="9">
        <f>VLOOKUP(DATE(YEAR(A631),MONTH(A631),DAY(A631)),FY24_Temp[],3,FALSE)</f>
        <v>12.8</v>
      </c>
      <c r="O631" s="9">
        <v>13.5</v>
      </c>
      <c r="P631" s="9">
        <v>19.5</v>
      </c>
      <c r="Q631" s="79">
        <f>VLOOKUP(VLOOKUP(DATEVALUE(TEXT(A631,"m/d/yyyy")),FY24_Temp[],5,FALSE)&amp;TEXT(A631,"-h"),Table6[],4,FALSE)</f>
        <v>2.4975714342934743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VLOOKUP(TEXT(A631,"yy-mm")&amp;"-"&amp;IF(AND(WEEKDAY(A631)&gt;1,WEEKDAY(A631)&lt;7),"Wkd",TEXT(A631,"Ddd"))&amp;"-"&amp;TEXT(A631,"hh"),LoadTable[],5,FALSE)*0.92</f>
        <v>279.25312000000002</v>
      </c>
      <c r="U631" s="104">
        <f>VLOOKUP(TEXT(A631,"yy-mm")&amp;"-"&amp;IF(AND(WEEKDAY(A631)&gt;1,WEEKDAY(A631)&lt;7),"Wkd",TEXT(A631,"Ddd"))&amp;"-"&amp;TEXT(A631,"hh"),LoadTable[],6,FALSE)*T631</f>
        <v>14229.063476480002</v>
      </c>
      <c r="V631">
        <f t="shared" ref="V631:W631" si="653">V607</f>
        <v>3</v>
      </c>
      <c r="W631">
        <f t="shared" si="653"/>
        <v>3.1</v>
      </c>
      <c r="X631" s="9">
        <v>3.191195</v>
      </c>
    </row>
    <row r="632" spans="1:24">
      <c r="A632" s="29">
        <f t="shared" si="598"/>
        <v>45862.208333331808</v>
      </c>
      <c r="B632" s="30">
        <f t="shared" si="622"/>
        <v>5000</v>
      </c>
      <c r="C632" s="8">
        <v>25000</v>
      </c>
      <c r="D632" s="8">
        <v>0</v>
      </c>
      <c r="E632" s="8">
        <v>700</v>
      </c>
      <c r="F632" s="8">
        <v>15000</v>
      </c>
      <c r="G632" s="30">
        <f t="shared" si="623"/>
        <v>2400</v>
      </c>
      <c r="H632" s="8">
        <v>25000</v>
      </c>
      <c r="I632" s="30">
        <f t="shared" si="624"/>
        <v>5000</v>
      </c>
      <c r="J632" s="8">
        <v>25000</v>
      </c>
      <c r="K632" s="30">
        <f t="shared" si="625"/>
        <v>5000</v>
      </c>
      <c r="L632" s="8">
        <v>25000</v>
      </c>
      <c r="M632" s="9">
        <f>VLOOKUP(DATE(YEAR(A632),MONTH(A632),DAY(A632)),FY24_Temp[],4,FALSE)</f>
        <v>8.4</v>
      </c>
      <c r="N632" s="9">
        <f>VLOOKUP(DATE(YEAR(A632),MONTH(A632),DAY(A632)),FY24_Temp[],3,FALSE)</f>
        <v>12.8</v>
      </c>
      <c r="O632" s="9">
        <v>13.5</v>
      </c>
      <c r="P632" s="9">
        <v>19.5</v>
      </c>
      <c r="Q632" s="79">
        <f>VLOOKUP(VLOOKUP(DATEVALUE(TEXT(A632,"m/d/yyyy")),FY24_Temp[],5,FALSE)&amp;TEXT(A632,"-h"),Table6[],4,FALSE)</f>
        <v>2.3462857518877303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VLOOKUP(TEXT(A632,"yy-mm")&amp;"-"&amp;IF(AND(WEEKDAY(A632)&gt;1,WEEKDAY(A632)&lt;7),"Wkd",TEXT(A632,"Ddd"))&amp;"-"&amp;TEXT(A632,"hh"),LoadTable[],5,FALSE)*0.92</f>
        <v>279.25312000000002</v>
      </c>
      <c r="U632" s="104">
        <f>VLOOKUP(TEXT(A632,"yy-mm")&amp;"-"&amp;IF(AND(WEEKDAY(A632)&gt;1,WEEKDAY(A632)&lt;7),"Wkd",TEXT(A632,"Ddd"))&amp;"-"&amp;TEXT(A632,"hh"),LoadTable[],6,FALSE)*T632</f>
        <v>14735.070129920001</v>
      </c>
      <c r="V632">
        <f t="shared" ref="V632:W632" si="654">V608</f>
        <v>2.9</v>
      </c>
      <c r="W632">
        <f t="shared" si="654"/>
        <v>3.1</v>
      </c>
      <c r="X632" s="9">
        <v>3.2521024000000001</v>
      </c>
    </row>
    <row r="633" spans="1:24">
      <c r="A633" s="29">
        <f t="shared" si="598"/>
        <v>45862.249999998472</v>
      </c>
      <c r="B633" s="30">
        <f t="shared" si="622"/>
        <v>8000</v>
      </c>
      <c r="C633" s="8">
        <v>25000</v>
      </c>
      <c r="D633" s="8">
        <v>0</v>
      </c>
      <c r="E633" s="8">
        <v>700</v>
      </c>
      <c r="F633" s="8">
        <v>15000</v>
      </c>
      <c r="G633" s="30">
        <f t="shared" si="623"/>
        <v>2400</v>
      </c>
      <c r="H633" s="8">
        <v>25000</v>
      </c>
      <c r="I633" s="30">
        <f t="shared" si="624"/>
        <v>8000</v>
      </c>
      <c r="J633" s="8">
        <v>25000</v>
      </c>
      <c r="K633" s="30">
        <f t="shared" si="625"/>
        <v>8000</v>
      </c>
      <c r="L633" s="8">
        <v>25000</v>
      </c>
      <c r="M633" s="9">
        <f>VLOOKUP(DATE(YEAR(A633),MONTH(A633),DAY(A633)),FY24_Temp[],4,FALSE)</f>
        <v>8.4</v>
      </c>
      <c r="N633" s="9">
        <f>VLOOKUP(DATE(YEAR(A633),MONTH(A633),DAY(A633)),FY24_Temp[],3,FALSE)</f>
        <v>12.8</v>
      </c>
      <c r="O633" s="9">
        <v>13.5</v>
      </c>
      <c r="P633" s="9">
        <v>19.5</v>
      </c>
      <c r="Q633" s="79">
        <f>VLOOKUP(VLOOKUP(DATEVALUE(TEXT(A633,"m/d/yyyy")),FY24_Temp[],5,FALSE)&amp;TEXT(A633,"-h"),Table6[],4,FALSE)</f>
        <v>2.2328571251460483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VLOOKUP(TEXT(A633,"yy-mm")&amp;"-"&amp;IF(AND(WEEKDAY(A633)&gt;1,WEEKDAY(A633)&lt;7),"Wkd",TEXT(A633,"Ddd"))&amp;"-"&amp;TEXT(A633,"hh"),LoadTable[],5,FALSE)*0.92</f>
        <v>279.25312000000002</v>
      </c>
      <c r="U633" s="104">
        <f>VLOOKUP(TEXT(A633,"yy-mm")&amp;"-"&amp;IF(AND(WEEKDAY(A633)&gt;1,WEEKDAY(A633)&lt;7),"Wkd",TEXT(A633,"Ddd"))&amp;"-"&amp;TEXT(A633,"hh"),LoadTable[],6,FALSE)*T633</f>
        <v>26238.902408320002</v>
      </c>
      <c r="V633">
        <f t="shared" ref="V633:W633" si="655">V609</f>
        <v>2.5</v>
      </c>
      <c r="W633">
        <f t="shared" si="655"/>
        <v>3.1</v>
      </c>
      <c r="X633" s="9">
        <v>3.3424632999999999</v>
      </c>
    </row>
    <row r="634" spans="1:24">
      <c r="A634" s="29">
        <f t="shared" si="598"/>
        <v>45862.291666665136</v>
      </c>
      <c r="B634" s="30">
        <f t="shared" si="622"/>
        <v>8000</v>
      </c>
      <c r="C634" s="8">
        <v>25000</v>
      </c>
      <c r="D634" s="8">
        <v>0</v>
      </c>
      <c r="E634" s="8">
        <v>700</v>
      </c>
      <c r="F634" s="8">
        <v>15000</v>
      </c>
      <c r="G634" s="30">
        <f t="shared" si="623"/>
        <v>2400</v>
      </c>
      <c r="H634" s="8">
        <v>25000</v>
      </c>
      <c r="I634" s="30">
        <f t="shared" si="624"/>
        <v>8000</v>
      </c>
      <c r="J634" s="8">
        <v>25000</v>
      </c>
      <c r="K634" s="30">
        <f t="shared" si="625"/>
        <v>8000</v>
      </c>
      <c r="L634" s="8">
        <v>25000</v>
      </c>
      <c r="M634" s="9">
        <f>VLOOKUP(DATE(YEAR(A634),MONTH(A634),DAY(A634)),FY24_Temp[],4,FALSE)</f>
        <v>8.4</v>
      </c>
      <c r="N634" s="9">
        <f>VLOOKUP(DATE(YEAR(A634),MONTH(A634),DAY(A634)),FY24_Temp[],3,FALSE)</f>
        <v>12.8</v>
      </c>
      <c r="O634" s="9">
        <v>13.5</v>
      </c>
      <c r="P634" s="9">
        <v>19.5</v>
      </c>
      <c r="Q634" s="79">
        <f>VLOOKUP(VLOOKUP(DATEVALUE(TEXT(A634,"m/d/yyyy")),FY24_Temp[],5,FALSE)&amp;TEXT(A634,"-h"),Table6[],4,FALSE)</f>
        <v>2.127857106072562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VLOOKUP(TEXT(A634,"yy-mm")&amp;"-"&amp;IF(AND(WEEKDAY(A634)&gt;1,WEEKDAY(A634)&lt;7),"Wkd",TEXT(A634,"Ddd"))&amp;"-"&amp;TEXT(A634,"hh"),LoadTable[],5,FALSE)*0.92</f>
        <v>279.25312000000002</v>
      </c>
      <c r="U634" s="104">
        <f>VLOOKUP(TEXT(A634,"yy-mm")&amp;"-"&amp;IF(AND(WEEKDAY(A634)&gt;1,WEEKDAY(A634)&lt;7),"Wkd",TEXT(A634,"Ddd"))&amp;"-"&amp;TEXT(A634,"hh"),LoadTable[],6,FALSE)*T634</f>
        <v>22145.051669120003</v>
      </c>
      <c r="V634">
        <f t="shared" ref="V634:W634" si="656">V610</f>
        <v>2.5</v>
      </c>
      <c r="W634">
        <f t="shared" si="656"/>
        <v>3.1</v>
      </c>
      <c r="X634" s="9">
        <v>3.3354930999999999</v>
      </c>
    </row>
    <row r="635" spans="1:24">
      <c r="A635" s="29">
        <f t="shared" si="598"/>
        <v>45862.333333331801</v>
      </c>
      <c r="B635" s="30">
        <f t="shared" si="622"/>
        <v>8000</v>
      </c>
      <c r="C635" s="8">
        <v>25000</v>
      </c>
      <c r="D635" s="8">
        <v>0</v>
      </c>
      <c r="E635" s="8">
        <v>700</v>
      </c>
      <c r="F635" s="8">
        <v>15000</v>
      </c>
      <c r="G635" s="30">
        <f t="shared" si="623"/>
        <v>2400</v>
      </c>
      <c r="H635" s="8">
        <v>25000</v>
      </c>
      <c r="I635" s="30">
        <f t="shared" si="624"/>
        <v>8000</v>
      </c>
      <c r="J635" s="8">
        <v>25000</v>
      </c>
      <c r="K635" s="30">
        <f t="shared" si="625"/>
        <v>8000</v>
      </c>
      <c r="L635" s="8">
        <v>25000</v>
      </c>
      <c r="M635" s="9">
        <f>VLOOKUP(DATE(YEAR(A635),MONTH(A635),DAY(A635)),FY24_Temp[],4,FALSE)</f>
        <v>8.4</v>
      </c>
      <c r="N635" s="9">
        <f>VLOOKUP(DATE(YEAR(A635),MONTH(A635),DAY(A635)),FY24_Temp[],3,FALSE)</f>
        <v>12.8</v>
      </c>
      <c r="O635" s="9">
        <v>13.5</v>
      </c>
      <c r="P635" s="9">
        <v>19.5</v>
      </c>
      <c r="Q635" s="79">
        <f>VLOOKUP(VLOOKUP(DATEVALUE(TEXT(A635,"m/d/yyyy")),FY24_Temp[],5,FALSE)&amp;TEXT(A635,"-h"),Table6[],4,FALSE)</f>
        <v>2.00528575692858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VLOOKUP(TEXT(A635,"yy-mm")&amp;"-"&amp;IF(AND(WEEKDAY(A635)&gt;1,WEEKDAY(A635)&lt;7),"Wkd",TEXT(A635,"Ddd"))&amp;"-"&amp;TEXT(A635,"hh"),LoadTable[],5,FALSE)*0.92</f>
        <v>279.25312000000002</v>
      </c>
      <c r="U635" s="104">
        <f>VLOOKUP(TEXT(A635,"yy-mm")&amp;"-"&amp;IF(AND(WEEKDAY(A635)&gt;1,WEEKDAY(A635)&lt;7),"Wkd",TEXT(A635,"Ddd"))&amp;"-"&amp;TEXT(A635,"hh"),LoadTable[],6,FALSE)*T635</f>
        <v>17686.77560832</v>
      </c>
      <c r="V635">
        <f t="shared" ref="V635:W635" si="657">V611</f>
        <v>3.2</v>
      </c>
      <c r="W635">
        <f t="shared" si="657"/>
        <v>3</v>
      </c>
      <c r="X635" s="9">
        <v>3.4117069</v>
      </c>
    </row>
    <row r="636" spans="1:24">
      <c r="A636" s="29">
        <f t="shared" si="598"/>
        <v>45862.374999998465</v>
      </c>
      <c r="B636" s="30">
        <f t="shared" si="622"/>
        <v>8000</v>
      </c>
      <c r="C636" s="8">
        <v>25000</v>
      </c>
      <c r="D636" s="8">
        <v>0</v>
      </c>
      <c r="E636" s="8">
        <v>700</v>
      </c>
      <c r="F636" s="8">
        <v>15000</v>
      </c>
      <c r="G636" s="30">
        <f t="shared" si="623"/>
        <v>2400</v>
      </c>
      <c r="H636" s="8">
        <v>25000</v>
      </c>
      <c r="I636" s="30">
        <f t="shared" si="624"/>
        <v>8000</v>
      </c>
      <c r="J636" s="8">
        <v>25000</v>
      </c>
      <c r="K636" s="30">
        <f t="shared" si="625"/>
        <v>8000</v>
      </c>
      <c r="L636" s="8">
        <v>25000</v>
      </c>
      <c r="M636" s="9">
        <f>VLOOKUP(DATE(YEAR(A636),MONTH(A636),DAY(A636)),FY24_Temp[],4,FALSE)</f>
        <v>8.4</v>
      </c>
      <c r="N636" s="9">
        <f>VLOOKUP(DATE(YEAR(A636),MONTH(A636),DAY(A636)),FY24_Temp[],3,FALSE)</f>
        <v>12.8</v>
      </c>
      <c r="O636" s="9">
        <v>13.5</v>
      </c>
      <c r="P636" s="9">
        <v>19.5</v>
      </c>
      <c r="Q636" s="79">
        <f>VLOOKUP(VLOOKUP(DATEVALUE(TEXT(A636,"m/d/yyyy")),FY24_Temp[],5,FALSE)&amp;TEXT(A636,"-h"),Table6[],4,FALSE)</f>
        <v>1.90142856325422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VLOOKUP(TEXT(A636,"yy-mm")&amp;"-"&amp;IF(AND(WEEKDAY(A636)&gt;1,WEEKDAY(A636)&lt;7),"Wkd",TEXT(A636,"Ddd"))&amp;"-"&amp;TEXT(A636,"hh"),LoadTable[],5,FALSE)*0.92</f>
        <v>279.25312000000002</v>
      </c>
      <c r="U636" s="104">
        <f>VLOOKUP(TEXT(A636,"yy-mm")&amp;"-"&amp;IF(AND(WEEKDAY(A636)&gt;1,WEEKDAY(A636)&lt;7),"Wkd",TEXT(A636,"Ddd"))&amp;"-"&amp;TEXT(A636,"hh"),LoadTable[],6,FALSE)*T636</f>
        <v>14265.924888320002</v>
      </c>
      <c r="V636">
        <f t="shared" ref="V636:W636" si="658">V612</f>
        <v>2.9</v>
      </c>
      <c r="W636">
        <f t="shared" si="658"/>
        <v>3</v>
      </c>
      <c r="X636" s="9">
        <v>3.5161712000000001</v>
      </c>
    </row>
    <row r="637" spans="1:24">
      <c r="A637" s="29">
        <f t="shared" si="598"/>
        <v>45862.416666665129</v>
      </c>
      <c r="B637" s="30">
        <f t="shared" si="622"/>
        <v>8000</v>
      </c>
      <c r="C637" s="8">
        <v>25000</v>
      </c>
      <c r="D637" s="8">
        <v>0</v>
      </c>
      <c r="E637" s="8">
        <v>700</v>
      </c>
      <c r="F637" s="8">
        <v>15000</v>
      </c>
      <c r="G637" s="30">
        <f t="shared" si="623"/>
        <v>2400</v>
      </c>
      <c r="H637" s="8">
        <v>25000</v>
      </c>
      <c r="I637" s="30">
        <f t="shared" si="624"/>
        <v>8000</v>
      </c>
      <c r="J637" s="8">
        <v>25000</v>
      </c>
      <c r="K637" s="30">
        <f t="shared" si="625"/>
        <v>8000</v>
      </c>
      <c r="L637" s="8">
        <v>25000</v>
      </c>
      <c r="M637" s="9">
        <f>VLOOKUP(DATE(YEAR(A637),MONTH(A637),DAY(A637)),FY24_Temp[],4,FALSE)</f>
        <v>8.4</v>
      </c>
      <c r="N637" s="9">
        <f>VLOOKUP(DATE(YEAR(A637),MONTH(A637),DAY(A637)),FY24_Temp[],3,FALSE)</f>
        <v>12.8</v>
      </c>
      <c r="O637" s="9">
        <v>13.5</v>
      </c>
      <c r="P637" s="9">
        <v>19.5</v>
      </c>
      <c r="Q637" s="79">
        <f>VLOOKUP(VLOOKUP(DATEVALUE(TEXT(A637,"m/d/yyyy")),FY24_Temp[],5,FALSE)&amp;TEXT(A637,"-h"),Table6[],4,FALSE)</f>
        <v>1.8012857096535819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VLOOKUP(TEXT(A637,"yy-mm")&amp;"-"&amp;IF(AND(WEEKDAY(A637)&gt;1,WEEKDAY(A637)&lt;7),"Wkd",TEXT(A637,"Ddd"))&amp;"-"&amp;TEXT(A637,"hh"),LoadTable[],5,FALSE)*0.92</f>
        <v>279.25312000000002</v>
      </c>
      <c r="U637" s="104">
        <f>VLOOKUP(TEXT(A637,"yy-mm")&amp;"-"&amp;IF(AND(WEEKDAY(A637)&gt;1,WEEKDAY(A637)&lt;7),"Wkd",TEXT(A637,"Ddd"))&amp;"-"&amp;TEXT(A637,"hh"),LoadTable[],6,FALSE)*T637</f>
        <v>13649.054746240003</v>
      </c>
      <c r="V637">
        <f t="shared" ref="V637:W637" si="659">V613</f>
        <v>2.9</v>
      </c>
      <c r="W637">
        <f t="shared" si="659"/>
        <v>3</v>
      </c>
      <c r="X637" s="9">
        <v>3.4835150000000001</v>
      </c>
    </row>
    <row r="638" spans="1:24">
      <c r="A638" s="29">
        <f t="shared" si="598"/>
        <v>45862.458333331793</v>
      </c>
      <c r="B638" s="30">
        <f t="shared" si="622"/>
        <v>8000</v>
      </c>
      <c r="C638" s="8">
        <v>25000</v>
      </c>
      <c r="D638" s="8">
        <v>0</v>
      </c>
      <c r="E638" s="8">
        <v>700</v>
      </c>
      <c r="F638" s="8">
        <v>15000</v>
      </c>
      <c r="G638" s="30">
        <f t="shared" si="623"/>
        <v>2400</v>
      </c>
      <c r="H638" s="8">
        <v>25000</v>
      </c>
      <c r="I638" s="30">
        <f t="shared" si="624"/>
        <v>8000</v>
      </c>
      <c r="J638" s="8">
        <v>25000</v>
      </c>
      <c r="K638" s="30">
        <f t="shared" si="625"/>
        <v>8000</v>
      </c>
      <c r="L638" s="8">
        <v>25000</v>
      </c>
      <c r="M638" s="9">
        <f>VLOOKUP(DATE(YEAR(A638),MONTH(A638),DAY(A638)),FY24_Temp[],4,FALSE)</f>
        <v>8.4</v>
      </c>
      <c r="N638" s="9">
        <f>VLOOKUP(DATE(YEAR(A638),MONTH(A638),DAY(A638)),FY24_Temp[],3,FALSE)</f>
        <v>12.8</v>
      </c>
      <c r="O638" s="9">
        <v>13.5</v>
      </c>
      <c r="P638" s="9">
        <v>19.5</v>
      </c>
      <c r="Q638" s="79">
        <f>VLOOKUP(VLOOKUP(DATEVALUE(TEXT(A638,"m/d/yyyy")),FY24_Temp[],5,FALSE)&amp;TEXT(A638,"-h"),Table6[],4,FALSE)</f>
        <v>1.6742857013429915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VLOOKUP(TEXT(A638,"yy-mm")&amp;"-"&amp;IF(AND(WEEKDAY(A638)&gt;1,WEEKDAY(A638)&lt;7),"Wkd",TEXT(A638,"Ddd"))&amp;"-"&amp;TEXT(A638,"hh"),LoadTable[],5,FALSE)*0.92</f>
        <v>279.25312000000002</v>
      </c>
      <c r="U638" s="104">
        <f>VLOOKUP(TEXT(A638,"yy-mm")&amp;"-"&amp;IF(AND(WEEKDAY(A638)&gt;1,WEEKDAY(A638)&lt;7),"Wkd",TEXT(A638,"Ddd"))&amp;"-"&amp;TEXT(A638,"hh"),LoadTable[],6,FALSE)*T638</f>
        <v>13153.938964480001</v>
      </c>
      <c r="V638">
        <f t="shared" ref="V638:W638" si="660">V614</f>
        <v>3.4</v>
      </c>
      <c r="W638">
        <f t="shared" si="660"/>
        <v>3</v>
      </c>
      <c r="X638" s="9">
        <v>3.2939539</v>
      </c>
    </row>
    <row r="639" spans="1:24">
      <c r="A639" s="29">
        <f t="shared" si="598"/>
        <v>45862.499999998457</v>
      </c>
      <c r="B639" s="30">
        <f t="shared" si="622"/>
        <v>8000</v>
      </c>
      <c r="C639" s="8">
        <v>25000</v>
      </c>
      <c r="D639" s="8">
        <v>0</v>
      </c>
      <c r="E639" s="8">
        <v>700</v>
      </c>
      <c r="F639" s="8">
        <v>15000</v>
      </c>
      <c r="G639" s="30">
        <f t="shared" si="623"/>
        <v>2400</v>
      </c>
      <c r="H639" s="8">
        <v>25000</v>
      </c>
      <c r="I639" s="30">
        <f t="shared" si="624"/>
        <v>8000</v>
      </c>
      <c r="J639" s="8">
        <v>25000</v>
      </c>
      <c r="K639" s="30">
        <f t="shared" si="625"/>
        <v>8000</v>
      </c>
      <c r="L639" s="8">
        <v>25000</v>
      </c>
      <c r="M639" s="9">
        <f>VLOOKUP(DATE(YEAR(A639),MONTH(A639),DAY(A639)),FY24_Temp[],4,FALSE)</f>
        <v>8.4</v>
      </c>
      <c r="N639" s="9">
        <f>VLOOKUP(DATE(YEAR(A639),MONTH(A639),DAY(A639)),FY24_Temp[],3,FALSE)</f>
        <v>12.8</v>
      </c>
      <c r="O639" s="9">
        <v>13.5</v>
      </c>
      <c r="P639" s="9">
        <v>19.5</v>
      </c>
      <c r="Q639" s="79">
        <f>VLOOKUP(VLOOKUP(DATEVALUE(TEXT(A639,"m/d/yyyy")),FY24_Temp[],5,FALSE)&amp;TEXT(A639,"-h"),Table6[],4,FALSE)</f>
        <v>1.5174285684313094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VLOOKUP(TEXT(A639,"yy-mm")&amp;"-"&amp;IF(AND(WEEKDAY(A639)&gt;1,WEEKDAY(A639)&lt;7),"Wkd",TEXT(A639,"Ddd"))&amp;"-"&amp;TEXT(A639,"hh"),LoadTable[],5,FALSE)*0.92</f>
        <v>279.25312000000002</v>
      </c>
      <c r="U639" s="104">
        <f>VLOOKUP(TEXT(A639,"yy-mm")&amp;"-"&amp;IF(AND(WEEKDAY(A639)&gt;1,WEEKDAY(A639)&lt;7),"Wkd",TEXT(A639,"Ddd"))&amp;"-"&amp;TEXT(A639,"hh"),LoadTable[],6,FALSE)*T639</f>
        <v>13898.427782400002</v>
      </c>
      <c r="V639">
        <f t="shared" ref="V639:W639" si="661">V615</f>
        <v>3.1</v>
      </c>
      <c r="W639">
        <f t="shared" si="661"/>
        <v>2.9</v>
      </c>
      <c r="X639" s="9">
        <v>3.0834571999999998</v>
      </c>
    </row>
    <row r="640" spans="1:24">
      <c r="A640" s="29">
        <f t="shared" si="598"/>
        <v>45862.541666665122</v>
      </c>
      <c r="B640" s="30">
        <f t="shared" si="622"/>
        <v>8000</v>
      </c>
      <c r="C640" s="8">
        <v>25000</v>
      </c>
      <c r="D640" s="8">
        <v>0</v>
      </c>
      <c r="E640" s="8">
        <v>700</v>
      </c>
      <c r="F640" s="8">
        <v>15000</v>
      </c>
      <c r="G640" s="30">
        <f t="shared" si="623"/>
        <v>2400</v>
      </c>
      <c r="H640" s="8">
        <v>25000</v>
      </c>
      <c r="I640" s="30">
        <f t="shared" si="624"/>
        <v>8000</v>
      </c>
      <c r="J640" s="8">
        <v>25000</v>
      </c>
      <c r="K640" s="30">
        <f t="shared" si="625"/>
        <v>8000</v>
      </c>
      <c r="L640" s="8">
        <v>25000</v>
      </c>
      <c r="M640" s="9">
        <f>VLOOKUP(DATE(YEAR(A640),MONTH(A640),DAY(A640)),FY24_Temp[],4,FALSE)</f>
        <v>8.4</v>
      </c>
      <c r="N640" s="9">
        <f>VLOOKUP(DATE(YEAR(A640),MONTH(A640),DAY(A640)),FY24_Temp[],3,FALSE)</f>
        <v>12.8</v>
      </c>
      <c r="O640" s="9">
        <v>13.5</v>
      </c>
      <c r="P640" s="9">
        <v>19.5</v>
      </c>
      <c r="Q640" s="79">
        <f>VLOOKUP(VLOOKUP(DATEVALUE(TEXT(A640,"m/d/yyyy")),FY24_Temp[],5,FALSE)&amp;TEXT(A640,"-h"),Table6[],4,FALSE)</f>
        <v>1.3370000123977661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VLOOKUP(TEXT(A640,"yy-mm")&amp;"-"&amp;IF(AND(WEEKDAY(A640)&gt;1,WEEKDAY(A640)&lt;7),"Wkd",TEXT(A640,"Ddd"))&amp;"-"&amp;TEXT(A640,"hh"),LoadTable[],5,FALSE)*0.92</f>
        <v>279.25312000000002</v>
      </c>
      <c r="U640" s="104">
        <f>VLOOKUP(TEXT(A640,"yy-mm")&amp;"-"&amp;IF(AND(WEEKDAY(A640)&gt;1,WEEKDAY(A640)&lt;7),"Wkd",TEXT(A640,"Ddd"))&amp;"-"&amp;TEXT(A640,"hh"),LoadTable[],6,FALSE)*T640</f>
        <v>16526.1996416</v>
      </c>
      <c r="V640">
        <f t="shared" ref="V640:W640" si="662">V616</f>
        <v>3.2</v>
      </c>
      <c r="W640">
        <f t="shared" si="662"/>
        <v>2.9</v>
      </c>
      <c r="X640" s="9">
        <v>2.9676075000000002</v>
      </c>
    </row>
    <row r="641" spans="1:24">
      <c r="A641" s="29">
        <f t="shared" si="598"/>
        <v>45862.583333331786</v>
      </c>
      <c r="B641" s="30">
        <f t="shared" si="622"/>
        <v>8000</v>
      </c>
      <c r="C641" s="8">
        <v>25000</v>
      </c>
      <c r="D641" s="8">
        <v>0</v>
      </c>
      <c r="E641" s="8">
        <v>700</v>
      </c>
      <c r="F641" s="8">
        <v>15000</v>
      </c>
      <c r="G641" s="30">
        <f t="shared" si="623"/>
        <v>2400</v>
      </c>
      <c r="H641" s="8">
        <v>25000</v>
      </c>
      <c r="I641" s="30">
        <f t="shared" si="624"/>
        <v>8000</v>
      </c>
      <c r="J641" s="8">
        <v>25000</v>
      </c>
      <c r="K641" s="30">
        <f t="shared" si="625"/>
        <v>8000</v>
      </c>
      <c r="L641" s="8">
        <v>25000</v>
      </c>
      <c r="M641" s="9">
        <f>VLOOKUP(DATE(YEAR(A641),MONTH(A641),DAY(A641)),FY24_Temp[],4,FALSE)</f>
        <v>8.4</v>
      </c>
      <c r="N641" s="9">
        <f>VLOOKUP(DATE(YEAR(A641),MONTH(A641),DAY(A641)),FY24_Temp[],3,FALSE)</f>
        <v>12.8</v>
      </c>
      <c r="O641" s="9">
        <v>13.5</v>
      </c>
      <c r="P641" s="9">
        <v>19.5</v>
      </c>
      <c r="Q641" s="79">
        <f>VLOOKUP(VLOOKUP(DATEVALUE(TEXT(A641,"m/d/yyyy")),FY24_Temp[],5,FALSE)&amp;TEXT(A641,"-h"),Table6[],4,FALSE)</f>
        <v>1.1481428657259261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VLOOKUP(TEXT(A641,"yy-mm")&amp;"-"&amp;IF(AND(WEEKDAY(A641)&gt;1,WEEKDAY(A641)&lt;7),"Wkd",TEXT(A641,"Ddd"))&amp;"-"&amp;TEXT(A641,"hh"),LoadTable[],5,FALSE)*0.92</f>
        <v>373.26607999999999</v>
      </c>
      <c r="U641" s="104">
        <f>VLOOKUP(TEXT(A641,"yy-mm")&amp;"-"&amp;IF(AND(WEEKDAY(A641)&gt;1,WEEKDAY(A641)&lt;7),"Wkd",TEXT(A641,"Ddd"))&amp;"-"&amp;TEXT(A641,"hh"),LoadTable[],6,FALSE)*T641</f>
        <v>27132.338089119996</v>
      </c>
      <c r="V641">
        <f t="shared" ref="V641:W641" si="663">V617</f>
        <v>3.5</v>
      </c>
      <c r="W641">
        <f t="shared" si="663"/>
        <v>2.9</v>
      </c>
      <c r="X641" s="9">
        <v>3.0548953999999999</v>
      </c>
    </row>
    <row r="642" spans="1:24">
      <c r="A642" s="29">
        <f t="shared" si="598"/>
        <v>45862.62499999845</v>
      </c>
      <c r="B642" s="30">
        <f t="shared" si="622"/>
        <v>8000</v>
      </c>
      <c r="C642" s="8">
        <v>25000</v>
      </c>
      <c r="D642" s="8">
        <v>0</v>
      </c>
      <c r="E642" s="8">
        <v>700</v>
      </c>
      <c r="F642" s="8">
        <v>15000</v>
      </c>
      <c r="G642" s="30">
        <f t="shared" si="623"/>
        <v>2400</v>
      </c>
      <c r="H642" s="8">
        <v>25000</v>
      </c>
      <c r="I642" s="30">
        <f t="shared" si="624"/>
        <v>8000</v>
      </c>
      <c r="J642" s="8">
        <v>25000</v>
      </c>
      <c r="K642" s="30">
        <f t="shared" si="625"/>
        <v>8000</v>
      </c>
      <c r="L642" s="8">
        <v>25000</v>
      </c>
      <c r="M642" s="9">
        <f>VLOOKUP(DATE(YEAR(A642),MONTH(A642),DAY(A642)),FY24_Temp[],4,FALSE)</f>
        <v>8.4</v>
      </c>
      <c r="N642" s="9">
        <f>VLOOKUP(DATE(YEAR(A642),MONTH(A642),DAY(A642)),FY24_Temp[],3,FALSE)</f>
        <v>12.8</v>
      </c>
      <c r="O642" s="9">
        <v>13.5</v>
      </c>
      <c r="P642" s="9">
        <v>19.5</v>
      </c>
      <c r="Q642" s="79">
        <f>VLOOKUP(VLOOKUP(DATEVALUE(TEXT(A642,"m/d/yyyy")),FY24_Temp[],5,FALSE)&amp;TEXT(A642,"-h"),Table6[],4,FALSE)</f>
        <v>0.98957143511090961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VLOOKUP(TEXT(A642,"yy-mm")&amp;"-"&amp;IF(AND(WEEKDAY(A642)&gt;1,WEEKDAY(A642)&lt;7),"Wkd",TEXT(A642,"Ddd"))&amp;"-"&amp;TEXT(A642,"hh"),LoadTable[],5,FALSE)*0.92</f>
        <v>494.57360000000006</v>
      </c>
      <c r="U642" s="104">
        <f>VLOOKUP(TEXT(A642,"yy-mm")&amp;"-"&amp;IF(AND(WEEKDAY(A642)&gt;1,WEEKDAY(A642)&lt;7),"Wkd",TEXT(A642,"Ddd"))&amp;"-"&amp;TEXT(A642,"hh"),LoadTable[],6,FALSE)*T642</f>
        <v>42310.771480000003</v>
      </c>
      <c r="V642">
        <f t="shared" ref="V642:W642" si="664">V618</f>
        <v>3.2</v>
      </c>
      <c r="W642">
        <f t="shared" si="664"/>
        <v>2.9</v>
      </c>
      <c r="X642" s="9">
        <v>3.4689996000000001</v>
      </c>
    </row>
    <row r="643" spans="1:24">
      <c r="A643" s="29">
        <f t="shared" si="598"/>
        <v>45862.666666665114</v>
      </c>
      <c r="B643" s="30">
        <f t="shared" si="622"/>
        <v>8000</v>
      </c>
      <c r="C643" s="8">
        <v>25000</v>
      </c>
      <c r="D643" s="8">
        <v>0</v>
      </c>
      <c r="E643" s="8">
        <v>700</v>
      </c>
      <c r="F643" s="8">
        <v>15000</v>
      </c>
      <c r="G643" s="30">
        <f t="shared" si="623"/>
        <v>2400</v>
      </c>
      <c r="H643" s="8">
        <v>25000</v>
      </c>
      <c r="I643" s="30">
        <f t="shared" si="624"/>
        <v>8000</v>
      </c>
      <c r="J643" s="8">
        <v>25000</v>
      </c>
      <c r="K643" s="30">
        <f t="shared" si="625"/>
        <v>8000</v>
      </c>
      <c r="L643" s="8">
        <v>25000</v>
      </c>
      <c r="M643" s="9">
        <f>VLOOKUP(DATE(YEAR(A643),MONTH(A643),DAY(A643)),FY24_Temp[],4,FALSE)</f>
        <v>8.4</v>
      </c>
      <c r="N643" s="9">
        <f>VLOOKUP(DATE(YEAR(A643),MONTH(A643),DAY(A643)),FY24_Temp[],3,FALSE)</f>
        <v>12.8</v>
      </c>
      <c r="O643" s="9">
        <v>13.5</v>
      </c>
      <c r="P643" s="9">
        <v>19.5</v>
      </c>
      <c r="Q643" s="79">
        <f>VLOOKUP(VLOOKUP(DATEVALUE(TEXT(A643,"m/d/yyyy")),FY24_Temp[],5,FALSE)&amp;TEXT(A643,"-h"),Table6[],4,FALSE)</f>
        <v>0.95228569848196842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VLOOKUP(TEXT(A643,"yy-mm")&amp;"-"&amp;IF(AND(WEEKDAY(A643)&gt;1,WEEKDAY(A643)&lt;7),"Wkd",TEXT(A643,"Ddd"))&amp;"-"&amp;TEXT(A643,"hh"),LoadTable[],5,FALSE)*0.92</f>
        <v>494.57360000000006</v>
      </c>
      <c r="U643" s="104">
        <f>VLOOKUP(TEXT(A643,"yy-mm")&amp;"-"&amp;IF(AND(WEEKDAY(A643)&gt;1,WEEKDAY(A643)&lt;7),"Wkd",TEXT(A643,"Ddd"))&amp;"-"&amp;TEXT(A643,"hh"),LoadTable[],6,FALSE)*T643</f>
        <v>50694.28857360001</v>
      </c>
      <c r="V643">
        <f t="shared" ref="V643:W643" si="665">V619</f>
        <v>3.5</v>
      </c>
      <c r="W643">
        <f t="shared" si="665"/>
        <v>3</v>
      </c>
      <c r="X643" s="9">
        <v>3.4126861000000002</v>
      </c>
    </row>
    <row r="644" spans="1:24">
      <c r="A644" s="29">
        <f t="shared" si="598"/>
        <v>45862.708333331779</v>
      </c>
      <c r="B644" s="30">
        <f t="shared" si="622"/>
        <v>8000</v>
      </c>
      <c r="C644" s="8">
        <v>25000</v>
      </c>
      <c r="D644" s="8">
        <v>0</v>
      </c>
      <c r="E644" s="8">
        <v>700</v>
      </c>
      <c r="F644" s="8">
        <v>15000</v>
      </c>
      <c r="G644" s="30">
        <f t="shared" si="623"/>
        <v>2400</v>
      </c>
      <c r="H644" s="8">
        <v>25000</v>
      </c>
      <c r="I644" s="30">
        <f t="shared" si="624"/>
        <v>8000</v>
      </c>
      <c r="J644" s="8">
        <v>25000</v>
      </c>
      <c r="K644" s="30">
        <f t="shared" si="625"/>
        <v>8000</v>
      </c>
      <c r="L644" s="8">
        <v>25000</v>
      </c>
      <c r="M644" s="9">
        <f>VLOOKUP(DATE(YEAR(A644),MONTH(A644),DAY(A644)),FY24_Temp[],4,FALSE)</f>
        <v>8.4</v>
      </c>
      <c r="N644" s="9">
        <f>VLOOKUP(DATE(YEAR(A644),MONTH(A644),DAY(A644)),FY24_Temp[],3,FALSE)</f>
        <v>12.8</v>
      </c>
      <c r="O644" s="9">
        <v>13.5</v>
      </c>
      <c r="P644" s="9">
        <v>19.5</v>
      </c>
      <c r="Q644" s="79">
        <f>VLOOKUP(VLOOKUP(DATEVALUE(TEXT(A644,"m/d/yyyy")),FY24_Temp[],5,FALSE)&amp;TEXT(A644,"-h"),Table6[],4,FALSE)</f>
        <v>1.1852857215063912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VLOOKUP(TEXT(A644,"yy-mm")&amp;"-"&amp;IF(AND(WEEKDAY(A644)&gt;1,WEEKDAY(A644)&lt;7),"Wkd",TEXT(A644,"Ddd"))&amp;"-"&amp;TEXT(A644,"hh"),LoadTable[],5,FALSE)*0.92</f>
        <v>494.57360000000006</v>
      </c>
      <c r="U644" s="104">
        <f>VLOOKUP(TEXT(A644,"yy-mm")&amp;"-"&amp;IF(AND(WEEKDAY(A644)&gt;1,WEEKDAY(A644)&lt;7),"Wkd",TEXT(A644,"Ddd"))&amp;"-"&amp;TEXT(A644,"hh"),LoadTable[],6,FALSE)*T644</f>
        <v>56025.791981600007</v>
      </c>
      <c r="V644">
        <f t="shared" ref="V644:W644" si="666">V620</f>
        <v>3.6</v>
      </c>
      <c r="W644">
        <f t="shared" si="666"/>
        <v>3</v>
      </c>
      <c r="X644" s="9">
        <v>3.2988110000000002</v>
      </c>
    </row>
    <row r="645" spans="1:24">
      <c r="A645" s="29">
        <f t="shared" ref="A645:A708" si="667">A644+TIME(1,0,0)</f>
        <v>45862.749999998443</v>
      </c>
      <c r="B645" s="30">
        <f t="shared" si="622"/>
        <v>5000</v>
      </c>
      <c r="C645" s="8">
        <v>25000</v>
      </c>
      <c r="D645" s="8">
        <v>0</v>
      </c>
      <c r="E645" s="8">
        <v>700</v>
      </c>
      <c r="F645" s="8">
        <v>15000</v>
      </c>
      <c r="G645" s="30">
        <f t="shared" si="623"/>
        <v>2400</v>
      </c>
      <c r="H645" s="8">
        <v>25000</v>
      </c>
      <c r="I645" s="30">
        <f t="shared" si="624"/>
        <v>5000</v>
      </c>
      <c r="J645" s="8">
        <v>25000</v>
      </c>
      <c r="K645" s="30">
        <f t="shared" si="625"/>
        <v>5000</v>
      </c>
      <c r="L645" s="8">
        <v>25000</v>
      </c>
      <c r="M645" s="9">
        <f>VLOOKUP(DATE(YEAR(A645),MONTH(A645),DAY(A645)),FY24_Temp[],4,FALSE)</f>
        <v>8.4</v>
      </c>
      <c r="N645" s="9">
        <f>VLOOKUP(DATE(YEAR(A645),MONTH(A645),DAY(A645)),FY24_Temp[],3,FALSE)</f>
        <v>12.8</v>
      </c>
      <c r="O645" s="9">
        <v>13.5</v>
      </c>
      <c r="P645" s="9">
        <v>19.5</v>
      </c>
      <c r="Q645" s="79">
        <f>VLOOKUP(VLOOKUP(DATEVALUE(TEXT(A645,"m/d/yyyy")),FY24_Temp[],5,FALSE)&amp;TEXT(A645,"-h"),Table6[],4,FALSE)</f>
        <v>1.5737142562866211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VLOOKUP(TEXT(A645,"yy-mm")&amp;"-"&amp;IF(AND(WEEKDAY(A645)&gt;1,WEEKDAY(A645)&lt;7),"Wkd",TEXT(A645,"Ddd"))&amp;"-"&amp;TEXT(A645,"hh"),LoadTable[],5,FALSE)*0.92</f>
        <v>494.57360000000006</v>
      </c>
      <c r="U645" s="104">
        <f>VLOOKUP(TEXT(A645,"yy-mm")&amp;"-"&amp;IF(AND(WEEKDAY(A645)&gt;1,WEEKDAY(A645)&lt;7),"Wkd",TEXT(A645,"Ddd"))&amp;"-"&amp;TEXT(A645,"hh"),LoadTable[],6,FALSE)*T645</f>
        <v>60164.383866400007</v>
      </c>
      <c r="V645">
        <f t="shared" ref="V645:W645" si="668">V621</f>
        <v>2.9</v>
      </c>
      <c r="W645">
        <f t="shared" si="668"/>
        <v>3</v>
      </c>
      <c r="X645" s="9">
        <v>3.2723775000000002</v>
      </c>
    </row>
    <row r="646" spans="1:24">
      <c r="A646" s="29">
        <f t="shared" si="667"/>
        <v>45862.791666665107</v>
      </c>
      <c r="B646" s="30">
        <f t="shared" si="622"/>
        <v>5000</v>
      </c>
      <c r="C646" s="8">
        <v>25000</v>
      </c>
      <c r="D646" s="8">
        <v>0</v>
      </c>
      <c r="E646" s="8">
        <v>700</v>
      </c>
      <c r="F646" s="8">
        <v>15000</v>
      </c>
      <c r="G646" s="30">
        <f t="shared" si="623"/>
        <v>2400</v>
      </c>
      <c r="H646" s="8">
        <v>25000</v>
      </c>
      <c r="I646" s="30">
        <f t="shared" si="624"/>
        <v>5000</v>
      </c>
      <c r="J646" s="8">
        <v>25000</v>
      </c>
      <c r="K646" s="30">
        <f t="shared" si="625"/>
        <v>5000</v>
      </c>
      <c r="L646" s="8">
        <v>25000</v>
      </c>
      <c r="M646" s="9">
        <f>VLOOKUP(DATE(YEAR(A646),MONTH(A646),DAY(A646)),FY24_Temp[],4,FALSE)</f>
        <v>8.4</v>
      </c>
      <c r="N646" s="9">
        <f>VLOOKUP(DATE(YEAR(A646),MONTH(A646),DAY(A646)),FY24_Temp[],3,FALSE)</f>
        <v>12.8</v>
      </c>
      <c r="O646" s="9">
        <v>13.5</v>
      </c>
      <c r="P646" s="9">
        <v>19.5</v>
      </c>
      <c r="Q646" s="79">
        <f>VLOOKUP(VLOOKUP(DATEVALUE(TEXT(A646,"m/d/yyyy")),FY24_Temp[],5,FALSE)&amp;TEXT(A646,"-h"),Table6[],4,FALSE)</f>
        <v>2.4347143173217773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VLOOKUP(TEXT(A646,"yy-mm")&amp;"-"&amp;IF(AND(WEEKDAY(A646)&gt;1,WEEKDAY(A646)&lt;7),"Wkd",TEXT(A646,"Ddd"))&amp;"-"&amp;TEXT(A646,"hh"),LoadTable[],5,FALSE)*0.92</f>
        <v>494.57360000000006</v>
      </c>
      <c r="U646" s="104">
        <f>VLOOKUP(TEXT(A646,"yy-mm")&amp;"-"&amp;IF(AND(WEEKDAY(A646)&gt;1,WEEKDAY(A646)&lt;7),"Wkd",TEXT(A646,"Ddd"))&amp;"-"&amp;TEXT(A646,"hh"),LoadTable[],6,FALSE)*T646</f>
        <v>60548.172980000003</v>
      </c>
      <c r="V646">
        <f t="shared" ref="V646:W646" si="669">V622</f>
        <v>3</v>
      </c>
      <c r="W646">
        <f t="shared" si="669"/>
        <v>3</v>
      </c>
      <c r="X646" s="9">
        <v>3.3051037999999999</v>
      </c>
    </row>
    <row r="647" spans="1:24">
      <c r="A647" s="29">
        <f t="shared" si="667"/>
        <v>45862.833333331771</v>
      </c>
      <c r="B647" s="30">
        <f t="shared" si="622"/>
        <v>5000</v>
      </c>
      <c r="C647" s="8">
        <v>25000</v>
      </c>
      <c r="D647" s="8">
        <v>0</v>
      </c>
      <c r="E647" s="8">
        <v>700</v>
      </c>
      <c r="F647" s="8">
        <v>15000</v>
      </c>
      <c r="G647" s="30">
        <f t="shared" si="623"/>
        <v>2400</v>
      </c>
      <c r="H647" s="8">
        <v>25000</v>
      </c>
      <c r="I647" s="30">
        <f t="shared" si="624"/>
        <v>5000</v>
      </c>
      <c r="J647" s="8">
        <v>25000</v>
      </c>
      <c r="K647" s="30">
        <f t="shared" si="625"/>
        <v>5000</v>
      </c>
      <c r="L647" s="8">
        <v>25000</v>
      </c>
      <c r="M647" s="9">
        <f>VLOOKUP(DATE(YEAR(A647),MONTH(A647),DAY(A647)),FY24_Temp[],4,FALSE)</f>
        <v>8.4</v>
      </c>
      <c r="N647" s="9">
        <f>VLOOKUP(DATE(YEAR(A647),MONTH(A647),DAY(A647)),FY24_Temp[],3,FALSE)</f>
        <v>12.8</v>
      </c>
      <c r="O647" s="9">
        <v>13.5</v>
      </c>
      <c r="P647" s="9">
        <v>19.5</v>
      </c>
      <c r="Q647" s="79">
        <f>VLOOKUP(VLOOKUP(DATEVALUE(TEXT(A647,"m/d/yyyy")),FY24_Temp[],5,FALSE)&amp;TEXT(A647,"-h"),Table6[],4,FALSE)</f>
        <v>3.1158571583884105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VLOOKUP(TEXT(A647,"yy-mm")&amp;"-"&amp;IF(AND(WEEKDAY(A647)&gt;1,WEEKDAY(A647)&lt;7),"Wkd",TEXT(A647,"Ddd"))&amp;"-"&amp;TEXT(A647,"hh"),LoadTable[],5,FALSE)*0.92</f>
        <v>494.57360000000006</v>
      </c>
      <c r="U647" s="104">
        <f>VLOOKUP(TEXT(A647,"yy-mm")&amp;"-"&amp;IF(AND(WEEKDAY(A647)&gt;1,WEEKDAY(A647)&lt;7),"Wkd",TEXT(A647,"Ddd"))&amp;"-"&amp;TEXT(A647,"hh"),LoadTable[],6,FALSE)*T647</f>
        <v>60532.346624800004</v>
      </c>
      <c r="V647">
        <f t="shared" ref="V647:W647" si="670">V623</f>
        <v>2.8</v>
      </c>
      <c r="W647">
        <f t="shared" si="670"/>
        <v>3.1</v>
      </c>
      <c r="X647" s="9">
        <v>3.2898945999999998</v>
      </c>
    </row>
    <row r="648" spans="1:24">
      <c r="A648" s="29">
        <f t="shared" si="667"/>
        <v>45862.874999998436</v>
      </c>
      <c r="B648" s="30">
        <f t="shared" si="622"/>
        <v>5000</v>
      </c>
      <c r="C648" s="8">
        <v>25000</v>
      </c>
      <c r="D648" s="8">
        <v>0</v>
      </c>
      <c r="E648" s="8">
        <v>700</v>
      </c>
      <c r="F648" s="8">
        <v>15000</v>
      </c>
      <c r="G648" s="30">
        <f t="shared" si="623"/>
        <v>2400</v>
      </c>
      <c r="H648" s="8">
        <v>25000</v>
      </c>
      <c r="I648" s="30">
        <f t="shared" si="624"/>
        <v>5000</v>
      </c>
      <c r="J648" s="8">
        <v>25000</v>
      </c>
      <c r="K648" s="30">
        <f t="shared" si="625"/>
        <v>5000</v>
      </c>
      <c r="L648" s="8">
        <v>25000</v>
      </c>
      <c r="M648" s="9">
        <f>VLOOKUP(DATE(YEAR(A648),MONTH(A648),DAY(A648)),FY24_Temp[],4,FALSE)</f>
        <v>8.4</v>
      </c>
      <c r="N648" s="9">
        <f>VLOOKUP(DATE(YEAR(A648),MONTH(A648),DAY(A648)),FY24_Temp[],3,FALSE)</f>
        <v>12.8</v>
      </c>
      <c r="O648" s="9">
        <v>13.5</v>
      </c>
      <c r="P648" s="9">
        <v>19.5</v>
      </c>
      <c r="Q648" s="79">
        <f>VLOOKUP(VLOOKUP(DATEVALUE(TEXT(A648,"m/d/yyyy")),FY24_Temp[],5,FALSE)&amp;TEXT(A648,"-h"),Table6[],4,FALSE)</f>
        <v>3.3202857630593434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VLOOKUP(TEXT(A648,"yy-mm")&amp;"-"&amp;IF(AND(WEEKDAY(A648)&gt;1,WEEKDAY(A648)&lt;7),"Wkd",TEXT(A648,"Ddd"))&amp;"-"&amp;TEXT(A648,"hh"),LoadTable[],5,FALSE)*0.92</f>
        <v>494.57360000000006</v>
      </c>
      <c r="U648" s="104">
        <f>VLOOKUP(TEXT(A648,"yy-mm")&amp;"-"&amp;IF(AND(WEEKDAY(A648)&gt;1,WEEKDAY(A648)&lt;7),"Wkd",TEXT(A648,"Ddd"))&amp;"-"&amp;TEXT(A648,"hh"),LoadTable[],6,FALSE)*T648</f>
        <v>58481.349905600007</v>
      </c>
      <c r="V648">
        <f t="shared" ref="V648:W648" si="671">V624</f>
        <v>3.5</v>
      </c>
      <c r="W648">
        <f t="shared" si="671"/>
        <v>3.1</v>
      </c>
      <c r="X648" s="9">
        <v>3.2111976000000002</v>
      </c>
    </row>
    <row r="649" spans="1:24">
      <c r="A649" s="29">
        <f t="shared" si="667"/>
        <v>45862.9166666651</v>
      </c>
      <c r="B649" s="30">
        <f t="shared" si="622"/>
        <v>5000</v>
      </c>
      <c r="C649" s="8">
        <v>25000</v>
      </c>
      <c r="D649" s="8">
        <v>0</v>
      </c>
      <c r="E649" s="8">
        <v>700</v>
      </c>
      <c r="F649" s="8">
        <v>15000</v>
      </c>
      <c r="G649" s="30">
        <f t="shared" si="623"/>
        <v>2400</v>
      </c>
      <c r="H649" s="8">
        <v>25000</v>
      </c>
      <c r="I649" s="30">
        <f t="shared" si="624"/>
        <v>5000</v>
      </c>
      <c r="J649" s="8">
        <v>25000</v>
      </c>
      <c r="K649" s="30">
        <f t="shared" si="625"/>
        <v>5000</v>
      </c>
      <c r="L649" s="8">
        <v>25000</v>
      </c>
      <c r="M649" s="9">
        <f>VLOOKUP(DATE(YEAR(A649),MONTH(A649),DAY(A649)),FY24_Temp[],4,FALSE)</f>
        <v>8.4</v>
      </c>
      <c r="N649" s="9">
        <f>VLOOKUP(DATE(YEAR(A649),MONTH(A649),DAY(A649)),FY24_Temp[],3,FALSE)</f>
        <v>12.8</v>
      </c>
      <c r="O649" s="9">
        <v>13.5</v>
      </c>
      <c r="P649" s="9">
        <v>19.5</v>
      </c>
      <c r="Q649" s="79">
        <f>VLOOKUP(VLOOKUP(DATEVALUE(TEXT(A649,"m/d/yyyy")),FY24_Temp[],5,FALSE)&amp;TEXT(A649,"-h"),Table6[],4,FALSE)</f>
        <v>3.2868570940835133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VLOOKUP(TEXT(A649,"yy-mm")&amp;"-"&amp;IF(AND(WEEKDAY(A649)&gt;1,WEEKDAY(A649)&lt;7),"Wkd",TEXT(A649,"Ddd"))&amp;"-"&amp;TEXT(A649,"hh"),LoadTable[],5,FALSE)*0.92</f>
        <v>418.75640000000004</v>
      </c>
      <c r="U649" s="104">
        <f>VLOOKUP(TEXT(A649,"yy-mm")&amp;"-"&amp;IF(AND(WEEKDAY(A649)&gt;1,WEEKDAY(A649)&lt;7),"Wkd",TEXT(A649,"Ddd"))&amp;"-"&amp;TEXT(A649,"hh"),LoadTable[],6,FALSE)*T649</f>
        <v>27547.889774000003</v>
      </c>
      <c r="V649">
        <f t="shared" ref="V649:W649" si="672">V625</f>
        <v>2.9</v>
      </c>
      <c r="W649">
        <f t="shared" si="672"/>
        <v>3.1</v>
      </c>
      <c r="X649" s="9">
        <v>3.1327425999999998</v>
      </c>
    </row>
    <row r="650" spans="1:24">
      <c r="A650" s="29">
        <f t="shared" si="667"/>
        <v>45862.958333331764</v>
      </c>
      <c r="B650" s="30">
        <f t="shared" si="622"/>
        <v>5000</v>
      </c>
      <c r="C650" s="41">
        <v>25000</v>
      </c>
      <c r="D650" s="41">
        <v>0</v>
      </c>
      <c r="E650" s="41">
        <v>700</v>
      </c>
      <c r="F650" s="41">
        <v>15000</v>
      </c>
      <c r="G650" s="30">
        <f t="shared" si="623"/>
        <v>2400</v>
      </c>
      <c r="H650" s="41">
        <v>25000</v>
      </c>
      <c r="I650" s="30">
        <f t="shared" si="624"/>
        <v>5000</v>
      </c>
      <c r="J650" s="41">
        <v>25000</v>
      </c>
      <c r="K650" s="30">
        <f t="shared" si="625"/>
        <v>5000</v>
      </c>
      <c r="L650" s="41">
        <v>25000</v>
      </c>
      <c r="M650" s="9">
        <f>VLOOKUP(DATE(YEAR(A650),MONTH(A650),DAY(A650)),FY24_Temp[],4,FALSE)</f>
        <v>8.4</v>
      </c>
      <c r="N650" s="9">
        <f>VLOOKUP(DATE(YEAR(A650),MONTH(A650),DAY(A650)),FY24_Temp[],3,FALSE)</f>
        <v>12.8</v>
      </c>
      <c r="O650" s="84">
        <v>13.5</v>
      </c>
      <c r="P650" s="84">
        <v>19.5</v>
      </c>
      <c r="Q650" s="85">
        <f>VLOOKUP(VLOOKUP(DATEVALUE(TEXT(A650,"m/d/yyyy")),FY24_Temp[],5,FALSE)&amp;TEXT(A650,"-h"),Table6[],4,FALSE)</f>
        <v>3.1470000062670027</v>
      </c>
      <c r="R650">
        <v>10</v>
      </c>
      <c r="S650">
        <v>1000</v>
      </c>
      <c r="T650" s="98">
        <f>VLOOKUP(TEXT(A650,"yy-mm")&amp;"-"&amp;IF(AND(WEEKDAY(A650)&gt;1,WEEKDAY(A650)&lt;7),"Wkd",TEXT(A650,"Ddd"))&amp;"-"&amp;TEXT(A650,"hh"),LoadTable[],5,FALSE)*0.92</f>
        <v>342.93920000000003</v>
      </c>
      <c r="U650" s="104">
        <f>VLOOKUP(TEXT(A650,"yy-mm")&amp;"-"&amp;IF(AND(WEEKDAY(A650)&gt;1,WEEKDAY(A650)&lt;7),"Wkd",TEXT(A650,"Ddd"))&amp;"-"&amp;TEXT(A650,"hh"),LoadTable[],6,FALSE)*T650</f>
        <v>19873.669579200003</v>
      </c>
      <c r="V650">
        <f t="shared" ref="V650:W650" si="673">V626</f>
        <v>3.6</v>
      </c>
      <c r="W650">
        <f t="shared" si="673"/>
        <v>3.1</v>
      </c>
      <c r="X650" s="84">
        <v>3.0738916000000001</v>
      </c>
    </row>
    <row r="651" spans="1:24">
      <c r="A651" s="29">
        <f t="shared" si="667"/>
        <v>45862.999999998428</v>
      </c>
      <c r="B651" s="30">
        <f t="shared" si="622"/>
        <v>5000</v>
      </c>
      <c r="C651" s="8">
        <v>25000</v>
      </c>
      <c r="D651" s="8">
        <v>0</v>
      </c>
      <c r="E651" s="8">
        <v>700</v>
      </c>
      <c r="F651" s="8">
        <v>15000</v>
      </c>
      <c r="G651" s="30">
        <f t="shared" si="623"/>
        <v>2400</v>
      </c>
      <c r="H651" s="8">
        <v>25000</v>
      </c>
      <c r="I651" s="30">
        <f t="shared" si="624"/>
        <v>5000</v>
      </c>
      <c r="J651" s="8">
        <v>25000</v>
      </c>
      <c r="K651" s="30">
        <f t="shared" si="625"/>
        <v>5000</v>
      </c>
      <c r="L651" s="8">
        <v>25000</v>
      </c>
      <c r="M651" s="9">
        <f>VLOOKUP(DATE(YEAR(A651),MONTH(A651),DAY(A651)),FY24_Temp[],4,FALSE)</f>
        <v>8.4</v>
      </c>
      <c r="N651" s="9">
        <f>VLOOKUP(DATE(YEAR(A651),MONTH(A651),DAY(A651)),FY24_Temp[],3,FALSE)</f>
        <v>12.8</v>
      </c>
      <c r="O651" s="9">
        <v>13.5</v>
      </c>
      <c r="P651" s="9">
        <v>19.5</v>
      </c>
      <c r="Q651" s="79">
        <f>VLOOKUP(VLOOKUP(DATEVALUE(TEXT(A651,"m/d/yyyy")),FY24_Temp[],5,FALSE)&amp;TEXT(A651,"-h"),Table6[],4,FALSE)</f>
        <v>2.990142822265625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VLOOKUP(TEXT(A651,"yy-mm")&amp;"-"&amp;IF(AND(WEEKDAY(A651)&gt;1,WEEKDAY(A651)&lt;7),"Wkd",TEXT(A651,"Ddd"))&amp;"-"&amp;TEXT(A651,"hh"),LoadTable[],5,FALSE)*0.92</f>
        <v>279.25312000000002</v>
      </c>
      <c r="U651" s="104">
        <f>VLOOKUP(TEXT(A651,"yy-mm")&amp;"-"&amp;IF(AND(WEEKDAY(A651)&gt;1,WEEKDAY(A651)&lt;7),"Wkd",TEXT(A651,"Ddd"))&amp;"-"&amp;TEXT(A651,"hh"),LoadTable[],6,FALSE)*T651</f>
        <v>14895.640673920001</v>
      </c>
      <c r="V651">
        <f t="shared" ref="V651:W651" si="674">V627</f>
        <v>3</v>
      </c>
      <c r="W651">
        <f t="shared" si="674"/>
        <v>3.2</v>
      </c>
      <c r="X651" s="9">
        <v>3.0741160000000001</v>
      </c>
    </row>
    <row r="652" spans="1:24">
      <c r="A652" s="29">
        <f t="shared" si="667"/>
        <v>45863.041666665093</v>
      </c>
      <c r="B652" s="30">
        <f t="shared" si="622"/>
        <v>5000</v>
      </c>
      <c r="C652" s="42">
        <v>25000</v>
      </c>
      <c r="D652" s="42">
        <v>0</v>
      </c>
      <c r="E652" s="42">
        <v>700</v>
      </c>
      <c r="F652" s="42">
        <v>15000</v>
      </c>
      <c r="G652" s="30">
        <f t="shared" si="623"/>
        <v>2400</v>
      </c>
      <c r="H652" s="42">
        <v>25000</v>
      </c>
      <c r="I652" s="30">
        <f t="shared" si="624"/>
        <v>5000</v>
      </c>
      <c r="J652" s="42">
        <v>25000</v>
      </c>
      <c r="K652" s="30">
        <f t="shared" si="625"/>
        <v>5000</v>
      </c>
      <c r="L652" s="42">
        <v>25000</v>
      </c>
      <c r="M652" s="9">
        <f>VLOOKUP(DATE(YEAR(A652),MONTH(A652),DAY(A652)),FY24_Temp[],4,FALSE)</f>
        <v>8.4</v>
      </c>
      <c r="N652" s="9">
        <f>VLOOKUP(DATE(YEAR(A652),MONTH(A652),DAY(A652)),FY24_Temp[],3,FALSE)</f>
        <v>12.8</v>
      </c>
      <c r="O652" s="86">
        <v>13.5</v>
      </c>
      <c r="P652" s="86">
        <v>19.5</v>
      </c>
      <c r="Q652" s="87">
        <f>VLOOKUP(VLOOKUP(DATEVALUE(TEXT(A652,"m/d/yyyy")),FY24_Temp[],5,FALSE)&amp;TEXT(A652,"-h"),Table6[],4,FALSE)</f>
        <v>2.8801428590502058</v>
      </c>
      <c r="R652">
        <v>10</v>
      </c>
      <c r="S652">
        <v>1000</v>
      </c>
      <c r="T652" s="99">
        <f>VLOOKUP(TEXT(A652,"yy-mm")&amp;"-"&amp;IF(AND(WEEKDAY(A652)&gt;1,WEEKDAY(A652)&lt;7),"Wkd",TEXT(A652,"Ddd"))&amp;"-"&amp;TEXT(A652,"hh"),LoadTable[],5,FALSE)*0.92</f>
        <v>279.25312000000002</v>
      </c>
      <c r="U652" s="104">
        <f>VLOOKUP(TEXT(A652,"yy-mm")&amp;"-"&amp;IF(AND(WEEKDAY(A652)&gt;1,WEEKDAY(A652)&lt;7),"Wkd",TEXT(A652,"Ddd"))&amp;"-"&amp;TEXT(A652,"hh"),LoadTable[],6,FALSE)*T652</f>
        <v>14470.896678400002</v>
      </c>
      <c r="V652">
        <f t="shared" ref="V652:W652" si="675">V628</f>
        <v>2.6</v>
      </c>
      <c r="W652">
        <f t="shared" si="675"/>
        <v>3.2</v>
      </c>
      <c r="X652" s="86">
        <v>3.1008298000000001</v>
      </c>
    </row>
    <row r="653" spans="1:24">
      <c r="A653" s="29">
        <f t="shared" si="667"/>
        <v>45863.083333331757</v>
      </c>
      <c r="B653" s="30">
        <f t="shared" si="622"/>
        <v>5000</v>
      </c>
      <c r="C653" s="8">
        <v>25000</v>
      </c>
      <c r="D653" s="8">
        <v>0</v>
      </c>
      <c r="E653" s="8">
        <v>700</v>
      </c>
      <c r="F653" s="8">
        <v>15000</v>
      </c>
      <c r="G653" s="30">
        <f t="shared" si="623"/>
        <v>2400</v>
      </c>
      <c r="H653" s="8">
        <v>25000</v>
      </c>
      <c r="I653" s="30">
        <f t="shared" si="624"/>
        <v>5000</v>
      </c>
      <c r="J653" s="8">
        <v>25000</v>
      </c>
      <c r="K653" s="30">
        <f t="shared" si="625"/>
        <v>5000</v>
      </c>
      <c r="L653" s="8">
        <v>25000</v>
      </c>
      <c r="M653" s="9">
        <f>VLOOKUP(DATE(YEAR(A653),MONTH(A653),DAY(A653)),FY24_Temp[],4,FALSE)</f>
        <v>8.4</v>
      </c>
      <c r="N653" s="9">
        <f>VLOOKUP(DATE(YEAR(A653),MONTH(A653),DAY(A653)),FY24_Temp[],3,FALSE)</f>
        <v>12.8</v>
      </c>
      <c r="O653" s="9">
        <v>13.5</v>
      </c>
      <c r="P653" s="9">
        <v>19.5</v>
      </c>
      <c r="Q653" s="79">
        <f>VLOOKUP(VLOOKUP(DATEVALUE(TEXT(A653,"m/d/yyyy")),FY24_Temp[],5,FALSE)&amp;TEXT(A653,"-h"),Table6[],4,FALSE)</f>
        <v>2.7695714065006802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VLOOKUP(TEXT(A653,"yy-mm")&amp;"-"&amp;IF(AND(WEEKDAY(A653)&gt;1,WEEKDAY(A653)&lt;7),"Wkd",TEXT(A653,"Ddd"))&amp;"-"&amp;TEXT(A653,"hh"),LoadTable[],5,FALSE)*0.92</f>
        <v>279.25312000000002</v>
      </c>
      <c r="U653" s="104">
        <f>VLOOKUP(TEXT(A653,"yy-mm")&amp;"-"&amp;IF(AND(WEEKDAY(A653)&gt;1,WEEKDAY(A653)&lt;7),"Wkd",TEXT(A653,"Ddd"))&amp;"-"&amp;TEXT(A653,"hh"),LoadTable[],6,FALSE)*T653</f>
        <v>14154.50289344</v>
      </c>
      <c r="V653">
        <f t="shared" ref="V653:W653" si="676">V629</f>
        <v>2.8</v>
      </c>
      <c r="W653">
        <f t="shared" si="676"/>
        <v>3.2</v>
      </c>
      <c r="X653" s="9">
        <v>3.1383690999999998</v>
      </c>
    </row>
    <row r="654" spans="1:24">
      <c r="A654" s="29">
        <f t="shared" si="667"/>
        <v>45863.124999998421</v>
      </c>
      <c r="B654" s="30">
        <f t="shared" si="622"/>
        <v>5000</v>
      </c>
      <c r="C654" s="8">
        <v>25000</v>
      </c>
      <c r="D654" s="8">
        <v>0</v>
      </c>
      <c r="E654" s="8">
        <v>700</v>
      </c>
      <c r="F654" s="8">
        <v>15000</v>
      </c>
      <c r="G654" s="30">
        <f t="shared" si="623"/>
        <v>2400</v>
      </c>
      <c r="H654" s="8">
        <v>25000</v>
      </c>
      <c r="I654" s="30">
        <f t="shared" si="624"/>
        <v>5000</v>
      </c>
      <c r="J654" s="8">
        <v>25000</v>
      </c>
      <c r="K654" s="30">
        <f t="shared" si="625"/>
        <v>5000</v>
      </c>
      <c r="L654" s="8">
        <v>25000</v>
      </c>
      <c r="M654" s="9">
        <f>VLOOKUP(DATE(YEAR(A654),MONTH(A654),DAY(A654)),FY24_Temp[],4,FALSE)</f>
        <v>8.4</v>
      </c>
      <c r="N654" s="9">
        <f>VLOOKUP(DATE(YEAR(A654),MONTH(A654),DAY(A654)),FY24_Temp[],3,FALSE)</f>
        <v>12.8</v>
      </c>
      <c r="O654" s="9">
        <v>13.5</v>
      </c>
      <c r="P654" s="9">
        <v>19.5</v>
      </c>
      <c r="Q654" s="79">
        <f>VLOOKUP(VLOOKUP(DATEVALUE(TEXT(A654,"m/d/yyyy")),FY24_Temp[],5,FALSE)&amp;TEXT(A654,"-h"),Table6[],4,FALSE)</f>
        <v>2.65728565624782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VLOOKUP(TEXT(A654,"yy-mm")&amp;"-"&amp;IF(AND(WEEKDAY(A654)&gt;1,WEEKDAY(A654)&lt;7),"Wkd",TEXT(A654,"Ddd"))&amp;"-"&amp;TEXT(A654,"hh"),LoadTable[],5,FALSE)*0.92</f>
        <v>279.25312000000002</v>
      </c>
      <c r="U654" s="104">
        <f>VLOOKUP(TEXT(A654,"yy-mm")&amp;"-"&amp;IF(AND(WEEKDAY(A654)&gt;1,WEEKDAY(A654)&lt;7),"Wkd",TEXT(A654,"Ddd"))&amp;"-"&amp;TEXT(A654,"hh"),LoadTable[],6,FALSE)*T654</f>
        <v>14206.443973760001</v>
      </c>
      <c r="V654">
        <f t="shared" ref="V654:W654" si="677">V630</f>
        <v>2.7</v>
      </c>
      <c r="W654">
        <f t="shared" si="677"/>
        <v>3.2</v>
      </c>
      <c r="X654" s="9">
        <v>3.1677213000000002</v>
      </c>
    </row>
    <row r="655" spans="1:24">
      <c r="A655" s="29">
        <f t="shared" si="667"/>
        <v>45863.166666665085</v>
      </c>
      <c r="B655" s="30">
        <f t="shared" si="622"/>
        <v>5000</v>
      </c>
      <c r="C655" s="8">
        <v>25000</v>
      </c>
      <c r="D655" s="8">
        <v>0</v>
      </c>
      <c r="E655" s="8">
        <v>700</v>
      </c>
      <c r="F655" s="8">
        <v>15000</v>
      </c>
      <c r="G655" s="30">
        <f t="shared" si="623"/>
        <v>2400</v>
      </c>
      <c r="H655" s="8">
        <v>25000</v>
      </c>
      <c r="I655" s="30">
        <f t="shared" si="624"/>
        <v>5000</v>
      </c>
      <c r="J655" s="8">
        <v>25000</v>
      </c>
      <c r="K655" s="30">
        <f t="shared" si="625"/>
        <v>5000</v>
      </c>
      <c r="L655" s="8">
        <v>25000</v>
      </c>
      <c r="M655" s="9">
        <f>VLOOKUP(DATE(YEAR(A655),MONTH(A655),DAY(A655)),FY24_Temp[],4,FALSE)</f>
        <v>8.4</v>
      </c>
      <c r="N655" s="9">
        <f>VLOOKUP(DATE(YEAR(A655),MONTH(A655),DAY(A655)),FY24_Temp[],3,FALSE)</f>
        <v>12.8</v>
      </c>
      <c r="O655" s="9">
        <v>13.5</v>
      </c>
      <c r="P655" s="9">
        <v>19.5</v>
      </c>
      <c r="Q655" s="79">
        <f>VLOOKUP(VLOOKUP(DATEVALUE(TEXT(A655,"m/d/yyyy")),FY24_Temp[],5,FALSE)&amp;TEXT(A655,"-h"),Table6[],4,FALSE)</f>
        <v>2.4975714342934743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VLOOKUP(TEXT(A655,"yy-mm")&amp;"-"&amp;IF(AND(WEEKDAY(A655)&gt;1,WEEKDAY(A655)&lt;7),"Wkd",TEXT(A655,"Ddd"))&amp;"-"&amp;TEXT(A655,"hh"),LoadTable[],5,FALSE)*0.92</f>
        <v>279.25312000000002</v>
      </c>
      <c r="U655" s="104">
        <f>VLOOKUP(TEXT(A655,"yy-mm")&amp;"-"&amp;IF(AND(WEEKDAY(A655)&gt;1,WEEKDAY(A655)&lt;7),"Wkd",TEXT(A655,"Ddd"))&amp;"-"&amp;TEXT(A655,"hh"),LoadTable[],6,FALSE)*T655</f>
        <v>14229.063476480002</v>
      </c>
      <c r="V655">
        <f t="shared" ref="V655:W655" si="678">V631</f>
        <v>3</v>
      </c>
      <c r="W655">
        <f t="shared" si="678"/>
        <v>3.1</v>
      </c>
      <c r="X655" s="9">
        <v>3.1796514999999999</v>
      </c>
    </row>
    <row r="656" spans="1:24">
      <c r="A656" s="29">
        <f t="shared" si="667"/>
        <v>45863.20833333175</v>
      </c>
      <c r="B656" s="30">
        <f t="shared" si="622"/>
        <v>5000</v>
      </c>
      <c r="C656" s="8">
        <v>25000</v>
      </c>
      <c r="D656" s="8">
        <v>0</v>
      </c>
      <c r="E656" s="8">
        <v>700</v>
      </c>
      <c r="F656" s="8">
        <v>15000</v>
      </c>
      <c r="G656" s="30">
        <f t="shared" si="623"/>
        <v>2400</v>
      </c>
      <c r="H656" s="8">
        <v>25000</v>
      </c>
      <c r="I656" s="30">
        <f t="shared" si="624"/>
        <v>5000</v>
      </c>
      <c r="J656" s="8">
        <v>25000</v>
      </c>
      <c r="K656" s="30">
        <f t="shared" si="625"/>
        <v>5000</v>
      </c>
      <c r="L656" s="8">
        <v>25000</v>
      </c>
      <c r="M656" s="9">
        <f>VLOOKUP(DATE(YEAR(A656),MONTH(A656),DAY(A656)),FY24_Temp[],4,FALSE)</f>
        <v>8.4</v>
      </c>
      <c r="N656" s="9">
        <f>VLOOKUP(DATE(YEAR(A656),MONTH(A656),DAY(A656)),FY24_Temp[],3,FALSE)</f>
        <v>12.8</v>
      </c>
      <c r="O656" s="9">
        <v>13.5</v>
      </c>
      <c r="P656" s="9">
        <v>19.5</v>
      </c>
      <c r="Q656" s="79">
        <f>VLOOKUP(VLOOKUP(DATEVALUE(TEXT(A656,"m/d/yyyy")),FY24_Temp[],5,FALSE)&amp;TEXT(A656,"-h"),Table6[],4,FALSE)</f>
        <v>2.3462857518877303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VLOOKUP(TEXT(A656,"yy-mm")&amp;"-"&amp;IF(AND(WEEKDAY(A656)&gt;1,WEEKDAY(A656)&lt;7),"Wkd",TEXT(A656,"Ddd"))&amp;"-"&amp;TEXT(A656,"hh"),LoadTable[],5,FALSE)*0.92</f>
        <v>279.25312000000002</v>
      </c>
      <c r="U656" s="104">
        <f>VLOOKUP(TEXT(A656,"yy-mm")&amp;"-"&amp;IF(AND(WEEKDAY(A656)&gt;1,WEEKDAY(A656)&lt;7),"Wkd",TEXT(A656,"Ddd"))&amp;"-"&amp;TEXT(A656,"hh"),LoadTable[],6,FALSE)*T656</f>
        <v>14735.070129920001</v>
      </c>
      <c r="V656">
        <f t="shared" ref="V656:W656" si="679">V632</f>
        <v>2.9</v>
      </c>
      <c r="W656">
        <f t="shared" si="679"/>
        <v>3.1</v>
      </c>
      <c r="X656" s="9">
        <v>3.2310436</v>
      </c>
    </row>
    <row r="657" spans="1:24">
      <c r="A657" s="29">
        <f t="shared" si="667"/>
        <v>45863.249999998414</v>
      </c>
      <c r="B657" s="30">
        <f t="shared" si="622"/>
        <v>8000</v>
      </c>
      <c r="C657" s="8">
        <v>25000</v>
      </c>
      <c r="D657" s="8">
        <v>0</v>
      </c>
      <c r="E657" s="8">
        <v>700</v>
      </c>
      <c r="F657" s="8">
        <v>15000</v>
      </c>
      <c r="G657" s="30">
        <f t="shared" si="623"/>
        <v>2400</v>
      </c>
      <c r="H657" s="8">
        <v>25000</v>
      </c>
      <c r="I657" s="30">
        <f t="shared" si="624"/>
        <v>8000</v>
      </c>
      <c r="J657" s="8">
        <v>25000</v>
      </c>
      <c r="K657" s="30">
        <f t="shared" si="625"/>
        <v>8000</v>
      </c>
      <c r="L657" s="8">
        <v>25000</v>
      </c>
      <c r="M657" s="9">
        <f>VLOOKUP(DATE(YEAR(A657),MONTH(A657),DAY(A657)),FY24_Temp[],4,FALSE)</f>
        <v>8.4</v>
      </c>
      <c r="N657" s="9">
        <f>VLOOKUP(DATE(YEAR(A657),MONTH(A657),DAY(A657)),FY24_Temp[],3,FALSE)</f>
        <v>12.8</v>
      </c>
      <c r="O657" s="9">
        <v>13.5</v>
      </c>
      <c r="P657" s="9">
        <v>19.5</v>
      </c>
      <c r="Q657" s="79">
        <f>VLOOKUP(VLOOKUP(DATEVALUE(TEXT(A657,"m/d/yyyy")),FY24_Temp[],5,FALSE)&amp;TEXT(A657,"-h"),Table6[],4,FALSE)</f>
        <v>2.2328571251460483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VLOOKUP(TEXT(A657,"yy-mm")&amp;"-"&amp;IF(AND(WEEKDAY(A657)&gt;1,WEEKDAY(A657)&lt;7),"Wkd",TEXT(A657,"Ddd"))&amp;"-"&amp;TEXT(A657,"hh"),LoadTable[],5,FALSE)*0.92</f>
        <v>279.25312000000002</v>
      </c>
      <c r="U657" s="104">
        <f>VLOOKUP(TEXT(A657,"yy-mm")&amp;"-"&amp;IF(AND(WEEKDAY(A657)&gt;1,WEEKDAY(A657)&lt;7),"Wkd",TEXT(A657,"Ddd"))&amp;"-"&amp;TEXT(A657,"hh"),LoadTable[],6,FALSE)*T657</f>
        <v>26238.902408320002</v>
      </c>
      <c r="V657">
        <f t="shared" ref="V657:W657" si="680">V633</f>
        <v>2.5</v>
      </c>
      <c r="W657">
        <f t="shared" si="680"/>
        <v>3.1</v>
      </c>
      <c r="X657" s="9">
        <v>3.2937973</v>
      </c>
    </row>
    <row r="658" spans="1:24">
      <c r="A658" s="29">
        <f t="shared" si="667"/>
        <v>45863.291666665078</v>
      </c>
      <c r="B658" s="30">
        <f t="shared" si="622"/>
        <v>8000</v>
      </c>
      <c r="C658" s="8">
        <v>25000</v>
      </c>
      <c r="D658" s="8">
        <v>0</v>
      </c>
      <c r="E658" s="8">
        <v>700</v>
      </c>
      <c r="F658" s="8">
        <v>15000</v>
      </c>
      <c r="G658" s="30">
        <f t="shared" si="623"/>
        <v>2400</v>
      </c>
      <c r="H658" s="8">
        <v>25000</v>
      </c>
      <c r="I658" s="30">
        <f t="shared" si="624"/>
        <v>8000</v>
      </c>
      <c r="J658" s="8">
        <v>25000</v>
      </c>
      <c r="K658" s="30">
        <f t="shared" si="625"/>
        <v>8000</v>
      </c>
      <c r="L658" s="8">
        <v>25000</v>
      </c>
      <c r="M658" s="9">
        <f>VLOOKUP(DATE(YEAR(A658),MONTH(A658),DAY(A658)),FY24_Temp[],4,FALSE)</f>
        <v>8.4</v>
      </c>
      <c r="N658" s="9">
        <f>VLOOKUP(DATE(YEAR(A658),MONTH(A658),DAY(A658)),FY24_Temp[],3,FALSE)</f>
        <v>12.8</v>
      </c>
      <c r="O658" s="9">
        <v>13.5</v>
      </c>
      <c r="P658" s="9">
        <v>19.5</v>
      </c>
      <c r="Q658" s="79">
        <f>VLOOKUP(VLOOKUP(DATEVALUE(TEXT(A658,"m/d/yyyy")),FY24_Temp[],5,FALSE)&amp;TEXT(A658,"-h"),Table6[],4,FALSE)</f>
        <v>2.127857106072562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VLOOKUP(TEXT(A658,"yy-mm")&amp;"-"&amp;IF(AND(WEEKDAY(A658)&gt;1,WEEKDAY(A658)&lt;7),"Wkd",TEXT(A658,"Ddd"))&amp;"-"&amp;TEXT(A658,"hh"),LoadTable[],5,FALSE)*0.92</f>
        <v>279.25312000000002</v>
      </c>
      <c r="U658" s="104">
        <f>VLOOKUP(TEXT(A658,"yy-mm")&amp;"-"&amp;IF(AND(WEEKDAY(A658)&gt;1,WEEKDAY(A658)&lt;7),"Wkd",TEXT(A658,"Ddd"))&amp;"-"&amp;TEXT(A658,"hh"),LoadTable[],6,FALSE)*T658</f>
        <v>22145.051669120003</v>
      </c>
      <c r="V658">
        <f t="shared" ref="V658:W658" si="681">V634</f>
        <v>2.5</v>
      </c>
      <c r="W658">
        <f t="shared" si="681"/>
        <v>3.1</v>
      </c>
      <c r="X658" s="9">
        <v>3.2920983000000001</v>
      </c>
    </row>
    <row r="659" spans="1:24">
      <c r="A659" s="29">
        <f t="shared" si="667"/>
        <v>45863.333333331742</v>
      </c>
      <c r="B659" s="30">
        <f t="shared" si="622"/>
        <v>8000</v>
      </c>
      <c r="C659" s="8">
        <v>25000</v>
      </c>
      <c r="D659" s="8">
        <v>0</v>
      </c>
      <c r="E659" s="8">
        <v>700</v>
      </c>
      <c r="F659" s="8">
        <v>15000</v>
      </c>
      <c r="G659" s="30">
        <f t="shared" si="623"/>
        <v>2400</v>
      </c>
      <c r="H659" s="8">
        <v>25000</v>
      </c>
      <c r="I659" s="30">
        <f t="shared" si="624"/>
        <v>8000</v>
      </c>
      <c r="J659" s="8">
        <v>25000</v>
      </c>
      <c r="K659" s="30">
        <f t="shared" si="625"/>
        <v>8000</v>
      </c>
      <c r="L659" s="8">
        <v>25000</v>
      </c>
      <c r="M659" s="9">
        <f>VLOOKUP(DATE(YEAR(A659),MONTH(A659),DAY(A659)),FY24_Temp[],4,FALSE)</f>
        <v>8.4</v>
      </c>
      <c r="N659" s="9">
        <f>VLOOKUP(DATE(YEAR(A659),MONTH(A659),DAY(A659)),FY24_Temp[],3,FALSE)</f>
        <v>12.8</v>
      </c>
      <c r="O659" s="9">
        <v>13.5</v>
      </c>
      <c r="P659" s="9">
        <v>19.5</v>
      </c>
      <c r="Q659" s="79">
        <f>VLOOKUP(VLOOKUP(DATEVALUE(TEXT(A659,"m/d/yyyy")),FY24_Temp[],5,FALSE)&amp;TEXT(A659,"-h"),Table6[],4,FALSE)</f>
        <v>2.00528575692858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VLOOKUP(TEXT(A659,"yy-mm")&amp;"-"&amp;IF(AND(WEEKDAY(A659)&gt;1,WEEKDAY(A659)&lt;7),"Wkd",TEXT(A659,"Ddd"))&amp;"-"&amp;TEXT(A659,"hh"),LoadTable[],5,FALSE)*0.92</f>
        <v>279.25312000000002</v>
      </c>
      <c r="U659" s="104">
        <f>VLOOKUP(TEXT(A659,"yy-mm")&amp;"-"&amp;IF(AND(WEEKDAY(A659)&gt;1,WEEKDAY(A659)&lt;7),"Wkd",TEXT(A659,"Ddd"))&amp;"-"&amp;TEXT(A659,"hh"),LoadTable[],6,FALSE)*T659</f>
        <v>17686.77560832</v>
      </c>
      <c r="V659">
        <f t="shared" ref="V659:W659" si="682">V635</f>
        <v>3.2</v>
      </c>
      <c r="W659">
        <f t="shared" si="682"/>
        <v>3</v>
      </c>
      <c r="X659" s="9">
        <v>3.3316870000000001</v>
      </c>
    </row>
    <row r="660" spans="1:24">
      <c r="A660" s="29">
        <f t="shared" si="667"/>
        <v>45863.374999998407</v>
      </c>
      <c r="B660" s="30">
        <f t="shared" si="622"/>
        <v>8000</v>
      </c>
      <c r="C660" s="8">
        <v>25000</v>
      </c>
      <c r="D660" s="8">
        <v>0</v>
      </c>
      <c r="E660" s="8">
        <v>700</v>
      </c>
      <c r="F660" s="8">
        <v>15000</v>
      </c>
      <c r="G660" s="30">
        <f t="shared" si="623"/>
        <v>2400</v>
      </c>
      <c r="H660" s="8">
        <v>25000</v>
      </c>
      <c r="I660" s="30">
        <f t="shared" si="624"/>
        <v>8000</v>
      </c>
      <c r="J660" s="8">
        <v>25000</v>
      </c>
      <c r="K660" s="30">
        <f t="shared" si="625"/>
        <v>8000</v>
      </c>
      <c r="L660" s="8">
        <v>25000</v>
      </c>
      <c r="M660" s="9">
        <f>VLOOKUP(DATE(YEAR(A660),MONTH(A660),DAY(A660)),FY24_Temp[],4,FALSE)</f>
        <v>8.4</v>
      </c>
      <c r="N660" s="9">
        <f>VLOOKUP(DATE(YEAR(A660),MONTH(A660),DAY(A660)),FY24_Temp[],3,FALSE)</f>
        <v>12.8</v>
      </c>
      <c r="O660" s="9">
        <v>13.5</v>
      </c>
      <c r="P660" s="9">
        <v>19.5</v>
      </c>
      <c r="Q660" s="79">
        <f>VLOOKUP(VLOOKUP(DATEVALUE(TEXT(A660,"m/d/yyyy")),FY24_Temp[],5,FALSE)&amp;TEXT(A660,"-h"),Table6[],4,FALSE)</f>
        <v>1.90142856325422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VLOOKUP(TEXT(A660,"yy-mm")&amp;"-"&amp;IF(AND(WEEKDAY(A660)&gt;1,WEEKDAY(A660)&lt;7),"Wkd",TEXT(A660,"Ddd"))&amp;"-"&amp;TEXT(A660,"hh"),LoadTable[],5,FALSE)*0.92</f>
        <v>279.25312000000002</v>
      </c>
      <c r="U660" s="104">
        <f>VLOOKUP(TEXT(A660,"yy-mm")&amp;"-"&amp;IF(AND(WEEKDAY(A660)&gt;1,WEEKDAY(A660)&lt;7),"Wkd",TEXT(A660,"Ddd"))&amp;"-"&amp;TEXT(A660,"hh"),LoadTable[],6,FALSE)*T660</f>
        <v>14265.924888320002</v>
      </c>
      <c r="V660">
        <f t="shared" ref="V660:W660" si="683">V636</f>
        <v>2.9</v>
      </c>
      <c r="W660">
        <f t="shared" si="683"/>
        <v>3</v>
      </c>
      <c r="X660" s="9">
        <v>3.3968041000000002</v>
      </c>
    </row>
    <row r="661" spans="1:24">
      <c r="A661" s="29">
        <f t="shared" si="667"/>
        <v>45863.416666665071</v>
      </c>
      <c r="B661" s="30">
        <f t="shared" si="622"/>
        <v>8000</v>
      </c>
      <c r="C661" s="8">
        <v>25000</v>
      </c>
      <c r="D661" s="8">
        <v>0</v>
      </c>
      <c r="E661" s="8">
        <v>700</v>
      </c>
      <c r="F661" s="8">
        <v>15000</v>
      </c>
      <c r="G661" s="30">
        <f t="shared" si="623"/>
        <v>2400</v>
      </c>
      <c r="H661" s="8">
        <v>25000</v>
      </c>
      <c r="I661" s="30">
        <f t="shared" si="624"/>
        <v>8000</v>
      </c>
      <c r="J661" s="8">
        <v>25000</v>
      </c>
      <c r="K661" s="30">
        <f t="shared" si="625"/>
        <v>8000</v>
      </c>
      <c r="L661" s="8">
        <v>25000</v>
      </c>
      <c r="M661" s="9">
        <f>VLOOKUP(DATE(YEAR(A661),MONTH(A661),DAY(A661)),FY24_Temp[],4,FALSE)</f>
        <v>8.4</v>
      </c>
      <c r="N661" s="9">
        <f>VLOOKUP(DATE(YEAR(A661),MONTH(A661),DAY(A661)),FY24_Temp[],3,FALSE)</f>
        <v>12.8</v>
      </c>
      <c r="O661" s="9">
        <v>13.5</v>
      </c>
      <c r="P661" s="9">
        <v>19.5</v>
      </c>
      <c r="Q661" s="79">
        <f>VLOOKUP(VLOOKUP(DATEVALUE(TEXT(A661,"m/d/yyyy")),FY24_Temp[],5,FALSE)&amp;TEXT(A661,"-h"),Table6[],4,FALSE)</f>
        <v>1.8012857096535819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VLOOKUP(TEXT(A661,"yy-mm")&amp;"-"&amp;IF(AND(WEEKDAY(A661)&gt;1,WEEKDAY(A661)&lt;7),"Wkd",TEXT(A661,"Ddd"))&amp;"-"&amp;TEXT(A661,"hh"),LoadTable[],5,FALSE)*0.92</f>
        <v>279.25312000000002</v>
      </c>
      <c r="U661" s="104">
        <f>VLOOKUP(TEXT(A661,"yy-mm")&amp;"-"&amp;IF(AND(WEEKDAY(A661)&gt;1,WEEKDAY(A661)&lt;7),"Wkd",TEXT(A661,"Ddd"))&amp;"-"&amp;TEXT(A661,"hh"),LoadTable[],6,FALSE)*T661</f>
        <v>13649.054746240003</v>
      </c>
      <c r="V661">
        <f t="shared" ref="V661:W661" si="684">V637</f>
        <v>2.9</v>
      </c>
      <c r="W661">
        <f t="shared" si="684"/>
        <v>3</v>
      </c>
      <c r="X661" s="9">
        <v>3.3920881999999999</v>
      </c>
    </row>
    <row r="662" spans="1:24">
      <c r="A662" s="29">
        <f t="shared" si="667"/>
        <v>45863.458333331735</v>
      </c>
      <c r="B662" s="30">
        <f t="shared" si="622"/>
        <v>8000</v>
      </c>
      <c r="C662" s="8">
        <v>25000</v>
      </c>
      <c r="D662" s="8">
        <v>0</v>
      </c>
      <c r="E662" s="8">
        <v>700</v>
      </c>
      <c r="F662" s="8">
        <v>15000</v>
      </c>
      <c r="G662" s="30">
        <f t="shared" si="623"/>
        <v>2400</v>
      </c>
      <c r="H662" s="8">
        <v>25000</v>
      </c>
      <c r="I662" s="30">
        <f t="shared" si="624"/>
        <v>8000</v>
      </c>
      <c r="J662" s="8">
        <v>25000</v>
      </c>
      <c r="K662" s="30">
        <f t="shared" si="625"/>
        <v>8000</v>
      </c>
      <c r="L662" s="8">
        <v>25000</v>
      </c>
      <c r="M662" s="9">
        <f>VLOOKUP(DATE(YEAR(A662),MONTH(A662),DAY(A662)),FY24_Temp[],4,FALSE)</f>
        <v>8.4</v>
      </c>
      <c r="N662" s="9">
        <f>VLOOKUP(DATE(YEAR(A662),MONTH(A662),DAY(A662)),FY24_Temp[],3,FALSE)</f>
        <v>12.8</v>
      </c>
      <c r="O662" s="9">
        <v>13.5</v>
      </c>
      <c r="P662" s="9">
        <v>19.5</v>
      </c>
      <c r="Q662" s="79">
        <f>VLOOKUP(VLOOKUP(DATEVALUE(TEXT(A662,"m/d/yyyy")),FY24_Temp[],5,FALSE)&amp;TEXT(A662,"-h"),Table6[],4,FALSE)</f>
        <v>1.6742857013429915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VLOOKUP(TEXT(A662,"yy-mm")&amp;"-"&amp;IF(AND(WEEKDAY(A662)&gt;1,WEEKDAY(A662)&lt;7),"Wkd",TEXT(A662,"Ddd"))&amp;"-"&amp;TEXT(A662,"hh"),LoadTable[],5,FALSE)*0.92</f>
        <v>279.25312000000002</v>
      </c>
      <c r="U662" s="104">
        <f>VLOOKUP(TEXT(A662,"yy-mm")&amp;"-"&amp;IF(AND(WEEKDAY(A662)&gt;1,WEEKDAY(A662)&lt;7),"Wkd",TEXT(A662,"Ddd"))&amp;"-"&amp;TEXT(A662,"hh"),LoadTable[],6,FALSE)*T662</f>
        <v>13153.938964480001</v>
      </c>
      <c r="V662">
        <f t="shared" ref="V662:W662" si="685">V638</f>
        <v>3.4</v>
      </c>
      <c r="W662">
        <f t="shared" si="685"/>
        <v>3</v>
      </c>
      <c r="X662" s="9">
        <v>3.2269363000000002</v>
      </c>
    </row>
    <row r="663" spans="1:24">
      <c r="A663" s="29">
        <f t="shared" si="667"/>
        <v>45863.499999998399</v>
      </c>
      <c r="B663" s="30">
        <f t="shared" si="622"/>
        <v>8000</v>
      </c>
      <c r="C663" s="8">
        <v>25000</v>
      </c>
      <c r="D663" s="8">
        <v>0</v>
      </c>
      <c r="E663" s="8">
        <v>700</v>
      </c>
      <c r="F663" s="8">
        <v>15000</v>
      </c>
      <c r="G663" s="30">
        <f t="shared" si="623"/>
        <v>2400</v>
      </c>
      <c r="H663" s="8">
        <v>25000</v>
      </c>
      <c r="I663" s="30">
        <f t="shared" si="624"/>
        <v>8000</v>
      </c>
      <c r="J663" s="8">
        <v>25000</v>
      </c>
      <c r="K663" s="30">
        <f t="shared" si="625"/>
        <v>8000</v>
      </c>
      <c r="L663" s="8">
        <v>25000</v>
      </c>
      <c r="M663" s="9">
        <f>VLOOKUP(DATE(YEAR(A663),MONTH(A663),DAY(A663)),FY24_Temp[],4,FALSE)</f>
        <v>8.4</v>
      </c>
      <c r="N663" s="9">
        <f>VLOOKUP(DATE(YEAR(A663),MONTH(A663),DAY(A663)),FY24_Temp[],3,FALSE)</f>
        <v>12.8</v>
      </c>
      <c r="O663" s="9">
        <v>13.5</v>
      </c>
      <c r="P663" s="9">
        <v>19.5</v>
      </c>
      <c r="Q663" s="79">
        <f>VLOOKUP(VLOOKUP(DATEVALUE(TEXT(A663,"m/d/yyyy")),FY24_Temp[],5,FALSE)&amp;TEXT(A663,"-h"),Table6[],4,FALSE)</f>
        <v>1.5174285684313094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VLOOKUP(TEXT(A663,"yy-mm")&amp;"-"&amp;IF(AND(WEEKDAY(A663)&gt;1,WEEKDAY(A663)&lt;7),"Wkd",TEXT(A663,"Ddd"))&amp;"-"&amp;TEXT(A663,"hh"),LoadTable[],5,FALSE)*0.92</f>
        <v>279.25312000000002</v>
      </c>
      <c r="U663" s="104">
        <f>VLOOKUP(TEXT(A663,"yy-mm")&amp;"-"&amp;IF(AND(WEEKDAY(A663)&gt;1,WEEKDAY(A663)&lt;7),"Wkd",TEXT(A663,"Ddd"))&amp;"-"&amp;TEXT(A663,"hh"),LoadTable[],6,FALSE)*T663</f>
        <v>13898.427782400002</v>
      </c>
      <c r="V663">
        <f t="shared" ref="V663:W663" si="686">V639</f>
        <v>3.1</v>
      </c>
      <c r="W663">
        <f t="shared" si="686"/>
        <v>2.9</v>
      </c>
      <c r="X663" s="9">
        <v>3.0398765000000001</v>
      </c>
    </row>
    <row r="664" spans="1:24">
      <c r="A664" s="29">
        <f t="shared" si="667"/>
        <v>45863.541666665064</v>
      </c>
      <c r="B664" s="30">
        <f t="shared" si="622"/>
        <v>8000</v>
      </c>
      <c r="C664" s="8">
        <v>25000</v>
      </c>
      <c r="D664" s="8">
        <v>0</v>
      </c>
      <c r="E664" s="8">
        <v>700</v>
      </c>
      <c r="F664" s="8">
        <v>15000</v>
      </c>
      <c r="G664" s="30">
        <f t="shared" si="623"/>
        <v>2400</v>
      </c>
      <c r="H664" s="8">
        <v>25000</v>
      </c>
      <c r="I664" s="30">
        <f t="shared" si="624"/>
        <v>8000</v>
      </c>
      <c r="J664" s="8">
        <v>25000</v>
      </c>
      <c r="K664" s="30">
        <f t="shared" si="625"/>
        <v>8000</v>
      </c>
      <c r="L664" s="8">
        <v>25000</v>
      </c>
      <c r="M664" s="9">
        <f>VLOOKUP(DATE(YEAR(A664),MONTH(A664),DAY(A664)),FY24_Temp[],4,FALSE)</f>
        <v>8.4</v>
      </c>
      <c r="N664" s="9">
        <f>VLOOKUP(DATE(YEAR(A664),MONTH(A664),DAY(A664)),FY24_Temp[],3,FALSE)</f>
        <v>12.8</v>
      </c>
      <c r="O664" s="9">
        <v>13.5</v>
      </c>
      <c r="P664" s="9">
        <v>19.5</v>
      </c>
      <c r="Q664" s="79">
        <f>VLOOKUP(VLOOKUP(DATEVALUE(TEXT(A664,"m/d/yyyy")),FY24_Temp[],5,FALSE)&amp;TEXT(A664,"-h"),Table6[],4,FALSE)</f>
        <v>1.3370000123977661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VLOOKUP(TEXT(A664,"yy-mm")&amp;"-"&amp;IF(AND(WEEKDAY(A664)&gt;1,WEEKDAY(A664)&lt;7),"Wkd",TEXT(A664,"Ddd"))&amp;"-"&amp;TEXT(A664,"hh"),LoadTable[],5,FALSE)*0.92</f>
        <v>279.25312000000002</v>
      </c>
      <c r="U664" s="104">
        <f>VLOOKUP(TEXT(A664,"yy-mm")&amp;"-"&amp;IF(AND(WEEKDAY(A664)&gt;1,WEEKDAY(A664)&lt;7),"Wkd",TEXT(A664,"Ddd"))&amp;"-"&amp;TEXT(A664,"hh"),LoadTable[],6,FALSE)*T664</f>
        <v>16526.1996416</v>
      </c>
      <c r="V664">
        <f t="shared" ref="V664:W664" si="687">V640</f>
        <v>3.2</v>
      </c>
      <c r="W664">
        <f t="shared" si="687"/>
        <v>2.9</v>
      </c>
      <c r="X664" s="9">
        <v>2.8682544000000001</v>
      </c>
    </row>
    <row r="665" spans="1:24">
      <c r="A665" s="29">
        <f t="shared" si="667"/>
        <v>45863.583333331728</v>
      </c>
      <c r="B665" s="30">
        <f t="shared" si="622"/>
        <v>8000</v>
      </c>
      <c r="C665" s="8">
        <v>25000</v>
      </c>
      <c r="D665" s="8">
        <v>0</v>
      </c>
      <c r="E665" s="8">
        <v>700</v>
      </c>
      <c r="F665" s="8">
        <v>15000</v>
      </c>
      <c r="G665" s="30">
        <f t="shared" si="623"/>
        <v>2400</v>
      </c>
      <c r="H665" s="8">
        <v>25000</v>
      </c>
      <c r="I665" s="30">
        <f t="shared" si="624"/>
        <v>8000</v>
      </c>
      <c r="J665" s="8">
        <v>25000</v>
      </c>
      <c r="K665" s="30">
        <f t="shared" si="625"/>
        <v>8000</v>
      </c>
      <c r="L665" s="8">
        <v>25000</v>
      </c>
      <c r="M665" s="9">
        <f>VLOOKUP(DATE(YEAR(A665),MONTH(A665),DAY(A665)),FY24_Temp[],4,FALSE)</f>
        <v>8.4</v>
      </c>
      <c r="N665" s="9">
        <f>VLOOKUP(DATE(YEAR(A665),MONTH(A665),DAY(A665)),FY24_Temp[],3,FALSE)</f>
        <v>12.8</v>
      </c>
      <c r="O665" s="9">
        <v>13.5</v>
      </c>
      <c r="P665" s="9">
        <v>19.5</v>
      </c>
      <c r="Q665" s="79">
        <f>VLOOKUP(VLOOKUP(DATEVALUE(TEXT(A665,"m/d/yyyy")),FY24_Temp[],5,FALSE)&amp;TEXT(A665,"-h"),Table6[],4,FALSE)</f>
        <v>1.1481428657259261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VLOOKUP(TEXT(A665,"yy-mm")&amp;"-"&amp;IF(AND(WEEKDAY(A665)&gt;1,WEEKDAY(A665)&lt;7),"Wkd",TEXT(A665,"Ddd"))&amp;"-"&amp;TEXT(A665,"hh"),LoadTable[],5,FALSE)*0.92</f>
        <v>373.26607999999999</v>
      </c>
      <c r="U665" s="104">
        <f>VLOOKUP(TEXT(A665,"yy-mm")&amp;"-"&amp;IF(AND(WEEKDAY(A665)&gt;1,WEEKDAY(A665)&lt;7),"Wkd",TEXT(A665,"Ddd"))&amp;"-"&amp;TEXT(A665,"hh"),LoadTable[],6,FALSE)*T665</f>
        <v>27132.338089119996</v>
      </c>
      <c r="V665">
        <f t="shared" ref="V665:W665" si="688">V641</f>
        <v>3.5</v>
      </c>
      <c r="W665">
        <f t="shared" si="688"/>
        <v>2.9</v>
      </c>
      <c r="X665" s="9">
        <v>2.9373007000000002</v>
      </c>
    </row>
    <row r="666" spans="1:24">
      <c r="A666" s="29">
        <f t="shared" si="667"/>
        <v>45863.624999998392</v>
      </c>
      <c r="B666" s="30">
        <f t="shared" si="622"/>
        <v>8000</v>
      </c>
      <c r="C666" s="8">
        <v>25000</v>
      </c>
      <c r="D666" s="8">
        <v>0</v>
      </c>
      <c r="E666" s="8">
        <v>700</v>
      </c>
      <c r="F666" s="8">
        <v>15000</v>
      </c>
      <c r="G666" s="30">
        <f t="shared" si="623"/>
        <v>2400</v>
      </c>
      <c r="H666" s="8">
        <v>25000</v>
      </c>
      <c r="I666" s="30">
        <f t="shared" si="624"/>
        <v>8000</v>
      </c>
      <c r="J666" s="8">
        <v>25000</v>
      </c>
      <c r="K666" s="30">
        <f t="shared" si="625"/>
        <v>8000</v>
      </c>
      <c r="L666" s="8">
        <v>25000</v>
      </c>
      <c r="M666" s="9">
        <f>VLOOKUP(DATE(YEAR(A666),MONTH(A666),DAY(A666)),FY24_Temp[],4,FALSE)</f>
        <v>8.4</v>
      </c>
      <c r="N666" s="9">
        <f>VLOOKUP(DATE(YEAR(A666),MONTH(A666),DAY(A666)),FY24_Temp[],3,FALSE)</f>
        <v>12.8</v>
      </c>
      <c r="O666" s="9">
        <v>13.5</v>
      </c>
      <c r="P666" s="9">
        <v>19.5</v>
      </c>
      <c r="Q666" s="79">
        <f>VLOOKUP(VLOOKUP(DATEVALUE(TEXT(A666,"m/d/yyyy")),FY24_Temp[],5,FALSE)&amp;TEXT(A666,"-h"),Table6[],4,FALSE)</f>
        <v>0.98957143511090961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VLOOKUP(TEXT(A666,"yy-mm")&amp;"-"&amp;IF(AND(WEEKDAY(A666)&gt;1,WEEKDAY(A666)&lt;7),"Wkd",TEXT(A666,"Ddd"))&amp;"-"&amp;TEXT(A666,"hh"),LoadTable[],5,FALSE)*0.92</f>
        <v>494.57360000000006</v>
      </c>
      <c r="U666" s="104">
        <f>VLOOKUP(TEXT(A666,"yy-mm")&amp;"-"&amp;IF(AND(WEEKDAY(A666)&gt;1,WEEKDAY(A666)&lt;7),"Wkd",TEXT(A666,"Ddd"))&amp;"-"&amp;TEXT(A666,"hh"),LoadTable[],6,FALSE)*T666</f>
        <v>42310.771480000003</v>
      </c>
      <c r="V666">
        <f t="shared" ref="V666:W666" si="689">V642</f>
        <v>3.2</v>
      </c>
      <c r="W666">
        <f t="shared" si="689"/>
        <v>2.9</v>
      </c>
      <c r="X666" s="9">
        <v>3.3027215000000001</v>
      </c>
    </row>
    <row r="667" spans="1:24">
      <c r="A667" s="29">
        <f t="shared" si="667"/>
        <v>45863.666666665056</v>
      </c>
      <c r="B667" s="30">
        <f t="shared" si="622"/>
        <v>8000</v>
      </c>
      <c r="C667" s="8">
        <v>25000</v>
      </c>
      <c r="D667" s="8">
        <v>0</v>
      </c>
      <c r="E667" s="8">
        <v>700</v>
      </c>
      <c r="F667" s="8">
        <v>15000</v>
      </c>
      <c r="G667" s="30">
        <f t="shared" si="623"/>
        <v>2400</v>
      </c>
      <c r="H667" s="8">
        <v>25000</v>
      </c>
      <c r="I667" s="30">
        <f t="shared" si="624"/>
        <v>8000</v>
      </c>
      <c r="J667" s="8">
        <v>25000</v>
      </c>
      <c r="K667" s="30">
        <f t="shared" si="625"/>
        <v>8000</v>
      </c>
      <c r="L667" s="8">
        <v>25000</v>
      </c>
      <c r="M667" s="9">
        <f>VLOOKUP(DATE(YEAR(A667),MONTH(A667),DAY(A667)),FY24_Temp[],4,FALSE)</f>
        <v>8.4</v>
      </c>
      <c r="N667" s="9">
        <f>VLOOKUP(DATE(YEAR(A667),MONTH(A667),DAY(A667)),FY24_Temp[],3,FALSE)</f>
        <v>12.8</v>
      </c>
      <c r="O667" s="9">
        <v>13.5</v>
      </c>
      <c r="P667" s="9">
        <v>19.5</v>
      </c>
      <c r="Q667" s="79">
        <f>VLOOKUP(VLOOKUP(DATEVALUE(TEXT(A667,"m/d/yyyy")),FY24_Temp[],5,FALSE)&amp;TEXT(A667,"-h"),Table6[],4,FALSE)</f>
        <v>0.95228569848196842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VLOOKUP(TEXT(A667,"yy-mm")&amp;"-"&amp;IF(AND(WEEKDAY(A667)&gt;1,WEEKDAY(A667)&lt;7),"Wkd",TEXT(A667,"Ddd"))&amp;"-"&amp;TEXT(A667,"hh"),LoadTable[],5,FALSE)*0.92</f>
        <v>494.57360000000006</v>
      </c>
      <c r="U667" s="104">
        <f>VLOOKUP(TEXT(A667,"yy-mm")&amp;"-"&amp;IF(AND(WEEKDAY(A667)&gt;1,WEEKDAY(A667)&lt;7),"Wkd",TEXT(A667,"Ddd"))&amp;"-"&amp;TEXT(A667,"hh"),LoadTable[],6,FALSE)*T667</f>
        <v>50694.28857360001</v>
      </c>
      <c r="V667">
        <f t="shared" ref="V667:W667" si="690">V643</f>
        <v>3.5</v>
      </c>
      <c r="W667">
        <f t="shared" si="690"/>
        <v>3</v>
      </c>
      <c r="X667" s="9">
        <v>3.1862178000000001</v>
      </c>
    </row>
    <row r="668" spans="1:24">
      <c r="A668" s="29">
        <f t="shared" si="667"/>
        <v>45863.70833333172</v>
      </c>
      <c r="B668" s="30">
        <f t="shared" ref="B668:B731" si="691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30">
        <f t="shared" ref="G668:G731" si="692">G644</f>
        <v>2400</v>
      </c>
      <c r="H668" s="8">
        <v>25000</v>
      </c>
      <c r="I668" s="30">
        <f t="shared" ref="I668:I731" si="693">I644</f>
        <v>8000</v>
      </c>
      <c r="J668" s="8">
        <v>25000</v>
      </c>
      <c r="K668" s="30">
        <f t="shared" ref="K668:K731" si="694">K644</f>
        <v>8000</v>
      </c>
      <c r="L668" s="8">
        <v>25000</v>
      </c>
      <c r="M668" s="9">
        <f>VLOOKUP(DATE(YEAR(A668),MONTH(A668),DAY(A668)),FY24_Temp[],4,FALSE)</f>
        <v>8.4</v>
      </c>
      <c r="N668" s="9">
        <f>VLOOKUP(DATE(YEAR(A668),MONTH(A668),DAY(A668)),FY24_Temp[],3,FALSE)</f>
        <v>12.8</v>
      </c>
      <c r="O668" s="9">
        <v>13.5</v>
      </c>
      <c r="P668" s="9">
        <v>19.5</v>
      </c>
      <c r="Q668" s="79">
        <f>VLOOKUP(VLOOKUP(DATEVALUE(TEXT(A668,"m/d/yyyy")),FY24_Temp[],5,FALSE)&amp;TEXT(A668,"-h"),Table6[],4,FALSE)</f>
        <v>1.1852857215063912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VLOOKUP(TEXT(A668,"yy-mm")&amp;"-"&amp;IF(AND(WEEKDAY(A668)&gt;1,WEEKDAY(A668)&lt;7),"Wkd",TEXT(A668,"Ddd"))&amp;"-"&amp;TEXT(A668,"hh"),LoadTable[],5,FALSE)*0.92</f>
        <v>494.57360000000006</v>
      </c>
      <c r="U668" s="104">
        <f>VLOOKUP(TEXT(A668,"yy-mm")&amp;"-"&amp;IF(AND(WEEKDAY(A668)&gt;1,WEEKDAY(A668)&lt;7),"Wkd",TEXT(A668,"Ddd"))&amp;"-"&amp;TEXT(A668,"hh"),LoadTable[],6,FALSE)*T668</f>
        <v>56025.791981600007</v>
      </c>
      <c r="V668">
        <f t="shared" ref="V668:W668" si="695">V644</f>
        <v>3.6</v>
      </c>
      <c r="W668">
        <f t="shared" si="695"/>
        <v>3</v>
      </c>
      <c r="X668" s="9">
        <v>3.1233795</v>
      </c>
    </row>
    <row r="669" spans="1:24">
      <c r="A669" s="29">
        <f t="shared" si="667"/>
        <v>45863.749999998385</v>
      </c>
      <c r="B669" s="30">
        <f t="shared" si="691"/>
        <v>5000</v>
      </c>
      <c r="C669" s="8">
        <v>25000</v>
      </c>
      <c r="D669" s="8">
        <v>0</v>
      </c>
      <c r="E669" s="8">
        <v>700</v>
      </c>
      <c r="F669" s="8">
        <v>15000</v>
      </c>
      <c r="G669" s="30">
        <f t="shared" si="692"/>
        <v>2400</v>
      </c>
      <c r="H669" s="8">
        <v>25000</v>
      </c>
      <c r="I669" s="30">
        <f t="shared" si="693"/>
        <v>5000</v>
      </c>
      <c r="J669" s="8">
        <v>25000</v>
      </c>
      <c r="K669" s="30">
        <f t="shared" si="694"/>
        <v>5000</v>
      </c>
      <c r="L669" s="8">
        <v>25000</v>
      </c>
      <c r="M669" s="9">
        <f>VLOOKUP(DATE(YEAR(A669),MONTH(A669),DAY(A669)),FY24_Temp[],4,FALSE)</f>
        <v>8.4</v>
      </c>
      <c r="N669" s="9">
        <f>VLOOKUP(DATE(YEAR(A669),MONTH(A669),DAY(A669)),FY24_Temp[],3,FALSE)</f>
        <v>12.8</v>
      </c>
      <c r="O669" s="9">
        <v>13.5</v>
      </c>
      <c r="P669" s="9">
        <v>19.5</v>
      </c>
      <c r="Q669" s="79">
        <f>VLOOKUP(VLOOKUP(DATEVALUE(TEXT(A669,"m/d/yyyy")),FY24_Temp[],5,FALSE)&amp;TEXT(A669,"-h"),Table6[],4,FALSE)</f>
        <v>1.5737142562866211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VLOOKUP(TEXT(A669,"yy-mm")&amp;"-"&amp;IF(AND(WEEKDAY(A669)&gt;1,WEEKDAY(A669)&lt;7),"Wkd",TEXT(A669,"Ddd"))&amp;"-"&amp;TEXT(A669,"hh"),LoadTable[],5,FALSE)*0.92</f>
        <v>494.57360000000006</v>
      </c>
      <c r="U669" s="104">
        <f>VLOOKUP(TEXT(A669,"yy-mm")&amp;"-"&amp;IF(AND(WEEKDAY(A669)&gt;1,WEEKDAY(A669)&lt;7),"Wkd",TEXT(A669,"Ddd"))&amp;"-"&amp;TEXT(A669,"hh"),LoadTable[],6,FALSE)*T669</f>
        <v>60164.383866400007</v>
      </c>
      <c r="V669">
        <f t="shared" ref="V669:W669" si="696">V645</f>
        <v>2.9</v>
      </c>
      <c r="W669">
        <f t="shared" si="696"/>
        <v>3</v>
      </c>
      <c r="X669" s="9">
        <v>3.1158755</v>
      </c>
    </row>
    <row r="670" spans="1:24">
      <c r="A670" s="29">
        <f t="shared" si="667"/>
        <v>45863.791666665049</v>
      </c>
      <c r="B670" s="30">
        <f t="shared" si="691"/>
        <v>5000</v>
      </c>
      <c r="C670" s="8">
        <v>25000</v>
      </c>
      <c r="D670" s="8">
        <v>0</v>
      </c>
      <c r="E670" s="8">
        <v>700</v>
      </c>
      <c r="F670" s="8">
        <v>15000</v>
      </c>
      <c r="G670" s="30">
        <f t="shared" si="692"/>
        <v>2400</v>
      </c>
      <c r="H670" s="8">
        <v>25000</v>
      </c>
      <c r="I670" s="30">
        <f t="shared" si="693"/>
        <v>5000</v>
      </c>
      <c r="J670" s="8">
        <v>25000</v>
      </c>
      <c r="K670" s="30">
        <f t="shared" si="694"/>
        <v>5000</v>
      </c>
      <c r="L670" s="8">
        <v>25000</v>
      </c>
      <c r="M670" s="9">
        <f>VLOOKUP(DATE(YEAR(A670),MONTH(A670),DAY(A670)),FY24_Temp[],4,FALSE)</f>
        <v>8.4</v>
      </c>
      <c r="N670" s="9">
        <f>VLOOKUP(DATE(YEAR(A670),MONTH(A670),DAY(A670)),FY24_Temp[],3,FALSE)</f>
        <v>12.8</v>
      </c>
      <c r="O670" s="9">
        <v>13.5</v>
      </c>
      <c r="P670" s="9">
        <v>19.5</v>
      </c>
      <c r="Q670" s="79">
        <f>VLOOKUP(VLOOKUP(DATEVALUE(TEXT(A670,"m/d/yyyy")),FY24_Temp[],5,FALSE)&amp;TEXT(A670,"-h"),Table6[],4,FALSE)</f>
        <v>2.4347143173217773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VLOOKUP(TEXT(A670,"yy-mm")&amp;"-"&amp;IF(AND(WEEKDAY(A670)&gt;1,WEEKDAY(A670)&lt;7),"Wkd",TEXT(A670,"Ddd"))&amp;"-"&amp;TEXT(A670,"hh"),LoadTable[],5,FALSE)*0.92</f>
        <v>494.57360000000006</v>
      </c>
      <c r="U670" s="104">
        <f>VLOOKUP(TEXT(A670,"yy-mm")&amp;"-"&amp;IF(AND(WEEKDAY(A670)&gt;1,WEEKDAY(A670)&lt;7),"Wkd",TEXT(A670,"Ddd"))&amp;"-"&amp;TEXT(A670,"hh"),LoadTable[],6,FALSE)*T670</f>
        <v>60548.172980000003</v>
      </c>
      <c r="V670">
        <f t="shared" ref="V670:W670" si="697">V646</f>
        <v>3</v>
      </c>
      <c r="W670">
        <f t="shared" si="697"/>
        <v>3</v>
      </c>
      <c r="X670" s="9">
        <v>3.0776401</v>
      </c>
    </row>
    <row r="671" spans="1:24">
      <c r="A671" s="29">
        <f t="shared" si="667"/>
        <v>45863.833333331713</v>
      </c>
      <c r="B671" s="30">
        <f t="shared" si="691"/>
        <v>5000</v>
      </c>
      <c r="C671" s="8">
        <v>25000</v>
      </c>
      <c r="D671" s="8">
        <v>0</v>
      </c>
      <c r="E671" s="8">
        <v>700</v>
      </c>
      <c r="F671" s="8">
        <v>15000</v>
      </c>
      <c r="G671" s="30">
        <f t="shared" si="692"/>
        <v>2400</v>
      </c>
      <c r="H671" s="8">
        <v>25000</v>
      </c>
      <c r="I671" s="30">
        <f t="shared" si="693"/>
        <v>5000</v>
      </c>
      <c r="J671" s="8">
        <v>25000</v>
      </c>
      <c r="K671" s="30">
        <f t="shared" si="694"/>
        <v>5000</v>
      </c>
      <c r="L671" s="8">
        <v>25000</v>
      </c>
      <c r="M671" s="9">
        <f>VLOOKUP(DATE(YEAR(A671),MONTH(A671),DAY(A671)),FY24_Temp[],4,FALSE)</f>
        <v>8.4</v>
      </c>
      <c r="N671" s="9">
        <f>VLOOKUP(DATE(YEAR(A671),MONTH(A671),DAY(A671)),FY24_Temp[],3,FALSE)</f>
        <v>12.8</v>
      </c>
      <c r="O671" s="9">
        <v>13.5</v>
      </c>
      <c r="P671" s="9">
        <v>19.5</v>
      </c>
      <c r="Q671" s="79">
        <f>VLOOKUP(VLOOKUP(DATEVALUE(TEXT(A671,"m/d/yyyy")),FY24_Temp[],5,FALSE)&amp;TEXT(A671,"-h"),Table6[],4,FALSE)</f>
        <v>3.1158571583884105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VLOOKUP(TEXT(A671,"yy-mm")&amp;"-"&amp;IF(AND(WEEKDAY(A671)&gt;1,WEEKDAY(A671)&lt;7),"Wkd",TEXT(A671,"Ddd"))&amp;"-"&amp;TEXT(A671,"hh"),LoadTable[],5,FALSE)*0.92</f>
        <v>494.57360000000006</v>
      </c>
      <c r="U671" s="104">
        <f>VLOOKUP(TEXT(A671,"yy-mm")&amp;"-"&amp;IF(AND(WEEKDAY(A671)&gt;1,WEEKDAY(A671)&lt;7),"Wkd",TEXT(A671,"Ddd"))&amp;"-"&amp;TEXT(A671,"hh"),LoadTable[],6,FALSE)*T671</f>
        <v>60532.346624800004</v>
      </c>
      <c r="V671">
        <f t="shared" ref="V671:W671" si="698">V647</f>
        <v>2.8</v>
      </c>
      <c r="W671">
        <f t="shared" si="698"/>
        <v>3.1</v>
      </c>
      <c r="X671" s="9">
        <v>3.042357</v>
      </c>
    </row>
    <row r="672" spans="1:24">
      <c r="A672" s="29">
        <f t="shared" si="667"/>
        <v>45863.874999998377</v>
      </c>
      <c r="B672" s="30">
        <f t="shared" si="691"/>
        <v>5000</v>
      </c>
      <c r="C672" s="8">
        <v>25000</v>
      </c>
      <c r="D672" s="8">
        <v>0</v>
      </c>
      <c r="E672" s="8">
        <v>700</v>
      </c>
      <c r="F672" s="8">
        <v>15000</v>
      </c>
      <c r="G672" s="30">
        <f t="shared" si="692"/>
        <v>2400</v>
      </c>
      <c r="H672" s="8">
        <v>25000</v>
      </c>
      <c r="I672" s="30">
        <f t="shared" si="693"/>
        <v>5000</v>
      </c>
      <c r="J672" s="8">
        <v>25000</v>
      </c>
      <c r="K672" s="30">
        <f t="shared" si="694"/>
        <v>5000</v>
      </c>
      <c r="L672" s="8">
        <v>25000</v>
      </c>
      <c r="M672" s="9">
        <f>VLOOKUP(DATE(YEAR(A672),MONTH(A672),DAY(A672)),FY24_Temp[],4,FALSE)</f>
        <v>8.4</v>
      </c>
      <c r="N672" s="9">
        <f>VLOOKUP(DATE(YEAR(A672),MONTH(A672),DAY(A672)),FY24_Temp[],3,FALSE)</f>
        <v>12.8</v>
      </c>
      <c r="O672" s="9">
        <v>13.5</v>
      </c>
      <c r="P672" s="9">
        <v>19.5</v>
      </c>
      <c r="Q672" s="79">
        <f>VLOOKUP(VLOOKUP(DATEVALUE(TEXT(A672,"m/d/yyyy")),FY24_Temp[],5,FALSE)&amp;TEXT(A672,"-h"),Table6[],4,FALSE)</f>
        <v>3.3202857630593434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VLOOKUP(TEXT(A672,"yy-mm")&amp;"-"&amp;IF(AND(WEEKDAY(A672)&gt;1,WEEKDAY(A672)&lt;7),"Wkd",TEXT(A672,"Ddd"))&amp;"-"&amp;TEXT(A672,"hh"),LoadTable[],5,FALSE)*0.92</f>
        <v>494.57360000000006</v>
      </c>
      <c r="U672" s="104">
        <f>VLOOKUP(TEXT(A672,"yy-mm")&amp;"-"&amp;IF(AND(WEEKDAY(A672)&gt;1,WEEKDAY(A672)&lt;7),"Wkd",TEXT(A672,"Ddd"))&amp;"-"&amp;TEXT(A672,"hh"),LoadTable[],6,FALSE)*T672</f>
        <v>58481.349905600007</v>
      </c>
      <c r="V672">
        <f t="shared" ref="V672:W672" si="699">V648</f>
        <v>3.5</v>
      </c>
      <c r="W672">
        <f t="shared" si="699"/>
        <v>3.1</v>
      </c>
      <c r="X672" s="9">
        <v>3.0061418999999998</v>
      </c>
    </row>
    <row r="673" spans="1:24">
      <c r="A673" s="29">
        <f t="shared" si="667"/>
        <v>45863.916666665042</v>
      </c>
      <c r="B673" s="30">
        <f t="shared" si="691"/>
        <v>5000</v>
      </c>
      <c r="C673" s="8">
        <v>25000</v>
      </c>
      <c r="D673" s="8">
        <v>0</v>
      </c>
      <c r="E673" s="8">
        <v>700</v>
      </c>
      <c r="F673" s="8">
        <v>15000</v>
      </c>
      <c r="G673" s="30">
        <f t="shared" si="692"/>
        <v>2400</v>
      </c>
      <c r="H673" s="8">
        <v>25000</v>
      </c>
      <c r="I673" s="30">
        <f t="shared" si="693"/>
        <v>5000</v>
      </c>
      <c r="J673" s="8">
        <v>25000</v>
      </c>
      <c r="K673" s="30">
        <f t="shared" si="694"/>
        <v>5000</v>
      </c>
      <c r="L673" s="8">
        <v>25000</v>
      </c>
      <c r="M673" s="9">
        <f>VLOOKUP(DATE(YEAR(A673),MONTH(A673),DAY(A673)),FY24_Temp[],4,FALSE)</f>
        <v>8.4</v>
      </c>
      <c r="N673" s="9">
        <f>VLOOKUP(DATE(YEAR(A673),MONTH(A673),DAY(A673)),FY24_Temp[],3,FALSE)</f>
        <v>12.8</v>
      </c>
      <c r="O673" s="9">
        <v>13.5</v>
      </c>
      <c r="P673" s="9">
        <v>19.5</v>
      </c>
      <c r="Q673" s="79">
        <f>VLOOKUP(VLOOKUP(DATEVALUE(TEXT(A673,"m/d/yyyy")),FY24_Temp[],5,FALSE)&amp;TEXT(A673,"-h"),Table6[],4,FALSE)</f>
        <v>3.2868570940835133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VLOOKUP(TEXT(A673,"yy-mm")&amp;"-"&amp;IF(AND(WEEKDAY(A673)&gt;1,WEEKDAY(A673)&lt;7),"Wkd",TEXT(A673,"Ddd"))&amp;"-"&amp;TEXT(A673,"hh"),LoadTable[],5,FALSE)*0.92</f>
        <v>418.75640000000004</v>
      </c>
      <c r="U673" s="104">
        <f>VLOOKUP(TEXT(A673,"yy-mm")&amp;"-"&amp;IF(AND(WEEKDAY(A673)&gt;1,WEEKDAY(A673)&lt;7),"Wkd",TEXT(A673,"Ddd"))&amp;"-"&amp;TEXT(A673,"hh"),LoadTable[],6,FALSE)*T673</f>
        <v>27547.889774000003</v>
      </c>
      <c r="V673">
        <f t="shared" ref="V673:W673" si="700">V649</f>
        <v>2.9</v>
      </c>
      <c r="W673">
        <f t="shared" si="700"/>
        <v>3.1</v>
      </c>
      <c r="X673" s="9">
        <v>2.9584494000000001</v>
      </c>
    </row>
    <row r="674" spans="1:24" ht="16" thickBot="1">
      <c r="A674" s="29">
        <f t="shared" si="667"/>
        <v>45863.958333331706</v>
      </c>
      <c r="B674" s="30">
        <f t="shared" si="691"/>
        <v>5000</v>
      </c>
      <c r="C674" s="8">
        <v>25000</v>
      </c>
      <c r="D674" s="8">
        <v>0</v>
      </c>
      <c r="E674" s="8">
        <v>700</v>
      </c>
      <c r="F674" s="8">
        <v>15000</v>
      </c>
      <c r="G674" s="30">
        <f t="shared" si="692"/>
        <v>2400</v>
      </c>
      <c r="H674" s="8">
        <v>25000</v>
      </c>
      <c r="I674" s="30">
        <f t="shared" si="693"/>
        <v>5000</v>
      </c>
      <c r="J674" s="8">
        <v>25000</v>
      </c>
      <c r="K674" s="30">
        <f t="shared" si="694"/>
        <v>5000</v>
      </c>
      <c r="L674" s="8">
        <v>25000</v>
      </c>
      <c r="M674" s="9">
        <f>VLOOKUP(DATE(YEAR(A674),MONTH(A674),DAY(A674)),FY24_Temp[],4,FALSE)</f>
        <v>8.4</v>
      </c>
      <c r="N674" s="9">
        <f>VLOOKUP(DATE(YEAR(A674),MONTH(A674),DAY(A674)),FY24_Temp[],3,FALSE)</f>
        <v>12.8</v>
      </c>
      <c r="O674" s="9">
        <v>13.5</v>
      </c>
      <c r="P674" s="9">
        <v>19.5</v>
      </c>
      <c r="Q674" s="79">
        <f>VLOOKUP(VLOOKUP(DATEVALUE(TEXT(A674,"m/d/yyyy")),FY24_Temp[],5,FALSE)&amp;TEXT(A674,"-h"),Table6[],4,FALSE)</f>
        <v>3.1470000062670027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VLOOKUP(TEXT(A674,"yy-mm")&amp;"-"&amp;IF(AND(WEEKDAY(A674)&gt;1,WEEKDAY(A674)&lt;7),"Wkd",TEXT(A674,"Ddd"))&amp;"-"&amp;TEXT(A674,"hh"),LoadTable[],5,FALSE)*0.92</f>
        <v>342.93920000000003</v>
      </c>
      <c r="U674" s="104">
        <f>VLOOKUP(TEXT(A674,"yy-mm")&amp;"-"&amp;IF(AND(WEEKDAY(A674)&gt;1,WEEKDAY(A674)&lt;7),"Wkd",TEXT(A674,"Ddd"))&amp;"-"&amp;TEXT(A674,"hh"),LoadTable[],6,FALSE)*T674</f>
        <v>19873.669579200003</v>
      </c>
      <c r="V674">
        <f t="shared" ref="V674:W674" si="701">V650</f>
        <v>3.6</v>
      </c>
      <c r="W674">
        <f t="shared" si="701"/>
        <v>3.1</v>
      </c>
      <c r="X674" s="9">
        <v>2.8546882</v>
      </c>
    </row>
    <row r="675" spans="1:24" ht="16" thickBot="1">
      <c r="A675" s="120">
        <f t="shared" si="667"/>
        <v>45863.99999999837</v>
      </c>
      <c r="B675" s="121">
        <f t="shared" si="691"/>
        <v>5000</v>
      </c>
      <c r="C675" s="114">
        <v>25000</v>
      </c>
      <c r="D675" s="114">
        <v>0</v>
      </c>
      <c r="E675" s="114">
        <v>700</v>
      </c>
      <c r="F675" s="114">
        <v>15000</v>
      </c>
      <c r="G675" s="114">
        <f t="shared" si="692"/>
        <v>2400</v>
      </c>
      <c r="H675" s="114">
        <v>25000</v>
      </c>
      <c r="I675" s="114">
        <f t="shared" si="693"/>
        <v>5000</v>
      </c>
      <c r="J675" s="114">
        <v>25000</v>
      </c>
      <c r="K675" s="114">
        <f t="shared" si="694"/>
        <v>5000</v>
      </c>
      <c r="L675" s="114">
        <v>25000</v>
      </c>
      <c r="M675" s="115">
        <f>VLOOKUP(DATE(YEAR(A675),MONTH(A675),DAY(A675)),FY24_Temp[],4,FALSE)</f>
        <v>8.5</v>
      </c>
      <c r="N675" s="115">
        <f>VLOOKUP(DATE(YEAR(A675),MONTH(A675),DAY(A675)),FY24_Temp[],3,FALSE)</f>
        <v>13.86</v>
      </c>
      <c r="O675" s="115">
        <v>13.5</v>
      </c>
      <c r="P675" s="115">
        <v>19.5</v>
      </c>
      <c r="Q675" s="116">
        <f>VLOOKUP(VLOOKUP(DATEVALUE(TEXT(A675,"m/d/yyyy")),FY24_Temp[],5,FALSE)&amp;TEXT(A675,"-h"),Table6[],4,FALSE)</f>
        <v>2.9907142775399342</v>
      </c>
      <c r="R675" s="117">
        <v>10</v>
      </c>
      <c r="S675" s="117">
        <v>1000</v>
      </c>
      <c r="T675" s="100">
        <f>VLOOKUP(TEXT(A675,"yy-mm")&amp;"-"&amp;IF(AND(WEEKDAY(A675)&gt;1,WEEKDAY(A675)&lt;7),"Wkd",TEXT(A675,"Ddd"))&amp;"-"&amp;TEXT(A675,"hh"),LoadTable[],5,FALSE)*0.92</f>
        <v>279.25312000000002</v>
      </c>
      <c r="U675" s="118">
        <f>VLOOKUP(TEXT(A675,"yy-mm")&amp;"-"&amp;IF(AND(WEEKDAY(A675)&gt;1,WEEKDAY(A675)&lt;7),"Wkd",TEXT(A675,"Ddd"))&amp;"-"&amp;TEXT(A675,"hh"),LoadTable[],6,FALSE)*T675</f>
        <v>13845.648942720001</v>
      </c>
      <c r="V675" s="117">
        <f t="shared" ref="V675:W675" si="702">V651</f>
        <v>3</v>
      </c>
      <c r="W675" s="117">
        <f t="shared" si="702"/>
        <v>3.2</v>
      </c>
      <c r="X675" s="119">
        <v>2.7858486</v>
      </c>
    </row>
    <row r="676" spans="1:24">
      <c r="A676" s="29">
        <f t="shared" si="667"/>
        <v>45864.041666665034</v>
      </c>
      <c r="B676" s="30">
        <f t="shared" si="691"/>
        <v>5000</v>
      </c>
      <c r="C676" s="8">
        <v>25000</v>
      </c>
      <c r="D676" s="8">
        <v>0</v>
      </c>
      <c r="E676" s="8">
        <v>700</v>
      </c>
      <c r="F676" s="8">
        <v>15000</v>
      </c>
      <c r="G676" s="30">
        <f t="shared" si="692"/>
        <v>2400</v>
      </c>
      <c r="H676" s="8">
        <v>25000</v>
      </c>
      <c r="I676" s="30">
        <f t="shared" si="693"/>
        <v>5000</v>
      </c>
      <c r="J676" s="8">
        <v>25000</v>
      </c>
      <c r="K676" s="30">
        <f t="shared" si="694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13.86</v>
      </c>
      <c r="O676" s="9">
        <v>13.5</v>
      </c>
      <c r="P676" s="9">
        <v>19.5</v>
      </c>
      <c r="Q676" s="79">
        <f>VLOOKUP(VLOOKUP(DATEVALUE(TEXT(A676,"m/d/yyyy")),FY24_Temp[],5,FALSE)&amp;TEXT(A676,"-h"),Table6[],4,FALSE)</f>
        <v>2.8792857101985385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VLOOKUP(TEXT(A676,"yy-mm")&amp;"-"&amp;IF(AND(WEEKDAY(A676)&gt;1,WEEKDAY(A676)&lt;7),"Wkd",TEXT(A676,"Ddd"))&amp;"-"&amp;TEXT(A676,"hh"),LoadTable[],5,FALSE)*0.92</f>
        <v>279.25312000000002</v>
      </c>
      <c r="U676" s="104">
        <f>VLOOKUP(TEXT(A676,"yy-mm")&amp;"-"&amp;IF(AND(WEEKDAY(A676)&gt;1,WEEKDAY(A676)&lt;7),"Wkd",TEXT(A676,"Ddd"))&amp;"-"&amp;TEXT(A676,"hh"),LoadTable[],6,FALSE)*T676</f>
        <v>13695.131511040001</v>
      </c>
      <c r="V676">
        <f t="shared" ref="V676:W676" si="703">V652</f>
        <v>2.6</v>
      </c>
      <c r="W676">
        <f t="shared" si="703"/>
        <v>3.2</v>
      </c>
      <c r="X676" s="9">
        <v>2.7594883000000001</v>
      </c>
    </row>
    <row r="677" spans="1:24">
      <c r="A677" s="29">
        <f t="shared" si="667"/>
        <v>45864.083333331699</v>
      </c>
      <c r="B677" s="30">
        <f t="shared" si="691"/>
        <v>5000</v>
      </c>
      <c r="C677" s="8">
        <v>25000</v>
      </c>
      <c r="D677" s="8">
        <v>0</v>
      </c>
      <c r="E677" s="8">
        <v>700</v>
      </c>
      <c r="F677" s="8">
        <v>15000</v>
      </c>
      <c r="G677" s="30">
        <f t="shared" si="692"/>
        <v>2400</v>
      </c>
      <c r="H677" s="8">
        <v>25000</v>
      </c>
      <c r="I677" s="30">
        <f t="shared" si="693"/>
        <v>5000</v>
      </c>
      <c r="J677" s="8">
        <v>25000</v>
      </c>
      <c r="K677" s="30">
        <f t="shared" si="694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13.86</v>
      </c>
      <c r="O677" s="9">
        <v>13.5</v>
      </c>
      <c r="P677" s="9">
        <v>19.5</v>
      </c>
      <c r="Q677" s="79">
        <f>VLOOKUP(VLOOKUP(DATEVALUE(TEXT(A677,"m/d/yyyy")),FY24_Temp[],5,FALSE)&amp;TEXT(A677,"-h"),Table6[],4,FALSE)</f>
        <v>2.766571419579642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VLOOKUP(TEXT(A677,"yy-mm")&amp;"-"&amp;IF(AND(WEEKDAY(A677)&gt;1,WEEKDAY(A677)&lt;7),"Wkd",TEXT(A677,"Ddd"))&amp;"-"&amp;TEXT(A677,"hh"),LoadTable[],5,FALSE)*0.92</f>
        <v>279.25312000000002</v>
      </c>
      <c r="U677" s="104">
        <f>VLOOKUP(TEXT(A677,"yy-mm")&amp;"-"&amp;IF(AND(WEEKDAY(A677)&gt;1,WEEKDAY(A677)&lt;7),"Wkd",TEXT(A677,"Ddd"))&amp;"-"&amp;TEXT(A677,"hh"),LoadTable[],6,FALSE)*T677</f>
        <v>13726.12860736</v>
      </c>
      <c r="V677">
        <f t="shared" ref="V677:W677" si="704">V653</f>
        <v>2.8</v>
      </c>
      <c r="W677">
        <f t="shared" si="704"/>
        <v>3.2</v>
      </c>
      <c r="X677" s="9">
        <v>2.8025188000000001</v>
      </c>
    </row>
    <row r="678" spans="1:24">
      <c r="A678" s="29">
        <f t="shared" si="667"/>
        <v>45864.124999998363</v>
      </c>
      <c r="B678" s="30">
        <f t="shared" si="691"/>
        <v>5000</v>
      </c>
      <c r="C678" s="8">
        <v>25000</v>
      </c>
      <c r="D678" s="8">
        <v>0</v>
      </c>
      <c r="E678" s="8">
        <v>700</v>
      </c>
      <c r="F678" s="8">
        <v>15000</v>
      </c>
      <c r="G678" s="30">
        <f t="shared" si="692"/>
        <v>2400</v>
      </c>
      <c r="H678" s="8">
        <v>25000</v>
      </c>
      <c r="I678" s="30">
        <f t="shared" si="693"/>
        <v>5000</v>
      </c>
      <c r="J678" s="8">
        <v>25000</v>
      </c>
      <c r="K678" s="30">
        <f t="shared" si="694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13.86</v>
      </c>
      <c r="O678" s="9">
        <v>13.5</v>
      </c>
      <c r="P678" s="9">
        <v>19.5</v>
      </c>
      <c r="Q678" s="79">
        <f>VLOOKUP(VLOOKUP(DATEVALUE(TEXT(A678,"m/d/yyyy")),FY24_Temp[],5,FALSE)&amp;TEXT(A678,"-h"),Table6[],4,FALSE)</f>
        <v>2.6518571717398509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VLOOKUP(TEXT(A678,"yy-mm")&amp;"-"&amp;IF(AND(WEEKDAY(A678)&gt;1,WEEKDAY(A678)&lt;7),"Wkd",TEXT(A678,"Ddd"))&amp;"-"&amp;TEXT(A678,"hh"),LoadTable[],5,FALSE)*0.92</f>
        <v>279.25312000000002</v>
      </c>
      <c r="U678" s="104">
        <f>VLOOKUP(TEXT(A678,"yy-mm")&amp;"-"&amp;IF(AND(WEEKDAY(A678)&gt;1,WEEKDAY(A678)&lt;7),"Wkd",TEXT(A678,"Ddd"))&amp;"-"&amp;TEXT(A678,"hh"),LoadTable[],6,FALSE)*T678</f>
        <v>13756.287944320002</v>
      </c>
      <c r="V678">
        <f t="shared" ref="V678:W678" si="705">V654</f>
        <v>2.7</v>
      </c>
      <c r="W678">
        <f t="shared" si="705"/>
        <v>3.2</v>
      </c>
      <c r="X678" s="9">
        <v>2.8368134</v>
      </c>
    </row>
    <row r="679" spans="1:24">
      <c r="A679" s="29">
        <f t="shared" si="667"/>
        <v>45864.166666665027</v>
      </c>
      <c r="B679" s="30">
        <f t="shared" si="691"/>
        <v>5000</v>
      </c>
      <c r="C679" s="8">
        <v>25000</v>
      </c>
      <c r="D679" s="8">
        <v>0</v>
      </c>
      <c r="E679" s="8">
        <v>700</v>
      </c>
      <c r="F679" s="8">
        <v>15000</v>
      </c>
      <c r="G679" s="30">
        <f t="shared" si="692"/>
        <v>2400</v>
      </c>
      <c r="H679" s="8">
        <v>25000</v>
      </c>
      <c r="I679" s="30">
        <f t="shared" si="693"/>
        <v>5000</v>
      </c>
      <c r="J679" s="8">
        <v>25000</v>
      </c>
      <c r="K679" s="30">
        <f t="shared" si="694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13.86</v>
      </c>
      <c r="O679" s="9">
        <v>13.5</v>
      </c>
      <c r="P679" s="9">
        <v>19.5</v>
      </c>
      <c r="Q679" s="79">
        <f>VLOOKUP(VLOOKUP(DATEVALUE(TEXT(A679,"m/d/yyyy")),FY24_Temp[],5,FALSE)&amp;TEXT(A679,"-h"),Table6[],4,FALSE)</f>
        <v>2.4902857712336948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VLOOKUP(TEXT(A679,"yy-mm")&amp;"-"&amp;IF(AND(WEEKDAY(A679)&gt;1,WEEKDAY(A679)&lt;7),"Wkd",TEXT(A679,"Ddd"))&amp;"-"&amp;TEXT(A679,"hh"),LoadTable[],5,FALSE)*0.92</f>
        <v>279.25312000000002</v>
      </c>
      <c r="U679" s="104">
        <f>VLOOKUP(TEXT(A679,"yy-mm")&amp;"-"&amp;IF(AND(WEEKDAY(A679)&gt;1,WEEKDAY(A679)&lt;7),"Wkd",TEXT(A679,"Ddd"))&amp;"-"&amp;TEXT(A679,"hh"),LoadTable[],6,FALSE)*T679</f>
        <v>13728.641885440002</v>
      </c>
      <c r="V679">
        <f t="shared" ref="V679:W679" si="706">V655</f>
        <v>3</v>
      </c>
      <c r="W679">
        <f t="shared" si="706"/>
        <v>3.1</v>
      </c>
      <c r="X679" s="9">
        <v>2.8564436</v>
      </c>
    </row>
    <row r="680" spans="1:24">
      <c r="A680" s="29">
        <f t="shared" si="667"/>
        <v>45864.208333331691</v>
      </c>
      <c r="B680" s="30">
        <f t="shared" si="691"/>
        <v>5000</v>
      </c>
      <c r="C680" s="8">
        <v>25000</v>
      </c>
      <c r="D680" s="8">
        <v>0</v>
      </c>
      <c r="E680" s="8">
        <v>700</v>
      </c>
      <c r="F680" s="8">
        <v>15000</v>
      </c>
      <c r="G680" s="30">
        <f t="shared" si="692"/>
        <v>2400</v>
      </c>
      <c r="H680" s="8">
        <v>25000</v>
      </c>
      <c r="I680" s="30">
        <f t="shared" si="693"/>
        <v>5000</v>
      </c>
      <c r="J680" s="8">
        <v>25000</v>
      </c>
      <c r="K680" s="30">
        <f t="shared" si="694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13.86</v>
      </c>
      <c r="O680" s="9">
        <v>13.5</v>
      </c>
      <c r="P680" s="9">
        <v>19.5</v>
      </c>
      <c r="Q680" s="79">
        <f>VLOOKUP(VLOOKUP(DATEVALUE(TEXT(A680,"m/d/yyyy")),FY24_Temp[],5,FALSE)&amp;TEXT(A680,"-h"),Table6[],4,FALSE)</f>
        <v>2.337571382522583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VLOOKUP(TEXT(A680,"yy-mm")&amp;"-"&amp;IF(AND(WEEKDAY(A680)&gt;1,WEEKDAY(A680)&lt;7),"Wkd",TEXT(A680,"Ddd"))&amp;"-"&amp;TEXT(A680,"hh"),LoadTable[],5,FALSE)*0.92</f>
        <v>279.25312000000002</v>
      </c>
      <c r="U680" s="104">
        <f>VLOOKUP(TEXT(A680,"yy-mm")&amp;"-"&amp;IF(AND(WEEKDAY(A680)&gt;1,WEEKDAY(A680)&lt;7),"Wkd",TEXT(A680,"Ddd"))&amp;"-"&amp;TEXT(A680,"hh"),LoadTable[],6,FALSE)*T680</f>
        <v>13828.33524928</v>
      </c>
      <c r="V680">
        <f t="shared" ref="V680:W680" si="707">V656</f>
        <v>2.9</v>
      </c>
      <c r="W680">
        <f t="shared" si="707"/>
        <v>3.1</v>
      </c>
      <c r="X680" s="9">
        <v>2.9266219000000002</v>
      </c>
    </row>
    <row r="681" spans="1:24">
      <c r="A681" s="29">
        <f t="shared" si="667"/>
        <v>45864.249999998356</v>
      </c>
      <c r="B681" s="30">
        <f t="shared" si="691"/>
        <v>8000</v>
      </c>
      <c r="C681" s="8">
        <v>25000</v>
      </c>
      <c r="D681" s="8">
        <v>0</v>
      </c>
      <c r="E681" s="8">
        <v>700</v>
      </c>
      <c r="F681" s="8">
        <v>15000</v>
      </c>
      <c r="G681" s="30">
        <f t="shared" si="692"/>
        <v>2400</v>
      </c>
      <c r="H681" s="8">
        <v>25000</v>
      </c>
      <c r="I681" s="30">
        <f t="shared" si="693"/>
        <v>8000</v>
      </c>
      <c r="J681" s="8">
        <v>25000</v>
      </c>
      <c r="K681" s="30">
        <f t="shared" si="694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13.86</v>
      </c>
      <c r="O681" s="9">
        <v>13.5</v>
      </c>
      <c r="P681" s="9">
        <v>19.5</v>
      </c>
      <c r="Q681" s="79">
        <f>VLOOKUP(VLOOKUP(DATEVALUE(TEXT(A681,"m/d/yyyy")),FY24_Temp[],5,FALSE)&amp;TEXT(A681,"-h"),Table6[],4,FALSE)</f>
        <v>2.2231428963797435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VLOOKUP(TEXT(A681,"yy-mm")&amp;"-"&amp;IF(AND(WEEKDAY(A681)&gt;1,WEEKDAY(A681)&lt;7),"Wkd",TEXT(A681,"Ddd"))&amp;"-"&amp;TEXT(A681,"hh"),LoadTable[],5,FALSE)*0.92</f>
        <v>279.25312000000002</v>
      </c>
      <c r="U681" s="104">
        <f>VLOOKUP(TEXT(A681,"yy-mm")&amp;"-"&amp;IF(AND(WEEKDAY(A681)&gt;1,WEEKDAY(A681)&lt;7),"Wkd",TEXT(A681,"Ddd"))&amp;"-"&amp;TEXT(A681,"hh"),LoadTable[],6,FALSE)*T681</f>
        <v>21929.747513600003</v>
      </c>
      <c r="V681">
        <f t="shared" ref="V681:W681" si="708">V657</f>
        <v>2.5</v>
      </c>
      <c r="W681">
        <f t="shared" si="708"/>
        <v>3.1</v>
      </c>
      <c r="X681" s="9">
        <v>3.0427350999999998</v>
      </c>
    </row>
    <row r="682" spans="1:24">
      <c r="A682" s="29">
        <f t="shared" si="667"/>
        <v>45864.29166666502</v>
      </c>
      <c r="B682" s="30">
        <f t="shared" si="691"/>
        <v>8000</v>
      </c>
      <c r="C682" s="8">
        <v>25000</v>
      </c>
      <c r="D682" s="8">
        <v>0</v>
      </c>
      <c r="E682" s="8">
        <v>700</v>
      </c>
      <c r="F682" s="8">
        <v>15000</v>
      </c>
      <c r="G682" s="30">
        <f t="shared" si="692"/>
        <v>2400</v>
      </c>
      <c r="H682" s="8">
        <v>25000</v>
      </c>
      <c r="I682" s="30">
        <f t="shared" si="693"/>
        <v>8000</v>
      </c>
      <c r="J682" s="8">
        <v>25000</v>
      </c>
      <c r="K682" s="30">
        <f t="shared" si="694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13.86</v>
      </c>
      <c r="O682" s="9">
        <v>13.5</v>
      </c>
      <c r="P682" s="9">
        <v>19.5</v>
      </c>
      <c r="Q682" s="79">
        <f>VLOOKUP(VLOOKUP(DATEVALUE(TEXT(A682,"m/d/yyyy")),FY24_Temp[],5,FALSE)&amp;TEXT(A682,"-h"),Table6[],4,FALSE)</f>
        <v>2.1175714220319475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VLOOKUP(TEXT(A682,"yy-mm")&amp;"-"&amp;IF(AND(WEEKDAY(A682)&gt;1,WEEKDAY(A682)&lt;7),"Wkd",TEXT(A682,"Ddd"))&amp;"-"&amp;TEXT(A682,"hh"),LoadTable[],5,FALSE)*0.92</f>
        <v>279.25312000000002</v>
      </c>
      <c r="U682" s="104">
        <f>VLOOKUP(TEXT(A682,"yy-mm")&amp;"-"&amp;IF(AND(WEEKDAY(A682)&gt;1,WEEKDAY(A682)&lt;7),"Wkd",TEXT(A682,"Ddd"))&amp;"-"&amp;TEXT(A682,"hh"),LoadTable[],6,FALSE)*T682</f>
        <v>19925.827124480002</v>
      </c>
      <c r="V682">
        <f t="shared" ref="V682:W682" si="709">V658</f>
        <v>2.5</v>
      </c>
      <c r="W682">
        <f t="shared" si="709"/>
        <v>3.1</v>
      </c>
      <c r="X682" s="9">
        <v>3.1817145</v>
      </c>
    </row>
    <row r="683" spans="1:24">
      <c r="A683" s="29">
        <f t="shared" si="667"/>
        <v>45864.333333331684</v>
      </c>
      <c r="B683" s="30">
        <f t="shared" si="691"/>
        <v>8000</v>
      </c>
      <c r="C683" s="8">
        <v>25000</v>
      </c>
      <c r="D683" s="8">
        <v>0</v>
      </c>
      <c r="E683" s="8">
        <v>700</v>
      </c>
      <c r="F683" s="8">
        <v>15000</v>
      </c>
      <c r="G683" s="30">
        <f t="shared" si="692"/>
        <v>2400</v>
      </c>
      <c r="H683" s="8">
        <v>25000</v>
      </c>
      <c r="I683" s="30">
        <f t="shared" si="693"/>
        <v>8000</v>
      </c>
      <c r="J683" s="8">
        <v>25000</v>
      </c>
      <c r="K683" s="30">
        <f t="shared" si="694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13.86</v>
      </c>
      <c r="O683" s="9">
        <v>13.5</v>
      </c>
      <c r="P683" s="9">
        <v>19.5</v>
      </c>
      <c r="Q683" s="79">
        <f>VLOOKUP(VLOOKUP(DATEVALUE(TEXT(A683,"m/d/yyyy")),FY24_Temp[],5,FALSE)&amp;TEXT(A683,"-h"),Table6[],4,FALSE)</f>
        <v>1.9947142941611153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VLOOKUP(TEXT(A683,"yy-mm")&amp;"-"&amp;IF(AND(WEEKDAY(A683)&gt;1,WEEKDAY(A683)&lt;7),"Wkd",TEXT(A683,"Ddd"))&amp;"-"&amp;TEXT(A683,"hh"),LoadTable[],5,FALSE)*0.92</f>
        <v>279.25312000000002</v>
      </c>
      <c r="U683" s="104">
        <f>VLOOKUP(TEXT(A683,"yy-mm")&amp;"-"&amp;IF(AND(WEEKDAY(A683)&gt;1,WEEKDAY(A683)&lt;7),"Wkd",TEXT(A683,"Ddd"))&amp;"-"&amp;TEXT(A683,"hh"),LoadTable[],6,FALSE)*T683</f>
        <v>15771.37845824</v>
      </c>
      <c r="V683">
        <f t="shared" ref="V683:W683" si="710">V659</f>
        <v>3.2</v>
      </c>
      <c r="W683">
        <f t="shared" si="710"/>
        <v>3</v>
      </c>
      <c r="X683" s="9">
        <v>3.2290861999999998</v>
      </c>
    </row>
    <row r="684" spans="1:24">
      <c r="A684" s="29">
        <f t="shared" si="667"/>
        <v>45864.374999998348</v>
      </c>
      <c r="B684" s="30">
        <f t="shared" si="691"/>
        <v>8000</v>
      </c>
      <c r="C684" s="8">
        <v>25000</v>
      </c>
      <c r="D684" s="8">
        <v>0</v>
      </c>
      <c r="E684" s="8">
        <v>700</v>
      </c>
      <c r="F684" s="8">
        <v>15000</v>
      </c>
      <c r="G684" s="30">
        <f t="shared" si="692"/>
        <v>2400</v>
      </c>
      <c r="H684" s="8">
        <v>25000</v>
      </c>
      <c r="I684" s="30">
        <f t="shared" si="693"/>
        <v>8000</v>
      </c>
      <c r="J684" s="8">
        <v>25000</v>
      </c>
      <c r="K684" s="30">
        <f t="shared" si="694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13.86</v>
      </c>
      <c r="O684" s="9">
        <v>13.5</v>
      </c>
      <c r="P684" s="9">
        <v>19.5</v>
      </c>
      <c r="Q684" s="79">
        <f>VLOOKUP(VLOOKUP(DATEVALUE(TEXT(A684,"m/d/yyyy")),FY24_Temp[],5,FALSE)&amp;TEXT(A684,"-h"),Table6[],4,FALSE)</f>
        <v>1.8918571301868983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VLOOKUP(TEXT(A684,"yy-mm")&amp;"-"&amp;IF(AND(WEEKDAY(A684)&gt;1,WEEKDAY(A684)&lt;7),"Wkd",TEXT(A684,"Ddd"))&amp;"-"&amp;TEXT(A684,"hh"),LoadTable[],5,FALSE)*0.92</f>
        <v>279.25312000000002</v>
      </c>
      <c r="U684" s="104">
        <f>VLOOKUP(TEXT(A684,"yy-mm")&amp;"-"&amp;IF(AND(WEEKDAY(A684)&gt;1,WEEKDAY(A684)&lt;7),"Wkd",TEXT(A684,"Ddd"))&amp;"-"&amp;TEXT(A684,"hh"),LoadTable[],6,FALSE)*T684</f>
        <v>13260.61365632</v>
      </c>
      <c r="V684">
        <f t="shared" ref="V684:W684" si="711">V660</f>
        <v>2.9</v>
      </c>
      <c r="W684">
        <f t="shared" si="711"/>
        <v>3</v>
      </c>
      <c r="X684" s="9">
        <v>3.2683263</v>
      </c>
    </row>
    <row r="685" spans="1:24">
      <c r="A685" s="29">
        <f t="shared" si="667"/>
        <v>45864.416666665013</v>
      </c>
      <c r="B685" s="30">
        <f t="shared" si="691"/>
        <v>8000</v>
      </c>
      <c r="C685" s="8">
        <v>25000</v>
      </c>
      <c r="D685" s="8">
        <v>0</v>
      </c>
      <c r="E685" s="8">
        <v>700</v>
      </c>
      <c r="F685" s="8">
        <v>15000</v>
      </c>
      <c r="G685" s="30">
        <f t="shared" si="692"/>
        <v>2400</v>
      </c>
      <c r="H685" s="8">
        <v>25000</v>
      </c>
      <c r="I685" s="30">
        <f t="shared" si="693"/>
        <v>8000</v>
      </c>
      <c r="J685" s="8">
        <v>25000</v>
      </c>
      <c r="K685" s="30">
        <f t="shared" si="694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13.86</v>
      </c>
      <c r="O685" s="9">
        <v>13.5</v>
      </c>
      <c r="P685" s="9">
        <v>19.5</v>
      </c>
      <c r="Q685" s="79">
        <f>VLOOKUP(VLOOKUP(DATEVALUE(TEXT(A685,"m/d/yyyy")),FY24_Temp[],5,FALSE)&amp;TEXT(A685,"-h"),Table6[],4,FALSE)</f>
        <v>1.795285701751709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VLOOKUP(TEXT(A685,"yy-mm")&amp;"-"&amp;IF(AND(WEEKDAY(A685)&gt;1,WEEKDAY(A685)&lt;7),"Wkd",TEXT(A685,"Ddd"))&amp;"-"&amp;TEXT(A685,"hh"),LoadTable[],5,FALSE)*0.92</f>
        <v>279.25312000000002</v>
      </c>
      <c r="U685" s="104">
        <f>VLOOKUP(TEXT(A685,"yy-mm")&amp;"-"&amp;IF(AND(WEEKDAY(A685)&gt;1,WEEKDAY(A685)&lt;7),"Wkd",TEXT(A685,"Ddd"))&amp;"-"&amp;TEXT(A685,"hh"),LoadTable[],6,FALSE)*T685</f>
        <v>12908.475472000002</v>
      </c>
      <c r="V685">
        <f t="shared" ref="V685:W685" si="712">V661</f>
        <v>2.9</v>
      </c>
      <c r="W685">
        <f t="shared" si="712"/>
        <v>3</v>
      </c>
      <c r="X685" s="9">
        <v>3.3176291</v>
      </c>
    </row>
    <row r="686" spans="1:24">
      <c r="A686" s="29">
        <f t="shared" si="667"/>
        <v>45864.458333331677</v>
      </c>
      <c r="B686" s="30">
        <f t="shared" si="691"/>
        <v>8000</v>
      </c>
      <c r="C686" s="8">
        <v>25000</v>
      </c>
      <c r="D686" s="8">
        <v>0</v>
      </c>
      <c r="E686" s="8">
        <v>700</v>
      </c>
      <c r="F686" s="8">
        <v>15000</v>
      </c>
      <c r="G686" s="30">
        <f t="shared" si="692"/>
        <v>2400</v>
      </c>
      <c r="H686" s="8">
        <v>25000</v>
      </c>
      <c r="I686" s="30">
        <f t="shared" si="693"/>
        <v>8000</v>
      </c>
      <c r="J686" s="8">
        <v>25000</v>
      </c>
      <c r="K686" s="30">
        <f t="shared" si="694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13.86</v>
      </c>
      <c r="O686" s="9">
        <v>13.5</v>
      </c>
      <c r="P686" s="9">
        <v>19.5</v>
      </c>
      <c r="Q686" s="79">
        <f>VLOOKUP(VLOOKUP(DATEVALUE(TEXT(A686,"m/d/yyyy")),FY24_Temp[],5,FALSE)&amp;TEXT(A686,"-h"),Table6[],4,FALSE)</f>
        <v>1.6731428759438651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VLOOKUP(TEXT(A686,"yy-mm")&amp;"-"&amp;IF(AND(WEEKDAY(A686)&gt;1,WEEKDAY(A686)&lt;7),"Wkd",TEXT(A686,"Ddd"))&amp;"-"&amp;TEXT(A686,"hh"),LoadTable[],5,FALSE)*0.92</f>
        <v>279.25312000000002</v>
      </c>
      <c r="U686" s="104">
        <f>VLOOKUP(TEXT(A686,"yy-mm")&amp;"-"&amp;IF(AND(WEEKDAY(A686)&gt;1,WEEKDAY(A686)&lt;7),"Wkd",TEXT(A686,"Ddd"))&amp;"-"&amp;TEXT(A686,"hh"),LoadTable[],6,FALSE)*T686</f>
        <v>12893.395803520001</v>
      </c>
      <c r="V686">
        <f t="shared" ref="V686:W686" si="713">V662</f>
        <v>3.4</v>
      </c>
      <c r="W686">
        <f t="shared" si="713"/>
        <v>3</v>
      </c>
      <c r="X686" s="9">
        <v>3.2525515999999999</v>
      </c>
    </row>
    <row r="687" spans="1:24">
      <c r="A687" s="29">
        <f t="shared" si="667"/>
        <v>45864.499999998341</v>
      </c>
      <c r="B687" s="30">
        <f t="shared" si="691"/>
        <v>8000</v>
      </c>
      <c r="C687" s="8">
        <v>25000</v>
      </c>
      <c r="D687" s="8">
        <v>0</v>
      </c>
      <c r="E687" s="8">
        <v>700</v>
      </c>
      <c r="F687" s="8">
        <v>15000</v>
      </c>
      <c r="G687" s="30">
        <f t="shared" si="692"/>
        <v>2400</v>
      </c>
      <c r="H687" s="8">
        <v>25000</v>
      </c>
      <c r="I687" s="30">
        <f t="shared" si="693"/>
        <v>8000</v>
      </c>
      <c r="J687" s="8">
        <v>25000</v>
      </c>
      <c r="K687" s="30">
        <f t="shared" si="694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13.86</v>
      </c>
      <c r="O687" s="9">
        <v>13.5</v>
      </c>
      <c r="P687" s="9">
        <v>19.5</v>
      </c>
      <c r="Q687" s="79">
        <f>VLOOKUP(VLOOKUP(DATEVALUE(TEXT(A687,"m/d/yyyy")),FY24_Temp[],5,FALSE)&amp;TEXT(A687,"-h"),Table6[],4,FALSE)</f>
        <v>1.5228571380887712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VLOOKUP(TEXT(A687,"yy-mm")&amp;"-"&amp;IF(AND(WEEKDAY(A687)&gt;1,WEEKDAY(A687)&lt;7),"Wkd",TEXT(A687,"Ddd"))&amp;"-"&amp;TEXT(A687,"hh"),LoadTable[],5,FALSE)*0.92</f>
        <v>279.25312000000002</v>
      </c>
      <c r="U687" s="104">
        <f>VLOOKUP(TEXT(A687,"yy-mm")&amp;"-"&amp;IF(AND(WEEKDAY(A687)&gt;1,WEEKDAY(A687)&lt;7),"Wkd",TEXT(A687,"Ddd"))&amp;"-"&amp;TEXT(A687,"hh"),LoadTable[],6,FALSE)*T687</f>
        <v>12888.648500480002</v>
      </c>
      <c r="V687">
        <f t="shared" ref="V687:W687" si="714">V663</f>
        <v>3.1</v>
      </c>
      <c r="W687">
        <f t="shared" si="714"/>
        <v>2.9</v>
      </c>
      <c r="X687" s="9">
        <v>3.1124597000000001</v>
      </c>
    </row>
    <row r="688" spans="1:24">
      <c r="A688" s="29">
        <f t="shared" si="667"/>
        <v>45864.541666665005</v>
      </c>
      <c r="B688" s="30">
        <f t="shared" si="691"/>
        <v>8000</v>
      </c>
      <c r="C688" s="8">
        <v>25000</v>
      </c>
      <c r="D688" s="8">
        <v>0</v>
      </c>
      <c r="E688" s="8">
        <v>700</v>
      </c>
      <c r="F688" s="8">
        <v>15000</v>
      </c>
      <c r="G688" s="30">
        <f t="shared" si="692"/>
        <v>2400</v>
      </c>
      <c r="H688" s="8">
        <v>25000</v>
      </c>
      <c r="I688" s="30">
        <f t="shared" si="693"/>
        <v>8000</v>
      </c>
      <c r="J688" s="8">
        <v>25000</v>
      </c>
      <c r="K688" s="30">
        <f t="shared" si="694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13.86</v>
      </c>
      <c r="O688" s="9">
        <v>13.5</v>
      </c>
      <c r="P688" s="9">
        <v>19.5</v>
      </c>
      <c r="Q688" s="79">
        <f>VLOOKUP(VLOOKUP(DATEVALUE(TEXT(A688,"m/d/yyyy")),FY24_Temp[],5,FALSE)&amp;TEXT(A688,"-h"),Table6[],4,FALSE)</f>
        <v>1.3490000111716134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VLOOKUP(TEXT(A688,"yy-mm")&amp;"-"&amp;IF(AND(WEEKDAY(A688)&gt;1,WEEKDAY(A688)&lt;7),"Wkd",TEXT(A688,"Ddd"))&amp;"-"&amp;TEXT(A688,"hh"),LoadTable[],5,FALSE)*0.92</f>
        <v>279.25312000000002</v>
      </c>
      <c r="U688" s="104">
        <f>VLOOKUP(TEXT(A688,"yy-mm")&amp;"-"&amp;IF(AND(WEEKDAY(A688)&gt;1,WEEKDAY(A688)&lt;7),"Wkd",TEXT(A688,"Ddd"))&amp;"-"&amp;TEXT(A688,"hh"),LoadTable[],6,FALSE)*T688</f>
        <v>12892.837297280001</v>
      </c>
      <c r="V688">
        <f t="shared" ref="V688:W688" si="715">V664</f>
        <v>3.2</v>
      </c>
      <c r="W688">
        <f t="shared" si="715"/>
        <v>2.9</v>
      </c>
      <c r="X688" s="9">
        <v>2.9478933999999999</v>
      </c>
    </row>
    <row r="689" spans="1:24">
      <c r="A689" s="29">
        <f t="shared" si="667"/>
        <v>45864.58333333167</v>
      </c>
      <c r="B689" s="30">
        <f t="shared" si="691"/>
        <v>8000</v>
      </c>
      <c r="C689" s="8">
        <v>25000</v>
      </c>
      <c r="D689" s="8">
        <v>0</v>
      </c>
      <c r="E689" s="8">
        <v>700</v>
      </c>
      <c r="F689" s="8">
        <v>15000</v>
      </c>
      <c r="G689" s="30">
        <f t="shared" si="692"/>
        <v>2400</v>
      </c>
      <c r="H689" s="8">
        <v>25000</v>
      </c>
      <c r="I689" s="30">
        <f t="shared" si="693"/>
        <v>8000</v>
      </c>
      <c r="J689" s="8">
        <v>25000</v>
      </c>
      <c r="K689" s="30">
        <f t="shared" si="694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13.86</v>
      </c>
      <c r="O689" s="9">
        <v>13.5</v>
      </c>
      <c r="P689" s="9">
        <v>19.5</v>
      </c>
      <c r="Q689" s="79">
        <f>VLOOKUP(VLOOKUP(DATEVALUE(TEXT(A689,"m/d/yyyy")),FY24_Temp[],5,FALSE)&amp;TEXT(A689,"-h"),Table6[],4,FALSE)</f>
        <v>1.165428570338658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VLOOKUP(TEXT(A689,"yy-mm")&amp;"-"&amp;IF(AND(WEEKDAY(A689)&gt;1,WEEKDAY(A689)&lt;7),"Wkd",TEXT(A689,"Ddd"))&amp;"-"&amp;TEXT(A689,"hh"),LoadTable[],5,FALSE)*0.92</f>
        <v>279.25312000000002</v>
      </c>
      <c r="U689" s="104">
        <f>VLOOKUP(TEXT(A689,"yy-mm")&amp;"-"&amp;IF(AND(WEEKDAY(A689)&gt;1,WEEKDAY(A689)&lt;7),"Wkd",TEXT(A689,"Ddd"))&amp;"-"&amp;TEXT(A689,"hh"),LoadTable[],6,FALSE)*T689</f>
        <v>12904.007422080002</v>
      </c>
      <c r="V689">
        <f t="shared" ref="V689:W689" si="716">V665</f>
        <v>3.5</v>
      </c>
      <c r="W689">
        <f t="shared" si="716"/>
        <v>2.9</v>
      </c>
      <c r="X689" s="9">
        <v>2.9156176999999999</v>
      </c>
    </row>
    <row r="690" spans="1:24">
      <c r="A690" s="29">
        <f t="shared" si="667"/>
        <v>45864.624999998334</v>
      </c>
      <c r="B690" s="30">
        <f t="shared" si="691"/>
        <v>8000</v>
      </c>
      <c r="C690" s="8">
        <v>25000</v>
      </c>
      <c r="D690" s="8">
        <v>0</v>
      </c>
      <c r="E690" s="8">
        <v>700</v>
      </c>
      <c r="F690" s="8">
        <v>15000</v>
      </c>
      <c r="G690" s="30">
        <f t="shared" si="692"/>
        <v>2400</v>
      </c>
      <c r="H690" s="8">
        <v>25000</v>
      </c>
      <c r="I690" s="30">
        <f t="shared" si="693"/>
        <v>8000</v>
      </c>
      <c r="J690" s="8">
        <v>25000</v>
      </c>
      <c r="K690" s="30">
        <f t="shared" si="694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13.86</v>
      </c>
      <c r="O690" s="9">
        <v>13.5</v>
      </c>
      <c r="P690" s="9">
        <v>19.5</v>
      </c>
      <c r="Q690" s="79">
        <f>VLOOKUP(VLOOKUP(DATEVALUE(TEXT(A690,"m/d/yyyy")),FY24_Temp[],5,FALSE)&amp;TEXT(A690,"-h"),Table6[],4,FALSE)</f>
        <v>1.0105714201927185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VLOOKUP(TEXT(A690,"yy-mm")&amp;"-"&amp;IF(AND(WEEKDAY(A690)&gt;1,WEEKDAY(A690)&lt;7),"Wkd",TEXT(A690,"Ddd"))&amp;"-"&amp;TEXT(A690,"hh"),LoadTable[],5,FALSE)*0.92</f>
        <v>400.56064000000003</v>
      </c>
      <c r="U690" s="104">
        <f>VLOOKUP(TEXT(A690,"yy-mm")&amp;"-"&amp;IF(AND(WEEKDAY(A690)&gt;1,WEEKDAY(A690)&lt;7),"Wkd",TEXT(A690,"Ddd"))&amp;"-"&amp;TEXT(A690,"hh"),LoadTable[],6,FALSE)*T690</f>
        <v>19679.143682559999</v>
      </c>
      <c r="V690">
        <f t="shared" ref="V690:W690" si="717">V666</f>
        <v>3.2</v>
      </c>
      <c r="W690">
        <f t="shared" si="717"/>
        <v>2.9</v>
      </c>
      <c r="X690" s="9">
        <v>3.2561605</v>
      </c>
    </row>
    <row r="691" spans="1:24">
      <c r="A691" s="29">
        <f t="shared" si="667"/>
        <v>45864.666666664998</v>
      </c>
      <c r="B691" s="30">
        <f t="shared" si="691"/>
        <v>8000</v>
      </c>
      <c r="C691" s="8">
        <v>25000</v>
      </c>
      <c r="D691" s="8">
        <v>0</v>
      </c>
      <c r="E691" s="8">
        <v>700</v>
      </c>
      <c r="F691" s="8">
        <v>15000</v>
      </c>
      <c r="G691" s="30">
        <f t="shared" si="692"/>
        <v>2400</v>
      </c>
      <c r="H691" s="8">
        <v>25000</v>
      </c>
      <c r="I691" s="30">
        <f t="shared" si="693"/>
        <v>8000</v>
      </c>
      <c r="J691" s="8">
        <v>25000</v>
      </c>
      <c r="K691" s="30">
        <f t="shared" si="694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13.86</v>
      </c>
      <c r="O691" s="9">
        <v>13.5</v>
      </c>
      <c r="P691" s="9">
        <v>19.5</v>
      </c>
      <c r="Q691" s="79">
        <f>VLOOKUP(VLOOKUP(DATEVALUE(TEXT(A691,"m/d/yyyy")),FY24_Temp[],5,FALSE)&amp;TEXT(A691,"-h"),Table6[],4,FALSE)</f>
        <v>0.96857144151415142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VLOOKUP(TEXT(A691,"yy-mm")&amp;"-"&amp;IF(AND(WEEKDAY(A691)&gt;1,WEEKDAY(A691)&lt;7),"Wkd",TEXT(A691,"Ddd"))&amp;"-"&amp;TEXT(A691,"hh"),LoadTable[],5,FALSE)*0.92</f>
        <v>447.97376000000003</v>
      </c>
      <c r="U691" s="104">
        <f>VLOOKUP(TEXT(A691,"yy-mm")&amp;"-"&amp;IF(AND(WEEKDAY(A691)&gt;1,WEEKDAY(A691)&lt;7),"Wkd",TEXT(A691,"Ddd"))&amp;"-"&amp;TEXT(A691,"hh"),LoadTable[],6,FALSE)*T691</f>
        <v>28334.788293760001</v>
      </c>
      <c r="V691">
        <f t="shared" ref="V691:W691" si="718">V667</f>
        <v>3.5</v>
      </c>
      <c r="W691">
        <f t="shared" si="718"/>
        <v>3</v>
      </c>
      <c r="X691" s="9">
        <v>3.1993317999999999</v>
      </c>
    </row>
    <row r="692" spans="1:24">
      <c r="A692" s="29">
        <f t="shared" si="667"/>
        <v>45864.708333331662</v>
      </c>
      <c r="B692" s="30">
        <f t="shared" si="691"/>
        <v>8000</v>
      </c>
      <c r="C692" s="8">
        <v>25000</v>
      </c>
      <c r="D692" s="8">
        <v>0</v>
      </c>
      <c r="E692" s="8">
        <v>700</v>
      </c>
      <c r="F692" s="8">
        <v>15000</v>
      </c>
      <c r="G692" s="30">
        <f t="shared" si="692"/>
        <v>2400</v>
      </c>
      <c r="H692" s="8">
        <v>25000</v>
      </c>
      <c r="I692" s="30">
        <f t="shared" si="693"/>
        <v>8000</v>
      </c>
      <c r="J692" s="8">
        <v>25000</v>
      </c>
      <c r="K692" s="30">
        <f t="shared" si="694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13.86</v>
      </c>
      <c r="O692" s="9">
        <v>13.5</v>
      </c>
      <c r="P692" s="9">
        <v>19.5</v>
      </c>
      <c r="Q692" s="79">
        <f>VLOOKUP(VLOOKUP(DATEVALUE(TEXT(A692,"m/d/yyyy")),FY24_Temp[],5,FALSE)&amp;TEXT(A692,"-h"),Table6[],4,FALSE)</f>
        <v>1.1941428525107247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VLOOKUP(TEXT(A692,"yy-mm")&amp;"-"&amp;IF(AND(WEEKDAY(A692)&gt;1,WEEKDAY(A692)&lt;7),"Wkd",TEXT(A692,"Ddd"))&amp;"-"&amp;TEXT(A692,"hh"),LoadTable[],5,FALSE)*0.92</f>
        <v>494.57360000000006</v>
      </c>
      <c r="U692" s="104">
        <f>VLOOKUP(TEXT(A692,"yy-mm")&amp;"-"&amp;IF(AND(WEEKDAY(A692)&gt;1,WEEKDAY(A692)&lt;7),"Wkd",TEXT(A692,"Ddd"))&amp;"-"&amp;TEXT(A692,"hh"),LoadTable[],6,FALSE)*T692</f>
        <v>41619.852160800008</v>
      </c>
      <c r="V692">
        <f t="shared" ref="V692:W692" si="719">V668</f>
        <v>3.6</v>
      </c>
      <c r="W692">
        <f t="shared" si="719"/>
        <v>3</v>
      </c>
      <c r="X692" s="9">
        <v>3.1254059999999999</v>
      </c>
    </row>
    <row r="693" spans="1:24">
      <c r="A693" s="29">
        <f t="shared" si="667"/>
        <v>45864.749999998327</v>
      </c>
      <c r="B693" s="30">
        <f t="shared" si="691"/>
        <v>5000</v>
      </c>
      <c r="C693" s="8">
        <v>25000</v>
      </c>
      <c r="D693" s="8">
        <v>0</v>
      </c>
      <c r="E693" s="8">
        <v>700</v>
      </c>
      <c r="F693" s="8">
        <v>15000</v>
      </c>
      <c r="G693" s="30">
        <f t="shared" si="692"/>
        <v>2400</v>
      </c>
      <c r="H693" s="8">
        <v>25000</v>
      </c>
      <c r="I693" s="30">
        <f t="shared" si="693"/>
        <v>5000</v>
      </c>
      <c r="J693" s="8">
        <v>25000</v>
      </c>
      <c r="K693" s="30">
        <f t="shared" si="694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13.86</v>
      </c>
      <c r="O693" s="9">
        <v>13.5</v>
      </c>
      <c r="P693" s="9">
        <v>19.5</v>
      </c>
      <c r="Q693" s="79">
        <f>VLOOKUP(VLOOKUP(DATEVALUE(TEXT(A693,"m/d/yyyy")),FY24_Temp[],5,FALSE)&amp;TEXT(A693,"-h"),Table6[],4,FALSE)</f>
        <v>1.5795714344297136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VLOOKUP(TEXT(A693,"yy-mm")&amp;"-"&amp;IF(AND(WEEKDAY(A693)&gt;1,WEEKDAY(A693)&lt;7),"Wkd",TEXT(A693,"Ddd"))&amp;"-"&amp;TEXT(A693,"hh"),LoadTable[],5,FALSE)*0.92</f>
        <v>494.57360000000006</v>
      </c>
      <c r="U693" s="104">
        <f>VLOOKUP(TEXT(A693,"yy-mm")&amp;"-"&amp;IF(AND(WEEKDAY(A693)&gt;1,WEEKDAY(A693)&lt;7),"Wkd",TEXT(A693,"Ddd"))&amp;"-"&amp;TEXT(A693,"hh"),LoadTable[],6,FALSE)*T693</f>
        <v>52802.655830400006</v>
      </c>
      <c r="V693">
        <f t="shared" ref="V693:W693" si="720">V669</f>
        <v>2.9</v>
      </c>
      <c r="W693">
        <f t="shared" si="720"/>
        <v>3</v>
      </c>
      <c r="X693" s="9">
        <v>3.1117601000000001</v>
      </c>
    </row>
    <row r="694" spans="1:24">
      <c r="A694" s="29">
        <f t="shared" si="667"/>
        <v>45864.791666664991</v>
      </c>
      <c r="B694" s="30">
        <f t="shared" si="691"/>
        <v>5000</v>
      </c>
      <c r="C694" s="8">
        <v>25000</v>
      </c>
      <c r="D694" s="8">
        <v>0</v>
      </c>
      <c r="E694" s="8">
        <v>700</v>
      </c>
      <c r="F694" s="8">
        <v>15000</v>
      </c>
      <c r="G694" s="30">
        <f t="shared" si="692"/>
        <v>2400</v>
      </c>
      <c r="H694" s="8">
        <v>25000</v>
      </c>
      <c r="I694" s="30">
        <f t="shared" si="693"/>
        <v>5000</v>
      </c>
      <c r="J694" s="8">
        <v>25000</v>
      </c>
      <c r="K694" s="30">
        <f t="shared" si="694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13.86</v>
      </c>
      <c r="O694" s="9">
        <v>13.5</v>
      </c>
      <c r="P694" s="9">
        <v>19.5</v>
      </c>
      <c r="Q694" s="79">
        <f>VLOOKUP(VLOOKUP(DATEVALUE(TEXT(A694,"m/d/yyyy")),FY24_Temp[],5,FALSE)&amp;TEXT(A694,"-h"),Table6[],4,FALSE)</f>
        <v>2.4291428497859409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VLOOKUP(TEXT(A694,"yy-mm")&amp;"-"&amp;IF(AND(WEEKDAY(A694)&gt;1,WEEKDAY(A694)&lt;7),"Wkd",TEXT(A694,"Ddd"))&amp;"-"&amp;TEXT(A694,"hh"),LoadTable[],5,FALSE)*0.92</f>
        <v>494.57360000000006</v>
      </c>
      <c r="U694" s="104">
        <f>VLOOKUP(TEXT(A694,"yy-mm")&amp;"-"&amp;IF(AND(WEEKDAY(A694)&gt;1,WEEKDAY(A694)&lt;7),"Wkd",TEXT(A694,"Ddd"))&amp;"-"&amp;TEXT(A694,"hh"),LoadTable[],6,FALSE)*T694</f>
        <v>56766.168660800009</v>
      </c>
      <c r="V694">
        <f t="shared" ref="V694:W694" si="721">V670</f>
        <v>3</v>
      </c>
      <c r="W694">
        <f t="shared" si="721"/>
        <v>3</v>
      </c>
      <c r="X694" s="9">
        <v>3.0836948999999998</v>
      </c>
    </row>
    <row r="695" spans="1:24">
      <c r="A695" s="29">
        <f t="shared" si="667"/>
        <v>45864.833333331655</v>
      </c>
      <c r="B695" s="30">
        <f t="shared" si="691"/>
        <v>5000</v>
      </c>
      <c r="C695" s="8">
        <v>25000</v>
      </c>
      <c r="D695" s="8">
        <v>0</v>
      </c>
      <c r="E695" s="8">
        <v>700</v>
      </c>
      <c r="F695" s="8">
        <v>15000</v>
      </c>
      <c r="G695" s="30">
        <f t="shared" si="692"/>
        <v>2400</v>
      </c>
      <c r="H695" s="8">
        <v>25000</v>
      </c>
      <c r="I695" s="30">
        <f t="shared" si="693"/>
        <v>5000</v>
      </c>
      <c r="J695" s="8">
        <v>25000</v>
      </c>
      <c r="K695" s="30">
        <f t="shared" si="694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13.86</v>
      </c>
      <c r="O695" s="9">
        <v>13.5</v>
      </c>
      <c r="P695" s="9">
        <v>19.5</v>
      </c>
      <c r="Q695" s="79">
        <f>VLOOKUP(VLOOKUP(DATEVALUE(TEXT(A695,"m/d/yyyy")),FY24_Temp[],5,FALSE)&amp;TEXT(A695,"-h"),Table6[],4,FALSE)</f>
        <v>3.1071428571428572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VLOOKUP(TEXT(A695,"yy-mm")&amp;"-"&amp;IF(AND(WEEKDAY(A695)&gt;1,WEEKDAY(A695)&lt;7),"Wkd",TEXT(A695,"Ddd"))&amp;"-"&amp;TEXT(A695,"hh"),LoadTable[],5,FALSE)*0.92</f>
        <v>494.57360000000006</v>
      </c>
      <c r="U695" s="104">
        <f>VLOOKUP(TEXT(A695,"yy-mm")&amp;"-"&amp;IF(AND(WEEKDAY(A695)&gt;1,WEEKDAY(A695)&lt;7),"Wkd",TEXT(A695,"Ddd"))&amp;"-"&amp;TEXT(A695,"hh"),LoadTable[],6,FALSE)*T695</f>
        <v>58951.194825600003</v>
      </c>
      <c r="V695">
        <f t="shared" ref="V695:W695" si="722">V671</f>
        <v>2.8</v>
      </c>
      <c r="W695">
        <f t="shared" si="722"/>
        <v>3.1</v>
      </c>
      <c r="X695" s="9">
        <v>3.0500484000000001</v>
      </c>
    </row>
    <row r="696" spans="1:24">
      <c r="A696" s="29">
        <f t="shared" si="667"/>
        <v>45864.874999998319</v>
      </c>
      <c r="B696" s="30">
        <f t="shared" si="691"/>
        <v>5000</v>
      </c>
      <c r="C696" s="8">
        <v>25000</v>
      </c>
      <c r="D696" s="8">
        <v>0</v>
      </c>
      <c r="E696" s="8">
        <v>700</v>
      </c>
      <c r="F696" s="8">
        <v>15000</v>
      </c>
      <c r="G696" s="30">
        <f t="shared" si="692"/>
        <v>2400</v>
      </c>
      <c r="H696" s="8">
        <v>25000</v>
      </c>
      <c r="I696" s="30">
        <f t="shared" si="693"/>
        <v>5000</v>
      </c>
      <c r="J696" s="8">
        <v>25000</v>
      </c>
      <c r="K696" s="30">
        <f t="shared" si="694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13.86</v>
      </c>
      <c r="O696" s="9">
        <v>13.5</v>
      </c>
      <c r="P696" s="9">
        <v>19.5</v>
      </c>
      <c r="Q696" s="79">
        <f>VLOOKUP(VLOOKUP(DATEVALUE(TEXT(A696,"m/d/yyyy")),FY24_Temp[],5,FALSE)&amp;TEXT(A696,"-h"),Table6[],4,FALSE)</f>
        <v>3.3121428489685059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VLOOKUP(TEXT(A696,"yy-mm")&amp;"-"&amp;IF(AND(WEEKDAY(A696)&gt;1,WEEKDAY(A696)&lt;7),"Wkd",TEXT(A696,"Ddd"))&amp;"-"&amp;TEXT(A696,"hh"),LoadTable[],5,FALSE)*0.92</f>
        <v>494.57360000000006</v>
      </c>
      <c r="U696" s="104">
        <f>VLOOKUP(TEXT(A696,"yy-mm")&amp;"-"&amp;IF(AND(WEEKDAY(A696)&gt;1,WEEKDAY(A696)&lt;7),"Wkd",TEXT(A696,"Ddd"))&amp;"-"&amp;TEXT(A696,"hh"),LoadTable[],6,FALSE)*T696</f>
        <v>55655.850928800006</v>
      </c>
      <c r="V696">
        <f t="shared" ref="V696:W696" si="723">V672</f>
        <v>3.5</v>
      </c>
      <c r="W696">
        <f t="shared" si="723"/>
        <v>3.1</v>
      </c>
      <c r="X696" s="9">
        <v>3.0244700999999998</v>
      </c>
    </row>
    <row r="697" spans="1:24">
      <c r="A697" s="29">
        <f t="shared" si="667"/>
        <v>45864.916666664983</v>
      </c>
      <c r="B697" s="30">
        <f t="shared" si="691"/>
        <v>5000</v>
      </c>
      <c r="C697" s="8">
        <v>25000</v>
      </c>
      <c r="D697" s="8">
        <v>0</v>
      </c>
      <c r="E697" s="8">
        <v>700</v>
      </c>
      <c r="F697" s="8">
        <v>15000</v>
      </c>
      <c r="G697" s="30">
        <f t="shared" si="692"/>
        <v>2400</v>
      </c>
      <c r="H697" s="8">
        <v>25000</v>
      </c>
      <c r="I697" s="30">
        <f t="shared" si="693"/>
        <v>5000</v>
      </c>
      <c r="J697" s="8">
        <v>25000</v>
      </c>
      <c r="K697" s="30">
        <f t="shared" si="694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13.86</v>
      </c>
      <c r="O697" s="9">
        <v>13.5</v>
      </c>
      <c r="P697" s="9">
        <v>19.5</v>
      </c>
      <c r="Q697" s="79">
        <f>VLOOKUP(VLOOKUP(DATEVALUE(TEXT(A697,"m/d/yyyy")),FY24_Temp[],5,FALSE)&amp;TEXT(A697,"-h"),Table6[],4,FALSE)</f>
        <v>3.2781428268977573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VLOOKUP(TEXT(A697,"yy-mm")&amp;"-"&amp;IF(AND(WEEKDAY(A697)&gt;1,WEEKDAY(A697)&lt;7),"Wkd",TEXT(A697,"Ddd"))&amp;"-"&amp;TEXT(A697,"hh"),LoadTable[],5,FALSE)*0.92</f>
        <v>418.75640000000004</v>
      </c>
      <c r="U697" s="104">
        <f>VLOOKUP(TEXT(A697,"yy-mm")&amp;"-"&amp;IF(AND(WEEKDAY(A697)&gt;1,WEEKDAY(A697)&lt;7),"Wkd",TEXT(A697,"Ddd"))&amp;"-"&amp;TEXT(A697,"hh"),LoadTable[],6,FALSE)*T697</f>
        <v>25450.757722800005</v>
      </c>
      <c r="V697">
        <f t="shared" ref="V697:W697" si="724">V673</f>
        <v>2.9</v>
      </c>
      <c r="W697">
        <f t="shared" si="724"/>
        <v>3.1</v>
      </c>
      <c r="X697" s="9">
        <v>2.9945202000000002</v>
      </c>
    </row>
    <row r="698" spans="1:24">
      <c r="A698" s="29">
        <f t="shared" si="667"/>
        <v>45864.958333331648</v>
      </c>
      <c r="B698" s="30">
        <f t="shared" si="691"/>
        <v>5000</v>
      </c>
      <c r="C698" s="8">
        <v>25000</v>
      </c>
      <c r="D698" s="8">
        <v>0</v>
      </c>
      <c r="E698" s="8">
        <v>700</v>
      </c>
      <c r="F698" s="8">
        <v>15000</v>
      </c>
      <c r="G698" s="30">
        <f t="shared" si="692"/>
        <v>2400</v>
      </c>
      <c r="H698" s="8">
        <v>25000</v>
      </c>
      <c r="I698" s="30">
        <f t="shared" si="693"/>
        <v>5000</v>
      </c>
      <c r="J698" s="8">
        <v>25000</v>
      </c>
      <c r="K698" s="30">
        <f t="shared" si="694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13.86</v>
      </c>
      <c r="O698" s="9">
        <v>13.5</v>
      </c>
      <c r="P698" s="9">
        <v>19.5</v>
      </c>
      <c r="Q698" s="79">
        <f>VLOOKUP(VLOOKUP(DATEVALUE(TEXT(A698,"m/d/yyyy")),FY24_Temp[],5,FALSE)&amp;TEXT(A698,"-h"),Table6[],4,FALSE)</f>
        <v>3.138000045503889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VLOOKUP(TEXT(A698,"yy-mm")&amp;"-"&amp;IF(AND(WEEKDAY(A698)&gt;1,WEEKDAY(A698)&lt;7),"Wkd",TEXT(A698,"Ddd"))&amp;"-"&amp;TEXT(A698,"hh"),LoadTable[],5,FALSE)*0.92</f>
        <v>342.93920000000003</v>
      </c>
      <c r="U698" s="104">
        <f>VLOOKUP(TEXT(A698,"yy-mm")&amp;"-"&amp;IF(AND(WEEKDAY(A698)&gt;1,WEEKDAY(A698)&lt;7),"Wkd",TEXT(A698,"Ddd"))&amp;"-"&amp;TEXT(A698,"hh"),LoadTable[],6,FALSE)*T698</f>
        <v>19353.430812800001</v>
      </c>
      <c r="V698">
        <f t="shared" ref="V698:W698" si="725">V674</f>
        <v>3.6</v>
      </c>
      <c r="W698">
        <f t="shared" si="725"/>
        <v>3.1</v>
      </c>
      <c r="X698" s="9">
        <v>2.9042276999999999</v>
      </c>
    </row>
    <row r="699" spans="1:24">
      <c r="A699" s="29">
        <f t="shared" si="667"/>
        <v>45864.999999998312</v>
      </c>
      <c r="B699" s="30">
        <f t="shared" si="691"/>
        <v>5000</v>
      </c>
      <c r="C699" s="8">
        <v>25000</v>
      </c>
      <c r="D699" s="8">
        <v>0</v>
      </c>
      <c r="E699" s="8">
        <v>700</v>
      </c>
      <c r="F699" s="8">
        <v>15000</v>
      </c>
      <c r="G699" s="30">
        <f t="shared" si="692"/>
        <v>2400</v>
      </c>
      <c r="H699" s="8">
        <v>25000</v>
      </c>
      <c r="I699" s="30">
        <f t="shared" si="693"/>
        <v>5000</v>
      </c>
      <c r="J699" s="8">
        <v>25000</v>
      </c>
      <c r="K699" s="30">
        <f t="shared" si="694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13.86</v>
      </c>
      <c r="O699" s="9">
        <v>13.5</v>
      </c>
      <c r="P699" s="9">
        <v>19.5</v>
      </c>
      <c r="Q699" s="79">
        <f>VLOOKUP(VLOOKUP(DATEVALUE(TEXT(A699,"m/d/yyyy")),FY24_Temp[],5,FALSE)&amp;TEXT(A699,"-h"),Table6[],4,FALSE)</f>
        <v>2.9907142775399342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VLOOKUP(TEXT(A699,"yy-mm")&amp;"-"&amp;IF(AND(WEEKDAY(A699)&gt;1,WEEKDAY(A699)&lt;7),"Wkd",TEXT(A699,"Ddd"))&amp;"-"&amp;TEXT(A699,"hh"),LoadTable[],5,FALSE)*0.92</f>
        <v>279.25312000000002</v>
      </c>
      <c r="U699" s="104">
        <f>VLOOKUP(TEXT(A699,"yy-mm")&amp;"-"&amp;IF(AND(WEEKDAY(A699)&gt;1,WEEKDAY(A699)&lt;7),"Wkd",TEXT(A699,"Ddd"))&amp;"-"&amp;TEXT(A699,"hh"),LoadTable[],6,FALSE)*T699</f>
        <v>13653.802049280001</v>
      </c>
      <c r="V699">
        <f t="shared" ref="V699:W699" si="726">V675</f>
        <v>3</v>
      </c>
      <c r="W699">
        <f t="shared" si="726"/>
        <v>3.2</v>
      </c>
      <c r="X699" s="9">
        <v>2.8096652</v>
      </c>
    </row>
    <row r="700" spans="1:24">
      <c r="A700" s="29">
        <f t="shared" si="667"/>
        <v>45865.041666664976</v>
      </c>
      <c r="B700" s="30">
        <f t="shared" si="691"/>
        <v>5000</v>
      </c>
      <c r="C700" s="8">
        <v>25000</v>
      </c>
      <c r="D700" s="8">
        <v>0</v>
      </c>
      <c r="E700" s="8">
        <v>700</v>
      </c>
      <c r="F700" s="8">
        <v>15000</v>
      </c>
      <c r="G700" s="30">
        <f t="shared" si="692"/>
        <v>2400</v>
      </c>
      <c r="H700" s="8">
        <v>25000</v>
      </c>
      <c r="I700" s="30">
        <f t="shared" si="693"/>
        <v>5000</v>
      </c>
      <c r="J700" s="8">
        <v>25000</v>
      </c>
      <c r="K700" s="30">
        <f t="shared" si="694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13.86</v>
      </c>
      <c r="O700" s="9">
        <v>13.5</v>
      </c>
      <c r="P700" s="9">
        <v>19.5</v>
      </c>
      <c r="Q700" s="79">
        <f>VLOOKUP(VLOOKUP(DATEVALUE(TEXT(A700,"m/d/yyyy")),FY24_Temp[],5,FALSE)&amp;TEXT(A700,"-h"),Table6[],4,FALSE)</f>
        <v>2.8792857101985385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VLOOKUP(TEXT(A700,"yy-mm")&amp;"-"&amp;IF(AND(WEEKDAY(A700)&gt;1,WEEKDAY(A700)&lt;7),"Wkd",TEXT(A700,"Ddd"))&amp;"-"&amp;TEXT(A700,"hh"),LoadTable[],5,FALSE)*0.92</f>
        <v>279.25312000000002</v>
      </c>
      <c r="U700" s="104">
        <f>VLOOKUP(TEXT(A700,"yy-mm")&amp;"-"&amp;IF(AND(WEEKDAY(A700)&gt;1,WEEKDAY(A700)&lt;7),"Wkd",TEXT(A700,"Ddd"))&amp;"-"&amp;TEXT(A700,"hh"),LoadTable[],6,FALSE)*T700</f>
        <v>13616.102878080001</v>
      </c>
      <c r="V700">
        <f t="shared" ref="V700:W700" si="727">V676</f>
        <v>2.6</v>
      </c>
      <c r="W700">
        <f t="shared" si="727"/>
        <v>3.2</v>
      </c>
      <c r="X700" s="9">
        <v>2.7342092999999998</v>
      </c>
    </row>
    <row r="701" spans="1:24">
      <c r="A701" s="29">
        <f t="shared" si="667"/>
        <v>45865.08333333164</v>
      </c>
      <c r="B701" s="30">
        <f t="shared" si="691"/>
        <v>5000</v>
      </c>
      <c r="C701" s="8">
        <v>25000</v>
      </c>
      <c r="D701" s="8">
        <v>0</v>
      </c>
      <c r="E701" s="8">
        <v>700</v>
      </c>
      <c r="F701" s="8">
        <v>15000</v>
      </c>
      <c r="G701" s="30">
        <f t="shared" si="692"/>
        <v>2400</v>
      </c>
      <c r="H701" s="8">
        <v>25000</v>
      </c>
      <c r="I701" s="30">
        <f t="shared" si="693"/>
        <v>5000</v>
      </c>
      <c r="J701" s="8">
        <v>25000</v>
      </c>
      <c r="K701" s="30">
        <f t="shared" si="694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13.86</v>
      </c>
      <c r="O701" s="9">
        <v>13.5</v>
      </c>
      <c r="P701" s="9">
        <v>19.5</v>
      </c>
      <c r="Q701" s="79">
        <f>VLOOKUP(VLOOKUP(DATEVALUE(TEXT(A701,"m/d/yyyy")),FY24_Temp[],5,FALSE)&amp;TEXT(A701,"-h"),Table6[],4,FALSE)</f>
        <v>2.766571419579642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VLOOKUP(TEXT(A701,"yy-mm")&amp;"-"&amp;IF(AND(WEEKDAY(A701)&gt;1,WEEKDAY(A701)&lt;7),"Wkd",TEXT(A701,"Ddd"))&amp;"-"&amp;TEXT(A701,"hh"),LoadTable[],5,FALSE)*0.92</f>
        <v>279.25312000000002</v>
      </c>
      <c r="U701" s="104">
        <f>VLOOKUP(TEXT(A701,"yy-mm")&amp;"-"&amp;IF(AND(WEEKDAY(A701)&gt;1,WEEKDAY(A701)&lt;7),"Wkd",TEXT(A701,"Ddd"))&amp;"-"&amp;TEXT(A701,"hh"),LoadTable[],6,FALSE)*T701</f>
        <v>13493.510758400002</v>
      </c>
      <c r="V701">
        <f t="shared" ref="V701:W701" si="728">V677</f>
        <v>2.8</v>
      </c>
      <c r="W701">
        <f t="shared" si="728"/>
        <v>3.2</v>
      </c>
      <c r="X701" s="9">
        <v>2.797364</v>
      </c>
    </row>
    <row r="702" spans="1:24">
      <c r="A702" s="29">
        <f t="shared" si="667"/>
        <v>45865.124999998305</v>
      </c>
      <c r="B702" s="30">
        <f t="shared" si="691"/>
        <v>5000</v>
      </c>
      <c r="C702" s="8">
        <v>25000</v>
      </c>
      <c r="D702" s="8">
        <v>0</v>
      </c>
      <c r="E702" s="8">
        <v>700</v>
      </c>
      <c r="F702" s="8">
        <v>15000</v>
      </c>
      <c r="G702" s="30">
        <f t="shared" si="692"/>
        <v>2400</v>
      </c>
      <c r="H702" s="8">
        <v>25000</v>
      </c>
      <c r="I702" s="30">
        <f t="shared" si="693"/>
        <v>5000</v>
      </c>
      <c r="J702" s="8">
        <v>25000</v>
      </c>
      <c r="K702" s="30">
        <f t="shared" si="694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13.86</v>
      </c>
      <c r="O702" s="9">
        <v>13.5</v>
      </c>
      <c r="P702" s="9">
        <v>19.5</v>
      </c>
      <c r="Q702" s="79">
        <f>VLOOKUP(VLOOKUP(DATEVALUE(TEXT(A702,"m/d/yyyy")),FY24_Temp[],5,FALSE)&amp;TEXT(A702,"-h"),Table6[],4,FALSE)</f>
        <v>2.6518571717398509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VLOOKUP(TEXT(A702,"yy-mm")&amp;"-"&amp;IF(AND(WEEKDAY(A702)&gt;1,WEEKDAY(A702)&lt;7),"Wkd",TEXT(A702,"Ddd"))&amp;"-"&amp;TEXT(A702,"hh"),LoadTable[],5,FALSE)*0.92</f>
        <v>279.25312000000002</v>
      </c>
      <c r="U702" s="104">
        <f>VLOOKUP(TEXT(A702,"yy-mm")&amp;"-"&amp;IF(AND(WEEKDAY(A702)&gt;1,WEEKDAY(A702)&lt;7),"Wkd",TEXT(A702,"Ddd"))&amp;"-"&amp;TEXT(A702,"hh"),LoadTable[],6,FALSE)*T702</f>
        <v>13424.255984640002</v>
      </c>
      <c r="V702">
        <f t="shared" ref="V702:W702" si="729">V678</f>
        <v>2.7</v>
      </c>
      <c r="W702">
        <f t="shared" si="729"/>
        <v>3.2</v>
      </c>
      <c r="X702" s="9">
        <v>2.8535143999999999</v>
      </c>
    </row>
    <row r="703" spans="1:24">
      <c r="A703" s="29">
        <f t="shared" si="667"/>
        <v>45865.166666664969</v>
      </c>
      <c r="B703" s="30">
        <f t="shared" si="691"/>
        <v>5000</v>
      </c>
      <c r="C703" s="8">
        <v>25000</v>
      </c>
      <c r="D703" s="8">
        <v>0</v>
      </c>
      <c r="E703" s="8">
        <v>700</v>
      </c>
      <c r="F703" s="8">
        <v>15000</v>
      </c>
      <c r="G703" s="30">
        <f t="shared" si="692"/>
        <v>2400</v>
      </c>
      <c r="H703" s="8">
        <v>25000</v>
      </c>
      <c r="I703" s="30">
        <f t="shared" si="693"/>
        <v>5000</v>
      </c>
      <c r="J703" s="8">
        <v>25000</v>
      </c>
      <c r="K703" s="30">
        <f t="shared" si="694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13.86</v>
      </c>
      <c r="O703" s="9">
        <v>13.5</v>
      </c>
      <c r="P703" s="9">
        <v>19.5</v>
      </c>
      <c r="Q703" s="79">
        <f>VLOOKUP(VLOOKUP(DATEVALUE(TEXT(A703,"m/d/yyyy")),FY24_Temp[],5,FALSE)&amp;TEXT(A703,"-h"),Table6[],4,FALSE)</f>
        <v>2.4902857712336948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VLOOKUP(TEXT(A703,"yy-mm")&amp;"-"&amp;IF(AND(WEEKDAY(A703)&gt;1,WEEKDAY(A703)&lt;7),"Wkd",TEXT(A703,"Ddd"))&amp;"-"&amp;TEXT(A703,"hh"),LoadTable[],5,FALSE)*0.92</f>
        <v>279.25312000000002</v>
      </c>
      <c r="U703" s="104">
        <f>VLOOKUP(TEXT(A703,"yy-mm")&amp;"-"&amp;IF(AND(WEEKDAY(A703)&gt;1,WEEKDAY(A703)&lt;7),"Wkd",TEXT(A703,"Ddd"))&amp;"-"&amp;TEXT(A703,"hh"),LoadTable[],6,FALSE)*T703</f>
        <v>13538.470510720002</v>
      </c>
      <c r="V703">
        <f t="shared" ref="V703:W703" si="730">V679</f>
        <v>3</v>
      </c>
      <c r="W703">
        <f t="shared" si="730"/>
        <v>3.1</v>
      </c>
      <c r="X703" s="9">
        <v>2.8726210999999999</v>
      </c>
    </row>
    <row r="704" spans="1:24">
      <c r="A704" s="29">
        <f t="shared" si="667"/>
        <v>45865.208333331633</v>
      </c>
      <c r="B704" s="30">
        <f t="shared" si="691"/>
        <v>5000</v>
      </c>
      <c r="C704" s="8">
        <v>25000</v>
      </c>
      <c r="D704" s="8">
        <v>0</v>
      </c>
      <c r="E704" s="8">
        <v>700</v>
      </c>
      <c r="F704" s="8">
        <v>15000</v>
      </c>
      <c r="G704" s="30">
        <f t="shared" si="692"/>
        <v>2400</v>
      </c>
      <c r="H704" s="8">
        <v>25000</v>
      </c>
      <c r="I704" s="30">
        <f t="shared" si="693"/>
        <v>5000</v>
      </c>
      <c r="J704" s="8">
        <v>25000</v>
      </c>
      <c r="K704" s="30">
        <f t="shared" si="694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13.86</v>
      </c>
      <c r="O704" s="9">
        <v>13.5</v>
      </c>
      <c r="P704" s="9">
        <v>19.5</v>
      </c>
      <c r="Q704" s="79">
        <f>VLOOKUP(VLOOKUP(DATEVALUE(TEXT(A704,"m/d/yyyy")),FY24_Temp[],5,FALSE)&amp;TEXT(A704,"-h"),Table6[],4,FALSE)</f>
        <v>2.337571382522583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VLOOKUP(TEXT(A704,"yy-mm")&amp;"-"&amp;IF(AND(WEEKDAY(A704)&gt;1,WEEKDAY(A704)&lt;7),"Wkd",TEXT(A704,"Ddd"))&amp;"-"&amp;TEXT(A704,"hh"),LoadTable[],5,FALSE)*0.92</f>
        <v>279.25312000000002</v>
      </c>
      <c r="U704" s="104">
        <f>VLOOKUP(TEXT(A704,"yy-mm")&amp;"-"&amp;IF(AND(WEEKDAY(A704)&gt;1,WEEKDAY(A704)&lt;7),"Wkd",TEXT(A704,"Ddd"))&amp;"-"&amp;TEXT(A704,"hh"),LoadTable[],6,FALSE)*T704</f>
        <v>13637.605368320001</v>
      </c>
      <c r="V704">
        <f t="shared" ref="V704:W704" si="731">V680</f>
        <v>2.9</v>
      </c>
      <c r="W704">
        <f t="shared" si="731"/>
        <v>3.1</v>
      </c>
      <c r="X704" s="9">
        <v>2.9364640999999998</v>
      </c>
    </row>
    <row r="705" spans="1:24">
      <c r="A705" s="29">
        <f t="shared" si="667"/>
        <v>45865.249999998297</v>
      </c>
      <c r="B705" s="30">
        <f t="shared" si="691"/>
        <v>8000</v>
      </c>
      <c r="C705" s="8">
        <v>25000</v>
      </c>
      <c r="D705" s="8">
        <v>0</v>
      </c>
      <c r="E705" s="8">
        <v>700</v>
      </c>
      <c r="F705" s="8">
        <v>15000</v>
      </c>
      <c r="G705" s="30">
        <f t="shared" si="692"/>
        <v>2400</v>
      </c>
      <c r="H705" s="8">
        <v>25000</v>
      </c>
      <c r="I705" s="30">
        <f t="shared" si="693"/>
        <v>8000</v>
      </c>
      <c r="J705" s="8">
        <v>25000</v>
      </c>
      <c r="K705" s="30">
        <f t="shared" si="694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13.86</v>
      </c>
      <c r="O705" s="9">
        <v>13.5</v>
      </c>
      <c r="P705" s="9">
        <v>19.5</v>
      </c>
      <c r="Q705" s="79">
        <f>VLOOKUP(VLOOKUP(DATEVALUE(TEXT(A705,"m/d/yyyy")),FY24_Temp[],5,FALSE)&amp;TEXT(A705,"-h"),Table6[],4,FALSE)</f>
        <v>2.2231428963797435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VLOOKUP(TEXT(A705,"yy-mm")&amp;"-"&amp;IF(AND(WEEKDAY(A705)&gt;1,WEEKDAY(A705)&lt;7),"Wkd",TEXT(A705,"Ddd"))&amp;"-"&amp;TEXT(A705,"hh"),LoadTable[],5,FALSE)*0.92</f>
        <v>279.25312000000002</v>
      </c>
      <c r="U705" s="104">
        <f>VLOOKUP(TEXT(A705,"yy-mm")&amp;"-"&amp;IF(AND(WEEKDAY(A705)&gt;1,WEEKDAY(A705)&lt;7),"Wkd",TEXT(A705,"Ddd"))&amp;"-"&amp;TEXT(A705,"hh"),LoadTable[],6,FALSE)*T705</f>
        <v>15015.99876864</v>
      </c>
      <c r="V705">
        <f t="shared" ref="V705:W705" si="732">V681</f>
        <v>2.5</v>
      </c>
      <c r="W705">
        <f t="shared" si="732"/>
        <v>3.1</v>
      </c>
      <c r="X705" s="9">
        <v>3.0463591000000001</v>
      </c>
    </row>
    <row r="706" spans="1:24">
      <c r="A706" s="29">
        <f t="shared" si="667"/>
        <v>45865.291666664962</v>
      </c>
      <c r="B706" s="30">
        <f t="shared" si="691"/>
        <v>8000</v>
      </c>
      <c r="C706" s="8">
        <v>25000</v>
      </c>
      <c r="D706" s="8">
        <v>0</v>
      </c>
      <c r="E706" s="8">
        <v>700</v>
      </c>
      <c r="F706" s="8">
        <v>15000</v>
      </c>
      <c r="G706" s="30">
        <f t="shared" si="692"/>
        <v>2400</v>
      </c>
      <c r="H706" s="8">
        <v>25000</v>
      </c>
      <c r="I706" s="30">
        <f t="shared" si="693"/>
        <v>8000</v>
      </c>
      <c r="J706" s="8">
        <v>25000</v>
      </c>
      <c r="K706" s="30">
        <f t="shared" si="694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13.86</v>
      </c>
      <c r="O706" s="9">
        <v>13.5</v>
      </c>
      <c r="P706" s="9">
        <v>19.5</v>
      </c>
      <c r="Q706" s="79">
        <f>VLOOKUP(VLOOKUP(DATEVALUE(TEXT(A706,"m/d/yyyy")),FY24_Temp[],5,FALSE)&amp;TEXT(A706,"-h"),Table6[],4,FALSE)</f>
        <v>2.1175714220319475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VLOOKUP(TEXT(A706,"yy-mm")&amp;"-"&amp;IF(AND(WEEKDAY(A706)&gt;1,WEEKDAY(A706)&lt;7),"Wkd",TEXT(A706,"Ddd"))&amp;"-"&amp;TEXT(A706,"hh"),LoadTable[],5,FALSE)*0.92</f>
        <v>279.25312000000002</v>
      </c>
      <c r="U706" s="104">
        <f>VLOOKUP(TEXT(A706,"yy-mm")&amp;"-"&amp;IF(AND(WEEKDAY(A706)&gt;1,WEEKDAY(A706)&lt;7),"Wkd",TEXT(A706,"Ddd"))&amp;"-"&amp;TEXT(A706,"hh"),LoadTable[],6,FALSE)*T706</f>
        <v>13166.505354880001</v>
      </c>
      <c r="V706">
        <f t="shared" ref="V706:W706" si="733">V682</f>
        <v>2.5</v>
      </c>
      <c r="W706">
        <f t="shared" si="733"/>
        <v>3.1</v>
      </c>
      <c r="X706" s="9">
        <v>3.1807113</v>
      </c>
    </row>
    <row r="707" spans="1:24">
      <c r="A707" s="29">
        <f t="shared" si="667"/>
        <v>45865.333333331626</v>
      </c>
      <c r="B707" s="30">
        <f t="shared" si="691"/>
        <v>8000</v>
      </c>
      <c r="C707" s="8">
        <v>25000</v>
      </c>
      <c r="D707" s="8">
        <v>0</v>
      </c>
      <c r="E707" s="8">
        <v>700</v>
      </c>
      <c r="F707" s="8">
        <v>15000</v>
      </c>
      <c r="G707" s="30">
        <f t="shared" si="692"/>
        <v>2400</v>
      </c>
      <c r="H707" s="8">
        <v>25000</v>
      </c>
      <c r="I707" s="30">
        <f t="shared" si="693"/>
        <v>8000</v>
      </c>
      <c r="J707" s="8">
        <v>25000</v>
      </c>
      <c r="K707" s="30">
        <f t="shared" si="694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13.86</v>
      </c>
      <c r="O707" s="9">
        <v>13.5</v>
      </c>
      <c r="P707" s="9">
        <v>19.5</v>
      </c>
      <c r="Q707" s="79">
        <f>VLOOKUP(VLOOKUP(DATEVALUE(TEXT(A707,"m/d/yyyy")),FY24_Temp[],5,FALSE)&amp;TEXT(A707,"-h"),Table6[],4,FALSE)</f>
        <v>1.9947142941611153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VLOOKUP(TEXT(A707,"yy-mm")&amp;"-"&amp;IF(AND(WEEKDAY(A707)&gt;1,WEEKDAY(A707)&lt;7),"Wkd",TEXT(A707,"Ddd"))&amp;"-"&amp;TEXT(A707,"hh"),LoadTable[],5,FALSE)*0.92</f>
        <v>279.25312000000002</v>
      </c>
      <c r="U707" s="104">
        <f>VLOOKUP(TEXT(A707,"yy-mm")&amp;"-"&amp;IF(AND(WEEKDAY(A707)&gt;1,WEEKDAY(A707)&lt;7),"Wkd",TEXT(A707,"Ddd"))&amp;"-"&amp;TEXT(A707,"hh"),LoadTable[],6,FALSE)*T707</f>
        <v>12889.20700672</v>
      </c>
      <c r="V707">
        <f t="shared" ref="V707:W707" si="734">V683</f>
        <v>3.2</v>
      </c>
      <c r="W707">
        <f t="shared" si="734"/>
        <v>3</v>
      </c>
      <c r="X707" s="9">
        <v>3.2292752</v>
      </c>
    </row>
    <row r="708" spans="1:24">
      <c r="A708" s="29">
        <f t="shared" si="667"/>
        <v>45865.37499999829</v>
      </c>
      <c r="B708" s="30">
        <f t="shared" si="691"/>
        <v>8000</v>
      </c>
      <c r="C708" s="8">
        <v>25000</v>
      </c>
      <c r="D708" s="8">
        <v>0</v>
      </c>
      <c r="E708" s="8">
        <v>700</v>
      </c>
      <c r="F708" s="8">
        <v>15000</v>
      </c>
      <c r="G708" s="30">
        <f t="shared" si="692"/>
        <v>2400</v>
      </c>
      <c r="H708" s="8">
        <v>25000</v>
      </c>
      <c r="I708" s="30">
        <f t="shared" si="693"/>
        <v>8000</v>
      </c>
      <c r="J708" s="8">
        <v>25000</v>
      </c>
      <c r="K708" s="30">
        <f t="shared" si="694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13.86</v>
      </c>
      <c r="O708" s="9">
        <v>13.5</v>
      </c>
      <c r="P708" s="9">
        <v>19.5</v>
      </c>
      <c r="Q708" s="79">
        <f>VLOOKUP(VLOOKUP(DATEVALUE(TEXT(A708,"m/d/yyyy")),FY24_Temp[],5,FALSE)&amp;TEXT(A708,"-h"),Table6[],4,FALSE)</f>
        <v>1.8918571301868983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VLOOKUP(TEXT(A708,"yy-mm")&amp;"-"&amp;IF(AND(WEEKDAY(A708)&gt;1,WEEKDAY(A708)&lt;7),"Wkd",TEXT(A708,"Ddd"))&amp;"-"&amp;TEXT(A708,"hh"),LoadTable[],5,FALSE)*0.92</f>
        <v>279.25312000000002</v>
      </c>
      <c r="U708" s="104">
        <f>VLOOKUP(TEXT(A708,"yy-mm")&amp;"-"&amp;IF(AND(WEEKDAY(A708)&gt;1,WEEKDAY(A708)&lt;7),"Wkd",TEXT(A708,"Ddd"))&amp;"-"&amp;TEXT(A708,"hh"),LoadTable[],6,FALSE)*T708</f>
        <v>12852.904101120002</v>
      </c>
      <c r="V708">
        <f t="shared" ref="V708:W708" si="735">V684</f>
        <v>2.9</v>
      </c>
      <c r="W708">
        <f t="shared" si="735"/>
        <v>3</v>
      </c>
      <c r="X708" s="9">
        <v>3.2575997999999999</v>
      </c>
    </row>
    <row r="709" spans="1:24">
      <c r="A709" s="29">
        <f t="shared" ref="A709:A772" si="736">A708+TIME(1,0,0)</f>
        <v>45865.416666664954</v>
      </c>
      <c r="B709" s="30">
        <f t="shared" si="691"/>
        <v>8000</v>
      </c>
      <c r="C709" s="8">
        <v>25000</v>
      </c>
      <c r="D709" s="8">
        <v>0</v>
      </c>
      <c r="E709" s="8">
        <v>700</v>
      </c>
      <c r="F709" s="8">
        <v>15000</v>
      </c>
      <c r="G709" s="30">
        <f t="shared" si="692"/>
        <v>2400</v>
      </c>
      <c r="H709" s="8">
        <v>25000</v>
      </c>
      <c r="I709" s="30">
        <f t="shared" si="693"/>
        <v>8000</v>
      </c>
      <c r="J709" s="8">
        <v>25000</v>
      </c>
      <c r="K709" s="30">
        <f t="shared" si="694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13.86</v>
      </c>
      <c r="O709" s="9">
        <v>13.5</v>
      </c>
      <c r="P709" s="9">
        <v>19.5</v>
      </c>
      <c r="Q709" s="79">
        <f>VLOOKUP(VLOOKUP(DATEVALUE(TEXT(A709,"m/d/yyyy")),FY24_Temp[],5,FALSE)&amp;TEXT(A709,"-h"),Table6[],4,FALSE)</f>
        <v>1.795285701751709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VLOOKUP(TEXT(A709,"yy-mm")&amp;"-"&amp;IF(AND(WEEKDAY(A709)&gt;1,WEEKDAY(A709)&lt;7),"Wkd",TEXT(A709,"Ddd"))&amp;"-"&amp;TEXT(A709,"hh"),LoadTable[],5,FALSE)*0.92</f>
        <v>279.25312000000002</v>
      </c>
      <c r="U709" s="104">
        <f>VLOOKUP(TEXT(A709,"yy-mm")&amp;"-"&amp;IF(AND(WEEKDAY(A709)&gt;1,WEEKDAY(A709)&lt;7),"Wkd",TEXT(A709,"Ddd"))&amp;"-"&amp;TEXT(A709,"hh"),LoadTable[],6,FALSE)*T709</f>
        <v>12842.57173568</v>
      </c>
      <c r="V709">
        <f t="shared" ref="V709:W709" si="737">V685</f>
        <v>2.9</v>
      </c>
      <c r="W709">
        <f t="shared" si="737"/>
        <v>3</v>
      </c>
      <c r="X709" s="9">
        <v>3.3107722000000002</v>
      </c>
    </row>
    <row r="710" spans="1:24">
      <c r="A710" s="29">
        <f t="shared" si="736"/>
        <v>45865.458333331619</v>
      </c>
      <c r="B710" s="30">
        <f t="shared" si="691"/>
        <v>8000</v>
      </c>
      <c r="C710" s="8">
        <v>25000</v>
      </c>
      <c r="D710" s="8">
        <v>0</v>
      </c>
      <c r="E710" s="8">
        <v>700</v>
      </c>
      <c r="F710" s="8">
        <v>15000</v>
      </c>
      <c r="G710" s="30">
        <f t="shared" si="692"/>
        <v>2400</v>
      </c>
      <c r="H710" s="8">
        <v>25000</v>
      </c>
      <c r="I710" s="30">
        <f t="shared" si="693"/>
        <v>8000</v>
      </c>
      <c r="J710" s="8">
        <v>25000</v>
      </c>
      <c r="K710" s="30">
        <f t="shared" si="694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13.86</v>
      </c>
      <c r="O710" s="9">
        <v>13.5</v>
      </c>
      <c r="P710" s="9">
        <v>19.5</v>
      </c>
      <c r="Q710" s="79">
        <f>VLOOKUP(VLOOKUP(DATEVALUE(TEXT(A710,"m/d/yyyy")),FY24_Temp[],5,FALSE)&amp;TEXT(A710,"-h"),Table6[],4,FALSE)</f>
        <v>1.6731428759438651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VLOOKUP(TEXT(A710,"yy-mm")&amp;"-"&amp;IF(AND(WEEKDAY(A710)&gt;1,WEEKDAY(A710)&lt;7),"Wkd",TEXT(A710,"Ddd"))&amp;"-"&amp;TEXT(A710,"hh"),LoadTable[],5,FALSE)*0.92</f>
        <v>279.25312000000002</v>
      </c>
      <c r="U710" s="104">
        <f>VLOOKUP(TEXT(A710,"yy-mm")&amp;"-"&amp;IF(AND(WEEKDAY(A710)&gt;1,WEEKDAY(A710)&lt;7),"Wkd",TEXT(A710,"Ddd"))&amp;"-"&amp;TEXT(A710,"hh"),LoadTable[],6,FALSE)*T710</f>
        <v>12828.050573440001</v>
      </c>
      <c r="V710">
        <f t="shared" ref="V710:W710" si="738">V686</f>
        <v>3.4</v>
      </c>
      <c r="W710">
        <f t="shared" si="738"/>
        <v>3</v>
      </c>
      <c r="X710" s="9">
        <v>3.2409756000000001</v>
      </c>
    </row>
    <row r="711" spans="1:24">
      <c r="A711" s="29">
        <f t="shared" si="736"/>
        <v>45865.499999998283</v>
      </c>
      <c r="B711" s="30">
        <f t="shared" si="691"/>
        <v>8000</v>
      </c>
      <c r="C711" s="8">
        <v>25000</v>
      </c>
      <c r="D711" s="8">
        <v>0</v>
      </c>
      <c r="E711" s="8">
        <v>700</v>
      </c>
      <c r="F711" s="8">
        <v>15000</v>
      </c>
      <c r="G711" s="30">
        <f t="shared" si="692"/>
        <v>2400</v>
      </c>
      <c r="H711" s="8">
        <v>25000</v>
      </c>
      <c r="I711" s="30">
        <f t="shared" si="693"/>
        <v>8000</v>
      </c>
      <c r="J711" s="8">
        <v>25000</v>
      </c>
      <c r="K711" s="30">
        <f t="shared" si="694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13.86</v>
      </c>
      <c r="O711" s="9">
        <v>13.5</v>
      </c>
      <c r="P711" s="9">
        <v>19.5</v>
      </c>
      <c r="Q711" s="79">
        <f>VLOOKUP(VLOOKUP(DATEVALUE(TEXT(A711,"m/d/yyyy")),FY24_Temp[],5,FALSE)&amp;TEXT(A711,"-h"),Table6[],4,FALSE)</f>
        <v>1.5228571380887712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VLOOKUP(TEXT(A711,"yy-mm")&amp;"-"&amp;IF(AND(WEEKDAY(A711)&gt;1,WEEKDAY(A711)&lt;7),"Wkd",TEXT(A711,"Ddd"))&amp;"-"&amp;TEXT(A711,"hh"),LoadTable[],5,FALSE)*0.92</f>
        <v>279.25312000000002</v>
      </c>
      <c r="U711" s="104">
        <f>VLOOKUP(TEXT(A711,"yy-mm")&amp;"-"&amp;IF(AND(WEEKDAY(A711)&gt;1,WEEKDAY(A711)&lt;7),"Wkd",TEXT(A711,"Ddd"))&amp;"-"&amp;TEXT(A711,"hh"),LoadTable[],6,FALSE)*T711</f>
        <v>12824.141029760001</v>
      </c>
      <c r="V711">
        <f t="shared" ref="V711:W711" si="739">V687</f>
        <v>3.1</v>
      </c>
      <c r="W711">
        <f t="shared" si="739"/>
        <v>2.9</v>
      </c>
      <c r="X711" s="9">
        <v>3.0979747999999998</v>
      </c>
    </row>
    <row r="712" spans="1:24">
      <c r="A712" s="29">
        <f t="shared" si="736"/>
        <v>45865.541666664947</v>
      </c>
      <c r="B712" s="30">
        <f t="shared" si="691"/>
        <v>8000</v>
      </c>
      <c r="C712" s="8">
        <v>25000</v>
      </c>
      <c r="D712" s="8">
        <v>0</v>
      </c>
      <c r="E712" s="8">
        <v>700</v>
      </c>
      <c r="F712" s="8">
        <v>15000</v>
      </c>
      <c r="G712" s="30">
        <f t="shared" si="692"/>
        <v>2400</v>
      </c>
      <c r="H712" s="8">
        <v>25000</v>
      </c>
      <c r="I712" s="30">
        <f t="shared" si="693"/>
        <v>8000</v>
      </c>
      <c r="J712" s="8">
        <v>25000</v>
      </c>
      <c r="K712" s="30">
        <f t="shared" si="694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13.86</v>
      </c>
      <c r="O712" s="9">
        <v>13.5</v>
      </c>
      <c r="P712" s="9">
        <v>19.5</v>
      </c>
      <c r="Q712" s="79">
        <f>VLOOKUP(VLOOKUP(DATEVALUE(TEXT(A712,"m/d/yyyy")),FY24_Temp[],5,FALSE)&amp;TEXT(A712,"-h"),Table6[],4,FALSE)</f>
        <v>1.3490000111716134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VLOOKUP(TEXT(A712,"yy-mm")&amp;"-"&amp;IF(AND(WEEKDAY(A712)&gt;1,WEEKDAY(A712)&lt;7),"Wkd",TEXT(A712,"Ddd"))&amp;"-"&amp;TEXT(A712,"hh"),LoadTable[],5,FALSE)*0.92</f>
        <v>279.25312000000002</v>
      </c>
      <c r="U712" s="104">
        <f>VLOOKUP(TEXT(A712,"yy-mm")&amp;"-"&amp;IF(AND(WEEKDAY(A712)&gt;1,WEEKDAY(A712)&lt;7),"Wkd",TEXT(A712,"Ddd"))&amp;"-"&amp;TEXT(A712,"hh"),LoadTable[],6,FALSE)*T712</f>
        <v>12831.401610880001</v>
      </c>
      <c r="V712">
        <f t="shared" ref="V712:W712" si="740">V688</f>
        <v>3.2</v>
      </c>
      <c r="W712">
        <f t="shared" si="740"/>
        <v>2.9</v>
      </c>
      <c r="X712" s="9">
        <v>2.92136</v>
      </c>
    </row>
    <row r="713" spans="1:24">
      <c r="A713" s="29">
        <f t="shared" si="736"/>
        <v>45865.583333331611</v>
      </c>
      <c r="B713" s="30">
        <f t="shared" si="691"/>
        <v>8000</v>
      </c>
      <c r="C713" s="8">
        <v>25000</v>
      </c>
      <c r="D713" s="8">
        <v>0</v>
      </c>
      <c r="E713" s="8">
        <v>700</v>
      </c>
      <c r="F713" s="8">
        <v>15000</v>
      </c>
      <c r="G713" s="30">
        <f t="shared" si="692"/>
        <v>2400</v>
      </c>
      <c r="H713" s="8">
        <v>25000</v>
      </c>
      <c r="I713" s="30">
        <f t="shared" si="693"/>
        <v>8000</v>
      </c>
      <c r="J713" s="8">
        <v>25000</v>
      </c>
      <c r="K713" s="30">
        <f t="shared" si="694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13.86</v>
      </c>
      <c r="O713" s="9">
        <v>13.5</v>
      </c>
      <c r="P713" s="9">
        <v>19.5</v>
      </c>
      <c r="Q713" s="79">
        <f>VLOOKUP(VLOOKUP(DATEVALUE(TEXT(A713,"m/d/yyyy")),FY24_Temp[],5,FALSE)&amp;TEXT(A713,"-h"),Table6[],4,FALSE)</f>
        <v>1.165428570338658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VLOOKUP(TEXT(A713,"yy-mm")&amp;"-"&amp;IF(AND(WEEKDAY(A713)&gt;1,WEEKDAY(A713)&lt;7),"Wkd",TEXT(A713,"Ddd"))&amp;"-"&amp;TEXT(A713,"hh"),LoadTable[],5,FALSE)*0.92</f>
        <v>279.25312000000002</v>
      </c>
      <c r="U713" s="104">
        <f>VLOOKUP(TEXT(A713,"yy-mm")&amp;"-"&amp;IF(AND(WEEKDAY(A713)&gt;1,WEEKDAY(A713)&lt;7),"Wkd",TEXT(A713,"Ddd"))&amp;"-"&amp;TEXT(A713,"hh"),LoadTable[],6,FALSE)*T713</f>
        <v>12856.25513856</v>
      </c>
      <c r="V713">
        <f t="shared" ref="V713:W713" si="741">V689</f>
        <v>3.5</v>
      </c>
      <c r="W713">
        <f t="shared" si="741"/>
        <v>2.9</v>
      </c>
      <c r="X713" s="9">
        <v>2.9165561000000002</v>
      </c>
    </row>
    <row r="714" spans="1:24">
      <c r="A714" s="29">
        <f t="shared" si="736"/>
        <v>45865.624999998276</v>
      </c>
      <c r="B714" s="30">
        <f t="shared" si="691"/>
        <v>8000</v>
      </c>
      <c r="C714" s="8">
        <v>25000</v>
      </c>
      <c r="D714" s="8">
        <v>0</v>
      </c>
      <c r="E714" s="8">
        <v>700</v>
      </c>
      <c r="F714" s="8">
        <v>15000</v>
      </c>
      <c r="G714" s="30">
        <f t="shared" si="692"/>
        <v>2400</v>
      </c>
      <c r="H714" s="8">
        <v>25000</v>
      </c>
      <c r="I714" s="30">
        <f t="shared" si="693"/>
        <v>8000</v>
      </c>
      <c r="J714" s="8">
        <v>25000</v>
      </c>
      <c r="K714" s="30">
        <f t="shared" si="694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13.86</v>
      </c>
      <c r="O714" s="9">
        <v>13.5</v>
      </c>
      <c r="P714" s="9">
        <v>19.5</v>
      </c>
      <c r="Q714" s="79">
        <f>VLOOKUP(VLOOKUP(DATEVALUE(TEXT(A714,"m/d/yyyy")),FY24_Temp[],5,FALSE)&amp;TEXT(A714,"-h"),Table6[],4,FALSE)</f>
        <v>1.0105714201927185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VLOOKUP(TEXT(A714,"yy-mm")&amp;"-"&amp;IF(AND(WEEKDAY(A714)&gt;1,WEEKDAY(A714)&lt;7),"Wkd",TEXT(A714,"Ddd"))&amp;"-"&amp;TEXT(A714,"hh"),LoadTable[],5,FALSE)*0.92</f>
        <v>400.56064000000003</v>
      </c>
      <c r="U714" s="104">
        <f>VLOOKUP(TEXT(A714,"yy-mm")&amp;"-"&amp;IF(AND(WEEKDAY(A714)&gt;1,WEEKDAY(A714)&lt;7),"Wkd",TEXT(A714,"Ddd"))&amp;"-"&amp;TEXT(A714,"hh"),LoadTable[],6,FALSE)*T714</f>
        <v>18478.262883840001</v>
      </c>
      <c r="V714">
        <f t="shared" ref="V714:W714" si="742">V690</f>
        <v>3.2</v>
      </c>
      <c r="W714">
        <f t="shared" si="742"/>
        <v>2.9</v>
      </c>
      <c r="X714" s="9">
        <v>3.2798311999999998</v>
      </c>
    </row>
    <row r="715" spans="1:24">
      <c r="A715" s="29">
        <f t="shared" si="736"/>
        <v>45865.66666666494</v>
      </c>
      <c r="B715" s="30">
        <f t="shared" si="691"/>
        <v>8000</v>
      </c>
      <c r="C715" s="8">
        <v>25000</v>
      </c>
      <c r="D715" s="8">
        <v>0</v>
      </c>
      <c r="E715" s="8">
        <v>700</v>
      </c>
      <c r="F715" s="8">
        <v>15000</v>
      </c>
      <c r="G715" s="30">
        <f t="shared" si="692"/>
        <v>2400</v>
      </c>
      <c r="H715" s="8">
        <v>25000</v>
      </c>
      <c r="I715" s="30">
        <f t="shared" si="693"/>
        <v>8000</v>
      </c>
      <c r="J715" s="8">
        <v>25000</v>
      </c>
      <c r="K715" s="30">
        <f t="shared" si="694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13.86</v>
      </c>
      <c r="O715" s="9">
        <v>13.5</v>
      </c>
      <c r="P715" s="9">
        <v>19.5</v>
      </c>
      <c r="Q715" s="79">
        <f>VLOOKUP(VLOOKUP(DATEVALUE(TEXT(A715,"m/d/yyyy")),FY24_Temp[],5,FALSE)&amp;TEXT(A715,"-h"),Table6[],4,FALSE)</f>
        <v>0.96857144151415142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VLOOKUP(TEXT(A715,"yy-mm")&amp;"-"&amp;IF(AND(WEEKDAY(A715)&gt;1,WEEKDAY(A715)&lt;7),"Wkd",TEXT(A715,"Ddd"))&amp;"-"&amp;TEXT(A715,"hh"),LoadTable[],5,FALSE)*0.92</f>
        <v>473.62059999999997</v>
      </c>
      <c r="U715" s="104">
        <f>VLOOKUP(TEXT(A715,"yy-mm")&amp;"-"&amp;IF(AND(WEEKDAY(A715)&gt;1,WEEKDAY(A715)&lt;7),"Wkd",TEXT(A715,"Ddd"))&amp;"-"&amp;TEXT(A715,"hh"),LoadTable[],6,FALSE)*T715</f>
        <v>22424.040927599995</v>
      </c>
      <c r="V715">
        <f t="shared" ref="V715:W715" si="743">V691</f>
        <v>3.5</v>
      </c>
      <c r="W715">
        <f t="shared" si="743"/>
        <v>3</v>
      </c>
      <c r="X715" s="9">
        <v>3.1889135999999998</v>
      </c>
    </row>
    <row r="716" spans="1:24">
      <c r="A716" s="29">
        <f t="shared" si="736"/>
        <v>45865.708333331604</v>
      </c>
      <c r="B716" s="30">
        <f t="shared" si="691"/>
        <v>8000</v>
      </c>
      <c r="C716" s="8">
        <v>25000</v>
      </c>
      <c r="D716" s="8">
        <v>0</v>
      </c>
      <c r="E716" s="8">
        <v>700</v>
      </c>
      <c r="F716" s="8">
        <v>15000</v>
      </c>
      <c r="G716" s="30">
        <f t="shared" si="692"/>
        <v>2400</v>
      </c>
      <c r="H716" s="8">
        <v>25000</v>
      </c>
      <c r="I716" s="30">
        <f t="shared" si="693"/>
        <v>8000</v>
      </c>
      <c r="J716" s="8">
        <v>25000</v>
      </c>
      <c r="K716" s="30">
        <f t="shared" si="694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13.86</v>
      </c>
      <c r="O716" s="9">
        <v>13.5</v>
      </c>
      <c r="P716" s="9">
        <v>19.5</v>
      </c>
      <c r="Q716" s="79">
        <f>VLOOKUP(VLOOKUP(DATEVALUE(TEXT(A716,"m/d/yyyy")),FY24_Temp[],5,FALSE)&amp;TEXT(A716,"-h"),Table6[],4,FALSE)</f>
        <v>1.1941428525107247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VLOOKUP(TEXT(A716,"yy-mm")&amp;"-"&amp;IF(AND(WEEKDAY(A716)&gt;1,WEEKDAY(A716)&lt;7),"Wkd",TEXT(A716,"Ddd"))&amp;"-"&amp;TEXT(A716,"hh"),LoadTable[],5,FALSE)*0.92</f>
        <v>473.62059999999997</v>
      </c>
      <c r="U716" s="104">
        <f>VLOOKUP(TEXT(A716,"yy-mm")&amp;"-"&amp;IF(AND(WEEKDAY(A716)&gt;1,WEEKDAY(A716)&lt;7),"Wkd",TEXT(A716,"Ddd"))&amp;"-"&amp;TEXT(A716,"hh"),LoadTable[],6,FALSE)*T716</f>
        <v>25901.363372799999</v>
      </c>
      <c r="V716">
        <f t="shared" ref="V716:W716" si="744">V692</f>
        <v>3.6</v>
      </c>
      <c r="W716">
        <f t="shared" si="744"/>
        <v>3</v>
      </c>
      <c r="X716" s="9">
        <v>3.1135483000000002</v>
      </c>
    </row>
    <row r="717" spans="1:24">
      <c r="A717" s="29">
        <f t="shared" si="736"/>
        <v>45865.749999998268</v>
      </c>
      <c r="B717" s="30">
        <f t="shared" si="691"/>
        <v>5000</v>
      </c>
      <c r="C717" s="8">
        <v>25000</v>
      </c>
      <c r="D717" s="8">
        <v>0</v>
      </c>
      <c r="E717" s="8">
        <v>700</v>
      </c>
      <c r="F717" s="8">
        <v>15000</v>
      </c>
      <c r="G717" s="30">
        <f t="shared" si="692"/>
        <v>2400</v>
      </c>
      <c r="H717" s="8">
        <v>25000</v>
      </c>
      <c r="I717" s="30">
        <f t="shared" si="693"/>
        <v>5000</v>
      </c>
      <c r="J717" s="8">
        <v>25000</v>
      </c>
      <c r="K717" s="30">
        <f t="shared" si="694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13.86</v>
      </c>
      <c r="O717" s="9">
        <v>13.5</v>
      </c>
      <c r="P717" s="9">
        <v>19.5</v>
      </c>
      <c r="Q717" s="79">
        <f>VLOOKUP(VLOOKUP(DATEVALUE(TEXT(A717,"m/d/yyyy")),FY24_Temp[],5,FALSE)&amp;TEXT(A717,"-h"),Table6[],4,FALSE)</f>
        <v>1.5795714344297136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VLOOKUP(TEXT(A717,"yy-mm")&amp;"-"&amp;IF(AND(WEEKDAY(A717)&gt;1,WEEKDAY(A717)&lt;7),"Wkd",TEXT(A717,"Ddd"))&amp;"-"&amp;TEXT(A717,"hh"),LoadTable[],5,FALSE)*0.92</f>
        <v>494.57360000000006</v>
      </c>
      <c r="U717" s="104">
        <f>VLOOKUP(TEXT(A717,"yy-mm")&amp;"-"&amp;IF(AND(WEEKDAY(A717)&gt;1,WEEKDAY(A717)&lt;7),"Wkd",TEXT(A717,"Ddd"))&amp;"-"&amp;TEXT(A717,"hh"),LoadTable[],6,FALSE)*T717</f>
        <v>34985.641890400009</v>
      </c>
      <c r="V717">
        <f t="shared" ref="V717:W717" si="745">V693</f>
        <v>2.9</v>
      </c>
      <c r="W717">
        <f t="shared" si="745"/>
        <v>3</v>
      </c>
      <c r="X717" s="9">
        <v>3.1045829999999999</v>
      </c>
    </row>
    <row r="718" spans="1:24">
      <c r="A718" s="29">
        <f t="shared" si="736"/>
        <v>45865.791666664933</v>
      </c>
      <c r="B718" s="30">
        <f t="shared" si="691"/>
        <v>5000</v>
      </c>
      <c r="C718" s="8">
        <v>25000</v>
      </c>
      <c r="D718" s="8">
        <v>0</v>
      </c>
      <c r="E718" s="8">
        <v>700</v>
      </c>
      <c r="F718" s="8">
        <v>15000</v>
      </c>
      <c r="G718" s="30">
        <f t="shared" si="692"/>
        <v>2400</v>
      </c>
      <c r="H718" s="8">
        <v>25000</v>
      </c>
      <c r="I718" s="30">
        <f t="shared" si="693"/>
        <v>5000</v>
      </c>
      <c r="J718" s="8">
        <v>25000</v>
      </c>
      <c r="K718" s="30">
        <f t="shared" si="694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13.86</v>
      </c>
      <c r="O718" s="9">
        <v>13.5</v>
      </c>
      <c r="P718" s="9">
        <v>19.5</v>
      </c>
      <c r="Q718" s="79">
        <f>VLOOKUP(VLOOKUP(DATEVALUE(TEXT(A718,"m/d/yyyy")),FY24_Temp[],5,FALSE)&amp;TEXT(A718,"-h"),Table6[],4,FALSE)</f>
        <v>2.4291428497859409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VLOOKUP(TEXT(A718,"yy-mm")&amp;"-"&amp;IF(AND(WEEKDAY(A718)&gt;1,WEEKDAY(A718)&lt;7),"Wkd",TEXT(A718,"Ddd"))&amp;"-"&amp;TEXT(A718,"hh"),LoadTable[],5,FALSE)*0.92</f>
        <v>494.57360000000006</v>
      </c>
      <c r="U718" s="104">
        <f>VLOOKUP(TEXT(A718,"yy-mm")&amp;"-"&amp;IF(AND(WEEKDAY(A718)&gt;1,WEEKDAY(A718)&lt;7),"Wkd",TEXT(A718,"Ddd"))&amp;"-"&amp;TEXT(A718,"hh"),LoadTable[],6,FALSE)*T718</f>
        <v>41988.804066400007</v>
      </c>
      <c r="V718">
        <f t="shared" ref="V718:W718" si="746">V694</f>
        <v>3</v>
      </c>
      <c r="W718">
        <f t="shared" si="746"/>
        <v>3</v>
      </c>
      <c r="X718" s="9">
        <v>3.0714343</v>
      </c>
    </row>
    <row r="719" spans="1:24">
      <c r="A719" s="29">
        <f t="shared" si="736"/>
        <v>45865.833333331597</v>
      </c>
      <c r="B719" s="30">
        <f t="shared" si="691"/>
        <v>5000</v>
      </c>
      <c r="C719" s="8">
        <v>25000</v>
      </c>
      <c r="D719" s="8">
        <v>0</v>
      </c>
      <c r="E719" s="8">
        <v>700</v>
      </c>
      <c r="F719" s="8">
        <v>15000</v>
      </c>
      <c r="G719" s="30">
        <f t="shared" si="692"/>
        <v>2400</v>
      </c>
      <c r="H719" s="8">
        <v>25000</v>
      </c>
      <c r="I719" s="30">
        <f t="shared" si="693"/>
        <v>5000</v>
      </c>
      <c r="J719" s="8">
        <v>25000</v>
      </c>
      <c r="K719" s="30">
        <f t="shared" si="694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13.86</v>
      </c>
      <c r="O719" s="9">
        <v>13.5</v>
      </c>
      <c r="P719" s="9">
        <v>19.5</v>
      </c>
      <c r="Q719" s="79">
        <f>VLOOKUP(VLOOKUP(DATEVALUE(TEXT(A719,"m/d/yyyy")),FY24_Temp[],5,FALSE)&amp;TEXT(A719,"-h"),Table6[],4,FALSE)</f>
        <v>3.1071428571428572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VLOOKUP(TEXT(A719,"yy-mm")&amp;"-"&amp;IF(AND(WEEKDAY(A719)&gt;1,WEEKDAY(A719)&lt;7),"Wkd",TEXT(A719,"Ddd"))&amp;"-"&amp;TEXT(A719,"hh"),LoadTable[],5,FALSE)*0.92</f>
        <v>494.57360000000006</v>
      </c>
      <c r="U719" s="104">
        <f>VLOOKUP(TEXT(A719,"yy-mm")&amp;"-"&amp;IF(AND(WEEKDAY(A719)&gt;1,WEEKDAY(A719)&lt;7),"Wkd",TEXT(A719,"Ddd"))&amp;"-"&amp;TEXT(A719,"hh"),LoadTable[],6,FALSE)*T719</f>
        <v>41403.723497600004</v>
      </c>
      <c r="V719">
        <f t="shared" ref="V719:W719" si="747">V695</f>
        <v>2.8</v>
      </c>
      <c r="W719">
        <f t="shared" si="747"/>
        <v>3.1</v>
      </c>
      <c r="X719" s="9">
        <v>3.0366216000000001</v>
      </c>
    </row>
    <row r="720" spans="1:24">
      <c r="A720" s="29">
        <f t="shared" si="736"/>
        <v>45865.874999998261</v>
      </c>
      <c r="B720" s="30">
        <f t="shared" si="691"/>
        <v>5000</v>
      </c>
      <c r="C720" s="8">
        <v>25000</v>
      </c>
      <c r="D720" s="8">
        <v>0</v>
      </c>
      <c r="E720" s="8">
        <v>700</v>
      </c>
      <c r="F720" s="8">
        <v>15000</v>
      </c>
      <c r="G720" s="30">
        <f t="shared" si="692"/>
        <v>2400</v>
      </c>
      <c r="H720" s="8">
        <v>25000</v>
      </c>
      <c r="I720" s="30">
        <f t="shared" si="693"/>
        <v>5000</v>
      </c>
      <c r="J720" s="8">
        <v>25000</v>
      </c>
      <c r="K720" s="30">
        <f t="shared" si="694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13.86</v>
      </c>
      <c r="O720" s="9">
        <v>13.5</v>
      </c>
      <c r="P720" s="9">
        <v>19.5</v>
      </c>
      <c r="Q720" s="79">
        <f>VLOOKUP(VLOOKUP(DATEVALUE(TEXT(A720,"m/d/yyyy")),FY24_Temp[],5,FALSE)&amp;TEXT(A720,"-h"),Table6[],4,FALSE)</f>
        <v>3.3121428489685059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VLOOKUP(TEXT(A720,"yy-mm")&amp;"-"&amp;IF(AND(WEEKDAY(A720)&gt;1,WEEKDAY(A720)&lt;7),"Wkd",TEXT(A720,"Ddd"))&amp;"-"&amp;TEXT(A720,"hh"),LoadTable[],5,FALSE)*0.92</f>
        <v>418.75640000000004</v>
      </c>
      <c r="U720" s="104">
        <f>VLOOKUP(TEXT(A720,"yy-mm")&amp;"-"&amp;IF(AND(WEEKDAY(A720)&gt;1,WEEKDAY(A720)&lt;7),"Wkd",TEXT(A720,"Ddd"))&amp;"-"&amp;TEXT(A720,"hh"),LoadTable[],6,FALSE)*T720</f>
        <v>31234.202363200002</v>
      </c>
      <c r="V720">
        <f t="shared" ref="V720:W720" si="748">V696</f>
        <v>3.5</v>
      </c>
      <c r="W720">
        <f t="shared" si="748"/>
        <v>3.1</v>
      </c>
      <c r="X720" s="9">
        <v>3.0038790999999998</v>
      </c>
    </row>
    <row r="721" spans="1:24">
      <c r="A721" s="29">
        <f t="shared" si="736"/>
        <v>45865.916666664925</v>
      </c>
      <c r="B721" s="30">
        <f t="shared" si="691"/>
        <v>5000</v>
      </c>
      <c r="C721" s="8">
        <v>25000</v>
      </c>
      <c r="D721" s="8">
        <v>0</v>
      </c>
      <c r="E721" s="8">
        <v>700</v>
      </c>
      <c r="F721" s="8">
        <v>15000</v>
      </c>
      <c r="G721" s="30">
        <f t="shared" si="692"/>
        <v>2400</v>
      </c>
      <c r="H721" s="8">
        <v>25000</v>
      </c>
      <c r="I721" s="30">
        <f t="shared" si="693"/>
        <v>5000</v>
      </c>
      <c r="J721" s="8">
        <v>25000</v>
      </c>
      <c r="K721" s="30">
        <f t="shared" si="694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13.86</v>
      </c>
      <c r="O721" s="9">
        <v>13.5</v>
      </c>
      <c r="P721" s="9">
        <v>19.5</v>
      </c>
      <c r="Q721" s="79">
        <f>VLOOKUP(VLOOKUP(DATEVALUE(TEXT(A721,"m/d/yyyy")),FY24_Temp[],5,FALSE)&amp;TEXT(A721,"-h"),Table6[],4,FALSE)</f>
        <v>3.2781428268977573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VLOOKUP(TEXT(A721,"yy-mm")&amp;"-"&amp;IF(AND(WEEKDAY(A721)&gt;1,WEEKDAY(A721)&lt;7),"Wkd",TEXT(A721,"Ddd"))&amp;"-"&amp;TEXT(A721,"hh"),LoadTable[],5,FALSE)*0.92</f>
        <v>342.93920000000003</v>
      </c>
      <c r="U721" s="104">
        <f>VLOOKUP(TEXT(A721,"yy-mm")&amp;"-"&amp;IF(AND(WEEKDAY(A721)&gt;1,WEEKDAY(A721)&lt;7),"Wkd",TEXT(A721,"Ddd"))&amp;"-"&amp;TEXT(A721,"hh"),LoadTable[],6,FALSE)*T721</f>
        <v>19376.4077392</v>
      </c>
      <c r="V721">
        <f t="shared" ref="V721:W721" si="749">V697</f>
        <v>2.9</v>
      </c>
      <c r="W721">
        <f t="shared" si="749"/>
        <v>3.1</v>
      </c>
      <c r="X721" s="9">
        <v>2.9666416999999998</v>
      </c>
    </row>
    <row r="722" spans="1:24">
      <c r="A722" s="29">
        <f t="shared" si="736"/>
        <v>45865.95833333159</v>
      </c>
      <c r="B722" s="30">
        <f t="shared" si="691"/>
        <v>5000</v>
      </c>
      <c r="C722" s="8">
        <v>25000</v>
      </c>
      <c r="D722" s="8">
        <v>0</v>
      </c>
      <c r="E722" s="8">
        <v>700</v>
      </c>
      <c r="F722" s="8">
        <v>15000</v>
      </c>
      <c r="G722" s="30">
        <f t="shared" si="692"/>
        <v>2400</v>
      </c>
      <c r="H722" s="8">
        <v>25000</v>
      </c>
      <c r="I722" s="30">
        <f t="shared" si="693"/>
        <v>5000</v>
      </c>
      <c r="J722" s="8">
        <v>25000</v>
      </c>
      <c r="K722" s="30">
        <f t="shared" si="694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13.86</v>
      </c>
      <c r="O722" s="9">
        <v>13.5</v>
      </c>
      <c r="P722" s="9">
        <v>19.5</v>
      </c>
      <c r="Q722" s="79">
        <f>VLOOKUP(VLOOKUP(DATEVALUE(TEXT(A722,"m/d/yyyy")),FY24_Temp[],5,FALSE)&amp;TEXT(A722,"-h"),Table6[],4,FALSE)</f>
        <v>3.138000045503889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VLOOKUP(TEXT(A722,"yy-mm")&amp;"-"&amp;IF(AND(WEEKDAY(A722)&gt;1,WEEKDAY(A722)&lt;7),"Wkd",TEXT(A722,"Ddd"))&amp;"-"&amp;TEXT(A722,"hh"),LoadTable[],5,FALSE)*0.92</f>
        <v>279.25312000000002</v>
      </c>
      <c r="U722" s="104">
        <f>VLOOKUP(TEXT(A722,"yy-mm")&amp;"-"&amp;IF(AND(WEEKDAY(A722)&gt;1,WEEKDAY(A722)&lt;7),"Wkd",TEXT(A722,"Ddd"))&amp;"-"&amp;TEXT(A722,"hh"),LoadTable[],6,FALSE)*T722</f>
        <v>14528.981327360001</v>
      </c>
      <c r="V722">
        <f t="shared" ref="V722:W722" si="750">V698</f>
        <v>3.6</v>
      </c>
      <c r="W722">
        <f t="shared" si="750"/>
        <v>3.1</v>
      </c>
      <c r="X722" s="9">
        <v>2.864007</v>
      </c>
    </row>
    <row r="723" spans="1:24">
      <c r="A723" s="29">
        <f t="shared" si="736"/>
        <v>45865.999999998254</v>
      </c>
      <c r="B723" s="30">
        <f t="shared" si="691"/>
        <v>5000</v>
      </c>
      <c r="C723" s="8">
        <v>25000</v>
      </c>
      <c r="D723" s="8">
        <v>0</v>
      </c>
      <c r="E723" s="8">
        <v>700</v>
      </c>
      <c r="F723" s="8">
        <v>15000</v>
      </c>
      <c r="G723" s="30">
        <f t="shared" si="692"/>
        <v>2400</v>
      </c>
      <c r="H723" s="8">
        <v>25000</v>
      </c>
      <c r="I723" s="30">
        <f t="shared" si="693"/>
        <v>5000</v>
      </c>
      <c r="J723" s="8">
        <v>25000</v>
      </c>
      <c r="K723" s="30">
        <f t="shared" si="694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13.86</v>
      </c>
      <c r="O723" s="9">
        <v>13.5</v>
      </c>
      <c r="P723" s="9">
        <v>19.5</v>
      </c>
      <c r="Q723" s="79">
        <f>VLOOKUP(VLOOKUP(DATEVALUE(TEXT(A723,"m/d/yyyy")),FY24_Temp[],5,FALSE)&amp;TEXT(A723,"-h"),Table6[],4,FALSE)</f>
        <v>2.9907142775399342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VLOOKUP(TEXT(A723,"yy-mm")&amp;"-"&amp;IF(AND(WEEKDAY(A723)&gt;1,WEEKDAY(A723)&lt;7),"Wkd",TEXT(A723,"Ddd"))&amp;"-"&amp;TEXT(A723,"hh"),LoadTable[],5,FALSE)*0.92</f>
        <v>279.25312000000002</v>
      </c>
      <c r="U723" s="104">
        <f>VLOOKUP(TEXT(A723,"yy-mm")&amp;"-"&amp;IF(AND(WEEKDAY(A723)&gt;1,WEEKDAY(A723)&lt;7),"Wkd",TEXT(A723,"Ddd"))&amp;"-"&amp;TEXT(A723,"hh"),LoadTable[],6,FALSE)*T723</f>
        <v>14895.640673920001</v>
      </c>
      <c r="V723">
        <f t="shared" ref="V723:W723" si="751">V699</f>
        <v>3</v>
      </c>
      <c r="W723">
        <f t="shared" si="751"/>
        <v>3.2</v>
      </c>
      <c r="X723" s="9">
        <v>2.7791035000000002</v>
      </c>
    </row>
    <row r="724" spans="1:24">
      <c r="A724" s="29">
        <f t="shared" si="736"/>
        <v>45866.041666664918</v>
      </c>
      <c r="B724" s="30">
        <f t="shared" si="691"/>
        <v>5000</v>
      </c>
      <c r="C724" s="8">
        <v>25000</v>
      </c>
      <c r="D724" s="8">
        <v>0</v>
      </c>
      <c r="E724" s="8">
        <v>700</v>
      </c>
      <c r="F724" s="8">
        <v>15000</v>
      </c>
      <c r="G724" s="30">
        <f t="shared" si="692"/>
        <v>2400</v>
      </c>
      <c r="H724" s="8">
        <v>25000</v>
      </c>
      <c r="I724" s="30">
        <f t="shared" si="693"/>
        <v>5000</v>
      </c>
      <c r="J724" s="8">
        <v>25000</v>
      </c>
      <c r="K724" s="30">
        <f t="shared" si="694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13.86</v>
      </c>
      <c r="O724" s="9">
        <v>13.5</v>
      </c>
      <c r="P724" s="9">
        <v>19.5</v>
      </c>
      <c r="Q724" s="79">
        <f>VLOOKUP(VLOOKUP(DATEVALUE(TEXT(A724,"m/d/yyyy")),FY24_Temp[],5,FALSE)&amp;TEXT(A724,"-h"),Table6[],4,FALSE)</f>
        <v>2.8792857101985385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VLOOKUP(TEXT(A724,"yy-mm")&amp;"-"&amp;IF(AND(WEEKDAY(A724)&gt;1,WEEKDAY(A724)&lt;7),"Wkd",TEXT(A724,"Ddd"))&amp;"-"&amp;TEXT(A724,"hh"),LoadTable[],5,FALSE)*0.92</f>
        <v>279.25312000000002</v>
      </c>
      <c r="U724" s="104">
        <f>VLOOKUP(TEXT(A724,"yy-mm")&amp;"-"&amp;IF(AND(WEEKDAY(A724)&gt;1,WEEKDAY(A724)&lt;7),"Wkd",TEXT(A724,"Ddd"))&amp;"-"&amp;TEXT(A724,"hh"),LoadTable[],6,FALSE)*T724</f>
        <v>14470.896678400002</v>
      </c>
      <c r="V724">
        <f t="shared" ref="V724:W724" si="752">V700</f>
        <v>2.6</v>
      </c>
      <c r="W724">
        <f t="shared" si="752"/>
        <v>3.2</v>
      </c>
      <c r="X724" s="9">
        <v>2.7200400999999998</v>
      </c>
    </row>
    <row r="725" spans="1:24">
      <c r="A725" s="29">
        <f t="shared" si="736"/>
        <v>45866.083333331582</v>
      </c>
      <c r="B725" s="30">
        <f t="shared" si="691"/>
        <v>5000</v>
      </c>
      <c r="C725" s="8">
        <v>25000</v>
      </c>
      <c r="D725" s="8">
        <v>0</v>
      </c>
      <c r="E725" s="8">
        <v>700</v>
      </c>
      <c r="F725" s="8">
        <v>15000</v>
      </c>
      <c r="G725" s="30">
        <f t="shared" si="692"/>
        <v>2400</v>
      </c>
      <c r="H725" s="8">
        <v>25000</v>
      </c>
      <c r="I725" s="30">
        <f t="shared" si="693"/>
        <v>5000</v>
      </c>
      <c r="J725" s="8">
        <v>25000</v>
      </c>
      <c r="K725" s="30">
        <f t="shared" si="694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13.86</v>
      </c>
      <c r="O725" s="9">
        <v>13.5</v>
      </c>
      <c r="P725" s="9">
        <v>19.5</v>
      </c>
      <c r="Q725" s="79">
        <f>VLOOKUP(VLOOKUP(DATEVALUE(TEXT(A725,"m/d/yyyy")),FY24_Temp[],5,FALSE)&amp;TEXT(A725,"-h"),Table6[],4,FALSE)</f>
        <v>2.766571419579642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VLOOKUP(TEXT(A725,"yy-mm")&amp;"-"&amp;IF(AND(WEEKDAY(A725)&gt;1,WEEKDAY(A725)&lt;7),"Wkd",TEXT(A725,"Ddd"))&amp;"-"&amp;TEXT(A725,"hh"),LoadTable[],5,FALSE)*0.92</f>
        <v>279.25312000000002</v>
      </c>
      <c r="U725" s="104">
        <f>VLOOKUP(TEXT(A725,"yy-mm")&amp;"-"&amp;IF(AND(WEEKDAY(A725)&gt;1,WEEKDAY(A725)&lt;7),"Wkd",TEXT(A725,"Ddd"))&amp;"-"&amp;TEXT(A725,"hh"),LoadTable[],6,FALSE)*T725</f>
        <v>14154.50289344</v>
      </c>
      <c r="V725">
        <f t="shared" ref="V725:W725" si="753">V701</f>
        <v>2.8</v>
      </c>
      <c r="W725">
        <f t="shared" si="753"/>
        <v>3.2</v>
      </c>
      <c r="X725" s="9">
        <v>2.7823712999999999</v>
      </c>
    </row>
    <row r="726" spans="1:24">
      <c r="A726" s="29">
        <f t="shared" si="736"/>
        <v>45866.124999998246</v>
      </c>
      <c r="B726" s="30">
        <f t="shared" si="691"/>
        <v>5000</v>
      </c>
      <c r="C726" s="8">
        <v>25000</v>
      </c>
      <c r="D726" s="8">
        <v>0</v>
      </c>
      <c r="E726" s="8">
        <v>700</v>
      </c>
      <c r="F726" s="8">
        <v>15000</v>
      </c>
      <c r="G726" s="30">
        <f t="shared" si="692"/>
        <v>2400</v>
      </c>
      <c r="H726" s="8">
        <v>25000</v>
      </c>
      <c r="I726" s="30">
        <f t="shared" si="693"/>
        <v>5000</v>
      </c>
      <c r="J726" s="8">
        <v>25000</v>
      </c>
      <c r="K726" s="30">
        <f t="shared" si="694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13.86</v>
      </c>
      <c r="O726" s="9">
        <v>13.5</v>
      </c>
      <c r="P726" s="9">
        <v>19.5</v>
      </c>
      <c r="Q726" s="79">
        <f>VLOOKUP(VLOOKUP(DATEVALUE(TEXT(A726,"m/d/yyyy")),FY24_Temp[],5,FALSE)&amp;TEXT(A726,"-h"),Table6[],4,FALSE)</f>
        <v>2.6518571717398509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VLOOKUP(TEXT(A726,"yy-mm")&amp;"-"&amp;IF(AND(WEEKDAY(A726)&gt;1,WEEKDAY(A726)&lt;7),"Wkd",TEXT(A726,"Ddd"))&amp;"-"&amp;TEXT(A726,"hh"),LoadTable[],5,FALSE)*0.92</f>
        <v>279.25312000000002</v>
      </c>
      <c r="U726" s="104">
        <f>VLOOKUP(TEXT(A726,"yy-mm")&amp;"-"&amp;IF(AND(WEEKDAY(A726)&gt;1,WEEKDAY(A726)&lt;7),"Wkd",TEXT(A726,"Ddd"))&amp;"-"&amp;TEXT(A726,"hh"),LoadTable[],6,FALSE)*T726</f>
        <v>14206.443973760001</v>
      </c>
      <c r="V726">
        <f t="shared" ref="V726:W726" si="754">V702</f>
        <v>2.7</v>
      </c>
      <c r="W726">
        <f t="shared" si="754"/>
        <v>3.2</v>
      </c>
      <c r="X726" s="9">
        <v>2.8259037</v>
      </c>
    </row>
    <row r="727" spans="1:24">
      <c r="A727" s="29">
        <f t="shared" si="736"/>
        <v>45866.166666664911</v>
      </c>
      <c r="B727" s="30">
        <f t="shared" si="691"/>
        <v>5000</v>
      </c>
      <c r="C727" s="8">
        <v>25000</v>
      </c>
      <c r="D727" s="8">
        <v>0</v>
      </c>
      <c r="E727" s="8">
        <v>700</v>
      </c>
      <c r="F727" s="8">
        <v>15000</v>
      </c>
      <c r="G727" s="30">
        <f t="shared" si="692"/>
        <v>2400</v>
      </c>
      <c r="H727" s="8">
        <v>25000</v>
      </c>
      <c r="I727" s="30">
        <f t="shared" si="693"/>
        <v>5000</v>
      </c>
      <c r="J727" s="8">
        <v>25000</v>
      </c>
      <c r="K727" s="30">
        <f t="shared" si="694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13.86</v>
      </c>
      <c r="O727" s="9">
        <v>13.5</v>
      </c>
      <c r="P727" s="9">
        <v>19.5</v>
      </c>
      <c r="Q727" s="79">
        <f>VLOOKUP(VLOOKUP(DATEVALUE(TEXT(A727,"m/d/yyyy")),FY24_Temp[],5,FALSE)&amp;TEXT(A727,"-h"),Table6[],4,FALSE)</f>
        <v>2.4902857712336948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VLOOKUP(TEXT(A727,"yy-mm")&amp;"-"&amp;IF(AND(WEEKDAY(A727)&gt;1,WEEKDAY(A727)&lt;7),"Wkd",TEXT(A727,"Ddd"))&amp;"-"&amp;TEXT(A727,"hh"),LoadTable[],5,FALSE)*0.92</f>
        <v>279.25312000000002</v>
      </c>
      <c r="U727" s="104">
        <f>VLOOKUP(TEXT(A727,"yy-mm")&amp;"-"&amp;IF(AND(WEEKDAY(A727)&gt;1,WEEKDAY(A727)&lt;7),"Wkd",TEXT(A727,"Ddd"))&amp;"-"&amp;TEXT(A727,"hh"),LoadTable[],6,FALSE)*T727</f>
        <v>14229.063476480002</v>
      </c>
      <c r="V727">
        <f t="shared" ref="V727:W727" si="755">V703</f>
        <v>3</v>
      </c>
      <c r="W727">
        <f t="shared" si="755"/>
        <v>3.1</v>
      </c>
      <c r="X727" s="9">
        <v>2.8444425999999998</v>
      </c>
    </row>
    <row r="728" spans="1:24">
      <c r="A728" s="29">
        <f t="shared" si="736"/>
        <v>45866.208333331575</v>
      </c>
      <c r="B728" s="30">
        <f t="shared" si="691"/>
        <v>5000</v>
      </c>
      <c r="C728" s="8">
        <v>25000</v>
      </c>
      <c r="D728" s="8">
        <v>0</v>
      </c>
      <c r="E728" s="8">
        <v>700</v>
      </c>
      <c r="F728" s="8">
        <v>15000</v>
      </c>
      <c r="G728" s="30">
        <f t="shared" si="692"/>
        <v>2400</v>
      </c>
      <c r="H728" s="8">
        <v>25000</v>
      </c>
      <c r="I728" s="30">
        <f t="shared" si="693"/>
        <v>5000</v>
      </c>
      <c r="J728" s="8">
        <v>25000</v>
      </c>
      <c r="K728" s="30">
        <f t="shared" si="694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13.86</v>
      </c>
      <c r="O728" s="9">
        <v>13.5</v>
      </c>
      <c r="P728" s="9">
        <v>19.5</v>
      </c>
      <c r="Q728" s="79">
        <f>VLOOKUP(VLOOKUP(DATEVALUE(TEXT(A728,"m/d/yyyy")),FY24_Temp[],5,FALSE)&amp;TEXT(A728,"-h"),Table6[],4,FALSE)</f>
        <v>2.337571382522583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VLOOKUP(TEXT(A728,"yy-mm")&amp;"-"&amp;IF(AND(WEEKDAY(A728)&gt;1,WEEKDAY(A728)&lt;7),"Wkd",TEXT(A728,"Ddd"))&amp;"-"&amp;TEXT(A728,"hh"),LoadTable[],5,FALSE)*0.92</f>
        <v>279.25312000000002</v>
      </c>
      <c r="U728" s="104">
        <f>VLOOKUP(TEXT(A728,"yy-mm")&amp;"-"&amp;IF(AND(WEEKDAY(A728)&gt;1,WEEKDAY(A728)&lt;7),"Wkd",TEXT(A728,"Ddd"))&amp;"-"&amp;TEXT(A728,"hh"),LoadTable[],6,FALSE)*T728</f>
        <v>14735.070129920001</v>
      </c>
      <c r="V728">
        <f t="shared" ref="V728:W728" si="756">V704</f>
        <v>2.9</v>
      </c>
      <c r="W728">
        <f t="shared" si="756"/>
        <v>3.1</v>
      </c>
      <c r="X728" s="9">
        <v>2.9087209999999999</v>
      </c>
    </row>
    <row r="729" spans="1:24">
      <c r="A729" s="29">
        <f t="shared" si="736"/>
        <v>45866.249999998239</v>
      </c>
      <c r="B729" s="30">
        <f t="shared" si="691"/>
        <v>8000</v>
      </c>
      <c r="C729" s="8">
        <v>25000</v>
      </c>
      <c r="D729" s="8">
        <v>0</v>
      </c>
      <c r="E729" s="8">
        <v>700</v>
      </c>
      <c r="F729" s="8">
        <v>15000</v>
      </c>
      <c r="G729" s="30">
        <f t="shared" si="692"/>
        <v>2400</v>
      </c>
      <c r="H729" s="8">
        <v>25000</v>
      </c>
      <c r="I729" s="30">
        <f t="shared" si="693"/>
        <v>8000</v>
      </c>
      <c r="J729" s="8">
        <v>25000</v>
      </c>
      <c r="K729" s="30">
        <f t="shared" si="694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13.86</v>
      </c>
      <c r="O729" s="9">
        <v>13.5</v>
      </c>
      <c r="P729" s="9">
        <v>19.5</v>
      </c>
      <c r="Q729" s="79">
        <f>VLOOKUP(VLOOKUP(DATEVALUE(TEXT(A729,"m/d/yyyy")),FY24_Temp[],5,FALSE)&amp;TEXT(A729,"-h"),Table6[],4,FALSE)</f>
        <v>2.2231428963797435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VLOOKUP(TEXT(A729,"yy-mm")&amp;"-"&amp;IF(AND(WEEKDAY(A729)&gt;1,WEEKDAY(A729)&lt;7),"Wkd",TEXT(A729,"Ddd"))&amp;"-"&amp;TEXT(A729,"hh"),LoadTable[],5,FALSE)*0.92</f>
        <v>279.25312000000002</v>
      </c>
      <c r="U729" s="104">
        <f>VLOOKUP(TEXT(A729,"yy-mm")&amp;"-"&amp;IF(AND(WEEKDAY(A729)&gt;1,WEEKDAY(A729)&lt;7),"Wkd",TEXT(A729,"Ddd"))&amp;"-"&amp;TEXT(A729,"hh"),LoadTable[],6,FALSE)*T729</f>
        <v>26238.902408320002</v>
      </c>
      <c r="V729">
        <f t="shared" ref="V729:W729" si="757">V705</f>
        <v>2.5</v>
      </c>
      <c r="W729">
        <f t="shared" si="757"/>
        <v>3.1</v>
      </c>
      <c r="X729" s="9">
        <v>3.0135044999999998</v>
      </c>
    </row>
    <row r="730" spans="1:24">
      <c r="A730" s="29">
        <f t="shared" si="736"/>
        <v>45866.291666664903</v>
      </c>
      <c r="B730" s="30">
        <f t="shared" si="691"/>
        <v>8000</v>
      </c>
      <c r="C730" s="8">
        <v>25000</v>
      </c>
      <c r="D730" s="8">
        <v>0</v>
      </c>
      <c r="E730" s="8">
        <v>700</v>
      </c>
      <c r="F730" s="8">
        <v>15000</v>
      </c>
      <c r="G730" s="30">
        <f t="shared" si="692"/>
        <v>2400</v>
      </c>
      <c r="H730" s="8">
        <v>25000</v>
      </c>
      <c r="I730" s="30">
        <f t="shared" si="693"/>
        <v>8000</v>
      </c>
      <c r="J730" s="8">
        <v>25000</v>
      </c>
      <c r="K730" s="30">
        <f t="shared" si="694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13.86</v>
      </c>
      <c r="O730" s="9">
        <v>13.5</v>
      </c>
      <c r="P730" s="9">
        <v>19.5</v>
      </c>
      <c r="Q730" s="79">
        <f>VLOOKUP(VLOOKUP(DATEVALUE(TEXT(A730,"m/d/yyyy")),FY24_Temp[],5,FALSE)&amp;TEXT(A730,"-h"),Table6[],4,FALSE)</f>
        <v>2.1175714220319475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VLOOKUP(TEXT(A730,"yy-mm")&amp;"-"&amp;IF(AND(WEEKDAY(A730)&gt;1,WEEKDAY(A730)&lt;7),"Wkd",TEXT(A730,"Ddd"))&amp;"-"&amp;TEXT(A730,"hh"),LoadTable[],5,FALSE)*0.92</f>
        <v>279.25312000000002</v>
      </c>
      <c r="U730" s="104">
        <f>VLOOKUP(TEXT(A730,"yy-mm")&amp;"-"&amp;IF(AND(WEEKDAY(A730)&gt;1,WEEKDAY(A730)&lt;7),"Wkd",TEXT(A730,"Ddd"))&amp;"-"&amp;TEXT(A730,"hh"),LoadTable[],6,FALSE)*T730</f>
        <v>22145.051669120003</v>
      </c>
      <c r="V730">
        <f t="shared" ref="V730:W730" si="758">V706</f>
        <v>2.5</v>
      </c>
      <c r="W730">
        <f t="shared" si="758"/>
        <v>3.1</v>
      </c>
      <c r="X730" s="9">
        <v>3.1382441999999999</v>
      </c>
    </row>
    <row r="731" spans="1:24">
      <c r="A731" s="29">
        <f t="shared" si="736"/>
        <v>45866.333333331568</v>
      </c>
      <c r="B731" s="30">
        <f t="shared" si="691"/>
        <v>8000</v>
      </c>
      <c r="C731" s="8">
        <v>25000</v>
      </c>
      <c r="D731" s="8">
        <v>0</v>
      </c>
      <c r="E731" s="8">
        <v>700</v>
      </c>
      <c r="F731" s="8">
        <v>15000</v>
      </c>
      <c r="G731" s="30">
        <f t="shared" si="692"/>
        <v>2400</v>
      </c>
      <c r="H731" s="8">
        <v>25000</v>
      </c>
      <c r="I731" s="30">
        <f t="shared" si="693"/>
        <v>8000</v>
      </c>
      <c r="J731" s="8">
        <v>25000</v>
      </c>
      <c r="K731" s="30">
        <f t="shared" si="694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13.86</v>
      </c>
      <c r="O731" s="9">
        <v>13.5</v>
      </c>
      <c r="P731" s="9">
        <v>19.5</v>
      </c>
      <c r="Q731" s="79">
        <f>VLOOKUP(VLOOKUP(DATEVALUE(TEXT(A731,"m/d/yyyy")),FY24_Temp[],5,FALSE)&amp;TEXT(A731,"-h"),Table6[],4,FALSE)</f>
        <v>1.9947142941611153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VLOOKUP(TEXT(A731,"yy-mm")&amp;"-"&amp;IF(AND(WEEKDAY(A731)&gt;1,WEEKDAY(A731)&lt;7),"Wkd",TEXT(A731,"Ddd"))&amp;"-"&amp;TEXT(A731,"hh"),LoadTable[],5,FALSE)*0.92</f>
        <v>279.25312000000002</v>
      </c>
      <c r="U731" s="104">
        <f>VLOOKUP(TEXT(A731,"yy-mm")&amp;"-"&amp;IF(AND(WEEKDAY(A731)&gt;1,WEEKDAY(A731)&lt;7),"Wkd",TEXT(A731,"Ddd"))&amp;"-"&amp;TEXT(A731,"hh"),LoadTable[],6,FALSE)*T731</f>
        <v>17686.77560832</v>
      </c>
      <c r="V731">
        <f t="shared" ref="V731:W731" si="759">V707</f>
        <v>3.2</v>
      </c>
      <c r="W731">
        <f t="shared" si="759"/>
        <v>3</v>
      </c>
      <c r="X731" s="9">
        <v>3.2002993000000002</v>
      </c>
    </row>
    <row r="732" spans="1:24">
      <c r="A732" s="29">
        <f t="shared" si="736"/>
        <v>45866.374999998232</v>
      </c>
      <c r="B732" s="30">
        <f t="shared" ref="B732:B795" si="760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30">
        <f t="shared" ref="G732:G795" si="761">G708</f>
        <v>2400</v>
      </c>
      <c r="H732" s="8">
        <v>25000</v>
      </c>
      <c r="I732" s="30">
        <f t="shared" ref="I732:I795" si="762">I708</f>
        <v>8000</v>
      </c>
      <c r="J732" s="8">
        <v>25000</v>
      </c>
      <c r="K732" s="30">
        <f t="shared" ref="K732:K795" si="763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13.86</v>
      </c>
      <c r="O732" s="9">
        <v>13.5</v>
      </c>
      <c r="P732" s="9">
        <v>19.5</v>
      </c>
      <c r="Q732" s="79">
        <f>VLOOKUP(VLOOKUP(DATEVALUE(TEXT(A732,"m/d/yyyy")),FY24_Temp[],5,FALSE)&amp;TEXT(A732,"-h"),Table6[],4,FALSE)</f>
        <v>1.8918571301868983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VLOOKUP(TEXT(A732,"yy-mm")&amp;"-"&amp;IF(AND(WEEKDAY(A732)&gt;1,WEEKDAY(A732)&lt;7),"Wkd",TEXT(A732,"Ddd"))&amp;"-"&amp;TEXT(A732,"hh"),LoadTable[],5,FALSE)*0.92</f>
        <v>279.25312000000002</v>
      </c>
      <c r="U732" s="104">
        <f>VLOOKUP(TEXT(A732,"yy-mm")&amp;"-"&amp;IF(AND(WEEKDAY(A732)&gt;1,WEEKDAY(A732)&lt;7),"Wkd",TEXT(A732,"Ddd"))&amp;"-"&amp;TEXT(A732,"hh"),LoadTable[],6,FALSE)*T732</f>
        <v>14265.924888320002</v>
      </c>
      <c r="V732">
        <f t="shared" ref="V732:W732" si="764">V708</f>
        <v>2.9</v>
      </c>
      <c r="W732">
        <f t="shared" si="764"/>
        <v>3</v>
      </c>
      <c r="X732" s="9">
        <v>3.2197428000000001</v>
      </c>
    </row>
    <row r="733" spans="1:24">
      <c r="A733" s="29">
        <f t="shared" si="736"/>
        <v>45866.416666664896</v>
      </c>
      <c r="B733" s="30">
        <f t="shared" si="760"/>
        <v>8000</v>
      </c>
      <c r="C733" s="8">
        <v>25000</v>
      </c>
      <c r="D733" s="8">
        <v>0</v>
      </c>
      <c r="E733" s="8">
        <v>700</v>
      </c>
      <c r="F733" s="8">
        <v>15000</v>
      </c>
      <c r="G733" s="30">
        <f t="shared" si="761"/>
        <v>2400</v>
      </c>
      <c r="H733" s="8">
        <v>25000</v>
      </c>
      <c r="I733" s="30">
        <f t="shared" si="762"/>
        <v>8000</v>
      </c>
      <c r="J733" s="8">
        <v>25000</v>
      </c>
      <c r="K733" s="30">
        <f t="shared" si="763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13.86</v>
      </c>
      <c r="O733" s="9">
        <v>13.5</v>
      </c>
      <c r="P733" s="9">
        <v>19.5</v>
      </c>
      <c r="Q733" s="79">
        <f>VLOOKUP(VLOOKUP(DATEVALUE(TEXT(A733,"m/d/yyyy")),FY24_Temp[],5,FALSE)&amp;TEXT(A733,"-h"),Table6[],4,FALSE)</f>
        <v>1.795285701751709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VLOOKUP(TEXT(A733,"yy-mm")&amp;"-"&amp;IF(AND(WEEKDAY(A733)&gt;1,WEEKDAY(A733)&lt;7),"Wkd",TEXT(A733,"Ddd"))&amp;"-"&amp;TEXT(A733,"hh"),LoadTable[],5,FALSE)*0.92</f>
        <v>279.25312000000002</v>
      </c>
      <c r="U733" s="104">
        <f>VLOOKUP(TEXT(A733,"yy-mm")&amp;"-"&amp;IF(AND(WEEKDAY(A733)&gt;1,WEEKDAY(A733)&lt;7),"Wkd",TEXT(A733,"Ddd"))&amp;"-"&amp;TEXT(A733,"hh"),LoadTable[],6,FALSE)*T733</f>
        <v>13649.054746240003</v>
      </c>
      <c r="V733">
        <f t="shared" ref="V733:W733" si="765">V709</f>
        <v>2.9</v>
      </c>
      <c r="W733">
        <f t="shared" si="765"/>
        <v>3</v>
      </c>
      <c r="X733" s="9">
        <v>3.2692931000000001</v>
      </c>
    </row>
    <row r="734" spans="1:24">
      <c r="A734" s="29">
        <f t="shared" si="736"/>
        <v>45866.45833333156</v>
      </c>
      <c r="B734" s="30">
        <f t="shared" si="760"/>
        <v>8000</v>
      </c>
      <c r="C734" s="8">
        <v>25000</v>
      </c>
      <c r="D734" s="8">
        <v>0</v>
      </c>
      <c r="E734" s="8">
        <v>700</v>
      </c>
      <c r="F734" s="8">
        <v>15000</v>
      </c>
      <c r="G734" s="30">
        <f t="shared" si="761"/>
        <v>2400</v>
      </c>
      <c r="H734" s="8">
        <v>25000</v>
      </c>
      <c r="I734" s="30">
        <f t="shared" si="762"/>
        <v>8000</v>
      </c>
      <c r="J734" s="8">
        <v>25000</v>
      </c>
      <c r="K734" s="30">
        <f t="shared" si="763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13.86</v>
      </c>
      <c r="O734" s="9">
        <v>13.5</v>
      </c>
      <c r="P734" s="9">
        <v>19.5</v>
      </c>
      <c r="Q734" s="79">
        <f>VLOOKUP(VLOOKUP(DATEVALUE(TEXT(A734,"m/d/yyyy")),FY24_Temp[],5,FALSE)&amp;TEXT(A734,"-h"),Table6[],4,FALSE)</f>
        <v>1.6731428759438651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VLOOKUP(TEXT(A734,"yy-mm")&amp;"-"&amp;IF(AND(WEEKDAY(A734)&gt;1,WEEKDAY(A734)&lt;7),"Wkd",TEXT(A734,"Ddd"))&amp;"-"&amp;TEXT(A734,"hh"),LoadTable[],5,FALSE)*0.92</f>
        <v>279.25312000000002</v>
      </c>
      <c r="U734" s="104">
        <f>VLOOKUP(TEXT(A734,"yy-mm")&amp;"-"&amp;IF(AND(WEEKDAY(A734)&gt;1,WEEKDAY(A734)&lt;7),"Wkd",TEXT(A734,"Ddd"))&amp;"-"&amp;TEXT(A734,"hh"),LoadTable[],6,FALSE)*T734</f>
        <v>13153.938964480001</v>
      </c>
      <c r="V734">
        <f t="shared" ref="V734:W734" si="766">V710</f>
        <v>3.4</v>
      </c>
      <c r="W734">
        <f t="shared" si="766"/>
        <v>3</v>
      </c>
      <c r="X734" s="9">
        <v>3.2034034999999998</v>
      </c>
    </row>
    <row r="735" spans="1:24">
      <c r="A735" s="29">
        <f t="shared" si="736"/>
        <v>45866.499999998225</v>
      </c>
      <c r="B735" s="30">
        <f t="shared" si="760"/>
        <v>8000</v>
      </c>
      <c r="C735" s="8">
        <v>25000</v>
      </c>
      <c r="D735" s="8">
        <v>0</v>
      </c>
      <c r="E735" s="8">
        <v>700</v>
      </c>
      <c r="F735" s="8">
        <v>15000</v>
      </c>
      <c r="G735" s="30">
        <f t="shared" si="761"/>
        <v>2400</v>
      </c>
      <c r="H735" s="8">
        <v>25000</v>
      </c>
      <c r="I735" s="30">
        <f t="shared" si="762"/>
        <v>8000</v>
      </c>
      <c r="J735" s="8">
        <v>25000</v>
      </c>
      <c r="K735" s="30">
        <f t="shared" si="763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13.86</v>
      </c>
      <c r="O735" s="9">
        <v>13.5</v>
      </c>
      <c r="P735" s="9">
        <v>19.5</v>
      </c>
      <c r="Q735" s="79">
        <f>VLOOKUP(VLOOKUP(DATEVALUE(TEXT(A735,"m/d/yyyy")),FY24_Temp[],5,FALSE)&amp;TEXT(A735,"-h"),Table6[],4,FALSE)</f>
        <v>1.5228571380887712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VLOOKUP(TEXT(A735,"yy-mm")&amp;"-"&amp;IF(AND(WEEKDAY(A735)&gt;1,WEEKDAY(A735)&lt;7),"Wkd",TEXT(A735,"Ddd"))&amp;"-"&amp;TEXT(A735,"hh"),LoadTable[],5,FALSE)*0.92</f>
        <v>279.25312000000002</v>
      </c>
      <c r="U735" s="104">
        <f>VLOOKUP(TEXT(A735,"yy-mm")&amp;"-"&amp;IF(AND(WEEKDAY(A735)&gt;1,WEEKDAY(A735)&lt;7),"Wkd",TEXT(A735,"Ddd"))&amp;"-"&amp;TEXT(A735,"hh"),LoadTable[],6,FALSE)*T735</f>
        <v>13898.427782400002</v>
      </c>
      <c r="V735">
        <f t="shared" ref="V735:W735" si="767">V711</f>
        <v>3.1</v>
      </c>
      <c r="W735">
        <f t="shared" si="767"/>
        <v>2.9</v>
      </c>
      <c r="X735" s="9">
        <v>3.0651233000000002</v>
      </c>
    </row>
    <row r="736" spans="1:24">
      <c r="A736" s="29">
        <f t="shared" si="736"/>
        <v>45866.541666664889</v>
      </c>
      <c r="B736" s="30">
        <f t="shared" si="760"/>
        <v>8000</v>
      </c>
      <c r="C736" s="8">
        <v>25000</v>
      </c>
      <c r="D736" s="8">
        <v>0</v>
      </c>
      <c r="E736" s="8">
        <v>700</v>
      </c>
      <c r="F736" s="8">
        <v>15000</v>
      </c>
      <c r="G736" s="30">
        <f t="shared" si="761"/>
        <v>2400</v>
      </c>
      <c r="H736" s="8">
        <v>25000</v>
      </c>
      <c r="I736" s="30">
        <f t="shared" si="762"/>
        <v>8000</v>
      </c>
      <c r="J736" s="8">
        <v>25000</v>
      </c>
      <c r="K736" s="30">
        <f t="shared" si="763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13.86</v>
      </c>
      <c r="O736" s="9">
        <v>13.5</v>
      </c>
      <c r="P736" s="9">
        <v>19.5</v>
      </c>
      <c r="Q736" s="79">
        <f>VLOOKUP(VLOOKUP(DATEVALUE(TEXT(A736,"m/d/yyyy")),FY24_Temp[],5,FALSE)&amp;TEXT(A736,"-h"),Table6[],4,FALSE)</f>
        <v>1.3490000111716134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VLOOKUP(TEXT(A736,"yy-mm")&amp;"-"&amp;IF(AND(WEEKDAY(A736)&gt;1,WEEKDAY(A736)&lt;7),"Wkd",TEXT(A736,"Ddd"))&amp;"-"&amp;TEXT(A736,"hh"),LoadTable[],5,FALSE)*0.92</f>
        <v>279.25312000000002</v>
      </c>
      <c r="U736" s="104">
        <f>VLOOKUP(TEXT(A736,"yy-mm")&amp;"-"&amp;IF(AND(WEEKDAY(A736)&gt;1,WEEKDAY(A736)&lt;7),"Wkd",TEXT(A736,"Ddd"))&amp;"-"&amp;TEXT(A736,"hh"),LoadTable[],6,FALSE)*T736</f>
        <v>16526.1996416</v>
      </c>
      <c r="V736">
        <f t="shared" ref="V736:W736" si="768">V712</f>
        <v>3.2</v>
      </c>
      <c r="W736">
        <f t="shared" si="768"/>
        <v>2.9</v>
      </c>
      <c r="X736" s="9">
        <v>2.9119345999999999</v>
      </c>
    </row>
    <row r="737" spans="1:24">
      <c r="A737" s="29">
        <f t="shared" si="736"/>
        <v>45866.583333331553</v>
      </c>
      <c r="B737" s="30">
        <f t="shared" si="760"/>
        <v>8000</v>
      </c>
      <c r="C737" s="8">
        <v>25000</v>
      </c>
      <c r="D737" s="8">
        <v>0</v>
      </c>
      <c r="E737" s="8">
        <v>700</v>
      </c>
      <c r="F737" s="8">
        <v>15000</v>
      </c>
      <c r="G737" s="30">
        <f t="shared" si="761"/>
        <v>2400</v>
      </c>
      <c r="H737" s="8">
        <v>25000</v>
      </c>
      <c r="I737" s="30">
        <f t="shared" si="762"/>
        <v>8000</v>
      </c>
      <c r="J737" s="8">
        <v>25000</v>
      </c>
      <c r="K737" s="30">
        <f t="shared" si="763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13.86</v>
      </c>
      <c r="O737" s="9">
        <v>13.5</v>
      </c>
      <c r="P737" s="9">
        <v>19.5</v>
      </c>
      <c r="Q737" s="79">
        <f>VLOOKUP(VLOOKUP(DATEVALUE(TEXT(A737,"m/d/yyyy")),FY24_Temp[],5,FALSE)&amp;TEXT(A737,"-h"),Table6[],4,FALSE)</f>
        <v>1.165428570338658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VLOOKUP(TEXT(A737,"yy-mm")&amp;"-"&amp;IF(AND(WEEKDAY(A737)&gt;1,WEEKDAY(A737)&lt;7),"Wkd",TEXT(A737,"Ddd"))&amp;"-"&amp;TEXT(A737,"hh"),LoadTable[],5,FALSE)*0.92</f>
        <v>373.26607999999999</v>
      </c>
      <c r="U737" s="104">
        <f>VLOOKUP(TEXT(A737,"yy-mm")&amp;"-"&amp;IF(AND(WEEKDAY(A737)&gt;1,WEEKDAY(A737)&lt;7),"Wkd",TEXT(A737,"Ddd"))&amp;"-"&amp;TEXT(A737,"hh"),LoadTable[],6,FALSE)*T737</f>
        <v>27132.338089119996</v>
      </c>
      <c r="V737">
        <f t="shared" ref="V737:W737" si="769">V713</f>
        <v>3.5</v>
      </c>
      <c r="W737">
        <f t="shared" si="769"/>
        <v>2.9</v>
      </c>
      <c r="X737" s="9">
        <v>2.9261689</v>
      </c>
    </row>
    <row r="738" spans="1:24">
      <c r="A738" s="29">
        <f t="shared" si="736"/>
        <v>45866.624999998217</v>
      </c>
      <c r="B738" s="30">
        <f t="shared" si="760"/>
        <v>8000</v>
      </c>
      <c r="C738" s="8">
        <v>25000</v>
      </c>
      <c r="D738" s="8">
        <v>0</v>
      </c>
      <c r="E738" s="8">
        <v>700</v>
      </c>
      <c r="F738" s="8">
        <v>15000</v>
      </c>
      <c r="G738" s="30">
        <f t="shared" si="761"/>
        <v>2400</v>
      </c>
      <c r="H738" s="8">
        <v>25000</v>
      </c>
      <c r="I738" s="30">
        <f t="shared" si="762"/>
        <v>8000</v>
      </c>
      <c r="J738" s="8">
        <v>25000</v>
      </c>
      <c r="K738" s="30">
        <f t="shared" si="763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13.86</v>
      </c>
      <c r="O738" s="9">
        <v>13.5</v>
      </c>
      <c r="P738" s="9">
        <v>19.5</v>
      </c>
      <c r="Q738" s="79">
        <f>VLOOKUP(VLOOKUP(DATEVALUE(TEXT(A738,"m/d/yyyy")),FY24_Temp[],5,FALSE)&amp;TEXT(A738,"-h"),Table6[],4,FALSE)</f>
        <v>1.0105714201927185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VLOOKUP(TEXT(A738,"yy-mm")&amp;"-"&amp;IF(AND(WEEKDAY(A738)&gt;1,WEEKDAY(A738)&lt;7),"Wkd",TEXT(A738,"Ddd"))&amp;"-"&amp;TEXT(A738,"hh"),LoadTable[],5,FALSE)*0.92</f>
        <v>494.57360000000006</v>
      </c>
      <c r="U738" s="104">
        <f>VLOOKUP(TEXT(A738,"yy-mm")&amp;"-"&amp;IF(AND(WEEKDAY(A738)&gt;1,WEEKDAY(A738)&lt;7),"Wkd",TEXT(A738,"Ddd"))&amp;"-"&amp;TEXT(A738,"hh"),LoadTable[],6,FALSE)*T738</f>
        <v>42310.771480000003</v>
      </c>
      <c r="V738">
        <f t="shared" ref="V738:W738" si="770">V714</f>
        <v>3.2</v>
      </c>
      <c r="W738">
        <f t="shared" si="770"/>
        <v>2.9</v>
      </c>
      <c r="X738" s="9">
        <v>3.2169897999999999</v>
      </c>
    </row>
    <row r="739" spans="1:24">
      <c r="A739" s="29">
        <f t="shared" si="736"/>
        <v>45866.666666664882</v>
      </c>
      <c r="B739" s="30">
        <f t="shared" si="760"/>
        <v>8000</v>
      </c>
      <c r="C739" s="8">
        <v>25000</v>
      </c>
      <c r="D739" s="8">
        <v>0</v>
      </c>
      <c r="E739" s="8">
        <v>700</v>
      </c>
      <c r="F739" s="8">
        <v>15000</v>
      </c>
      <c r="G739" s="30">
        <f t="shared" si="761"/>
        <v>2400</v>
      </c>
      <c r="H739" s="8">
        <v>25000</v>
      </c>
      <c r="I739" s="30">
        <f t="shared" si="762"/>
        <v>8000</v>
      </c>
      <c r="J739" s="8">
        <v>25000</v>
      </c>
      <c r="K739" s="30">
        <f t="shared" si="763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13.86</v>
      </c>
      <c r="O739" s="9">
        <v>13.5</v>
      </c>
      <c r="P739" s="9">
        <v>19.5</v>
      </c>
      <c r="Q739" s="79">
        <f>VLOOKUP(VLOOKUP(DATEVALUE(TEXT(A739,"m/d/yyyy")),FY24_Temp[],5,FALSE)&amp;TEXT(A739,"-h"),Table6[],4,FALSE)</f>
        <v>0.96857144151415142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VLOOKUP(TEXT(A739,"yy-mm")&amp;"-"&amp;IF(AND(WEEKDAY(A739)&gt;1,WEEKDAY(A739)&lt;7),"Wkd",TEXT(A739,"Ddd"))&amp;"-"&amp;TEXT(A739,"hh"),LoadTable[],5,FALSE)*0.92</f>
        <v>494.57360000000006</v>
      </c>
      <c r="U739" s="104">
        <f>VLOOKUP(TEXT(A739,"yy-mm")&amp;"-"&amp;IF(AND(WEEKDAY(A739)&gt;1,WEEKDAY(A739)&lt;7),"Wkd",TEXT(A739,"Ddd"))&amp;"-"&amp;TEXT(A739,"hh"),LoadTable[],6,FALSE)*T739</f>
        <v>50694.28857360001</v>
      </c>
      <c r="V739">
        <f t="shared" ref="V739:W739" si="771">V715</f>
        <v>3.5</v>
      </c>
      <c r="W739">
        <f t="shared" si="771"/>
        <v>3</v>
      </c>
      <c r="X739" s="9">
        <v>3.1324580000000002</v>
      </c>
    </row>
    <row r="740" spans="1:24">
      <c r="A740" s="29">
        <f t="shared" si="736"/>
        <v>45866.708333331546</v>
      </c>
      <c r="B740" s="30">
        <f t="shared" si="760"/>
        <v>8000</v>
      </c>
      <c r="C740" s="8">
        <v>25000</v>
      </c>
      <c r="D740" s="8">
        <v>0</v>
      </c>
      <c r="E740" s="8">
        <v>700</v>
      </c>
      <c r="F740" s="8">
        <v>15000</v>
      </c>
      <c r="G740" s="30">
        <f t="shared" si="761"/>
        <v>2400</v>
      </c>
      <c r="H740" s="8">
        <v>25000</v>
      </c>
      <c r="I740" s="30">
        <f t="shared" si="762"/>
        <v>8000</v>
      </c>
      <c r="J740" s="8">
        <v>25000</v>
      </c>
      <c r="K740" s="30">
        <f t="shared" si="763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13.86</v>
      </c>
      <c r="O740" s="9">
        <v>13.5</v>
      </c>
      <c r="P740" s="9">
        <v>19.5</v>
      </c>
      <c r="Q740" s="79">
        <f>VLOOKUP(VLOOKUP(DATEVALUE(TEXT(A740,"m/d/yyyy")),FY24_Temp[],5,FALSE)&amp;TEXT(A740,"-h"),Table6[],4,FALSE)</f>
        <v>1.1941428525107247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VLOOKUP(TEXT(A740,"yy-mm")&amp;"-"&amp;IF(AND(WEEKDAY(A740)&gt;1,WEEKDAY(A740)&lt;7),"Wkd",TEXT(A740,"Ddd"))&amp;"-"&amp;TEXT(A740,"hh"),LoadTable[],5,FALSE)*0.92</f>
        <v>494.57360000000006</v>
      </c>
      <c r="U740" s="104">
        <f>VLOOKUP(TEXT(A740,"yy-mm")&amp;"-"&amp;IF(AND(WEEKDAY(A740)&gt;1,WEEKDAY(A740)&lt;7),"Wkd",TEXT(A740,"Ddd"))&amp;"-"&amp;TEXT(A740,"hh"),LoadTable[],6,FALSE)*T740</f>
        <v>56025.791981600007</v>
      </c>
      <c r="V740">
        <f t="shared" ref="V740:W740" si="772">V716</f>
        <v>3.6</v>
      </c>
      <c r="W740">
        <f t="shared" si="772"/>
        <v>3</v>
      </c>
      <c r="X740" s="9">
        <v>3.0924222000000001</v>
      </c>
    </row>
    <row r="741" spans="1:24">
      <c r="A741" s="29">
        <f t="shared" si="736"/>
        <v>45866.74999999821</v>
      </c>
      <c r="B741" s="30">
        <f t="shared" si="760"/>
        <v>5000</v>
      </c>
      <c r="C741" s="8">
        <v>25000</v>
      </c>
      <c r="D741" s="8">
        <v>0</v>
      </c>
      <c r="E741" s="8">
        <v>700</v>
      </c>
      <c r="F741" s="8">
        <v>15000</v>
      </c>
      <c r="G741" s="30">
        <f t="shared" si="761"/>
        <v>2400</v>
      </c>
      <c r="H741" s="8">
        <v>25000</v>
      </c>
      <c r="I741" s="30">
        <f t="shared" si="762"/>
        <v>5000</v>
      </c>
      <c r="J741" s="8">
        <v>25000</v>
      </c>
      <c r="K741" s="30">
        <f t="shared" si="763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13.86</v>
      </c>
      <c r="O741" s="9">
        <v>13.5</v>
      </c>
      <c r="P741" s="9">
        <v>19.5</v>
      </c>
      <c r="Q741" s="79">
        <f>VLOOKUP(VLOOKUP(DATEVALUE(TEXT(A741,"m/d/yyyy")),FY24_Temp[],5,FALSE)&amp;TEXT(A741,"-h"),Table6[],4,FALSE)</f>
        <v>1.5795714344297136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VLOOKUP(TEXT(A741,"yy-mm")&amp;"-"&amp;IF(AND(WEEKDAY(A741)&gt;1,WEEKDAY(A741)&lt;7),"Wkd",TEXT(A741,"Ddd"))&amp;"-"&amp;TEXT(A741,"hh"),LoadTable[],5,FALSE)*0.92</f>
        <v>494.57360000000006</v>
      </c>
      <c r="U741" s="104">
        <f>VLOOKUP(TEXT(A741,"yy-mm")&amp;"-"&amp;IF(AND(WEEKDAY(A741)&gt;1,WEEKDAY(A741)&lt;7),"Wkd",TEXT(A741,"Ddd"))&amp;"-"&amp;TEXT(A741,"hh"),LoadTable[],6,FALSE)*T741</f>
        <v>60164.383866400007</v>
      </c>
      <c r="V741">
        <f t="shared" ref="V741:W741" si="773">V717</f>
        <v>2.9</v>
      </c>
      <c r="W741">
        <f t="shared" si="773"/>
        <v>3</v>
      </c>
      <c r="X741" s="9">
        <v>3.0387556999999998</v>
      </c>
    </row>
    <row r="742" spans="1:24">
      <c r="A742" s="29">
        <f t="shared" si="736"/>
        <v>45866.791666664874</v>
      </c>
      <c r="B742" s="30">
        <f t="shared" si="760"/>
        <v>5000</v>
      </c>
      <c r="C742" s="8">
        <v>25000</v>
      </c>
      <c r="D742" s="8">
        <v>0</v>
      </c>
      <c r="E742" s="8">
        <v>700</v>
      </c>
      <c r="F742" s="8">
        <v>15000</v>
      </c>
      <c r="G742" s="30">
        <f t="shared" si="761"/>
        <v>2400</v>
      </c>
      <c r="H742" s="8">
        <v>25000</v>
      </c>
      <c r="I742" s="30">
        <f t="shared" si="762"/>
        <v>5000</v>
      </c>
      <c r="J742" s="8">
        <v>25000</v>
      </c>
      <c r="K742" s="30">
        <f t="shared" si="763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13.86</v>
      </c>
      <c r="O742" s="9">
        <v>13.5</v>
      </c>
      <c r="P742" s="9">
        <v>19.5</v>
      </c>
      <c r="Q742" s="79">
        <f>VLOOKUP(VLOOKUP(DATEVALUE(TEXT(A742,"m/d/yyyy")),FY24_Temp[],5,FALSE)&amp;TEXT(A742,"-h"),Table6[],4,FALSE)</f>
        <v>2.4291428497859409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VLOOKUP(TEXT(A742,"yy-mm")&amp;"-"&amp;IF(AND(WEEKDAY(A742)&gt;1,WEEKDAY(A742)&lt;7),"Wkd",TEXT(A742,"Ddd"))&amp;"-"&amp;TEXT(A742,"hh"),LoadTable[],5,FALSE)*0.92</f>
        <v>494.57360000000006</v>
      </c>
      <c r="U742" s="104">
        <f>VLOOKUP(TEXT(A742,"yy-mm")&amp;"-"&amp;IF(AND(WEEKDAY(A742)&gt;1,WEEKDAY(A742)&lt;7),"Wkd",TEXT(A742,"Ddd"))&amp;"-"&amp;TEXT(A742,"hh"),LoadTable[],6,FALSE)*T742</f>
        <v>60548.172980000003</v>
      </c>
      <c r="V742">
        <f t="shared" ref="V742:W742" si="774">V718</f>
        <v>3</v>
      </c>
      <c r="W742">
        <f t="shared" si="774"/>
        <v>3</v>
      </c>
      <c r="X742" s="9">
        <v>2.9669864000000001</v>
      </c>
    </row>
    <row r="743" spans="1:24">
      <c r="A743" s="29">
        <f t="shared" si="736"/>
        <v>45866.833333331539</v>
      </c>
      <c r="B743" s="30">
        <f t="shared" si="760"/>
        <v>5000</v>
      </c>
      <c r="C743" s="8">
        <v>25000</v>
      </c>
      <c r="D743" s="8">
        <v>0</v>
      </c>
      <c r="E743" s="8">
        <v>700</v>
      </c>
      <c r="F743" s="8">
        <v>15000</v>
      </c>
      <c r="G743" s="30">
        <f t="shared" si="761"/>
        <v>2400</v>
      </c>
      <c r="H743" s="8">
        <v>25000</v>
      </c>
      <c r="I743" s="30">
        <f t="shared" si="762"/>
        <v>5000</v>
      </c>
      <c r="J743" s="8">
        <v>25000</v>
      </c>
      <c r="K743" s="30">
        <f t="shared" si="763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13.86</v>
      </c>
      <c r="O743" s="9">
        <v>13.5</v>
      </c>
      <c r="P743" s="9">
        <v>19.5</v>
      </c>
      <c r="Q743" s="79">
        <f>VLOOKUP(VLOOKUP(DATEVALUE(TEXT(A743,"m/d/yyyy")),FY24_Temp[],5,FALSE)&amp;TEXT(A743,"-h"),Table6[],4,FALSE)</f>
        <v>3.1071428571428572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VLOOKUP(TEXT(A743,"yy-mm")&amp;"-"&amp;IF(AND(WEEKDAY(A743)&gt;1,WEEKDAY(A743)&lt;7),"Wkd",TEXT(A743,"Ddd"))&amp;"-"&amp;TEXT(A743,"hh"),LoadTable[],5,FALSE)*0.92</f>
        <v>494.57360000000006</v>
      </c>
      <c r="U743" s="104">
        <f>VLOOKUP(TEXT(A743,"yy-mm")&amp;"-"&amp;IF(AND(WEEKDAY(A743)&gt;1,WEEKDAY(A743)&lt;7),"Wkd",TEXT(A743,"Ddd"))&amp;"-"&amp;TEXT(A743,"hh"),LoadTable[],6,FALSE)*T743</f>
        <v>60532.346624800004</v>
      </c>
      <c r="V743">
        <f t="shared" ref="V743:W743" si="775">V719</f>
        <v>2.8</v>
      </c>
      <c r="W743">
        <f t="shared" si="775"/>
        <v>3.1</v>
      </c>
      <c r="X743" s="9">
        <v>2.9263355999999998</v>
      </c>
    </row>
    <row r="744" spans="1:24">
      <c r="A744" s="29">
        <f t="shared" si="736"/>
        <v>45866.874999998203</v>
      </c>
      <c r="B744" s="30">
        <f t="shared" si="760"/>
        <v>5000</v>
      </c>
      <c r="C744" s="8">
        <v>25000</v>
      </c>
      <c r="D744" s="8">
        <v>0</v>
      </c>
      <c r="E744" s="8">
        <v>700</v>
      </c>
      <c r="F744" s="8">
        <v>15000</v>
      </c>
      <c r="G744" s="30">
        <f t="shared" si="761"/>
        <v>2400</v>
      </c>
      <c r="H744" s="8">
        <v>25000</v>
      </c>
      <c r="I744" s="30">
        <f t="shared" si="762"/>
        <v>5000</v>
      </c>
      <c r="J744" s="8">
        <v>25000</v>
      </c>
      <c r="K744" s="30">
        <f t="shared" si="763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13.86</v>
      </c>
      <c r="O744" s="9">
        <v>13.5</v>
      </c>
      <c r="P744" s="9">
        <v>19.5</v>
      </c>
      <c r="Q744" s="79">
        <f>VLOOKUP(VLOOKUP(DATEVALUE(TEXT(A744,"m/d/yyyy")),FY24_Temp[],5,FALSE)&amp;TEXT(A744,"-h"),Table6[],4,FALSE)</f>
        <v>3.3121428489685059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VLOOKUP(TEXT(A744,"yy-mm")&amp;"-"&amp;IF(AND(WEEKDAY(A744)&gt;1,WEEKDAY(A744)&lt;7),"Wkd",TEXT(A744,"Ddd"))&amp;"-"&amp;TEXT(A744,"hh"),LoadTable[],5,FALSE)*0.92</f>
        <v>494.57360000000006</v>
      </c>
      <c r="U744" s="104">
        <f>VLOOKUP(TEXT(A744,"yy-mm")&amp;"-"&amp;IF(AND(WEEKDAY(A744)&gt;1,WEEKDAY(A744)&lt;7),"Wkd",TEXT(A744,"Ddd"))&amp;"-"&amp;TEXT(A744,"hh"),LoadTable[],6,FALSE)*T744</f>
        <v>58481.349905600007</v>
      </c>
      <c r="V744">
        <f t="shared" ref="V744:W744" si="776">V720</f>
        <v>3.5</v>
      </c>
      <c r="W744">
        <f t="shared" si="776"/>
        <v>3.1</v>
      </c>
      <c r="X744" s="9">
        <v>2.9010636999999999</v>
      </c>
    </row>
    <row r="745" spans="1:24">
      <c r="A745" s="29">
        <f t="shared" si="736"/>
        <v>45866.916666664867</v>
      </c>
      <c r="B745" s="30">
        <f t="shared" si="760"/>
        <v>5000</v>
      </c>
      <c r="C745" s="8">
        <v>25000</v>
      </c>
      <c r="D745" s="8">
        <v>0</v>
      </c>
      <c r="E745" s="8">
        <v>700</v>
      </c>
      <c r="F745" s="8">
        <v>15000</v>
      </c>
      <c r="G745" s="30">
        <f t="shared" si="761"/>
        <v>2400</v>
      </c>
      <c r="H745" s="8">
        <v>25000</v>
      </c>
      <c r="I745" s="30">
        <f t="shared" si="762"/>
        <v>5000</v>
      </c>
      <c r="J745" s="8">
        <v>25000</v>
      </c>
      <c r="K745" s="30">
        <f t="shared" si="763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13.86</v>
      </c>
      <c r="O745" s="9">
        <v>13.5</v>
      </c>
      <c r="P745" s="9">
        <v>19.5</v>
      </c>
      <c r="Q745" s="79">
        <f>VLOOKUP(VLOOKUP(DATEVALUE(TEXT(A745,"m/d/yyyy")),FY24_Temp[],5,FALSE)&amp;TEXT(A745,"-h"),Table6[],4,FALSE)</f>
        <v>3.2781428268977573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VLOOKUP(TEXT(A745,"yy-mm")&amp;"-"&amp;IF(AND(WEEKDAY(A745)&gt;1,WEEKDAY(A745)&lt;7),"Wkd",TEXT(A745,"Ddd"))&amp;"-"&amp;TEXT(A745,"hh"),LoadTable[],5,FALSE)*0.92</f>
        <v>418.75640000000004</v>
      </c>
      <c r="U745" s="104">
        <f>VLOOKUP(TEXT(A745,"yy-mm")&amp;"-"&amp;IF(AND(WEEKDAY(A745)&gt;1,WEEKDAY(A745)&lt;7),"Wkd",TEXT(A745,"Ddd"))&amp;"-"&amp;TEXT(A745,"hh"),LoadTable[],6,FALSE)*T745</f>
        <v>27547.889774000003</v>
      </c>
      <c r="V745">
        <f t="shared" ref="V745:W745" si="777">V721</f>
        <v>2.9</v>
      </c>
      <c r="W745">
        <f t="shared" si="777"/>
        <v>3.1</v>
      </c>
      <c r="X745" s="9">
        <v>2.8584678000000001</v>
      </c>
    </row>
    <row r="746" spans="1:24">
      <c r="A746" s="29">
        <f t="shared" si="736"/>
        <v>45866.958333331531</v>
      </c>
      <c r="B746" s="30">
        <f t="shared" si="760"/>
        <v>5000</v>
      </c>
      <c r="C746" s="8">
        <v>25000</v>
      </c>
      <c r="D746" s="8">
        <v>0</v>
      </c>
      <c r="E746" s="8">
        <v>700</v>
      </c>
      <c r="F746" s="8">
        <v>15000</v>
      </c>
      <c r="G746" s="30">
        <f t="shared" si="761"/>
        <v>2400</v>
      </c>
      <c r="H746" s="8">
        <v>25000</v>
      </c>
      <c r="I746" s="30">
        <f t="shared" si="762"/>
        <v>5000</v>
      </c>
      <c r="J746" s="8">
        <v>25000</v>
      </c>
      <c r="K746" s="30">
        <f t="shared" si="763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13.86</v>
      </c>
      <c r="O746" s="9">
        <v>13.5</v>
      </c>
      <c r="P746" s="9">
        <v>19.5</v>
      </c>
      <c r="Q746" s="79">
        <f>VLOOKUP(VLOOKUP(DATEVALUE(TEXT(A746,"m/d/yyyy")),FY24_Temp[],5,FALSE)&amp;TEXT(A746,"-h"),Table6[],4,FALSE)</f>
        <v>3.138000045503889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VLOOKUP(TEXT(A746,"yy-mm")&amp;"-"&amp;IF(AND(WEEKDAY(A746)&gt;1,WEEKDAY(A746)&lt;7),"Wkd",TEXT(A746,"Ddd"))&amp;"-"&amp;TEXT(A746,"hh"),LoadTable[],5,FALSE)*0.92</f>
        <v>342.93920000000003</v>
      </c>
      <c r="U746" s="104">
        <f>VLOOKUP(TEXT(A746,"yy-mm")&amp;"-"&amp;IF(AND(WEEKDAY(A746)&gt;1,WEEKDAY(A746)&lt;7),"Wkd",TEXT(A746,"Ddd"))&amp;"-"&amp;TEXT(A746,"hh"),LoadTable[],6,FALSE)*T746</f>
        <v>19873.669579200003</v>
      </c>
      <c r="V746">
        <f t="shared" ref="V746:W746" si="778">V722</f>
        <v>3.6</v>
      </c>
      <c r="W746">
        <f t="shared" si="778"/>
        <v>3.1</v>
      </c>
      <c r="X746" s="9">
        <v>2.7454746000000001</v>
      </c>
    </row>
    <row r="747" spans="1:24">
      <c r="A747" s="29">
        <f t="shared" si="736"/>
        <v>45866.999999998196</v>
      </c>
      <c r="B747" s="30">
        <f t="shared" si="760"/>
        <v>5000</v>
      </c>
      <c r="C747" s="8">
        <v>25000</v>
      </c>
      <c r="D747" s="8">
        <v>0</v>
      </c>
      <c r="E747" s="8">
        <v>700</v>
      </c>
      <c r="F747" s="8">
        <v>15000</v>
      </c>
      <c r="G747" s="30">
        <f t="shared" si="761"/>
        <v>2400</v>
      </c>
      <c r="H747" s="8">
        <v>25000</v>
      </c>
      <c r="I747" s="30">
        <f t="shared" si="762"/>
        <v>5000</v>
      </c>
      <c r="J747" s="8">
        <v>25000</v>
      </c>
      <c r="K747" s="30">
        <f t="shared" si="763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13.86</v>
      </c>
      <c r="O747" s="9">
        <v>13.5</v>
      </c>
      <c r="P747" s="9">
        <v>19.5</v>
      </c>
      <c r="Q747" s="79">
        <f>VLOOKUP(VLOOKUP(DATEVALUE(TEXT(A747,"m/d/yyyy")),FY24_Temp[],5,FALSE)&amp;TEXT(A747,"-h"),Table6[],4,FALSE)</f>
        <v>2.9907142775399342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VLOOKUP(TEXT(A747,"yy-mm")&amp;"-"&amp;IF(AND(WEEKDAY(A747)&gt;1,WEEKDAY(A747)&lt;7),"Wkd",TEXT(A747,"Ddd"))&amp;"-"&amp;TEXT(A747,"hh"),LoadTable[],5,FALSE)*0.92</f>
        <v>279.25312000000002</v>
      </c>
      <c r="U747" s="104">
        <f>VLOOKUP(TEXT(A747,"yy-mm")&amp;"-"&amp;IF(AND(WEEKDAY(A747)&gt;1,WEEKDAY(A747)&lt;7),"Wkd",TEXT(A747,"Ddd"))&amp;"-"&amp;TEXT(A747,"hh"),LoadTable[],6,FALSE)*T747</f>
        <v>14895.640673920001</v>
      </c>
      <c r="V747">
        <f t="shared" ref="V747:W747" si="779">V723</f>
        <v>3</v>
      </c>
      <c r="W747">
        <f t="shared" si="779"/>
        <v>3.2</v>
      </c>
      <c r="X747" s="9">
        <v>2.6794129333333299</v>
      </c>
    </row>
    <row r="748" spans="1:24">
      <c r="A748" s="29">
        <f t="shared" si="736"/>
        <v>45867.04166666486</v>
      </c>
      <c r="B748" s="30">
        <f t="shared" si="760"/>
        <v>5000</v>
      </c>
      <c r="C748" s="8">
        <v>25000</v>
      </c>
      <c r="D748" s="8">
        <v>0</v>
      </c>
      <c r="E748" s="8">
        <v>700</v>
      </c>
      <c r="F748" s="8">
        <v>15000</v>
      </c>
      <c r="G748" s="30">
        <f t="shared" si="761"/>
        <v>2400</v>
      </c>
      <c r="H748" s="8">
        <v>25000</v>
      </c>
      <c r="I748" s="30">
        <f t="shared" si="762"/>
        <v>5000</v>
      </c>
      <c r="J748" s="8">
        <v>25000</v>
      </c>
      <c r="K748" s="30">
        <f t="shared" si="763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13.86</v>
      </c>
      <c r="O748" s="9">
        <v>13.5</v>
      </c>
      <c r="P748" s="9">
        <v>19.5</v>
      </c>
      <c r="Q748" s="79">
        <f>VLOOKUP(VLOOKUP(DATEVALUE(TEXT(A748,"m/d/yyyy")),FY24_Temp[],5,FALSE)&amp;TEXT(A748,"-h"),Table6[],4,FALSE)</f>
        <v>2.8792857101985385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VLOOKUP(TEXT(A748,"yy-mm")&amp;"-"&amp;IF(AND(WEEKDAY(A748)&gt;1,WEEKDAY(A748)&lt;7),"Wkd",TEXT(A748,"Ddd"))&amp;"-"&amp;TEXT(A748,"hh"),LoadTable[],5,FALSE)*0.92</f>
        <v>279.25312000000002</v>
      </c>
      <c r="U748" s="104">
        <f>VLOOKUP(TEXT(A748,"yy-mm")&amp;"-"&amp;IF(AND(WEEKDAY(A748)&gt;1,WEEKDAY(A748)&lt;7),"Wkd",TEXT(A748,"Ddd"))&amp;"-"&amp;TEXT(A748,"hh"),LoadTable[],6,FALSE)*T748</f>
        <v>14470.896678400002</v>
      </c>
      <c r="V748">
        <f t="shared" ref="V748:W748" si="780">V724</f>
        <v>2.6</v>
      </c>
      <c r="W748">
        <f t="shared" si="780"/>
        <v>3.2</v>
      </c>
      <c r="X748" s="9">
        <v>2.6016183833333302</v>
      </c>
    </row>
    <row r="749" spans="1:24">
      <c r="A749" s="29">
        <f t="shared" si="736"/>
        <v>45867.083333331524</v>
      </c>
      <c r="B749" s="30">
        <f t="shared" si="760"/>
        <v>5000</v>
      </c>
      <c r="C749" s="8">
        <v>25000</v>
      </c>
      <c r="D749" s="8">
        <v>0</v>
      </c>
      <c r="E749" s="8">
        <v>700</v>
      </c>
      <c r="F749" s="8">
        <v>15000</v>
      </c>
      <c r="G749" s="30">
        <f t="shared" si="761"/>
        <v>2400</v>
      </c>
      <c r="H749" s="8">
        <v>25000</v>
      </c>
      <c r="I749" s="30">
        <f t="shared" si="762"/>
        <v>5000</v>
      </c>
      <c r="J749" s="8">
        <v>25000</v>
      </c>
      <c r="K749" s="30">
        <f t="shared" si="763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13.86</v>
      </c>
      <c r="O749" s="9">
        <v>13.5</v>
      </c>
      <c r="P749" s="9">
        <v>19.5</v>
      </c>
      <c r="Q749" s="79">
        <f>VLOOKUP(VLOOKUP(DATEVALUE(TEXT(A749,"m/d/yyyy")),FY24_Temp[],5,FALSE)&amp;TEXT(A749,"-h"),Table6[],4,FALSE)</f>
        <v>2.766571419579642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VLOOKUP(TEXT(A749,"yy-mm")&amp;"-"&amp;IF(AND(WEEKDAY(A749)&gt;1,WEEKDAY(A749)&lt;7),"Wkd",TEXT(A749,"Ddd"))&amp;"-"&amp;TEXT(A749,"hh"),LoadTable[],5,FALSE)*0.92</f>
        <v>279.25312000000002</v>
      </c>
      <c r="U749" s="104">
        <f>VLOOKUP(TEXT(A749,"yy-mm")&amp;"-"&amp;IF(AND(WEEKDAY(A749)&gt;1,WEEKDAY(A749)&lt;7),"Wkd",TEXT(A749,"Ddd"))&amp;"-"&amp;TEXT(A749,"hh"),LoadTable[],6,FALSE)*T749</f>
        <v>14154.50289344</v>
      </c>
      <c r="V749">
        <f t="shared" ref="V749:W749" si="781">V725</f>
        <v>2.8</v>
      </c>
      <c r="W749">
        <f t="shared" si="781"/>
        <v>3.2</v>
      </c>
      <c r="X749" s="9">
        <v>2.52382383333333</v>
      </c>
    </row>
    <row r="750" spans="1:24">
      <c r="A750" s="29">
        <f t="shared" si="736"/>
        <v>45867.124999998188</v>
      </c>
      <c r="B750" s="30">
        <f t="shared" si="760"/>
        <v>5000</v>
      </c>
      <c r="C750" s="8">
        <v>25000</v>
      </c>
      <c r="D750" s="8">
        <v>0</v>
      </c>
      <c r="E750" s="8">
        <v>700</v>
      </c>
      <c r="F750" s="8">
        <v>15000</v>
      </c>
      <c r="G750" s="30">
        <f t="shared" si="761"/>
        <v>2400</v>
      </c>
      <c r="H750" s="8">
        <v>25000</v>
      </c>
      <c r="I750" s="30">
        <f t="shared" si="762"/>
        <v>5000</v>
      </c>
      <c r="J750" s="8">
        <v>25000</v>
      </c>
      <c r="K750" s="30">
        <f t="shared" si="763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13.86</v>
      </c>
      <c r="O750" s="9">
        <v>13.5</v>
      </c>
      <c r="P750" s="9">
        <v>19.5</v>
      </c>
      <c r="Q750" s="79">
        <f>VLOOKUP(VLOOKUP(DATEVALUE(TEXT(A750,"m/d/yyyy")),FY24_Temp[],5,FALSE)&amp;TEXT(A750,"-h"),Table6[],4,FALSE)</f>
        <v>2.6518571717398509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VLOOKUP(TEXT(A750,"yy-mm")&amp;"-"&amp;IF(AND(WEEKDAY(A750)&gt;1,WEEKDAY(A750)&lt;7),"Wkd",TEXT(A750,"Ddd"))&amp;"-"&amp;TEXT(A750,"hh"),LoadTable[],5,FALSE)*0.92</f>
        <v>279.25312000000002</v>
      </c>
      <c r="U750" s="104">
        <f>VLOOKUP(TEXT(A750,"yy-mm")&amp;"-"&amp;IF(AND(WEEKDAY(A750)&gt;1,WEEKDAY(A750)&lt;7),"Wkd",TEXT(A750,"Ddd"))&amp;"-"&amp;TEXT(A750,"hh"),LoadTable[],6,FALSE)*T750</f>
        <v>14206.443973760001</v>
      </c>
      <c r="V750">
        <f t="shared" ref="V750:W750" si="782">V726</f>
        <v>2.7</v>
      </c>
      <c r="W750">
        <f t="shared" si="782"/>
        <v>3.2</v>
      </c>
      <c r="X750" s="9">
        <v>2.4460292833333299</v>
      </c>
    </row>
    <row r="751" spans="1:24">
      <c r="A751" s="29">
        <f t="shared" si="736"/>
        <v>45867.166666664853</v>
      </c>
      <c r="B751" s="30">
        <f t="shared" si="760"/>
        <v>5000</v>
      </c>
      <c r="C751" s="8">
        <v>25000</v>
      </c>
      <c r="D751" s="8">
        <v>0</v>
      </c>
      <c r="E751" s="8">
        <v>700</v>
      </c>
      <c r="F751" s="8">
        <v>15000</v>
      </c>
      <c r="G751" s="30">
        <f t="shared" si="761"/>
        <v>2400</v>
      </c>
      <c r="H751" s="8">
        <v>25000</v>
      </c>
      <c r="I751" s="30">
        <f t="shared" si="762"/>
        <v>5000</v>
      </c>
      <c r="J751" s="8">
        <v>25000</v>
      </c>
      <c r="K751" s="30">
        <f t="shared" si="763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13.86</v>
      </c>
      <c r="O751" s="9">
        <v>13.5</v>
      </c>
      <c r="P751" s="9">
        <v>19.5</v>
      </c>
      <c r="Q751" s="79">
        <f>VLOOKUP(VLOOKUP(DATEVALUE(TEXT(A751,"m/d/yyyy")),FY24_Temp[],5,FALSE)&amp;TEXT(A751,"-h"),Table6[],4,FALSE)</f>
        <v>2.4902857712336948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VLOOKUP(TEXT(A751,"yy-mm")&amp;"-"&amp;IF(AND(WEEKDAY(A751)&gt;1,WEEKDAY(A751)&lt;7),"Wkd",TEXT(A751,"Ddd"))&amp;"-"&amp;TEXT(A751,"hh"),LoadTable[],5,FALSE)*0.92</f>
        <v>279.25312000000002</v>
      </c>
      <c r="U751" s="104">
        <f>VLOOKUP(TEXT(A751,"yy-mm")&amp;"-"&amp;IF(AND(WEEKDAY(A751)&gt;1,WEEKDAY(A751)&lt;7),"Wkd",TEXT(A751,"Ddd"))&amp;"-"&amp;TEXT(A751,"hh"),LoadTable[],6,FALSE)*T751</f>
        <v>14229.063476480002</v>
      </c>
      <c r="V751">
        <f t="shared" ref="V751:W751" si="783">V727</f>
        <v>3</v>
      </c>
      <c r="W751">
        <f t="shared" si="783"/>
        <v>3.1</v>
      </c>
      <c r="X751" s="9">
        <v>2.3682347333333298</v>
      </c>
    </row>
    <row r="752" spans="1:24">
      <c r="A752" s="29">
        <f t="shared" si="736"/>
        <v>45867.208333331517</v>
      </c>
      <c r="B752" s="30">
        <f t="shared" si="760"/>
        <v>5000</v>
      </c>
      <c r="C752" s="8">
        <v>25000</v>
      </c>
      <c r="D752" s="8">
        <v>0</v>
      </c>
      <c r="E752" s="8">
        <v>700</v>
      </c>
      <c r="F752" s="8">
        <v>15000</v>
      </c>
      <c r="G752" s="30">
        <f t="shared" si="761"/>
        <v>2400</v>
      </c>
      <c r="H752" s="8">
        <v>25000</v>
      </c>
      <c r="I752" s="30">
        <f t="shared" si="762"/>
        <v>5000</v>
      </c>
      <c r="J752" s="8">
        <v>25000</v>
      </c>
      <c r="K752" s="30">
        <f t="shared" si="763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13.86</v>
      </c>
      <c r="O752" s="9">
        <v>13.5</v>
      </c>
      <c r="P752" s="9">
        <v>19.5</v>
      </c>
      <c r="Q752" s="79">
        <f>VLOOKUP(VLOOKUP(DATEVALUE(TEXT(A752,"m/d/yyyy")),FY24_Temp[],5,FALSE)&amp;TEXT(A752,"-h"),Table6[],4,FALSE)</f>
        <v>2.337571382522583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VLOOKUP(TEXT(A752,"yy-mm")&amp;"-"&amp;IF(AND(WEEKDAY(A752)&gt;1,WEEKDAY(A752)&lt;7),"Wkd",TEXT(A752,"Ddd"))&amp;"-"&amp;TEXT(A752,"hh"),LoadTable[],5,FALSE)*0.92</f>
        <v>279.25312000000002</v>
      </c>
      <c r="U752" s="104">
        <f>VLOOKUP(TEXT(A752,"yy-mm")&amp;"-"&amp;IF(AND(WEEKDAY(A752)&gt;1,WEEKDAY(A752)&lt;7),"Wkd",TEXT(A752,"Ddd"))&amp;"-"&amp;TEXT(A752,"hh"),LoadTable[],6,FALSE)*T752</f>
        <v>14735.070129920001</v>
      </c>
      <c r="V752">
        <f t="shared" ref="V752:W752" si="784">V728</f>
        <v>2.9</v>
      </c>
      <c r="W752">
        <f t="shared" si="784"/>
        <v>3.1</v>
      </c>
      <c r="X752" s="9">
        <v>2.2904401833333301</v>
      </c>
    </row>
    <row r="753" spans="1:24">
      <c r="A753" s="29">
        <f t="shared" si="736"/>
        <v>45867.249999998181</v>
      </c>
      <c r="B753" s="30">
        <f t="shared" si="760"/>
        <v>8000</v>
      </c>
      <c r="C753" s="8">
        <v>25000</v>
      </c>
      <c r="D753" s="8">
        <v>0</v>
      </c>
      <c r="E753" s="8">
        <v>700</v>
      </c>
      <c r="F753" s="8">
        <v>15000</v>
      </c>
      <c r="G753" s="30">
        <f t="shared" si="761"/>
        <v>2400</v>
      </c>
      <c r="H753" s="8">
        <v>25000</v>
      </c>
      <c r="I753" s="30">
        <f t="shared" si="762"/>
        <v>8000</v>
      </c>
      <c r="J753" s="8">
        <v>25000</v>
      </c>
      <c r="K753" s="30">
        <f t="shared" si="763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13.86</v>
      </c>
      <c r="O753" s="9">
        <v>13.5</v>
      </c>
      <c r="P753" s="9">
        <v>19.5</v>
      </c>
      <c r="Q753" s="79">
        <f>VLOOKUP(VLOOKUP(DATEVALUE(TEXT(A753,"m/d/yyyy")),FY24_Temp[],5,FALSE)&amp;TEXT(A753,"-h"),Table6[],4,FALSE)</f>
        <v>2.2231428963797435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VLOOKUP(TEXT(A753,"yy-mm")&amp;"-"&amp;IF(AND(WEEKDAY(A753)&gt;1,WEEKDAY(A753)&lt;7),"Wkd",TEXT(A753,"Ddd"))&amp;"-"&amp;TEXT(A753,"hh"),LoadTable[],5,FALSE)*0.92</f>
        <v>279.25312000000002</v>
      </c>
      <c r="U753" s="104">
        <f>VLOOKUP(TEXT(A753,"yy-mm")&amp;"-"&amp;IF(AND(WEEKDAY(A753)&gt;1,WEEKDAY(A753)&lt;7),"Wkd",TEXT(A753,"Ddd"))&amp;"-"&amp;TEXT(A753,"hh"),LoadTable[],6,FALSE)*T753</f>
        <v>26238.902408320002</v>
      </c>
      <c r="V753">
        <f t="shared" ref="V753:W753" si="785">V729</f>
        <v>2.5</v>
      </c>
      <c r="W753">
        <f t="shared" si="785"/>
        <v>3.1</v>
      </c>
      <c r="X753" s="9">
        <v>2.21264563333333</v>
      </c>
    </row>
    <row r="754" spans="1:24">
      <c r="A754" s="29">
        <f t="shared" si="736"/>
        <v>45867.291666664845</v>
      </c>
      <c r="B754" s="30">
        <f t="shared" si="760"/>
        <v>8000</v>
      </c>
      <c r="C754" s="8">
        <v>25000</v>
      </c>
      <c r="D754" s="8">
        <v>0</v>
      </c>
      <c r="E754" s="8">
        <v>700</v>
      </c>
      <c r="F754" s="8">
        <v>15000</v>
      </c>
      <c r="G754" s="30">
        <f t="shared" si="761"/>
        <v>2400</v>
      </c>
      <c r="H754" s="8">
        <v>25000</v>
      </c>
      <c r="I754" s="30">
        <f t="shared" si="762"/>
        <v>8000</v>
      </c>
      <c r="J754" s="8">
        <v>25000</v>
      </c>
      <c r="K754" s="30">
        <f t="shared" si="763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13.86</v>
      </c>
      <c r="O754" s="9">
        <v>13.5</v>
      </c>
      <c r="P754" s="9">
        <v>19.5</v>
      </c>
      <c r="Q754" s="79">
        <f>VLOOKUP(VLOOKUP(DATEVALUE(TEXT(A754,"m/d/yyyy")),FY24_Temp[],5,FALSE)&amp;TEXT(A754,"-h"),Table6[],4,FALSE)</f>
        <v>2.1175714220319475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VLOOKUP(TEXT(A754,"yy-mm")&amp;"-"&amp;IF(AND(WEEKDAY(A754)&gt;1,WEEKDAY(A754)&lt;7),"Wkd",TEXT(A754,"Ddd"))&amp;"-"&amp;TEXT(A754,"hh"),LoadTable[],5,FALSE)*0.92</f>
        <v>279.25312000000002</v>
      </c>
      <c r="U754" s="104">
        <f>VLOOKUP(TEXT(A754,"yy-mm")&amp;"-"&amp;IF(AND(WEEKDAY(A754)&gt;1,WEEKDAY(A754)&lt;7),"Wkd",TEXT(A754,"Ddd"))&amp;"-"&amp;TEXT(A754,"hh"),LoadTable[],6,FALSE)*T754</f>
        <v>22145.051669120003</v>
      </c>
      <c r="V754">
        <f t="shared" ref="V754:W754" si="786">V730</f>
        <v>2.5</v>
      </c>
      <c r="W754">
        <f t="shared" si="786"/>
        <v>3.1</v>
      </c>
      <c r="X754" s="9">
        <v>2.1348510833333298</v>
      </c>
    </row>
    <row r="755" spans="1:24">
      <c r="A755" s="29">
        <f t="shared" si="736"/>
        <v>45867.333333331509</v>
      </c>
      <c r="B755" s="30">
        <f t="shared" si="760"/>
        <v>8000</v>
      </c>
      <c r="C755" s="8">
        <v>25000</v>
      </c>
      <c r="D755" s="8">
        <v>0</v>
      </c>
      <c r="E755" s="8">
        <v>700</v>
      </c>
      <c r="F755" s="8">
        <v>15000</v>
      </c>
      <c r="G755" s="30">
        <f t="shared" si="761"/>
        <v>2400</v>
      </c>
      <c r="H755" s="8">
        <v>25000</v>
      </c>
      <c r="I755" s="30">
        <f t="shared" si="762"/>
        <v>8000</v>
      </c>
      <c r="J755" s="8">
        <v>25000</v>
      </c>
      <c r="K755" s="30">
        <f t="shared" si="763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13.86</v>
      </c>
      <c r="O755" s="9">
        <v>13.5</v>
      </c>
      <c r="P755" s="9">
        <v>19.5</v>
      </c>
      <c r="Q755" s="79">
        <f>VLOOKUP(VLOOKUP(DATEVALUE(TEXT(A755,"m/d/yyyy")),FY24_Temp[],5,FALSE)&amp;TEXT(A755,"-h"),Table6[],4,FALSE)</f>
        <v>1.9947142941611153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VLOOKUP(TEXT(A755,"yy-mm")&amp;"-"&amp;IF(AND(WEEKDAY(A755)&gt;1,WEEKDAY(A755)&lt;7),"Wkd",TEXT(A755,"Ddd"))&amp;"-"&amp;TEXT(A755,"hh"),LoadTable[],5,FALSE)*0.92</f>
        <v>279.25312000000002</v>
      </c>
      <c r="U755" s="104">
        <f>VLOOKUP(TEXT(A755,"yy-mm")&amp;"-"&amp;IF(AND(WEEKDAY(A755)&gt;1,WEEKDAY(A755)&lt;7),"Wkd",TEXT(A755,"Ddd"))&amp;"-"&amp;TEXT(A755,"hh"),LoadTable[],6,FALSE)*T755</f>
        <v>17686.77560832</v>
      </c>
      <c r="V755">
        <f t="shared" ref="V755:W755" si="787">V731</f>
        <v>3.2</v>
      </c>
      <c r="W755">
        <f t="shared" si="787"/>
        <v>3</v>
      </c>
      <c r="X755" s="9">
        <v>2.0570565333333302</v>
      </c>
    </row>
    <row r="756" spans="1:24">
      <c r="A756" s="29">
        <f t="shared" si="736"/>
        <v>45867.374999998174</v>
      </c>
      <c r="B756" s="30">
        <f t="shared" si="760"/>
        <v>8000</v>
      </c>
      <c r="C756" s="8">
        <v>25000</v>
      </c>
      <c r="D756" s="8">
        <v>0</v>
      </c>
      <c r="E756" s="8">
        <v>700</v>
      </c>
      <c r="F756" s="8">
        <v>15000</v>
      </c>
      <c r="G756" s="30">
        <f t="shared" si="761"/>
        <v>2400</v>
      </c>
      <c r="H756" s="8">
        <v>25000</v>
      </c>
      <c r="I756" s="30">
        <f t="shared" si="762"/>
        <v>8000</v>
      </c>
      <c r="J756" s="8">
        <v>25000</v>
      </c>
      <c r="K756" s="30">
        <f t="shared" si="763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13.86</v>
      </c>
      <c r="O756" s="9">
        <v>13.5</v>
      </c>
      <c r="P756" s="9">
        <v>19.5</v>
      </c>
      <c r="Q756" s="79">
        <f>VLOOKUP(VLOOKUP(DATEVALUE(TEXT(A756,"m/d/yyyy")),FY24_Temp[],5,FALSE)&amp;TEXT(A756,"-h"),Table6[],4,FALSE)</f>
        <v>1.8918571301868983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VLOOKUP(TEXT(A756,"yy-mm")&amp;"-"&amp;IF(AND(WEEKDAY(A756)&gt;1,WEEKDAY(A756)&lt;7),"Wkd",TEXT(A756,"Ddd"))&amp;"-"&amp;TEXT(A756,"hh"),LoadTable[],5,FALSE)*0.92</f>
        <v>279.25312000000002</v>
      </c>
      <c r="U756" s="104">
        <f>VLOOKUP(TEXT(A756,"yy-mm")&amp;"-"&amp;IF(AND(WEEKDAY(A756)&gt;1,WEEKDAY(A756)&lt;7),"Wkd",TEXT(A756,"Ddd"))&amp;"-"&amp;TEXT(A756,"hh"),LoadTable[],6,FALSE)*T756</f>
        <v>14265.924888320002</v>
      </c>
      <c r="V756">
        <f t="shared" ref="V756:W756" si="788">V732</f>
        <v>2.9</v>
      </c>
      <c r="W756">
        <f t="shared" si="788"/>
        <v>3</v>
      </c>
      <c r="X756" s="9">
        <v>1.97926198333333</v>
      </c>
    </row>
    <row r="757" spans="1:24">
      <c r="A757" s="29">
        <f t="shared" si="736"/>
        <v>45867.416666664838</v>
      </c>
      <c r="B757" s="30">
        <f t="shared" si="760"/>
        <v>8000</v>
      </c>
      <c r="C757" s="8">
        <v>25000</v>
      </c>
      <c r="D757" s="8">
        <v>0</v>
      </c>
      <c r="E757" s="8">
        <v>700</v>
      </c>
      <c r="F757" s="8">
        <v>15000</v>
      </c>
      <c r="G757" s="30">
        <f t="shared" si="761"/>
        <v>2400</v>
      </c>
      <c r="H757" s="8">
        <v>25000</v>
      </c>
      <c r="I757" s="30">
        <f t="shared" si="762"/>
        <v>8000</v>
      </c>
      <c r="J757" s="8">
        <v>25000</v>
      </c>
      <c r="K757" s="30">
        <f t="shared" si="763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13.86</v>
      </c>
      <c r="O757" s="9">
        <v>13.5</v>
      </c>
      <c r="P757" s="9">
        <v>19.5</v>
      </c>
      <c r="Q757" s="79">
        <f>VLOOKUP(VLOOKUP(DATEVALUE(TEXT(A757,"m/d/yyyy")),FY24_Temp[],5,FALSE)&amp;TEXT(A757,"-h"),Table6[],4,FALSE)</f>
        <v>1.795285701751709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VLOOKUP(TEXT(A757,"yy-mm")&amp;"-"&amp;IF(AND(WEEKDAY(A757)&gt;1,WEEKDAY(A757)&lt;7),"Wkd",TEXT(A757,"Ddd"))&amp;"-"&amp;TEXT(A757,"hh"),LoadTable[],5,FALSE)*0.92</f>
        <v>279.25312000000002</v>
      </c>
      <c r="U757" s="104">
        <f>VLOOKUP(TEXT(A757,"yy-mm")&amp;"-"&amp;IF(AND(WEEKDAY(A757)&gt;1,WEEKDAY(A757)&lt;7),"Wkd",TEXT(A757,"Ddd"))&amp;"-"&amp;TEXT(A757,"hh"),LoadTable[],6,FALSE)*T757</f>
        <v>13649.054746240003</v>
      </c>
      <c r="V757">
        <f t="shared" ref="V757:W757" si="789">V733</f>
        <v>2.9</v>
      </c>
      <c r="W757">
        <f t="shared" si="789"/>
        <v>3</v>
      </c>
      <c r="X757" s="9">
        <v>1.9014674333333299</v>
      </c>
    </row>
    <row r="758" spans="1:24">
      <c r="A758" s="29">
        <f t="shared" si="736"/>
        <v>45867.458333331502</v>
      </c>
      <c r="B758" s="30">
        <f t="shared" si="760"/>
        <v>8000</v>
      </c>
      <c r="C758" s="8">
        <v>25000</v>
      </c>
      <c r="D758" s="8">
        <v>0</v>
      </c>
      <c r="E758" s="8">
        <v>700</v>
      </c>
      <c r="F758" s="8">
        <v>15000</v>
      </c>
      <c r="G758" s="30">
        <f t="shared" si="761"/>
        <v>2400</v>
      </c>
      <c r="H758" s="8">
        <v>25000</v>
      </c>
      <c r="I758" s="30">
        <f t="shared" si="762"/>
        <v>8000</v>
      </c>
      <c r="J758" s="8">
        <v>25000</v>
      </c>
      <c r="K758" s="30">
        <f t="shared" si="763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13.86</v>
      </c>
      <c r="O758" s="9">
        <v>13.5</v>
      </c>
      <c r="P758" s="9">
        <v>19.5</v>
      </c>
      <c r="Q758" s="79">
        <f>VLOOKUP(VLOOKUP(DATEVALUE(TEXT(A758,"m/d/yyyy")),FY24_Temp[],5,FALSE)&amp;TEXT(A758,"-h"),Table6[],4,FALSE)</f>
        <v>1.6731428759438651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VLOOKUP(TEXT(A758,"yy-mm")&amp;"-"&amp;IF(AND(WEEKDAY(A758)&gt;1,WEEKDAY(A758)&lt;7),"Wkd",TEXT(A758,"Ddd"))&amp;"-"&amp;TEXT(A758,"hh"),LoadTable[],5,FALSE)*0.92</f>
        <v>279.25312000000002</v>
      </c>
      <c r="U758" s="104">
        <f>VLOOKUP(TEXT(A758,"yy-mm")&amp;"-"&amp;IF(AND(WEEKDAY(A758)&gt;1,WEEKDAY(A758)&lt;7),"Wkd",TEXT(A758,"Ddd"))&amp;"-"&amp;TEXT(A758,"hh"),LoadTable[],6,FALSE)*T758</f>
        <v>13153.938964480001</v>
      </c>
      <c r="V758">
        <f t="shared" ref="V758:W758" si="790">V734</f>
        <v>3.4</v>
      </c>
      <c r="W758">
        <f t="shared" si="790"/>
        <v>3</v>
      </c>
      <c r="X758" s="9">
        <v>1.82367288333333</v>
      </c>
    </row>
    <row r="759" spans="1:24">
      <c r="A759" s="29">
        <f t="shared" si="736"/>
        <v>45867.499999998166</v>
      </c>
      <c r="B759" s="30">
        <f t="shared" si="760"/>
        <v>8000</v>
      </c>
      <c r="C759" s="8">
        <v>25000</v>
      </c>
      <c r="D759" s="8">
        <v>0</v>
      </c>
      <c r="E759" s="8">
        <v>700</v>
      </c>
      <c r="F759" s="8">
        <v>15000</v>
      </c>
      <c r="G759" s="30">
        <f t="shared" si="761"/>
        <v>2400</v>
      </c>
      <c r="H759" s="8">
        <v>25000</v>
      </c>
      <c r="I759" s="30">
        <f t="shared" si="762"/>
        <v>8000</v>
      </c>
      <c r="J759" s="8">
        <v>25000</v>
      </c>
      <c r="K759" s="30">
        <f t="shared" si="763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13.86</v>
      </c>
      <c r="O759" s="9">
        <v>13.5</v>
      </c>
      <c r="P759" s="9">
        <v>19.5</v>
      </c>
      <c r="Q759" s="79">
        <f>VLOOKUP(VLOOKUP(DATEVALUE(TEXT(A759,"m/d/yyyy")),FY24_Temp[],5,FALSE)&amp;TEXT(A759,"-h"),Table6[],4,FALSE)</f>
        <v>1.5228571380887712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VLOOKUP(TEXT(A759,"yy-mm")&amp;"-"&amp;IF(AND(WEEKDAY(A759)&gt;1,WEEKDAY(A759)&lt;7),"Wkd",TEXT(A759,"Ddd"))&amp;"-"&amp;TEXT(A759,"hh"),LoadTable[],5,FALSE)*0.92</f>
        <v>279.25312000000002</v>
      </c>
      <c r="U759" s="104">
        <f>VLOOKUP(TEXT(A759,"yy-mm")&amp;"-"&amp;IF(AND(WEEKDAY(A759)&gt;1,WEEKDAY(A759)&lt;7),"Wkd",TEXT(A759,"Ddd"))&amp;"-"&amp;TEXT(A759,"hh"),LoadTable[],6,FALSE)*T759</f>
        <v>13898.427782400002</v>
      </c>
      <c r="V759">
        <f t="shared" ref="V759:W759" si="791">V735</f>
        <v>3.1</v>
      </c>
      <c r="W759">
        <f t="shared" si="791"/>
        <v>2.9</v>
      </c>
      <c r="X759" s="9">
        <v>1.7458783333333301</v>
      </c>
    </row>
    <row r="760" spans="1:24">
      <c r="A760" s="29">
        <f t="shared" si="736"/>
        <v>45867.541666664831</v>
      </c>
      <c r="B760" s="30">
        <f t="shared" si="760"/>
        <v>8000</v>
      </c>
      <c r="C760" s="8">
        <v>25000</v>
      </c>
      <c r="D760" s="8">
        <v>0</v>
      </c>
      <c r="E760" s="8">
        <v>700</v>
      </c>
      <c r="F760" s="8">
        <v>15000</v>
      </c>
      <c r="G760" s="30">
        <f t="shared" si="761"/>
        <v>2400</v>
      </c>
      <c r="H760" s="8">
        <v>25000</v>
      </c>
      <c r="I760" s="30">
        <f t="shared" si="762"/>
        <v>8000</v>
      </c>
      <c r="J760" s="8">
        <v>25000</v>
      </c>
      <c r="K760" s="30">
        <f t="shared" si="763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13.86</v>
      </c>
      <c r="O760" s="9">
        <v>13.5</v>
      </c>
      <c r="P760" s="9">
        <v>19.5</v>
      </c>
      <c r="Q760" s="79">
        <f>VLOOKUP(VLOOKUP(DATEVALUE(TEXT(A760,"m/d/yyyy")),FY24_Temp[],5,FALSE)&amp;TEXT(A760,"-h"),Table6[],4,FALSE)</f>
        <v>1.3490000111716134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VLOOKUP(TEXT(A760,"yy-mm")&amp;"-"&amp;IF(AND(WEEKDAY(A760)&gt;1,WEEKDAY(A760)&lt;7),"Wkd",TEXT(A760,"Ddd"))&amp;"-"&amp;TEXT(A760,"hh"),LoadTable[],5,FALSE)*0.92</f>
        <v>279.25312000000002</v>
      </c>
      <c r="U760" s="104">
        <f>VLOOKUP(TEXT(A760,"yy-mm")&amp;"-"&amp;IF(AND(WEEKDAY(A760)&gt;1,WEEKDAY(A760)&lt;7),"Wkd",TEXT(A760,"Ddd"))&amp;"-"&amp;TEXT(A760,"hh"),LoadTable[],6,FALSE)*T760</f>
        <v>16526.1996416</v>
      </c>
      <c r="V760">
        <f t="shared" ref="V760:W760" si="792">V736</f>
        <v>3.2</v>
      </c>
      <c r="W760">
        <f t="shared" si="792"/>
        <v>2.9</v>
      </c>
      <c r="X760" s="9">
        <v>1.66808378333333</v>
      </c>
    </row>
    <row r="761" spans="1:24">
      <c r="A761" s="29">
        <f t="shared" si="736"/>
        <v>45867.583333331495</v>
      </c>
      <c r="B761" s="30">
        <f t="shared" si="760"/>
        <v>8000</v>
      </c>
      <c r="C761" s="8">
        <v>25000</v>
      </c>
      <c r="D761" s="8">
        <v>0</v>
      </c>
      <c r="E761" s="8">
        <v>700</v>
      </c>
      <c r="F761" s="8">
        <v>15000</v>
      </c>
      <c r="G761" s="30">
        <f t="shared" si="761"/>
        <v>2400</v>
      </c>
      <c r="H761" s="8">
        <v>25000</v>
      </c>
      <c r="I761" s="30">
        <f t="shared" si="762"/>
        <v>8000</v>
      </c>
      <c r="J761" s="8">
        <v>25000</v>
      </c>
      <c r="K761" s="30">
        <f t="shared" si="763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13.86</v>
      </c>
      <c r="O761" s="9">
        <v>13.5</v>
      </c>
      <c r="P761" s="9">
        <v>19.5</v>
      </c>
      <c r="Q761" s="79">
        <f>VLOOKUP(VLOOKUP(DATEVALUE(TEXT(A761,"m/d/yyyy")),FY24_Temp[],5,FALSE)&amp;TEXT(A761,"-h"),Table6[],4,FALSE)</f>
        <v>1.165428570338658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VLOOKUP(TEXT(A761,"yy-mm")&amp;"-"&amp;IF(AND(WEEKDAY(A761)&gt;1,WEEKDAY(A761)&lt;7),"Wkd",TEXT(A761,"Ddd"))&amp;"-"&amp;TEXT(A761,"hh"),LoadTable[],5,FALSE)*0.92</f>
        <v>373.26607999999999</v>
      </c>
      <c r="U761" s="104">
        <f>VLOOKUP(TEXT(A761,"yy-mm")&amp;"-"&amp;IF(AND(WEEKDAY(A761)&gt;1,WEEKDAY(A761)&lt;7),"Wkd",TEXT(A761,"Ddd"))&amp;"-"&amp;TEXT(A761,"hh"),LoadTable[],6,FALSE)*T761</f>
        <v>27132.338089119996</v>
      </c>
      <c r="V761">
        <f t="shared" ref="V761:W761" si="793">V737</f>
        <v>3.5</v>
      </c>
      <c r="W761">
        <f t="shared" si="793"/>
        <v>2.9</v>
      </c>
      <c r="X761" s="9">
        <v>1.5902892333333301</v>
      </c>
    </row>
    <row r="762" spans="1:24">
      <c r="A762" s="29">
        <f t="shared" si="736"/>
        <v>45867.624999998159</v>
      </c>
      <c r="B762" s="30">
        <f t="shared" si="760"/>
        <v>8000</v>
      </c>
      <c r="C762" s="8">
        <v>25000</v>
      </c>
      <c r="D762" s="8">
        <v>0</v>
      </c>
      <c r="E762" s="8">
        <v>700</v>
      </c>
      <c r="F762" s="8">
        <v>15000</v>
      </c>
      <c r="G762" s="30">
        <f t="shared" si="761"/>
        <v>2400</v>
      </c>
      <c r="H762" s="8">
        <v>25000</v>
      </c>
      <c r="I762" s="30">
        <f t="shared" si="762"/>
        <v>8000</v>
      </c>
      <c r="J762" s="8">
        <v>25000</v>
      </c>
      <c r="K762" s="30">
        <f t="shared" si="763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13.86</v>
      </c>
      <c r="O762" s="9">
        <v>13.5</v>
      </c>
      <c r="P762" s="9">
        <v>19.5</v>
      </c>
      <c r="Q762" s="79">
        <f>VLOOKUP(VLOOKUP(DATEVALUE(TEXT(A762,"m/d/yyyy")),FY24_Temp[],5,FALSE)&amp;TEXT(A762,"-h"),Table6[],4,FALSE)</f>
        <v>1.0105714201927185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VLOOKUP(TEXT(A762,"yy-mm")&amp;"-"&amp;IF(AND(WEEKDAY(A762)&gt;1,WEEKDAY(A762)&lt;7),"Wkd",TEXT(A762,"Ddd"))&amp;"-"&amp;TEXT(A762,"hh"),LoadTable[],5,FALSE)*0.92</f>
        <v>494.57360000000006</v>
      </c>
      <c r="U762" s="104">
        <f>VLOOKUP(TEXT(A762,"yy-mm")&amp;"-"&amp;IF(AND(WEEKDAY(A762)&gt;1,WEEKDAY(A762)&lt;7),"Wkd",TEXT(A762,"Ddd"))&amp;"-"&amp;TEXT(A762,"hh"),LoadTable[],6,FALSE)*T762</f>
        <v>42310.771480000003</v>
      </c>
      <c r="V762">
        <f t="shared" ref="V762:W762" si="794">V738</f>
        <v>3.2</v>
      </c>
      <c r="W762">
        <f t="shared" si="794"/>
        <v>2.9</v>
      </c>
      <c r="X762" s="9">
        <v>1.5124946833333299</v>
      </c>
    </row>
    <row r="763" spans="1:24">
      <c r="A763" s="29">
        <f t="shared" si="736"/>
        <v>45867.666666664823</v>
      </c>
      <c r="B763" s="30">
        <f t="shared" si="760"/>
        <v>8000</v>
      </c>
      <c r="C763" s="8">
        <v>25000</v>
      </c>
      <c r="D763" s="8">
        <v>0</v>
      </c>
      <c r="E763" s="8">
        <v>700</v>
      </c>
      <c r="F763" s="8">
        <v>15000</v>
      </c>
      <c r="G763" s="30">
        <f t="shared" si="761"/>
        <v>2400</v>
      </c>
      <c r="H763" s="8">
        <v>25000</v>
      </c>
      <c r="I763" s="30">
        <f t="shared" si="762"/>
        <v>8000</v>
      </c>
      <c r="J763" s="8">
        <v>25000</v>
      </c>
      <c r="K763" s="30">
        <f t="shared" si="763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13.86</v>
      </c>
      <c r="O763" s="9">
        <v>13.5</v>
      </c>
      <c r="P763" s="9">
        <v>19.5</v>
      </c>
      <c r="Q763" s="79">
        <f>VLOOKUP(VLOOKUP(DATEVALUE(TEXT(A763,"m/d/yyyy")),FY24_Temp[],5,FALSE)&amp;TEXT(A763,"-h"),Table6[],4,FALSE)</f>
        <v>0.96857144151415142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VLOOKUP(TEXT(A763,"yy-mm")&amp;"-"&amp;IF(AND(WEEKDAY(A763)&gt;1,WEEKDAY(A763)&lt;7),"Wkd",TEXT(A763,"Ddd"))&amp;"-"&amp;TEXT(A763,"hh"),LoadTable[],5,FALSE)*0.92</f>
        <v>494.57360000000006</v>
      </c>
      <c r="U763" s="104">
        <f>VLOOKUP(TEXT(A763,"yy-mm")&amp;"-"&amp;IF(AND(WEEKDAY(A763)&gt;1,WEEKDAY(A763)&lt;7),"Wkd",TEXT(A763,"Ddd"))&amp;"-"&amp;TEXT(A763,"hh"),LoadTable[],6,FALSE)*T763</f>
        <v>50694.28857360001</v>
      </c>
      <c r="V763">
        <f t="shared" ref="V763:W763" si="795">V739</f>
        <v>3.5</v>
      </c>
      <c r="W763">
        <f t="shared" si="795"/>
        <v>3</v>
      </c>
      <c r="X763" s="9">
        <v>1.43470013333333</v>
      </c>
    </row>
    <row r="764" spans="1:24">
      <c r="A764" s="29">
        <f t="shared" si="736"/>
        <v>45867.708333331488</v>
      </c>
      <c r="B764" s="30">
        <f t="shared" si="760"/>
        <v>8000</v>
      </c>
      <c r="C764" s="8">
        <v>25000</v>
      </c>
      <c r="D764" s="8">
        <v>0</v>
      </c>
      <c r="E764" s="8">
        <v>700</v>
      </c>
      <c r="F764" s="8">
        <v>15000</v>
      </c>
      <c r="G764" s="30">
        <f t="shared" si="761"/>
        <v>2400</v>
      </c>
      <c r="H764" s="8">
        <v>25000</v>
      </c>
      <c r="I764" s="30">
        <f t="shared" si="762"/>
        <v>8000</v>
      </c>
      <c r="J764" s="8">
        <v>25000</v>
      </c>
      <c r="K764" s="30">
        <f t="shared" si="763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13.86</v>
      </c>
      <c r="O764" s="9">
        <v>13.5</v>
      </c>
      <c r="P764" s="9">
        <v>19.5</v>
      </c>
      <c r="Q764" s="79">
        <f>VLOOKUP(VLOOKUP(DATEVALUE(TEXT(A764,"m/d/yyyy")),FY24_Temp[],5,FALSE)&amp;TEXT(A764,"-h"),Table6[],4,FALSE)</f>
        <v>1.1941428525107247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VLOOKUP(TEXT(A764,"yy-mm")&amp;"-"&amp;IF(AND(WEEKDAY(A764)&gt;1,WEEKDAY(A764)&lt;7),"Wkd",TEXT(A764,"Ddd"))&amp;"-"&amp;TEXT(A764,"hh"),LoadTable[],5,FALSE)*0.92</f>
        <v>494.57360000000006</v>
      </c>
      <c r="U764" s="104">
        <f>VLOOKUP(TEXT(A764,"yy-mm")&amp;"-"&amp;IF(AND(WEEKDAY(A764)&gt;1,WEEKDAY(A764)&lt;7),"Wkd",TEXT(A764,"Ddd"))&amp;"-"&amp;TEXT(A764,"hh"),LoadTable[],6,FALSE)*T764</f>
        <v>56025.791981600007</v>
      </c>
      <c r="V764">
        <f t="shared" ref="V764:W764" si="796">V740</f>
        <v>3.6</v>
      </c>
      <c r="W764">
        <f t="shared" si="796"/>
        <v>3</v>
      </c>
      <c r="X764" s="9">
        <v>1.3569055833333299</v>
      </c>
    </row>
    <row r="765" spans="1:24">
      <c r="A765" s="29">
        <f t="shared" si="736"/>
        <v>45867.749999998152</v>
      </c>
      <c r="B765" s="30">
        <f t="shared" si="760"/>
        <v>5000</v>
      </c>
      <c r="C765" s="8">
        <v>25000</v>
      </c>
      <c r="D765" s="8">
        <v>0</v>
      </c>
      <c r="E765" s="8">
        <v>700</v>
      </c>
      <c r="F765" s="8">
        <v>15000</v>
      </c>
      <c r="G765" s="30">
        <f t="shared" si="761"/>
        <v>2400</v>
      </c>
      <c r="H765" s="8">
        <v>25000</v>
      </c>
      <c r="I765" s="30">
        <f t="shared" si="762"/>
        <v>5000</v>
      </c>
      <c r="J765" s="8">
        <v>25000</v>
      </c>
      <c r="K765" s="30">
        <f t="shared" si="763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13.86</v>
      </c>
      <c r="O765" s="9">
        <v>13.5</v>
      </c>
      <c r="P765" s="9">
        <v>19.5</v>
      </c>
      <c r="Q765" s="79">
        <f>VLOOKUP(VLOOKUP(DATEVALUE(TEXT(A765,"m/d/yyyy")),FY24_Temp[],5,FALSE)&amp;TEXT(A765,"-h"),Table6[],4,FALSE)</f>
        <v>1.5795714344297136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VLOOKUP(TEXT(A765,"yy-mm")&amp;"-"&amp;IF(AND(WEEKDAY(A765)&gt;1,WEEKDAY(A765)&lt;7),"Wkd",TEXT(A765,"Ddd"))&amp;"-"&amp;TEXT(A765,"hh"),LoadTable[],5,FALSE)*0.92</f>
        <v>494.57360000000006</v>
      </c>
      <c r="U765" s="104">
        <f>VLOOKUP(TEXT(A765,"yy-mm")&amp;"-"&amp;IF(AND(WEEKDAY(A765)&gt;1,WEEKDAY(A765)&lt;7),"Wkd",TEXT(A765,"Ddd"))&amp;"-"&amp;TEXT(A765,"hh"),LoadTable[],6,FALSE)*T765</f>
        <v>60164.383866400007</v>
      </c>
      <c r="V765">
        <f t="shared" ref="V765:W765" si="797">V741</f>
        <v>2.9</v>
      </c>
      <c r="W765">
        <f t="shared" si="797"/>
        <v>3</v>
      </c>
      <c r="X765" s="9">
        <v>1.27911103333333</v>
      </c>
    </row>
    <row r="766" spans="1:24">
      <c r="A766" s="29">
        <f t="shared" si="736"/>
        <v>45867.791666664816</v>
      </c>
      <c r="B766" s="30">
        <f t="shared" si="760"/>
        <v>5000</v>
      </c>
      <c r="C766" s="8">
        <v>25000</v>
      </c>
      <c r="D766" s="8">
        <v>0</v>
      </c>
      <c r="E766" s="8">
        <v>700</v>
      </c>
      <c r="F766" s="8">
        <v>15000</v>
      </c>
      <c r="G766" s="30">
        <f t="shared" si="761"/>
        <v>2400</v>
      </c>
      <c r="H766" s="8">
        <v>25000</v>
      </c>
      <c r="I766" s="30">
        <f t="shared" si="762"/>
        <v>5000</v>
      </c>
      <c r="J766" s="8">
        <v>25000</v>
      </c>
      <c r="K766" s="30">
        <f t="shared" si="763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13.86</v>
      </c>
      <c r="O766" s="9">
        <v>13.5</v>
      </c>
      <c r="P766" s="9">
        <v>19.5</v>
      </c>
      <c r="Q766" s="79">
        <f>VLOOKUP(VLOOKUP(DATEVALUE(TEXT(A766,"m/d/yyyy")),FY24_Temp[],5,FALSE)&amp;TEXT(A766,"-h"),Table6[],4,FALSE)</f>
        <v>2.4291428497859409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VLOOKUP(TEXT(A766,"yy-mm")&amp;"-"&amp;IF(AND(WEEKDAY(A766)&gt;1,WEEKDAY(A766)&lt;7),"Wkd",TEXT(A766,"Ddd"))&amp;"-"&amp;TEXT(A766,"hh"),LoadTable[],5,FALSE)*0.92</f>
        <v>494.57360000000006</v>
      </c>
      <c r="U766" s="104">
        <f>VLOOKUP(TEXT(A766,"yy-mm")&amp;"-"&amp;IF(AND(WEEKDAY(A766)&gt;1,WEEKDAY(A766)&lt;7),"Wkd",TEXT(A766,"Ddd"))&amp;"-"&amp;TEXT(A766,"hh"),LoadTable[],6,FALSE)*T766</f>
        <v>60548.172980000003</v>
      </c>
      <c r="V766">
        <f t="shared" ref="V766:W766" si="798">V742</f>
        <v>3</v>
      </c>
      <c r="W766">
        <f t="shared" si="798"/>
        <v>3</v>
      </c>
      <c r="X766" s="9">
        <v>1.2013164833333301</v>
      </c>
    </row>
    <row r="767" spans="1:24">
      <c r="A767" s="29">
        <f t="shared" si="736"/>
        <v>45867.83333333148</v>
      </c>
      <c r="B767" s="30">
        <f t="shared" si="760"/>
        <v>5000</v>
      </c>
      <c r="C767" s="8">
        <v>25000</v>
      </c>
      <c r="D767" s="8">
        <v>0</v>
      </c>
      <c r="E767" s="8">
        <v>700</v>
      </c>
      <c r="F767" s="8">
        <v>15000</v>
      </c>
      <c r="G767" s="30">
        <f t="shared" si="761"/>
        <v>2400</v>
      </c>
      <c r="H767" s="8">
        <v>25000</v>
      </c>
      <c r="I767" s="30">
        <f t="shared" si="762"/>
        <v>5000</v>
      </c>
      <c r="J767" s="8">
        <v>25000</v>
      </c>
      <c r="K767" s="30">
        <f t="shared" si="763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13.86</v>
      </c>
      <c r="O767" s="9">
        <v>13.5</v>
      </c>
      <c r="P767" s="9">
        <v>19.5</v>
      </c>
      <c r="Q767" s="79">
        <f>VLOOKUP(VLOOKUP(DATEVALUE(TEXT(A767,"m/d/yyyy")),FY24_Temp[],5,FALSE)&amp;TEXT(A767,"-h"),Table6[],4,FALSE)</f>
        <v>3.1071428571428572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VLOOKUP(TEXT(A767,"yy-mm")&amp;"-"&amp;IF(AND(WEEKDAY(A767)&gt;1,WEEKDAY(A767)&lt;7),"Wkd",TEXT(A767,"Ddd"))&amp;"-"&amp;TEXT(A767,"hh"),LoadTable[],5,FALSE)*0.92</f>
        <v>494.57360000000006</v>
      </c>
      <c r="U767" s="104">
        <f>VLOOKUP(TEXT(A767,"yy-mm")&amp;"-"&amp;IF(AND(WEEKDAY(A767)&gt;1,WEEKDAY(A767)&lt;7),"Wkd",TEXT(A767,"Ddd"))&amp;"-"&amp;TEXT(A767,"hh"),LoadTable[],6,FALSE)*T767</f>
        <v>60532.346624800004</v>
      </c>
      <c r="V767">
        <f t="shared" ref="V767:W767" si="799">V743</f>
        <v>2.8</v>
      </c>
      <c r="W767">
        <f t="shared" si="799"/>
        <v>3.1</v>
      </c>
      <c r="X767" s="9">
        <v>1.1235219333333299</v>
      </c>
    </row>
    <row r="768" spans="1:24">
      <c r="A768" s="29">
        <f t="shared" si="736"/>
        <v>45867.874999998145</v>
      </c>
      <c r="B768" s="30">
        <f t="shared" si="760"/>
        <v>5000</v>
      </c>
      <c r="C768" s="8">
        <v>25000</v>
      </c>
      <c r="D768" s="8">
        <v>0</v>
      </c>
      <c r="E768" s="8">
        <v>700</v>
      </c>
      <c r="F768" s="8">
        <v>15000</v>
      </c>
      <c r="G768" s="30">
        <f t="shared" si="761"/>
        <v>2400</v>
      </c>
      <c r="H768" s="8">
        <v>25000</v>
      </c>
      <c r="I768" s="30">
        <f t="shared" si="762"/>
        <v>5000</v>
      </c>
      <c r="J768" s="8">
        <v>25000</v>
      </c>
      <c r="K768" s="30">
        <f t="shared" si="763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13.86</v>
      </c>
      <c r="O768" s="9">
        <v>13.5</v>
      </c>
      <c r="P768" s="9">
        <v>19.5</v>
      </c>
      <c r="Q768" s="79">
        <f>VLOOKUP(VLOOKUP(DATEVALUE(TEXT(A768,"m/d/yyyy")),FY24_Temp[],5,FALSE)&amp;TEXT(A768,"-h"),Table6[],4,FALSE)</f>
        <v>3.3121428489685059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VLOOKUP(TEXT(A768,"yy-mm")&amp;"-"&amp;IF(AND(WEEKDAY(A768)&gt;1,WEEKDAY(A768)&lt;7),"Wkd",TEXT(A768,"Ddd"))&amp;"-"&amp;TEXT(A768,"hh"),LoadTable[],5,FALSE)*0.92</f>
        <v>494.57360000000006</v>
      </c>
      <c r="U768" s="104">
        <f>VLOOKUP(TEXT(A768,"yy-mm")&amp;"-"&amp;IF(AND(WEEKDAY(A768)&gt;1,WEEKDAY(A768)&lt;7),"Wkd",TEXT(A768,"Ddd"))&amp;"-"&amp;TEXT(A768,"hh"),LoadTable[],6,FALSE)*T768</f>
        <v>58481.349905600007</v>
      </c>
      <c r="V768">
        <f t="shared" ref="V768:W768" si="800">V744</f>
        <v>3.5</v>
      </c>
      <c r="W768">
        <f t="shared" si="800"/>
        <v>3.1</v>
      </c>
      <c r="X768" s="9">
        <v>1.04572738333333</v>
      </c>
    </row>
    <row r="769" spans="1:24">
      <c r="A769" s="29">
        <f t="shared" si="736"/>
        <v>45867.916666664809</v>
      </c>
      <c r="B769" s="30">
        <f t="shared" si="760"/>
        <v>5000</v>
      </c>
      <c r="C769" s="8">
        <v>25000</v>
      </c>
      <c r="D769" s="8">
        <v>0</v>
      </c>
      <c r="E769" s="8">
        <v>700</v>
      </c>
      <c r="F769" s="8">
        <v>15000</v>
      </c>
      <c r="G769" s="30">
        <f t="shared" si="761"/>
        <v>2400</v>
      </c>
      <c r="H769" s="8">
        <v>25000</v>
      </c>
      <c r="I769" s="30">
        <f t="shared" si="762"/>
        <v>5000</v>
      </c>
      <c r="J769" s="8">
        <v>25000</v>
      </c>
      <c r="K769" s="30">
        <f t="shared" si="763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13.86</v>
      </c>
      <c r="O769" s="9">
        <v>13.5</v>
      </c>
      <c r="P769" s="9">
        <v>19.5</v>
      </c>
      <c r="Q769" s="79">
        <f>VLOOKUP(VLOOKUP(DATEVALUE(TEXT(A769,"m/d/yyyy")),FY24_Temp[],5,FALSE)&amp;TEXT(A769,"-h"),Table6[],4,FALSE)</f>
        <v>3.2781428268977573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VLOOKUP(TEXT(A769,"yy-mm")&amp;"-"&amp;IF(AND(WEEKDAY(A769)&gt;1,WEEKDAY(A769)&lt;7),"Wkd",TEXT(A769,"Ddd"))&amp;"-"&amp;TEXT(A769,"hh"),LoadTable[],5,FALSE)*0.92</f>
        <v>418.75640000000004</v>
      </c>
      <c r="U769" s="104">
        <f>VLOOKUP(TEXT(A769,"yy-mm")&amp;"-"&amp;IF(AND(WEEKDAY(A769)&gt;1,WEEKDAY(A769)&lt;7),"Wkd",TEXT(A769,"Ddd"))&amp;"-"&amp;TEXT(A769,"hh"),LoadTable[],6,FALSE)*T769</f>
        <v>27547.889774000003</v>
      </c>
      <c r="V769">
        <f t="shared" ref="V769:W769" si="801">V745</f>
        <v>2.9</v>
      </c>
      <c r="W769">
        <f t="shared" si="801"/>
        <v>3.1</v>
      </c>
      <c r="X769" s="9">
        <v>0.96793283333333302</v>
      </c>
    </row>
    <row r="770" spans="1:24">
      <c r="A770" s="29">
        <f t="shared" si="736"/>
        <v>45867.958333331473</v>
      </c>
      <c r="B770" s="30">
        <f t="shared" si="760"/>
        <v>5000</v>
      </c>
      <c r="C770" s="8">
        <v>25000</v>
      </c>
      <c r="D770" s="8">
        <v>0</v>
      </c>
      <c r="E770" s="8">
        <v>700</v>
      </c>
      <c r="F770" s="8">
        <v>15000</v>
      </c>
      <c r="G770" s="30">
        <f t="shared" si="761"/>
        <v>2400</v>
      </c>
      <c r="H770" s="8">
        <v>25000</v>
      </c>
      <c r="I770" s="30">
        <f t="shared" si="762"/>
        <v>5000</v>
      </c>
      <c r="J770" s="8">
        <v>25000</v>
      </c>
      <c r="K770" s="30">
        <f t="shared" si="763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13.86</v>
      </c>
      <c r="O770" s="9">
        <v>13.5</v>
      </c>
      <c r="P770" s="9">
        <v>19.5</v>
      </c>
      <c r="Q770" s="79">
        <f>VLOOKUP(VLOOKUP(DATEVALUE(TEXT(A770,"m/d/yyyy")),FY24_Temp[],5,FALSE)&amp;TEXT(A770,"-h"),Table6[],4,FALSE)</f>
        <v>3.138000045503889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VLOOKUP(TEXT(A770,"yy-mm")&amp;"-"&amp;IF(AND(WEEKDAY(A770)&gt;1,WEEKDAY(A770)&lt;7),"Wkd",TEXT(A770,"Ddd"))&amp;"-"&amp;TEXT(A770,"hh"),LoadTable[],5,FALSE)*0.92</f>
        <v>342.93920000000003</v>
      </c>
      <c r="U770" s="104">
        <f>VLOOKUP(TEXT(A770,"yy-mm")&amp;"-"&amp;IF(AND(WEEKDAY(A770)&gt;1,WEEKDAY(A770)&lt;7),"Wkd",TEXT(A770,"Ddd"))&amp;"-"&amp;TEXT(A770,"hh"),LoadTable[],6,FALSE)*T770</f>
        <v>19873.669579200003</v>
      </c>
      <c r="V770">
        <f t="shared" ref="V770:W770" si="802">V746</f>
        <v>3.6</v>
      </c>
      <c r="W770">
        <f t="shared" si="802"/>
        <v>3.1</v>
      </c>
      <c r="X770" s="9">
        <v>0.890138283333333</v>
      </c>
    </row>
    <row r="771" spans="1:24">
      <c r="A771" s="29">
        <f t="shared" si="736"/>
        <v>45867.999999998137</v>
      </c>
      <c r="B771" s="30">
        <f t="shared" si="760"/>
        <v>5000</v>
      </c>
      <c r="C771" s="8">
        <v>25000</v>
      </c>
      <c r="D771" s="8">
        <v>0</v>
      </c>
      <c r="E771" s="8">
        <v>700</v>
      </c>
      <c r="F771" s="8">
        <v>15000</v>
      </c>
      <c r="G771" s="30">
        <f t="shared" si="761"/>
        <v>2400</v>
      </c>
      <c r="H771" s="8">
        <v>25000</v>
      </c>
      <c r="I771" s="30">
        <f t="shared" si="762"/>
        <v>5000</v>
      </c>
      <c r="J771" s="8">
        <v>25000</v>
      </c>
      <c r="K771" s="30">
        <f t="shared" si="763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13.86</v>
      </c>
      <c r="O771" s="9">
        <v>13.5</v>
      </c>
      <c r="P771" s="9">
        <v>19.5</v>
      </c>
      <c r="Q771" s="79">
        <f>VLOOKUP(VLOOKUP(DATEVALUE(TEXT(A771,"m/d/yyyy")),FY24_Temp[],5,FALSE)&amp;TEXT(A771,"-h"),Table6[],4,FALSE)</f>
        <v>2.9907142775399342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VLOOKUP(TEXT(A771,"yy-mm")&amp;"-"&amp;IF(AND(WEEKDAY(A771)&gt;1,WEEKDAY(A771)&lt;7),"Wkd",TEXT(A771,"Ddd"))&amp;"-"&amp;TEXT(A771,"hh"),LoadTable[],5,FALSE)*0.92</f>
        <v>279.25312000000002</v>
      </c>
      <c r="U771" s="104">
        <f>VLOOKUP(TEXT(A771,"yy-mm")&amp;"-"&amp;IF(AND(WEEKDAY(A771)&gt;1,WEEKDAY(A771)&lt;7),"Wkd",TEXT(A771,"Ddd"))&amp;"-"&amp;TEXT(A771,"hh"),LoadTable[],6,FALSE)*T771</f>
        <v>14895.640673920001</v>
      </c>
      <c r="V771">
        <f t="shared" ref="V771:W771" si="803">V747</f>
        <v>3</v>
      </c>
      <c r="W771">
        <f t="shared" si="803"/>
        <v>3.2</v>
      </c>
      <c r="X771" s="9">
        <v>0.81234373333333298</v>
      </c>
    </row>
    <row r="772" spans="1:24">
      <c r="A772" s="29">
        <f t="shared" si="736"/>
        <v>45868.041666664802</v>
      </c>
      <c r="B772" s="30">
        <f t="shared" si="760"/>
        <v>5000</v>
      </c>
      <c r="C772" s="8">
        <v>25000</v>
      </c>
      <c r="D772" s="8">
        <v>0</v>
      </c>
      <c r="E772" s="8">
        <v>700</v>
      </c>
      <c r="F772" s="8">
        <v>15000</v>
      </c>
      <c r="G772" s="30">
        <f t="shared" si="761"/>
        <v>2400</v>
      </c>
      <c r="H772" s="8">
        <v>25000</v>
      </c>
      <c r="I772" s="30">
        <f t="shared" si="762"/>
        <v>5000</v>
      </c>
      <c r="J772" s="8">
        <v>25000</v>
      </c>
      <c r="K772" s="30">
        <f t="shared" si="763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13.86</v>
      </c>
      <c r="O772" s="9">
        <v>13.5</v>
      </c>
      <c r="P772" s="9">
        <v>19.5</v>
      </c>
      <c r="Q772" s="79">
        <f>VLOOKUP(VLOOKUP(DATEVALUE(TEXT(A772,"m/d/yyyy")),FY24_Temp[],5,FALSE)&amp;TEXT(A772,"-h"),Table6[],4,FALSE)</f>
        <v>2.8792857101985385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VLOOKUP(TEXT(A772,"yy-mm")&amp;"-"&amp;IF(AND(WEEKDAY(A772)&gt;1,WEEKDAY(A772)&lt;7),"Wkd",TEXT(A772,"Ddd"))&amp;"-"&amp;TEXT(A772,"hh"),LoadTable[],5,FALSE)*0.92</f>
        <v>279.25312000000002</v>
      </c>
      <c r="U772" s="104">
        <f>VLOOKUP(TEXT(A772,"yy-mm")&amp;"-"&amp;IF(AND(WEEKDAY(A772)&gt;1,WEEKDAY(A772)&lt;7),"Wkd",TEXT(A772,"Ddd"))&amp;"-"&amp;TEXT(A772,"hh"),LoadTable[],6,FALSE)*T772</f>
        <v>14470.896678400002</v>
      </c>
      <c r="V772">
        <f t="shared" ref="V772:W772" si="804">V748</f>
        <v>2.6</v>
      </c>
      <c r="W772">
        <f t="shared" si="804"/>
        <v>3.2</v>
      </c>
      <c r="X772" s="9">
        <v>0.73454918333333297</v>
      </c>
    </row>
    <row r="773" spans="1:24">
      <c r="A773" s="29">
        <f t="shared" ref="A773:A836" si="805">A772+TIME(1,0,0)</f>
        <v>45868.083333331466</v>
      </c>
      <c r="B773" s="30">
        <f t="shared" si="760"/>
        <v>5000</v>
      </c>
      <c r="C773" s="8">
        <v>25000</v>
      </c>
      <c r="D773" s="8">
        <v>0</v>
      </c>
      <c r="E773" s="8">
        <v>700</v>
      </c>
      <c r="F773" s="8">
        <v>15000</v>
      </c>
      <c r="G773" s="30">
        <f t="shared" si="761"/>
        <v>2400</v>
      </c>
      <c r="H773" s="8">
        <v>25000</v>
      </c>
      <c r="I773" s="30">
        <f t="shared" si="762"/>
        <v>5000</v>
      </c>
      <c r="J773" s="8">
        <v>25000</v>
      </c>
      <c r="K773" s="30">
        <f t="shared" si="763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13.86</v>
      </c>
      <c r="O773" s="9">
        <v>13.5</v>
      </c>
      <c r="P773" s="9">
        <v>19.5</v>
      </c>
      <c r="Q773" s="79">
        <f>VLOOKUP(VLOOKUP(DATEVALUE(TEXT(A773,"m/d/yyyy")),FY24_Temp[],5,FALSE)&amp;TEXT(A773,"-h"),Table6[],4,FALSE)</f>
        <v>2.766571419579642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VLOOKUP(TEXT(A773,"yy-mm")&amp;"-"&amp;IF(AND(WEEKDAY(A773)&gt;1,WEEKDAY(A773)&lt;7),"Wkd",TEXT(A773,"Ddd"))&amp;"-"&amp;TEXT(A773,"hh"),LoadTable[],5,FALSE)*0.92</f>
        <v>279.25312000000002</v>
      </c>
      <c r="U773" s="104">
        <f>VLOOKUP(TEXT(A773,"yy-mm")&amp;"-"&amp;IF(AND(WEEKDAY(A773)&gt;1,WEEKDAY(A773)&lt;7),"Wkd",TEXT(A773,"Ddd"))&amp;"-"&amp;TEXT(A773,"hh"),LoadTable[],6,FALSE)*T773</f>
        <v>14154.50289344</v>
      </c>
      <c r="V773">
        <f t="shared" ref="V773:W773" si="806">V749</f>
        <v>2.8</v>
      </c>
      <c r="W773">
        <f t="shared" si="806"/>
        <v>3.2</v>
      </c>
      <c r="X773" s="9">
        <v>0.65675463333333295</v>
      </c>
    </row>
    <row r="774" spans="1:24">
      <c r="A774" s="29">
        <f t="shared" si="805"/>
        <v>45868.12499999813</v>
      </c>
      <c r="B774" s="30">
        <f t="shared" si="760"/>
        <v>5000</v>
      </c>
      <c r="C774" s="8">
        <v>25000</v>
      </c>
      <c r="D774" s="8">
        <v>0</v>
      </c>
      <c r="E774" s="8">
        <v>700</v>
      </c>
      <c r="F774" s="8">
        <v>15000</v>
      </c>
      <c r="G774" s="30">
        <f t="shared" si="761"/>
        <v>2400</v>
      </c>
      <c r="H774" s="8">
        <v>25000</v>
      </c>
      <c r="I774" s="30">
        <f t="shared" si="762"/>
        <v>5000</v>
      </c>
      <c r="J774" s="8">
        <v>25000</v>
      </c>
      <c r="K774" s="30">
        <f t="shared" si="763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13.86</v>
      </c>
      <c r="O774" s="9">
        <v>13.5</v>
      </c>
      <c r="P774" s="9">
        <v>19.5</v>
      </c>
      <c r="Q774" s="79">
        <f>VLOOKUP(VLOOKUP(DATEVALUE(TEXT(A774,"m/d/yyyy")),FY24_Temp[],5,FALSE)&amp;TEXT(A774,"-h"),Table6[],4,FALSE)</f>
        <v>2.6518571717398509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VLOOKUP(TEXT(A774,"yy-mm")&amp;"-"&amp;IF(AND(WEEKDAY(A774)&gt;1,WEEKDAY(A774)&lt;7),"Wkd",TEXT(A774,"Ddd"))&amp;"-"&amp;TEXT(A774,"hh"),LoadTable[],5,FALSE)*0.92</f>
        <v>279.25312000000002</v>
      </c>
      <c r="U774" s="104">
        <f>VLOOKUP(TEXT(A774,"yy-mm")&amp;"-"&amp;IF(AND(WEEKDAY(A774)&gt;1,WEEKDAY(A774)&lt;7),"Wkd",TEXT(A774,"Ddd"))&amp;"-"&amp;TEXT(A774,"hh"),LoadTable[],6,FALSE)*T774</f>
        <v>14206.443973760001</v>
      </c>
      <c r="V774">
        <f t="shared" ref="V774:W774" si="807">V750</f>
        <v>2.7</v>
      </c>
      <c r="W774">
        <f t="shared" si="807"/>
        <v>3.2</v>
      </c>
      <c r="X774" s="9">
        <v>0.57896008333333304</v>
      </c>
    </row>
    <row r="775" spans="1:24">
      <c r="A775" s="29">
        <f t="shared" si="805"/>
        <v>45868.166666664794</v>
      </c>
      <c r="B775" s="30">
        <f t="shared" si="760"/>
        <v>5000</v>
      </c>
      <c r="C775" s="8">
        <v>25000</v>
      </c>
      <c r="D775" s="8">
        <v>0</v>
      </c>
      <c r="E775" s="8">
        <v>700</v>
      </c>
      <c r="F775" s="8">
        <v>15000</v>
      </c>
      <c r="G775" s="30">
        <f t="shared" si="761"/>
        <v>2400</v>
      </c>
      <c r="H775" s="8">
        <v>25000</v>
      </c>
      <c r="I775" s="30">
        <f t="shared" si="762"/>
        <v>5000</v>
      </c>
      <c r="J775" s="8">
        <v>25000</v>
      </c>
      <c r="K775" s="30">
        <f t="shared" si="763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13.86</v>
      </c>
      <c r="O775" s="9">
        <v>13.5</v>
      </c>
      <c r="P775" s="9">
        <v>19.5</v>
      </c>
      <c r="Q775" s="79">
        <f>VLOOKUP(VLOOKUP(DATEVALUE(TEXT(A775,"m/d/yyyy")),FY24_Temp[],5,FALSE)&amp;TEXT(A775,"-h"),Table6[],4,FALSE)</f>
        <v>2.4902857712336948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VLOOKUP(TEXT(A775,"yy-mm")&amp;"-"&amp;IF(AND(WEEKDAY(A775)&gt;1,WEEKDAY(A775)&lt;7),"Wkd",TEXT(A775,"Ddd"))&amp;"-"&amp;TEXT(A775,"hh"),LoadTable[],5,FALSE)*0.92</f>
        <v>279.25312000000002</v>
      </c>
      <c r="U775" s="104">
        <f>VLOOKUP(TEXT(A775,"yy-mm")&amp;"-"&amp;IF(AND(WEEKDAY(A775)&gt;1,WEEKDAY(A775)&lt;7),"Wkd",TEXT(A775,"Ddd"))&amp;"-"&amp;TEXT(A775,"hh"),LoadTable[],6,FALSE)*T775</f>
        <v>14229.063476480002</v>
      </c>
      <c r="V775">
        <f t="shared" ref="V775:W775" si="808">V751</f>
        <v>3</v>
      </c>
      <c r="W775">
        <f t="shared" si="808"/>
        <v>3.1</v>
      </c>
      <c r="X775" s="9">
        <v>0.50116553333333302</v>
      </c>
    </row>
    <row r="776" spans="1:24">
      <c r="A776" s="29">
        <f t="shared" si="805"/>
        <v>45868.208333331459</v>
      </c>
      <c r="B776" s="30">
        <f t="shared" si="760"/>
        <v>5000</v>
      </c>
      <c r="C776" s="8">
        <v>25000</v>
      </c>
      <c r="D776" s="8">
        <v>0</v>
      </c>
      <c r="E776" s="8">
        <v>700</v>
      </c>
      <c r="F776" s="8">
        <v>15000</v>
      </c>
      <c r="G776" s="30">
        <f t="shared" si="761"/>
        <v>2400</v>
      </c>
      <c r="H776" s="8">
        <v>25000</v>
      </c>
      <c r="I776" s="30">
        <f t="shared" si="762"/>
        <v>5000</v>
      </c>
      <c r="J776" s="8">
        <v>25000</v>
      </c>
      <c r="K776" s="30">
        <f t="shared" si="763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13.86</v>
      </c>
      <c r="O776" s="9">
        <v>13.5</v>
      </c>
      <c r="P776" s="9">
        <v>19.5</v>
      </c>
      <c r="Q776" s="79">
        <f>VLOOKUP(VLOOKUP(DATEVALUE(TEXT(A776,"m/d/yyyy")),FY24_Temp[],5,FALSE)&amp;TEXT(A776,"-h"),Table6[],4,FALSE)</f>
        <v>2.337571382522583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VLOOKUP(TEXT(A776,"yy-mm")&amp;"-"&amp;IF(AND(WEEKDAY(A776)&gt;1,WEEKDAY(A776)&lt;7),"Wkd",TEXT(A776,"Ddd"))&amp;"-"&amp;TEXT(A776,"hh"),LoadTable[],5,FALSE)*0.92</f>
        <v>279.25312000000002</v>
      </c>
      <c r="U776" s="104">
        <f>VLOOKUP(TEXT(A776,"yy-mm")&amp;"-"&amp;IF(AND(WEEKDAY(A776)&gt;1,WEEKDAY(A776)&lt;7),"Wkd",TEXT(A776,"Ddd"))&amp;"-"&amp;TEXT(A776,"hh"),LoadTable[],6,FALSE)*T776</f>
        <v>14735.070129920001</v>
      </c>
      <c r="V776">
        <f t="shared" ref="V776:W776" si="809">V752</f>
        <v>2.9</v>
      </c>
      <c r="W776">
        <f t="shared" si="809"/>
        <v>3.1</v>
      </c>
      <c r="X776" s="9">
        <v>0.42337098333333301</v>
      </c>
    </row>
    <row r="777" spans="1:24">
      <c r="A777" s="29">
        <f t="shared" si="805"/>
        <v>45868.249999998123</v>
      </c>
      <c r="B777" s="30">
        <f t="shared" si="760"/>
        <v>8000</v>
      </c>
      <c r="C777" s="8">
        <v>25000</v>
      </c>
      <c r="D777" s="8">
        <v>0</v>
      </c>
      <c r="E777" s="8">
        <v>700</v>
      </c>
      <c r="F777" s="8">
        <v>15000</v>
      </c>
      <c r="G777" s="30">
        <f t="shared" si="761"/>
        <v>2400</v>
      </c>
      <c r="H777" s="8">
        <v>25000</v>
      </c>
      <c r="I777" s="30">
        <f t="shared" si="762"/>
        <v>8000</v>
      </c>
      <c r="J777" s="8">
        <v>25000</v>
      </c>
      <c r="K777" s="30">
        <f t="shared" si="763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13.86</v>
      </c>
      <c r="O777" s="9">
        <v>13.5</v>
      </c>
      <c r="P777" s="9">
        <v>19.5</v>
      </c>
      <c r="Q777" s="79">
        <f>VLOOKUP(VLOOKUP(DATEVALUE(TEXT(A777,"m/d/yyyy")),FY24_Temp[],5,FALSE)&amp;TEXT(A777,"-h"),Table6[],4,FALSE)</f>
        <v>2.2231428963797435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VLOOKUP(TEXT(A777,"yy-mm")&amp;"-"&amp;IF(AND(WEEKDAY(A777)&gt;1,WEEKDAY(A777)&lt;7),"Wkd",TEXT(A777,"Ddd"))&amp;"-"&amp;TEXT(A777,"hh"),LoadTable[],5,FALSE)*0.92</f>
        <v>279.25312000000002</v>
      </c>
      <c r="U777" s="104">
        <f>VLOOKUP(TEXT(A777,"yy-mm")&amp;"-"&amp;IF(AND(WEEKDAY(A777)&gt;1,WEEKDAY(A777)&lt;7),"Wkd",TEXT(A777,"Ddd"))&amp;"-"&amp;TEXT(A777,"hh"),LoadTable[],6,FALSE)*T777</f>
        <v>26238.902408320002</v>
      </c>
      <c r="V777">
        <f t="shared" ref="V777:W777" si="810">V753</f>
        <v>2.5</v>
      </c>
      <c r="W777">
        <f t="shared" si="810"/>
        <v>3.1</v>
      </c>
      <c r="X777" s="9">
        <v>0.34557643333333299</v>
      </c>
    </row>
    <row r="778" spans="1:24">
      <c r="A778" s="29">
        <f t="shared" si="805"/>
        <v>45868.291666664787</v>
      </c>
      <c r="B778" s="30">
        <f t="shared" si="760"/>
        <v>8000</v>
      </c>
      <c r="C778" s="8">
        <v>25000</v>
      </c>
      <c r="D778" s="8">
        <v>0</v>
      </c>
      <c r="E778" s="8">
        <v>700</v>
      </c>
      <c r="F778" s="8">
        <v>15000</v>
      </c>
      <c r="G778" s="30">
        <f t="shared" si="761"/>
        <v>2400</v>
      </c>
      <c r="H778" s="8">
        <v>25000</v>
      </c>
      <c r="I778" s="30">
        <f t="shared" si="762"/>
        <v>8000</v>
      </c>
      <c r="J778" s="8">
        <v>25000</v>
      </c>
      <c r="K778" s="30">
        <f t="shared" si="763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13.86</v>
      </c>
      <c r="O778" s="9">
        <v>13.5</v>
      </c>
      <c r="P778" s="9">
        <v>19.5</v>
      </c>
      <c r="Q778" s="79">
        <f>VLOOKUP(VLOOKUP(DATEVALUE(TEXT(A778,"m/d/yyyy")),FY24_Temp[],5,FALSE)&amp;TEXT(A778,"-h"),Table6[],4,FALSE)</f>
        <v>2.1175714220319475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VLOOKUP(TEXT(A778,"yy-mm")&amp;"-"&amp;IF(AND(WEEKDAY(A778)&gt;1,WEEKDAY(A778)&lt;7),"Wkd",TEXT(A778,"Ddd"))&amp;"-"&amp;TEXT(A778,"hh"),LoadTable[],5,FALSE)*0.92</f>
        <v>279.25312000000002</v>
      </c>
      <c r="U778" s="104">
        <f>VLOOKUP(TEXT(A778,"yy-mm")&amp;"-"&amp;IF(AND(WEEKDAY(A778)&gt;1,WEEKDAY(A778)&lt;7),"Wkd",TEXT(A778,"Ddd"))&amp;"-"&amp;TEXT(A778,"hh"),LoadTable[],6,FALSE)*T778</f>
        <v>22145.051669120003</v>
      </c>
      <c r="V778">
        <f t="shared" ref="V778:W778" si="811">V754</f>
        <v>2.5</v>
      </c>
      <c r="W778">
        <f t="shared" si="811"/>
        <v>3.1</v>
      </c>
      <c r="X778" s="9">
        <v>0.26778188333333303</v>
      </c>
    </row>
    <row r="779" spans="1:24">
      <c r="A779" s="29">
        <f t="shared" si="805"/>
        <v>45868.333333331451</v>
      </c>
      <c r="B779" s="30">
        <f t="shared" si="760"/>
        <v>8000</v>
      </c>
      <c r="C779" s="8">
        <v>25000</v>
      </c>
      <c r="D779" s="8">
        <v>0</v>
      </c>
      <c r="E779" s="8">
        <v>700</v>
      </c>
      <c r="F779" s="8">
        <v>15000</v>
      </c>
      <c r="G779" s="30">
        <f t="shared" si="761"/>
        <v>2400</v>
      </c>
      <c r="H779" s="8">
        <v>25000</v>
      </c>
      <c r="I779" s="30">
        <f t="shared" si="762"/>
        <v>8000</v>
      </c>
      <c r="J779" s="8">
        <v>25000</v>
      </c>
      <c r="K779" s="30">
        <f t="shared" si="763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13.86</v>
      </c>
      <c r="O779" s="9">
        <v>13.5</v>
      </c>
      <c r="P779" s="9">
        <v>19.5</v>
      </c>
      <c r="Q779" s="79">
        <f>VLOOKUP(VLOOKUP(DATEVALUE(TEXT(A779,"m/d/yyyy")),FY24_Temp[],5,FALSE)&amp;TEXT(A779,"-h"),Table6[],4,FALSE)</f>
        <v>1.9947142941611153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VLOOKUP(TEXT(A779,"yy-mm")&amp;"-"&amp;IF(AND(WEEKDAY(A779)&gt;1,WEEKDAY(A779)&lt;7),"Wkd",TEXT(A779,"Ddd"))&amp;"-"&amp;TEXT(A779,"hh"),LoadTable[],5,FALSE)*0.92</f>
        <v>279.25312000000002</v>
      </c>
      <c r="U779" s="104">
        <f>VLOOKUP(TEXT(A779,"yy-mm")&amp;"-"&amp;IF(AND(WEEKDAY(A779)&gt;1,WEEKDAY(A779)&lt;7),"Wkd",TEXT(A779,"Ddd"))&amp;"-"&amp;TEXT(A779,"hh"),LoadTable[],6,FALSE)*T779</f>
        <v>17686.77560832</v>
      </c>
      <c r="V779">
        <f t="shared" ref="V779:W779" si="812">V755</f>
        <v>3.2</v>
      </c>
      <c r="W779">
        <f t="shared" si="812"/>
        <v>3</v>
      </c>
      <c r="X779" s="9">
        <v>0.18998733333333301</v>
      </c>
    </row>
    <row r="780" spans="1:24">
      <c r="A780" s="29">
        <f t="shared" si="805"/>
        <v>45868.374999998116</v>
      </c>
      <c r="B780" s="30">
        <f t="shared" si="760"/>
        <v>8000</v>
      </c>
      <c r="C780" s="8">
        <v>25000</v>
      </c>
      <c r="D780" s="8">
        <v>0</v>
      </c>
      <c r="E780" s="8">
        <v>700</v>
      </c>
      <c r="F780" s="8">
        <v>15000</v>
      </c>
      <c r="G780" s="30">
        <f t="shared" si="761"/>
        <v>2400</v>
      </c>
      <c r="H780" s="8">
        <v>25000</v>
      </c>
      <c r="I780" s="30">
        <f t="shared" si="762"/>
        <v>8000</v>
      </c>
      <c r="J780" s="8">
        <v>25000</v>
      </c>
      <c r="K780" s="30">
        <f t="shared" si="763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13.86</v>
      </c>
      <c r="O780" s="9">
        <v>13.5</v>
      </c>
      <c r="P780" s="9">
        <v>19.5</v>
      </c>
      <c r="Q780" s="79">
        <f>VLOOKUP(VLOOKUP(DATEVALUE(TEXT(A780,"m/d/yyyy")),FY24_Temp[],5,FALSE)&amp;TEXT(A780,"-h"),Table6[],4,FALSE)</f>
        <v>1.8918571301868983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VLOOKUP(TEXT(A780,"yy-mm")&amp;"-"&amp;IF(AND(WEEKDAY(A780)&gt;1,WEEKDAY(A780)&lt;7),"Wkd",TEXT(A780,"Ddd"))&amp;"-"&amp;TEXT(A780,"hh"),LoadTable[],5,FALSE)*0.92</f>
        <v>279.25312000000002</v>
      </c>
      <c r="U780" s="104">
        <f>VLOOKUP(TEXT(A780,"yy-mm")&amp;"-"&amp;IF(AND(WEEKDAY(A780)&gt;1,WEEKDAY(A780)&lt;7),"Wkd",TEXT(A780,"Ddd"))&amp;"-"&amp;TEXT(A780,"hh"),LoadTable[],6,FALSE)*T780</f>
        <v>14265.924888320002</v>
      </c>
      <c r="V780">
        <f t="shared" ref="V780:W780" si="813">V756</f>
        <v>2.9</v>
      </c>
      <c r="W780">
        <f t="shared" si="813"/>
        <v>3</v>
      </c>
      <c r="X780" s="9">
        <v>0.112192783333333</v>
      </c>
    </row>
    <row r="781" spans="1:24">
      <c r="A781" s="29">
        <f t="shared" si="805"/>
        <v>45868.41666666478</v>
      </c>
      <c r="B781" s="30">
        <f t="shared" si="760"/>
        <v>8000</v>
      </c>
      <c r="C781" s="8">
        <v>25000</v>
      </c>
      <c r="D781" s="8">
        <v>0</v>
      </c>
      <c r="E781" s="8">
        <v>700</v>
      </c>
      <c r="F781" s="8">
        <v>15000</v>
      </c>
      <c r="G781" s="30">
        <f t="shared" si="761"/>
        <v>2400</v>
      </c>
      <c r="H781" s="8">
        <v>25000</v>
      </c>
      <c r="I781" s="30">
        <f t="shared" si="762"/>
        <v>8000</v>
      </c>
      <c r="J781" s="8">
        <v>25000</v>
      </c>
      <c r="K781" s="30">
        <f t="shared" si="763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13.86</v>
      </c>
      <c r="O781" s="9">
        <v>13.5</v>
      </c>
      <c r="P781" s="9">
        <v>19.5</v>
      </c>
      <c r="Q781" s="79">
        <f>VLOOKUP(VLOOKUP(DATEVALUE(TEXT(A781,"m/d/yyyy")),FY24_Temp[],5,FALSE)&amp;TEXT(A781,"-h"),Table6[],4,FALSE)</f>
        <v>1.795285701751709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VLOOKUP(TEXT(A781,"yy-mm")&amp;"-"&amp;IF(AND(WEEKDAY(A781)&gt;1,WEEKDAY(A781)&lt;7),"Wkd",TEXT(A781,"Ddd"))&amp;"-"&amp;TEXT(A781,"hh"),LoadTable[],5,FALSE)*0.92</f>
        <v>279.25312000000002</v>
      </c>
      <c r="U781" s="104">
        <f>VLOOKUP(TEXT(A781,"yy-mm")&amp;"-"&amp;IF(AND(WEEKDAY(A781)&gt;1,WEEKDAY(A781)&lt;7),"Wkd",TEXT(A781,"Ddd"))&amp;"-"&amp;TEXT(A781,"hh"),LoadTable[],6,FALSE)*T781</f>
        <v>13649.054746240003</v>
      </c>
      <c r="V781">
        <f t="shared" ref="V781:W781" si="814">V757</f>
        <v>2.9</v>
      </c>
      <c r="W781">
        <f t="shared" si="814"/>
        <v>3</v>
      </c>
      <c r="X781" s="9">
        <v>3.4398233333333E-2</v>
      </c>
    </row>
    <row r="782" spans="1:24">
      <c r="A782" s="29">
        <f t="shared" si="805"/>
        <v>45868.458333331444</v>
      </c>
      <c r="B782" s="30">
        <f t="shared" si="760"/>
        <v>8000</v>
      </c>
      <c r="C782" s="8">
        <v>25000</v>
      </c>
      <c r="D782" s="8">
        <v>0</v>
      </c>
      <c r="E782" s="8">
        <v>700</v>
      </c>
      <c r="F782" s="8">
        <v>15000</v>
      </c>
      <c r="G782" s="30">
        <f t="shared" si="761"/>
        <v>2400</v>
      </c>
      <c r="H782" s="8">
        <v>25000</v>
      </c>
      <c r="I782" s="30">
        <f t="shared" si="762"/>
        <v>8000</v>
      </c>
      <c r="J782" s="8">
        <v>25000</v>
      </c>
      <c r="K782" s="30">
        <f t="shared" si="763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13.86</v>
      </c>
      <c r="O782" s="9">
        <v>13.5</v>
      </c>
      <c r="P782" s="9">
        <v>19.5</v>
      </c>
      <c r="Q782" s="79">
        <f>VLOOKUP(VLOOKUP(DATEVALUE(TEXT(A782,"m/d/yyyy")),FY24_Temp[],5,FALSE)&amp;TEXT(A782,"-h"),Table6[],4,FALSE)</f>
        <v>1.6731428759438651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VLOOKUP(TEXT(A782,"yy-mm")&amp;"-"&amp;IF(AND(WEEKDAY(A782)&gt;1,WEEKDAY(A782)&lt;7),"Wkd",TEXT(A782,"Ddd"))&amp;"-"&amp;TEXT(A782,"hh"),LoadTable[],5,FALSE)*0.92</f>
        <v>279.25312000000002</v>
      </c>
      <c r="U782" s="104">
        <f>VLOOKUP(TEXT(A782,"yy-mm")&amp;"-"&amp;IF(AND(WEEKDAY(A782)&gt;1,WEEKDAY(A782)&lt;7),"Wkd",TEXT(A782,"Ddd"))&amp;"-"&amp;TEXT(A782,"hh"),LoadTable[],6,FALSE)*T782</f>
        <v>13153.938964480001</v>
      </c>
      <c r="V782">
        <f t="shared" ref="V782:W782" si="815">V758</f>
        <v>3.4</v>
      </c>
      <c r="W782">
        <f t="shared" si="815"/>
        <v>3</v>
      </c>
      <c r="X782" s="9">
        <v>-4.3396316666667101E-2</v>
      </c>
    </row>
    <row r="783" spans="1:24">
      <c r="A783" s="29">
        <f t="shared" si="805"/>
        <v>45868.499999998108</v>
      </c>
      <c r="B783" s="30">
        <f t="shared" si="760"/>
        <v>8000</v>
      </c>
      <c r="C783" s="8">
        <v>25000</v>
      </c>
      <c r="D783" s="8">
        <v>0</v>
      </c>
      <c r="E783" s="8">
        <v>700</v>
      </c>
      <c r="F783" s="8">
        <v>15000</v>
      </c>
      <c r="G783" s="30">
        <f t="shared" si="761"/>
        <v>2400</v>
      </c>
      <c r="H783" s="8">
        <v>25000</v>
      </c>
      <c r="I783" s="30">
        <f t="shared" si="762"/>
        <v>8000</v>
      </c>
      <c r="J783" s="8">
        <v>25000</v>
      </c>
      <c r="K783" s="30">
        <f t="shared" si="763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13.86</v>
      </c>
      <c r="O783" s="9">
        <v>13.5</v>
      </c>
      <c r="P783" s="9">
        <v>19.5</v>
      </c>
      <c r="Q783" s="79">
        <f>VLOOKUP(VLOOKUP(DATEVALUE(TEXT(A783,"m/d/yyyy")),FY24_Temp[],5,FALSE)&amp;TEXT(A783,"-h"),Table6[],4,FALSE)</f>
        <v>1.5228571380887712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VLOOKUP(TEXT(A783,"yy-mm")&amp;"-"&amp;IF(AND(WEEKDAY(A783)&gt;1,WEEKDAY(A783)&lt;7),"Wkd",TEXT(A783,"Ddd"))&amp;"-"&amp;TEXT(A783,"hh"),LoadTable[],5,FALSE)*0.92</f>
        <v>279.25312000000002</v>
      </c>
      <c r="U783" s="104">
        <f>VLOOKUP(TEXT(A783,"yy-mm")&amp;"-"&amp;IF(AND(WEEKDAY(A783)&gt;1,WEEKDAY(A783)&lt;7),"Wkd",TEXT(A783,"Ddd"))&amp;"-"&amp;TEXT(A783,"hh"),LoadTable[],6,FALSE)*T783</f>
        <v>13898.427782400002</v>
      </c>
      <c r="V783">
        <f t="shared" ref="V783:W783" si="816">V759</f>
        <v>3.1</v>
      </c>
      <c r="W783">
        <f t="shared" si="816"/>
        <v>2.9</v>
      </c>
      <c r="X783" s="9">
        <v>-0.12119086666666699</v>
      </c>
    </row>
    <row r="784" spans="1:24">
      <c r="A784" s="29">
        <f t="shared" si="805"/>
        <v>45868.541666664772</v>
      </c>
      <c r="B784" s="30">
        <f t="shared" si="760"/>
        <v>8000</v>
      </c>
      <c r="C784" s="8">
        <v>25000</v>
      </c>
      <c r="D784" s="8">
        <v>0</v>
      </c>
      <c r="E784" s="8">
        <v>700</v>
      </c>
      <c r="F784" s="8">
        <v>15000</v>
      </c>
      <c r="G784" s="30">
        <f t="shared" si="761"/>
        <v>2400</v>
      </c>
      <c r="H784" s="8">
        <v>25000</v>
      </c>
      <c r="I784" s="30">
        <f t="shared" si="762"/>
        <v>8000</v>
      </c>
      <c r="J784" s="8">
        <v>25000</v>
      </c>
      <c r="K784" s="30">
        <f t="shared" si="763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13.86</v>
      </c>
      <c r="O784" s="9">
        <v>13.5</v>
      </c>
      <c r="P784" s="9">
        <v>19.5</v>
      </c>
      <c r="Q784" s="79">
        <f>VLOOKUP(VLOOKUP(DATEVALUE(TEXT(A784,"m/d/yyyy")),FY24_Temp[],5,FALSE)&amp;TEXT(A784,"-h"),Table6[],4,FALSE)</f>
        <v>1.3490000111716134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VLOOKUP(TEXT(A784,"yy-mm")&amp;"-"&amp;IF(AND(WEEKDAY(A784)&gt;1,WEEKDAY(A784)&lt;7),"Wkd",TEXT(A784,"Ddd"))&amp;"-"&amp;TEXT(A784,"hh"),LoadTable[],5,FALSE)*0.92</f>
        <v>279.25312000000002</v>
      </c>
      <c r="U784" s="104">
        <f>VLOOKUP(TEXT(A784,"yy-mm")&amp;"-"&amp;IF(AND(WEEKDAY(A784)&gt;1,WEEKDAY(A784)&lt;7),"Wkd",TEXT(A784,"Ddd"))&amp;"-"&amp;TEXT(A784,"hh"),LoadTable[],6,FALSE)*T784</f>
        <v>16526.1996416</v>
      </c>
      <c r="V784">
        <f t="shared" ref="V784:W784" si="817">V760</f>
        <v>3.2</v>
      </c>
      <c r="W784">
        <f t="shared" si="817"/>
        <v>2.9</v>
      </c>
      <c r="X784" s="9">
        <v>-0.198985416666667</v>
      </c>
    </row>
    <row r="785" spans="1:24">
      <c r="A785" s="29">
        <f t="shared" si="805"/>
        <v>45868.583333331437</v>
      </c>
      <c r="B785" s="30">
        <f t="shared" si="760"/>
        <v>8000</v>
      </c>
      <c r="C785" s="8">
        <v>25000</v>
      </c>
      <c r="D785" s="8">
        <v>0</v>
      </c>
      <c r="E785" s="8">
        <v>700</v>
      </c>
      <c r="F785" s="8">
        <v>15000</v>
      </c>
      <c r="G785" s="30">
        <f t="shared" si="761"/>
        <v>2400</v>
      </c>
      <c r="H785" s="8">
        <v>25000</v>
      </c>
      <c r="I785" s="30">
        <f t="shared" si="762"/>
        <v>8000</v>
      </c>
      <c r="J785" s="8">
        <v>25000</v>
      </c>
      <c r="K785" s="30">
        <f t="shared" si="763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13.86</v>
      </c>
      <c r="O785" s="9">
        <v>13.5</v>
      </c>
      <c r="P785" s="9">
        <v>19.5</v>
      </c>
      <c r="Q785" s="79">
        <f>VLOOKUP(VLOOKUP(DATEVALUE(TEXT(A785,"m/d/yyyy")),FY24_Temp[],5,FALSE)&amp;TEXT(A785,"-h"),Table6[],4,FALSE)</f>
        <v>1.165428570338658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VLOOKUP(TEXT(A785,"yy-mm")&amp;"-"&amp;IF(AND(WEEKDAY(A785)&gt;1,WEEKDAY(A785)&lt;7),"Wkd",TEXT(A785,"Ddd"))&amp;"-"&amp;TEXT(A785,"hh"),LoadTable[],5,FALSE)*0.92</f>
        <v>373.26607999999999</v>
      </c>
      <c r="U785" s="104">
        <f>VLOOKUP(TEXT(A785,"yy-mm")&amp;"-"&amp;IF(AND(WEEKDAY(A785)&gt;1,WEEKDAY(A785)&lt;7),"Wkd",TEXT(A785,"Ddd"))&amp;"-"&amp;TEXT(A785,"hh"),LoadTable[],6,FALSE)*T785</f>
        <v>27132.338089119996</v>
      </c>
      <c r="V785">
        <f t="shared" ref="V785:W785" si="818">V761</f>
        <v>3.5</v>
      </c>
      <c r="W785">
        <f t="shared" si="818"/>
        <v>2.9</v>
      </c>
      <c r="X785" s="9">
        <v>-0.27677996666666699</v>
      </c>
    </row>
    <row r="786" spans="1:24">
      <c r="A786" s="29">
        <f t="shared" si="805"/>
        <v>45868.624999998101</v>
      </c>
      <c r="B786" s="30">
        <f t="shared" si="760"/>
        <v>8000</v>
      </c>
      <c r="C786" s="8">
        <v>25000</v>
      </c>
      <c r="D786" s="8">
        <v>0</v>
      </c>
      <c r="E786" s="8">
        <v>700</v>
      </c>
      <c r="F786" s="8">
        <v>15000</v>
      </c>
      <c r="G786" s="30">
        <f t="shared" si="761"/>
        <v>2400</v>
      </c>
      <c r="H786" s="8">
        <v>25000</v>
      </c>
      <c r="I786" s="30">
        <f t="shared" si="762"/>
        <v>8000</v>
      </c>
      <c r="J786" s="8">
        <v>25000</v>
      </c>
      <c r="K786" s="30">
        <f t="shared" si="763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13.86</v>
      </c>
      <c r="O786" s="9">
        <v>13.5</v>
      </c>
      <c r="P786" s="9">
        <v>19.5</v>
      </c>
      <c r="Q786" s="79">
        <f>VLOOKUP(VLOOKUP(DATEVALUE(TEXT(A786,"m/d/yyyy")),FY24_Temp[],5,FALSE)&amp;TEXT(A786,"-h"),Table6[],4,FALSE)</f>
        <v>1.0105714201927185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VLOOKUP(TEXT(A786,"yy-mm")&amp;"-"&amp;IF(AND(WEEKDAY(A786)&gt;1,WEEKDAY(A786)&lt;7),"Wkd",TEXT(A786,"Ddd"))&amp;"-"&amp;TEXT(A786,"hh"),LoadTable[],5,FALSE)*0.92</f>
        <v>494.57360000000006</v>
      </c>
      <c r="U786" s="104">
        <f>VLOOKUP(TEXT(A786,"yy-mm")&amp;"-"&amp;IF(AND(WEEKDAY(A786)&gt;1,WEEKDAY(A786)&lt;7),"Wkd",TEXT(A786,"Ddd"))&amp;"-"&amp;TEXT(A786,"hh"),LoadTable[],6,FALSE)*T786</f>
        <v>42310.771480000003</v>
      </c>
      <c r="V786">
        <f t="shared" ref="V786:W786" si="819">V762</f>
        <v>3.2</v>
      </c>
      <c r="W786">
        <f t="shared" si="819"/>
        <v>2.9</v>
      </c>
      <c r="X786" s="9">
        <v>-0.35457451666666701</v>
      </c>
    </row>
    <row r="787" spans="1:24">
      <c r="A787" s="29">
        <f t="shared" si="805"/>
        <v>45868.666666664765</v>
      </c>
      <c r="B787" s="30">
        <f t="shared" si="760"/>
        <v>8000</v>
      </c>
      <c r="C787" s="8">
        <v>25000</v>
      </c>
      <c r="D787" s="8">
        <v>0</v>
      </c>
      <c r="E787" s="8">
        <v>700</v>
      </c>
      <c r="F787" s="8">
        <v>15000</v>
      </c>
      <c r="G787" s="30">
        <f t="shared" si="761"/>
        <v>2400</v>
      </c>
      <c r="H787" s="8">
        <v>25000</v>
      </c>
      <c r="I787" s="30">
        <f t="shared" si="762"/>
        <v>8000</v>
      </c>
      <c r="J787" s="8">
        <v>25000</v>
      </c>
      <c r="K787" s="30">
        <f t="shared" si="763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13.86</v>
      </c>
      <c r="O787" s="9">
        <v>13.5</v>
      </c>
      <c r="P787" s="9">
        <v>19.5</v>
      </c>
      <c r="Q787" s="79">
        <f>VLOOKUP(VLOOKUP(DATEVALUE(TEXT(A787,"m/d/yyyy")),FY24_Temp[],5,FALSE)&amp;TEXT(A787,"-h"),Table6[],4,FALSE)</f>
        <v>0.96857144151415142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VLOOKUP(TEXT(A787,"yy-mm")&amp;"-"&amp;IF(AND(WEEKDAY(A787)&gt;1,WEEKDAY(A787)&lt;7),"Wkd",TEXT(A787,"Ddd"))&amp;"-"&amp;TEXT(A787,"hh"),LoadTable[],5,FALSE)*0.92</f>
        <v>494.57360000000006</v>
      </c>
      <c r="U787" s="104">
        <f>VLOOKUP(TEXT(A787,"yy-mm")&amp;"-"&amp;IF(AND(WEEKDAY(A787)&gt;1,WEEKDAY(A787)&lt;7),"Wkd",TEXT(A787,"Ddd"))&amp;"-"&amp;TEXT(A787,"hh"),LoadTable[],6,FALSE)*T787</f>
        <v>50694.28857360001</v>
      </c>
      <c r="V787">
        <f t="shared" ref="V787:W787" si="820">V763</f>
        <v>3.5</v>
      </c>
      <c r="W787">
        <f t="shared" si="820"/>
        <v>3</v>
      </c>
      <c r="X787" s="9">
        <v>-0.43236906666666702</v>
      </c>
    </row>
    <row r="788" spans="1:24">
      <c r="A788" s="29">
        <f t="shared" si="805"/>
        <v>45868.708333331429</v>
      </c>
      <c r="B788" s="30">
        <f t="shared" si="760"/>
        <v>8000</v>
      </c>
      <c r="C788" s="8">
        <v>25000</v>
      </c>
      <c r="D788" s="8">
        <v>0</v>
      </c>
      <c r="E788" s="8">
        <v>700</v>
      </c>
      <c r="F788" s="8">
        <v>15000</v>
      </c>
      <c r="G788" s="30">
        <f t="shared" si="761"/>
        <v>2400</v>
      </c>
      <c r="H788" s="8">
        <v>25000</v>
      </c>
      <c r="I788" s="30">
        <f t="shared" si="762"/>
        <v>8000</v>
      </c>
      <c r="J788" s="8">
        <v>25000</v>
      </c>
      <c r="K788" s="30">
        <f t="shared" si="763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13.86</v>
      </c>
      <c r="O788" s="9">
        <v>13.5</v>
      </c>
      <c r="P788" s="9">
        <v>19.5</v>
      </c>
      <c r="Q788" s="79">
        <f>VLOOKUP(VLOOKUP(DATEVALUE(TEXT(A788,"m/d/yyyy")),FY24_Temp[],5,FALSE)&amp;TEXT(A788,"-h"),Table6[],4,FALSE)</f>
        <v>1.1941428525107247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VLOOKUP(TEXT(A788,"yy-mm")&amp;"-"&amp;IF(AND(WEEKDAY(A788)&gt;1,WEEKDAY(A788)&lt;7),"Wkd",TEXT(A788,"Ddd"))&amp;"-"&amp;TEXT(A788,"hh"),LoadTable[],5,FALSE)*0.92</f>
        <v>494.57360000000006</v>
      </c>
      <c r="U788" s="104">
        <f>VLOOKUP(TEXT(A788,"yy-mm")&amp;"-"&amp;IF(AND(WEEKDAY(A788)&gt;1,WEEKDAY(A788)&lt;7),"Wkd",TEXT(A788,"Ddd"))&amp;"-"&amp;TEXT(A788,"hh"),LoadTable[],6,FALSE)*T788</f>
        <v>56025.791981600007</v>
      </c>
      <c r="V788">
        <f t="shared" ref="V788:W788" si="821">V764</f>
        <v>3.6</v>
      </c>
      <c r="W788">
        <f t="shared" si="821"/>
        <v>3</v>
      </c>
      <c r="X788" s="9">
        <v>-0.51016361666666699</v>
      </c>
    </row>
    <row r="789" spans="1:24">
      <c r="A789" s="29">
        <f t="shared" si="805"/>
        <v>45868.749999998094</v>
      </c>
      <c r="B789" s="30">
        <f t="shared" si="760"/>
        <v>5000</v>
      </c>
      <c r="C789" s="8">
        <v>25000</v>
      </c>
      <c r="D789" s="8">
        <v>0</v>
      </c>
      <c r="E789" s="8">
        <v>700</v>
      </c>
      <c r="F789" s="8">
        <v>15000</v>
      </c>
      <c r="G789" s="30">
        <f t="shared" si="761"/>
        <v>2400</v>
      </c>
      <c r="H789" s="8">
        <v>25000</v>
      </c>
      <c r="I789" s="30">
        <f t="shared" si="762"/>
        <v>5000</v>
      </c>
      <c r="J789" s="8">
        <v>25000</v>
      </c>
      <c r="K789" s="30">
        <f t="shared" si="763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13.86</v>
      </c>
      <c r="O789" s="9">
        <v>13.5</v>
      </c>
      <c r="P789" s="9">
        <v>19.5</v>
      </c>
      <c r="Q789" s="79">
        <f>VLOOKUP(VLOOKUP(DATEVALUE(TEXT(A789,"m/d/yyyy")),FY24_Temp[],5,FALSE)&amp;TEXT(A789,"-h"),Table6[],4,FALSE)</f>
        <v>1.5795714344297136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VLOOKUP(TEXT(A789,"yy-mm")&amp;"-"&amp;IF(AND(WEEKDAY(A789)&gt;1,WEEKDAY(A789)&lt;7),"Wkd",TEXT(A789,"Ddd"))&amp;"-"&amp;TEXT(A789,"hh"),LoadTable[],5,FALSE)*0.92</f>
        <v>494.57360000000006</v>
      </c>
      <c r="U789" s="104">
        <f>VLOOKUP(TEXT(A789,"yy-mm")&amp;"-"&amp;IF(AND(WEEKDAY(A789)&gt;1,WEEKDAY(A789)&lt;7),"Wkd",TEXT(A789,"Ddd"))&amp;"-"&amp;TEXT(A789,"hh"),LoadTable[],6,FALSE)*T789</f>
        <v>60164.383866400007</v>
      </c>
      <c r="V789">
        <f t="shared" ref="V789:W789" si="822">V765</f>
        <v>2.9</v>
      </c>
      <c r="W789">
        <f t="shared" si="822"/>
        <v>3</v>
      </c>
      <c r="X789" s="9">
        <v>-0.587958166666667</v>
      </c>
    </row>
    <row r="790" spans="1:24">
      <c r="A790" s="29">
        <f t="shared" si="805"/>
        <v>45868.791666664758</v>
      </c>
      <c r="B790" s="30">
        <f t="shared" si="760"/>
        <v>5000</v>
      </c>
      <c r="C790" s="8">
        <v>25000</v>
      </c>
      <c r="D790" s="8">
        <v>0</v>
      </c>
      <c r="E790" s="8">
        <v>700</v>
      </c>
      <c r="F790" s="8">
        <v>15000</v>
      </c>
      <c r="G790" s="30">
        <f t="shared" si="761"/>
        <v>2400</v>
      </c>
      <c r="H790" s="8">
        <v>25000</v>
      </c>
      <c r="I790" s="30">
        <f t="shared" si="762"/>
        <v>5000</v>
      </c>
      <c r="J790" s="8">
        <v>25000</v>
      </c>
      <c r="K790" s="30">
        <f t="shared" si="763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13.86</v>
      </c>
      <c r="O790" s="9">
        <v>13.5</v>
      </c>
      <c r="P790" s="9">
        <v>19.5</v>
      </c>
      <c r="Q790" s="79">
        <f>VLOOKUP(VLOOKUP(DATEVALUE(TEXT(A790,"m/d/yyyy")),FY24_Temp[],5,FALSE)&amp;TEXT(A790,"-h"),Table6[],4,FALSE)</f>
        <v>2.4291428497859409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VLOOKUP(TEXT(A790,"yy-mm")&amp;"-"&amp;IF(AND(WEEKDAY(A790)&gt;1,WEEKDAY(A790)&lt;7),"Wkd",TEXT(A790,"Ddd"))&amp;"-"&amp;TEXT(A790,"hh"),LoadTable[],5,FALSE)*0.92</f>
        <v>494.57360000000006</v>
      </c>
      <c r="U790" s="104">
        <f>VLOOKUP(TEXT(A790,"yy-mm")&amp;"-"&amp;IF(AND(WEEKDAY(A790)&gt;1,WEEKDAY(A790)&lt;7),"Wkd",TEXT(A790,"Ddd"))&amp;"-"&amp;TEXT(A790,"hh"),LoadTable[],6,FALSE)*T790</f>
        <v>60548.172980000003</v>
      </c>
      <c r="V790">
        <f t="shared" ref="V790:W790" si="823">V766</f>
        <v>3</v>
      </c>
      <c r="W790">
        <f t="shared" si="823"/>
        <v>3</v>
      </c>
      <c r="X790" s="9">
        <v>-0.66575271666666702</v>
      </c>
    </row>
    <row r="791" spans="1:24">
      <c r="A791" s="29">
        <f t="shared" si="805"/>
        <v>45868.833333331422</v>
      </c>
      <c r="B791" s="30">
        <f t="shared" si="760"/>
        <v>5000</v>
      </c>
      <c r="C791" s="8">
        <v>25000</v>
      </c>
      <c r="D791" s="8">
        <v>0</v>
      </c>
      <c r="E791" s="8">
        <v>700</v>
      </c>
      <c r="F791" s="8">
        <v>15000</v>
      </c>
      <c r="G791" s="30">
        <f t="shared" si="761"/>
        <v>2400</v>
      </c>
      <c r="H791" s="8">
        <v>25000</v>
      </c>
      <c r="I791" s="30">
        <f t="shared" si="762"/>
        <v>5000</v>
      </c>
      <c r="J791" s="8">
        <v>25000</v>
      </c>
      <c r="K791" s="30">
        <f t="shared" si="763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13.86</v>
      </c>
      <c r="O791" s="9">
        <v>13.5</v>
      </c>
      <c r="P791" s="9">
        <v>19.5</v>
      </c>
      <c r="Q791" s="79">
        <f>VLOOKUP(VLOOKUP(DATEVALUE(TEXT(A791,"m/d/yyyy")),FY24_Temp[],5,FALSE)&amp;TEXT(A791,"-h"),Table6[],4,FALSE)</f>
        <v>3.1071428571428572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VLOOKUP(TEXT(A791,"yy-mm")&amp;"-"&amp;IF(AND(WEEKDAY(A791)&gt;1,WEEKDAY(A791)&lt;7),"Wkd",TEXT(A791,"Ddd"))&amp;"-"&amp;TEXT(A791,"hh"),LoadTable[],5,FALSE)*0.92</f>
        <v>494.57360000000006</v>
      </c>
      <c r="U791" s="104">
        <f>VLOOKUP(TEXT(A791,"yy-mm")&amp;"-"&amp;IF(AND(WEEKDAY(A791)&gt;1,WEEKDAY(A791)&lt;7),"Wkd",TEXT(A791,"Ddd"))&amp;"-"&amp;TEXT(A791,"hh"),LoadTable[],6,FALSE)*T791</f>
        <v>60532.346624800004</v>
      </c>
      <c r="V791">
        <f t="shared" ref="V791:W791" si="824">V767</f>
        <v>2.8</v>
      </c>
      <c r="W791">
        <f t="shared" si="824"/>
        <v>3.1</v>
      </c>
      <c r="X791" s="9">
        <v>-0.74354726666666704</v>
      </c>
    </row>
    <row r="792" spans="1:24">
      <c r="A792" s="29">
        <f t="shared" si="805"/>
        <v>45868.874999998086</v>
      </c>
      <c r="B792" s="30">
        <f t="shared" si="760"/>
        <v>5000</v>
      </c>
      <c r="C792" s="8">
        <v>25000</v>
      </c>
      <c r="D792" s="8">
        <v>0</v>
      </c>
      <c r="E792" s="8">
        <v>700</v>
      </c>
      <c r="F792" s="8">
        <v>15000</v>
      </c>
      <c r="G792" s="30">
        <f t="shared" si="761"/>
        <v>2400</v>
      </c>
      <c r="H792" s="8">
        <v>25000</v>
      </c>
      <c r="I792" s="30">
        <f t="shared" si="762"/>
        <v>5000</v>
      </c>
      <c r="J792" s="8">
        <v>25000</v>
      </c>
      <c r="K792" s="30">
        <f t="shared" si="763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13.86</v>
      </c>
      <c r="O792" s="9">
        <v>13.5</v>
      </c>
      <c r="P792" s="9">
        <v>19.5</v>
      </c>
      <c r="Q792" s="79">
        <f>VLOOKUP(VLOOKUP(DATEVALUE(TEXT(A792,"m/d/yyyy")),FY24_Temp[],5,FALSE)&amp;TEXT(A792,"-h"),Table6[],4,FALSE)</f>
        <v>3.3121428489685059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VLOOKUP(TEXT(A792,"yy-mm")&amp;"-"&amp;IF(AND(WEEKDAY(A792)&gt;1,WEEKDAY(A792)&lt;7),"Wkd",TEXT(A792,"Ddd"))&amp;"-"&amp;TEXT(A792,"hh"),LoadTable[],5,FALSE)*0.92</f>
        <v>494.57360000000006</v>
      </c>
      <c r="U792" s="104">
        <f>VLOOKUP(TEXT(A792,"yy-mm")&amp;"-"&amp;IF(AND(WEEKDAY(A792)&gt;1,WEEKDAY(A792)&lt;7),"Wkd",TEXT(A792,"Ddd"))&amp;"-"&amp;TEXT(A792,"hh"),LoadTable[],6,FALSE)*T792</f>
        <v>58481.349905600007</v>
      </c>
      <c r="V792">
        <f t="shared" ref="V792:W792" si="825">V768</f>
        <v>3.5</v>
      </c>
      <c r="W792">
        <f t="shared" si="825"/>
        <v>3.1</v>
      </c>
      <c r="X792" s="9">
        <v>-0.82134181666666695</v>
      </c>
    </row>
    <row r="793" spans="1:24">
      <c r="A793" s="29">
        <f t="shared" si="805"/>
        <v>45868.916666664751</v>
      </c>
      <c r="B793" s="30">
        <f t="shared" si="760"/>
        <v>5000</v>
      </c>
      <c r="C793" s="8">
        <v>25000</v>
      </c>
      <c r="D793" s="8">
        <v>0</v>
      </c>
      <c r="E793" s="8">
        <v>700</v>
      </c>
      <c r="F793" s="8">
        <v>15000</v>
      </c>
      <c r="G793" s="30">
        <f t="shared" si="761"/>
        <v>2400</v>
      </c>
      <c r="H793" s="8">
        <v>25000</v>
      </c>
      <c r="I793" s="30">
        <f t="shared" si="762"/>
        <v>5000</v>
      </c>
      <c r="J793" s="8">
        <v>25000</v>
      </c>
      <c r="K793" s="30">
        <f t="shared" si="763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13.86</v>
      </c>
      <c r="O793" s="9">
        <v>13.5</v>
      </c>
      <c r="P793" s="9">
        <v>19.5</v>
      </c>
      <c r="Q793" s="79">
        <f>VLOOKUP(VLOOKUP(DATEVALUE(TEXT(A793,"m/d/yyyy")),FY24_Temp[],5,FALSE)&amp;TEXT(A793,"-h"),Table6[],4,FALSE)</f>
        <v>3.2781428268977573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VLOOKUP(TEXT(A793,"yy-mm")&amp;"-"&amp;IF(AND(WEEKDAY(A793)&gt;1,WEEKDAY(A793)&lt;7),"Wkd",TEXT(A793,"Ddd"))&amp;"-"&amp;TEXT(A793,"hh"),LoadTable[],5,FALSE)*0.92</f>
        <v>418.75640000000004</v>
      </c>
      <c r="U793" s="104">
        <f>VLOOKUP(TEXT(A793,"yy-mm")&amp;"-"&amp;IF(AND(WEEKDAY(A793)&gt;1,WEEKDAY(A793)&lt;7),"Wkd",TEXT(A793,"Ddd"))&amp;"-"&amp;TEXT(A793,"hh"),LoadTable[],6,FALSE)*T793</f>
        <v>27547.889774000003</v>
      </c>
      <c r="V793">
        <f t="shared" ref="V793:W793" si="826">V769</f>
        <v>2.9</v>
      </c>
      <c r="W793">
        <f t="shared" si="826"/>
        <v>3.1</v>
      </c>
      <c r="X793" s="9">
        <v>-0.89913636666666696</v>
      </c>
    </row>
    <row r="794" spans="1:24">
      <c r="A794" s="29">
        <f t="shared" si="805"/>
        <v>45868.958333331415</v>
      </c>
      <c r="B794" s="30">
        <f t="shared" si="760"/>
        <v>5000</v>
      </c>
      <c r="C794" s="8">
        <v>25000</v>
      </c>
      <c r="D794" s="8">
        <v>0</v>
      </c>
      <c r="E794" s="8">
        <v>700</v>
      </c>
      <c r="F794" s="8">
        <v>15000</v>
      </c>
      <c r="G794" s="30">
        <f t="shared" si="761"/>
        <v>2400</v>
      </c>
      <c r="H794" s="8">
        <v>25000</v>
      </c>
      <c r="I794" s="30">
        <f t="shared" si="762"/>
        <v>5000</v>
      </c>
      <c r="J794" s="8">
        <v>25000</v>
      </c>
      <c r="K794" s="30">
        <f t="shared" si="763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13.86</v>
      </c>
      <c r="O794" s="9">
        <v>13.5</v>
      </c>
      <c r="P794" s="9">
        <v>19.5</v>
      </c>
      <c r="Q794" s="79">
        <f>VLOOKUP(VLOOKUP(DATEVALUE(TEXT(A794,"m/d/yyyy")),FY24_Temp[],5,FALSE)&amp;TEXT(A794,"-h"),Table6[],4,FALSE)</f>
        <v>3.138000045503889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VLOOKUP(TEXT(A794,"yy-mm")&amp;"-"&amp;IF(AND(WEEKDAY(A794)&gt;1,WEEKDAY(A794)&lt;7),"Wkd",TEXT(A794,"Ddd"))&amp;"-"&amp;TEXT(A794,"hh"),LoadTable[],5,FALSE)*0.92</f>
        <v>342.93920000000003</v>
      </c>
      <c r="U794" s="104">
        <f>VLOOKUP(TEXT(A794,"yy-mm")&amp;"-"&amp;IF(AND(WEEKDAY(A794)&gt;1,WEEKDAY(A794)&lt;7),"Wkd",TEXT(A794,"Ddd"))&amp;"-"&amp;TEXT(A794,"hh"),LoadTable[],6,FALSE)*T794</f>
        <v>19873.669579200003</v>
      </c>
      <c r="V794">
        <f t="shared" ref="V794:W794" si="827">V770</f>
        <v>3.6</v>
      </c>
      <c r="W794">
        <f t="shared" si="827"/>
        <v>3.1</v>
      </c>
      <c r="X794" s="9">
        <v>-0.97693091666666698</v>
      </c>
    </row>
    <row r="795" spans="1:24">
      <c r="A795" s="29">
        <f t="shared" si="805"/>
        <v>45868.999999998079</v>
      </c>
      <c r="B795" s="30">
        <f t="shared" si="760"/>
        <v>5000</v>
      </c>
      <c r="C795" s="8">
        <v>25000</v>
      </c>
      <c r="D795" s="8">
        <v>0</v>
      </c>
      <c r="E795" s="8">
        <v>700</v>
      </c>
      <c r="F795" s="8">
        <v>15000</v>
      </c>
      <c r="G795" s="30">
        <f t="shared" si="761"/>
        <v>2400</v>
      </c>
      <c r="H795" s="8">
        <v>25000</v>
      </c>
      <c r="I795" s="30">
        <f t="shared" si="762"/>
        <v>5000</v>
      </c>
      <c r="J795" s="8">
        <v>25000</v>
      </c>
      <c r="K795" s="30">
        <f t="shared" si="763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13.86</v>
      </c>
      <c r="O795" s="9">
        <v>13.5</v>
      </c>
      <c r="P795" s="9">
        <v>19.5</v>
      </c>
      <c r="Q795" s="79">
        <f>VLOOKUP(VLOOKUP(DATEVALUE(TEXT(A795,"m/d/yyyy")),FY24_Temp[],5,FALSE)&amp;TEXT(A795,"-h"),Table6[],4,FALSE)</f>
        <v>2.9907142775399342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VLOOKUP(TEXT(A795,"yy-mm")&amp;"-"&amp;IF(AND(WEEKDAY(A795)&gt;1,WEEKDAY(A795)&lt;7),"Wkd",TEXT(A795,"Ddd"))&amp;"-"&amp;TEXT(A795,"hh"),LoadTable[],5,FALSE)*0.92</f>
        <v>279.25312000000002</v>
      </c>
      <c r="U795" s="104">
        <f>VLOOKUP(TEXT(A795,"yy-mm")&amp;"-"&amp;IF(AND(WEEKDAY(A795)&gt;1,WEEKDAY(A795)&lt;7),"Wkd",TEXT(A795,"Ddd"))&amp;"-"&amp;TEXT(A795,"hh"),LoadTable[],6,FALSE)*T795</f>
        <v>14895.640673920001</v>
      </c>
      <c r="V795">
        <f t="shared" ref="V795:W795" si="828">V771</f>
        <v>3</v>
      </c>
      <c r="W795">
        <f t="shared" si="828"/>
        <v>3.2</v>
      </c>
      <c r="X795" s="9">
        <v>-1.0547254666666701</v>
      </c>
    </row>
    <row r="796" spans="1:24">
      <c r="A796" s="29">
        <f t="shared" si="805"/>
        <v>45869.041666664743</v>
      </c>
      <c r="B796" s="30">
        <f t="shared" ref="B796:B859" si="829">B772</f>
        <v>5000</v>
      </c>
      <c r="C796" s="8">
        <v>25000</v>
      </c>
      <c r="D796" s="8">
        <v>0</v>
      </c>
      <c r="E796" s="8">
        <v>700</v>
      </c>
      <c r="F796" s="8">
        <v>15000</v>
      </c>
      <c r="G796" s="30">
        <f t="shared" ref="G796:G859" si="830">G772</f>
        <v>2400</v>
      </c>
      <c r="H796" s="8">
        <v>25000</v>
      </c>
      <c r="I796" s="30">
        <f t="shared" ref="I796:I859" si="831">I772</f>
        <v>5000</v>
      </c>
      <c r="J796" s="8">
        <v>25000</v>
      </c>
      <c r="K796" s="30">
        <f t="shared" ref="K796:K859" si="832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13.86</v>
      </c>
      <c r="O796" s="9">
        <v>13.5</v>
      </c>
      <c r="P796" s="9">
        <v>19.5</v>
      </c>
      <c r="Q796" s="79">
        <f>VLOOKUP(VLOOKUP(DATEVALUE(TEXT(A796,"m/d/yyyy")),FY24_Temp[],5,FALSE)&amp;TEXT(A796,"-h"),Table6[],4,FALSE)</f>
        <v>2.8792857101985385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VLOOKUP(TEXT(A796,"yy-mm")&amp;"-"&amp;IF(AND(WEEKDAY(A796)&gt;1,WEEKDAY(A796)&lt;7),"Wkd",TEXT(A796,"Ddd"))&amp;"-"&amp;TEXT(A796,"hh"),LoadTable[],5,FALSE)*0.92</f>
        <v>279.25312000000002</v>
      </c>
      <c r="U796" s="104">
        <f>VLOOKUP(TEXT(A796,"yy-mm")&amp;"-"&amp;IF(AND(WEEKDAY(A796)&gt;1,WEEKDAY(A796)&lt;7),"Wkd",TEXT(A796,"Ddd"))&amp;"-"&amp;TEXT(A796,"hh"),LoadTable[],6,FALSE)*T796</f>
        <v>14470.896678400002</v>
      </c>
      <c r="V796">
        <f t="shared" ref="V796:W796" si="833">V772</f>
        <v>2.6</v>
      </c>
      <c r="W796">
        <f t="shared" si="833"/>
        <v>3.2</v>
      </c>
      <c r="X796" s="9">
        <v>-1.13252001666667</v>
      </c>
    </row>
    <row r="797" spans="1:24">
      <c r="A797" s="29">
        <f t="shared" si="805"/>
        <v>45869.083333331408</v>
      </c>
      <c r="B797" s="30">
        <f t="shared" si="829"/>
        <v>5000</v>
      </c>
      <c r="C797" s="8">
        <v>25000</v>
      </c>
      <c r="D797" s="8">
        <v>0</v>
      </c>
      <c r="E797" s="8">
        <v>700</v>
      </c>
      <c r="F797" s="8">
        <v>15000</v>
      </c>
      <c r="G797" s="30">
        <f t="shared" si="830"/>
        <v>2400</v>
      </c>
      <c r="H797" s="8">
        <v>25000</v>
      </c>
      <c r="I797" s="30">
        <f t="shared" si="831"/>
        <v>5000</v>
      </c>
      <c r="J797" s="8">
        <v>25000</v>
      </c>
      <c r="K797" s="30">
        <f t="shared" si="832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13.86</v>
      </c>
      <c r="O797" s="9">
        <v>13.5</v>
      </c>
      <c r="P797" s="9">
        <v>19.5</v>
      </c>
      <c r="Q797" s="79">
        <f>VLOOKUP(VLOOKUP(DATEVALUE(TEXT(A797,"m/d/yyyy")),FY24_Temp[],5,FALSE)&amp;TEXT(A797,"-h"),Table6[],4,FALSE)</f>
        <v>2.766571419579642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VLOOKUP(TEXT(A797,"yy-mm")&amp;"-"&amp;IF(AND(WEEKDAY(A797)&gt;1,WEEKDAY(A797)&lt;7),"Wkd",TEXT(A797,"Ddd"))&amp;"-"&amp;TEXT(A797,"hh"),LoadTable[],5,FALSE)*0.92</f>
        <v>279.25312000000002</v>
      </c>
      <c r="U797" s="104">
        <f>VLOOKUP(TEXT(A797,"yy-mm")&amp;"-"&amp;IF(AND(WEEKDAY(A797)&gt;1,WEEKDAY(A797)&lt;7),"Wkd",TEXT(A797,"Ddd"))&amp;"-"&amp;TEXT(A797,"hh"),LoadTable[],6,FALSE)*T797</f>
        <v>14154.50289344</v>
      </c>
      <c r="V797">
        <f t="shared" ref="V797:W797" si="834">V773</f>
        <v>2.8</v>
      </c>
      <c r="W797">
        <f t="shared" si="834"/>
        <v>3.2</v>
      </c>
      <c r="X797" s="9">
        <v>-1.2103145666666699</v>
      </c>
    </row>
    <row r="798" spans="1:24">
      <c r="A798" s="29">
        <f t="shared" si="805"/>
        <v>45869.124999998072</v>
      </c>
      <c r="B798" s="30">
        <f t="shared" si="829"/>
        <v>5000</v>
      </c>
      <c r="C798" s="8">
        <v>25000</v>
      </c>
      <c r="D798" s="8">
        <v>0</v>
      </c>
      <c r="E798" s="8">
        <v>700</v>
      </c>
      <c r="F798" s="8">
        <v>15000</v>
      </c>
      <c r="G798" s="30">
        <f t="shared" si="830"/>
        <v>2400</v>
      </c>
      <c r="H798" s="8">
        <v>25000</v>
      </c>
      <c r="I798" s="30">
        <f t="shared" si="831"/>
        <v>5000</v>
      </c>
      <c r="J798" s="8">
        <v>25000</v>
      </c>
      <c r="K798" s="30">
        <f t="shared" si="832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13.86</v>
      </c>
      <c r="O798" s="9">
        <v>13.5</v>
      </c>
      <c r="P798" s="9">
        <v>19.5</v>
      </c>
      <c r="Q798" s="79">
        <f>VLOOKUP(VLOOKUP(DATEVALUE(TEXT(A798,"m/d/yyyy")),FY24_Temp[],5,FALSE)&amp;TEXT(A798,"-h"),Table6[],4,FALSE)</f>
        <v>2.6518571717398509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VLOOKUP(TEXT(A798,"yy-mm")&amp;"-"&amp;IF(AND(WEEKDAY(A798)&gt;1,WEEKDAY(A798)&lt;7),"Wkd",TEXT(A798,"Ddd"))&amp;"-"&amp;TEXT(A798,"hh"),LoadTable[],5,FALSE)*0.92</f>
        <v>279.25312000000002</v>
      </c>
      <c r="U798" s="104">
        <f>VLOOKUP(TEXT(A798,"yy-mm")&amp;"-"&amp;IF(AND(WEEKDAY(A798)&gt;1,WEEKDAY(A798)&lt;7),"Wkd",TEXT(A798,"Ddd"))&amp;"-"&amp;TEXT(A798,"hh"),LoadTable[],6,FALSE)*T798</f>
        <v>14206.443973760001</v>
      </c>
      <c r="V798">
        <f t="shared" ref="V798:W798" si="835">V774</f>
        <v>2.7</v>
      </c>
      <c r="W798">
        <f t="shared" si="835"/>
        <v>3.2</v>
      </c>
      <c r="X798" s="9">
        <v>-1.2881091166666601</v>
      </c>
    </row>
    <row r="799" spans="1:24">
      <c r="A799" s="29">
        <f t="shared" si="805"/>
        <v>45869.166666664736</v>
      </c>
      <c r="B799" s="30">
        <f t="shared" si="829"/>
        <v>5000</v>
      </c>
      <c r="C799" s="8">
        <v>25000</v>
      </c>
      <c r="D799" s="8">
        <v>0</v>
      </c>
      <c r="E799" s="8">
        <v>700</v>
      </c>
      <c r="F799" s="8">
        <v>15000</v>
      </c>
      <c r="G799" s="30">
        <f t="shared" si="830"/>
        <v>2400</v>
      </c>
      <c r="H799" s="8">
        <v>25000</v>
      </c>
      <c r="I799" s="30">
        <f t="shared" si="831"/>
        <v>5000</v>
      </c>
      <c r="J799" s="8">
        <v>25000</v>
      </c>
      <c r="K799" s="30">
        <f t="shared" si="832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13.86</v>
      </c>
      <c r="O799" s="9">
        <v>13.5</v>
      </c>
      <c r="P799" s="9">
        <v>19.5</v>
      </c>
      <c r="Q799" s="79">
        <f>VLOOKUP(VLOOKUP(DATEVALUE(TEXT(A799,"m/d/yyyy")),FY24_Temp[],5,FALSE)&amp;TEXT(A799,"-h"),Table6[],4,FALSE)</f>
        <v>2.4902857712336948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VLOOKUP(TEXT(A799,"yy-mm")&amp;"-"&amp;IF(AND(WEEKDAY(A799)&gt;1,WEEKDAY(A799)&lt;7),"Wkd",TEXT(A799,"Ddd"))&amp;"-"&amp;TEXT(A799,"hh"),LoadTable[],5,FALSE)*0.92</f>
        <v>279.25312000000002</v>
      </c>
      <c r="U799" s="104">
        <f>VLOOKUP(TEXT(A799,"yy-mm")&amp;"-"&amp;IF(AND(WEEKDAY(A799)&gt;1,WEEKDAY(A799)&lt;7),"Wkd",TEXT(A799,"Ddd"))&amp;"-"&amp;TEXT(A799,"hh"),LoadTable[],6,FALSE)*T799</f>
        <v>14229.063476480002</v>
      </c>
      <c r="V799">
        <f t="shared" ref="V799:W799" si="836">V775</f>
        <v>3</v>
      </c>
      <c r="W799">
        <f t="shared" si="836"/>
        <v>3.1</v>
      </c>
      <c r="X799" s="9">
        <v>-1.36590366666666</v>
      </c>
    </row>
    <row r="800" spans="1:24">
      <c r="A800" s="29">
        <f t="shared" si="805"/>
        <v>45869.2083333314</v>
      </c>
      <c r="B800" s="30">
        <f t="shared" si="829"/>
        <v>5000</v>
      </c>
      <c r="C800" s="8">
        <v>25000</v>
      </c>
      <c r="D800" s="8">
        <v>0</v>
      </c>
      <c r="E800" s="8">
        <v>700</v>
      </c>
      <c r="F800" s="8">
        <v>15000</v>
      </c>
      <c r="G800" s="30">
        <f t="shared" si="830"/>
        <v>2400</v>
      </c>
      <c r="H800" s="8">
        <v>25000</v>
      </c>
      <c r="I800" s="30">
        <f t="shared" si="831"/>
        <v>5000</v>
      </c>
      <c r="J800" s="8">
        <v>25000</v>
      </c>
      <c r="K800" s="30">
        <f t="shared" si="832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13.86</v>
      </c>
      <c r="O800" s="9">
        <v>13.5</v>
      </c>
      <c r="P800" s="9">
        <v>19.5</v>
      </c>
      <c r="Q800" s="79">
        <f>VLOOKUP(VLOOKUP(DATEVALUE(TEXT(A800,"m/d/yyyy")),FY24_Temp[],5,FALSE)&amp;TEXT(A800,"-h"),Table6[],4,FALSE)</f>
        <v>2.337571382522583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VLOOKUP(TEXT(A800,"yy-mm")&amp;"-"&amp;IF(AND(WEEKDAY(A800)&gt;1,WEEKDAY(A800)&lt;7),"Wkd",TEXT(A800,"Ddd"))&amp;"-"&amp;TEXT(A800,"hh"),LoadTable[],5,FALSE)*0.92</f>
        <v>279.25312000000002</v>
      </c>
      <c r="U800" s="104">
        <f>VLOOKUP(TEXT(A800,"yy-mm")&amp;"-"&amp;IF(AND(WEEKDAY(A800)&gt;1,WEEKDAY(A800)&lt;7),"Wkd",TEXT(A800,"Ddd"))&amp;"-"&amp;TEXT(A800,"hh"),LoadTable[],6,FALSE)*T800</f>
        <v>14735.070129920001</v>
      </c>
      <c r="V800">
        <f t="shared" ref="V800:W800" si="837">V776</f>
        <v>2.9</v>
      </c>
      <c r="W800">
        <f t="shared" si="837"/>
        <v>3.1</v>
      </c>
      <c r="X800" s="9">
        <v>-1.4436982166666601</v>
      </c>
    </row>
    <row r="801" spans="1:24">
      <c r="A801" s="29">
        <f t="shared" si="805"/>
        <v>45869.249999998065</v>
      </c>
      <c r="B801" s="30">
        <f t="shared" si="829"/>
        <v>8000</v>
      </c>
      <c r="C801" s="8">
        <v>25000</v>
      </c>
      <c r="D801" s="8">
        <v>0</v>
      </c>
      <c r="E801" s="8">
        <v>700</v>
      </c>
      <c r="F801" s="8">
        <v>15000</v>
      </c>
      <c r="G801" s="30">
        <f t="shared" si="830"/>
        <v>2400</v>
      </c>
      <c r="H801" s="8">
        <v>25000</v>
      </c>
      <c r="I801" s="30">
        <f t="shared" si="831"/>
        <v>8000</v>
      </c>
      <c r="J801" s="8">
        <v>25000</v>
      </c>
      <c r="K801" s="30">
        <f t="shared" si="832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13.86</v>
      </c>
      <c r="O801" s="9">
        <v>13.5</v>
      </c>
      <c r="P801" s="9">
        <v>19.5</v>
      </c>
      <c r="Q801" s="79">
        <f>VLOOKUP(VLOOKUP(DATEVALUE(TEXT(A801,"m/d/yyyy")),FY24_Temp[],5,FALSE)&amp;TEXT(A801,"-h"),Table6[],4,FALSE)</f>
        <v>2.2231428963797435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VLOOKUP(TEXT(A801,"yy-mm")&amp;"-"&amp;IF(AND(WEEKDAY(A801)&gt;1,WEEKDAY(A801)&lt;7),"Wkd",TEXT(A801,"Ddd"))&amp;"-"&amp;TEXT(A801,"hh"),LoadTable[],5,FALSE)*0.92</f>
        <v>279.25312000000002</v>
      </c>
      <c r="U801" s="104">
        <f>VLOOKUP(TEXT(A801,"yy-mm")&amp;"-"&amp;IF(AND(WEEKDAY(A801)&gt;1,WEEKDAY(A801)&lt;7),"Wkd",TEXT(A801,"Ddd"))&amp;"-"&amp;TEXT(A801,"hh"),LoadTable[],6,FALSE)*T801</f>
        <v>26238.902408320002</v>
      </c>
      <c r="V801">
        <f t="shared" ref="V801:W801" si="838">V777</f>
        <v>2.5</v>
      </c>
      <c r="W801">
        <f t="shared" si="838"/>
        <v>3.1</v>
      </c>
      <c r="X801" s="9">
        <v>-1.52149276666666</v>
      </c>
    </row>
    <row r="802" spans="1:24">
      <c r="A802" s="29">
        <f t="shared" si="805"/>
        <v>45869.291666664729</v>
      </c>
      <c r="B802" s="30">
        <f t="shared" si="829"/>
        <v>8000</v>
      </c>
      <c r="C802" s="8">
        <v>25000</v>
      </c>
      <c r="D802" s="8">
        <v>0</v>
      </c>
      <c r="E802" s="8">
        <v>700</v>
      </c>
      <c r="F802" s="8">
        <v>15000</v>
      </c>
      <c r="G802" s="30">
        <f t="shared" si="830"/>
        <v>2400</v>
      </c>
      <c r="H802" s="8">
        <v>25000</v>
      </c>
      <c r="I802" s="30">
        <f t="shared" si="831"/>
        <v>8000</v>
      </c>
      <c r="J802" s="8">
        <v>25000</v>
      </c>
      <c r="K802" s="30">
        <f t="shared" si="832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13.86</v>
      </c>
      <c r="O802" s="9">
        <v>13.5</v>
      </c>
      <c r="P802" s="9">
        <v>19.5</v>
      </c>
      <c r="Q802" s="79">
        <f>VLOOKUP(VLOOKUP(DATEVALUE(TEXT(A802,"m/d/yyyy")),FY24_Temp[],5,FALSE)&amp;TEXT(A802,"-h"),Table6[],4,FALSE)</f>
        <v>2.1175714220319475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VLOOKUP(TEXT(A802,"yy-mm")&amp;"-"&amp;IF(AND(WEEKDAY(A802)&gt;1,WEEKDAY(A802)&lt;7),"Wkd",TEXT(A802,"Ddd"))&amp;"-"&amp;TEXT(A802,"hh"),LoadTable[],5,FALSE)*0.92</f>
        <v>279.25312000000002</v>
      </c>
      <c r="U802" s="104">
        <f>VLOOKUP(TEXT(A802,"yy-mm")&amp;"-"&amp;IF(AND(WEEKDAY(A802)&gt;1,WEEKDAY(A802)&lt;7),"Wkd",TEXT(A802,"Ddd"))&amp;"-"&amp;TEXT(A802,"hh"),LoadTable[],6,FALSE)*T802</f>
        <v>22145.051669120003</v>
      </c>
      <c r="V802">
        <f t="shared" ref="V802:W802" si="839">V778</f>
        <v>2.5</v>
      </c>
      <c r="W802">
        <f t="shared" si="839"/>
        <v>3.1</v>
      </c>
      <c r="X802" s="9">
        <v>-1.5992873166666699</v>
      </c>
    </row>
    <row r="803" spans="1:24">
      <c r="A803" s="29">
        <f t="shared" si="805"/>
        <v>45869.333333331393</v>
      </c>
      <c r="B803" s="30">
        <f t="shared" si="829"/>
        <v>8000</v>
      </c>
      <c r="C803" s="8">
        <v>25000</v>
      </c>
      <c r="D803" s="8">
        <v>0</v>
      </c>
      <c r="E803" s="8">
        <v>700</v>
      </c>
      <c r="F803" s="8">
        <v>15000</v>
      </c>
      <c r="G803" s="30">
        <f t="shared" si="830"/>
        <v>2400</v>
      </c>
      <c r="H803" s="8">
        <v>25000</v>
      </c>
      <c r="I803" s="30">
        <f t="shared" si="831"/>
        <v>8000</v>
      </c>
      <c r="J803" s="8">
        <v>25000</v>
      </c>
      <c r="K803" s="30">
        <f t="shared" si="832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13.86</v>
      </c>
      <c r="O803" s="9">
        <v>13.5</v>
      </c>
      <c r="P803" s="9">
        <v>19.5</v>
      </c>
      <c r="Q803" s="79">
        <f>VLOOKUP(VLOOKUP(DATEVALUE(TEXT(A803,"m/d/yyyy")),FY24_Temp[],5,FALSE)&amp;TEXT(A803,"-h"),Table6[],4,FALSE)</f>
        <v>1.9947142941611153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VLOOKUP(TEXT(A803,"yy-mm")&amp;"-"&amp;IF(AND(WEEKDAY(A803)&gt;1,WEEKDAY(A803)&lt;7),"Wkd",TEXT(A803,"Ddd"))&amp;"-"&amp;TEXT(A803,"hh"),LoadTable[],5,FALSE)*0.92</f>
        <v>279.25312000000002</v>
      </c>
      <c r="U803" s="104">
        <f>VLOOKUP(TEXT(A803,"yy-mm")&amp;"-"&amp;IF(AND(WEEKDAY(A803)&gt;1,WEEKDAY(A803)&lt;7),"Wkd",TEXT(A803,"Ddd"))&amp;"-"&amp;TEXT(A803,"hh"),LoadTable[],6,FALSE)*T803</f>
        <v>17686.77560832</v>
      </c>
      <c r="V803">
        <f t="shared" ref="V803:W803" si="840">V779</f>
        <v>3.2</v>
      </c>
      <c r="W803">
        <f t="shared" si="840"/>
        <v>3</v>
      </c>
      <c r="X803" s="9">
        <v>-1.67708186666666</v>
      </c>
    </row>
    <row r="804" spans="1:24">
      <c r="A804" s="29">
        <f t="shared" si="805"/>
        <v>45869.374999998057</v>
      </c>
      <c r="B804" s="30">
        <f t="shared" si="829"/>
        <v>8000</v>
      </c>
      <c r="C804" s="8">
        <v>25000</v>
      </c>
      <c r="D804" s="8">
        <v>0</v>
      </c>
      <c r="E804" s="8">
        <v>700</v>
      </c>
      <c r="F804" s="8">
        <v>15000</v>
      </c>
      <c r="G804" s="30">
        <f t="shared" si="830"/>
        <v>2400</v>
      </c>
      <c r="H804" s="8">
        <v>25000</v>
      </c>
      <c r="I804" s="30">
        <f t="shared" si="831"/>
        <v>8000</v>
      </c>
      <c r="J804" s="8">
        <v>25000</v>
      </c>
      <c r="K804" s="30">
        <f t="shared" si="832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13.86</v>
      </c>
      <c r="O804" s="9">
        <v>13.5</v>
      </c>
      <c r="P804" s="9">
        <v>19.5</v>
      </c>
      <c r="Q804" s="79">
        <f>VLOOKUP(VLOOKUP(DATEVALUE(TEXT(A804,"m/d/yyyy")),FY24_Temp[],5,FALSE)&amp;TEXT(A804,"-h"),Table6[],4,FALSE)</f>
        <v>1.8918571301868983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VLOOKUP(TEXT(A804,"yy-mm")&amp;"-"&amp;IF(AND(WEEKDAY(A804)&gt;1,WEEKDAY(A804)&lt;7),"Wkd",TEXT(A804,"Ddd"))&amp;"-"&amp;TEXT(A804,"hh"),LoadTable[],5,FALSE)*0.92</f>
        <v>279.25312000000002</v>
      </c>
      <c r="U804" s="104">
        <f>VLOOKUP(TEXT(A804,"yy-mm")&amp;"-"&amp;IF(AND(WEEKDAY(A804)&gt;1,WEEKDAY(A804)&lt;7),"Wkd",TEXT(A804,"Ddd"))&amp;"-"&amp;TEXT(A804,"hh"),LoadTable[],6,FALSE)*T804</f>
        <v>14265.924888320002</v>
      </c>
      <c r="V804">
        <f t="shared" ref="V804:W804" si="841">V780</f>
        <v>2.9</v>
      </c>
      <c r="W804">
        <f t="shared" si="841"/>
        <v>3</v>
      </c>
      <c r="X804" s="9">
        <v>-1.7548764166666599</v>
      </c>
    </row>
    <row r="805" spans="1:24">
      <c r="A805" s="29">
        <f t="shared" si="805"/>
        <v>45869.416666664722</v>
      </c>
      <c r="B805" s="30">
        <f t="shared" si="829"/>
        <v>8000</v>
      </c>
      <c r="C805" s="8">
        <v>25000</v>
      </c>
      <c r="D805" s="8">
        <v>0</v>
      </c>
      <c r="E805" s="8">
        <v>700</v>
      </c>
      <c r="F805" s="8">
        <v>15000</v>
      </c>
      <c r="G805" s="30">
        <f t="shared" si="830"/>
        <v>2400</v>
      </c>
      <c r="H805" s="8">
        <v>25000</v>
      </c>
      <c r="I805" s="30">
        <f t="shared" si="831"/>
        <v>8000</v>
      </c>
      <c r="J805" s="8">
        <v>25000</v>
      </c>
      <c r="K805" s="30">
        <f t="shared" si="832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13.86</v>
      </c>
      <c r="O805" s="9">
        <v>13.5</v>
      </c>
      <c r="P805" s="9">
        <v>19.5</v>
      </c>
      <c r="Q805" s="79">
        <f>VLOOKUP(VLOOKUP(DATEVALUE(TEXT(A805,"m/d/yyyy")),FY24_Temp[],5,FALSE)&amp;TEXT(A805,"-h"),Table6[],4,FALSE)</f>
        <v>1.795285701751709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VLOOKUP(TEXT(A805,"yy-mm")&amp;"-"&amp;IF(AND(WEEKDAY(A805)&gt;1,WEEKDAY(A805)&lt;7),"Wkd",TEXT(A805,"Ddd"))&amp;"-"&amp;TEXT(A805,"hh"),LoadTable[],5,FALSE)*0.92</f>
        <v>279.25312000000002</v>
      </c>
      <c r="U805" s="104">
        <f>VLOOKUP(TEXT(A805,"yy-mm")&amp;"-"&amp;IF(AND(WEEKDAY(A805)&gt;1,WEEKDAY(A805)&lt;7),"Wkd",TEXT(A805,"Ddd"))&amp;"-"&amp;TEXT(A805,"hh"),LoadTable[],6,FALSE)*T805</f>
        <v>13649.054746240003</v>
      </c>
      <c r="V805">
        <f t="shared" ref="V805:W805" si="842">V781</f>
        <v>2.9</v>
      </c>
      <c r="W805">
        <f t="shared" si="842"/>
        <v>3</v>
      </c>
      <c r="X805" s="9">
        <v>-1.8326709666666601</v>
      </c>
    </row>
    <row r="806" spans="1:24">
      <c r="A806" s="29">
        <f t="shared" si="805"/>
        <v>45869.458333331386</v>
      </c>
      <c r="B806" s="30">
        <f t="shared" si="829"/>
        <v>8000</v>
      </c>
      <c r="C806" s="8">
        <v>25000</v>
      </c>
      <c r="D806" s="8">
        <v>0</v>
      </c>
      <c r="E806" s="8">
        <v>700</v>
      </c>
      <c r="F806" s="8">
        <v>15000</v>
      </c>
      <c r="G806" s="30">
        <f t="shared" si="830"/>
        <v>2400</v>
      </c>
      <c r="H806" s="8">
        <v>25000</v>
      </c>
      <c r="I806" s="30">
        <f t="shared" si="831"/>
        <v>8000</v>
      </c>
      <c r="J806" s="8">
        <v>25000</v>
      </c>
      <c r="K806" s="30">
        <f t="shared" si="832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13.86</v>
      </c>
      <c r="O806" s="9">
        <v>13.5</v>
      </c>
      <c r="P806" s="9">
        <v>19.5</v>
      </c>
      <c r="Q806" s="79">
        <f>VLOOKUP(VLOOKUP(DATEVALUE(TEXT(A806,"m/d/yyyy")),FY24_Temp[],5,FALSE)&amp;TEXT(A806,"-h"),Table6[],4,FALSE)</f>
        <v>1.6731428759438651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VLOOKUP(TEXT(A806,"yy-mm")&amp;"-"&amp;IF(AND(WEEKDAY(A806)&gt;1,WEEKDAY(A806)&lt;7),"Wkd",TEXT(A806,"Ddd"))&amp;"-"&amp;TEXT(A806,"hh"),LoadTable[],5,FALSE)*0.92</f>
        <v>279.25312000000002</v>
      </c>
      <c r="U806" s="104">
        <f>VLOOKUP(TEXT(A806,"yy-mm")&amp;"-"&amp;IF(AND(WEEKDAY(A806)&gt;1,WEEKDAY(A806)&lt;7),"Wkd",TEXT(A806,"Ddd"))&amp;"-"&amp;TEXT(A806,"hh"),LoadTable[],6,FALSE)*T806</f>
        <v>13153.938964480001</v>
      </c>
      <c r="V806">
        <f t="shared" ref="V806:W806" si="843">V782</f>
        <v>3.4</v>
      </c>
      <c r="W806">
        <f t="shared" si="843"/>
        <v>3</v>
      </c>
      <c r="X806" s="9">
        <v>-1.91046551666666</v>
      </c>
    </row>
    <row r="807" spans="1:24">
      <c r="A807" s="29">
        <f t="shared" si="805"/>
        <v>45869.49999999805</v>
      </c>
      <c r="B807" s="30">
        <f t="shared" si="829"/>
        <v>8000</v>
      </c>
      <c r="C807" s="8">
        <v>25000</v>
      </c>
      <c r="D807" s="8">
        <v>0</v>
      </c>
      <c r="E807" s="8">
        <v>700</v>
      </c>
      <c r="F807" s="8">
        <v>15000</v>
      </c>
      <c r="G807" s="30">
        <f t="shared" si="830"/>
        <v>2400</v>
      </c>
      <c r="H807" s="8">
        <v>25000</v>
      </c>
      <c r="I807" s="30">
        <f t="shared" si="831"/>
        <v>8000</v>
      </c>
      <c r="J807" s="8">
        <v>25000</v>
      </c>
      <c r="K807" s="30">
        <f t="shared" si="832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13.86</v>
      </c>
      <c r="O807" s="9">
        <v>13.5</v>
      </c>
      <c r="P807" s="9">
        <v>19.5</v>
      </c>
      <c r="Q807" s="79">
        <f>VLOOKUP(VLOOKUP(DATEVALUE(TEXT(A807,"m/d/yyyy")),FY24_Temp[],5,FALSE)&amp;TEXT(A807,"-h"),Table6[],4,FALSE)</f>
        <v>1.5228571380887712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VLOOKUP(TEXT(A807,"yy-mm")&amp;"-"&amp;IF(AND(WEEKDAY(A807)&gt;1,WEEKDAY(A807)&lt;7),"Wkd",TEXT(A807,"Ddd"))&amp;"-"&amp;TEXT(A807,"hh"),LoadTable[],5,FALSE)*0.92</f>
        <v>279.25312000000002</v>
      </c>
      <c r="U807" s="104">
        <f>VLOOKUP(TEXT(A807,"yy-mm")&amp;"-"&amp;IF(AND(WEEKDAY(A807)&gt;1,WEEKDAY(A807)&lt;7),"Wkd",TEXT(A807,"Ddd"))&amp;"-"&amp;TEXT(A807,"hh"),LoadTable[],6,FALSE)*T807</f>
        <v>13898.427782400002</v>
      </c>
      <c r="V807">
        <f t="shared" ref="V807:W807" si="844">V783</f>
        <v>3.1</v>
      </c>
      <c r="W807">
        <f t="shared" si="844"/>
        <v>2.9</v>
      </c>
      <c r="X807" s="9">
        <v>-1.9882600666666601</v>
      </c>
    </row>
    <row r="808" spans="1:24">
      <c r="A808" s="29">
        <f t="shared" si="805"/>
        <v>45869.541666664714</v>
      </c>
      <c r="B808" s="30">
        <f t="shared" si="829"/>
        <v>8000</v>
      </c>
      <c r="C808" s="8">
        <v>25000</v>
      </c>
      <c r="D808" s="8">
        <v>0</v>
      </c>
      <c r="E808" s="8">
        <v>700</v>
      </c>
      <c r="F808" s="8">
        <v>15000</v>
      </c>
      <c r="G808" s="30">
        <f t="shared" si="830"/>
        <v>2400</v>
      </c>
      <c r="H808" s="8">
        <v>25000</v>
      </c>
      <c r="I808" s="30">
        <f t="shared" si="831"/>
        <v>8000</v>
      </c>
      <c r="J808" s="8">
        <v>25000</v>
      </c>
      <c r="K808" s="30">
        <f t="shared" si="832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13.86</v>
      </c>
      <c r="O808" s="9">
        <v>13.5</v>
      </c>
      <c r="P808" s="9">
        <v>19.5</v>
      </c>
      <c r="Q808" s="79">
        <f>VLOOKUP(VLOOKUP(DATEVALUE(TEXT(A808,"m/d/yyyy")),FY24_Temp[],5,FALSE)&amp;TEXT(A808,"-h"),Table6[],4,FALSE)</f>
        <v>1.3490000111716134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VLOOKUP(TEXT(A808,"yy-mm")&amp;"-"&amp;IF(AND(WEEKDAY(A808)&gt;1,WEEKDAY(A808)&lt;7),"Wkd",TEXT(A808,"Ddd"))&amp;"-"&amp;TEXT(A808,"hh"),LoadTable[],5,FALSE)*0.92</f>
        <v>279.25312000000002</v>
      </c>
      <c r="U808" s="104">
        <f>VLOOKUP(TEXT(A808,"yy-mm")&amp;"-"&amp;IF(AND(WEEKDAY(A808)&gt;1,WEEKDAY(A808)&lt;7),"Wkd",TEXT(A808,"Ddd"))&amp;"-"&amp;TEXT(A808,"hh"),LoadTable[],6,FALSE)*T808</f>
        <v>16526.1996416</v>
      </c>
      <c r="V808">
        <f t="shared" ref="V808:W808" si="845">V784</f>
        <v>3.2</v>
      </c>
      <c r="W808">
        <f t="shared" si="845"/>
        <v>2.9</v>
      </c>
      <c r="X808" s="9">
        <v>-2.0660546166666598</v>
      </c>
    </row>
    <row r="809" spans="1:24">
      <c r="A809" s="29">
        <f t="shared" si="805"/>
        <v>45869.583333331379</v>
      </c>
      <c r="B809" s="30">
        <f t="shared" si="829"/>
        <v>8000</v>
      </c>
      <c r="C809" s="8">
        <v>25000</v>
      </c>
      <c r="D809" s="8">
        <v>0</v>
      </c>
      <c r="E809" s="8">
        <v>700</v>
      </c>
      <c r="F809" s="8">
        <v>15000</v>
      </c>
      <c r="G809" s="30">
        <f t="shared" si="830"/>
        <v>2400</v>
      </c>
      <c r="H809" s="8">
        <v>25000</v>
      </c>
      <c r="I809" s="30">
        <f t="shared" si="831"/>
        <v>8000</v>
      </c>
      <c r="J809" s="8">
        <v>25000</v>
      </c>
      <c r="K809" s="30">
        <f t="shared" si="832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13.86</v>
      </c>
      <c r="O809" s="9">
        <v>13.5</v>
      </c>
      <c r="P809" s="9">
        <v>19.5</v>
      </c>
      <c r="Q809" s="79">
        <f>VLOOKUP(VLOOKUP(DATEVALUE(TEXT(A809,"m/d/yyyy")),FY24_Temp[],5,FALSE)&amp;TEXT(A809,"-h"),Table6[],4,FALSE)</f>
        <v>1.165428570338658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VLOOKUP(TEXT(A809,"yy-mm")&amp;"-"&amp;IF(AND(WEEKDAY(A809)&gt;1,WEEKDAY(A809)&lt;7),"Wkd",TEXT(A809,"Ddd"))&amp;"-"&amp;TEXT(A809,"hh"),LoadTable[],5,FALSE)*0.92</f>
        <v>373.26607999999999</v>
      </c>
      <c r="U809" s="104">
        <f>VLOOKUP(TEXT(A809,"yy-mm")&amp;"-"&amp;IF(AND(WEEKDAY(A809)&gt;1,WEEKDAY(A809)&lt;7),"Wkd",TEXT(A809,"Ddd"))&amp;"-"&amp;TEXT(A809,"hh"),LoadTable[],6,FALSE)*T809</f>
        <v>27132.338089119996</v>
      </c>
      <c r="V809">
        <f t="shared" ref="V809:W809" si="846">V785</f>
        <v>3.5</v>
      </c>
      <c r="W809">
        <f t="shared" si="846"/>
        <v>2.9</v>
      </c>
      <c r="X809" s="9">
        <v>-2.1438491666666599</v>
      </c>
    </row>
    <row r="810" spans="1:24">
      <c r="A810" s="29">
        <f t="shared" si="805"/>
        <v>45869.624999998043</v>
      </c>
      <c r="B810" s="30">
        <f t="shared" si="829"/>
        <v>8000</v>
      </c>
      <c r="C810" s="8">
        <v>25000</v>
      </c>
      <c r="D810" s="8">
        <v>0</v>
      </c>
      <c r="E810" s="8">
        <v>700</v>
      </c>
      <c r="F810" s="8">
        <v>15000</v>
      </c>
      <c r="G810" s="30">
        <f t="shared" si="830"/>
        <v>2400</v>
      </c>
      <c r="H810" s="8">
        <v>25000</v>
      </c>
      <c r="I810" s="30">
        <f t="shared" si="831"/>
        <v>8000</v>
      </c>
      <c r="J810" s="8">
        <v>25000</v>
      </c>
      <c r="K810" s="30">
        <f t="shared" si="832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13.86</v>
      </c>
      <c r="O810" s="9">
        <v>13.5</v>
      </c>
      <c r="P810" s="9">
        <v>19.5</v>
      </c>
      <c r="Q810" s="79">
        <f>VLOOKUP(VLOOKUP(DATEVALUE(TEXT(A810,"m/d/yyyy")),FY24_Temp[],5,FALSE)&amp;TEXT(A810,"-h"),Table6[],4,FALSE)</f>
        <v>1.0105714201927185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VLOOKUP(TEXT(A810,"yy-mm")&amp;"-"&amp;IF(AND(WEEKDAY(A810)&gt;1,WEEKDAY(A810)&lt;7),"Wkd",TEXT(A810,"Ddd"))&amp;"-"&amp;TEXT(A810,"hh"),LoadTable[],5,FALSE)*0.92</f>
        <v>494.57360000000006</v>
      </c>
      <c r="U810" s="104">
        <f>VLOOKUP(TEXT(A810,"yy-mm")&amp;"-"&amp;IF(AND(WEEKDAY(A810)&gt;1,WEEKDAY(A810)&lt;7),"Wkd",TEXT(A810,"Ddd"))&amp;"-"&amp;TEXT(A810,"hh"),LoadTable[],6,FALSE)*T810</f>
        <v>42310.771480000003</v>
      </c>
      <c r="V810">
        <f t="shared" ref="V810:W810" si="847">V786</f>
        <v>3.2</v>
      </c>
      <c r="W810">
        <f t="shared" si="847"/>
        <v>2.9</v>
      </c>
      <c r="X810" s="9">
        <v>-2.2216437166666601</v>
      </c>
    </row>
    <row r="811" spans="1:24">
      <c r="A811" s="29">
        <f t="shared" si="805"/>
        <v>45869.666666664707</v>
      </c>
      <c r="B811" s="30">
        <f t="shared" si="829"/>
        <v>8000</v>
      </c>
      <c r="C811" s="8">
        <v>25000</v>
      </c>
      <c r="D811" s="8">
        <v>0</v>
      </c>
      <c r="E811" s="8">
        <v>700</v>
      </c>
      <c r="F811" s="8">
        <v>15000</v>
      </c>
      <c r="G811" s="30">
        <f t="shared" si="830"/>
        <v>2400</v>
      </c>
      <c r="H811" s="8">
        <v>25000</v>
      </c>
      <c r="I811" s="30">
        <f t="shared" si="831"/>
        <v>8000</v>
      </c>
      <c r="J811" s="8">
        <v>25000</v>
      </c>
      <c r="K811" s="30">
        <f t="shared" si="832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13.86</v>
      </c>
      <c r="O811" s="9">
        <v>13.5</v>
      </c>
      <c r="P811" s="9">
        <v>19.5</v>
      </c>
      <c r="Q811" s="79">
        <f>VLOOKUP(VLOOKUP(DATEVALUE(TEXT(A811,"m/d/yyyy")),FY24_Temp[],5,FALSE)&amp;TEXT(A811,"-h"),Table6[],4,FALSE)</f>
        <v>0.96857144151415142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VLOOKUP(TEXT(A811,"yy-mm")&amp;"-"&amp;IF(AND(WEEKDAY(A811)&gt;1,WEEKDAY(A811)&lt;7),"Wkd",TEXT(A811,"Ddd"))&amp;"-"&amp;TEXT(A811,"hh"),LoadTable[],5,FALSE)*0.92</f>
        <v>494.57360000000006</v>
      </c>
      <c r="U811" s="104">
        <f>VLOOKUP(TEXT(A811,"yy-mm")&amp;"-"&amp;IF(AND(WEEKDAY(A811)&gt;1,WEEKDAY(A811)&lt;7),"Wkd",TEXT(A811,"Ddd"))&amp;"-"&amp;TEXT(A811,"hh"),LoadTable[],6,FALSE)*T811</f>
        <v>50694.28857360001</v>
      </c>
      <c r="V811">
        <f t="shared" ref="V811:W811" si="848">V787</f>
        <v>3.5</v>
      </c>
      <c r="W811">
        <f t="shared" si="848"/>
        <v>3</v>
      </c>
      <c r="X811" s="9">
        <v>-2.2994382666666602</v>
      </c>
    </row>
    <row r="812" spans="1:24">
      <c r="A812" s="29">
        <f t="shared" si="805"/>
        <v>45869.708333331371</v>
      </c>
      <c r="B812" s="30">
        <f t="shared" si="829"/>
        <v>8000</v>
      </c>
      <c r="C812" s="8">
        <v>25000</v>
      </c>
      <c r="D812" s="8">
        <v>0</v>
      </c>
      <c r="E812" s="8">
        <v>700</v>
      </c>
      <c r="F812" s="8">
        <v>15000</v>
      </c>
      <c r="G812" s="30">
        <f t="shared" si="830"/>
        <v>2400</v>
      </c>
      <c r="H812" s="8">
        <v>25000</v>
      </c>
      <c r="I812" s="30">
        <f t="shared" si="831"/>
        <v>8000</v>
      </c>
      <c r="J812" s="8">
        <v>25000</v>
      </c>
      <c r="K812" s="30">
        <f t="shared" si="832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13.86</v>
      </c>
      <c r="O812" s="9">
        <v>13.5</v>
      </c>
      <c r="P812" s="9">
        <v>19.5</v>
      </c>
      <c r="Q812" s="79">
        <f>VLOOKUP(VLOOKUP(DATEVALUE(TEXT(A812,"m/d/yyyy")),FY24_Temp[],5,FALSE)&amp;TEXT(A812,"-h"),Table6[],4,FALSE)</f>
        <v>1.1941428525107247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VLOOKUP(TEXT(A812,"yy-mm")&amp;"-"&amp;IF(AND(WEEKDAY(A812)&gt;1,WEEKDAY(A812)&lt;7),"Wkd",TEXT(A812,"Ddd"))&amp;"-"&amp;TEXT(A812,"hh"),LoadTable[],5,FALSE)*0.92</f>
        <v>494.57360000000006</v>
      </c>
      <c r="U812" s="104">
        <f>VLOOKUP(TEXT(A812,"yy-mm")&amp;"-"&amp;IF(AND(WEEKDAY(A812)&gt;1,WEEKDAY(A812)&lt;7),"Wkd",TEXT(A812,"Ddd"))&amp;"-"&amp;TEXT(A812,"hh"),LoadTable[],6,FALSE)*T812</f>
        <v>56025.791981600007</v>
      </c>
      <c r="V812">
        <f t="shared" ref="V812:W812" si="849">V788</f>
        <v>3.6</v>
      </c>
      <c r="W812">
        <f t="shared" si="849"/>
        <v>3</v>
      </c>
      <c r="X812" s="9">
        <v>-2.3772328166666599</v>
      </c>
    </row>
    <row r="813" spans="1:24">
      <c r="A813" s="29">
        <f t="shared" si="805"/>
        <v>45869.749999998035</v>
      </c>
      <c r="B813" s="30">
        <f t="shared" si="829"/>
        <v>5000</v>
      </c>
      <c r="C813" s="8">
        <v>25000</v>
      </c>
      <c r="D813" s="8">
        <v>0</v>
      </c>
      <c r="E813" s="8">
        <v>700</v>
      </c>
      <c r="F813" s="8">
        <v>15000</v>
      </c>
      <c r="G813" s="30">
        <f t="shared" si="830"/>
        <v>2400</v>
      </c>
      <c r="H813" s="8">
        <v>25000</v>
      </c>
      <c r="I813" s="30">
        <f t="shared" si="831"/>
        <v>5000</v>
      </c>
      <c r="J813" s="8">
        <v>25000</v>
      </c>
      <c r="K813" s="30">
        <f t="shared" si="832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13.86</v>
      </c>
      <c r="O813" s="9">
        <v>13.5</v>
      </c>
      <c r="P813" s="9">
        <v>19.5</v>
      </c>
      <c r="Q813" s="79">
        <f>VLOOKUP(VLOOKUP(DATEVALUE(TEXT(A813,"m/d/yyyy")),FY24_Temp[],5,FALSE)&amp;TEXT(A813,"-h"),Table6[],4,FALSE)</f>
        <v>1.5795714344297136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VLOOKUP(TEXT(A813,"yy-mm")&amp;"-"&amp;IF(AND(WEEKDAY(A813)&gt;1,WEEKDAY(A813)&lt;7),"Wkd",TEXT(A813,"Ddd"))&amp;"-"&amp;TEXT(A813,"hh"),LoadTable[],5,FALSE)*0.92</f>
        <v>494.57360000000006</v>
      </c>
      <c r="U813" s="104">
        <f>VLOOKUP(TEXT(A813,"yy-mm")&amp;"-"&amp;IF(AND(WEEKDAY(A813)&gt;1,WEEKDAY(A813)&lt;7),"Wkd",TEXT(A813,"Ddd"))&amp;"-"&amp;TEXT(A813,"hh"),LoadTable[],6,FALSE)*T813</f>
        <v>60164.383866400007</v>
      </c>
      <c r="V813">
        <f t="shared" ref="V813:W813" si="850">V789</f>
        <v>2.9</v>
      </c>
      <c r="W813">
        <f t="shared" si="850"/>
        <v>3</v>
      </c>
      <c r="X813" s="9">
        <v>-2.45502736666666</v>
      </c>
    </row>
    <row r="814" spans="1:24">
      <c r="A814" s="29">
        <f t="shared" si="805"/>
        <v>45869.7916666647</v>
      </c>
      <c r="B814" s="30">
        <f t="shared" si="829"/>
        <v>5000</v>
      </c>
      <c r="C814" s="8">
        <v>25000</v>
      </c>
      <c r="D814" s="8">
        <v>0</v>
      </c>
      <c r="E814" s="8">
        <v>700</v>
      </c>
      <c r="F814" s="8">
        <v>15000</v>
      </c>
      <c r="G814" s="30">
        <f t="shared" si="830"/>
        <v>2400</v>
      </c>
      <c r="H814" s="8">
        <v>25000</v>
      </c>
      <c r="I814" s="30">
        <f t="shared" si="831"/>
        <v>5000</v>
      </c>
      <c r="J814" s="8">
        <v>25000</v>
      </c>
      <c r="K814" s="30">
        <f t="shared" si="832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13.86</v>
      </c>
      <c r="O814" s="9">
        <v>13.5</v>
      </c>
      <c r="P814" s="9">
        <v>19.5</v>
      </c>
      <c r="Q814" s="79">
        <f>VLOOKUP(VLOOKUP(DATEVALUE(TEXT(A814,"m/d/yyyy")),FY24_Temp[],5,FALSE)&amp;TEXT(A814,"-h"),Table6[],4,FALSE)</f>
        <v>2.4291428497859409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VLOOKUP(TEXT(A814,"yy-mm")&amp;"-"&amp;IF(AND(WEEKDAY(A814)&gt;1,WEEKDAY(A814)&lt;7),"Wkd",TEXT(A814,"Ddd"))&amp;"-"&amp;TEXT(A814,"hh"),LoadTable[],5,FALSE)*0.92</f>
        <v>494.57360000000006</v>
      </c>
      <c r="U814" s="104">
        <f>VLOOKUP(TEXT(A814,"yy-mm")&amp;"-"&amp;IF(AND(WEEKDAY(A814)&gt;1,WEEKDAY(A814)&lt;7),"Wkd",TEXT(A814,"Ddd"))&amp;"-"&amp;TEXT(A814,"hh"),LoadTable[],6,FALSE)*T814</f>
        <v>60548.172980000003</v>
      </c>
      <c r="V814">
        <f t="shared" ref="V814:W814" si="851">V790</f>
        <v>3</v>
      </c>
      <c r="W814">
        <f t="shared" si="851"/>
        <v>3</v>
      </c>
      <c r="X814" s="9">
        <v>-2.5328219166666601</v>
      </c>
    </row>
    <row r="815" spans="1:24">
      <c r="A815" s="29">
        <f t="shared" si="805"/>
        <v>45869.833333331364</v>
      </c>
      <c r="B815" s="30">
        <f t="shared" si="829"/>
        <v>5000</v>
      </c>
      <c r="C815" s="8">
        <v>25000</v>
      </c>
      <c r="D815" s="8">
        <v>0</v>
      </c>
      <c r="E815" s="8">
        <v>700</v>
      </c>
      <c r="F815" s="8">
        <v>15000</v>
      </c>
      <c r="G815" s="30">
        <f t="shared" si="830"/>
        <v>2400</v>
      </c>
      <c r="H815" s="8">
        <v>25000</v>
      </c>
      <c r="I815" s="30">
        <f t="shared" si="831"/>
        <v>5000</v>
      </c>
      <c r="J815" s="8">
        <v>25000</v>
      </c>
      <c r="K815" s="30">
        <f t="shared" si="832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13.86</v>
      </c>
      <c r="O815" s="9">
        <v>13.5</v>
      </c>
      <c r="P815" s="9">
        <v>19.5</v>
      </c>
      <c r="Q815" s="79">
        <f>VLOOKUP(VLOOKUP(DATEVALUE(TEXT(A815,"m/d/yyyy")),FY24_Temp[],5,FALSE)&amp;TEXT(A815,"-h"),Table6[],4,FALSE)</f>
        <v>3.1071428571428572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VLOOKUP(TEXT(A815,"yy-mm")&amp;"-"&amp;IF(AND(WEEKDAY(A815)&gt;1,WEEKDAY(A815)&lt;7),"Wkd",TEXT(A815,"Ddd"))&amp;"-"&amp;TEXT(A815,"hh"),LoadTable[],5,FALSE)*0.92</f>
        <v>494.57360000000006</v>
      </c>
      <c r="U815" s="104">
        <f>VLOOKUP(TEXT(A815,"yy-mm")&amp;"-"&amp;IF(AND(WEEKDAY(A815)&gt;1,WEEKDAY(A815)&lt;7),"Wkd",TEXT(A815,"Ddd"))&amp;"-"&amp;TEXT(A815,"hh"),LoadTable[],6,FALSE)*T815</f>
        <v>60532.346624800004</v>
      </c>
      <c r="V815">
        <f t="shared" ref="V815:W815" si="852">V791</f>
        <v>2.8</v>
      </c>
      <c r="W815">
        <f t="shared" si="852"/>
        <v>3.1</v>
      </c>
      <c r="X815" s="9">
        <v>-2.6106164666666598</v>
      </c>
    </row>
    <row r="816" spans="1:24">
      <c r="A816" s="29">
        <f t="shared" si="805"/>
        <v>45869.874999998028</v>
      </c>
      <c r="B816" s="30">
        <f t="shared" si="829"/>
        <v>5000</v>
      </c>
      <c r="C816" s="8">
        <v>25000</v>
      </c>
      <c r="D816" s="8">
        <v>0</v>
      </c>
      <c r="E816" s="8">
        <v>700</v>
      </c>
      <c r="F816" s="8">
        <v>15000</v>
      </c>
      <c r="G816" s="30">
        <f t="shared" si="830"/>
        <v>2400</v>
      </c>
      <c r="H816" s="8">
        <v>25000</v>
      </c>
      <c r="I816" s="30">
        <f t="shared" si="831"/>
        <v>5000</v>
      </c>
      <c r="J816" s="8">
        <v>25000</v>
      </c>
      <c r="K816" s="30">
        <f t="shared" si="832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13.86</v>
      </c>
      <c r="O816" s="9">
        <v>13.5</v>
      </c>
      <c r="P816" s="9">
        <v>19.5</v>
      </c>
      <c r="Q816" s="79">
        <f>VLOOKUP(VLOOKUP(DATEVALUE(TEXT(A816,"m/d/yyyy")),FY24_Temp[],5,FALSE)&amp;TEXT(A816,"-h"),Table6[],4,FALSE)</f>
        <v>3.3121428489685059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VLOOKUP(TEXT(A816,"yy-mm")&amp;"-"&amp;IF(AND(WEEKDAY(A816)&gt;1,WEEKDAY(A816)&lt;7),"Wkd",TEXT(A816,"Ddd"))&amp;"-"&amp;TEXT(A816,"hh"),LoadTable[],5,FALSE)*0.92</f>
        <v>494.57360000000006</v>
      </c>
      <c r="U816" s="104">
        <f>VLOOKUP(TEXT(A816,"yy-mm")&amp;"-"&amp;IF(AND(WEEKDAY(A816)&gt;1,WEEKDAY(A816)&lt;7),"Wkd",TEXT(A816,"Ddd"))&amp;"-"&amp;TEXT(A816,"hh"),LoadTable[],6,FALSE)*T816</f>
        <v>58481.349905600007</v>
      </c>
      <c r="V816">
        <f t="shared" ref="V816:W816" si="853">V792</f>
        <v>3.5</v>
      </c>
      <c r="W816">
        <f t="shared" si="853"/>
        <v>3.1</v>
      </c>
      <c r="X816" s="9">
        <v>-2.6884110166666599</v>
      </c>
    </row>
    <row r="817" spans="1:24">
      <c r="A817" s="29">
        <f t="shared" si="805"/>
        <v>45869.916666664692</v>
      </c>
      <c r="B817" s="30">
        <f t="shared" si="829"/>
        <v>5000</v>
      </c>
      <c r="C817" s="8">
        <v>25000</v>
      </c>
      <c r="D817" s="8">
        <v>0</v>
      </c>
      <c r="E817" s="8">
        <v>700</v>
      </c>
      <c r="F817" s="8">
        <v>15000</v>
      </c>
      <c r="G817" s="30">
        <f t="shared" si="830"/>
        <v>2400</v>
      </c>
      <c r="H817" s="8">
        <v>25000</v>
      </c>
      <c r="I817" s="30">
        <f t="shared" si="831"/>
        <v>5000</v>
      </c>
      <c r="J817" s="8">
        <v>25000</v>
      </c>
      <c r="K817" s="30">
        <f t="shared" si="832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13.86</v>
      </c>
      <c r="O817" s="9">
        <v>13.5</v>
      </c>
      <c r="P817" s="9">
        <v>19.5</v>
      </c>
      <c r="Q817" s="79">
        <f>VLOOKUP(VLOOKUP(DATEVALUE(TEXT(A817,"m/d/yyyy")),FY24_Temp[],5,FALSE)&amp;TEXT(A817,"-h"),Table6[],4,FALSE)</f>
        <v>3.2781428268977573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VLOOKUP(TEXT(A817,"yy-mm")&amp;"-"&amp;IF(AND(WEEKDAY(A817)&gt;1,WEEKDAY(A817)&lt;7),"Wkd",TEXT(A817,"Ddd"))&amp;"-"&amp;TEXT(A817,"hh"),LoadTable[],5,FALSE)*0.92</f>
        <v>418.75640000000004</v>
      </c>
      <c r="U817" s="104">
        <f>VLOOKUP(TEXT(A817,"yy-mm")&amp;"-"&amp;IF(AND(WEEKDAY(A817)&gt;1,WEEKDAY(A817)&lt;7),"Wkd",TEXT(A817,"Ddd"))&amp;"-"&amp;TEXT(A817,"hh"),LoadTable[],6,FALSE)*T817</f>
        <v>27547.889774000003</v>
      </c>
      <c r="V817">
        <f t="shared" ref="V817:W817" si="854">V793</f>
        <v>2.9</v>
      </c>
      <c r="W817">
        <f t="shared" si="854"/>
        <v>3.1</v>
      </c>
      <c r="X817" s="9">
        <v>-2.7662055666666601</v>
      </c>
    </row>
    <row r="818" spans="1:24">
      <c r="A818" s="29">
        <f t="shared" si="805"/>
        <v>45869.958333331357</v>
      </c>
      <c r="B818" s="30">
        <f t="shared" si="829"/>
        <v>5000</v>
      </c>
      <c r="C818" s="41">
        <v>25000</v>
      </c>
      <c r="D818" s="41">
        <v>0</v>
      </c>
      <c r="E818" s="41">
        <v>700</v>
      </c>
      <c r="F818" s="41">
        <v>15000</v>
      </c>
      <c r="G818" s="30">
        <f t="shared" si="830"/>
        <v>2400</v>
      </c>
      <c r="H818" s="41">
        <v>25000</v>
      </c>
      <c r="I818" s="30">
        <f t="shared" si="831"/>
        <v>5000</v>
      </c>
      <c r="J818" s="41">
        <v>25000</v>
      </c>
      <c r="K818" s="30">
        <f t="shared" si="832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13.86</v>
      </c>
      <c r="O818" s="84">
        <v>13.5</v>
      </c>
      <c r="P818" s="84">
        <v>19.5</v>
      </c>
      <c r="Q818" s="85">
        <f>VLOOKUP(VLOOKUP(DATEVALUE(TEXT(A818,"m/d/yyyy")),FY24_Temp[],5,FALSE)&amp;TEXT(A818,"-h"),Table6[],4,FALSE)</f>
        <v>3.138000045503889</v>
      </c>
      <c r="R818">
        <v>10</v>
      </c>
      <c r="S818">
        <v>1000</v>
      </c>
      <c r="T818" s="98">
        <f>VLOOKUP(TEXT(A818,"yy-mm")&amp;"-"&amp;IF(AND(WEEKDAY(A818)&gt;1,WEEKDAY(A818)&lt;7),"Wkd",TEXT(A818,"Ddd"))&amp;"-"&amp;TEXT(A818,"hh"),LoadTable[],5,FALSE)*0.92</f>
        <v>342.93920000000003</v>
      </c>
      <c r="U818" s="104">
        <f>VLOOKUP(TEXT(A818,"yy-mm")&amp;"-"&amp;IF(AND(WEEKDAY(A818)&gt;1,WEEKDAY(A818)&lt;7),"Wkd",TEXT(A818,"Ddd"))&amp;"-"&amp;TEXT(A818,"hh"),LoadTable[],6,FALSE)*T818</f>
        <v>19873.669579200003</v>
      </c>
      <c r="V818">
        <f t="shared" ref="V818:W818" si="855">V794</f>
        <v>3.6</v>
      </c>
      <c r="W818">
        <f t="shared" si="855"/>
        <v>3.1</v>
      </c>
      <c r="X818" s="84">
        <v>-2.8440001166666602</v>
      </c>
    </row>
    <row r="819" spans="1:24">
      <c r="A819" s="29">
        <f t="shared" si="805"/>
        <v>45869.999999998021</v>
      </c>
      <c r="B819" s="30">
        <f t="shared" si="829"/>
        <v>5000</v>
      </c>
      <c r="C819" s="8">
        <v>25000</v>
      </c>
      <c r="D819" s="8">
        <v>0</v>
      </c>
      <c r="E819" s="8">
        <v>700</v>
      </c>
      <c r="F819" s="8">
        <v>15000</v>
      </c>
      <c r="G819" s="30">
        <f t="shared" si="830"/>
        <v>2400</v>
      </c>
      <c r="H819" s="8">
        <v>25000</v>
      </c>
      <c r="I819" s="30">
        <f t="shared" si="831"/>
        <v>5000</v>
      </c>
      <c r="J819" s="8">
        <v>25000</v>
      </c>
      <c r="K819" s="30">
        <f t="shared" si="832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13.86</v>
      </c>
      <c r="O819" s="9">
        <v>13.5</v>
      </c>
      <c r="P819" s="9">
        <v>19.5</v>
      </c>
      <c r="Q819" s="79">
        <f>VLOOKUP(VLOOKUP(DATEVALUE(TEXT(A819,"m/d/yyyy")),FY24_Temp[],5,FALSE)&amp;TEXT(A819,"-h"),Table6[],4,FALSE)</f>
        <v>2.9907142775399342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VLOOKUP(TEXT(A819,"yy-mm")&amp;"-"&amp;IF(AND(WEEKDAY(A819)&gt;1,WEEKDAY(A819)&lt;7),"Wkd",TEXT(A819,"Ddd"))&amp;"-"&amp;TEXT(A819,"hh"),LoadTable[],5,FALSE)*0.92</f>
        <v>297.2244</v>
      </c>
      <c r="U819" s="104">
        <f>VLOOKUP(TEXT(A819,"yy-mm")&amp;"-"&amp;IF(AND(WEEKDAY(A819)&gt;1,WEEKDAY(A819)&lt;7),"Wkd",TEXT(A819,"Ddd"))&amp;"-"&amp;TEXT(A819,"hh"),LoadTable[],6,FALSE)*T819</f>
        <v>17505.031038000001</v>
      </c>
      <c r="V819">
        <f t="shared" ref="V819:W819" si="856">V795</f>
        <v>3</v>
      </c>
      <c r="W819">
        <f t="shared" si="856"/>
        <v>3.2</v>
      </c>
      <c r="X819" s="9">
        <v>-2.9217946666666599</v>
      </c>
    </row>
    <row r="820" spans="1:24">
      <c r="A820" s="29">
        <f t="shared" si="805"/>
        <v>45870.041666664685</v>
      </c>
      <c r="B820" s="30">
        <f t="shared" si="829"/>
        <v>5000</v>
      </c>
      <c r="C820" s="42">
        <v>25000</v>
      </c>
      <c r="D820" s="42">
        <v>0</v>
      </c>
      <c r="E820" s="42">
        <v>700</v>
      </c>
      <c r="F820" s="42">
        <v>15000</v>
      </c>
      <c r="G820" s="30">
        <f t="shared" si="830"/>
        <v>2400</v>
      </c>
      <c r="H820" s="42">
        <v>25000</v>
      </c>
      <c r="I820" s="30">
        <f t="shared" si="831"/>
        <v>5000</v>
      </c>
      <c r="J820" s="42">
        <v>25000</v>
      </c>
      <c r="K820" s="30">
        <f t="shared" si="832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13.86</v>
      </c>
      <c r="O820" s="86">
        <v>13.5</v>
      </c>
      <c r="P820" s="86">
        <v>19.5</v>
      </c>
      <c r="Q820" s="87">
        <f>VLOOKUP(VLOOKUP(DATEVALUE(TEXT(A820,"m/d/yyyy")),FY24_Temp[],5,FALSE)&amp;TEXT(A820,"-h"),Table6[],4,FALSE)</f>
        <v>2.8792857101985385</v>
      </c>
      <c r="R820">
        <v>10</v>
      </c>
      <c r="S820">
        <v>1000</v>
      </c>
      <c r="T820" s="99">
        <f>VLOOKUP(TEXT(A820,"yy-mm")&amp;"-"&amp;IF(AND(WEEKDAY(A820)&gt;1,WEEKDAY(A820)&lt;7),"Wkd",TEXT(A820,"Ddd"))&amp;"-"&amp;TEXT(A820,"hh"),LoadTable[],5,FALSE)*0.92</f>
        <v>295.12680000000006</v>
      </c>
      <c r="U820" s="104">
        <f>VLOOKUP(TEXT(A820,"yy-mm")&amp;"-"&amp;IF(AND(WEEKDAY(A820)&gt;1,WEEKDAY(A820)&lt;7),"Wkd",TEXT(A820,"Ddd"))&amp;"-"&amp;TEXT(A820,"hh"),LoadTable[],6,FALSE)*T820</f>
        <v>17131.225359600001</v>
      </c>
      <c r="V820">
        <f t="shared" ref="V820:W820" si="857">V796</f>
        <v>2.6</v>
      </c>
      <c r="W820">
        <f t="shared" si="857"/>
        <v>3.2</v>
      </c>
      <c r="X820" s="86">
        <v>-2.99958921666666</v>
      </c>
    </row>
    <row r="821" spans="1:24">
      <c r="A821" s="29">
        <f t="shared" si="805"/>
        <v>45870.083333331349</v>
      </c>
      <c r="B821" s="30">
        <f t="shared" si="829"/>
        <v>5000</v>
      </c>
      <c r="C821" s="8">
        <v>25000</v>
      </c>
      <c r="D821" s="8">
        <v>0</v>
      </c>
      <c r="E821" s="8">
        <v>700</v>
      </c>
      <c r="F821" s="8">
        <v>15000</v>
      </c>
      <c r="G821" s="30">
        <f t="shared" si="830"/>
        <v>2400</v>
      </c>
      <c r="H821" s="8">
        <v>25000</v>
      </c>
      <c r="I821" s="30">
        <f t="shared" si="831"/>
        <v>5000</v>
      </c>
      <c r="J821" s="8">
        <v>25000</v>
      </c>
      <c r="K821" s="30">
        <f t="shared" si="832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13.86</v>
      </c>
      <c r="O821" s="9">
        <v>13.5</v>
      </c>
      <c r="P821" s="9">
        <v>19.5</v>
      </c>
      <c r="Q821" s="79">
        <f>VLOOKUP(VLOOKUP(DATEVALUE(TEXT(A821,"m/d/yyyy")),FY24_Temp[],5,FALSE)&amp;TEXT(A821,"-h"),Table6[],4,FALSE)</f>
        <v>2.766571419579642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VLOOKUP(TEXT(A821,"yy-mm")&amp;"-"&amp;IF(AND(WEEKDAY(A821)&gt;1,WEEKDAY(A821)&lt;7),"Wkd",TEXT(A821,"Ddd"))&amp;"-"&amp;TEXT(A821,"hh"),LoadTable[],5,FALSE)*0.92</f>
        <v>295.12680000000006</v>
      </c>
      <c r="U821" s="104">
        <f>VLOOKUP(TEXT(A821,"yy-mm")&amp;"-"&amp;IF(AND(WEEKDAY(A821)&gt;1,WEEKDAY(A821)&lt;7),"Wkd",TEXT(A821,"Ddd"))&amp;"-"&amp;TEXT(A821,"hh"),LoadTable[],6,FALSE)*T821</f>
        <v>16459.811889600001</v>
      </c>
      <c r="V821">
        <f t="shared" ref="V821:W821" si="858">V797</f>
        <v>2.8</v>
      </c>
      <c r="W821">
        <f t="shared" si="858"/>
        <v>3.2</v>
      </c>
      <c r="X821" s="9">
        <v>-3.0773837666666601</v>
      </c>
    </row>
    <row r="822" spans="1:24">
      <c r="A822" s="29">
        <f t="shared" si="805"/>
        <v>45870.124999998014</v>
      </c>
      <c r="B822" s="30">
        <f t="shared" si="829"/>
        <v>5000</v>
      </c>
      <c r="C822" s="8">
        <v>25000</v>
      </c>
      <c r="D822" s="8">
        <v>0</v>
      </c>
      <c r="E822" s="8">
        <v>700</v>
      </c>
      <c r="F822" s="8">
        <v>15000</v>
      </c>
      <c r="G822" s="30">
        <f t="shared" si="830"/>
        <v>2400</v>
      </c>
      <c r="H822" s="8">
        <v>25000</v>
      </c>
      <c r="I822" s="30">
        <f t="shared" si="831"/>
        <v>5000</v>
      </c>
      <c r="J822" s="8">
        <v>25000</v>
      </c>
      <c r="K822" s="30">
        <f t="shared" si="832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13.86</v>
      </c>
      <c r="O822" s="9">
        <v>13.5</v>
      </c>
      <c r="P822" s="9">
        <v>19.5</v>
      </c>
      <c r="Q822" s="79">
        <f>VLOOKUP(VLOOKUP(DATEVALUE(TEXT(A822,"m/d/yyyy")),FY24_Temp[],5,FALSE)&amp;TEXT(A822,"-h"),Table6[],4,FALSE)</f>
        <v>2.6518571717398509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VLOOKUP(TEXT(A822,"yy-mm")&amp;"-"&amp;IF(AND(WEEKDAY(A822)&gt;1,WEEKDAY(A822)&lt;7),"Wkd",TEXT(A822,"Ddd"))&amp;"-"&amp;TEXT(A822,"hh"),LoadTable[],5,FALSE)*0.92</f>
        <v>295.12680000000006</v>
      </c>
      <c r="U822" s="104">
        <f>VLOOKUP(TEXT(A822,"yy-mm")&amp;"-"&amp;IF(AND(WEEKDAY(A822)&gt;1,WEEKDAY(A822)&lt;7),"Wkd",TEXT(A822,"Ddd"))&amp;"-"&amp;TEXT(A822,"hh"),LoadTable[],6,FALSE)*T822</f>
        <v>16610.326557600001</v>
      </c>
      <c r="V822">
        <f t="shared" ref="V822:W822" si="859">V798</f>
        <v>2.7</v>
      </c>
      <c r="W822">
        <f t="shared" si="859"/>
        <v>3.2</v>
      </c>
      <c r="X822" s="9">
        <v>-3.1551783166666598</v>
      </c>
    </row>
    <row r="823" spans="1:24">
      <c r="A823" s="29">
        <f t="shared" si="805"/>
        <v>45870.166666664678</v>
      </c>
      <c r="B823" s="30">
        <f t="shared" si="829"/>
        <v>5000</v>
      </c>
      <c r="C823" s="8">
        <v>25000</v>
      </c>
      <c r="D823" s="8">
        <v>0</v>
      </c>
      <c r="E823" s="8">
        <v>700</v>
      </c>
      <c r="F823" s="8">
        <v>15000</v>
      </c>
      <c r="G823" s="30">
        <f t="shared" si="830"/>
        <v>2400</v>
      </c>
      <c r="H823" s="8">
        <v>25000</v>
      </c>
      <c r="I823" s="30">
        <f t="shared" si="831"/>
        <v>5000</v>
      </c>
      <c r="J823" s="8">
        <v>25000</v>
      </c>
      <c r="K823" s="30">
        <f t="shared" si="832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13.86</v>
      </c>
      <c r="O823" s="9">
        <v>13.5</v>
      </c>
      <c r="P823" s="9">
        <v>19.5</v>
      </c>
      <c r="Q823" s="79">
        <f>VLOOKUP(VLOOKUP(DATEVALUE(TEXT(A823,"m/d/yyyy")),FY24_Temp[],5,FALSE)&amp;TEXT(A823,"-h"),Table6[],4,FALSE)</f>
        <v>2.4902857712336948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VLOOKUP(TEXT(A823,"yy-mm")&amp;"-"&amp;IF(AND(WEEKDAY(A823)&gt;1,WEEKDAY(A823)&lt;7),"Wkd",TEXT(A823,"Ddd"))&amp;"-"&amp;TEXT(A823,"hh"),LoadTable[],5,FALSE)*0.92</f>
        <v>295.12680000000006</v>
      </c>
      <c r="U823" s="104">
        <f>VLOOKUP(TEXT(A823,"yy-mm")&amp;"-"&amp;IF(AND(WEEKDAY(A823)&gt;1,WEEKDAY(A823)&lt;7),"Wkd",TEXT(A823,"Ddd"))&amp;"-"&amp;TEXT(A823,"hh"),LoadTable[],6,FALSE)*T823</f>
        <v>16544.513281200001</v>
      </c>
      <c r="V823">
        <f t="shared" ref="V823:W823" si="860">V799</f>
        <v>3</v>
      </c>
      <c r="W823">
        <f t="shared" si="860"/>
        <v>3.1</v>
      </c>
      <c r="X823" s="9">
        <v>-3.23297286666666</v>
      </c>
    </row>
    <row r="824" spans="1:24">
      <c r="A824" s="29">
        <f t="shared" si="805"/>
        <v>45870.208333331342</v>
      </c>
      <c r="B824" s="30">
        <f t="shared" si="829"/>
        <v>5000</v>
      </c>
      <c r="C824" s="8">
        <v>25000</v>
      </c>
      <c r="D824" s="8">
        <v>0</v>
      </c>
      <c r="E824" s="8">
        <v>700</v>
      </c>
      <c r="F824" s="8">
        <v>15000</v>
      </c>
      <c r="G824" s="30">
        <f t="shared" si="830"/>
        <v>2400</v>
      </c>
      <c r="H824" s="8">
        <v>25000</v>
      </c>
      <c r="I824" s="30">
        <f t="shared" si="831"/>
        <v>5000</v>
      </c>
      <c r="J824" s="8">
        <v>25000</v>
      </c>
      <c r="K824" s="30">
        <f t="shared" si="832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13.86</v>
      </c>
      <c r="O824" s="9">
        <v>13.5</v>
      </c>
      <c r="P824" s="9">
        <v>19.5</v>
      </c>
      <c r="Q824" s="79">
        <f>VLOOKUP(VLOOKUP(DATEVALUE(TEXT(A824,"m/d/yyyy")),FY24_Temp[],5,FALSE)&amp;TEXT(A824,"-h"),Table6[],4,FALSE)</f>
        <v>2.337571382522583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VLOOKUP(TEXT(A824,"yy-mm")&amp;"-"&amp;IF(AND(WEEKDAY(A824)&gt;1,WEEKDAY(A824)&lt;7),"Wkd",TEXT(A824,"Ddd"))&amp;"-"&amp;TEXT(A824,"hh"),LoadTable[],5,FALSE)*0.92</f>
        <v>295.12680000000006</v>
      </c>
      <c r="U824" s="104">
        <f>VLOOKUP(TEXT(A824,"yy-mm")&amp;"-"&amp;IF(AND(WEEKDAY(A824)&gt;1,WEEKDAY(A824)&lt;7),"Wkd",TEXT(A824,"Ddd"))&amp;"-"&amp;TEXT(A824,"hh"),LoadTable[],6,FALSE)*T824</f>
        <v>17128.569218400004</v>
      </c>
      <c r="V824">
        <f t="shared" ref="V824:W824" si="861">V800</f>
        <v>2.9</v>
      </c>
      <c r="W824">
        <f t="shared" si="861"/>
        <v>3.1</v>
      </c>
      <c r="X824" s="9">
        <v>-3.3107674166666601</v>
      </c>
    </row>
    <row r="825" spans="1:24">
      <c r="A825" s="29">
        <f t="shared" si="805"/>
        <v>45870.249999998006</v>
      </c>
      <c r="B825" s="30">
        <f t="shared" si="829"/>
        <v>8000</v>
      </c>
      <c r="C825" s="8">
        <v>25000</v>
      </c>
      <c r="D825" s="8">
        <v>0</v>
      </c>
      <c r="E825" s="8">
        <v>700</v>
      </c>
      <c r="F825" s="8">
        <v>15000</v>
      </c>
      <c r="G825" s="30">
        <f t="shared" si="830"/>
        <v>2400</v>
      </c>
      <c r="H825" s="8">
        <v>25000</v>
      </c>
      <c r="I825" s="30">
        <f t="shared" si="831"/>
        <v>8000</v>
      </c>
      <c r="J825" s="8">
        <v>25000</v>
      </c>
      <c r="K825" s="30">
        <f t="shared" si="832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13.86</v>
      </c>
      <c r="O825" s="9">
        <v>13.5</v>
      </c>
      <c r="P825" s="9">
        <v>19.5</v>
      </c>
      <c r="Q825" s="79">
        <f>VLOOKUP(VLOOKUP(DATEVALUE(TEXT(A825,"m/d/yyyy")),FY24_Temp[],5,FALSE)&amp;TEXT(A825,"-h"),Table6[],4,FALSE)</f>
        <v>2.2231428963797435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VLOOKUP(TEXT(A825,"yy-mm")&amp;"-"&amp;IF(AND(WEEKDAY(A825)&gt;1,WEEKDAY(A825)&lt;7),"Wkd",TEXT(A825,"Ddd"))&amp;"-"&amp;TEXT(A825,"hh"),LoadTable[],5,FALSE)*0.92</f>
        <v>295.12680000000006</v>
      </c>
      <c r="U825" s="104">
        <f>VLOOKUP(TEXT(A825,"yy-mm")&amp;"-"&amp;IF(AND(WEEKDAY(A825)&gt;1,WEEKDAY(A825)&lt;7),"Wkd",TEXT(A825,"Ddd"))&amp;"-"&amp;TEXT(A825,"hh"),LoadTable[],6,FALSE)*T825</f>
        <v>20766.892408800006</v>
      </c>
      <c r="V825">
        <f t="shared" ref="V825:W825" si="862">V801</f>
        <v>2.5</v>
      </c>
      <c r="W825">
        <f t="shared" si="862"/>
        <v>3.1</v>
      </c>
      <c r="X825" s="9">
        <v>-3.3885619666666602</v>
      </c>
    </row>
    <row r="826" spans="1:24">
      <c r="A826" s="29">
        <f t="shared" si="805"/>
        <v>45870.291666664671</v>
      </c>
      <c r="B826" s="30">
        <f t="shared" si="829"/>
        <v>8000</v>
      </c>
      <c r="C826" s="8">
        <v>25000</v>
      </c>
      <c r="D826" s="8">
        <v>0</v>
      </c>
      <c r="E826" s="8">
        <v>700</v>
      </c>
      <c r="F826" s="8">
        <v>15000</v>
      </c>
      <c r="G826" s="30">
        <f t="shared" si="830"/>
        <v>2400</v>
      </c>
      <c r="H826" s="8">
        <v>25000</v>
      </c>
      <c r="I826" s="30">
        <f t="shared" si="831"/>
        <v>8000</v>
      </c>
      <c r="J826" s="8">
        <v>25000</v>
      </c>
      <c r="K826" s="30">
        <f t="shared" si="832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13.86</v>
      </c>
      <c r="O826" s="9">
        <v>13.5</v>
      </c>
      <c r="P826" s="9">
        <v>19.5</v>
      </c>
      <c r="Q826" s="79">
        <f>VLOOKUP(VLOOKUP(DATEVALUE(TEXT(A826,"m/d/yyyy")),FY24_Temp[],5,FALSE)&amp;TEXT(A826,"-h"),Table6[],4,FALSE)</f>
        <v>2.1175714220319475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VLOOKUP(TEXT(A826,"yy-mm")&amp;"-"&amp;IF(AND(WEEKDAY(A826)&gt;1,WEEKDAY(A826)&lt;7),"Wkd",TEXT(A826,"Ddd"))&amp;"-"&amp;TEXT(A826,"hh"),LoadTable[],5,FALSE)*0.92</f>
        <v>295.12680000000006</v>
      </c>
      <c r="U826" s="104">
        <f>VLOOKUP(TEXT(A826,"yy-mm")&amp;"-"&amp;IF(AND(WEEKDAY(A826)&gt;1,WEEKDAY(A826)&lt;7),"Wkd",TEXT(A826,"Ddd"))&amp;"-"&amp;TEXT(A826,"hh"),LoadTable[],6,FALSE)*T826</f>
        <v>19169.666167200001</v>
      </c>
      <c r="V826">
        <f t="shared" ref="V826:W826" si="863">V802</f>
        <v>2.5</v>
      </c>
      <c r="W826">
        <f t="shared" si="863"/>
        <v>3.1</v>
      </c>
      <c r="X826" s="9">
        <v>-3.4663565166666599</v>
      </c>
    </row>
    <row r="827" spans="1:24">
      <c r="A827" s="29">
        <f t="shared" si="805"/>
        <v>45870.333333331335</v>
      </c>
      <c r="B827" s="30">
        <f t="shared" si="829"/>
        <v>8000</v>
      </c>
      <c r="C827" s="8">
        <v>25000</v>
      </c>
      <c r="D827" s="8">
        <v>0</v>
      </c>
      <c r="E827" s="8">
        <v>700</v>
      </c>
      <c r="F827" s="8">
        <v>15000</v>
      </c>
      <c r="G827" s="30">
        <f t="shared" si="830"/>
        <v>2400</v>
      </c>
      <c r="H827" s="8">
        <v>25000</v>
      </c>
      <c r="I827" s="30">
        <f t="shared" si="831"/>
        <v>8000</v>
      </c>
      <c r="J827" s="8">
        <v>25000</v>
      </c>
      <c r="K827" s="30">
        <f t="shared" si="832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13.86</v>
      </c>
      <c r="O827" s="9">
        <v>13.5</v>
      </c>
      <c r="P827" s="9">
        <v>19.5</v>
      </c>
      <c r="Q827" s="79">
        <f>VLOOKUP(VLOOKUP(DATEVALUE(TEXT(A827,"m/d/yyyy")),FY24_Temp[],5,FALSE)&amp;TEXT(A827,"-h"),Table6[],4,FALSE)</f>
        <v>1.9947142941611153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VLOOKUP(TEXT(A827,"yy-mm")&amp;"-"&amp;IF(AND(WEEKDAY(A827)&gt;1,WEEKDAY(A827)&lt;7),"Wkd",TEXT(A827,"Ddd"))&amp;"-"&amp;TEXT(A827,"hh"),LoadTable[],5,FALSE)*0.92</f>
        <v>295.12680000000006</v>
      </c>
      <c r="U827" s="104">
        <f>VLOOKUP(TEXT(A827,"yy-mm")&amp;"-"&amp;IF(AND(WEEKDAY(A827)&gt;1,WEEKDAY(A827)&lt;7),"Wkd",TEXT(A827,"Ddd"))&amp;"-"&amp;TEXT(A827,"hh"),LoadTable[],6,FALSE)*T827</f>
        <v>15860.999612400004</v>
      </c>
      <c r="V827">
        <f t="shared" ref="V827:W827" si="864">V803</f>
        <v>3.2</v>
      </c>
      <c r="W827">
        <f t="shared" si="864"/>
        <v>3</v>
      </c>
      <c r="X827" s="9">
        <v>-3.54415106666666</v>
      </c>
    </row>
    <row r="828" spans="1:24">
      <c r="A828" s="29">
        <f t="shared" si="805"/>
        <v>45870.374999997999</v>
      </c>
      <c r="B828" s="30">
        <f t="shared" si="829"/>
        <v>8000</v>
      </c>
      <c r="C828" s="8">
        <v>25000</v>
      </c>
      <c r="D828" s="8">
        <v>0</v>
      </c>
      <c r="E828" s="8">
        <v>700</v>
      </c>
      <c r="F828" s="8">
        <v>15000</v>
      </c>
      <c r="G828" s="30">
        <f t="shared" si="830"/>
        <v>2400</v>
      </c>
      <c r="H828" s="8">
        <v>25000</v>
      </c>
      <c r="I828" s="30">
        <f t="shared" si="831"/>
        <v>8000</v>
      </c>
      <c r="J828" s="8">
        <v>25000</v>
      </c>
      <c r="K828" s="30">
        <f t="shared" si="832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13.86</v>
      </c>
      <c r="O828" s="9">
        <v>13.5</v>
      </c>
      <c r="P828" s="9">
        <v>19.5</v>
      </c>
      <c r="Q828" s="79">
        <f>VLOOKUP(VLOOKUP(DATEVALUE(TEXT(A828,"m/d/yyyy")),FY24_Temp[],5,FALSE)&amp;TEXT(A828,"-h"),Table6[],4,FALSE)</f>
        <v>1.8918571301868983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VLOOKUP(TEXT(A828,"yy-mm")&amp;"-"&amp;IF(AND(WEEKDAY(A828)&gt;1,WEEKDAY(A828)&lt;7),"Wkd",TEXT(A828,"Ddd"))&amp;"-"&amp;TEXT(A828,"hh"),LoadTable[],5,FALSE)*0.92</f>
        <v>295.12680000000006</v>
      </c>
      <c r="U828" s="104">
        <f>VLOOKUP(TEXT(A828,"yy-mm")&amp;"-"&amp;IF(AND(WEEKDAY(A828)&gt;1,WEEKDAY(A828)&lt;7),"Wkd",TEXT(A828,"Ddd"))&amp;"-"&amp;TEXT(A828,"hh"),LoadTable[],6,FALSE)*T828</f>
        <v>15713.436212400004</v>
      </c>
      <c r="V828">
        <f t="shared" ref="V828:W828" si="865">V804</f>
        <v>2.9</v>
      </c>
      <c r="W828">
        <f t="shared" si="865"/>
        <v>3</v>
      </c>
      <c r="X828" s="9">
        <v>-3.6219456166666602</v>
      </c>
    </row>
    <row r="829" spans="1:24">
      <c r="A829" s="29">
        <f t="shared" si="805"/>
        <v>45870.416666664663</v>
      </c>
      <c r="B829" s="30">
        <f t="shared" si="829"/>
        <v>8000</v>
      </c>
      <c r="C829" s="8">
        <v>25000</v>
      </c>
      <c r="D829" s="8">
        <v>0</v>
      </c>
      <c r="E829" s="8">
        <v>700</v>
      </c>
      <c r="F829" s="8">
        <v>15000</v>
      </c>
      <c r="G829" s="30">
        <f t="shared" si="830"/>
        <v>2400</v>
      </c>
      <c r="H829" s="8">
        <v>25000</v>
      </c>
      <c r="I829" s="30">
        <f t="shared" si="831"/>
        <v>8000</v>
      </c>
      <c r="J829" s="8">
        <v>25000</v>
      </c>
      <c r="K829" s="30">
        <f t="shared" si="832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13.86</v>
      </c>
      <c r="O829" s="9">
        <v>13.5</v>
      </c>
      <c r="P829" s="9">
        <v>19.5</v>
      </c>
      <c r="Q829" s="79">
        <f>VLOOKUP(VLOOKUP(DATEVALUE(TEXT(A829,"m/d/yyyy")),FY24_Temp[],5,FALSE)&amp;TEXT(A829,"-h"),Table6[],4,FALSE)</f>
        <v>1.795285701751709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VLOOKUP(TEXT(A829,"yy-mm")&amp;"-"&amp;IF(AND(WEEKDAY(A829)&gt;1,WEEKDAY(A829)&lt;7),"Wkd",TEXT(A829,"Ddd"))&amp;"-"&amp;TEXT(A829,"hh"),LoadTable[],5,FALSE)*0.92</f>
        <v>295.12680000000006</v>
      </c>
      <c r="U829" s="104">
        <f>VLOOKUP(TEXT(A829,"yy-mm")&amp;"-"&amp;IF(AND(WEEKDAY(A829)&gt;1,WEEKDAY(A829)&lt;7),"Wkd",TEXT(A829,"Ddd"))&amp;"-"&amp;TEXT(A829,"hh"),LoadTable[],6,FALSE)*T829</f>
        <v>14369.723892000002</v>
      </c>
      <c r="V829">
        <f t="shared" ref="V829:W829" si="866">V805</f>
        <v>2.9</v>
      </c>
      <c r="W829">
        <f t="shared" si="866"/>
        <v>3</v>
      </c>
      <c r="X829" s="9">
        <v>-3.6997401666666598</v>
      </c>
    </row>
    <row r="830" spans="1:24">
      <c r="A830" s="29">
        <f t="shared" si="805"/>
        <v>45870.458333331328</v>
      </c>
      <c r="B830" s="30">
        <f t="shared" si="829"/>
        <v>8000</v>
      </c>
      <c r="C830" s="8">
        <v>25000</v>
      </c>
      <c r="D830" s="8">
        <v>0</v>
      </c>
      <c r="E830" s="8">
        <v>700</v>
      </c>
      <c r="F830" s="8">
        <v>15000</v>
      </c>
      <c r="G830" s="30">
        <f t="shared" si="830"/>
        <v>2400</v>
      </c>
      <c r="H830" s="8">
        <v>25000</v>
      </c>
      <c r="I830" s="30">
        <f t="shared" si="831"/>
        <v>8000</v>
      </c>
      <c r="J830" s="8">
        <v>25000</v>
      </c>
      <c r="K830" s="30">
        <f t="shared" si="832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13.86</v>
      </c>
      <c r="O830" s="9">
        <v>13.5</v>
      </c>
      <c r="P830" s="9">
        <v>19.5</v>
      </c>
      <c r="Q830" s="79">
        <f>VLOOKUP(VLOOKUP(DATEVALUE(TEXT(A830,"m/d/yyyy")),FY24_Temp[],5,FALSE)&amp;TEXT(A830,"-h"),Table6[],4,FALSE)</f>
        <v>1.6731428759438651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VLOOKUP(TEXT(A830,"yy-mm")&amp;"-"&amp;IF(AND(WEEKDAY(A830)&gt;1,WEEKDAY(A830)&lt;7),"Wkd",TEXT(A830,"Ddd"))&amp;"-"&amp;TEXT(A830,"hh"),LoadTable[],5,FALSE)*0.92</f>
        <v>295.12680000000006</v>
      </c>
      <c r="U830" s="104">
        <f>VLOOKUP(TEXT(A830,"yy-mm")&amp;"-"&amp;IF(AND(WEEKDAY(A830)&gt;1,WEEKDAY(A830)&lt;7),"Wkd",TEXT(A830,"Ddd"))&amp;"-"&amp;TEXT(A830,"hh"),LoadTable[],6,FALSE)*T830</f>
        <v>14137.459100400003</v>
      </c>
      <c r="V830">
        <f t="shared" ref="V830:W830" si="867">V806</f>
        <v>3.4</v>
      </c>
      <c r="W830">
        <f t="shared" si="867"/>
        <v>3</v>
      </c>
      <c r="X830" s="9">
        <v>-3.77753471666666</v>
      </c>
    </row>
    <row r="831" spans="1:24">
      <c r="A831" s="29">
        <f t="shared" si="805"/>
        <v>45870.499999997992</v>
      </c>
      <c r="B831" s="30">
        <f t="shared" si="829"/>
        <v>8000</v>
      </c>
      <c r="C831" s="8">
        <v>25000</v>
      </c>
      <c r="D831" s="8">
        <v>0</v>
      </c>
      <c r="E831" s="8">
        <v>700</v>
      </c>
      <c r="F831" s="8">
        <v>15000</v>
      </c>
      <c r="G831" s="30">
        <f t="shared" si="830"/>
        <v>2400</v>
      </c>
      <c r="H831" s="8">
        <v>25000</v>
      </c>
      <c r="I831" s="30">
        <f t="shared" si="831"/>
        <v>8000</v>
      </c>
      <c r="J831" s="8">
        <v>25000</v>
      </c>
      <c r="K831" s="30">
        <f t="shared" si="832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13.86</v>
      </c>
      <c r="O831" s="9">
        <v>13.5</v>
      </c>
      <c r="P831" s="9">
        <v>19.5</v>
      </c>
      <c r="Q831" s="79">
        <f>VLOOKUP(VLOOKUP(DATEVALUE(TEXT(A831,"m/d/yyyy")),FY24_Temp[],5,FALSE)&amp;TEXT(A831,"-h"),Table6[],4,FALSE)</f>
        <v>1.5228571380887712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VLOOKUP(TEXT(A831,"yy-mm")&amp;"-"&amp;IF(AND(WEEKDAY(A831)&gt;1,WEEKDAY(A831)&lt;7),"Wkd",TEXT(A831,"Ddd"))&amp;"-"&amp;TEXT(A831,"hh"),LoadTable[],5,FALSE)*0.92</f>
        <v>295.12680000000006</v>
      </c>
      <c r="U831" s="104">
        <f>VLOOKUP(TEXT(A831,"yy-mm")&amp;"-"&amp;IF(AND(WEEKDAY(A831)&gt;1,WEEKDAY(A831)&lt;7),"Wkd",TEXT(A831,"Ddd"))&amp;"-"&amp;TEXT(A831,"hh"),LoadTable[],6,FALSE)*T831</f>
        <v>14242.819368000002</v>
      </c>
      <c r="V831">
        <f t="shared" ref="V831:W831" si="868">V807</f>
        <v>3.1</v>
      </c>
      <c r="W831">
        <f t="shared" si="868"/>
        <v>2.9</v>
      </c>
      <c r="X831" s="9">
        <v>-3.8553292666666601</v>
      </c>
    </row>
    <row r="832" spans="1:24">
      <c r="A832" s="29">
        <f t="shared" si="805"/>
        <v>45870.541666664656</v>
      </c>
      <c r="B832" s="30">
        <f t="shared" si="829"/>
        <v>8000</v>
      </c>
      <c r="C832" s="8">
        <v>25000</v>
      </c>
      <c r="D832" s="8">
        <v>0</v>
      </c>
      <c r="E832" s="8">
        <v>700</v>
      </c>
      <c r="F832" s="8">
        <v>15000</v>
      </c>
      <c r="G832" s="30">
        <f t="shared" si="830"/>
        <v>2400</v>
      </c>
      <c r="H832" s="8">
        <v>25000</v>
      </c>
      <c r="I832" s="30">
        <f t="shared" si="831"/>
        <v>8000</v>
      </c>
      <c r="J832" s="8">
        <v>25000</v>
      </c>
      <c r="K832" s="30">
        <f t="shared" si="832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13.86</v>
      </c>
      <c r="O832" s="9">
        <v>13.5</v>
      </c>
      <c r="P832" s="9">
        <v>19.5</v>
      </c>
      <c r="Q832" s="79">
        <f>VLOOKUP(VLOOKUP(DATEVALUE(TEXT(A832,"m/d/yyyy")),FY24_Temp[],5,FALSE)&amp;TEXT(A832,"-h"),Table6[],4,FALSE)</f>
        <v>1.3490000111716134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VLOOKUP(TEXT(A832,"yy-mm")&amp;"-"&amp;IF(AND(WEEKDAY(A832)&gt;1,WEEKDAY(A832)&lt;7),"Wkd",TEXT(A832,"Ddd"))&amp;"-"&amp;TEXT(A832,"hh"),LoadTable[],5,FALSE)*0.92</f>
        <v>295.12680000000006</v>
      </c>
      <c r="U832" s="104">
        <f>VLOOKUP(TEXT(A832,"yy-mm")&amp;"-"&amp;IF(AND(WEEKDAY(A832)&gt;1,WEEKDAY(A832)&lt;7),"Wkd",TEXT(A832,"Ddd"))&amp;"-"&amp;TEXT(A832,"hh"),LoadTable[],6,FALSE)*T832</f>
        <v>16280.669922000003</v>
      </c>
      <c r="V832">
        <f t="shared" ref="V832:W832" si="869">V808</f>
        <v>3.2</v>
      </c>
      <c r="W832">
        <f t="shared" si="869"/>
        <v>2.9</v>
      </c>
      <c r="X832" s="9">
        <v>-3.9331238166666598</v>
      </c>
    </row>
    <row r="833" spans="1:24">
      <c r="A833" s="29">
        <f t="shared" si="805"/>
        <v>45870.58333333132</v>
      </c>
      <c r="B833" s="30">
        <f t="shared" si="829"/>
        <v>8000</v>
      </c>
      <c r="C833" s="8">
        <v>25000</v>
      </c>
      <c r="D833" s="8">
        <v>0</v>
      </c>
      <c r="E833" s="8">
        <v>700</v>
      </c>
      <c r="F833" s="8">
        <v>15000</v>
      </c>
      <c r="G833" s="30">
        <f t="shared" si="830"/>
        <v>2400</v>
      </c>
      <c r="H833" s="8">
        <v>25000</v>
      </c>
      <c r="I833" s="30">
        <f t="shared" si="831"/>
        <v>8000</v>
      </c>
      <c r="J833" s="8">
        <v>25000</v>
      </c>
      <c r="K833" s="30">
        <f t="shared" si="832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13.86</v>
      </c>
      <c r="O833" s="9">
        <v>13.5</v>
      </c>
      <c r="P833" s="9">
        <v>19.5</v>
      </c>
      <c r="Q833" s="79">
        <f>VLOOKUP(VLOOKUP(DATEVALUE(TEXT(A833,"m/d/yyyy")),FY24_Temp[],5,FALSE)&amp;TEXT(A833,"-h"),Table6[],4,FALSE)</f>
        <v>1.165428570338658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VLOOKUP(TEXT(A833,"yy-mm")&amp;"-"&amp;IF(AND(WEEKDAY(A833)&gt;1,WEEKDAY(A833)&lt;7),"Wkd",TEXT(A833,"Ddd"))&amp;"-"&amp;TEXT(A833,"hh"),LoadTable[],5,FALSE)*0.92</f>
        <v>402.08416</v>
      </c>
      <c r="U833" s="104">
        <f>VLOOKUP(TEXT(A833,"yy-mm")&amp;"-"&amp;IF(AND(WEEKDAY(A833)&gt;1,WEEKDAY(A833)&lt;7),"Wkd",TEXT(A833,"Ddd"))&amp;"-"&amp;TEXT(A833,"hh"),LoadTable[],6,FALSE)*T833</f>
        <v>27023.674309440001</v>
      </c>
      <c r="V833">
        <f t="shared" ref="V833:W833" si="870">V809</f>
        <v>3.5</v>
      </c>
      <c r="W833">
        <f t="shared" si="870"/>
        <v>2.9</v>
      </c>
      <c r="X833" s="9">
        <v>-4.0109183666666599</v>
      </c>
    </row>
    <row r="834" spans="1:24">
      <c r="A834" s="29">
        <f t="shared" si="805"/>
        <v>45870.624999997985</v>
      </c>
      <c r="B834" s="30">
        <f t="shared" si="829"/>
        <v>8000</v>
      </c>
      <c r="C834" s="8">
        <v>25000</v>
      </c>
      <c r="D834" s="8">
        <v>0</v>
      </c>
      <c r="E834" s="8">
        <v>700</v>
      </c>
      <c r="F834" s="8">
        <v>15000</v>
      </c>
      <c r="G834" s="30">
        <f t="shared" si="830"/>
        <v>2400</v>
      </c>
      <c r="H834" s="8">
        <v>25000</v>
      </c>
      <c r="I834" s="30">
        <f t="shared" si="831"/>
        <v>8000</v>
      </c>
      <c r="J834" s="8">
        <v>25000</v>
      </c>
      <c r="K834" s="30">
        <f t="shared" si="832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13.86</v>
      </c>
      <c r="O834" s="9">
        <v>13.5</v>
      </c>
      <c r="P834" s="9">
        <v>19.5</v>
      </c>
      <c r="Q834" s="79">
        <f>VLOOKUP(VLOOKUP(DATEVALUE(TEXT(A834,"m/d/yyyy")),FY24_Temp[],5,FALSE)&amp;TEXT(A834,"-h"),Table6[],4,FALSE)</f>
        <v>1.0105714201927185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VLOOKUP(TEXT(A834,"yy-mm")&amp;"-"&amp;IF(AND(WEEKDAY(A834)&gt;1,WEEKDAY(A834)&lt;7),"Wkd",TEXT(A834,"Ddd"))&amp;"-"&amp;TEXT(A834,"hh"),LoadTable[],5,FALSE)*0.92</f>
        <v>521.92427999999995</v>
      </c>
      <c r="U834" s="104">
        <f>VLOOKUP(TEXT(A834,"yy-mm")&amp;"-"&amp;IF(AND(WEEKDAY(A834)&gt;1,WEEKDAY(A834)&lt;7),"Wkd",TEXT(A834,"Ddd"))&amp;"-"&amp;TEXT(A834,"hh"),LoadTable[],6,FALSE)*T834</f>
        <v>38276.36092236</v>
      </c>
      <c r="V834">
        <f t="shared" ref="V834:W834" si="871">V810</f>
        <v>3.2</v>
      </c>
      <c r="W834">
        <f t="shared" si="871"/>
        <v>2.9</v>
      </c>
      <c r="X834" s="9">
        <v>-4.08871291666666</v>
      </c>
    </row>
    <row r="835" spans="1:24">
      <c r="A835" s="29">
        <f t="shared" si="805"/>
        <v>45870.666666664649</v>
      </c>
      <c r="B835" s="30">
        <f t="shared" si="829"/>
        <v>8000</v>
      </c>
      <c r="C835" s="8">
        <v>25000</v>
      </c>
      <c r="D835" s="8">
        <v>0</v>
      </c>
      <c r="E835" s="8">
        <v>700</v>
      </c>
      <c r="F835" s="8">
        <v>15000</v>
      </c>
      <c r="G835" s="30">
        <f t="shared" si="830"/>
        <v>2400</v>
      </c>
      <c r="H835" s="8">
        <v>25000</v>
      </c>
      <c r="I835" s="30">
        <f t="shared" si="831"/>
        <v>8000</v>
      </c>
      <c r="J835" s="8">
        <v>25000</v>
      </c>
      <c r="K835" s="30">
        <f t="shared" si="832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13.86</v>
      </c>
      <c r="O835" s="9">
        <v>13.5</v>
      </c>
      <c r="P835" s="9">
        <v>19.5</v>
      </c>
      <c r="Q835" s="79">
        <f>VLOOKUP(VLOOKUP(DATEVALUE(TEXT(A835,"m/d/yyyy")),FY24_Temp[],5,FALSE)&amp;TEXT(A835,"-h"),Table6[],4,FALSE)</f>
        <v>0.96857144151415142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VLOOKUP(TEXT(A835,"yy-mm")&amp;"-"&amp;IF(AND(WEEKDAY(A835)&gt;1,WEEKDAY(A835)&lt;7),"Wkd",TEXT(A835,"Ddd"))&amp;"-"&amp;TEXT(A835,"hh"),LoadTable[],5,FALSE)*0.92</f>
        <v>521.92427999999995</v>
      </c>
      <c r="U835" s="104">
        <f>VLOOKUP(TEXT(A835,"yy-mm")&amp;"-"&amp;IF(AND(WEEKDAY(A835)&gt;1,WEEKDAY(A835)&lt;7),"Wkd",TEXT(A835,"Ddd"))&amp;"-"&amp;TEXT(A835,"hh"),LoadTable[],6,FALSE)*T835</f>
        <v>45879.753833399998</v>
      </c>
      <c r="V835">
        <f t="shared" ref="V835:W835" si="872">V811</f>
        <v>3.5</v>
      </c>
      <c r="W835">
        <f t="shared" si="872"/>
        <v>3</v>
      </c>
      <c r="X835" s="9">
        <v>-4.1665074666666602</v>
      </c>
    </row>
    <row r="836" spans="1:24">
      <c r="A836" s="29">
        <f t="shared" si="805"/>
        <v>45870.708333331313</v>
      </c>
      <c r="B836" s="30">
        <f t="shared" si="829"/>
        <v>8000</v>
      </c>
      <c r="C836" s="8">
        <v>25000</v>
      </c>
      <c r="D836" s="8">
        <v>0</v>
      </c>
      <c r="E836" s="8">
        <v>700</v>
      </c>
      <c r="F836" s="8">
        <v>15000</v>
      </c>
      <c r="G836" s="30">
        <f t="shared" si="830"/>
        <v>2400</v>
      </c>
      <c r="H836" s="8">
        <v>25000</v>
      </c>
      <c r="I836" s="30">
        <f t="shared" si="831"/>
        <v>8000</v>
      </c>
      <c r="J836" s="8">
        <v>25000</v>
      </c>
      <c r="K836" s="30">
        <f t="shared" si="832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13.86</v>
      </c>
      <c r="O836" s="9">
        <v>13.5</v>
      </c>
      <c r="P836" s="9">
        <v>19.5</v>
      </c>
      <c r="Q836" s="79">
        <f>VLOOKUP(VLOOKUP(DATEVALUE(TEXT(A836,"m/d/yyyy")),FY24_Temp[],5,FALSE)&amp;TEXT(A836,"-h"),Table6[],4,FALSE)</f>
        <v>1.1941428525107247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VLOOKUP(TEXT(A836,"yy-mm")&amp;"-"&amp;IF(AND(WEEKDAY(A836)&gt;1,WEEKDAY(A836)&lt;7),"Wkd",TEXT(A836,"Ddd"))&amp;"-"&amp;TEXT(A836,"hh"),LoadTable[],5,FALSE)*0.92</f>
        <v>521.92427999999995</v>
      </c>
      <c r="U836" s="104">
        <f>VLOOKUP(TEXT(A836,"yy-mm")&amp;"-"&amp;IF(AND(WEEKDAY(A836)&gt;1,WEEKDAY(A836)&lt;7),"Wkd",TEXT(A836,"Ddd"))&amp;"-"&amp;TEXT(A836,"hh"),LoadTable[],6,FALSE)*T836</f>
        <v>57850.609119479988</v>
      </c>
      <c r="V836">
        <f t="shared" ref="V836:W836" si="873">V812</f>
        <v>3.6</v>
      </c>
      <c r="W836">
        <f t="shared" si="873"/>
        <v>3</v>
      </c>
      <c r="X836" s="9">
        <v>-4.2443020166666603</v>
      </c>
    </row>
    <row r="837" spans="1:24">
      <c r="A837" s="29">
        <f t="shared" ref="A837:A900" si="874">A836+TIME(1,0,0)</f>
        <v>45870.749999997977</v>
      </c>
      <c r="B837" s="30">
        <f t="shared" si="829"/>
        <v>5000</v>
      </c>
      <c r="C837" s="8">
        <v>25000</v>
      </c>
      <c r="D837" s="8">
        <v>0</v>
      </c>
      <c r="E837" s="8">
        <v>700</v>
      </c>
      <c r="F837" s="8">
        <v>15000</v>
      </c>
      <c r="G837" s="30">
        <f t="shared" si="830"/>
        <v>2400</v>
      </c>
      <c r="H837" s="8">
        <v>25000</v>
      </c>
      <c r="I837" s="30">
        <f t="shared" si="831"/>
        <v>5000</v>
      </c>
      <c r="J837" s="8">
        <v>25000</v>
      </c>
      <c r="K837" s="30">
        <f t="shared" si="832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13.86</v>
      </c>
      <c r="O837" s="9">
        <v>13.5</v>
      </c>
      <c r="P837" s="9">
        <v>19.5</v>
      </c>
      <c r="Q837" s="79">
        <f>VLOOKUP(VLOOKUP(DATEVALUE(TEXT(A837,"m/d/yyyy")),FY24_Temp[],5,FALSE)&amp;TEXT(A837,"-h"),Table6[],4,FALSE)</f>
        <v>1.5795714344297136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VLOOKUP(TEXT(A837,"yy-mm")&amp;"-"&amp;IF(AND(WEEKDAY(A837)&gt;1,WEEKDAY(A837)&lt;7),"Wkd",TEXT(A837,"Ddd"))&amp;"-"&amp;TEXT(A837,"hh"),LoadTable[],5,FALSE)*0.92</f>
        <v>521.92427999999995</v>
      </c>
      <c r="U837" s="104">
        <f>VLOOKUP(TEXT(A837,"yy-mm")&amp;"-"&amp;IF(AND(WEEKDAY(A837)&gt;1,WEEKDAY(A837)&lt;7),"Wkd",TEXT(A837,"Ddd"))&amp;"-"&amp;TEXT(A837,"hh"),LoadTable[],6,FALSE)*T837</f>
        <v>71088.174633119997</v>
      </c>
      <c r="V837">
        <f t="shared" ref="V837:W837" si="875">V813</f>
        <v>2.9</v>
      </c>
      <c r="W837">
        <f t="shared" si="875"/>
        <v>3</v>
      </c>
      <c r="X837" s="9">
        <v>-4.3220965666666604</v>
      </c>
    </row>
    <row r="838" spans="1:24">
      <c r="A838" s="29">
        <f t="shared" si="874"/>
        <v>45870.791666664642</v>
      </c>
      <c r="B838" s="30">
        <f t="shared" si="829"/>
        <v>5000</v>
      </c>
      <c r="C838" s="8">
        <v>25000</v>
      </c>
      <c r="D838" s="8">
        <v>0</v>
      </c>
      <c r="E838" s="8">
        <v>700</v>
      </c>
      <c r="F838" s="8">
        <v>15000</v>
      </c>
      <c r="G838" s="30">
        <f t="shared" si="830"/>
        <v>2400</v>
      </c>
      <c r="H838" s="8">
        <v>25000</v>
      </c>
      <c r="I838" s="30">
        <f t="shared" si="831"/>
        <v>5000</v>
      </c>
      <c r="J838" s="8">
        <v>25000</v>
      </c>
      <c r="K838" s="30">
        <f t="shared" si="832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13.86</v>
      </c>
      <c r="O838" s="9">
        <v>13.5</v>
      </c>
      <c r="P838" s="9">
        <v>19.5</v>
      </c>
      <c r="Q838" s="79">
        <f>VLOOKUP(VLOOKUP(DATEVALUE(TEXT(A838,"m/d/yyyy")),FY24_Temp[],5,FALSE)&amp;TEXT(A838,"-h"),Table6[],4,FALSE)</f>
        <v>2.4291428497859409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VLOOKUP(TEXT(A838,"yy-mm")&amp;"-"&amp;IF(AND(WEEKDAY(A838)&gt;1,WEEKDAY(A838)&lt;7),"Wkd",TEXT(A838,"Ddd"))&amp;"-"&amp;TEXT(A838,"hh"),LoadTable[],5,FALSE)*0.92</f>
        <v>521.92427999999995</v>
      </c>
      <c r="U838" s="104">
        <f>VLOOKUP(TEXT(A838,"yy-mm")&amp;"-"&amp;IF(AND(WEEKDAY(A838)&gt;1,WEEKDAY(A838)&lt;7),"Wkd",TEXT(A838,"Ddd"))&amp;"-"&amp;TEXT(A838,"hh"),LoadTable[],6,FALSE)*T838</f>
        <v>75540.188741520004</v>
      </c>
      <c r="V838">
        <f t="shared" ref="V838:W838" si="876">V814</f>
        <v>3</v>
      </c>
      <c r="W838">
        <f t="shared" si="876"/>
        <v>3</v>
      </c>
      <c r="X838" s="9">
        <v>-4.3998911166666597</v>
      </c>
    </row>
    <row r="839" spans="1:24">
      <c r="A839" s="29">
        <f t="shared" si="874"/>
        <v>45870.833333331306</v>
      </c>
      <c r="B839" s="30">
        <f t="shared" si="829"/>
        <v>5000</v>
      </c>
      <c r="C839" s="8">
        <v>25000</v>
      </c>
      <c r="D839" s="8">
        <v>0</v>
      </c>
      <c r="E839" s="8">
        <v>700</v>
      </c>
      <c r="F839" s="8">
        <v>15000</v>
      </c>
      <c r="G839" s="30">
        <f t="shared" si="830"/>
        <v>2400</v>
      </c>
      <c r="H839" s="8">
        <v>25000</v>
      </c>
      <c r="I839" s="30">
        <f t="shared" si="831"/>
        <v>5000</v>
      </c>
      <c r="J839" s="8">
        <v>25000</v>
      </c>
      <c r="K839" s="30">
        <f t="shared" si="832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13.86</v>
      </c>
      <c r="O839" s="9">
        <v>13.5</v>
      </c>
      <c r="P839" s="9">
        <v>19.5</v>
      </c>
      <c r="Q839" s="79">
        <f>VLOOKUP(VLOOKUP(DATEVALUE(TEXT(A839,"m/d/yyyy")),FY24_Temp[],5,FALSE)&amp;TEXT(A839,"-h"),Table6[],4,FALSE)</f>
        <v>3.1071428571428572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VLOOKUP(TEXT(A839,"yy-mm")&amp;"-"&amp;IF(AND(WEEKDAY(A839)&gt;1,WEEKDAY(A839)&lt;7),"Wkd",TEXT(A839,"Ddd"))&amp;"-"&amp;TEXT(A839,"hh"),LoadTable[],5,FALSE)*0.92</f>
        <v>521.92427999999995</v>
      </c>
      <c r="U839" s="104">
        <f>VLOOKUP(TEXT(A839,"yy-mm")&amp;"-"&amp;IF(AND(WEEKDAY(A839)&gt;1,WEEKDAY(A839)&lt;7),"Wkd",TEXT(A839,"Ddd"))&amp;"-"&amp;TEXT(A839,"hh"),LoadTable[],6,FALSE)*T839</f>
        <v>69176.365995479995</v>
      </c>
      <c r="V839">
        <f t="shared" ref="V839:W839" si="877">V815</f>
        <v>2.8</v>
      </c>
      <c r="W839">
        <f t="shared" si="877"/>
        <v>3.1</v>
      </c>
      <c r="X839" s="9">
        <v>-4.4776856666666598</v>
      </c>
    </row>
    <row r="840" spans="1:24">
      <c r="A840" s="29">
        <f t="shared" si="874"/>
        <v>45870.87499999797</v>
      </c>
      <c r="B840" s="30">
        <f t="shared" si="829"/>
        <v>5000</v>
      </c>
      <c r="C840" s="8">
        <v>25000</v>
      </c>
      <c r="D840" s="8">
        <v>0</v>
      </c>
      <c r="E840" s="8">
        <v>700</v>
      </c>
      <c r="F840" s="8">
        <v>15000</v>
      </c>
      <c r="G840" s="30">
        <f t="shared" si="830"/>
        <v>2400</v>
      </c>
      <c r="H840" s="8">
        <v>25000</v>
      </c>
      <c r="I840" s="30">
        <f t="shared" si="831"/>
        <v>5000</v>
      </c>
      <c r="J840" s="8">
        <v>25000</v>
      </c>
      <c r="K840" s="30">
        <f t="shared" si="832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13.86</v>
      </c>
      <c r="O840" s="9">
        <v>13.5</v>
      </c>
      <c r="P840" s="9">
        <v>19.5</v>
      </c>
      <c r="Q840" s="79">
        <f>VLOOKUP(VLOOKUP(DATEVALUE(TEXT(A840,"m/d/yyyy")),FY24_Temp[],5,FALSE)&amp;TEXT(A840,"-h"),Table6[],4,FALSE)</f>
        <v>3.3121428489685059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VLOOKUP(TEXT(A840,"yy-mm")&amp;"-"&amp;IF(AND(WEEKDAY(A840)&gt;1,WEEKDAY(A840)&lt;7),"Wkd",TEXT(A840,"Ddd"))&amp;"-"&amp;TEXT(A840,"hh"),LoadTable[],5,FALSE)*0.92</f>
        <v>521.92427999999995</v>
      </c>
      <c r="U840" s="104">
        <f>VLOOKUP(TEXT(A840,"yy-mm")&amp;"-"&amp;IF(AND(WEEKDAY(A840)&gt;1,WEEKDAY(A840)&lt;7),"Wkd",TEXT(A840,"Ddd"))&amp;"-"&amp;TEXT(A840,"hh"),LoadTable[],6,FALSE)*T840</f>
        <v>56417.405046599997</v>
      </c>
      <c r="V840">
        <f t="shared" ref="V840:W840" si="878">V816</f>
        <v>3.5</v>
      </c>
      <c r="W840">
        <f t="shared" si="878"/>
        <v>3.1</v>
      </c>
      <c r="X840" s="9">
        <v>-4.5554802166666599</v>
      </c>
    </row>
    <row r="841" spans="1:24">
      <c r="A841" s="29">
        <f t="shared" si="874"/>
        <v>45870.916666664634</v>
      </c>
      <c r="B841" s="30">
        <f t="shared" si="829"/>
        <v>5000</v>
      </c>
      <c r="C841" s="8">
        <v>25000</v>
      </c>
      <c r="D841" s="8">
        <v>0</v>
      </c>
      <c r="E841" s="8">
        <v>700</v>
      </c>
      <c r="F841" s="8">
        <v>15000</v>
      </c>
      <c r="G841" s="30">
        <f t="shared" si="830"/>
        <v>2400</v>
      </c>
      <c r="H841" s="8">
        <v>25000</v>
      </c>
      <c r="I841" s="30">
        <f t="shared" si="831"/>
        <v>5000</v>
      </c>
      <c r="J841" s="8">
        <v>25000</v>
      </c>
      <c r="K841" s="30">
        <f t="shared" si="832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13.86</v>
      </c>
      <c r="O841" s="9">
        <v>13.5</v>
      </c>
      <c r="P841" s="9">
        <v>19.5</v>
      </c>
      <c r="Q841" s="79">
        <f>VLOOKUP(VLOOKUP(DATEVALUE(TEXT(A841,"m/d/yyyy")),FY24_Temp[],5,FALSE)&amp;TEXT(A841,"-h"),Table6[],4,FALSE)</f>
        <v>3.2781428268977573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VLOOKUP(TEXT(A841,"yy-mm")&amp;"-"&amp;IF(AND(WEEKDAY(A841)&gt;1,WEEKDAY(A841)&lt;7),"Wkd",TEXT(A841,"Ddd"))&amp;"-"&amp;TEXT(A841,"hh"),LoadTable[],5,FALSE)*0.92</f>
        <v>447.02432000000005</v>
      </c>
      <c r="U841" s="104">
        <f>VLOOKUP(TEXT(A841,"yy-mm")&amp;"-"&amp;IF(AND(WEEKDAY(A841)&gt;1,WEEKDAY(A841)&lt;7),"Wkd",TEXT(A841,"Ddd"))&amp;"-"&amp;TEXT(A841,"hh"),LoadTable[],6,FALSE)*T841</f>
        <v>29850.49599232</v>
      </c>
      <c r="V841">
        <f t="shared" ref="V841:W841" si="879">V817</f>
        <v>2.9</v>
      </c>
      <c r="W841">
        <f t="shared" si="879"/>
        <v>3.1</v>
      </c>
      <c r="X841" s="9">
        <v>-4.63327476666666</v>
      </c>
    </row>
    <row r="842" spans="1:24" ht="16" thickBot="1">
      <c r="A842" s="29">
        <f t="shared" si="874"/>
        <v>45870.958333331298</v>
      </c>
      <c r="B842" s="30">
        <f t="shared" si="829"/>
        <v>5000</v>
      </c>
      <c r="C842" s="8">
        <v>25000</v>
      </c>
      <c r="D842" s="8">
        <v>0</v>
      </c>
      <c r="E842" s="8">
        <v>700</v>
      </c>
      <c r="F842" s="8">
        <v>15000</v>
      </c>
      <c r="G842" s="30">
        <f t="shared" si="830"/>
        <v>2400</v>
      </c>
      <c r="H842" s="8">
        <v>25000</v>
      </c>
      <c r="I842" s="30">
        <f t="shared" si="831"/>
        <v>5000</v>
      </c>
      <c r="J842" s="8">
        <v>25000</v>
      </c>
      <c r="K842" s="30">
        <f t="shared" si="832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13.86</v>
      </c>
      <c r="O842" s="9">
        <v>13.5</v>
      </c>
      <c r="P842" s="9">
        <v>19.5</v>
      </c>
      <c r="Q842" s="79">
        <f>VLOOKUP(VLOOKUP(DATEVALUE(TEXT(A842,"m/d/yyyy")),FY24_Temp[],5,FALSE)&amp;TEXT(A842,"-h"),Table6[],4,FALSE)</f>
        <v>3.138000045503889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VLOOKUP(TEXT(A842,"yy-mm")&amp;"-"&amp;IF(AND(WEEKDAY(A842)&gt;1,WEEKDAY(A842)&lt;7),"Wkd",TEXT(A842,"Ddd"))&amp;"-"&amp;TEXT(A842,"hh"),LoadTable[],5,FALSE)*0.92</f>
        <v>372.12436000000002</v>
      </c>
      <c r="U842" s="104">
        <f>VLOOKUP(TEXT(A842,"yy-mm")&amp;"-"&amp;IF(AND(WEEKDAY(A842)&gt;1,WEEKDAY(A842)&lt;7),"Wkd",TEXT(A842,"Ddd"))&amp;"-"&amp;TEXT(A842,"hh"),LoadTable[],6,FALSE)*T842</f>
        <v>22421.236938720001</v>
      </c>
      <c r="V842">
        <f t="shared" ref="V842:W842" si="880">V818</f>
        <v>3.6</v>
      </c>
      <c r="W842">
        <f t="shared" si="880"/>
        <v>3.1</v>
      </c>
      <c r="X842" s="9">
        <v>-4.7110693166666602</v>
      </c>
    </row>
    <row r="843" spans="1:24" ht="16" thickBot="1">
      <c r="A843" s="120">
        <f t="shared" si="874"/>
        <v>45870.999999997963</v>
      </c>
      <c r="B843" s="121">
        <f t="shared" si="829"/>
        <v>5000</v>
      </c>
      <c r="C843" s="114">
        <v>25000</v>
      </c>
      <c r="D843" s="114">
        <v>0</v>
      </c>
      <c r="E843" s="114">
        <v>700</v>
      </c>
      <c r="F843" s="114">
        <v>15000</v>
      </c>
      <c r="G843" s="114">
        <f t="shared" si="830"/>
        <v>2400</v>
      </c>
      <c r="H843" s="114">
        <v>25000</v>
      </c>
      <c r="I843" s="114">
        <f t="shared" si="831"/>
        <v>5000</v>
      </c>
      <c r="J843" s="114">
        <v>25000</v>
      </c>
      <c r="K843" s="114">
        <f t="shared" si="832"/>
        <v>5000</v>
      </c>
      <c r="L843" s="114">
        <v>25000</v>
      </c>
      <c r="M843" s="115">
        <f>VLOOKUP(DATE(YEAR(A843),MONTH(A843),DAY(A843)),FY24_Temp[],4,FALSE)</f>
        <v>8.5</v>
      </c>
      <c r="N843" s="115">
        <f>VLOOKUP(DATE(YEAR(A843),MONTH(A843),DAY(A843)),FY24_Temp[],3,FALSE)</f>
        <v>14</v>
      </c>
      <c r="O843" s="115">
        <v>13.5</v>
      </c>
      <c r="P843" s="115">
        <v>19.5</v>
      </c>
      <c r="Q843" s="116">
        <f>VLOOKUP(VLOOKUP(DATEVALUE(TEXT(A843,"m/d/yyyy")),FY24_Temp[],5,FALSE)&amp;TEXT(A843,"-h"),Table6[],4,FALSE)</f>
        <v>2.9064285414559499</v>
      </c>
      <c r="R843" s="117">
        <v>10</v>
      </c>
      <c r="S843" s="117">
        <v>1000</v>
      </c>
      <c r="T843" s="100">
        <f>VLOOKUP(TEXT(A843,"yy-mm")&amp;"-"&amp;IF(AND(WEEKDAY(A843)&gt;1,WEEKDAY(A843)&lt;7),"Wkd",TEXT(A843,"Ddd"))&amp;"-"&amp;TEXT(A843,"hh"),LoadTable[],5,FALSE)*0.92</f>
        <v>297.2244</v>
      </c>
      <c r="U843" s="118">
        <f>VLOOKUP(TEXT(A843,"yy-mm")&amp;"-"&amp;IF(AND(WEEKDAY(A843)&gt;1,WEEKDAY(A843)&lt;7),"Wkd",TEXT(A843,"Ddd"))&amp;"-"&amp;TEXT(A843,"hh"),LoadTable[],6,FALSE)*T843</f>
        <v>16487.929141199998</v>
      </c>
      <c r="V843" s="117">
        <f t="shared" ref="V843:W843" si="881">V819</f>
        <v>3</v>
      </c>
      <c r="W843" s="117">
        <f t="shared" si="881"/>
        <v>3.2</v>
      </c>
      <c r="X843" s="119">
        <v>-4.7888638666666603</v>
      </c>
    </row>
    <row r="844" spans="1:24">
      <c r="A844" s="29">
        <f t="shared" si="874"/>
        <v>45871.041666664627</v>
      </c>
      <c r="B844" s="30">
        <f t="shared" si="829"/>
        <v>5000</v>
      </c>
      <c r="C844" s="8">
        <v>25000</v>
      </c>
      <c r="D844" s="8">
        <v>0</v>
      </c>
      <c r="E844" s="8">
        <v>700</v>
      </c>
      <c r="F844" s="8">
        <v>15000</v>
      </c>
      <c r="G844" s="30">
        <f t="shared" si="830"/>
        <v>2400</v>
      </c>
      <c r="H844" s="8">
        <v>25000</v>
      </c>
      <c r="I844" s="30">
        <f t="shared" si="831"/>
        <v>5000</v>
      </c>
      <c r="J844" s="8">
        <v>25000</v>
      </c>
      <c r="K844" s="30">
        <f t="shared" si="832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</v>
      </c>
      <c r="O844" s="9">
        <v>13.5</v>
      </c>
      <c r="P844" s="9">
        <v>19.5</v>
      </c>
      <c r="Q844" s="79">
        <f>VLOOKUP(VLOOKUP(DATEVALUE(TEXT(A844,"m/d/yyyy")),FY24_Temp[],5,FALSE)&amp;TEXT(A844,"-h"),Table6[],4,FALSE)</f>
        <v>2.7961428506033763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VLOOKUP(TEXT(A844,"yy-mm")&amp;"-"&amp;IF(AND(WEEKDAY(A844)&gt;1,WEEKDAY(A844)&lt;7),"Wkd",TEXT(A844,"Ddd"))&amp;"-"&amp;TEXT(A844,"hh"),LoadTable[],5,FALSE)*0.92</f>
        <v>295.12680000000006</v>
      </c>
      <c r="U844" s="104">
        <f>VLOOKUP(TEXT(A844,"yy-mm")&amp;"-"&amp;IF(AND(WEEKDAY(A844)&gt;1,WEEKDAY(A844)&lt;7),"Wkd",TEXT(A844,"Ddd"))&amp;"-"&amp;TEXT(A844,"hh"),LoadTable[],6,FALSE)*T844</f>
        <v>15981.706473600003</v>
      </c>
      <c r="V844">
        <f t="shared" ref="V844:W844" si="882">V820</f>
        <v>2.6</v>
      </c>
      <c r="W844">
        <f t="shared" si="882"/>
        <v>3.2</v>
      </c>
      <c r="X844" s="9">
        <v>-4.8666584166666604</v>
      </c>
    </row>
    <row r="845" spans="1:24">
      <c r="A845" s="29">
        <f t="shared" si="874"/>
        <v>45871.083333331291</v>
      </c>
      <c r="B845" s="30">
        <f t="shared" si="829"/>
        <v>5000</v>
      </c>
      <c r="C845" s="8">
        <v>25000</v>
      </c>
      <c r="D845" s="8">
        <v>0</v>
      </c>
      <c r="E845" s="8">
        <v>700</v>
      </c>
      <c r="F845" s="8">
        <v>15000</v>
      </c>
      <c r="G845" s="30">
        <f t="shared" si="830"/>
        <v>2400</v>
      </c>
      <c r="H845" s="8">
        <v>25000</v>
      </c>
      <c r="I845" s="30">
        <f t="shared" si="831"/>
        <v>5000</v>
      </c>
      <c r="J845" s="8">
        <v>25000</v>
      </c>
      <c r="K845" s="30">
        <f t="shared" si="832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</v>
      </c>
      <c r="O845" s="9">
        <v>13.5</v>
      </c>
      <c r="P845" s="9">
        <v>19.5</v>
      </c>
      <c r="Q845" s="79">
        <f>VLOOKUP(VLOOKUP(DATEVALUE(TEXT(A845,"m/d/yyyy")),FY24_Temp[],5,FALSE)&amp;TEXT(A845,"-h"),Table6[],4,FALSE)</f>
        <v>2.6915714400155202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VLOOKUP(TEXT(A845,"yy-mm")&amp;"-"&amp;IF(AND(WEEKDAY(A845)&gt;1,WEEKDAY(A845)&lt;7),"Wkd",TEXT(A845,"Ddd"))&amp;"-"&amp;TEXT(A845,"hh"),LoadTable[],5,FALSE)*0.92</f>
        <v>295.12680000000006</v>
      </c>
      <c r="U845" s="104">
        <f>VLOOKUP(TEXT(A845,"yy-mm")&amp;"-"&amp;IF(AND(WEEKDAY(A845)&gt;1,WEEKDAY(A845)&lt;7),"Wkd",TEXT(A845,"Ddd"))&amp;"-"&amp;TEXT(A845,"hh"),LoadTable[],6,FALSE)*T845</f>
        <v>15430.704738000002</v>
      </c>
      <c r="V845">
        <f t="shared" ref="V845:W845" si="883">V821</f>
        <v>2.8</v>
      </c>
      <c r="W845">
        <f t="shared" si="883"/>
        <v>3.2</v>
      </c>
      <c r="X845" s="9">
        <v>-4.9444529666666597</v>
      </c>
    </row>
    <row r="846" spans="1:24">
      <c r="A846" s="29">
        <f t="shared" si="874"/>
        <v>45871.124999997955</v>
      </c>
      <c r="B846" s="30">
        <f t="shared" si="829"/>
        <v>5000</v>
      </c>
      <c r="C846" s="8">
        <v>25000</v>
      </c>
      <c r="D846" s="8">
        <v>0</v>
      </c>
      <c r="E846" s="8">
        <v>700</v>
      </c>
      <c r="F846" s="8">
        <v>15000</v>
      </c>
      <c r="G846" s="30">
        <f t="shared" si="830"/>
        <v>2400</v>
      </c>
      <c r="H846" s="8">
        <v>25000</v>
      </c>
      <c r="I846" s="30">
        <f t="shared" si="831"/>
        <v>5000</v>
      </c>
      <c r="J846" s="8">
        <v>25000</v>
      </c>
      <c r="K846" s="30">
        <f t="shared" si="832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</v>
      </c>
      <c r="O846" s="9">
        <v>13.5</v>
      </c>
      <c r="P846" s="9">
        <v>19.5</v>
      </c>
      <c r="Q846" s="79">
        <f>VLOOKUP(VLOOKUP(DATEVALUE(TEXT(A846,"m/d/yyyy")),FY24_Temp[],5,FALSE)&amp;TEXT(A846,"-h"),Table6[],4,FALSE)</f>
        <v>2.5627142701830183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VLOOKUP(TEXT(A846,"yy-mm")&amp;"-"&amp;IF(AND(WEEKDAY(A846)&gt;1,WEEKDAY(A846)&lt;7),"Wkd",TEXT(A846,"Ddd"))&amp;"-"&amp;TEXT(A846,"hh"),LoadTable[],5,FALSE)*0.92</f>
        <v>295.12680000000006</v>
      </c>
      <c r="U846" s="104">
        <f>VLOOKUP(TEXT(A846,"yy-mm")&amp;"-"&amp;IF(AND(WEEKDAY(A846)&gt;1,WEEKDAY(A846)&lt;7),"Wkd",TEXT(A846,"Ddd"))&amp;"-"&amp;TEXT(A846,"hh"),LoadTable[],6,FALSE)*T846</f>
        <v>15495.632634000003</v>
      </c>
      <c r="V846">
        <f t="shared" ref="V846:W846" si="884">V822</f>
        <v>2.7</v>
      </c>
      <c r="W846">
        <f t="shared" si="884"/>
        <v>3.2</v>
      </c>
      <c r="X846" s="9">
        <v>-5.0222475166666598</v>
      </c>
    </row>
    <row r="847" spans="1:24">
      <c r="A847" s="29">
        <f t="shared" si="874"/>
        <v>45871.16666666462</v>
      </c>
      <c r="B847" s="30">
        <f t="shared" si="829"/>
        <v>5000</v>
      </c>
      <c r="C847" s="8">
        <v>25000</v>
      </c>
      <c r="D847" s="8">
        <v>0</v>
      </c>
      <c r="E847" s="8">
        <v>700</v>
      </c>
      <c r="F847" s="8">
        <v>15000</v>
      </c>
      <c r="G847" s="30">
        <f t="shared" si="830"/>
        <v>2400</v>
      </c>
      <c r="H847" s="8">
        <v>25000</v>
      </c>
      <c r="I847" s="30">
        <f t="shared" si="831"/>
        <v>5000</v>
      </c>
      <c r="J847" s="8">
        <v>25000</v>
      </c>
      <c r="K847" s="30">
        <f t="shared" si="832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</v>
      </c>
      <c r="O847" s="9">
        <v>13.5</v>
      </c>
      <c r="P847" s="9">
        <v>19.5</v>
      </c>
      <c r="Q847" s="79">
        <f>VLOOKUP(VLOOKUP(DATEVALUE(TEXT(A847,"m/d/yyyy")),FY24_Temp[],5,FALSE)&amp;TEXT(A847,"-h"),Table6[],4,FALSE)</f>
        <v>2.3978571210588728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VLOOKUP(TEXT(A847,"yy-mm")&amp;"-"&amp;IF(AND(WEEKDAY(A847)&gt;1,WEEKDAY(A847)&lt;7),"Wkd",TEXT(A847,"Ddd"))&amp;"-"&amp;TEXT(A847,"hh"),LoadTable[],5,FALSE)*0.92</f>
        <v>295.12680000000006</v>
      </c>
      <c r="U847" s="104">
        <f>VLOOKUP(TEXT(A847,"yy-mm")&amp;"-"&amp;IF(AND(WEEKDAY(A847)&gt;1,WEEKDAY(A847)&lt;7),"Wkd",TEXT(A847,"Ddd"))&amp;"-"&amp;TEXT(A847,"hh"),LoadTable[],6,FALSE)*T847</f>
        <v>15580.924279200002</v>
      </c>
      <c r="V847">
        <f t="shared" ref="V847:W847" si="885">V823</f>
        <v>3</v>
      </c>
      <c r="W847">
        <f t="shared" si="885"/>
        <v>3.1</v>
      </c>
      <c r="X847" s="9">
        <v>-5.1000420666666599</v>
      </c>
    </row>
    <row r="848" spans="1:24">
      <c r="A848" s="29">
        <f t="shared" si="874"/>
        <v>45871.208333331284</v>
      </c>
      <c r="B848" s="30">
        <f t="shared" si="829"/>
        <v>5000</v>
      </c>
      <c r="C848" s="8">
        <v>25000</v>
      </c>
      <c r="D848" s="8">
        <v>0</v>
      </c>
      <c r="E848" s="8">
        <v>700</v>
      </c>
      <c r="F848" s="8">
        <v>15000</v>
      </c>
      <c r="G848" s="30">
        <f t="shared" si="830"/>
        <v>2400</v>
      </c>
      <c r="H848" s="8">
        <v>25000</v>
      </c>
      <c r="I848" s="30">
        <f t="shared" si="831"/>
        <v>5000</v>
      </c>
      <c r="J848" s="8">
        <v>25000</v>
      </c>
      <c r="K848" s="30">
        <f t="shared" si="832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</v>
      </c>
      <c r="O848" s="9">
        <v>13.5</v>
      </c>
      <c r="P848" s="9">
        <v>19.5</v>
      </c>
      <c r="Q848" s="79">
        <f>VLOOKUP(VLOOKUP(DATEVALUE(TEXT(A848,"m/d/yyyy")),FY24_Temp[],5,FALSE)&amp;TEXT(A848,"-h"),Table6[],4,FALSE)</f>
        <v>2.2397142818995883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VLOOKUP(TEXT(A848,"yy-mm")&amp;"-"&amp;IF(AND(WEEKDAY(A848)&gt;1,WEEKDAY(A848)&lt;7),"Wkd",TEXT(A848,"Ddd"))&amp;"-"&amp;TEXT(A848,"hh"),LoadTable[],5,FALSE)*0.92</f>
        <v>295.12680000000006</v>
      </c>
      <c r="U848" s="104">
        <f>VLOOKUP(TEXT(A848,"yy-mm")&amp;"-"&amp;IF(AND(WEEKDAY(A848)&gt;1,WEEKDAY(A848)&lt;7),"Wkd",TEXT(A848,"Ddd"))&amp;"-"&amp;TEXT(A848,"hh"),LoadTable[],6,FALSE)*T848</f>
        <v>15706.058042400004</v>
      </c>
      <c r="V848">
        <f t="shared" ref="V848:W848" si="886">V824</f>
        <v>2.9</v>
      </c>
      <c r="W848">
        <f t="shared" si="886"/>
        <v>3.1</v>
      </c>
      <c r="X848" s="9">
        <v>-5.1778366166666601</v>
      </c>
    </row>
    <row r="849" spans="1:24">
      <c r="A849" s="29">
        <f t="shared" si="874"/>
        <v>45871.249999997948</v>
      </c>
      <c r="B849" s="30">
        <f t="shared" si="829"/>
        <v>8000</v>
      </c>
      <c r="C849" s="8">
        <v>25000</v>
      </c>
      <c r="D849" s="8">
        <v>0</v>
      </c>
      <c r="E849" s="8">
        <v>700</v>
      </c>
      <c r="F849" s="8">
        <v>15000</v>
      </c>
      <c r="G849" s="30">
        <f t="shared" si="830"/>
        <v>2400</v>
      </c>
      <c r="H849" s="8">
        <v>25000</v>
      </c>
      <c r="I849" s="30">
        <f t="shared" si="831"/>
        <v>8000</v>
      </c>
      <c r="J849" s="8">
        <v>25000</v>
      </c>
      <c r="K849" s="30">
        <f t="shared" si="832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</v>
      </c>
      <c r="O849" s="9">
        <v>13.5</v>
      </c>
      <c r="P849" s="9">
        <v>19.5</v>
      </c>
      <c r="Q849" s="79">
        <f>VLOOKUP(VLOOKUP(DATEVALUE(TEXT(A849,"m/d/yyyy")),FY24_Temp[],5,FALSE)&amp;TEXT(A849,"-h"),Table6[],4,FALSE)</f>
        <v>2.1271428721291676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VLOOKUP(TEXT(A849,"yy-mm")&amp;"-"&amp;IF(AND(WEEKDAY(A849)&gt;1,WEEKDAY(A849)&lt;7),"Wkd",TEXT(A849,"Ddd"))&amp;"-"&amp;TEXT(A849,"hh"),LoadTable[],5,FALSE)*0.92</f>
        <v>295.12680000000006</v>
      </c>
      <c r="U849" s="104">
        <f>VLOOKUP(TEXT(A849,"yy-mm")&amp;"-"&amp;IF(AND(WEEKDAY(A849)&gt;1,WEEKDAY(A849)&lt;7),"Wkd",TEXT(A849,"Ddd"))&amp;"-"&amp;TEXT(A849,"hh"),LoadTable[],6,FALSE)*T849</f>
        <v>19680.235531200004</v>
      </c>
      <c r="V849">
        <f t="shared" ref="V849:W849" si="887">V825</f>
        <v>2.5</v>
      </c>
      <c r="W849">
        <f t="shared" si="887"/>
        <v>3.1</v>
      </c>
      <c r="X849" s="9">
        <v>-5.2556311666666602</v>
      </c>
    </row>
    <row r="850" spans="1:24">
      <c r="A850" s="29">
        <f t="shared" si="874"/>
        <v>45871.291666664612</v>
      </c>
      <c r="B850" s="30">
        <f t="shared" si="829"/>
        <v>8000</v>
      </c>
      <c r="C850" s="8">
        <v>25000</v>
      </c>
      <c r="D850" s="8">
        <v>0</v>
      </c>
      <c r="E850" s="8">
        <v>700</v>
      </c>
      <c r="F850" s="8">
        <v>15000</v>
      </c>
      <c r="G850" s="30">
        <f t="shared" si="830"/>
        <v>2400</v>
      </c>
      <c r="H850" s="8">
        <v>25000</v>
      </c>
      <c r="I850" s="30">
        <f t="shared" si="831"/>
        <v>8000</v>
      </c>
      <c r="J850" s="8">
        <v>25000</v>
      </c>
      <c r="K850" s="30">
        <f t="shared" si="832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</v>
      </c>
      <c r="O850" s="9">
        <v>13.5</v>
      </c>
      <c r="P850" s="9">
        <v>19.5</v>
      </c>
      <c r="Q850" s="79">
        <f>VLOOKUP(VLOOKUP(DATEVALUE(TEXT(A850,"m/d/yyyy")),FY24_Temp[],5,FALSE)&amp;TEXT(A850,"-h"),Table6[],4,FALSE)</f>
        <v>2.0365714345659529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VLOOKUP(TEXT(A850,"yy-mm")&amp;"-"&amp;IF(AND(WEEKDAY(A850)&gt;1,WEEKDAY(A850)&lt;7),"Wkd",TEXT(A850,"Ddd"))&amp;"-"&amp;TEXT(A850,"hh"),LoadTable[],5,FALSE)*0.92</f>
        <v>295.12680000000006</v>
      </c>
      <c r="U850" s="104">
        <f>VLOOKUP(TEXT(A850,"yy-mm")&amp;"-"&amp;IF(AND(WEEKDAY(A850)&gt;1,WEEKDAY(A850)&lt;7),"Wkd",TEXT(A850,"Ddd"))&amp;"-"&amp;TEXT(A850,"hh"),LoadTable[],6,FALSE)*T850</f>
        <v>18329.440167600005</v>
      </c>
      <c r="V850">
        <f t="shared" ref="V850:W850" si="888">V826</f>
        <v>2.5</v>
      </c>
      <c r="W850">
        <f t="shared" si="888"/>
        <v>3.1</v>
      </c>
      <c r="X850" s="9">
        <v>-5.3334257166666603</v>
      </c>
    </row>
    <row r="851" spans="1:24">
      <c r="A851" s="29">
        <f t="shared" si="874"/>
        <v>45871.333333331277</v>
      </c>
      <c r="B851" s="30">
        <f t="shared" si="829"/>
        <v>8000</v>
      </c>
      <c r="C851" s="8">
        <v>25000</v>
      </c>
      <c r="D851" s="8">
        <v>0</v>
      </c>
      <c r="E851" s="8">
        <v>700</v>
      </c>
      <c r="F851" s="8">
        <v>15000</v>
      </c>
      <c r="G851" s="30">
        <f t="shared" si="830"/>
        <v>2400</v>
      </c>
      <c r="H851" s="8">
        <v>25000</v>
      </c>
      <c r="I851" s="30">
        <f t="shared" si="831"/>
        <v>8000</v>
      </c>
      <c r="J851" s="8">
        <v>25000</v>
      </c>
      <c r="K851" s="30">
        <f t="shared" si="832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</v>
      </c>
      <c r="O851" s="9">
        <v>13.5</v>
      </c>
      <c r="P851" s="9">
        <v>19.5</v>
      </c>
      <c r="Q851" s="79">
        <f>VLOOKUP(VLOOKUP(DATEVALUE(TEXT(A851,"m/d/yyyy")),FY24_Temp[],5,FALSE)&amp;TEXT(A851,"-h"),Table6[],4,FALSE)</f>
        <v>1.9252857310431344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VLOOKUP(TEXT(A851,"yy-mm")&amp;"-"&amp;IF(AND(WEEKDAY(A851)&gt;1,WEEKDAY(A851)&lt;7),"Wkd",TEXT(A851,"Ddd"))&amp;"-"&amp;TEXT(A851,"hh"),LoadTable[],5,FALSE)*0.92</f>
        <v>295.12680000000006</v>
      </c>
      <c r="U851" s="104">
        <f>VLOOKUP(TEXT(A851,"yy-mm")&amp;"-"&amp;IF(AND(WEEKDAY(A851)&gt;1,WEEKDAY(A851)&lt;7),"Wkd",TEXT(A851,"Ddd"))&amp;"-"&amp;TEXT(A851,"hh"),LoadTable[],6,FALSE)*T851</f>
        <v>15066.223140000002</v>
      </c>
      <c r="V851">
        <f t="shared" ref="V851:W851" si="889">V827</f>
        <v>3.2</v>
      </c>
      <c r="W851">
        <f t="shared" si="889"/>
        <v>3</v>
      </c>
      <c r="X851" s="9">
        <v>-5.4112202666666596</v>
      </c>
    </row>
    <row r="852" spans="1:24">
      <c r="A852" s="29">
        <f t="shared" si="874"/>
        <v>45871.374999997941</v>
      </c>
      <c r="B852" s="30">
        <f t="shared" si="829"/>
        <v>8000</v>
      </c>
      <c r="C852" s="8">
        <v>25000</v>
      </c>
      <c r="D852" s="8">
        <v>0</v>
      </c>
      <c r="E852" s="8">
        <v>700</v>
      </c>
      <c r="F852" s="8">
        <v>15000</v>
      </c>
      <c r="G852" s="30">
        <f t="shared" si="830"/>
        <v>2400</v>
      </c>
      <c r="H852" s="8">
        <v>25000</v>
      </c>
      <c r="I852" s="30">
        <f t="shared" si="831"/>
        <v>8000</v>
      </c>
      <c r="J852" s="8">
        <v>25000</v>
      </c>
      <c r="K852" s="30">
        <f t="shared" si="832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</v>
      </c>
      <c r="O852" s="9">
        <v>13.5</v>
      </c>
      <c r="P852" s="9">
        <v>19.5</v>
      </c>
      <c r="Q852" s="79">
        <f>VLOOKUP(VLOOKUP(DATEVALUE(TEXT(A852,"m/d/yyyy")),FY24_Temp[],5,FALSE)&amp;TEXT(A852,"-h"),Table6[],4,FALSE)</f>
        <v>1.824714285986764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VLOOKUP(TEXT(A852,"yy-mm")&amp;"-"&amp;IF(AND(WEEKDAY(A852)&gt;1,WEEKDAY(A852)&lt;7),"Wkd",TEXT(A852,"Ddd"))&amp;"-"&amp;TEXT(A852,"hh"),LoadTable[],5,FALSE)*0.92</f>
        <v>295.12680000000006</v>
      </c>
      <c r="U852" s="104">
        <f>VLOOKUP(TEXT(A852,"yy-mm")&amp;"-"&amp;IF(AND(WEEKDAY(A852)&gt;1,WEEKDAY(A852)&lt;7),"Wkd",TEXT(A852,"Ddd"))&amp;"-"&amp;TEXT(A852,"hh"),LoadTable[],6,FALSE)*T852</f>
        <v>13543.663978800003</v>
      </c>
      <c r="V852">
        <f t="shared" ref="V852:W852" si="890">V828</f>
        <v>2.9</v>
      </c>
      <c r="W852">
        <f t="shared" si="890"/>
        <v>3</v>
      </c>
      <c r="X852" s="9">
        <v>-5.4890148166666597</v>
      </c>
    </row>
    <row r="853" spans="1:24">
      <c r="A853" s="29">
        <f t="shared" si="874"/>
        <v>45871.416666664605</v>
      </c>
      <c r="B853" s="30">
        <f t="shared" si="829"/>
        <v>8000</v>
      </c>
      <c r="C853" s="8">
        <v>25000</v>
      </c>
      <c r="D853" s="8">
        <v>0</v>
      </c>
      <c r="E853" s="8">
        <v>700</v>
      </c>
      <c r="F853" s="8">
        <v>15000</v>
      </c>
      <c r="G853" s="30">
        <f t="shared" si="830"/>
        <v>2400</v>
      </c>
      <c r="H853" s="8">
        <v>25000</v>
      </c>
      <c r="I853" s="30">
        <f t="shared" si="831"/>
        <v>8000</v>
      </c>
      <c r="J853" s="8">
        <v>25000</v>
      </c>
      <c r="K853" s="30">
        <f t="shared" si="832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</v>
      </c>
      <c r="O853" s="9">
        <v>13.5</v>
      </c>
      <c r="P853" s="9">
        <v>19.5</v>
      </c>
      <c r="Q853" s="79">
        <f>VLOOKUP(VLOOKUP(DATEVALUE(TEXT(A853,"m/d/yyyy")),FY24_Temp[],5,FALSE)&amp;TEXT(A853,"-h"),Table6[],4,FALSE)</f>
        <v>1.7312857082911901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VLOOKUP(TEXT(A853,"yy-mm")&amp;"-"&amp;IF(AND(WEEKDAY(A853)&gt;1,WEEKDAY(A853)&lt;7),"Wkd",TEXT(A853,"Ddd"))&amp;"-"&amp;TEXT(A853,"hh"),LoadTable[],5,FALSE)*0.92</f>
        <v>295.12680000000006</v>
      </c>
      <c r="U853" s="104">
        <f>VLOOKUP(TEXT(A853,"yy-mm")&amp;"-"&amp;IF(AND(WEEKDAY(A853)&gt;1,WEEKDAY(A853)&lt;7),"Wkd",TEXT(A853,"Ddd"))&amp;"-"&amp;TEXT(A853,"hh"),LoadTable[],6,FALSE)*T853</f>
        <v>13519.168454400002</v>
      </c>
      <c r="V853">
        <f t="shared" ref="V853:W853" si="891">V829</f>
        <v>2.9</v>
      </c>
      <c r="W853">
        <f t="shared" si="891"/>
        <v>3</v>
      </c>
      <c r="X853" s="9">
        <v>-5.5668093666666598</v>
      </c>
    </row>
    <row r="854" spans="1:24">
      <c r="A854" s="29">
        <f t="shared" si="874"/>
        <v>45871.458333331269</v>
      </c>
      <c r="B854" s="30">
        <f t="shared" si="829"/>
        <v>8000</v>
      </c>
      <c r="C854" s="8">
        <v>25000</v>
      </c>
      <c r="D854" s="8">
        <v>0</v>
      </c>
      <c r="E854" s="8">
        <v>700</v>
      </c>
      <c r="F854" s="8">
        <v>15000</v>
      </c>
      <c r="G854" s="30">
        <f t="shared" si="830"/>
        <v>2400</v>
      </c>
      <c r="H854" s="8">
        <v>25000</v>
      </c>
      <c r="I854" s="30">
        <f t="shared" si="831"/>
        <v>8000</v>
      </c>
      <c r="J854" s="8">
        <v>25000</v>
      </c>
      <c r="K854" s="30">
        <f t="shared" si="832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</v>
      </c>
      <c r="O854" s="9">
        <v>13.5</v>
      </c>
      <c r="P854" s="9">
        <v>19.5</v>
      </c>
      <c r="Q854" s="79">
        <f>VLOOKUP(VLOOKUP(DATEVALUE(TEXT(A854,"m/d/yyyy")),FY24_Temp[],5,FALSE)&amp;TEXT(A854,"-h"),Table6[],4,FALSE)</f>
        <v>1.6252857276371546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VLOOKUP(TEXT(A854,"yy-mm")&amp;"-"&amp;IF(AND(WEEKDAY(A854)&gt;1,WEEKDAY(A854)&lt;7),"Wkd",TEXT(A854,"Ddd"))&amp;"-"&amp;TEXT(A854,"hh"),LoadTable[],5,FALSE)*0.92</f>
        <v>295.12680000000006</v>
      </c>
      <c r="U854" s="104">
        <f>VLOOKUP(TEXT(A854,"yy-mm")&amp;"-"&amp;IF(AND(WEEKDAY(A854)&gt;1,WEEKDAY(A854)&lt;7),"Wkd",TEXT(A854,"Ddd"))&amp;"-"&amp;TEXT(A854,"hh"),LoadTable[],6,FALSE)*T854</f>
        <v>13493.492422800002</v>
      </c>
      <c r="V854">
        <f t="shared" ref="V854:W854" si="892">V830</f>
        <v>3.4</v>
      </c>
      <c r="W854">
        <f t="shared" si="892"/>
        <v>3</v>
      </c>
      <c r="X854" s="9">
        <v>-5.6446039166666599</v>
      </c>
    </row>
    <row r="855" spans="1:24">
      <c r="A855" s="29">
        <f t="shared" si="874"/>
        <v>45871.499999997934</v>
      </c>
      <c r="B855" s="30">
        <f t="shared" si="829"/>
        <v>8000</v>
      </c>
      <c r="C855" s="8">
        <v>25000</v>
      </c>
      <c r="D855" s="8">
        <v>0</v>
      </c>
      <c r="E855" s="8">
        <v>700</v>
      </c>
      <c r="F855" s="8">
        <v>15000</v>
      </c>
      <c r="G855" s="30">
        <f t="shared" si="830"/>
        <v>2400</v>
      </c>
      <c r="H855" s="8">
        <v>25000</v>
      </c>
      <c r="I855" s="30">
        <f t="shared" si="831"/>
        <v>8000</v>
      </c>
      <c r="J855" s="8">
        <v>25000</v>
      </c>
      <c r="K855" s="30">
        <f t="shared" si="832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</v>
      </c>
      <c r="O855" s="9">
        <v>13.5</v>
      </c>
      <c r="P855" s="9">
        <v>19.5</v>
      </c>
      <c r="Q855" s="79">
        <f>VLOOKUP(VLOOKUP(DATEVALUE(TEXT(A855,"m/d/yyyy")),FY24_Temp[],5,FALSE)&amp;TEXT(A855,"-h"),Table6[],4,FALSE)</f>
        <v>1.4844285760607039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VLOOKUP(TEXT(A855,"yy-mm")&amp;"-"&amp;IF(AND(WEEKDAY(A855)&gt;1,WEEKDAY(A855)&lt;7),"Wkd",TEXT(A855,"Ddd"))&amp;"-"&amp;TEXT(A855,"hh"),LoadTable[],5,FALSE)*0.92</f>
        <v>295.12680000000006</v>
      </c>
      <c r="U855" s="104">
        <f>VLOOKUP(TEXT(A855,"yy-mm")&amp;"-"&amp;IF(AND(WEEKDAY(A855)&gt;1,WEEKDAY(A855)&lt;7),"Wkd",TEXT(A855,"Ddd"))&amp;"-"&amp;TEXT(A855,"hh"),LoadTable[],6,FALSE)*T855</f>
        <v>13497.624198000003</v>
      </c>
      <c r="V855">
        <f t="shared" ref="V855:W855" si="893">V831</f>
        <v>3.1</v>
      </c>
      <c r="W855">
        <f t="shared" si="893"/>
        <v>2.9</v>
      </c>
      <c r="X855" s="9">
        <v>-5.7223984666666601</v>
      </c>
    </row>
    <row r="856" spans="1:24">
      <c r="A856" s="29">
        <f t="shared" si="874"/>
        <v>45871.541666664598</v>
      </c>
      <c r="B856" s="30">
        <f t="shared" si="829"/>
        <v>8000</v>
      </c>
      <c r="C856" s="8">
        <v>25000</v>
      </c>
      <c r="D856" s="8">
        <v>0</v>
      </c>
      <c r="E856" s="8">
        <v>700</v>
      </c>
      <c r="F856" s="8">
        <v>15000</v>
      </c>
      <c r="G856" s="30">
        <f t="shared" si="830"/>
        <v>2400</v>
      </c>
      <c r="H856" s="8">
        <v>25000</v>
      </c>
      <c r="I856" s="30">
        <f t="shared" si="831"/>
        <v>8000</v>
      </c>
      <c r="J856" s="8">
        <v>25000</v>
      </c>
      <c r="K856" s="30">
        <f t="shared" si="832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</v>
      </c>
      <c r="O856" s="9">
        <v>13.5</v>
      </c>
      <c r="P856" s="9">
        <v>19.5</v>
      </c>
      <c r="Q856" s="79">
        <f>VLOOKUP(VLOOKUP(DATEVALUE(TEXT(A856,"m/d/yyyy")),FY24_Temp[],5,FALSE)&amp;TEXT(A856,"-h"),Table6[],4,FALSE)</f>
        <v>1.3144285849162511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VLOOKUP(TEXT(A856,"yy-mm")&amp;"-"&amp;IF(AND(WEEKDAY(A856)&gt;1,WEEKDAY(A856)&lt;7),"Wkd",TEXT(A856,"Ddd"))&amp;"-"&amp;TEXT(A856,"hh"),LoadTable[],5,FALSE)*0.92</f>
        <v>295.12680000000006</v>
      </c>
      <c r="U856" s="104">
        <f>VLOOKUP(TEXT(A856,"yy-mm")&amp;"-"&amp;IF(AND(WEEKDAY(A856)&gt;1,WEEKDAY(A856)&lt;7),"Wkd",TEXT(A856,"Ddd"))&amp;"-"&amp;TEXT(A856,"hh"),LoadTable[],6,FALSE)*T856</f>
        <v>13523.005102800002</v>
      </c>
      <c r="V856">
        <f t="shared" ref="V856:W856" si="894">V832</f>
        <v>3.2</v>
      </c>
      <c r="W856">
        <f t="shared" si="894"/>
        <v>2.9</v>
      </c>
      <c r="X856" s="9">
        <v>-5.8001930166666602</v>
      </c>
    </row>
    <row r="857" spans="1:24">
      <c r="A857" s="29">
        <f t="shared" si="874"/>
        <v>45871.583333331262</v>
      </c>
      <c r="B857" s="30">
        <f t="shared" si="829"/>
        <v>8000</v>
      </c>
      <c r="C857" s="8">
        <v>25000</v>
      </c>
      <c r="D857" s="8">
        <v>0</v>
      </c>
      <c r="E857" s="8">
        <v>700</v>
      </c>
      <c r="F857" s="8">
        <v>15000</v>
      </c>
      <c r="G857" s="30">
        <f t="shared" si="830"/>
        <v>2400</v>
      </c>
      <c r="H857" s="8">
        <v>25000</v>
      </c>
      <c r="I857" s="30">
        <f t="shared" si="831"/>
        <v>8000</v>
      </c>
      <c r="J857" s="8">
        <v>25000</v>
      </c>
      <c r="K857" s="30">
        <f t="shared" si="832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</v>
      </c>
      <c r="O857" s="9">
        <v>13.5</v>
      </c>
      <c r="P857" s="9">
        <v>19.5</v>
      </c>
      <c r="Q857" s="79">
        <f>VLOOKUP(VLOOKUP(DATEVALUE(TEXT(A857,"m/d/yyyy")),FY24_Temp[],5,FALSE)&amp;TEXT(A857,"-h"),Table6[],4,FALSE)</f>
        <v>1.131428565297808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VLOOKUP(TEXT(A857,"yy-mm")&amp;"-"&amp;IF(AND(WEEKDAY(A857)&gt;1,WEEKDAY(A857)&lt;7),"Wkd",TEXT(A857,"Ddd"))&amp;"-"&amp;TEXT(A857,"hh"),LoadTable[],5,FALSE)*0.92</f>
        <v>295.12680000000006</v>
      </c>
      <c r="U857" s="104">
        <f>VLOOKUP(TEXT(A857,"yy-mm")&amp;"-"&amp;IF(AND(WEEKDAY(A857)&gt;1,WEEKDAY(A857)&lt;7),"Wkd",TEXT(A857,"Ddd"))&amp;"-"&amp;TEXT(A857,"hh"),LoadTable[],6,FALSE)*T857</f>
        <v>13610.952889200003</v>
      </c>
      <c r="V857">
        <f t="shared" ref="V857:W857" si="895">V833</f>
        <v>3.5</v>
      </c>
      <c r="W857">
        <f t="shared" si="895"/>
        <v>2.9</v>
      </c>
      <c r="X857" s="9">
        <v>-5.8779875666666603</v>
      </c>
    </row>
    <row r="858" spans="1:24">
      <c r="A858" s="29">
        <f t="shared" si="874"/>
        <v>45871.624999997926</v>
      </c>
      <c r="B858" s="30">
        <f t="shared" si="829"/>
        <v>8000</v>
      </c>
      <c r="C858" s="8">
        <v>25000</v>
      </c>
      <c r="D858" s="8">
        <v>0</v>
      </c>
      <c r="E858" s="8">
        <v>700</v>
      </c>
      <c r="F858" s="8">
        <v>15000</v>
      </c>
      <c r="G858" s="30">
        <f t="shared" si="830"/>
        <v>2400</v>
      </c>
      <c r="H858" s="8">
        <v>25000</v>
      </c>
      <c r="I858" s="30">
        <f t="shared" si="831"/>
        <v>8000</v>
      </c>
      <c r="J858" s="8">
        <v>25000</v>
      </c>
      <c r="K858" s="30">
        <f t="shared" si="832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</v>
      </c>
      <c r="O858" s="9">
        <v>13.5</v>
      </c>
      <c r="P858" s="9">
        <v>19.5</v>
      </c>
      <c r="Q858" s="79">
        <f>VLOOKUP(VLOOKUP(DATEVALUE(TEXT(A858,"m/d/yyyy")),FY24_Temp[],5,FALSE)&amp;TEXT(A858,"-h"),Table6[],4,FALSE)</f>
        <v>0.96828571387699669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VLOOKUP(TEXT(A858,"yy-mm")&amp;"-"&amp;IF(AND(WEEKDAY(A858)&gt;1,WEEKDAY(A858)&lt;7),"Wkd",TEXT(A858,"Ddd"))&amp;"-"&amp;TEXT(A858,"hh"),LoadTable[],5,FALSE)*0.92</f>
        <v>347.07460000000003</v>
      </c>
      <c r="U858" s="104">
        <f>VLOOKUP(TEXT(A858,"yy-mm")&amp;"-"&amp;IF(AND(WEEKDAY(A858)&gt;1,WEEKDAY(A858)&lt;7),"Wkd",TEXT(A858,"Ddd"))&amp;"-"&amp;TEXT(A858,"hh"),LoadTable[],6,FALSE)*T858</f>
        <v>17934.732880400003</v>
      </c>
      <c r="V858">
        <f t="shared" ref="V858:W858" si="896">V834</f>
        <v>3.2</v>
      </c>
      <c r="W858">
        <f t="shared" si="896"/>
        <v>2.9</v>
      </c>
      <c r="X858" s="9">
        <v>-5.9557821166666596</v>
      </c>
    </row>
    <row r="859" spans="1:24">
      <c r="A859" s="29">
        <f t="shared" si="874"/>
        <v>45871.666666664591</v>
      </c>
      <c r="B859" s="30">
        <f t="shared" si="829"/>
        <v>8000</v>
      </c>
      <c r="C859" s="8">
        <v>25000</v>
      </c>
      <c r="D859" s="8">
        <v>0</v>
      </c>
      <c r="E859" s="8">
        <v>700</v>
      </c>
      <c r="F859" s="8">
        <v>15000</v>
      </c>
      <c r="G859" s="30">
        <f t="shared" si="830"/>
        <v>2400</v>
      </c>
      <c r="H859" s="8">
        <v>25000</v>
      </c>
      <c r="I859" s="30">
        <f t="shared" si="831"/>
        <v>8000</v>
      </c>
      <c r="J859" s="8">
        <v>25000</v>
      </c>
      <c r="K859" s="30">
        <f t="shared" si="832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</v>
      </c>
      <c r="O859" s="9">
        <v>13.5</v>
      </c>
      <c r="P859" s="9">
        <v>19.5</v>
      </c>
      <c r="Q859" s="79">
        <f>VLOOKUP(VLOOKUP(DATEVALUE(TEXT(A859,"m/d/yyyy")),FY24_Temp[],5,FALSE)&amp;TEXT(A859,"-h"),Table6[],4,FALSE)</f>
        <v>0.89385713849748882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VLOOKUP(TEXT(A859,"yy-mm")&amp;"-"&amp;IF(AND(WEEKDAY(A859)&gt;1,WEEKDAY(A859)&lt;7),"Wkd",TEXT(A859,"Ddd"))&amp;"-"&amp;TEXT(A859,"hh"),LoadTable[],5,FALSE)*0.92</f>
        <v>406.27384000000001</v>
      </c>
      <c r="U859" s="104">
        <f>VLOOKUP(TEXT(A859,"yy-mm")&amp;"-"&amp;IF(AND(WEEKDAY(A859)&gt;1,WEEKDAY(A859)&lt;7),"Wkd",TEXT(A859,"Ddd"))&amp;"-"&amp;TEXT(A859,"hh"),LoadTable[],6,FALSE)*T859</f>
        <v>24574.692033920001</v>
      </c>
      <c r="V859">
        <f t="shared" ref="V859:W859" si="897">V835</f>
        <v>3.5</v>
      </c>
      <c r="W859">
        <f t="shared" si="897"/>
        <v>3</v>
      </c>
      <c r="X859" s="9">
        <v>-6.0335766666666597</v>
      </c>
    </row>
    <row r="860" spans="1:24">
      <c r="A860" s="29">
        <f t="shared" si="874"/>
        <v>45871.708333331255</v>
      </c>
      <c r="B860" s="30">
        <f t="shared" ref="B860:B923" si="898">B836</f>
        <v>8000</v>
      </c>
      <c r="C860" s="8">
        <v>25000</v>
      </c>
      <c r="D860" s="8">
        <v>0</v>
      </c>
      <c r="E860" s="8">
        <v>700</v>
      </c>
      <c r="F860" s="8">
        <v>15000</v>
      </c>
      <c r="G860" s="30">
        <f t="shared" ref="G860:G923" si="899">G836</f>
        <v>2400</v>
      </c>
      <c r="H860" s="8">
        <v>25000</v>
      </c>
      <c r="I860" s="30">
        <f t="shared" ref="I860:I923" si="900">I836</f>
        <v>8000</v>
      </c>
      <c r="J860" s="8">
        <v>25000</v>
      </c>
      <c r="K860" s="30">
        <f t="shared" ref="K860:K923" si="901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</v>
      </c>
      <c r="O860" s="9">
        <v>13.5</v>
      </c>
      <c r="P860" s="9">
        <v>19.5</v>
      </c>
      <c r="Q860" s="79">
        <f>VLOOKUP(VLOOKUP(DATEVALUE(TEXT(A860,"m/d/yyyy")),FY24_Temp[],5,FALSE)&amp;TEXT(A860,"-h"),Table6[],4,FALSE)</f>
        <v>1.0775714346340723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VLOOKUP(TEXT(A860,"yy-mm")&amp;"-"&amp;IF(AND(WEEKDAY(A860)&gt;1,WEEKDAY(A860)&lt;7),"Wkd",TEXT(A860,"Ddd"))&amp;"-"&amp;TEXT(A860,"hh"),LoadTable[],5,FALSE)*0.92</f>
        <v>521.92427999999995</v>
      </c>
      <c r="U860" s="104">
        <f>VLOOKUP(TEXT(A860,"yy-mm")&amp;"-"&amp;IF(AND(WEEKDAY(A860)&gt;1,WEEKDAY(A860)&lt;7),"Wkd",TEXT(A860,"Ddd"))&amp;"-"&amp;TEXT(A860,"hh"),LoadTable[],6,FALSE)*T860</f>
        <v>43053.011932919995</v>
      </c>
      <c r="V860">
        <f t="shared" ref="V860:W860" si="902">V836</f>
        <v>3.6</v>
      </c>
      <c r="W860">
        <f t="shared" si="902"/>
        <v>3</v>
      </c>
      <c r="X860" s="9">
        <v>-6.1113712166666598</v>
      </c>
    </row>
    <row r="861" spans="1:24">
      <c r="A861" s="29">
        <f t="shared" si="874"/>
        <v>45871.749999997919</v>
      </c>
      <c r="B861" s="30">
        <f t="shared" si="898"/>
        <v>5000</v>
      </c>
      <c r="C861" s="8">
        <v>25000</v>
      </c>
      <c r="D861" s="8">
        <v>0</v>
      </c>
      <c r="E861" s="8">
        <v>700</v>
      </c>
      <c r="F861" s="8">
        <v>15000</v>
      </c>
      <c r="G861" s="30">
        <f t="shared" si="899"/>
        <v>2400</v>
      </c>
      <c r="H861" s="8">
        <v>25000</v>
      </c>
      <c r="I861" s="30">
        <f t="shared" si="900"/>
        <v>5000</v>
      </c>
      <c r="J861" s="8">
        <v>25000</v>
      </c>
      <c r="K861" s="30">
        <f t="shared" si="901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</v>
      </c>
      <c r="O861" s="9">
        <v>13.5</v>
      </c>
      <c r="P861" s="9">
        <v>19.5</v>
      </c>
      <c r="Q861" s="79">
        <f>VLOOKUP(VLOOKUP(DATEVALUE(TEXT(A861,"m/d/yyyy")),FY24_Temp[],5,FALSE)&amp;TEXT(A861,"-h"),Table6[],4,FALSE)</f>
        <v>1.43542856829507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VLOOKUP(TEXT(A861,"yy-mm")&amp;"-"&amp;IF(AND(WEEKDAY(A861)&gt;1,WEEKDAY(A861)&lt;7),"Wkd",TEXT(A861,"Ddd"))&amp;"-"&amp;TEXT(A861,"hh"),LoadTable[],5,FALSE)*0.92</f>
        <v>521.92427999999995</v>
      </c>
      <c r="U861" s="104">
        <f>VLOOKUP(TEXT(A861,"yy-mm")&amp;"-"&amp;IF(AND(WEEKDAY(A861)&gt;1,WEEKDAY(A861)&lt;7),"Wkd",TEXT(A861,"Ddd"))&amp;"-"&amp;TEXT(A861,"hh"),LoadTable[],6,FALSE)*T861</f>
        <v>63421.628884199992</v>
      </c>
      <c r="V861">
        <f t="shared" ref="V861:W861" si="903">V837</f>
        <v>2.9</v>
      </c>
      <c r="W861">
        <f t="shared" si="903"/>
        <v>3</v>
      </c>
      <c r="X861" s="9">
        <v>-6.18916576666666</v>
      </c>
    </row>
    <row r="862" spans="1:24">
      <c r="A862" s="29">
        <f t="shared" si="874"/>
        <v>45871.791666664583</v>
      </c>
      <c r="B862" s="30">
        <f t="shared" si="898"/>
        <v>5000</v>
      </c>
      <c r="C862" s="8">
        <v>25000</v>
      </c>
      <c r="D862" s="8">
        <v>0</v>
      </c>
      <c r="E862" s="8">
        <v>700</v>
      </c>
      <c r="F862" s="8">
        <v>15000</v>
      </c>
      <c r="G862" s="30">
        <f t="shared" si="899"/>
        <v>2400</v>
      </c>
      <c r="H862" s="8">
        <v>25000</v>
      </c>
      <c r="I862" s="30">
        <f t="shared" si="900"/>
        <v>5000</v>
      </c>
      <c r="J862" s="8">
        <v>25000</v>
      </c>
      <c r="K862" s="30">
        <f t="shared" si="901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</v>
      </c>
      <c r="O862" s="9">
        <v>13.5</v>
      </c>
      <c r="P862" s="9">
        <v>19.5</v>
      </c>
      <c r="Q862" s="79">
        <f>VLOOKUP(VLOOKUP(DATEVALUE(TEXT(A862,"m/d/yyyy")),FY24_Temp[],5,FALSE)&amp;TEXT(A862,"-h"),Table6[],4,FALSE)</f>
        <v>2.2041428089141846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VLOOKUP(TEXT(A862,"yy-mm")&amp;"-"&amp;IF(AND(WEEKDAY(A862)&gt;1,WEEKDAY(A862)&lt;7),"Wkd",TEXT(A862,"Ddd"))&amp;"-"&amp;TEXT(A862,"hh"),LoadTable[],5,FALSE)*0.92</f>
        <v>521.92427999999995</v>
      </c>
      <c r="U862" s="104">
        <f>VLOOKUP(TEXT(A862,"yy-mm")&amp;"-"&amp;IF(AND(WEEKDAY(A862)&gt;1,WEEKDAY(A862)&lt;7),"Wkd",TEXT(A862,"Ddd"))&amp;"-"&amp;TEXT(A862,"hh"),LoadTable[],6,FALSE)*T862</f>
        <v>68432.101972200006</v>
      </c>
      <c r="V862">
        <f t="shared" ref="V862:W862" si="904">V838</f>
        <v>3</v>
      </c>
      <c r="W862">
        <f t="shared" si="904"/>
        <v>3</v>
      </c>
      <c r="X862" s="9">
        <v>-6.2669603166666601</v>
      </c>
    </row>
    <row r="863" spans="1:24">
      <c r="A863" s="29">
        <f t="shared" si="874"/>
        <v>45871.833333331248</v>
      </c>
      <c r="B863" s="30">
        <f t="shared" si="898"/>
        <v>5000</v>
      </c>
      <c r="C863" s="8">
        <v>25000</v>
      </c>
      <c r="D863" s="8">
        <v>0</v>
      </c>
      <c r="E863" s="8">
        <v>700</v>
      </c>
      <c r="F863" s="8">
        <v>15000</v>
      </c>
      <c r="G863" s="30">
        <f t="shared" si="899"/>
        <v>2400</v>
      </c>
      <c r="H863" s="8">
        <v>25000</v>
      </c>
      <c r="I863" s="30">
        <f t="shared" si="900"/>
        <v>5000</v>
      </c>
      <c r="J863" s="8">
        <v>25000</v>
      </c>
      <c r="K863" s="30">
        <f t="shared" si="901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</v>
      </c>
      <c r="O863" s="9">
        <v>13.5</v>
      </c>
      <c r="P863" s="9">
        <v>19.5</v>
      </c>
      <c r="Q863" s="79">
        <f>VLOOKUP(VLOOKUP(DATEVALUE(TEXT(A863,"m/d/yyyy")),FY24_Temp[],5,FALSE)&amp;TEXT(A863,"-h"),Table6[],4,FALSE)</f>
        <v>2.9597143105098178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VLOOKUP(TEXT(A863,"yy-mm")&amp;"-"&amp;IF(AND(WEEKDAY(A863)&gt;1,WEEKDAY(A863)&lt;7),"Wkd",TEXT(A863,"Ddd"))&amp;"-"&amp;TEXT(A863,"hh"),LoadTable[],5,FALSE)*0.92</f>
        <v>521.92427999999995</v>
      </c>
      <c r="U863" s="104">
        <f>VLOOKUP(TEXT(A863,"yy-mm")&amp;"-"&amp;IF(AND(WEEKDAY(A863)&gt;1,WEEKDAY(A863)&lt;7),"Wkd",TEXT(A863,"Ddd"))&amp;"-"&amp;TEXT(A863,"hh"),LoadTable[],6,FALSE)*T863</f>
        <v>60683.092187039998</v>
      </c>
      <c r="V863">
        <f t="shared" ref="V863:W863" si="905">V839</f>
        <v>2.8</v>
      </c>
      <c r="W863">
        <f t="shared" si="905"/>
        <v>3.1</v>
      </c>
      <c r="X863" s="9">
        <v>-6.3447548666666602</v>
      </c>
    </row>
    <row r="864" spans="1:24">
      <c r="A864" s="29">
        <f t="shared" si="874"/>
        <v>45871.874999997912</v>
      </c>
      <c r="B864" s="30">
        <f t="shared" si="898"/>
        <v>5000</v>
      </c>
      <c r="C864" s="8">
        <v>25000</v>
      </c>
      <c r="D864" s="8">
        <v>0</v>
      </c>
      <c r="E864" s="8">
        <v>700</v>
      </c>
      <c r="F864" s="8">
        <v>15000</v>
      </c>
      <c r="G864" s="30">
        <f t="shared" si="899"/>
        <v>2400</v>
      </c>
      <c r="H864" s="8">
        <v>25000</v>
      </c>
      <c r="I864" s="30">
        <f t="shared" si="900"/>
        <v>5000</v>
      </c>
      <c r="J864" s="8">
        <v>25000</v>
      </c>
      <c r="K864" s="30">
        <f t="shared" si="901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</v>
      </c>
      <c r="O864" s="9">
        <v>13.5</v>
      </c>
      <c r="P864" s="9">
        <v>19.5</v>
      </c>
      <c r="Q864" s="79">
        <f>VLOOKUP(VLOOKUP(DATEVALUE(TEXT(A864,"m/d/yyyy")),FY24_Temp[],5,FALSE)&amp;TEXT(A864,"-h"),Table6[],4,FALSE)</f>
        <v>3.2167142799922397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VLOOKUP(TEXT(A864,"yy-mm")&amp;"-"&amp;IF(AND(WEEKDAY(A864)&gt;1,WEEKDAY(A864)&lt;7),"Wkd",TEXT(A864,"Ddd"))&amp;"-"&amp;TEXT(A864,"hh"),LoadTable[],5,FALSE)*0.92</f>
        <v>521.92427999999995</v>
      </c>
      <c r="U864" s="104">
        <f>VLOOKUP(TEXT(A864,"yy-mm")&amp;"-"&amp;IF(AND(WEEKDAY(A864)&gt;1,WEEKDAY(A864)&lt;7),"Wkd",TEXT(A864,"Ddd"))&amp;"-"&amp;TEXT(A864,"hh"),LoadTable[],6,FALSE)*T864</f>
        <v>49717.463064239993</v>
      </c>
      <c r="V864">
        <f t="shared" ref="V864:W864" si="906">V840</f>
        <v>3.5</v>
      </c>
      <c r="W864">
        <f t="shared" si="906"/>
        <v>3.1</v>
      </c>
      <c r="X864" s="9">
        <v>-6.4225494166666603</v>
      </c>
    </row>
    <row r="865" spans="1:24">
      <c r="A865" s="29">
        <f t="shared" si="874"/>
        <v>45871.916666664576</v>
      </c>
      <c r="B865" s="30">
        <f t="shared" si="898"/>
        <v>5000</v>
      </c>
      <c r="C865" s="8">
        <v>25000</v>
      </c>
      <c r="D865" s="8">
        <v>0</v>
      </c>
      <c r="E865" s="8">
        <v>700</v>
      </c>
      <c r="F865" s="8">
        <v>15000</v>
      </c>
      <c r="G865" s="30">
        <f t="shared" si="899"/>
        <v>2400</v>
      </c>
      <c r="H865" s="8">
        <v>25000</v>
      </c>
      <c r="I865" s="30">
        <f t="shared" si="900"/>
        <v>5000</v>
      </c>
      <c r="J865" s="8">
        <v>25000</v>
      </c>
      <c r="K865" s="30">
        <f t="shared" si="901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</v>
      </c>
      <c r="O865" s="9">
        <v>13.5</v>
      </c>
      <c r="P865" s="9">
        <v>19.5</v>
      </c>
      <c r="Q865" s="79">
        <f>VLOOKUP(VLOOKUP(DATEVALUE(TEXT(A865,"m/d/yyyy")),FY24_Temp[],5,FALSE)&amp;TEXT(A865,"-h"),Table6[],4,FALSE)</f>
        <v>3.1878571510314941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VLOOKUP(TEXT(A865,"yy-mm")&amp;"-"&amp;IF(AND(WEEKDAY(A865)&gt;1,WEEKDAY(A865)&lt;7),"Wkd",TEXT(A865,"Ddd"))&amp;"-"&amp;TEXT(A865,"hh"),LoadTable[],5,FALSE)*0.92</f>
        <v>447.02432000000005</v>
      </c>
      <c r="U865" s="104">
        <f>VLOOKUP(TEXT(A865,"yy-mm")&amp;"-"&amp;IF(AND(WEEKDAY(A865)&gt;1,WEEKDAY(A865)&lt;7),"Wkd",TEXT(A865,"Ddd"))&amp;"-"&amp;TEXT(A865,"hh"),LoadTable[],6,FALSE)*T865</f>
        <v>27025.302289920004</v>
      </c>
      <c r="V865">
        <f t="shared" ref="V865:W865" si="907">V841</f>
        <v>2.9</v>
      </c>
      <c r="W865">
        <f t="shared" si="907"/>
        <v>3.1</v>
      </c>
      <c r="X865" s="9">
        <v>-6.5003439666666596</v>
      </c>
    </row>
    <row r="866" spans="1:24">
      <c r="A866" s="29">
        <f t="shared" si="874"/>
        <v>45871.95833333124</v>
      </c>
      <c r="B866" s="30">
        <f t="shared" si="898"/>
        <v>5000</v>
      </c>
      <c r="C866" s="8">
        <v>25000</v>
      </c>
      <c r="D866" s="8">
        <v>0</v>
      </c>
      <c r="E866" s="8">
        <v>700</v>
      </c>
      <c r="F866" s="8">
        <v>15000</v>
      </c>
      <c r="G866" s="30">
        <f t="shared" si="899"/>
        <v>2400</v>
      </c>
      <c r="H866" s="8">
        <v>25000</v>
      </c>
      <c r="I866" s="30">
        <f t="shared" si="900"/>
        <v>5000</v>
      </c>
      <c r="J866" s="8">
        <v>25000</v>
      </c>
      <c r="K866" s="30">
        <f t="shared" si="901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</v>
      </c>
      <c r="O866" s="9">
        <v>13.5</v>
      </c>
      <c r="P866" s="9">
        <v>19.5</v>
      </c>
      <c r="Q866" s="79">
        <f>VLOOKUP(VLOOKUP(DATEVALUE(TEXT(A866,"m/d/yyyy")),FY24_Temp[],5,FALSE)&amp;TEXT(A866,"-h"),Table6[],4,FALSE)</f>
        <v>3.0497143268585205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VLOOKUP(TEXT(A866,"yy-mm")&amp;"-"&amp;IF(AND(WEEKDAY(A866)&gt;1,WEEKDAY(A866)&lt;7),"Wkd",TEXT(A866,"Ddd"))&amp;"-"&amp;TEXT(A866,"hh"),LoadTable[],5,FALSE)*0.92</f>
        <v>372.12436000000002</v>
      </c>
      <c r="U866" s="104">
        <f>VLOOKUP(TEXT(A866,"yy-mm")&amp;"-"&amp;IF(AND(WEEKDAY(A866)&gt;1,WEEKDAY(A866)&lt;7),"Wkd",TEXT(A866,"Ddd"))&amp;"-"&amp;TEXT(A866,"hh"),LoadTable[],6,FALSE)*T866</f>
        <v>20353.341870200002</v>
      </c>
      <c r="V866">
        <f t="shared" ref="V866:W866" si="908">V842</f>
        <v>3.6</v>
      </c>
      <c r="W866">
        <f t="shared" si="908"/>
        <v>3.1</v>
      </c>
      <c r="X866" s="9">
        <v>-6.5781385166666597</v>
      </c>
    </row>
    <row r="867" spans="1:24">
      <c r="A867" s="29">
        <f t="shared" si="874"/>
        <v>45871.999999997905</v>
      </c>
      <c r="B867" s="30">
        <f t="shared" si="898"/>
        <v>5000</v>
      </c>
      <c r="C867" s="8">
        <v>25000</v>
      </c>
      <c r="D867" s="8">
        <v>0</v>
      </c>
      <c r="E867" s="8">
        <v>700</v>
      </c>
      <c r="F867" s="8">
        <v>15000</v>
      </c>
      <c r="G867" s="30">
        <f t="shared" si="899"/>
        <v>2400</v>
      </c>
      <c r="H867" s="8">
        <v>25000</v>
      </c>
      <c r="I867" s="30">
        <f t="shared" si="900"/>
        <v>5000</v>
      </c>
      <c r="J867" s="8">
        <v>25000</v>
      </c>
      <c r="K867" s="30">
        <f t="shared" si="901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14</v>
      </c>
      <c r="O867" s="9">
        <v>13.5</v>
      </c>
      <c r="P867" s="9">
        <v>19.5</v>
      </c>
      <c r="Q867" s="79">
        <f>VLOOKUP(VLOOKUP(DATEVALUE(TEXT(A867,"m/d/yyyy")),FY24_Temp[],5,FALSE)&amp;TEXT(A867,"-h"),Table6[],4,FALSE)</f>
        <v>2.9064285414559499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VLOOKUP(TEXT(A867,"yy-mm")&amp;"-"&amp;IF(AND(WEEKDAY(A867)&gt;1,WEEKDAY(A867)&lt;7),"Wkd",TEXT(A867,"Ddd"))&amp;"-"&amp;TEXT(A867,"hh"),LoadTable[],5,FALSE)*0.92</f>
        <v>297.2244</v>
      </c>
      <c r="U867" s="104">
        <f>VLOOKUP(TEXT(A867,"yy-mm")&amp;"-"&amp;IF(AND(WEEKDAY(A867)&gt;1,WEEKDAY(A867)&lt;7),"Wkd",TEXT(A867,"Ddd"))&amp;"-"&amp;TEXT(A867,"hh"),LoadTable[],6,FALSE)*T867</f>
        <v>16465.042862400001</v>
      </c>
      <c r="V867">
        <f t="shared" ref="V867:W867" si="909">V843</f>
        <v>3</v>
      </c>
      <c r="W867">
        <f t="shared" si="909"/>
        <v>3.2</v>
      </c>
      <c r="X867" s="9">
        <v>-6.6559330666666598</v>
      </c>
    </row>
    <row r="868" spans="1:24">
      <c r="A868" s="29">
        <f t="shared" si="874"/>
        <v>45872.041666664569</v>
      </c>
      <c r="B868" s="30">
        <f t="shared" si="898"/>
        <v>5000</v>
      </c>
      <c r="C868" s="8">
        <v>25000</v>
      </c>
      <c r="D868" s="8">
        <v>0</v>
      </c>
      <c r="E868" s="8">
        <v>700</v>
      </c>
      <c r="F868" s="8">
        <v>15000</v>
      </c>
      <c r="G868" s="30">
        <f t="shared" si="899"/>
        <v>2400</v>
      </c>
      <c r="H868" s="8">
        <v>25000</v>
      </c>
      <c r="I868" s="30">
        <f t="shared" si="900"/>
        <v>5000</v>
      </c>
      <c r="J868" s="8">
        <v>25000</v>
      </c>
      <c r="K868" s="30">
        <f t="shared" si="901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14</v>
      </c>
      <c r="O868" s="9">
        <v>13.5</v>
      </c>
      <c r="P868" s="9">
        <v>19.5</v>
      </c>
      <c r="Q868" s="79">
        <f>VLOOKUP(VLOOKUP(DATEVALUE(TEXT(A868,"m/d/yyyy")),FY24_Temp[],5,FALSE)&amp;TEXT(A868,"-h"),Table6[],4,FALSE)</f>
        <v>2.7961428506033763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VLOOKUP(TEXT(A868,"yy-mm")&amp;"-"&amp;IF(AND(WEEKDAY(A868)&gt;1,WEEKDAY(A868)&lt;7),"Wkd",TEXT(A868,"Ddd"))&amp;"-"&amp;TEXT(A868,"hh"),LoadTable[],5,FALSE)*0.92</f>
        <v>295.12680000000006</v>
      </c>
      <c r="U868" s="104">
        <f>VLOOKUP(TEXT(A868,"yy-mm")&amp;"-"&amp;IF(AND(WEEKDAY(A868)&gt;1,WEEKDAY(A868)&lt;7),"Wkd",TEXT(A868,"Ddd"))&amp;"-"&amp;TEXT(A868,"hh"),LoadTable[],6,FALSE)*T868</f>
        <v>15879.592600800002</v>
      </c>
      <c r="V868">
        <f t="shared" ref="V868:W868" si="910">V844</f>
        <v>2.6</v>
      </c>
      <c r="W868">
        <f t="shared" si="910"/>
        <v>3.2</v>
      </c>
      <c r="X868" s="9">
        <v>-6.73372761666666</v>
      </c>
    </row>
    <row r="869" spans="1:24">
      <c r="A869" s="29">
        <f t="shared" si="874"/>
        <v>45872.083333331233</v>
      </c>
      <c r="B869" s="30">
        <f t="shared" si="898"/>
        <v>5000</v>
      </c>
      <c r="C869" s="8">
        <v>25000</v>
      </c>
      <c r="D869" s="8">
        <v>0</v>
      </c>
      <c r="E869" s="8">
        <v>700</v>
      </c>
      <c r="F869" s="8">
        <v>15000</v>
      </c>
      <c r="G869" s="30">
        <f t="shared" si="899"/>
        <v>2400</v>
      </c>
      <c r="H869" s="8">
        <v>25000</v>
      </c>
      <c r="I869" s="30">
        <f t="shared" si="900"/>
        <v>5000</v>
      </c>
      <c r="J869" s="8">
        <v>25000</v>
      </c>
      <c r="K869" s="30">
        <f t="shared" si="901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14</v>
      </c>
      <c r="O869" s="9">
        <v>13.5</v>
      </c>
      <c r="P869" s="9">
        <v>19.5</v>
      </c>
      <c r="Q869" s="79">
        <f>VLOOKUP(VLOOKUP(DATEVALUE(TEXT(A869,"m/d/yyyy")),FY24_Temp[],5,FALSE)&amp;TEXT(A869,"-h"),Table6[],4,FALSE)</f>
        <v>2.6915714400155202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VLOOKUP(TEXT(A869,"yy-mm")&amp;"-"&amp;IF(AND(WEEKDAY(A869)&gt;1,WEEKDAY(A869)&lt;7),"Wkd",TEXT(A869,"Ddd"))&amp;"-"&amp;TEXT(A869,"hh"),LoadTable[],5,FALSE)*0.92</f>
        <v>295.12680000000006</v>
      </c>
      <c r="U869" s="104">
        <f>VLOOKUP(TEXT(A869,"yy-mm")&amp;"-"&amp;IF(AND(WEEKDAY(A869)&gt;1,WEEKDAY(A869)&lt;7),"Wkd",TEXT(A869,"Ddd"))&amp;"-"&amp;TEXT(A869,"hh"),LoadTable[],6,FALSE)*T869</f>
        <v>15515.701256400003</v>
      </c>
      <c r="V869">
        <f t="shared" ref="V869:W869" si="911">V845</f>
        <v>2.8</v>
      </c>
      <c r="W869">
        <f t="shared" si="911"/>
        <v>3.2</v>
      </c>
      <c r="X869" s="9">
        <v>-6.8115221666666601</v>
      </c>
    </row>
    <row r="870" spans="1:24">
      <c r="A870" s="29">
        <f t="shared" si="874"/>
        <v>45872.124999997897</v>
      </c>
      <c r="B870" s="30">
        <f t="shared" si="898"/>
        <v>5000</v>
      </c>
      <c r="C870" s="8">
        <v>25000</v>
      </c>
      <c r="D870" s="8">
        <v>0</v>
      </c>
      <c r="E870" s="8">
        <v>700</v>
      </c>
      <c r="F870" s="8">
        <v>15000</v>
      </c>
      <c r="G870" s="30">
        <f t="shared" si="899"/>
        <v>2400</v>
      </c>
      <c r="H870" s="8">
        <v>25000</v>
      </c>
      <c r="I870" s="30">
        <f t="shared" si="900"/>
        <v>5000</v>
      </c>
      <c r="J870" s="8">
        <v>25000</v>
      </c>
      <c r="K870" s="30">
        <f t="shared" si="901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14</v>
      </c>
      <c r="O870" s="9">
        <v>13.5</v>
      </c>
      <c r="P870" s="9">
        <v>19.5</v>
      </c>
      <c r="Q870" s="79">
        <f>VLOOKUP(VLOOKUP(DATEVALUE(TEXT(A870,"m/d/yyyy")),FY24_Temp[],5,FALSE)&amp;TEXT(A870,"-h"),Table6[],4,FALSE)</f>
        <v>2.5627142701830183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VLOOKUP(TEXT(A870,"yy-mm")&amp;"-"&amp;IF(AND(WEEKDAY(A870)&gt;1,WEEKDAY(A870)&lt;7),"Wkd",TEXT(A870,"Ddd"))&amp;"-"&amp;TEXT(A870,"hh"),LoadTable[],5,FALSE)*0.92</f>
        <v>295.12680000000006</v>
      </c>
      <c r="U870" s="104">
        <f>VLOOKUP(TEXT(A870,"yy-mm")&amp;"-"&amp;IF(AND(WEEKDAY(A870)&gt;1,WEEKDAY(A870)&lt;7),"Wkd",TEXT(A870,"Ddd"))&amp;"-"&amp;TEXT(A870,"hh"),LoadTable[],6,FALSE)*T870</f>
        <v>15142.956108000004</v>
      </c>
      <c r="V870">
        <f t="shared" ref="V870:W870" si="912">V846</f>
        <v>2.7</v>
      </c>
      <c r="W870">
        <f t="shared" si="912"/>
        <v>3.2</v>
      </c>
      <c r="X870" s="9">
        <v>-6.8893167166666602</v>
      </c>
    </row>
    <row r="871" spans="1:24">
      <c r="A871" s="29">
        <f t="shared" si="874"/>
        <v>45872.166666664561</v>
      </c>
      <c r="B871" s="30">
        <f t="shared" si="898"/>
        <v>5000</v>
      </c>
      <c r="C871" s="8">
        <v>25000</v>
      </c>
      <c r="D871" s="8">
        <v>0</v>
      </c>
      <c r="E871" s="8">
        <v>700</v>
      </c>
      <c r="F871" s="8">
        <v>15000</v>
      </c>
      <c r="G871" s="30">
        <f t="shared" si="899"/>
        <v>2400</v>
      </c>
      <c r="H871" s="8">
        <v>25000</v>
      </c>
      <c r="I871" s="30">
        <f t="shared" si="900"/>
        <v>5000</v>
      </c>
      <c r="J871" s="8">
        <v>25000</v>
      </c>
      <c r="K871" s="30">
        <f t="shared" si="901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14</v>
      </c>
      <c r="O871" s="9">
        <v>13.5</v>
      </c>
      <c r="P871" s="9">
        <v>19.5</v>
      </c>
      <c r="Q871" s="79">
        <f>VLOOKUP(VLOOKUP(DATEVALUE(TEXT(A871,"m/d/yyyy")),FY24_Temp[],5,FALSE)&amp;TEXT(A871,"-h"),Table6[],4,FALSE)</f>
        <v>2.3978571210588728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VLOOKUP(TEXT(A871,"yy-mm")&amp;"-"&amp;IF(AND(WEEKDAY(A871)&gt;1,WEEKDAY(A871)&lt;7),"Wkd",TEXT(A871,"Ddd"))&amp;"-"&amp;TEXT(A871,"hh"),LoadTable[],5,FALSE)*0.92</f>
        <v>295.12680000000006</v>
      </c>
      <c r="U871" s="104">
        <f>VLOOKUP(TEXT(A871,"yy-mm")&amp;"-"&amp;IF(AND(WEEKDAY(A871)&gt;1,WEEKDAY(A871)&lt;7),"Wkd",TEXT(A871,"Ddd"))&amp;"-"&amp;TEXT(A871,"hh"),LoadTable[],6,FALSE)*T871</f>
        <v>15692.777336400004</v>
      </c>
      <c r="V871">
        <f t="shared" ref="V871:W871" si="913">V847</f>
        <v>3</v>
      </c>
      <c r="W871">
        <f t="shared" si="913"/>
        <v>3.1</v>
      </c>
      <c r="X871" s="9">
        <v>-6.9671112666666604</v>
      </c>
    </row>
    <row r="872" spans="1:24">
      <c r="A872" s="29">
        <f t="shared" si="874"/>
        <v>45872.208333331226</v>
      </c>
      <c r="B872" s="30">
        <f t="shared" si="898"/>
        <v>5000</v>
      </c>
      <c r="C872" s="8">
        <v>25000</v>
      </c>
      <c r="D872" s="8">
        <v>0</v>
      </c>
      <c r="E872" s="8">
        <v>700</v>
      </c>
      <c r="F872" s="8">
        <v>15000</v>
      </c>
      <c r="G872" s="30">
        <f t="shared" si="899"/>
        <v>2400</v>
      </c>
      <c r="H872" s="8">
        <v>25000</v>
      </c>
      <c r="I872" s="30">
        <f t="shared" si="900"/>
        <v>5000</v>
      </c>
      <c r="J872" s="8">
        <v>25000</v>
      </c>
      <c r="K872" s="30">
        <f t="shared" si="901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14</v>
      </c>
      <c r="O872" s="9">
        <v>13.5</v>
      </c>
      <c r="P872" s="9">
        <v>19.5</v>
      </c>
      <c r="Q872" s="79">
        <f>VLOOKUP(VLOOKUP(DATEVALUE(TEXT(A872,"m/d/yyyy")),FY24_Temp[],5,FALSE)&amp;TEXT(A872,"-h"),Table6[],4,FALSE)</f>
        <v>2.2397142818995883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VLOOKUP(TEXT(A872,"yy-mm")&amp;"-"&amp;IF(AND(WEEKDAY(A872)&gt;1,WEEKDAY(A872)&lt;7),"Wkd",TEXT(A872,"Ddd"))&amp;"-"&amp;TEXT(A872,"hh"),LoadTable[],5,FALSE)*0.92</f>
        <v>295.12680000000006</v>
      </c>
      <c r="U872" s="104">
        <f>VLOOKUP(TEXT(A872,"yy-mm")&amp;"-"&amp;IF(AND(WEEKDAY(A872)&gt;1,WEEKDAY(A872)&lt;7),"Wkd",TEXT(A872,"Ddd"))&amp;"-"&amp;TEXT(A872,"hh"),LoadTable[],6,FALSE)*T872</f>
        <v>16038.961072800003</v>
      </c>
      <c r="V872">
        <f t="shared" ref="V872:W872" si="914">V848</f>
        <v>2.9</v>
      </c>
      <c r="W872">
        <f t="shared" si="914"/>
        <v>3.1</v>
      </c>
      <c r="X872" s="9">
        <v>-7.0449058166666498</v>
      </c>
    </row>
    <row r="873" spans="1:24">
      <c r="A873" s="29">
        <f t="shared" si="874"/>
        <v>45872.24999999789</v>
      </c>
      <c r="B873" s="30">
        <f t="shared" si="898"/>
        <v>8000</v>
      </c>
      <c r="C873" s="8">
        <v>25000</v>
      </c>
      <c r="D873" s="8">
        <v>0</v>
      </c>
      <c r="E873" s="8">
        <v>700</v>
      </c>
      <c r="F873" s="8">
        <v>15000</v>
      </c>
      <c r="G873" s="30">
        <f t="shared" si="899"/>
        <v>2400</v>
      </c>
      <c r="H873" s="8">
        <v>25000</v>
      </c>
      <c r="I873" s="30">
        <f t="shared" si="900"/>
        <v>8000</v>
      </c>
      <c r="J873" s="8">
        <v>25000</v>
      </c>
      <c r="K873" s="30">
        <f t="shared" si="901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14</v>
      </c>
      <c r="O873" s="9">
        <v>13.5</v>
      </c>
      <c r="P873" s="9">
        <v>19.5</v>
      </c>
      <c r="Q873" s="79">
        <f>VLOOKUP(VLOOKUP(DATEVALUE(TEXT(A873,"m/d/yyyy")),FY24_Temp[],5,FALSE)&amp;TEXT(A873,"-h"),Table6[],4,FALSE)</f>
        <v>2.1271428721291676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VLOOKUP(TEXT(A873,"yy-mm")&amp;"-"&amp;IF(AND(WEEKDAY(A873)&gt;1,WEEKDAY(A873)&lt;7),"Wkd",TEXT(A873,"Ddd"))&amp;"-"&amp;TEXT(A873,"hh"),LoadTable[],5,FALSE)*0.92</f>
        <v>295.12680000000006</v>
      </c>
      <c r="U873" s="104">
        <f>VLOOKUP(TEXT(A873,"yy-mm")&amp;"-"&amp;IF(AND(WEEKDAY(A873)&gt;1,WEEKDAY(A873)&lt;7),"Wkd",TEXT(A873,"Ddd"))&amp;"-"&amp;TEXT(A873,"hh"),LoadTable[],6,FALSE)*T873</f>
        <v>20378.800666800005</v>
      </c>
      <c r="V873">
        <f t="shared" ref="V873:W873" si="915">V849</f>
        <v>2.5</v>
      </c>
      <c r="W873">
        <f t="shared" si="915"/>
        <v>3.1</v>
      </c>
      <c r="X873" s="9">
        <v>-7.12270036666665</v>
      </c>
    </row>
    <row r="874" spans="1:24">
      <c r="A874" s="29">
        <f t="shared" si="874"/>
        <v>45872.291666664554</v>
      </c>
      <c r="B874" s="30">
        <f t="shared" si="898"/>
        <v>8000</v>
      </c>
      <c r="C874" s="8">
        <v>25000</v>
      </c>
      <c r="D874" s="8">
        <v>0</v>
      </c>
      <c r="E874" s="8">
        <v>700</v>
      </c>
      <c r="F874" s="8">
        <v>15000</v>
      </c>
      <c r="G874" s="30">
        <f t="shared" si="899"/>
        <v>2400</v>
      </c>
      <c r="H874" s="8">
        <v>25000</v>
      </c>
      <c r="I874" s="30">
        <f t="shared" si="900"/>
        <v>8000</v>
      </c>
      <c r="J874" s="8">
        <v>25000</v>
      </c>
      <c r="K874" s="30">
        <f t="shared" si="901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14</v>
      </c>
      <c r="O874" s="9">
        <v>13.5</v>
      </c>
      <c r="P874" s="9">
        <v>19.5</v>
      </c>
      <c r="Q874" s="79">
        <f>VLOOKUP(VLOOKUP(DATEVALUE(TEXT(A874,"m/d/yyyy")),FY24_Temp[],5,FALSE)&amp;TEXT(A874,"-h"),Table6[],4,FALSE)</f>
        <v>2.0365714345659529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VLOOKUP(TEXT(A874,"yy-mm")&amp;"-"&amp;IF(AND(WEEKDAY(A874)&gt;1,WEEKDAY(A874)&lt;7),"Wkd",TEXT(A874,"Ddd"))&amp;"-"&amp;TEXT(A874,"hh"),LoadTable[],5,FALSE)*0.92</f>
        <v>295.12680000000006</v>
      </c>
      <c r="U874" s="104">
        <f>VLOOKUP(TEXT(A874,"yy-mm")&amp;"-"&amp;IF(AND(WEEKDAY(A874)&gt;1,WEEKDAY(A874)&lt;7),"Wkd",TEXT(A874,"Ddd"))&amp;"-"&amp;TEXT(A874,"hh"),LoadTable[],6,FALSE)*T874</f>
        <v>17926.592085600001</v>
      </c>
      <c r="V874">
        <f t="shared" ref="V874:W874" si="916">V850</f>
        <v>2.5</v>
      </c>
      <c r="W874">
        <f t="shared" si="916"/>
        <v>3.1</v>
      </c>
      <c r="X874" s="9">
        <v>-7.2004949166666501</v>
      </c>
    </row>
    <row r="875" spans="1:24">
      <c r="A875" s="29">
        <f t="shared" si="874"/>
        <v>45872.333333331218</v>
      </c>
      <c r="B875" s="30">
        <f t="shared" si="898"/>
        <v>8000</v>
      </c>
      <c r="C875" s="8">
        <v>25000</v>
      </c>
      <c r="D875" s="8">
        <v>0</v>
      </c>
      <c r="E875" s="8">
        <v>700</v>
      </c>
      <c r="F875" s="8">
        <v>15000</v>
      </c>
      <c r="G875" s="30">
        <f t="shared" si="899"/>
        <v>2400</v>
      </c>
      <c r="H875" s="8">
        <v>25000</v>
      </c>
      <c r="I875" s="30">
        <f t="shared" si="900"/>
        <v>8000</v>
      </c>
      <c r="J875" s="8">
        <v>25000</v>
      </c>
      <c r="K875" s="30">
        <f t="shared" si="901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14</v>
      </c>
      <c r="O875" s="9">
        <v>13.5</v>
      </c>
      <c r="P875" s="9">
        <v>19.5</v>
      </c>
      <c r="Q875" s="79">
        <f>VLOOKUP(VLOOKUP(DATEVALUE(TEXT(A875,"m/d/yyyy")),FY24_Temp[],5,FALSE)&amp;TEXT(A875,"-h"),Table6[],4,FALSE)</f>
        <v>1.9252857310431344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VLOOKUP(TEXT(A875,"yy-mm")&amp;"-"&amp;IF(AND(WEEKDAY(A875)&gt;1,WEEKDAY(A875)&lt;7),"Wkd",TEXT(A875,"Ddd"))&amp;"-"&amp;TEXT(A875,"hh"),LoadTable[],5,FALSE)*0.92</f>
        <v>295.12680000000006</v>
      </c>
      <c r="U875" s="104">
        <f>VLOOKUP(TEXT(A875,"yy-mm")&amp;"-"&amp;IF(AND(WEEKDAY(A875)&gt;1,WEEKDAY(A875)&lt;7),"Wkd",TEXT(A875,"Ddd"))&amp;"-"&amp;TEXT(A875,"hh"),LoadTable[],6,FALSE)*T875</f>
        <v>15446.641585200003</v>
      </c>
      <c r="V875">
        <f t="shared" ref="V875:W875" si="917">V851</f>
        <v>3.2</v>
      </c>
      <c r="W875">
        <f t="shared" si="917"/>
        <v>3</v>
      </c>
      <c r="X875" s="9">
        <v>-7.2782894666666502</v>
      </c>
    </row>
    <row r="876" spans="1:24">
      <c r="A876" s="29">
        <f t="shared" si="874"/>
        <v>45872.374999997883</v>
      </c>
      <c r="B876" s="30">
        <f t="shared" si="898"/>
        <v>8000</v>
      </c>
      <c r="C876" s="8">
        <v>25000</v>
      </c>
      <c r="D876" s="8">
        <v>0</v>
      </c>
      <c r="E876" s="8">
        <v>700</v>
      </c>
      <c r="F876" s="8">
        <v>15000</v>
      </c>
      <c r="G876" s="30">
        <f t="shared" si="899"/>
        <v>2400</v>
      </c>
      <c r="H876" s="8">
        <v>25000</v>
      </c>
      <c r="I876" s="30">
        <f t="shared" si="900"/>
        <v>8000</v>
      </c>
      <c r="J876" s="8">
        <v>25000</v>
      </c>
      <c r="K876" s="30">
        <f t="shared" si="901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14</v>
      </c>
      <c r="O876" s="9">
        <v>13.5</v>
      </c>
      <c r="P876" s="9">
        <v>19.5</v>
      </c>
      <c r="Q876" s="79">
        <f>VLOOKUP(VLOOKUP(DATEVALUE(TEXT(A876,"m/d/yyyy")),FY24_Temp[],5,FALSE)&amp;TEXT(A876,"-h"),Table6[],4,FALSE)</f>
        <v>1.824714285986764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VLOOKUP(TEXT(A876,"yy-mm")&amp;"-"&amp;IF(AND(WEEKDAY(A876)&gt;1,WEEKDAY(A876)&lt;7),"Wkd",TEXT(A876,"Ddd"))&amp;"-"&amp;TEXT(A876,"hh"),LoadTable[],5,FALSE)*0.92</f>
        <v>295.12680000000006</v>
      </c>
      <c r="U876" s="104">
        <f>VLOOKUP(TEXT(A876,"yy-mm")&amp;"-"&amp;IF(AND(WEEKDAY(A876)&gt;1,WEEKDAY(A876)&lt;7),"Wkd",TEXT(A876,"Ddd"))&amp;"-"&amp;TEXT(A876,"hh"),LoadTable[],6,FALSE)*T876</f>
        <v>13546.615246800004</v>
      </c>
      <c r="V876">
        <f t="shared" ref="V876:W876" si="918">V852</f>
        <v>2.9</v>
      </c>
      <c r="W876">
        <f t="shared" si="918"/>
        <v>3</v>
      </c>
      <c r="X876" s="9">
        <v>-7.3560840166666503</v>
      </c>
    </row>
    <row r="877" spans="1:24">
      <c r="A877" s="29">
        <f t="shared" si="874"/>
        <v>45872.416666664547</v>
      </c>
      <c r="B877" s="30">
        <f t="shared" si="898"/>
        <v>8000</v>
      </c>
      <c r="C877" s="8">
        <v>25000</v>
      </c>
      <c r="D877" s="8">
        <v>0</v>
      </c>
      <c r="E877" s="8">
        <v>700</v>
      </c>
      <c r="F877" s="8">
        <v>15000</v>
      </c>
      <c r="G877" s="30">
        <f t="shared" si="899"/>
        <v>2400</v>
      </c>
      <c r="H877" s="8">
        <v>25000</v>
      </c>
      <c r="I877" s="30">
        <f t="shared" si="900"/>
        <v>8000</v>
      </c>
      <c r="J877" s="8">
        <v>25000</v>
      </c>
      <c r="K877" s="30">
        <f t="shared" si="901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14</v>
      </c>
      <c r="O877" s="9">
        <v>13.5</v>
      </c>
      <c r="P877" s="9">
        <v>19.5</v>
      </c>
      <c r="Q877" s="79">
        <f>VLOOKUP(VLOOKUP(DATEVALUE(TEXT(A877,"m/d/yyyy")),FY24_Temp[],5,FALSE)&amp;TEXT(A877,"-h"),Table6[],4,FALSE)</f>
        <v>1.7312857082911901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VLOOKUP(TEXT(A877,"yy-mm")&amp;"-"&amp;IF(AND(WEEKDAY(A877)&gt;1,WEEKDAY(A877)&lt;7),"Wkd",TEXT(A877,"Ddd"))&amp;"-"&amp;TEXT(A877,"hh"),LoadTable[],5,FALSE)*0.92</f>
        <v>295.12680000000006</v>
      </c>
      <c r="U877" s="104">
        <f>VLOOKUP(TEXT(A877,"yy-mm")&amp;"-"&amp;IF(AND(WEEKDAY(A877)&gt;1,WEEKDAY(A877)&lt;7),"Wkd",TEXT(A877,"Ddd"))&amp;"-"&amp;TEXT(A877,"hh"),LoadTable[],6,FALSE)*T877</f>
        <v>13514.151298800001</v>
      </c>
      <c r="V877">
        <f t="shared" ref="V877:W877" si="919">V853</f>
        <v>2.9</v>
      </c>
      <c r="W877">
        <f t="shared" si="919"/>
        <v>3</v>
      </c>
      <c r="X877" s="9">
        <v>-7.4338785666666496</v>
      </c>
    </row>
    <row r="878" spans="1:24">
      <c r="A878" s="29">
        <f t="shared" si="874"/>
        <v>45872.458333331211</v>
      </c>
      <c r="B878" s="30">
        <f t="shared" si="898"/>
        <v>8000</v>
      </c>
      <c r="C878" s="8">
        <v>25000</v>
      </c>
      <c r="D878" s="8">
        <v>0</v>
      </c>
      <c r="E878" s="8">
        <v>700</v>
      </c>
      <c r="F878" s="8">
        <v>15000</v>
      </c>
      <c r="G878" s="30">
        <f t="shared" si="899"/>
        <v>2400</v>
      </c>
      <c r="H878" s="8">
        <v>25000</v>
      </c>
      <c r="I878" s="30">
        <f t="shared" si="900"/>
        <v>8000</v>
      </c>
      <c r="J878" s="8">
        <v>25000</v>
      </c>
      <c r="K878" s="30">
        <f t="shared" si="901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14</v>
      </c>
      <c r="O878" s="9">
        <v>13.5</v>
      </c>
      <c r="P878" s="9">
        <v>19.5</v>
      </c>
      <c r="Q878" s="79">
        <f>VLOOKUP(VLOOKUP(DATEVALUE(TEXT(A878,"m/d/yyyy")),FY24_Temp[],5,FALSE)&amp;TEXT(A878,"-h"),Table6[],4,FALSE)</f>
        <v>1.6252857276371546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VLOOKUP(TEXT(A878,"yy-mm")&amp;"-"&amp;IF(AND(WEEKDAY(A878)&gt;1,WEEKDAY(A878)&lt;7),"Wkd",TEXT(A878,"Ddd"))&amp;"-"&amp;TEXT(A878,"hh"),LoadTable[],5,FALSE)*0.92</f>
        <v>295.12680000000006</v>
      </c>
      <c r="U878" s="104">
        <f>VLOOKUP(TEXT(A878,"yy-mm")&amp;"-"&amp;IF(AND(WEEKDAY(A878)&gt;1,WEEKDAY(A878)&lt;7),"Wkd",TEXT(A878,"Ddd"))&amp;"-"&amp;TEXT(A878,"hh"),LoadTable[],6,FALSE)*T878</f>
        <v>13498.509578400002</v>
      </c>
      <c r="V878">
        <f t="shared" ref="V878:W878" si="920">V854</f>
        <v>3.4</v>
      </c>
      <c r="W878">
        <f t="shared" si="920"/>
        <v>3</v>
      </c>
      <c r="X878" s="9">
        <v>-7.5116731166666497</v>
      </c>
    </row>
    <row r="879" spans="1:24">
      <c r="A879" s="29">
        <f t="shared" si="874"/>
        <v>45872.499999997875</v>
      </c>
      <c r="B879" s="30">
        <f t="shared" si="898"/>
        <v>8000</v>
      </c>
      <c r="C879" s="8">
        <v>25000</v>
      </c>
      <c r="D879" s="8">
        <v>0</v>
      </c>
      <c r="E879" s="8">
        <v>700</v>
      </c>
      <c r="F879" s="8">
        <v>15000</v>
      </c>
      <c r="G879" s="30">
        <f t="shared" si="899"/>
        <v>2400</v>
      </c>
      <c r="H879" s="8">
        <v>25000</v>
      </c>
      <c r="I879" s="30">
        <f t="shared" si="900"/>
        <v>8000</v>
      </c>
      <c r="J879" s="8">
        <v>25000</v>
      </c>
      <c r="K879" s="30">
        <f t="shared" si="901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14</v>
      </c>
      <c r="O879" s="9">
        <v>13.5</v>
      </c>
      <c r="P879" s="9">
        <v>19.5</v>
      </c>
      <c r="Q879" s="79">
        <f>VLOOKUP(VLOOKUP(DATEVALUE(TEXT(A879,"m/d/yyyy")),FY24_Temp[],5,FALSE)&amp;TEXT(A879,"-h"),Table6[],4,FALSE)</f>
        <v>1.4844285760607039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VLOOKUP(TEXT(A879,"yy-mm")&amp;"-"&amp;IF(AND(WEEKDAY(A879)&gt;1,WEEKDAY(A879)&lt;7),"Wkd",TEXT(A879,"Ddd"))&amp;"-"&amp;TEXT(A879,"hh"),LoadTable[],5,FALSE)*0.92</f>
        <v>295.12680000000006</v>
      </c>
      <c r="U879" s="104">
        <f>VLOOKUP(TEXT(A879,"yy-mm")&amp;"-"&amp;IF(AND(WEEKDAY(A879)&gt;1,WEEKDAY(A879)&lt;7),"Wkd",TEXT(A879,"Ddd"))&amp;"-"&amp;TEXT(A879,"hh"),LoadTable[],6,FALSE)*T879</f>
        <v>13497.919324800001</v>
      </c>
      <c r="V879">
        <f t="shared" ref="V879:W879" si="921">V855</f>
        <v>3.1</v>
      </c>
      <c r="W879">
        <f t="shared" si="921"/>
        <v>2.9</v>
      </c>
      <c r="X879" s="9">
        <v>-7.5894676666666498</v>
      </c>
    </row>
    <row r="880" spans="1:24">
      <c r="A880" s="29">
        <f t="shared" si="874"/>
        <v>45872.54166666454</v>
      </c>
      <c r="B880" s="30">
        <f t="shared" si="898"/>
        <v>8000</v>
      </c>
      <c r="C880" s="8">
        <v>25000</v>
      </c>
      <c r="D880" s="8">
        <v>0</v>
      </c>
      <c r="E880" s="8">
        <v>700</v>
      </c>
      <c r="F880" s="8">
        <v>15000</v>
      </c>
      <c r="G880" s="30">
        <f t="shared" si="899"/>
        <v>2400</v>
      </c>
      <c r="H880" s="8">
        <v>25000</v>
      </c>
      <c r="I880" s="30">
        <f t="shared" si="900"/>
        <v>8000</v>
      </c>
      <c r="J880" s="8">
        <v>25000</v>
      </c>
      <c r="K880" s="30">
        <f t="shared" si="901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14</v>
      </c>
      <c r="O880" s="9">
        <v>13.5</v>
      </c>
      <c r="P880" s="9">
        <v>19.5</v>
      </c>
      <c r="Q880" s="79">
        <f>VLOOKUP(VLOOKUP(DATEVALUE(TEXT(A880,"m/d/yyyy")),FY24_Temp[],5,FALSE)&amp;TEXT(A880,"-h"),Table6[],4,FALSE)</f>
        <v>1.3144285849162511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VLOOKUP(TEXT(A880,"yy-mm")&amp;"-"&amp;IF(AND(WEEKDAY(A880)&gt;1,WEEKDAY(A880)&lt;7),"Wkd",TEXT(A880,"Ddd"))&amp;"-"&amp;TEXT(A880,"hh"),LoadTable[],5,FALSE)*0.92</f>
        <v>295.12680000000006</v>
      </c>
      <c r="U880" s="104">
        <f>VLOOKUP(TEXT(A880,"yy-mm")&amp;"-"&amp;IF(AND(WEEKDAY(A880)&gt;1,WEEKDAY(A880)&lt;7),"Wkd",TEXT(A880,"Ddd"))&amp;"-"&amp;TEXT(A880,"hh"),LoadTable[],6,FALSE)*T880</f>
        <v>13525.366117200003</v>
      </c>
      <c r="V880">
        <f t="shared" ref="V880:W880" si="922">V856</f>
        <v>3.2</v>
      </c>
      <c r="W880">
        <f t="shared" si="922"/>
        <v>2.9</v>
      </c>
      <c r="X880" s="9">
        <v>-7.66726221666665</v>
      </c>
    </row>
    <row r="881" spans="1:24">
      <c r="A881" s="29">
        <f t="shared" si="874"/>
        <v>45872.583333331204</v>
      </c>
      <c r="B881" s="30">
        <f t="shared" si="898"/>
        <v>8000</v>
      </c>
      <c r="C881" s="8">
        <v>25000</v>
      </c>
      <c r="D881" s="8">
        <v>0</v>
      </c>
      <c r="E881" s="8">
        <v>700</v>
      </c>
      <c r="F881" s="8">
        <v>15000</v>
      </c>
      <c r="G881" s="30">
        <f t="shared" si="899"/>
        <v>2400</v>
      </c>
      <c r="H881" s="8">
        <v>25000</v>
      </c>
      <c r="I881" s="30">
        <f t="shared" si="900"/>
        <v>8000</v>
      </c>
      <c r="J881" s="8">
        <v>25000</v>
      </c>
      <c r="K881" s="30">
        <f t="shared" si="901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14</v>
      </c>
      <c r="O881" s="9">
        <v>13.5</v>
      </c>
      <c r="P881" s="9">
        <v>19.5</v>
      </c>
      <c r="Q881" s="79">
        <f>VLOOKUP(VLOOKUP(DATEVALUE(TEXT(A881,"m/d/yyyy")),FY24_Temp[],5,FALSE)&amp;TEXT(A881,"-h"),Table6[],4,FALSE)</f>
        <v>1.131428565297808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VLOOKUP(TEXT(A881,"yy-mm")&amp;"-"&amp;IF(AND(WEEKDAY(A881)&gt;1,WEEKDAY(A881)&lt;7),"Wkd",TEXT(A881,"Ddd"))&amp;"-"&amp;TEXT(A881,"hh"),LoadTable[],5,FALSE)*0.92</f>
        <v>295.12680000000006</v>
      </c>
      <c r="U881" s="104">
        <f>VLOOKUP(TEXT(A881,"yy-mm")&amp;"-"&amp;IF(AND(WEEKDAY(A881)&gt;1,WEEKDAY(A881)&lt;7),"Wkd",TEXT(A881,"Ddd"))&amp;"-"&amp;TEXT(A881,"hh"),LoadTable[],6,FALSE)*T881</f>
        <v>14151.034933200002</v>
      </c>
      <c r="V881">
        <f t="shared" ref="V881:W881" si="923">V857</f>
        <v>3.5</v>
      </c>
      <c r="W881">
        <f t="shared" si="923"/>
        <v>2.9</v>
      </c>
      <c r="X881" s="9">
        <v>-7.7450567666666501</v>
      </c>
    </row>
    <row r="882" spans="1:24">
      <c r="A882" s="29">
        <f t="shared" si="874"/>
        <v>45872.624999997868</v>
      </c>
      <c r="B882" s="30">
        <f t="shared" si="898"/>
        <v>8000</v>
      </c>
      <c r="C882" s="8">
        <v>25000</v>
      </c>
      <c r="D882" s="8">
        <v>0</v>
      </c>
      <c r="E882" s="8">
        <v>700</v>
      </c>
      <c r="F882" s="8">
        <v>15000</v>
      </c>
      <c r="G882" s="30">
        <f t="shared" si="899"/>
        <v>2400</v>
      </c>
      <c r="H882" s="8">
        <v>25000</v>
      </c>
      <c r="I882" s="30">
        <f t="shared" si="900"/>
        <v>8000</v>
      </c>
      <c r="J882" s="8">
        <v>25000</v>
      </c>
      <c r="K882" s="30">
        <f t="shared" si="901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14</v>
      </c>
      <c r="O882" s="9">
        <v>13.5</v>
      </c>
      <c r="P882" s="9">
        <v>19.5</v>
      </c>
      <c r="Q882" s="79">
        <f>VLOOKUP(VLOOKUP(DATEVALUE(TEXT(A882,"m/d/yyyy")),FY24_Temp[],5,FALSE)&amp;TEXT(A882,"-h"),Table6[],4,FALSE)</f>
        <v>0.96828571387699669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VLOOKUP(TEXT(A882,"yy-mm")&amp;"-"&amp;IF(AND(WEEKDAY(A882)&gt;1,WEEKDAY(A882)&lt;7),"Wkd",TEXT(A882,"Ddd"))&amp;"-"&amp;TEXT(A882,"hh"),LoadTable[],5,FALSE)*0.92</f>
        <v>384.35300000000001</v>
      </c>
      <c r="U882" s="104">
        <f>VLOOKUP(TEXT(A882,"yy-mm")&amp;"-"&amp;IF(AND(WEEKDAY(A882)&gt;1,WEEKDAY(A882)&lt;7),"Wkd",TEXT(A882,"Ddd"))&amp;"-"&amp;TEXT(A882,"hh"),LoadTable[],6,FALSE)*T882</f>
        <v>20589.021504</v>
      </c>
      <c r="V882">
        <f t="shared" ref="V882:W882" si="924">V858</f>
        <v>3.2</v>
      </c>
      <c r="W882">
        <f t="shared" si="924"/>
        <v>2.9</v>
      </c>
      <c r="X882" s="9">
        <v>-7.8228513166666502</v>
      </c>
    </row>
    <row r="883" spans="1:24">
      <c r="A883" s="29">
        <f t="shared" si="874"/>
        <v>45872.666666664532</v>
      </c>
      <c r="B883" s="30">
        <f t="shared" si="898"/>
        <v>8000</v>
      </c>
      <c r="C883" s="8">
        <v>25000</v>
      </c>
      <c r="D883" s="8">
        <v>0</v>
      </c>
      <c r="E883" s="8">
        <v>700</v>
      </c>
      <c r="F883" s="8">
        <v>15000</v>
      </c>
      <c r="G883" s="30">
        <f t="shared" si="899"/>
        <v>2400</v>
      </c>
      <c r="H883" s="8">
        <v>25000</v>
      </c>
      <c r="I883" s="30">
        <f t="shared" si="900"/>
        <v>8000</v>
      </c>
      <c r="J883" s="8">
        <v>25000</v>
      </c>
      <c r="K883" s="30">
        <f t="shared" si="901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14</v>
      </c>
      <c r="O883" s="9">
        <v>13.5</v>
      </c>
      <c r="P883" s="9">
        <v>19.5</v>
      </c>
      <c r="Q883" s="79">
        <f>VLOOKUP(VLOOKUP(DATEVALUE(TEXT(A883,"m/d/yyyy")),FY24_Temp[],5,FALSE)&amp;TEXT(A883,"-h"),Table6[],4,FALSE)</f>
        <v>0.89385713849748882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VLOOKUP(TEXT(A883,"yy-mm")&amp;"-"&amp;IF(AND(WEEKDAY(A883)&gt;1,WEEKDAY(A883)&lt;7),"Wkd",TEXT(A883,"Ddd"))&amp;"-"&amp;TEXT(A883,"hh"),LoadTable[],5,FALSE)*0.92</f>
        <v>475.29131999999998</v>
      </c>
      <c r="U883" s="104">
        <f>VLOOKUP(TEXT(A883,"yy-mm")&amp;"-"&amp;IF(AND(WEEKDAY(A883)&gt;1,WEEKDAY(A883)&lt;7),"Wkd",TEXT(A883,"Ddd"))&amp;"-"&amp;TEXT(A883,"hh"),LoadTable[],6,FALSE)*T883</f>
        <v>31854.974849040002</v>
      </c>
      <c r="V883">
        <f t="shared" ref="V883:W883" si="925">V859</f>
        <v>3.5</v>
      </c>
      <c r="W883">
        <f t="shared" si="925"/>
        <v>3</v>
      </c>
      <c r="X883" s="9">
        <v>-7.9006458666666504</v>
      </c>
    </row>
    <row r="884" spans="1:24">
      <c r="A884" s="29">
        <f t="shared" si="874"/>
        <v>45872.708333331197</v>
      </c>
      <c r="B884" s="30">
        <f t="shared" si="898"/>
        <v>8000</v>
      </c>
      <c r="C884" s="8">
        <v>25000</v>
      </c>
      <c r="D884" s="8">
        <v>0</v>
      </c>
      <c r="E884" s="8">
        <v>700</v>
      </c>
      <c r="F884" s="8">
        <v>15000</v>
      </c>
      <c r="G884" s="30">
        <f t="shared" si="899"/>
        <v>2400</v>
      </c>
      <c r="H884" s="8">
        <v>25000</v>
      </c>
      <c r="I884" s="30">
        <f t="shared" si="900"/>
        <v>8000</v>
      </c>
      <c r="J884" s="8">
        <v>25000</v>
      </c>
      <c r="K884" s="30">
        <f t="shared" si="901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14</v>
      </c>
      <c r="O884" s="9">
        <v>13.5</v>
      </c>
      <c r="P884" s="9">
        <v>19.5</v>
      </c>
      <c r="Q884" s="79">
        <f>VLOOKUP(VLOOKUP(DATEVALUE(TEXT(A884,"m/d/yyyy")),FY24_Temp[],5,FALSE)&amp;TEXT(A884,"-h"),Table6[],4,FALSE)</f>
        <v>1.0775714346340723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VLOOKUP(TEXT(A884,"yy-mm")&amp;"-"&amp;IF(AND(WEEKDAY(A884)&gt;1,WEEKDAY(A884)&lt;7),"Wkd",TEXT(A884,"Ddd"))&amp;"-"&amp;TEXT(A884,"hh"),LoadTable[],5,FALSE)*0.92</f>
        <v>475.29131999999998</v>
      </c>
      <c r="U884" s="104">
        <f>VLOOKUP(TEXT(A884,"yy-mm")&amp;"-"&amp;IF(AND(WEEKDAY(A884)&gt;1,WEEKDAY(A884)&lt;7),"Wkd",TEXT(A884,"Ddd"))&amp;"-"&amp;TEXT(A884,"hh"),LoadTable[],6,FALSE)*T884</f>
        <v>41441.125482119998</v>
      </c>
      <c r="V884">
        <f t="shared" ref="V884:W884" si="926">V860</f>
        <v>3.6</v>
      </c>
      <c r="W884">
        <f t="shared" si="926"/>
        <v>3</v>
      </c>
      <c r="X884" s="9">
        <v>-7.9784404166666398</v>
      </c>
    </row>
    <row r="885" spans="1:24">
      <c r="A885" s="29">
        <f t="shared" si="874"/>
        <v>45872.749999997861</v>
      </c>
      <c r="B885" s="30">
        <f t="shared" si="898"/>
        <v>5000</v>
      </c>
      <c r="C885" s="8">
        <v>25000</v>
      </c>
      <c r="D885" s="8">
        <v>0</v>
      </c>
      <c r="E885" s="8">
        <v>700</v>
      </c>
      <c r="F885" s="8">
        <v>15000</v>
      </c>
      <c r="G885" s="30">
        <f t="shared" si="899"/>
        <v>2400</v>
      </c>
      <c r="H885" s="8">
        <v>25000</v>
      </c>
      <c r="I885" s="30">
        <f t="shared" si="900"/>
        <v>5000</v>
      </c>
      <c r="J885" s="8">
        <v>25000</v>
      </c>
      <c r="K885" s="30">
        <f t="shared" si="901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14</v>
      </c>
      <c r="O885" s="9">
        <v>13.5</v>
      </c>
      <c r="P885" s="9">
        <v>19.5</v>
      </c>
      <c r="Q885" s="79">
        <f>VLOOKUP(VLOOKUP(DATEVALUE(TEXT(A885,"m/d/yyyy")),FY24_Temp[],5,FALSE)&amp;TEXT(A885,"-h"),Table6[],4,FALSE)</f>
        <v>1.43542856829507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VLOOKUP(TEXT(A885,"yy-mm")&amp;"-"&amp;IF(AND(WEEKDAY(A885)&gt;1,WEEKDAY(A885)&lt;7),"Wkd",TEXT(A885,"Ddd"))&amp;"-"&amp;TEXT(A885,"hh"),LoadTable[],5,FALSE)*0.92</f>
        <v>521.92427999999995</v>
      </c>
      <c r="U885" s="104">
        <f>VLOOKUP(TEXT(A885,"yy-mm")&amp;"-"&amp;IF(AND(WEEKDAY(A885)&gt;1,WEEKDAY(A885)&lt;7),"Wkd",TEXT(A885,"Ddd"))&amp;"-"&amp;TEXT(A885,"hh"),LoadTable[],6,FALSE)*T885</f>
        <v>56599.034696039991</v>
      </c>
      <c r="V885">
        <f t="shared" ref="V885:W885" si="927">V861</f>
        <v>2.9</v>
      </c>
      <c r="W885">
        <f t="shared" si="927"/>
        <v>3</v>
      </c>
      <c r="X885" s="9">
        <v>-8.05623496666664</v>
      </c>
    </row>
    <row r="886" spans="1:24">
      <c r="A886" s="29">
        <f t="shared" si="874"/>
        <v>45872.791666664525</v>
      </c>
      <c r="B886" s="30">
        <f t="shared" si="898"/>
        <v>5000</v>
      </c>
      <c r="C886" s="8">
        <v>25000</v>
      </c>
      <c r="D886" s="8">
        <v>0</v>
      </c>
      <c r="E886" s="8">
        <v>700</v>
      </c>
      <c r="F886" s="8">
        <v>15000</v>
      </c>
      <c r="G886" s="30">
        <f t="shared" si="899"/>
        <v>2400</v>
      </c>
      <c r="H886" s="8">
        <v>25000</v>
      </c>
      <c r="I886" s="30">
        <f t="shared" si="900"/>
        <v>5000</v>
      </c>
      <c r="J886" s="8">
        <v>25000</v>
      </c>
      <c r="K886" s="30">
        <f t="shared" si="901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14</v>
      </c>
      <c r="O886" s="9">
        <v>13.5</v>
      </c>
      <c r="P886" s="9">
        <v>19.5</v>
      </c>
      <c r="Q886" s="79">
        <f>VLOOKUP(VLOOKUP(DATEVALUE(TEXT(A886,"m/d/yyyy")),FY24_Temp[],5,FALSE)&amp;TEXT(A886,"-h"),Table6[],4,FALSE)</f>
        <v>2.2041428089141846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VLOOKUP(TEXT(A886,"yy-mm")&amp;"-"&amp;IF(AND(WEEKDAY(A886)&gt;1,WEEKDAY(A886)&lt;7),"Wkd",TEXT(A886,"Ddd"))&amp;"-"&amp;TEXT(A886,"hh"),LoadTable[],5,FALSE)*0.92</f>
        <v>521.92427999999995</v>
      </c>
      <c r="U886" s="104">
        <f>VLOOKUP(TEXT(A886,"yy-mm")&amp;"-"&amp;IF(AND(WEEKDAY(A886)&gt;1,WEEKDAY(A886)&lt;7),"Wkd",TEXT(A886,"Ddd"))&amp;"-"&amp;TEXT(A886,"hh"),LoadTable[],6,FALSE)*T886</f>
        <v>64978.007087159996</v>
      </c>
      <c r="V886">
        <f t="shared" ref="V886:W886" si="928">V862</f>
        <v>3</v>
      </c>
      <c r="W886">
        <f t="shared" si="928"/>
        <v>3</v>
      </c>
      <c r="X886" s="9">
        <v>-8.1340295166666401</v>
      </c>
    </row>
    <row r="887" spans="1:24">
      <c r="A887" s="29">
        <f t="shared" si="874"/>
        <v>45872.833333331189</v>
      </c>
      <c r="B887" s="30">
        <f t="shared" si="898"/>
        <v>5000</v>
      </c>
      <c r="C887" s="8">
        <v>25000</v>
      </c>
      <c r="D887" s="8">
        <v>0</v>
      </c>
      <c r="E887" s="8">
        <v>700</v>
      </c>
      <c r="F887" s="8">
        <v>15000</v>
      </c>
      <c r="G887" s="30">
        <f t="shared" si="899"/>
        <v>2400</v>
      </c>
      <c r="H887" s="8">
        <v>25000</v>
      </c>
      <c r="I887" s="30">
        <f t="shared" si="900"/>
        <v>5000</v>
      </c>
      <c r="J887" s="8">
        <v>25000</v>
      </c>
      <c r="K887" s="30">
        <f t="shared" si="901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14</v>
      </c>
      <c r="O887" s="9">
        <v>13.5</v>
      </c>
      <c r="P887" s="9">
        <v>19.5</v>
      </c>
      <c r="Q887" s="79">
        <f>VLOOKUP(VLOOKUP(DATEVALUE(TEXT(A887,"m/d/yyyy")),FY24_Temp[],5,FALSE)&amp;TEXT(A887,"-h"),Table6[],4,FALSE)</f>
        <v>2.9597143105098178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VLOOKUP(TEXT(A887,"yy-mm")&amp;"-"&amp;IF(AND(WEEKDAY(A887)&gt;1,WEEKDAY(A887)&lt;7),"Wkd",TEXT(A887,"Ddd"))&amp;"-"&amp;TEXT(A887,"hh"),LoadTable[],5,FALSE)*0.92</f>
        <v>519.82668000000001</v>
      </c>
      <c r="U887" s="104">
        <f>VLOOKUP(TEXT(A887,"yy-mm")&amp;"-"&amp;IF(AND(WEEKDAY(A887)&gt;1,WEEKDAY(A887)&lt;7),"Wkd",TEXT(A887,"Ddd"))&amp;"-"&amp;TEXT(A887,"hh"),LoadTable[],6,FALSE)*T887</f>
        <v>61197.635556360001</v>
      </c>
      <c r="V887">
        <f t="shared" ref="V887:W887" si="929">V863</f>
        <v>2.8</v>
      </c>
      <c r="W887">
        <f t="shared" si="929"/>
        <v>3.1</v>
      </c>
      <c r="X887" s="9">
        <v>-8.2118240666666402</v>
      </c>
    </row>
    <row r="888" spans="1:24">
      <c r="A888" s="29">
        <f t="shared" si="874"/>
        <v>45872.874999997854</v>
      </c>
      <c r="B888" s="30">
        <f t="shared" si="898"/>
        <v>5000</v>
      </c>
      <c r="C888" s="8">
        <v>25000</v>
      </c>
      <c r="D888" s="8">
        <v>0</v>
      </c>
      <c r="E888" s="8">
        <v>700</v>
      </c>
      <c r="F888" s="8">
        <v>15000</v>
      </c>
      <c r="G888" s="30">
        <f t="shared" si="899"/>
        <v>2400</v>
      </c>
      <c r="H888" s="8">
        <v>25000</v>
      </c>
      <c r="I888" s="30">
        <f t="shared" si="900"/>
        <v>5000</v>
      </c>
      <c r="J888" s="8">
        <v>25000</v>
      </c>
      <c r="K888" s="30">
        <f t="shared" si="901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14</v>
      </c>
      <c r="O888" s="9">
        <v>13.5</v>
      </c>
      <c r="P888" s="9">
        <v>19.5</v>
      </c>
      <c r="Q888" s="79">
        <f>VLOOKUP(VLOOKUP(DATEVALUE(TEXT(A888,"m/d/yyyy")),FY24_Temp[],5,FALSE)&amp;TEXT(A888,"-h"),Table6[],4,FALSE)</f>
        <v>3.2167142799922397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VLOOKUP(TEXT(A888,"yy-mm")&amp;"-"&amp;IF(AND(WEEKDAY(A888)&gt;1,WEEKDAY(A888)&lt;7),"Wkd",TEXT(A888,"Ddd"))&amp;"-"&amp;TEXT(A888,"hh"),LoadTable[],5,FALSE)*0.92</f>
        <v>444.92671999999999</v>
      </c>
      <c r="U888" s="104">
        <f>VLOOKUP(TEXT(A888,"yy-mm")&amp;"-"&amp;IF(AND(WEEKDAY(A888)&gt;1,WEEKDAY(A888)&lt;7),"Wkd",TEXT(A888,"Ddd"))&amp;"-"&amp;TEXT(A888,"hh"),LoadTable[],6,FALSE)*T888</f>
        <v>45470.176003840003</v>
      </c>
      <c r="V888">
        <f t="shared" ref="V888:W888" si="930">V864</f>
        <v>3.5</v>
      </c>
      <c r="W888">
        <f t="shared" si="930"/>
        <v>3.1</v>
      </c>
      <c r="X888" s="9">
        <v>-8.2896186166666403</v>
      </c>
    </row>
    <row r="889" spans="1:24">
      <c r="A889" s="29">
        <f t="shared" si="874"/>
        <v>45872.916666664518</v>
      </c>
      <c r="B889" s="30">
        <f t="shared" si="898"/>
        <v>5000</v>
      </c>
      <c r="C889" s="8">
        <v>25000</v>
      </c>
      <c r="D889" s="8">
        <v>0</v>
      </c>
      <c r="E889" s="8">
        <v>700</v>
      </c>
      <c r="F889" s="8">
        <v>15000</v>
      </c>
      <c r="G889" s="30">
        <f t="shared" si="899"/>
        <v>2400</v>
      </c>
      <c r="H889" s="8">
        <v>25000</v>
      </c>
      <c r="I889" s="30">
        <f t="shared" si="900"/>
        <v>5000</v>
      </c>
      <c r="J889" s="8">
        <v>25000</v>
      </c>
      <c r="K889" s="30">
        <f t="shared" si="901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14</v>
      </c>
      <c r="O889" s="9">
        <v>13.5</v>
      </c>
      <c r="P889" s="9">
        <v>19.5</v>
      </c>
      <c r="Q889" s="79">
        <f>VLOOKUP(VLOOKUP(DATEVALUE(TEXT(A889,"m/d/yyyy")),FY24_Temp[],5,FALSE)&amp;TEXT(A889,"-h"),Table6[],4,FALSE)</f>
        <v>3.1878571510314941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VLOOKUP(TEXT(A889,"yy-mm")&amp;"-"&amp;IF(AND(WEEKDAY(A889)&gt;1,WEEKDAY(A889)&lt;7),"Wkd",TEXT(A889,"Ddd"))&amp;"-"&amp;TEXT(A889,"hh"),LoadTable[],5,FALSE)*0.92</f>
        <v>370.02675999999997</v>
      </c>
      <c r="U889" s="104">
        <f>VLOOKUP(TEXT(A889,"yy-mm")&amp;"-"&amp;IF(AND(WEEKDAY(A889)&gt;1,WEEKDAY(A889)&lt;7),"Wkd",TEXT(A889,"Ddd"))&amp;"-"&amp;TEXT(A889,"hh"),LoadTable[],6,FALSE)*T889</f>
        <v>24705.206658160001</v>
      </c>
      <c r="V889">
        <f t="shared" ref="V889:W889" si="931">V865</f>
        <v>2.9</v>
      </c>
      <c r="W889">
        <f t="shared" si="931"/>
        <v>3.1</v>
      </c>
      <c r="X889" s="9">
        <v>-8.3674131666666405</v>
      </c>
    </row>
    <row r="890" spans="1:24">
      <c r="A890" s="29">
        <f t="shared" si="874"/>
        <v>45872.958333331182</v>
      </c>
      <c r="B890" s="30">
        <f t="shared" si="898"/>
        <v>5000</v>
      </c>
      <c r="C890" s="8">
        <v>25000</v>
      </c>
      <c r="D890" s="8">
        <v>0</v>
      </c>
      <c r="E890" s="8">
        <v>700</v>
      </c>
      <c r="F890" s="8">
        <v>15000</v>
      </c>
      <c r="G890" s="30">
        <f t="shared" si="899"/>
        <v>2400</v>
      </c>
      <c r="H890" s="8">
        <v>25000</v>
      </c>
      <c r="I890" s="30">
        <f t="shared" si="900"/>
        <v>5000</v>
      </c>
      <c r="J890" s="8">
        <v>25000</v>
      </c>
      <c r="K890" s="30">
        <f t="shared" si="901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14</v>
      </c>
      <c r="O890" s="9">
        <v>13.5</v>
      </c>
      <c r="P890" s="9">
        <v>19.5</v>
      </c>
      <c r="Q890" s="79">
        <f>VLOOKUP(VLOOKUP(DATEVALUE(TEXT(A890,"m/d/yyyy")),FY24_Temp[],5,FALSE)&amp;TEXT(A890,"-h"),Table6[],4,FALSE)</f>
        <v>3.0497143268585205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VLOOKUP(TEXT(A890,"yy-mm")&amp;"-"&amp;IF(AND(WEEKDAY(A890)&gt;1,WEEKDAY(A890)&lt;7),"Wkd",TEXT(A890,"Ddd"))&amp;"-"&amp;TEXT(A890,"hh"),LoadTable[],5,FALSE)*0.92</f>
        <v>295.12680000000006</v>
      </c>
      <c r="U890" s="104">
        <f>VLOOKUP(TEXT(A890,"yy-mm")&amp;"-"&amp;IF(AND(WEEKDAY(A890)&gt;1,WEEKDAY(A890)&lt;7),"Wkd",TEXT(A890,"Ddd"))&amp;"-"&amp;TEXT(A890,"hh"),LoadTable[],6,FALSE)*T890</f>
        <v>18122.851407600003</v>
      </c>
      <c r="V890">
        <f t="shared" ref="V890:W890" si="932">V866</f>
        <v>3.6</v>
      </c>
      <c r="W890">
        <f t="shared" si="932"/>
        <v>3.1</v>
      </c>
      <c r="X890" s="9">
        <v>-8.4452077166666406</v>
      </c>
    </row>
    <row r="891" spans="1:24">
      <c r="A891" s="29">
        <f t="shared" si="874"/>
        <v>45872.999999997846</v>
      </c>
      <c r="B891" s="30">
        <f t="shared" si="898"/>
        <v>5000</v>
      </c>
      <c r="C891" s="8">
        <v>25000</v>
      </c>
      <c r="D891" s="8">
        <v>0</v>
      </c>
      <c r="E891" s="8">
        <v>700</v>
      </c>
      <c r="F891" s="8">
        <v>15000</v>
      </c>
      <c r="G891" s="30">
        <f t="shared" si="899"/>
        <v>2400</v>
      </c>
      <c r="H891" s="8">
        <v>25000</v>
      </c>
      <c r="I891" s="30">
        <f t="shared" si="900"/>
        <v>5000</v>
      </c>
      <c r="J891" s="8">
        <v>25000</v>
      </c>
      <c r="K891" s="30">
        <f t="shared" si="901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14</v>
      </c>
      <c r="O891" s="9">
        <v>13.5</v>
      </c>
      <c r="P891" s="9">
        <v>19.5</v>
      </c>
      <c r="Q891" s="79">
        <f>VLOOKUP(VLOOKUP(DATEVALUE(TEXT(A891,"m/d/yyyy")),FY24_Temp[],5,FALSE)&amp;TEXT(A891,"-h"),Table6[],4,FALSE)</f>
        <v>2.9064285414559499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VLOOKUP(TEXT(A891,"yy-mm")&amp;"-"&amp;IF(AND(WEEKDAY(A891)&gt;1,WEEKDAY(A891)&lt;7),"Wkd",TEXT(A891,"Ddd"))&amp;"-"&amp;TEXT(A891,"hh"),LoadTable[],5,FALSE)*0.92</f>
        <v>297.2244</v>
      </c>
      <c r="U891" s="104">
        <f>VLOOKUP(TEXT(A891,"yy-mm")&amp;"-"&amp;IF(AND(WEEKDAY(A891)&gt;1,WEEKDAY(A891)&lt;7),"Wkd",TEXT(A891,"Ddd"))&amp;"-"&amp;TEXT(A891,"hh"),LoadTable[],6,FALSE)*T891</f>
        <v>17505.031038000001</v>
      </c>
      <c r="V891">
        <f t="shared" ref="V891:W891" si="933">V867</f>
        <v>3</v>
      </c>
      <c r="W891">
        <f t="shared" si="933"/>
        <v>3.2</v>
      </c>
      <c r="X891" s="9">
        <v>-8.5230022666666407</v>
      </c>
    </row>
    <row r="892" spans="1:24">
      <c r="A892" s="29">
        <f t="shared" si="874"/>
        <v>45873.041666664511</v>
      </c>
      <c r="B892" s="30">
        <f t="shared" si="898"/>
        <v>5000</v>
      </c>
      <c r="C892" s="8">
        <v>25000</v>
      </c>
      <c r="D892" s="8">
        <v>0</v>
      </c>
      <c r="E892" s="8">
        <v>700</v>
      </c>
      <c r="F892" s="8">
        <v>15000</v>
      </c>
      <c r="G892" s="30">
        <f t="shared" si="899"/>
        <v>2400</v>
      </c>
      <c r="H892" s="8">
        <v>25000</v>
      </c>
      <c r="I892" s="30">
        <f t="shared" si="900"/>
        <v>5000</v>
      </c>
      <c r="J892" s="8">
        <v>25000</v>
      </c>
      <c r="K892" s="30">
        <f t="shared" si="901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14</v>
      </c>
      <c r="O892" s="9">
        <v>13.5</v>
      </c>
      <c r="P892" s="9">
        <v>19.5</v>
      </c>
      <c r="Q892" s="79">
        <f>VLOOKUP(VLOOKUP(DATEVALUE(TEXT(A892,"m/d/yyyy")),FY24_Temp[],5,FALSE)&amp;TEXT(A892,"-h"),Table6[],4,FALSE)</f>
        <v>2.7961428506033763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VLOOKUP(TEXT(A892,"yy-mm")&amp;"-"&amp;IF(AND(WEEKDAY(A892)&gt;1,WEEKDAY(A892)&lt;7),"Wkd",TEXT(A892,"Ddd"))&amp;"-"&amp;TEXT(A892,"hh"),LoadTable[],5,FALSE)*0.92</f>
        <v>295.12680000000006</v>
      </c>
      <c r="U892" s="104">
        <f>VLOOKUP(TEXT(A892,"yy-mm")&amp;"-"&amp;IF(AND(WEEKDAY(A892)&gt;1,WEEKDAY(A892)&lt;7),"Wkd",TEXT(A892,"Ddd"))&amp;"-"&amp;TEXT(A892,"hh"),LoadTable[],6,FALSE)*T892</f>
        <v>17131.225359600001</v>
      </c>
      <c r="V892">
        <f t="shared" ref="V892:W892" si="934">V868</f>
        <v>2.6</v>
      </c>
      <c r="W892">
        <f t="shared" si="934"/>
        <v>3.2</v>
      </c>
      <c r="X892" s="9">
        <v>-8.6007968166666409</v>
      </c>
    </row>
    <row r="893" spans="1:24">
      <c r="A893" s="29">
        <f t="shared" si="874"/>
        <v>45873.083333331175</v>
      </c>
      <c r="B893" s="30">
        <f t="shared" si="898"/>
        <v>5000</v>
      </c>
      <c r="C893" s="8">
        <v>25000</v>
      </c>
      <c r="D893" s="8">
        <v>0</v>
      </c>
      <c r="E893" s="8">
        <v>700</v>
      </c>
      <c r="F893" s="8">
        <v>15000</v>
      </c>
      <c r="G893" s="30">
        <f t="shared" si="899"/>
        <v>2400</v>
      </c>
      <c r="H893" s="8">
        <v>25000</v>
      </c>
      <c r="I893" s="30">
        <f t="shared" si="900"/>
        <v>5000</v>
      </c>
      <c r="J893" s="8">
        <v>25000</v>
      </c>
      <c r="K893" s="30">
        <f t="shared" si="901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14</v>
      </c>
      <c r="O893" s="9">
        <v>13.5</v>
      </c>
      <c r="P893" s="9">
        <v>19.5</v>
      </c>
      <c r="Q893" s="79">
        <f>VLOOKUP(VLOOKUP(DATEVALUE(TEXT(A893,"m/d/yyyy")),FY24_Temp[],5,FALSE)&amp;TEXT(A893,"-h"),Table6[],4,FALSE)</f>
        <v>2.6915714400155202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VLOOKUP(TEXT(A893,"yy-mm")&amp;"-"&amp;IF(AND(WEEKDAY(A893)&gt;1,WEEKDAY(A893)&lt;7),"Wkd",TEXT(A893,"Ddd"))&amp;"-"&amp;TEXT(A893,"hh"),LoadTable[],5,FALSE)*0.92</f>
        <v>295.12680000000006</v>
      </c>
      <c r="U893" s="104">
        <f>VLOOKUP(TEXT(A893,"yy-mm")&amp;"-"&amp;IF(AND(WEEKDAY(A893)&gt;1,WEEKDAY(A893)&lt;7),"Wkd",TEXT(A893,"Ddd"))&amp;"-"&amp;TEXT(A893,"hh"),LoadTable[],6,FALSE)*T893</f>
        <v>16459.811889600001</v>
      </c>
      <c r="V893">
        <f t="shared" ref="V893:W893" si="935">V869</f>
        <v>2.8</v>
      </c>
      <c r="W893">
        <f t="shared" si="935"/>
        <v>3.2</v>
      </c>
      <c r="X893" s="9">
        <v>-8.6785913666666392</v>
      </c>
    </row>
    <row r="894" spans="1:24">
      <c r="A894" s="29">
        <f t="shared" si="874"/>
        <v>45873.124999997839</v>
      </c>
      <c r="B894" s="30">
        <f t="shared" si="898"/>
        <v>5000</v>
      </c>
      <c r="C894" s="8">
        <v>25000</v>
      </c>
      <c r="D894" s="8">
        <v>0</v>
      </c>
      <c r="E894" s="8">
        <v>700</v>
      </c>
      <c r="F894" s="8">
        <v>15000</v>
      </c>
      <c r="G894" s="30">
        <f t="shared" si="899"/>
        <v>2400</v>
      </c>
      <c r="H894" s="8">
        <v>25000</v>
      </c>
      <c r="I894" s="30">
        <f t="shared" si="900"/>
        <v>5000</v>
      </c>
      <c r="J894" s="8">
        <v>25000</v>
      </c>
      <c r="K894" s="30">
        <f t="shared" si="901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14</v>
      </c>
      <c r="O894" s="9">
        <v>13.5</v>
      </c>
      <c r="P894" s="9">
        <v>19.5</v>
      </c>
      <c r="Q894" s="79">
        <f>VLOOKUP(VLOOKUP(DATEVALUE(TEXT(A894,"m/d/yyyy")),FY24_Temp[],5,FALSE)&amp;TEXT(A894,"-h"),Table6[],4,FALSE)</f>
        <v>2.5627142701830183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VLOOKUP(TEXT(A894,"yy-mm")&amp;"-"&amp;IF(AND(WEEKDAY(A894)&gt;1,WEEKDAY(A894)&lt;7),"Wkd",TEXT(A894,"Ddd"))&amp;"-"&amp;TEXT(A894,"hh"),LoadTable[],5,FALSE)*0.92</f>
        <v>295.12680000000006</v>
      </c>
      <c r="U894" s="104">
        <f>VLOOKUP(TEXT(A894,"yy-mm")&amp;"-"&amp;IF(AND(WEEKDAY(A894)&gt;1,WEEKDAY(A894)&lt;7),"Wkd",TEXT(A894,"Ddd"))&amp;"-"&amp;TEXT(A894,"hh"),LoadTable[],6,FALSE)*T894</f>
        <v>16610.326557600001</v>
      </c>
      <c r="V894">
        <f t="shared" ref="V894:W894" si="936">V870</f>
        <v>2.7</v>
      </c>
      <c r="W894">
        <f t="shared" si="936"/>
        <v>3.2</v>
      </c>
      <c r="X894" s="9">
        <v>-8.7563859166666393</v>
      </c>
    </row>
    <row r="895" spans="1:24">
      <c r="A895" s="29">
        <f t="shared" si="874"/>
        <v>45873.166666664503</v>
      </c>
      <c r="B895" s="30">
        <f t="shared" si="898"/>
        <v>5000</v>
      </c>
      <c r="C895" s="8">
        <v>25000</v>
      </c>
      <c r="D895" s="8">
        <v>0</v>
      </c>
      <c r="E895" s="8">
        <v>700</v>
      </c>
      <c r="F895" s="8">
        <v>15000</v>
      </c>
      <c r="G895" s="30">
        <f t="shared" si="899"/>
        <v>2400</v>
      </c>
      <c r="H895" s="8">
        <v>25000</v>
      </c>
      <c r="I895" s="30">
        <f t="shared" si="900"/>
        <v>5000</v>
      </c>
      <c r="J895" s="8">
        <v>25000</v>
      </c>
      <c r="K895" s="30">
        <f t="shared" si="901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14</v>
      </c>
      <c r="O895" s="9">
        <v>13.5</v>
      </c>
      <c r="P895" s="9">
        <v>19.5</v>
      </c>
      <c r="Q895" s="79">
        <f>VLOOKUP(VLOOKUP(DATEVALUE(TEXT(A895,"m/d/yyyy")),FY24_Temp[],5,FALSE)&amp;TEXT(A895,"-h"),Table6[],4,FALSE)</f>
        <v>2.3978571210588728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VLOOKUP(TEXT(A895,"yy-mm")&amp;"-"&amp;IF(AND(WEEKDAY(A895)&gt;1,WEEKDAY(A895)&lt;7),"Wkd",TEXT(A895,"Ddd"))&amp;"-"&amp;TEXT(A895,"hh"),LoadTable[],5,FALSE)*0.92</f>
        <v>295.12680000000006</v>
      </c>
      <c r="U895" s="104">
        <f>VLOOKUP(TEXT(A895,"yy-mm")&amp;"-"&amp;IF(AND(WEEKDAY(A895)&gt;1,WEEKDAY(A895)&lt;7),"Wkd",TEXT(A895,"Ddd"))&amp;"-"&amp;TEXT(A895,"hh"),LoadTable[],6,FALSE)*T895</f>
        <v>16544.513281200001</v>
      </c>
      <c r="V895">
        <f t="shared" ref="V895:W895" si="937">V871</f>
        <v>3</v>
      </c>
      <c r="W895">
        <f t="shared" si="937"/>
        <v>3.1</v>
      </c>
      <c r="X895" s="9">
        <v>-8.8341804666666395</v>
      </c>
    </row>
    <row r="896" spans="1:24">
      <c r="A896" s="29">
        <f t="shared" si="874"/>
        <v>45873.208333331168</v>
      </c>
      <c r="B896" s="30">
        <f t="shared" si="898"/>
        <v>5000</v>
      </c>
      <c r="C896" s="8">
        <v>25000</v>
      </c>
      <c r="D896" s="8">
        <v>0</v>
      </c>
      <c r="E896" s="8">
        <v>700</v>
      </c>
      <c r="F896" s="8">
        <v>15000</v>
      </c>
      <c r="G896" s="30">
        <f t="shared" si="899"/>
        <v>2400</v>
      </c>
      <c r="H896" s="8">
        <v>25000</v>
      </c>
      <c r="I896" s="30">
        <f t="shared" si="900"/>
        <v>5000</v>
      </c>
      <c r="J896" s="8">
        <v>25000</v>
      </c>
      <c r="K896" s="30">
        <f t="shared" si="901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14</v>
      </c>
      <c r="O896" s="9">
        <v>13.5</v>
      </c>
      <c r="P896" s="9">
        <v>19.5</v>
      </c>
      <c r="Q896" s="79">
        <f>VLOOKUP(VLOOKUP(DATEVALUE(TEXT(A896,"m/d/yyyy")),FY24_Temp[],5,FALSE)&amp;TEXT(A896,"-h"),Table6[],4,FALSE)</f>
        <v>2.2397142818995883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VLOOKUP(TEXT(A896,"yy-mm")&amp;"-"&amp;IF(AND(WEEKDAY(A896)&gt;1,WEEKDAY(A896)&lt;7),"Wkd",TEXT(A896,"Ddd"))&amp;"-"&amp;TEXT(A896,"hh"),LoadTable[],5,FALSE)*0.92</f>
        <v>295.12680000000006</v>
      </c>
      <c r="U896" s="104">
        <f>VLOOKUP(TEXT(A896,"yy-mm")&amp;"-"&amp;IF(AND(WEEKDAY(A896)&gt;1,WEEKDAY(A896)&lt;7),"Wkd",TEXT(A896,"Ddd"))&amp;"-"&amp;TEXT(A896,"hh"),LoadTable[],6,FALSE)*T896</f>
        <v>17128.569218400004</v>
      </c>
      <c r="V896">
        <f t="shared" ref="V896:W896" si="938">V872</f>
        <v>2.9</v>
      </c>
      <c r="W896">
        <f t="shared" si="938"/>
        <v>3.1</v>
      </c>
      <c r="X896" s="9">
        <v>-8.9119750166666396</v>
      </c>
    </row>
    <row r="897" spans="1:24">
      <c r="A897" s="29">
        <f t="shared" si="874"/>
        <v>45873.249999997832</v>
      </c>
      <c r="B897" s="30">
        <f t="shared" si="898"/>
        <v>8000</v>
      </c>
      <c r="C897" s="8">
        <v>25000</v>
      </c>
      <c r="D897" s="8">
        <v>0</v>
      </c>
      <c r="E897" s="8">
        <v>700</v>
      </c>
      <c r="F897" s="8">
        <v>15000</v>
      </c>
      <c r="G897" s="30">
        <f t="shared" si="899"/>
        <v>2400</v>
      </c>
      <c r="H897" s="8">
        <v>25000</v>
      </c>
      <c r="I897" s="30">
        <f t="shared" si="900"/>
        <v>8000</v>
      </c>
      <c r="J897" s="8">
        <v>25000</v>
      </c>
      <c r="K897" s="30">
        <f t="shared" si="901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14</v>
      </c>
      <c r="O897" s="9">
        <v>13.5</v>
      </c>
      <c r="P897" s="9">
        <v>19.5</v>
      </c>
      <c r="Q897" s="79">
        <f>VLOOKUP(VLOOKUP(DATEVALUE(TEXT(A897,"m/d/yyyy")),FY24_Temp[],5,FALSE)&amp;TEXT(A897,"-h"),Table6[],4,FALSE)</f>
        <v>2.1271428721291676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VLOOKUP(TEXT(A897,"yy-mm")&amp;"-"&amp;IF(AND(WEEKDAY(A897)&gt;1,WEEKDAY(A897)&lt;7),"Wkd",TEXT(A897,"Ddd"))&amp;"-"&amp;TEXT(A897,"hh"),LoadTable[],5,FALSE)*0.92</f>
        <v>295.12680000000006</v>
      </c>
      <c r="U897" s="104">
        <f>VLOOKUP(TEXT(A897,"yy-mm")&amp;"-"&amp;IF(AND(WEEKDAY(A897)&gt;1,WEEKDAY(A897)&lt;7),"Wkd",TEXT(A897,"Ddd"))&amp;"-"&amp;TEXT(A897,"hh"),LoadTable[],6,FALSE)*T897</f>
        <v>20766.892408800006</v>
      </c>
      <c r="V897">
        <f t="shared" ref="V897:W897" si="939">V873</f>
        <v>2.5</v>
      </c>
      <c r="W897">
        <f t="shared" si="939"/>
        <v>3.1</v>
      </c>
      <c r="X897" s="9">
        <v>-8.9897695666666309</v>
      </c>
    </row>
    <row r="898" spans="1:24">
      <c r="A898" s="29">
        <f t="shared" si="874"/>
        <v>45873.291666664496</v>
      </c>
      <c r="B898" s="30">
        <f t="shared" si="898"/>
        <v>8000</v>
      </c>
      <c r="C898" s="8">
        <v>25000</v>
      </c>
      <c r="D898" s="8">
        <v>0</v>
      </c>
      <c r="E898" s="8">
        <v>700</v>
      </c>
      <c r="F898" s="8">
        <v>15000</v>
      </c>
      <c r="G898" s="30">
        <f t="shared" si="899"/>
        <v>2400</v>
      </c>
      <c r="H898" s="8">
        <v>25000</v>
      </c>
      <c r="I898" s="30">
        <f t="shared" si="900"/>
        <v>8000</v>
      </c>
      <c r="J898" s="8">
        <v>25000</v>
      </c>
      <c r="K898" s="30">
        <f t="shared" si="901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14</v>
      </c>
      <c r="O898" s="9">
        <v>13.5</v>
      </c>
      <c r="P898" s="9">
        <v>19.5</v>
      </c>
      <c r="Q898" s="79">
        <f>VLOOKUP(VLOOKUP(DATEVALUE(TEXT(A898,"m/d/yyyy")),FY24_Temp[],5,FALSE)&amp;TEXT(A898,"-h"),Table6[],4,FALSE)</f>
        <v>2.0365714345659529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VLOOKUP(TEXT(A898,"yy-mm")&amp;"-"&amp;IF(AND(WEEKDAY(A898)&gt;1,WEEKDAY(A898)&lt;7),"Wkd",TEXT(A898,"Ddd"))&amp;"-"&amp;TEXT(A898,"hh"),LoadTable[],5,FALSE)*0.92</f>
        <v>295.12680000000006</v>
      </c>
      <c r="U898" s="104">
        <f>VLOOKUP(TEXT(A898,"yy-mm")&amp;"-"&amp;IF(AND(WEEKDAY(A898)&gt;1,WEEKDAY(A898)&lt;7),"Wkd",TEXT(A898,"Ddd"))&amp;"-"&amp;TEXT(A898,"hh"),LoadTable[],6,FALSE)*T898</f>
        <v>19169.666167200001</v>
      </c>
      <c r="V898">
        <f t="shared" ref="V898:W898" si="940">V874</f>
        <v>2.5</v>
      </c>
      <c r="W898">
        <f t="shared" si="940"/>
        <v>3.1</v>
      </c>
      <c r="X898" s="9">
        <v>-9.0675641166666292</v>
      </c>
    </row>
    <row r="899" spans="1:24">
      <c r="A899" s="29">
        <f t="shared" si="874"/>
        <v>45873.33333333116</v>
      </c>
      <c r="B899" s="30">
        <f t="shared" si="898"/>
        <v>8000</v>
      </c>
      <c r="C899" s="8">
        <v>25000</v>
      </c>
      <c r="D899" s="8">
        <v>0</v>
      </c>
      <c r="E899" s="8">
        <v>700</v>
      </c>
      <c r="F899" s="8">
        <v>15000</v>
      </c>
      <c r="G899" s="30">
        <f t="shared" si="899"/>
        <v>2400</v>
      </c>
      <c r="H899" s="8">
        <v>25000</v>
      </c>
      <c r="I899" s="30">
        <f t="shared" si="900"/>
        <v>8000</v>
      </c>
      <c r="J899" s="8">
        <v>25000</v>
      </c>
      <c r="K899" s="30">
        <f t="shared" si="901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14</v>
      </c>
      <c r="O899" s="9">
        <v>13.5</v>
      </c>
      <c r="P899" s="9">
        <v>19.5</v>
      </c>
      <c r="Q899" s="79">
        <f>VLOOKUP(VLOOKUP(DATEVALUE(TEXT(A899,"m/d/yyyy")),FY24_Temp[],5,FALSE)&amp;TEXT(A899,"-h"),Table6[],4,FALSE)</f>
        <v>1.9252857310431344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VLOOKUP(TEXT(A899,"yy-mm")&amp;"-"&amp;IF(AND(WEEKDAY(A899)&gt;1,WEEKDAY(A899)&lt;7),"Wkd",TEXT(A899,"Ddd"))&amp;"-"&amp;TEXT(A899,"hh"),LoadTable[],5,FALSE)*0.92</f>
        <v>295.12680000000006</v>
      </c>
      <c r="U899" s="104">
        <f>VLOOKUP(TEXT(A899,"yy-mm")&amp;"-"&amp;IF(AND(WEEKDAY(A899)&gt;1,WEEKDAY(A899)&lt;7),"Wkd",TEXT(A899,"Ddd"))&amp;"-"&amp;TEXT(A899,"hh"),LoadTable[],6,FALSE)*T899</f>
        <v>15860.999612400004</v>
      </c>
      <c r="V899">
        <f t="shared" ref="V899:W899" si="941">V875</f>
        <v>3.2</v>
      </c>
      <c r="W899">
        <f t="shared" si="941"/>
        <v>3</v>
      </c>
      <c r="X899" s="9">
        <v>-9.1453586666666293</v>
      </c>
    </row>
    <row r="900" spans="1:24">
      <c r="A900" s="29">
        <f t="shared" si="874"/>
        <v>45873.374999997824</v>
      </c>
      <c r="B900" s="30">
        <f t="shared" si="898"/>
        <v>8000</v>
      </c>
      <c r="C900" s="8">
        <v>25000</v>
      </c>
      <c r="D900" s="8">
        <v>0</v>
      </c>
      <c r="E900" s="8">
        <v>700</v>
      </c>
      <c r="F900" s="8">
        <v>15000</v>
      </c>
      <c r="G900" s="30">
        <f t="shared" si="899"/>
        <v>2400</v>
      </c>
      <c r="H900" s="8">
        <v>25000</v>
      </c>
      <c r="I900" s="30">
        <f t="shared" si="900"/>
        <v>8000</v>
      </c>
      <c r="J900" s="8">
        <v>25000</v>
      </c>
      <c r="K900" s="30">
        <f t="shared" si="901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14</v>
      </c>
      <c r="O900" s="9">
        <v>13.5</v>
      </c>
      <c r="P900" s="9">
        <v>19.5</v>
      </c>
      <c r="Q900" s="79">
        <f>VLOOKUP(VLOOKUP(DATEVALUE(TEXT(A900,"m/d/yyyy")),FY24_Temp[],5,FALSE)&amp;TEXT(A900,"-h"),Table6[],4,FALSE)</f>
        <v>1.824714285986764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VLOOKUP(TEXT(A900,"yy-mm")&amp;"-"&amp;IF(AND(WEEKDAY(A900)&gt;1,WEEKDAY(A900)&lt;7),"Wkd",TEXT(A900,"Ddd"))&amp;"-"&amp;TEXT(A900,"hh"),LoadTable[],5,FALSE)*0.92</f>
        <v>295.12680000000006</v>
      </c>
      <c r="U900" s="104">
        <f>VLOOKUP(TEXT(A900,"yy-mm")&amp;"-"&amp;IF(AND(WEEKDAY(A900)&gt;1,WEEKDAY(A900)&lt;7),"Wkd",TEXT(A900,"Ddd"))&amp;"-"&amp;TEXT(A900,"hh"),LoadTable[],6,FALSE)*T900</f>
        <v>15713.436212400004</v>
      </c>
      <c r="V900">
        <f t="shared" ref="V900:W900" si="942">V876</f>
        <v>2.9</v>
      </c>
      <c r="W900">
        <f t="shared" si="942"/>
        <v>3</v>
      </c>
      <c r="X900" s="9">
        <v>-9.2231532166666295</v>
      </c>
    </row>
    <row r="901" spans="1:24">
      <c r="A901" s="29">
        <f t="shared" ref="A901:A964" si="943">A900+TIME(1,0,0)</f>
        <v>45873.416666664489</v>
      </c>
      <c r="B901" s="30">
        <f t="shared" si="898"/>
        <v>8000</v>
      </c>
      <c r="C901" s="8">
        <v>25000</v>
      </c>
      <c r="D901" s="8">
        <v>0</v>
      </c>
      <c r="E901" s="8">
        <v>700</v>
      </c>
      <c r="F901" s="8">
        <v>15000</v>
      </c>
      <c r="G901" s="30">
        <f t="shared" si="899"/>
        <v>2400</v>
      </c>
      <c r="H901" s="8">
        <v>25000</v>
      </c>
      <c r="I901" s="30">
        <f t="shared" si="900"/>
        <v>8000</v>
      </c>
      <c r="J901" s="8">
        <v>25000</v>
      </c>
      <c r="K901" s="30">
        <f t="shared" si="901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14</v>
      </c>
      <c r="O901" s="9">
        <v>13.5</v>
      </c>
      <c r="P901" s="9">
        <v>19.5</v>
      </c>
      <c r="Q901" s="79">
        <f>VLOOKUP(VLOOKUP(DATEVALUE(TEXT(A901,"m/d/yyyy")),FY24_Temp[],5,FALSE)&amp;TEXT(A901,"-h"),Table6[],4,FALSE)</f>
        <v>1.7312857082911901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VLOOKUP(TEXT(A901,"yy-mm")&amp;"-"&amp;IF(AND(WEEKDAY(A901)&gt;1,WEEKDAY(A901)&lt;7),"Wkd",TEXT(A901,"Ddd"))&amp;"-"&amp;TEXT(A901,"hh"),LoadTable[],5,FALSE)*0.92</f>
        <v>295.12680000000006</v>
      </c>
      <c r="U901" s="104">
        <f>VLOOKUP(TEXT(A901,"yy-mm")&amp;"-"&amp;IF(AND(WEEKDAY(A901)&gt;1,WEEKDAY(A901)&lt;7),"Wkd",TEXT(A901,"Ddd"))&amp;"-"&amp;TEXT(A901,"hh"),LoadTable[],6,FALSE)*T901</f>
        <v>14369.723892000002</v>
      </c>
      <c r="V901">
        <f t="shared" ref="V901:W901" si="944">V877</f>
        <v>2.9</v>
      </c>
      <c r="W901">
        <f t="shared" si="944"/>
        <v>3</v>
      </c>
      <c r="X901" s="9">
        <v>-9.3009477666666296</v>
      </c>
    </row>
    <row r="902" spans="1:24">
      <c r="A902" s="29">
        <f t="shared" si="943"/>
        <v>45873.458333331153</v>
      </c>
      <c r="B902" s="30">
        <f t="shared" si="898"/>
        <v>8000</v>
      </c>
      <c r="C902" s="8">
        <v>25000</v>
      </c>
      <c r="D902" s="8">
        <v>0</v>
      </c>
      <c r="E902" s="8">
        <v>700</v>
      </c>
      <c r="F902" s="8">
        <v>15000</v>
      </c>
      <c r="G902" s="30">
        <f t="shared" si="899"/>
        <v>2400</v>
      </c>
      <c r="H902" s="8">
        <v>25000</v>
      </c>
      <c r="I902" s="30">
        <f t="shared" si="900"/>
        <v>8000</v>
      </c>
      <c r="J902" s="8">
        <v>25000</v>
      </c>
      <c r="K902" s="30">
        <f t="shared" si="901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14</v>
      </c>
      <c r="O902" s="9">
        <v>13.5</v>
      </c>
      <c r="P902" s="9">
        <v>19.5</v>
      </c>
      <c r="Q902" s="79">
        <f>VLOOKUP(VLOOKUP(DATEVALUE(TEXT(A902,"m/d/yyyy")),FY24_Temp[],5,FALSE)&amp;TEXT(A902,"-h"),Table6[],4,FALSE)</f>
        <v>1.6252857276371546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VLOOKUP(TEXT(A902,"yy-mm")&amp;"-"&amp;IF(AND(WEEKDAY(A902)&gt;1,WEEKDAY(A902)&lt;7),"Wkd",TEXT(A902,"Ddd"))&amp;"-"&amp;TEXT(A902,"hh"),LoadTable[],5,FALSE)*0.92</f>
        <v>295.12680000000006</v>
      </c>
      <c r="U902" s="104">
        <f>VLOOKUP(TEXT(A902,"yy-mm")&amp;"-"&amp;IF(AND(WEEKDAY(A902)&gt;1,WEEKDAY(A902)&lt;7),"Wkd",TEXT(A902,"Ddd"))&amp;"-"&amp;TEXT(A902,"hh"),LoadTable[],6,FALSE)*T902</f>
        <v>14137.459100400003</v>
      </c>
      <c r="V902">
        <f t="shared" ref="V902:W902" si="945">V878</f>
        <v>3.4</v>
      </c>
      <c r="W902">
        <f t="shared" si="945"/>
        <v>3</v>
      </c>
      <c r="X902" s="9">
        <v>-9.3787423166666297</v>
      </c>
    </row>
    <row r="903" spans="1:24">
      <c r="A903" s="29">
        <f t="shared" si="943"/>
        <v>45873.499999997817</v>
      </c>
      <c r="B903" s="30">
        <f t="shared" si="898"/>
        <v>8000</v>
      </c>
      <c r="C903" s="8">
        <v>25000</v>
      </c>
      <c r="D903" s="8">
        <v>0</v>
      </c>
      <c r="E903" s="8">
        <v>700</v>
      </c>
      <c r="F903" s="8">
        <v>15000</v>
      </c>
      <c r="G903" s="30">
        <f t="shared" si="899"/>
        <v>2400</v>
      </c>
      <c r="H903" s="8">
        <v>25000</v>
      </c>
      <c r="I903" s="30">
        <f t="shared" si="900"/>
        <v>8000</v>
      </c>
      <c r="J903" s="8">
        <v>25000</v>
      </c>
      <c r="K903" s="30">
        <f t="shared" si="901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14</v>
      </c>
      <c r="O903" s="9">
        <v>13.5</v>
      </c>
      <c r="P903" s="9">
        <v>19.5</v>
      </c>
      <c r="Q903" s="79">
        <f>VLOOKUP(VLOOKUP(DATEVALUE(TEXT(A903,"m/d/yyyy")),FY24_Temp[],5,FALSE)&amp;TEXT(A903,"-h"),Table6[],4,FALSE)</f>
        <v>1.4844285760607039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VLOOKUP(TEXT(A903,"yy-mm")&amp;"-"&amp;IF(AND(WEEKDAY(A903)&gt;1,WEEKDAY(A903)&lt;7),"Wkd",TEXT(A903,"Ddd"))&amp;"-"&amp;TEXT(A903,"hh"),LoadTable[],5,FALSE)*0.92</f>
        <v>295.12680000000006</v>
      </c>
      <c r="U903" s="104">
        <f>VLOOKUP(TEXT(A903,"yy-mm")&amp;"-"&amp;IF(AND(WEEKDAY(A903)&gt;1,WEEKDAY(A903)&lt;7),"Wkd",TEXT(A903,"Ddd"))&amp;"-"&amp;TEXT(A903,"hh"),LoadTable[],6,FALSE)*T903</f>
        <v>14242.819368000002</v>
      </c>
      <c r="V903">
        <f t="shared" ref="V903:W903" si="946">V879</f>
        <v>3.1</v>
      </c>
      <c r="W903">
        <f t="shared" si="946"/>
        <v>2.9</v>
      </c>
      <c r="X903" s="9">
        <v>-9.4565368666666298</v>
      </c>
    </row>
    <row r="904" spans="1:24">
      <c r="A904" s="29">
        <f t="shared" si="943"/>
        <v>45873.541666664481</v>
      </c>
      <c r="B904" s="30">
        <f t="shared" si="898"/>
        <v>8000</v>
      </c>
      <c r="C904" s="8">
        <v>25000</v>
      </c>
      <c r="D904" s="8">
        <v>0</v>
      </c>
      <c r="E904" s="8">
        <v>700</v>
      </c>
      <c r="F904" s="8">
        <v>15000</v>
      </c>
      <c r="G904" s="30">
        <f t="shared" si="899"/>
        <v>2400</v>
      </c>
      <c r="H904" s="8">
        <v>25000</v>
      </c>
      <c r="I904" s="30">
        <f t="shared" si="900"/>
        <v>8000</v>
      </c>
      <c r="J904" s="8">
        <v>25000</v>
      </c>
      <c r="K904" s="30">
        <f t="shared" si="901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14</v>
      </c>
      <c r="O904" s="9">
        <v>13.5</v>
      </c>
      <c r="P904" s="9">
        <v>19.5</v>
      </c>
      <c r="Q904" s="79">
        <f>VLOOKUP(VLOOKUP(DATEVALUE(TEXT(A904,"m/d/yyyy")),FY24_Temp[],5,FALSE)&amp;TEXT(A904,"-h"),Table6[],4,FALSE)</f>
        <v>1.3144285849162511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VLOOKUP(TEXT(A904,"yy-mm")&amp;"-"&amp;IF(AND(WEEKDAY(A904)&gt;1,WEEKDAY(A904)&lt;7),"Wkd",TEXT(A904,"Ddd"))&amp;"-"&amp;TEXT(A904,"hh"),LoadTable[],5,FALSE)*0.92</f>
        <v>295.12680000000006</v>
      </c>
      <c r="U904" s="104">
        <f>VLOOKUP(TEXT(A904,"yy-mm")&amp;"-"&amp;IF(AND(WEEKDAY(A904)&gt;1,WEEKDAY(A904)&lt;7),"Wkd",TEXT(A904,"Ddd"))&amp;"-"&amp;TEXT(A904,"hh"),LoadTable[],6,FALSE)*T904</f>
        <v>16280.669922000003</v>
      </c>
      <c r="V904">
        <f t="shared" ref="V904:W904" si="947">V880</f>
        <v>3.2</v>
      </c>
      <c r="W904">
        <f t="shared" si="947"/>
        <v>2.9</v>
      </c>
      <c r="X904" s="9">
        <v>-9.53433141666663</v>
      </c>
    </row>
    <row r="905" spans="1:24">
      <c r="A905" s="29">
        <f t="shared" si="943"/>
        <v>45873.583333331146</v>
      </c>
      <c r="B905" s="30">
        <f t="shared" si="898"/>
        <v>8000</v>
      </c>
      <c r="C905" s="8">
        <v>25000</v>
      </c>
      <c r="D905" s="8">
        <v>0</v>
      </c>
      <c r="E905" s="8">
        <v>700</v>
      </c>
      <c r="F905" s="8">
        <v>15000</v>
      </c>
      <c r="G905" s="30">
        <f t="shared" si="899"/>
        <v>2400</v>
      </c>
      <c r="H905" s="8">
        <v>25000</v>
      </c>
      <c r="I905" s="30">
        <f t="shared" si="900"/>
        <v>8000</v>
      </c>
      <c r="J905" s="8">
        <v>25000</v>
      </c>
      <c r="K905" s="30">
        <f t="shared" si="901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14</v>
      </c>
      <c r="O905" s="9">
        <v>13.5</v>
      </c>
      <c r="P905" s="9">
        <v>19.5</v>
      </c>
      <c r="Q905" s="79">
        <f>VLOOKUP(VLOOKUP(DATEVALUE(TEXT(A905,"m/d/yyyy")),FY24_Temp[],5,FALSE)&amp;TEXT(A905,"-h"),Table6[],4,FALSE)</f>
        <v>1.131428565297808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VLOOKUP(TEXT(A905,"yy-mm")&amp;"-"&amp;IF(AND(WEEKDAY(A905)&gt;1,WEEKDAY(A905)&lt;7),"Wkd",TEXT(A905,"Ddd"))&amp;"-"&amp;TEXT(A905,"hh"),LoadTable[],5,FALSE)*0.92</f>
        <v>402.08416</v>
      </c>
      <c r="U905" s="104">
        <f>VLOOKUP(TEXT(A905,"yy-mm")&amp;"-"&amp;IF(AND(WEEKDAY(A905)&gt;1,WEEKDAY(A905)&lt;7),"Wkd",TEXT(A905,"Ddd"))&amp;"-"&amp;TEXT(A905,"hh"),LoadTable[],6,FALSE)*T905</f>
        <v>27023.674309440001</v>
      </c>
      <c r="V905">
        <f t="shared" ref="V905:W905" si="948">V881</f>
        <v>3.5</v>
      </c>
      <c r="W905">
        <f t="shared" si="948"/>
        <v>2.9</v>
      </c>
      <c r="X905" s="9">
        <v>-9.6121259666666301</v>
      </c>
    </row>
    <row r="906" spans="1:24">
      <c r="A906" s="29">
        <f t="shared" si="943"/>
        <v>45873.62499999781</v>
      </c>
      <c r="B906" s="30">
        <f t="shared" si="898"/>
        <v>8000</v>
      </c>
      <c r="C906" s="8">
        <v>25000</v>
      </c>
      <c r="D906" s="8">
        <v>0</v>
      </c>
      <c r="E906" s="8">
        <v>700</v>
      </c>
      <c r="F906" s="8">
        <v>15000</v>
      </c>
      <c r="G906" s="30">
        <f t="shared" si="899"/>
        <v>2400</v>
      </c>
      <c r="H906" s="8">
        <v>25000</v>
      </c>
      <c r="I906" s="30">
        <f t="shared" si="900"/>
        <v>8000</v>
      </c>
      <c r="J906" s="8">
        <v>25000</v>
      </c>
      <c r="K906" s="30">
        <f t="shared" si="901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14</v>
      </c>
      <c r="O906" s="9">
        <v>13.5</v>
      </c>
      <c r="P906" s="9">
        <v>19.5</v>
      </c>
      <c r="Q906" s="79">
        <f>VLOOKUP(VLOOKUP(DATEVALUE(TEXT(A906,"m/d/yyyy")),FY24_Temp[],5,FALSE)&amp;TEXT(A906,"-h"),Table6[],4,FALSE)</f>
        <v>0.96828571387699669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VLOOKUP(TEXT(A906,"yy-mm")&amp;"-"&amp;IF(AND(WEEKDAY(A906)&gt;1,WEEKDAY(A906)&lt;7),"Wkd",TEXT(A906,"Ddd"))&amp;"-"&amp;TEXT(A906,"hh"),LoadTable[],5,FALSE)*0.92</f>
        <v>521.92427999999995</v>
      </c>
      <c r="U906" s="104">
        <f>VLOOKUP(TEXT(A906,"yy-mm")&amp;"-"&amp;IF(AND(WEEKDAY(A906)&gt;1,WEEKDAY(A906)&lt;7),"Wkd",TEXT(A906,"Ddd"))&amp;"-"&amp;TEXT(A906,"hh"),LoadTable[],6,FALSE)*T906</f>
        <v>38276.36092236</v>
      </c>
      <c r="V906">
        <f t="shared" ref="V906:W906" si="949">V882</f>
        <v>3.2</v>
      </c>
      <c r="W906">
        <f t="shared" si="949"/>
        <v>2.9</v>
      </c>
      <c r="X906" s="9">
        <v>-9.6899205166666302</v>
      </c>
    </row>
    <row r="907" spans="1:24">
      <c r="A907" s="29">
        <f t="shared" si="943"/>
        <v>45873.666666664474</v>
      </c>
      <c r="B907" s="30">
        <f t="shared" si="898"/>
        <v>8000</v>
      </c>
      <c r="C907" s="8">
        <v>25000</v>
      </c>
      <c r="D907" s="8">
        <v>0</v>
      </c>
      <c r="E907" s="8">
        <v>700</v>
      </c>
      <c r="F907" s="8">
        <v>15000</v>
      </c>
      <c r="G907" s="30">
        <f t="shared" si="899"/>
        <v>2400</v>
      </c>
      <c r="H907" s="8">
        <v>25000</v>
      </c>
      <c r="I907" s="30">
        <f t="shared" si="900"/>
        <v>8000</v>
      </c>
      <c r="J907" s="8">
        <v>25000</v>
      </c>
      <c r="K907" s="30">
        <f t="shared" si="901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14</v>
      </c>
      <c r="O907" s="9">
        <v>13.5</v>
      </c>
      <c r="P907" s="9">
        <v>19.5</v>
      </c>
      <c r="Q907" s="79">
        <f>VLOOKUP(VLOOKUP(DATEVALUE(TEXT(A907,"m/d/yyyy")),FY24_Temp[],5,FALSE)&amp;TEXT(A907,"-h"),Table6[],4,FALSE)</f>
        <v>0.89385713849748882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VLOOKUP(TEXT(A907,"yy-mm")&amp;"-"&amp;IF(AND(WEEKDAY(A907)&gt;1,WEEKDAY(A907)&lt;7),"Wkd",TEXT(A907,"Ddd"))&amp;"-"&amp;TEXT(A907,"hh"),LoadTable[],5,FALSE)*0.92</f>
        <v>521.92427999999995</v>
      </c>
      <c r="U907" s="104">
        <f>VLOOKUP(TEXT(A907,"yy-mm")&amp;"-"&amp;IF(AND(WEEKDAY(A907)&gt;1,WEEKDAY(A907)&lt;7),"Wkd",TEXT(A907,"Ddd"))&amp;"-"&amp;TEXT(A907,"hh"),LoadTable[],6,FALSE)*T907</f>
        <v>45879.753833399998</v>
      </c>
      <c r="V907">
        <f t="shared" ref="V907:W907" si="950">V883</f>
        <v>3.5</v>
      </c>
      <c r="W907">
        <f t="shared" si="950"/>
        <v>3</v>
      </c>
      <c r="X907" s="9">
        <v>-9.7677150666666304</v>
      </c>
    </row>
    <row r="908" spans="1:24">
      <c r="A908" s="29">
        <f t="shared" si="943"/>
        <v>45873.708333331138</v>
      </c>
      <c r="B908" s="30">
        <f t="shared" si="898"/>
        <v>8000</v>
      </c>
      <c r="C908" s="8">
        <v>25000</v>
      </c>
      <c r="D908" s="8">
        <v>0</v>
      </c>
      <c r="E908" s="8">
        <v>700</v>
      </c>
      <c r="F908" s="8">
        <v>15000</v>
      </c>
      <c r="G908" s="30">
        <f t="shared" si="899"/>
        <v>2400</v>
      </c>
      <c r="H908" s="8">
        <v>25000</v>
      </c>
      <c r="I908" s="30">
        <f t="shared" si="900"/>
        <v>8000</v>
      </c>
      <c r="J908" s="8">
        <v>25000</v>
      </c>
      <c r="K908" s="30">
        <f t="shared" si="901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14</v>
      </c>
      <c r="O908" s="9">
        <v>13.5</v>
      </c>
      <c r="P908" s="9">
        <v>19.5</v>
      </c>
      <c r="Q908" s="79">
        <f>VLOOKUP(VLOOKUP(DATEVALUE(TEXT(A908,"m/d/yyyy")),FY24_Temp[],5,FALSE)&amp;TEXT(A908,"-h"),Table6[],4,FALSE)</f>
        <v>1.0775714346340723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VLOOKUP(TEXT(A908,"yy-mm")&amp;"-"&amp;IF(AND(WEEKDAY(A908)&gt;1,WEEKDAY(A908)&lt;7),"Wkd",TEXT(A908,"Ddd"))&amp;"-"&amp;TEXT(A908,"hh"),LoadTable[],5,FALSE)*0.92</f>
        <v>521.92427999999995</v>
      </c>
      <c r="U908" s="104">
        <f>VLOOKUP(TEXT(A908,"yy-mm")&amp;"-"&amp;IF(AND(WEEKDAY(A908)&gt;1,WEEKDAY(A908)&lt;7),"Wkd",TEXT(A908,"Ddd"))&amp;"-"&amp;TEXT(A908,"hh"),LoadTable[],6,FALSE)*T908</f>
        <v>57850.609119479988</v>
      </c>
      <c r="V908">
        <f t="shared" ref="V908:W908" si="951">V884</f>
        <v>3.6</v>
      </c>
      <c r="W908">
        <f t="shared" si="951"/>
        <v>3</v>
      </c>
      <c r="X908" s="9">
        <v>-9.8455096166666305</v>
      </c>
    </row>
    <row r="909" spans="1:24">
      <c r="A909" s="29">
        <f t="shared" si="943"/>
        <v>45873.749999997803</v>
      </c>
      <c r="B909" s="30">
        <f t="shared" si="898"/>
        <v>5000</v>
      </c>
      <c r="C909" s="8">
        <v>25000</v>
      </c>
      <c r="D909" s="8">
        <v>0</v>
      </c>
      <c r="E909" s="8">
        <v>700</v>
      </c>
      <c r="F909" s="8">
        <v>15000</v>
      </c>
      <c r="G909" s="30">
        <f t="shared" si="899"/>
        <v>2400</v>
      </c>
      <c r="H909" s="8">
        <v>25000</v>
      </c>
      <c r="I909" s="30">
        <f t="shared" si="900"/>
        <v>5000</v>
      </c>
      <c r="J909" s="8">
        <v>25000</v>
      </c>
      <c r="K909" s="30">
        <f t="shared" si="901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14</v>
      </c>
      <c r="O909" s="9">
        <v>13.5</v>
      </c>
      <c r="P909" s="9">
        <v>19.5</v>
      </c>
      <c r="Q909" s="79">
        <f>VLOOKUP(VLOOKUP(DATEVALUE(TEXT(A909,"m/d/yyyy")),FY24_Temp[],5,FALSE)&amp;TEXT(A909,"-h"),Table6[],4,FALSE)</f>
        <v>1.43542856829507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VLOOKUP(TEXT(A909,"yy-mm")&amp;"-"&amp;IF(AND(WEEKDAY(A909)&gt;1,WEEKDAY(A909)&lt;7),"Wkd",TEXT(A909,"Ddd"))&amp;"-"&amp;TEXT(A909,"hh"),LoadTable[],5,FALSE)*0.92</f>
        <v>521.92427999999995</v>
      </c>
      <c r="U909" s="104">
        <f>VLOOKUP(TEXT(A909,"yy-mm")&amp;"-"&amp;IF(AND(WEEKDAY(A909)&gt;1,WEEKDAY(A909)&lt;7),"Wkd",TEXT(A909,"Ddd"))&amp;"-"&amp;TEXT(A909,"hh"),LoadTable[],6,FALSE)*T909</f>
        <v>71088.174633119997</v>
      </c>
      <c r="V909">
        <f t="shared" ref="V909:W909" si="952">V885</f>
        <v>2.9</v>
      </c>
      <c r="W909">
        <f t="shared" si="952"/>
        <v>3</v>
      </c>
      <c r="X909" s="9">
        <v>-9.9233041666666306</v>
      </c>
    </row>
    <row r="910" spans="1:24">
      <c r="A910" s="29">
        <f t="shared" si="943"/>
        <v>45873.791666664467</v>
      </c>
      <c r="B910" s="30">
        <f t="shared" si="898"/>
        <v>5000</v>
      </c>
      <c r="C910" s="8">
        <v>25000</v>
      </c>
      <c r="D910" s="8">
        <v>0</v>
      </c>
      <c r="E910" s="8">
        <v>700</v>
      </c>
      <c r="F910" s="8">
        <v>15000</v>
      </c>
      <c r="G910" s="30">
        <f t="shared" si="899"/>
        <v>2400</v>
      </c>
      <c r="H910" s="8">
        <v>25000</v>
      </c>
      <c r="I910" s="30">
        <f t="shared" si="900"/>
        <v>5000</v>
      </c>
      <c r="J910" s="8">
        <v>25000</v>
      </c>
      <c r="K910" s="30">
        <f t="shared" si="901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14</v>
      </c>
      <c r="O910" s="9">
        <v>13.5</v>
      </c>
      <c r="P910" s="9">
        <v>19.5</v>
      </c>
      <c r="Q910" s="79">
        <f>VLOOKUP(VLOOKUP(DATEVALUE(TEXT(A910,"m/d/yyyy")),FY24_Temp[],5,FALSE)&amp;TEXT(A910,"-h"),Table6[],4,FALSE)</f>
        <v>2.2041428089141846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VLOOKUP(TEXT(A910,"yy-mm")&amp;"-"&amp;IF(AND(WEEKDAY(A910)&gt;1,WEEKDAY(A910)&lt;7),"Wkd",TEXT(A910,"Ddd"))&amp;"-"&amp;TEXT(A910,"hh"),LoadTable[],5,FALSE)*0.92</f>
        <v>521.92427999999995</v>
      </c>
      <c r="U910" s="104">
        <f>VLOOKUP(TEXT(A910,"yy-mm")&amp;"-"&amp;IF(AND(WEEKDAY(A910)&gt;1,WEEKDAY(A910)&lt;7),"Wkd",TEXT(A910,"Ddd"))&amp;"-"&amp;TEXT(A910,"hh"),LoadTable[],6,FALSE)*T910</f>
        <v>75540.188741520004</v>
      </c>
      <c r="V910">
        <f t="shared" ref="V910:W910" si="953">V886</f>
        <v>3</v>
      </c>
      <c r="W910">
        <f t="shared" si="953"/>
        <v>3</v>
      </c>
      <c r="X910" s="9">
        <v>-10.001098716666601</v>
      </c>
    </row>
    <row r="911" spans="1:24">
      <c r="A911" s="29">
        <f t="shared" si="943"/>
        <v>45873.833333331131</v>
      </c>
      <c r="B911" s="30">
        <f t="shared" si="898"/>
        <v>5000</v>
      </c>
      <c r="C911" s="8">
        <v>25000</v>
      </c>
      <c r="D911" s="8">
        <v>0</v>
      </c>
      <c r="E911" s="8">
        <v>700</v>
      </c>
      <c r="F911" s="8">
        <v>15000</v>
      </c>
      <c r="G911" s="30">
        <f t="shared" si="899"/>
        <v>2400</v>
      </c>
      <c r="H911" s="8">
        <v>25000</v>
      </c>
      <c r="I911" s="30">
        <f t="shared" si="900"/>
        <v>5000</v>
      </c>
      <c r="J911" s="8">
        <v>25000</v>
      </c>
      <c r="K911" s="30">
        <f t="shared" si="901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14</v>
      </c>
      <c r="O911" s="9">
        <v>13.5</v>
      </c>
      <c r="P911" s="9">
        <v>19.5</v>
      </c>
      <c r="Q911" s="79">
        <f>VLOOKUP(VLOOKUP(DATEVALUE(TEXT(A911,"m/d/yyyy")),FY24_Temp[],5,FALSE)&amp;TEXT(A911,"-h"),Table6[],4,FALSE)</f>
        <v>2.9597143105098178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VLOOKUP(TEXT(A911,"yy-mm")&amp;"-"&amp;IF(AND(WEEKDAY(A911)&gt;1,WEEKDAY(A911)&lt;7),"Wkd",TEXT(A911,"Ddd"))&amp;"-"&amp;TEXT(A911,"hh"),LoadTable[],5,FALSE)*0.92</f>
        <v>521.92427999999995</v>
      </c>
      <c r="U911" s="104">
        <f>VLOOKUP(TEXT(A911,"yy-mm")&amp;"-"&amp;IF(AND(WEEKDAY(A911)&gt;1,WEEKDAY(A911)&lt;7),"Wkd",TEXT(A911,"Ddd"))&amp;"-"&amp;TEXT(A911,"hh"),LoadTable[],6,FALSE)*T911</f>
        <v>69176.365995479995</v>
      </c>
      <c r="V911">
        <f t="shared" ref="V911:W911" si="954">V887</f>
        <v>2.8</v>
      </c>
      <c r="W911">
        <f t="shared" si="954"/>
        <v>3.1</v>
      </c>
      <c r="X911" s="9">
        <v>-10.078893266666601</v>
      </c>
    </row>
    <row r="912" spans="1:24">
      <c r="A912" s="29">
        <f t="shared" si="943"/>
        <v>45873.874999997795</v>
      </c>
      <c r="B912" s="30">
        <f t="shared" si="898"/>
        <v>5000</v>
      </c>
      <c r="C912" s="8">
        <v>25000</v>
      </c>
      <c r="D912" s="8">
        <v>0</v>
      </c>
      <c r="E912" s="8">
        <v>700</v>
      </c>
      <c r="F912" s="8">
        <v>15000</v>
      </c>
      <c r="G912" s="30">
        <f t="shared" si="899"/>
        <v>2400</v>
      </c>
      <c r="H912" s="8">
        <v>25000</v>
      </c>
      <c r="I912" s="30">
        <f t="shared" si="900"/>
        <v>5000</v>
      </c>
      <c r="J912" s="8">
        <v>25000</v>
      </c>
      <c r="K912" s="30">
        <f t="shared" si="901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14</v>
      </c>
      <c r="O912" s="9">
        <v>13.5</v>
      </c>
      <c r="P912" s="9">
        <v>19.5</v>
      </c>
      <c r="Q912" s="79">
        <f>VLOOKUP(VLOOKUP(DATEVALUE(TEXT(A912,"m/d/yyyy")),FY24_Temp[],5,FALSE)&amp;TEXT(A912,"-h"),Table6[],4,FALSE)</f>
        <v>3.2167142799922397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VLOOKUP(TEXT(A912,"yy-mm")&amp;"-"&amp;IF(AND(WEEKDAY(A912)&gt;1,WEEKDAY(A912)&lt;7),"Wkd",TEXT(A912,"Ddd"))&amp;"-"&amp;TEXT(A912,"hh"),LoadTable[],5,FALSE)*0.92</f>
        <v>521.92427999999995</v>
      </c>
      <c r="U912" s="104">
        <f>VLOOKUP(TEXT(A912,"yy-mm")&amp;"-"&amp;IF(AND(WEEKDAY(A912)&gt;1,WEEKDAY(A912)&lt;7),"Wkd",TEXT(A912,"Ddd"))&amp;"-"&amp;TEXT(A912,"hh"),LoadTable[],6,FALSE)*T912</f>
        <v>56417.405046599997</v>
      </c>
      <c r="V912">
        <f t="shared" ref="V912:W912" si="955">V888</f>
        <v>3.5</v>
      </c>
      <c r="W912">
        <f t="shared" si="955"/>
        <v>3.1</v>
      </c>
      <c r="X912" s="9">
        <v>-10.156687816666601</v>
      </c>
    </row>
    <row r="913" spans="1:24">
      <c r="A913" s="29">
        <f t="shared" si="943"/>
        <v>45873.91666666446</v>
      </c>
      <c r="B913" s="30">
        <f t="shared" si="898"/>
        <v>5000</v>
      </c>
      <c r="C913" s="8">
        <v>25000</v>
      </c>
      <c r="D913" s="8">
        <v>0</v>
      </c>
      <c r="E913" s="8">
        <v>700</v>
      </c>
      <c r="F913" s="8">
        <v>15000</v>
      </c>
      <c r="G913" s="30">
        <f t="shared" si="899"/>
        <v>2400</v>
      </c>
      <c r="H913" s="8">
        <v>25000</v>
      </c>
      <c r="I913" s="30">
        <f t="shared" si="900"/>
        <v>5000</v>
      </c>
      <c r="J913" s="8">
        <v>25000</v>
      </c>
      <c r="K913" s="30">
        <f t="shared" si="901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14</v>
      </c>
      <c r="O913" s="9">
        <v>13.5</v>
      </c>
      <c r="P913" s="9">
        <v>19.5</v>
      </c>
      <c r="Q913" s="79">
        <f>VLOOKUP(VLOOKUP(DATEVALUE(TEXT(A913,"m/d/yyyy")),FY24_Temp[],5,FALSE)&amp;TEXT(A913,"-h"),Table6[],4,FALSE)</f>
        <v>3.1878571510314941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VLOOKUP(TEXT(A913,"yy-mm")&amp;"-"&amp;IF(AND(WEEKDAY(A913)&gt;1,WEEKDAY(A913)&lt;7),"Wkd",TEXT(A913,"Ddd"))&amp;"-"&amp;TEXT(A913,"hh"),LoadTable[],5,FALSE)*0.92</f>
        <v>447.02432000000005</v>
      </c>
      <c r="U913" s="104">
        <f>VLOOKUP(TEXT(A913,"yy-mm")&amp;"-"&amp;IF(AND(WEEKDAY(A913)&gt;1,WEEKDAY(A913)&lt;7),"Wkd",TEXT(A913,"Ddd"))&amp;"-"&amp;TEXT(A913,"hh"),LoadTable[],6,FALSE)*T913</f>
        <v>29850.49599232</v>
      </c>
      <c r="V913">
        <f t="shared" ref="V913:W913" si="956">V889</f>
        <v>2.9</v>
      </c>
      <c r="W913">
        <f t="shared" si="956"/>
        <v>3.1</v>
      </c>
      <c r="X913" s="9">
        <v>-10.234482366666599</v>
      </c>
    </row>
    <row r="914" spans="1:24">
      <c r="A914" s="29">
        <f t="shared" si="943"/>
        <v>45873.958333331124</v>
      </c>
      <c r="B914" s="30">
        <f t="shared" si="898"/>
        <v>5000</v>
      </c>
      <c r="C914" s="8">
        <v>25000</v>
      </c>
      <c r="D914" s="8">
        <v>0</v>
      </c>
      <c r="E914" s="8">
        <v>700</v>
      </c>
      <c r="F914" s="8">
        <v>15000</v>
      </c>
      <c r="G914" s="30">
        <f t="shared" si="899"/>
        <v>2400</v>
      </c>
      <c r="H914" s="8">
        <v>25000</v>
      </c>
      <c r="I914" s="30">
        <f t="shared" si="900"/>
        <v>5000</v>
      </c>
      <c r="J914" s="8">
        <v>25000</v>
      </c>
      <c r="K914" s="30">
        <f t="shared" si="901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14</v>
      </c>
      <c r="O914" s="9">
        <v>13.5</v>
      </c>
      <c r="P914" s="9">
        <v>19.5</v>
      </c>
      <c r="Q914" s="79">
        <f>VLOOKUP(VLOOKUP(DATEVALUE(TEXT(A914,"m/d/yyyy")),FY24_Temp[],5,FALSE)&amp;TEXT(A914,"-h"),Table6[],4,FALSE)</f>
        <v>3.0497143268585205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VLOOKUP(TEXT(A914,"yy-mm")&amp;"-"&amp;IF(AND(WEEKDAY(A914)&gt;1,WEEKDAY(A914)&lt;7),"Wkd",TEXT(A914,"Ddd"))&amp;"-"&amp;TEXT(A914,"hh"),LoadTable[],5,FALSE)*0.92</f>
        <v>372.12436000000002</v>
      </c>
      <c r="U914" s="104">
        <f>VLOOKUP(TEXT(A914,"yy-mm")&amp;"-"&amp;IF(AND(WEEKDAY(A914)&gt;1,WEEKDAY(A914)&lt;7),"Wkd",TEXT(A914,"Ddd"))&amp;"-"&amp;TEXT(A914,"hh"),LoadTable[],6,FALSE)*T914</f>
        <v>22421.236938720001</v>
      </c>
      <c r="V914">
        <f t="shared" ref="V914:W914" si="957">V890</f>
        <v>3.6</v>
      </c>
      <c r="W914">
        <f t="shared" si="957"/>
        <v>3.1</v>
      </c>
      <c r="X914" s="9">
        <v>-10.312276916666599</v>
      </c>
    </row>
    <row r="915" spans="1:24">
      <c r="A915" s="29">
        <f t="shared" si="943"/>
        <v>45873.999999997788</v>
      </c>
      <c r="B915" s="30">
        <f t="shared" si="898"/>
        <v>5000</v>
      </c>
      <c r="C915" s="8">
        <v>25000</v>
      </c>
      <c r="D915" s="8">
        <v>0</v>
      </c>
      <c r="E915" s="8">
        <v>700</v>
      </c>
      <c r="F915" s="8">
        <v>15000</v>
      </c>
      <c r="G915" s="30">
        <f t="shared" si="899"/>
        <v>2400</v>
      </c>
      <c r="H915" s="8">
        <v>25000</v>
      </c>
      <c r="I915" s="30">
        <f t="shared" si="900"/>
        <v>5000</v>
      </c>
      <c r="J915" s="8">
        <v>25000</v>
      </c>
      <c r="K915" s="30">
        <f t="shared" si="901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14</v>
      </c>
      <c r="O915" s="9">
        <v>13.5</v>
      </c>
      <c r="P915" s="9">
        <v>19.5</v>
      </c>
      <c r="Q915" s="79">
        <f>VLOOKUP(VLOOKUP(DATEVALUE(TEXT(A915,"m/d/yyyy")),FY24_Temp[],5,FALSE)&amp;TEXT(A915,"-h"),Table6[],4,FALSE)</f>
        <v>2.9064285414559499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VLOOKUP(TEXT(A915,"yy-mm")&amp;"-"&amp;IF(AND(WEEKDAY(A915)&gt;1,WEEKDAY(A915)&lt;7),"Wkd",TEXT(A915,"Ddd"))&amp;"-"&amp;TEXT(A915,"hh"),LoadTable[],5,FALSE)*0.92</f>
        <v>297.2244</v>
      </c>
      <c r="U915" s="104">
        <f>VLOOKUP(TEXT(A915,"yy-mm")&amp;"-"&amp;IF(AND(WEEKDAY(A915)&gt;1,WEEKDAY(A915)&lt;7),"Wkd",TEXT(A915,"Ddd"))&amp;"-"&amp;TEXT(A915,"hh"),LoadTable[],6,FALSE)*T915</f>
        <v>17505.031038000001</v>
      </c>
      <c r="V915">
        <f t="shared" ref="V915:W915" si="958">V891</f>
        <v>3</v>
      </c>
      <c r="W915">
        <f t="shared" si="958"/>
        <v>3.2</v>
      </c>
      <c r="X915" s="9">
        <v>-10.390071466666599</v>
      </c>
    </row>
    <row r="916" spans="1:24">
      <c r="A916" s="29">
        <f t="shared" si="943"/>
        <v>45874.041666664452</v>
      </c>
      <c r="B916" s="30">
        <f t="shared" si="898"/>
        <v>5000</v>
      </c>
      <c r="C916" s="8">
        <v>25000</v>
      </c>
      <c r="D916" s="8">
        <v>0</v>
      </c>
      <c r="E916" s="8">
        <v>700</v>
      </c>
      <c r="F916" s="8">
        <v>15000</v>
      </c>
      <c r="G916" s="30">
        <f t="shared" si="899"/>
        <v>2400</v>
      </c>
      <c r="H916" s="8">
        <v>25000</v>
      </c>
      <c r="I916" s="30">
        <f t="shared" si="900"/>
        <v>5000</v>
      </c>
      <c r="J916" s="8">
        <v>25000</v>
      </c>
      <c r="K916" s="30">
        <f t="shared" si="901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14</v>
      </c>
      <c r="O916" s="9">
        <v>13.5</v>
      </c>
      <c r="P916" s="9">
        <v>19.5</v>
      </c>
      <c r="Q916" s="79">
        <f>VLOOKUP(VLOOKUP(DATEVALUE(TEXT(A916,"m/d/yyyy")),FY24_Temp[],5,FALSE)&amp;TEXT(A916,"-h"),Table6[],4,FALSE)</f>
        <v>2.7961428506033763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VLOOKUP(TEXT(A916,"yy-mm")&amp;"-"&amp;IF(AND(WEEKDAY(A916)&gt;1,WEEKDAY(A916)&lt;7),"Wkd",TEXT(A916,"Ddd"))&amp;"-"&amp;TEXT(A916,"hh"),LoadTable[],5,FALSE)*0.92</f>
        <v>295.12680000000006</v>
      </c>
      <c r="U916" s="104">
        <f>VLOOKUP(TEXT(A916,"yy-mm")&amp;"-"&amp;IF(AND(WEEKDAY(A916)&gt;1,WEEKDAY(A916)&lt;7),"Wkd",TEXT(A916,"Ddd"))&amp;"-"&amp;TEXT(A916,"hh"),LoadTable[],6,FALSE)*T916</f>
        <v>17131.225359600001</v>
      </c>
      <c r="V916">
        <f t="shared" ref="V916:W916" si="959">V892</f>
        <v>2.6</v>
      </c>
      <c r="W916">
        <f t="shared" si="959"/>
        <v>3.2</v>
      </c>
      <c r="X916" s="9">
        <v>-10.4678660166666</v>
      </c>
    </row>
    <row r="917" spans="1:24">
      <c r="A917" s="29">
        <f t="shared" si="943"/>
        <v>45874.083333331117</v>
      </c>
      <c r="B917" s="30">
        <f t="shared" si="898"/>
        <v>5000</v>
      </c>
      <c r="C917" s="8">
        <v>25000</v>
      </c>
      <c r="D917" s="8">
        <v>0</v>
      </c>
      <c r="E917" s="8">
        <v>700</v>
      </c>
      <c r="F917" s="8">
        <v>15000</v>
      </c>
      <c r="G917" s="30">
        <f t="shared" si="899"/>
        <v>2400</v>
      </c>
      <c r="H917" s="8">
        <v>25000</v>
      </c>
      <c r="I917" s="30">
        <f t="shared" si="900"/>
        <v>5000</v>
      </c>
      <c r="J917" s="8">
        <v>25000</v>
      </c>
      <c r="K917" s="30">
        <f t="shared" si="901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14</v>
      </c>
      <c r="O917" s="9">
        <v>13.5</v>
      </c>
      <c r="P917" s="9">
        <v>19.5</v>
      </c>
      <c r="Q917" s="79">
        <f>VLOOKUP(VLOOKUP(DATEVALUE(TEXT(A917,"m/d/yyyy")),FY24_Temp[],5,FALSE)&amp;TEXT(A917,"-h"),Table6[],4,FALSE)</f>
        <v>2.6915714400155202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VLOOKUP(TEXT(A917,"yy-mm")&amp;"-"&amp;IF(AND(WEEKDAY(A917)&gt;1,WEEKDAY(A917)&lt;7),"Wkd",TEXT(A917,"Ddd"))&amp;"-"&amp;TEXT(A917,"hh"),LoadTable[],5,FALSE)*0.92</f>
        <v>295.12680000000006</v>
      </c>
      <c r="U917" s="104">
        <f>VLOOKUP(TEXT(A917,"yy-mm")&amp;"-"&amp;IF(AND(WEEKDAY(A917)&gt;1,WEEKDAY(A917)&lt;7),"Wkd",TEXT(A917,"Ddd"))&amp;"-"&amp;TEXT(A917,"hh"),LoadTable[],6,FALSE)*T917</f>
        <v>16459.811889600001</v>
      </c>
      <c r="V917">
        <f t="shared" ref="V917:W917" si="960">V893</f>
        <v>2.8</v>
      </c>
      <c r="W917">
        <f t="shared" si="960"/>
        <v>3.2</v>
      </c>
      <c r="X917" s="9">
        <v>-10.5456605666666</v>
      </c>
    </row>
    <row r="918" spans="1:24">
      <c r="A918" s="29">
        <f t="shared" si="943"/>
        <v>45874.124999997781</v>
      </c>
      <c r="B918" s="30">
        <f t="shared" si="898"/>
        <v>5000</v>
      </c>
      <c r="C918" s="8">
        <v>25000</v>
      </c>
      <c r="D918" s="8">
        <v>0</v>
      </c>
      <c r="E918" s="8">
        <v>700</v>
      </c>
      <c r="F918" s="8">
        <v>15000</v>
      </c>
      <c r="G918" s="30">
        <f t="shared" si="899"/>
        <v>2400</v>
      </c>
      <c r="H918" s="8">
        <v>25000</v>
      </c>
      <c r="I918" s="30">
        <f t="shared" si="900"/>
        <v>5000</v>
      </c>
      <c r="J918" s="8">
        <v>25000</v>
      </c>
      <c r="K918" s="30">
        <f t="shared" si="901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14</v>
      </c>
      <c r="O918" s="9">
        <v>13.5</v>
      </c>
      <c r="P918" s="9">
        <v>19.5</v>
      </c>
      <c r="Q918" s="79">
        <f>VLOOKUP(VLOOKUP(DATEVALUE(TEXT(A918,"m/d/yyyy")),FY24_Temp[],5,FALSE)&amp;TEXT(A918,"-h"),Table6[],4,FALSE)</f>
        <v>2.5627142701830183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VLOOKUP(TEXT(A918,"yy-mm")&amp;"-"&amp;IF(AND(WEEKDAY(A918)&gt;1,WEEKDAY(A918)&lt;7),"Wkd",TEXT(A918,"Ddd"))&amp;"-"&amp;TEXT(A918,"hh"),LoadTable[],5,FALSE)*0.92</f>
        <v>295.12680000000006</v>
      </c>
      <c r="U918" s="104">
        <f>VLOOKUP(TEXT(A918,"yy-mm")&amp;"-"&amp;IF(AND(WEEKDAY(A918)&gt;1,WEEKDAY(A918)&lt;7),"Wkd",TEXT(A918,"Ddd"))&amp;"-"&amp;TEXT(A918,"hh"),LoadTable[],6,FALSE)*T918</f>
        <v>16610.326557600001</v>
      </c>
      <c r="V918">
        <f t="shared" ref="V918:W918" si="961">V894</f>
        <v>2.7</v>
      </c>
      <c r="W918">
        <f t="shared" si="961"/>
        <v>3.2</v>
      </c>
      <c r="X918" s="9">
        <v>-10.6234551166666</v>
      </c>
    </row>
    <row r="919" spans="1:24">
      <c r="A919" s="29">
        <f t="shared" si="943"/>
        <v>45874.166666664445</v>
      </c>
      <c r="B919" s="30">
        <f t="shared" si="898"/>
        <v>5000</v>
      </c>
      <c r="C919" s="8">
        <v>25000</v>
      </c>
      <c r="D919" s="8">
        <v>0</v>
      </c>
      <c r="E919" s="8">
        <v>700</v>
      </c>
      <c r="F919" s="8">
        <v>15000</v>
      </c>
      <c r="G919" s="30">
        <f t="shared" si="899"/>
        <v>2400</v>
      </c>
      <c r="H919" s="8">
        <v>25000</v>
      </c>
      <c r="I919" s="30">
        <f t="shared" si="900"/>
        <v>5000</v>
      </c>
      <c r="J919" s="8">
        <v>25000</v>
      </c>
      <c r="K919" s="30">
        <f t="shared" si="901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14</v>
      </c>
      <c r="O919" s="9">
        <v>13.5</v>
      </c>
      <c r="P919" s="9">
        <v>19.5</v>
      </c>
      <c r="Q919" s="79">
        <f>VLOOKUP(VLOOKUP(DATEVALUE(TEXT(A919,"m/d/yyyy")),FY24_Temp[],5,FALSE)&amp;TEXT(A919,"-h"),Table6[],4,FALSE)</f>
        <v>2.3978571210588728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VLOOKUP(TEXT(A919,"yy-mm")&amp;"-"&amp;IF(AND(WEEKDAY(A919)&gt;1,WEEKDAY(A919)&lt;7),"Wkd",TEXT(A919,"Ddd"))&amp;"-"&amp;TEXT(A919,"hh"),LoadTable[],5,FALSE)*0.92</f>
        <v>295.12680000000006</v>
      </c>
      <c r="U919" s="104">
        <f>VLOOKUP(TEXT(A919,"yy-mm")&amp;"-"&amp;IF(AND(WEEKDAY(A919)&gt;1,WEEKDAY(A919)&lt;7),"Wkd",TEXT(A919,"Ddd"))&amp;"-"&amp;TEXT(A919,"hh"),LoadTable[],6,FALSE)*T919</f>
        <v>16544.513281200001</v>
      </c>
      <c r="V919">
        <f t="shared" ref="V919:W919" si="962">V895</f>
        <v>3</v>
      </c>
      <c r="W919">
        <f t="shared" si="962"/>
        <v>3.1</v>
      </c>
      <c r="X919" s="9">
        <v>-10.7012496666666</v>
      </c>
    </row>
    <row r="920" spans="1:24">
      <c r="A920" s="29">
        <f t="shared" si="943"/>
        <v>45874.208333331109</v>
      </c>
      <c r="B920" s="30">
        <f t="shared" si="898"/>
        <v>5000</v>
      </c>
      <c r="C920" s="8">
        <v>25000</v>
      </c>
      <c r="D920" s="8">
        <v>0</v>
      </c>
      <c r="E920" s="8">
        <v>700</v>
      </c>
      <c r="F920" s="8">
        <v>15000</v>
      </c>
      <c r="G920" s="30">
        <f t="shared" si="899"/>
        <v>2400</v>
      </c>
      <c r="H920" s="8">
        <v>25000</v>
      </c>
      <c r="I920" s="30">
        <f t="shared" si="900"/>
        <v>5000</v>
      </c>
      <c r="J920" s="8">
        <v>25000</v>
      </c>
      <c r="K920" s="30">
        <f t="shared" si="901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14</v>
      </c>
      <c r="O920" s="9">
        <v>13.5</v>
      </c>
      <c r="P920" s="9">
        <v>19.5</v>
      </c>
      <c r="Q920" s="79">
        <f>VLOOKUP(VLOOKUP(DATEVALUE(TEXT(A920,"m/d/yyyy")),FY24_Temp[],5,FALSE)&amp;TEXT(A920,"-h"),Table6[],4,FALSE)</f>
        <v>2.2397142818995883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VLOOKUP(TEXT(A920,"yy-mm")&amp;"-"&amp;IF(AND(WEEKDAY(A920)&gt;1,WEEKDAY(A920)&lt;7),"Wkd",TEXT(A920,"Ddd"))&amp;"-"&amp;TEXT(A920,"hh"),LoadTable[],5,FALSE)*0.92</f>
        <v>295.12680000000006</v>
      </c>
      <c r="U920" s="104">
        <f>VLOOKUP(TEXT(A920,"yy-mm")&amp;"-"&amp;IF(AND(WEEKDAY(A920)&gt;1,WEEKDAY(A920)&lt;7),"Wkd",TEXT(A920,"Ddd"))&amp;"-"&amp;TEXT(A920,"hh"),LoadTable[],6,FALSE)*T920</f>
        <v>17128.569218400004</v>
      </c>
      <c r="V920">
        <f t="shared" ref="V920:W920" si="963">V896</f>
        <v>2.9</v>
      </c>
      <c r="W920">
        <f t="shared" si="963"/>
        <v>3.1</v>
      </c>
      <c r="X920" s="9">
        <v>-10.7790442166666</v>
      </c>
    </row>
    <row r="921" spans="1:24">
      <c r="A921" s="29">
        <f t="shared" si="943"/>
        <v>45874.249999997774</v>
      </c>
      <c r="B921" s="30">
        <f t="shared" si="898"/>
        <v>8000</v>
      </c>
      <c r="C921" s="8">
        <v>25000</v>
      </c>
      <c r="D921" s="8">
        <v>0</v>
      </c>
      <c r="E921" s="8">
        <v>700</v>
      </c>
      <c r="F921" s="8">
        <v>15000</v>
      </c>
      <c r="G921" s="30">
        <f t="shared" si="899"/>
        <v>2400</v>
      </c>
      <c r="H921" s="8">
        <v>25000</v>
      </c>
      <c r="I921" s="30">
        <f t="shared" si="900"/>
        <v>8000</v>
      </c>
      <c r="J921" s="8">
        <v>25000</v>
      </c>
      <c r="K921" s="30">
        <f t="shared" si="901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14</v>
      </c>
      <c r="O921" s="9">
        <v>13.5</v>
      </c>
      <c r="P921" s="9">
        <v>19.5</v>
      </c>
      <c r="Q921" s="79">
        <f>VLOOKUP(VLOOKUP(DATEVALUE(TEXT(A921,"m/d/yyyy")),FY24_Temp[],5,FALSE)&amp;TEXT(A921,"-h"),Table6[],4,FALSE)</f>
        <v>2.1271428721291676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VLOOKUP(TEXT(A921,"yy-mm")&amp;"-"&amp;IF(AND(WEEKDAY(A921)&gt;1,WEEKDAY(A921)&lt;7),"Wkd",TEXT(A921,"Ddd"))&amp;"-"&amp;TEXT(A921,"hh"),LoadTable[],5,FALSE)*0.92</f>
        <v>295.12680000000006</v>
      </c>
      <c r="U921" s="104">
        <f>VLOOKUP(TEXT(A921,"yy-mm")&amp;"-"&amp;IF(AND(WEEKDAY(A921)&gt;1,WEEKDAY(A921)&lt;7),"Wkd",TEXT(A921,"Ddd"))&amp;"-"&amp;TEXT(A921,"hh"),LoadTable[],6,FALSE)*T921</f>
        <v>20766.892408800006</v>
      </c>
      <c r="V921">
        <f t="shared" ref="V921:W921" si="964">V897</f>
        <v>2.5</v>
      </c>
      <c r="W921">
        <f t="shared" si="964"/>
        <v>3.1</v>
      </c>
      <c r="X921" s="9">
        <v>-10.8568387666666</v>
      </c>
    </row>
    <row r="922" spans="1:24">
      <c r="A922" s="29">
        <f t="shared" si="943"/>
        <v>45874.291666664438</v>
      </c>
      <c r="B922" s="30">
        <f t="shared" si="898"/>
        <v>8000</v>
      </c>
      <c r="C922" s="8">
        <v>25000</v>
      </c>
      <c r="D922" s="8">
        <v>0</v>
      </c>
      <c r="E922" s="8">
        <v>700</v>
      </c>
      <c r="F922" s="8">
        <v>15000</v>
      </c>
      <c r="G922" s="30">
        <f t="shared" si="899"/>
        <v>2400</v>
      </c>
      <c r="H922" s="8">
        <v>25000</v>
      </c>
      <c r="I922" s="30">
        <f t="shared" si="900"/>
        <v>8000</v>
      </c>
      <c r="J922" s="8">
        <v>25000</v>
      </c>
      <c r="K922" s="30">
        <f t="shared" si="901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14</v>
      </c>
      <c r="O922" s="9">
        <v>13.5</v>
      </c>
      <c r="P922" s="9">
        <v>19.5</v>
      </c>
      <c r="Q922" s="79">
        <f>VLOOKUP(VLOOKUP(DATEVALUE(TEXT(A922,"m/d/yyyy")),FY24_Temp[],5,FALSE)&amp;TEXT(A922,"-h"),Table6[],4,FALSE)</f>
        <v>2.0365714345659529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VLOOKUP(TEXT(A922,"yy-mm")&amp;"-"&amp;IF(AND(WEEKDAY(A922)&gt;1,WEEKDAY(A922)&lt;7),"Wkd",TEXT(A922,"Ddd"))&amp;"-"&amp;TEXT(A922,"hh"),LoadTable[],5,FALSE)*0.92</f>
        <v>295.12680000000006</v>
      </c>
      <c r="U922" s="104">
        <f>VLOOKUP(TEXT(A922,"yy-mm")&amp;"-"&amp;IF(AND(WEEKDAY(A922)&gt;1,WEEKDAY(A922)&lt;7),"Wkd",TEXT(A922,"Ddd"))&amp;"-"&amp;TEXT(A922,"hh"),LoadTable[],6,FALSE)*T922</f>
        <v>19169.666167200001</v>
      </c>
      <c r="V922">
        <f t="shared" ref="V922:W922" si="965">V898</f>
        <v>2.5</v>
      </c>
      <c r="W922">
        <f t="shared" si="965"/>
        <v>3.1</v>
      </c>
      <c r="X922" s="9">
        <v>-10.9346333166666</v>
      </c>
    </row>
    <row r="923" spans="1:24">
      <c r="A923" s="29">
        <f t="shared" si="943"/>
        <v>45874.333333331102</v>
      </c>
      <c r="B923" s="30">
        <f t="shared" si="898"/>
        <v>8000</v>
      </c>
      <c r="C923" s="8">
        <v>25000</v>
      </c>
      <c r="D923" s="8">
        <v>0</v>
      </c>
      <c r="E923" s="8">
        <v>700</v>
      </c>
      <c r="F923" s="8">
        <v>15000</v>
      </c>
      <c r="G923" s="30">
        <f t="shared" si="899"/>
        <v>2400</v>
      </c>
      <c r="H923" s="8">
        <v>25000</v>
      </c>
      <c r="I923" s="30">
        <f t="shared" si="900"/>
        <v>8000</v>
      </c>
      <c r="J923" s="8">
        <v>25000</v>
      </c>
      <c r="K923" s="30">
        <f t="shared" si="901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14</v>
      </c>
      <c r="O923" s="9">
        <v>13.5</v>
      </c>
      <c r="P923" s="9">
        <v>19.5</v>
      </c>
      <c r="Q923" s="79">
        <f>VLOOKUP(VLOOKUP(DATEVALUE(TEXT(A923,"m/d/yyyy")),FY24_Temp[],5,FALSE)&amp;TEXT(A923,"-h"),Table6[],4,FALSE)</f>
        <v>1.9252857310431344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VLOOKUP(TEXT(A923,"yy-mm")&amp;"-"&amp;IF(AND(WEEKDAY(A923)&gt;1,WEEKDAY(A923)&lt;7),"Wkd",TEXT(A923,"Ddd"))&amp;"-"&amp;TEXT(A923,"hh"),LoadTable[],5,FALSE)*0.92</f>
        <v>295.12680000000006</v>
      </c>
      <c r="U923" s="104">
        <f>VLOOKUP(TEXT(A923,"yy-mm")&amp;"-"&amp;IF(AND(WEEKDAY(A923)&gt;1,WEEKDAY(A923)&lt;7),"Wkd",TEXT(A923,"Ddd"))&amp;"-"&amp;TEXT(A923,"hh"),LoadTable[],6,FALSE)*T923</f>
        <v>15860.999612400004</v>
      </c>
      <c r="V923">
        <f t="shared" ref="V923:W923" si="966">V899</f>
        <v>3.2</v>
      </c>
      <c r="W923">
        <f t="shared" si="966"/>
        <v>3</v>
      </c>
      <c r="X923" s="9">
        <v>-11.0124278666666</v>
      </c>
    </row>
    <row r="924" spans="1:24">
      <c r="A924" s="29">
        <f t="shared" si="943"/>
        <v>45874.374999997766</v>
      </c>
      <c r="B924" s="30">
        <f t="shared" ref="B924:B987" si="967">B900</f>
        <v>8000</v>
      </c>
      <c r="C924" s="8">
        <v>25000</v>
      </c>
      <c r="D924" s="8">
        <v>0</v>
      </c>
      <c r="E924" s="8">
        <v>700</v>
      </c>
      <c r="F924" s="8">
        <v>15000</v>
      </c>
      <c r="G924" s="30">
        <f t="shared" ref="G924:G987" si="968">G900</f>
        <v>2400</v>
      </c>
      <c r="H924" s="8">
        <v>25000</v>
      </c>
      <c r="I924" s="30">
        <f t="shared" ref="I924:I987" si="969">I900</f>
        <v>8000</v>
      </c>
      <c r="J924" s="8">
        <v>25000</v>
      </c>
      <c r="K924" s="30">
        <f t="shared" ref="K924:K987" si="970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14</v>
      </c>
      <c r="O924" s="9">
        <v>13.5</v>
      </c>
      <c r="P924" s="9">
        <v>19.5</v>
      </c>
      <c r="Q924" s="79">
        <f>VLOOKUP(VLOOKUP(DATEVALUE(TEXT(A924,"m/d/yyyy")),FY24_Temp[],5,FALSE)&amp;TEXT(A924,"-h"),Table6[],4,FALSE)</f>
        <v>1.824714285986764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VLOOKUP(TEXT(A924,"yy-mm")&amp;"-"&amp;IF(AND(WEEKDAY(A924)&gt;1,WEEKDAY(A924)&lt;7),"Wkd",TEXT(A924,"Ddd"))&amp;"-"&amp;TEXT(A924,"hh"),LoadTable[],5,FALSE)*0.92</f>
        <v>295.12680000000006</v>
      </c>
      <c r="U924" s="104">
        <f>VLOOKUP(TEXT(A924,"yy-mm")&amp;"-"&amp;IF(AND(WEEKDAY(A924)&gt;1,WEEKDAY(A924)&lt;7),"Wkd",TEXT(A924,"Ddd"))&amp;"-"&amp;TEXT(A924,"hh"),LoadTable[],6,FALSE)*T924</f>
        <v>15713.436212400004</v>
      </c>
      <c r="V924">
        <f t="shared" ref="V924:W924" si="971">V900</f>
        <v>2.9</v>
      </c>
      <c r="W924">
        <f t="shared" si="971"/>
        <v>3</v>
      </c>
      <c r="X924" s="9">
        <v>-11.090222416666601</v>
      </c>
    </row>
    <row r="925" spans="1:24">
      <c r="A925" s="29">
        <f t="shared" si="943"/>
        <v>45874.416666664431</v>
      </c>
      <c r="B925" s="30">
        <f t="shared" si="967"/>
        <v>8000</v>
      </c>
      <c r="C925" s="8">
        <v>25000</v>
      </c>
      <c r="D925" s="8">
        <v>0</v>
      </c>
      <c r="E925" s="8">
        <v>700</v>
      </c>
      <c r="F925" s="8">
        <v>15000</v>
      </c>
      <c r="G925" s="30">
        <f t="shared" si="968"/>
        <v>2400</v>
      </c>
      <c r="H925" s="8">
        <v>25000</v>
      </c>
      <c r="I925" s="30">
        <f t="shared" si="969"/>
        <v>8000</v>
      </c>
      <c r="J925" s="8">
        <v>25000</v>
      </c>
      <c r="K925" s="30">
        <f t="shared" si="970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14</v>
      </c>
      <c r="O925" s="9">
        <v>13.5</v>
      </c>
      <c r="P925" s="9">
        <v>19.5</v>
      </c>
      <c r="Q925" s="79">
        <f>VLOOKUP(VLOOKUP(DATEVALUE(TEXT(A925,"m/d/yyyy")),FY24_Temp[],5,FALSE)&amp;TEXT(A925,"-h"),Table6[],4,FALSE)</f>
        <v>1.7312857082911901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VLOOKUP(TEXT(A925,"yy-mm")&amp;"-"&amp;IF(AND(WEEKDAY(A925)&gt;1,WEEKDAY(A925)&lt;7),"Wkd",TEXT(A925,"Ddd"))&amp;"-"&amp;TEXT(A925,"hh"),LoadTable[],5,FALSE)*0.92</f>
        <v>295.12680000000006</v>
      </c>
      <c r="U925" s="104">
        <f>VLOOKUP(TEXT(A925,"yy-mm")&amp;"-"&amp;IF(AND(WEEKDAY(A925)&gt;1,WEEKDAY(A925)&lt;7),"Wkd",TEXT(A925,"Ddd"))&amp;"-"&amp;TEXT(A925,"hh"),LoadTable[],6,FALSE)*T925</f>
        <v>14369.723892000002</v>
      </c>
      <c r="V925">
        <f t="shared" ref="V925:W925" si="972">V901</f>
        <v>2.9</v>
      </c>
      <c r="W925">
        <f t="shared" si="972"/>
        <v>3</v>
      </c>
      <c r="X925" s="9">
        <v>-11.168016966666601</v>
      </c>
    </row>
    <row r="926" spans="1:24">
      <c r="A926" s="29">
        <f t="shared" si="943"/>
        <v>45874.458333331095</v>
      </c>
      <c r="B926" s="30">
        <f t="shared" si="967"/>
        <v>8000</v>
      </c>
      <c r="C926" s="8">
        <v>25000</v>
      </c>
      <c r="D926" s="8">
        <v>0</v>
      </c>
      <c r="E926" s="8">
        <v>700</v>
      </c>
      <c r="F926" s="8">
        <v>15000</v>
      </c>
      <c r="G926" s="30">
        <f t="shared" si="968"/>
        <v>2400</v>
      </c>
      <c r="H926" s="8">
        <v>25000</v>
      </c>
      <c r="I926" s="30">
        <f t="shared" si="969"/>
        <v>8000</v>
      </c>
      <c r="J926" s="8">
        <v>25000</v>
      </c>
      <c r="K926" s="30">
        <f t="shared" si="970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14</v>
      </c>
      <c r="O926" s="9">
        <v>13.5</v>
      </c>
      <c r="P926" s="9">
        <v>19.5</v>
      </c>
      <c r="Q926" s="79">
        <f>VLOOKUP(VLOOKUP(DATEVALUE(TEXT(A926,"m/d/yyyy")),FY24_Temp[],5,FALSE)&amp;TEXT(A926,"-h"),Table6[],4,FALSE)</f>
        <v>1.6252857276371546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VLOOKUP(TEXT(A926,"yy-mm")&amp;"-"&amp;IF(AND(WEEKDAY(A926)&gt;1,WEEKDAY(A926)&lt;7),"Wkd",TEXT(A926,"Ddd"))&amp;"-"&amp;TEXT(A926,"hh"),LoadTable[],5,FALSE)*0.92</f>
        <v>295.12680000000006</v>
      </c>
      <c r="U926" s="104">
        <f>VLOOKUP(TEXT(A926,"yy-mm")&amp;"-"&amp;IF(AND(WEEKDAY(A926)&gt;1,WEEKDAY(A926)&lt;7),"Wkd",TEXT(A926,"Ddd"))&amp;"-"&amp;TEXT(A926,"hh"),LoadTable[],6,FALSE)*T926</f>
        <v>14137.459100400003</v>
      </c>
      <c r="V926">
        <f t="shared" ref="V926:W926" si="973">V902</f>
        <v>3.4</v>
      </c>
      <c r="W926">
        <f t="shared" si="973"/>
        <v>3</v>
      </c>
      <c r="X926" s="9">
        <v>-11.245811516666601</v>
      </c>
    </row>
    <row r="927" spans="1:24">
      <c r="A927" s="29">
        <f t="shared" si="943"/>
        <v>45874.499999997759</v>
      </c>
      <c r="B927" s="30">
        <f t="shared" si="967"/>
        <v>8000</v>
      </c>
      <c r="C927" s="8">
        <v>25000</v>
      </c>
      <c r="D927" s="8">
        <v>0</v>
      </c>
      <c r="E927" s="8">
        <v>700</v>
      </c>
      <c r="F927" s="8">
        <v>15000</v>
      </c>
      <c r="G927" s="30">
        <f t="shared" si="968"/>
        <v>2400</v>
      </c>
      <c r="H927" s="8">
        <v>25000</v>
      </c>
      <c r="I927" s="30">
        <f t="shared" si="969"/>
        <v>8000</v>
      </c>
      <c r="J927" s="8">
        <v>25000</v>
      </c>
      <c r="K927" s="30">
        <f t="shared" si="970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14</v>
      </c>
      <c r="O927" s="9">
        <v>13.5</v>
      </c>
      <c r="P927" s="9">
        <v>19.5</v>
      </c>
      <c r="Q927" s="79">
        <f>VLOOKUP(VLOOKUP(DATEVALUE(TEXT(A927,"m/d/yyyy")),FY24_Temp[],5,FALSE)&amp;TEXT(A927,"-h"),Table6[],4,FALSE)</f>
        <v>1.4844285760607039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VLOOKUP(TEXT(A927,"yy-mm")&amp;"-"&amp;IF(AND(WEEKDAY(A927)&gt;1,WEEKDAY(A927)&lt;7),"Wkd",TEXT(A927,"Ddd"))&amp;"-"&amp;TEXT(A927,"hh"),LoadTable[],5,FALSE)*0.92</f>
        <v>295.12680000000006</v>
      </c>
      <c r="U927" s="104">
        <f>VLOOKUP(TEXT(A927,"yy-mm")&amp;"-"&amp;IF(AND(WEEKDAY(A927)&gt;1,WEEKDAY(A927)&lt;7),"Wkd",TEXT(A927,"Ddd"))&amp;"-"&amp;TEXT(A927,"hh"),LoadTable[],6,FALSE)*T927</f>
        <v>14242.819368000002</v>
      </c>
      <c r="V927">
        <f t="shared" ref="V927:W927" si="974">V903</f>
        <v>3.1</v>
      </c>
      <c r="W927">
        <f t="shared" si="974"/>
        <v>2.9</v>
      </c>
      <c r="X927" s="9">
        <v>-11.323606066666599</v>
      </c>
    </row>
    <row r="928" spans="1:24">
      <c r="A928" s="29">
        <f t="shared" si="943"/>
        <v>45874.541666664423</v>
      </c>
      <c r="B928" s="30">
        <f t="shared" si="967"/>
        <v>8000</v>
      </c>
      <c r="C928" s="8">
        <v>25000</v>
      </c>
      <c r="D928" s="8">
        <v>0</v>
      </c>
      <c r="E928" s="8">
        <v>700</v>
      </c>
      <c r="F928" s="8">
        <v>15000</v>
      </c>
      <c r="G928" s="30">
        <f t="shared" si="968"/>
        <v>2400</v>
      </c>
      <c r="H928" s="8">
        <v>25000</v>
      </c>
      <c r="I928" s="30">
        <f t="shared" si="969"/>
        <v>8000</v>
      </c>
      <c r="J928" s="8">
        <v>25000</v>
      </c>
      <c r="K928" s="30">
        <f t="shared" si="970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14</v>
      </c>
      <c r="O928" s="9">
        <v>13.5</v>
      </c>
      <c r="P928" s="9">
        <v>19.5</v>
      </c>
      <c r="Q928" s="79">
        <f>VLOOKUP(VLOOKUP(DATEVALUE(TEXT(A928,"m/d/yyyy")),FY24_Temp[],5,FALSE)&amp;TEXT(A928,"-h"),Table6[],4,FALSE)</f>
        <v>1.3144285849162511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VLOOKUP(TEXT(A928,"yy-mm")&amp;"-"&amp;IF(AND(WEEKDAY(A928)&gt;1,WEEKDAY(A928)&lt;7),"Wkd",TEXT(A928,"Ddd"))&amp;"-"&amp;TEXT(A928,"hh"),LoadTable[],5,FALSE)*0.92</f>
        <v>295.12680000000006</v>
      </c>
      <c r="U928" s="104">
        <f>VLOOKUP(TEXT(A928,"yy-mm")&amp;"-"&amp;IF(AND(WEEKDAY(A928)&gt;1,WEEKDAY(A928)&lt;7),"Wkd",TEXT(A928,"Ddd"))&amp;"-"&amp;TEXT(A928,"hh"),LoadTable[],6,FALSE)*T928</f>
        <v>16280.669922000003</v>
      </c>
      <c r="V928">
        <f t="shared" ref="V928:W928" si="975">V904</f>
        <v>3.2</v>
      </c>
      <c r="W928">
        <f t="shared" si="975"/>
        <v>2.9</v>
      </c>
      <c r="X928" s="9">
        <v>-11.401400616666599</v>
      </c>
    </row>
    <row r="929" spans="1:24">
      <c r="A929" s="29">
        <f t="shared" si="943"/>
        <v>45874.583333331087</v>
      </c>
      <c r="B929" s="30">
        <f t="shared" si="967"/>
        <v>8000</v>
      </c>
      <c r="C929" s="8">
        <v>25000</v>
      </c>
      <c r="D929" s="8">
        <v>0</v>
      </c>
      <c r="E929" s="8">
        <v>700</v>
      </c>
      <c r="F929" s="8">
        <v>15000</v>
      </c>
      <c r="G929" s="30">
        <f t="shared" si="968"/>
        <v>2400</v>
      </c>
      <c r="H929" s="8">
        <v>25000</v>
      </c>
      <c r="I929" s="30">
        <f t="shared" si="969"/>
        <v>8000</v>
      </c>
      <c r="J929" s="8">
        <v>25000</v>
      </c>
      <c r="K929" s="30">
        <f t="shared" si="970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14</v>
      </c>
      <c r="O929" s="9">
        <v>13.5</v>
      </c>
      <c r="P929" s="9">
        <v>19.5</v>
      </c>
      <c r="Q929" s="79">
        <f>VLOOKUP(VLOOKUP(DATEVALUE(TEXT(A929,"m/d/yyyy")),FY24_Temp[],5,FALSE)&amp;TEXT(A929,"-h"),Table6[],4,FALSE)</f>
        <v>1.131428565297808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VLOOKUP(TEXT(A929,"yy-mm")&amp;"-"&amp;IF(AND(WEEKDAY(A929)&gt;1,WEEKDAY(A929)&lt;7),"Wkd",TEXT(A929,"Ddd"))&amp;"-"&amp;TEXT(A929,"hh"),LoadTable[],5,FALSE)*0.92</f>
        <v>402.08416</v>
      </c>
      <c r="U929" s="104">
        <f>VLOOKUP(TEXT(A929,"yy-mm")&amp;"-"&amp;IF(AND(WEEKDAY(A929)&gt;1,WEEKDAY(A929)&lt;7),"Wkd",TEXT(A929,"Ddd"))&amp;"-"&amp;TEXT(A929,"hh"),LoadTable[],6,FALSE)*T929</f>
        <v>27023.674309440001</v>
      </c>
      <c r="V929">
        <f t="shared" ref="V929:W929" si="976">V905</f>
        <v>3.5</v>
      </c>
      <c r="W929">
        <f t="shared" si="976"/>
        <v>2.9</v>
      </c>
      <c r="X929" s="9">
        <v>-11.479195166666599</v>
      </c>
    </row>
    <row r="930" spans="1:24">
      <c r="A930" s="29">
        <f t="shared" si="943"/>
        <v>45874.624999997752</v>
      </c>
      <c r="B930" s="30">
        <f t="shared" si="967"/>
        <v>8000</v>
      </c>
      <c r="C930" s="8">
        <v>25000</v>
      </c>
      <c r="D930" s="8">
        <v>0</v>
      </c>
      <c r="E930" s="8">
        <v>700</v>
      </c>
      <c r="F930" s="8">
        <v>15000</v>
      </c>
      <c r="G930" s="30">
        <f t="shared" si="968"/>
        <v>2400</v>
      </c>
      <c r="H930" s="8">
        <v>25000</v>
      </c>
      <c r="I930" s="30">
        <f t="shared" si="969"/>
        <v>8000</v>
      </c>
      <c r="J930" s="8">
        <v>25000</v>
      </c>
      <c r="K930" s="30">
        <f t="shared" si="970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14</v>
      </c>
      <c r="O930" s="9">
        <v>13.5</v>
      </c>
      <c r="P930" s="9">
        <v>19.5</v>
      </c>
      <c r="Q930" s="79">
        <f>VLOOKUP(VLOOKUP(DATEVALUE(TEXT(A930,"m/d/yyyy")),FY24_Temp[],5,FALSE)&amp;TEXT(A930,"-h"),Table6[],4,FALSE)</f>
        <v>0.96828571387699669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VLOOKUP(TEXT(A930,"yy-mm")&amp;"-"&amp;IF(AND(WEEKDAY(A930)&gt;1,WEEKDAY(A930)&lt;7),"Wkd",TEXT(A930,"Ddd"))&amp;"-"&amp;TEXT(A930,"hh"),LoadTable[],5,FALSE)*0.92</f>
        <v>521.92427999999995</v>
      </c>
      <c r="U930" s="104">
        <f>VLOOKUP(TEXT(A930,"yy-mm")&amp;"-"&amp;IF(AND(WEEKDAY(A930)&gt;1,WEEKDAY(A930)&lt;7),"Wkd",TEXT(A930,"Ddd"))&amp;"-"&amp;TEXT(A930,"hh"),LoadTable[],6,FALSE)*T930</f>
        <v>38276.36092236</v>
      </c>
      <c r="V930">
        <f t="shared" ref="V930:W930" si="977">V906</f>
        <v>3.2</v>
      </c>
      <c r="W930">
        <f t="shared" si="977"/>
        <v>2.9</v>
      </c>
      <c r="X930" s="9">
        <v>-11.5569897166666</v>
      </c>
    </row>
    <row r="931" spans="1:24">
      <c r="A931" s="29">
        <f t="shared" si="943"/>
        <v>45874.666666664416</v>
      </c>
      <c r="B931" s="30">
        <f t="shared" si="967"/>
        <v>8000</v>
      </c>
      <c r="C931" s="8">
        <v>25000</v>
      </c>
      <c r="D931" s="8">
        <v>0</v>
      </c>
      <c r="E931" s="8">
        <v>700</v>
      </c>
      <c r="F931" s="8">
        <v>15000</v>
      </c>
      <c r="G931" s="30">
        <f t="shared" si="968"/>
        <v>2400</v>
      </c>
      <c r="H931" s="8">
        <v>25000</v>
      </c>
      <c r="I931" s="30">
        <f t="shared" si="969"/>
        <v>8000</v>
      </c>
      <c r="J931" s="8">
        <v>25000</v>
      </c>
      <c r="K931" s="30">
        <f t="shared" si="970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14</v>
      </c>
      <c r="O931" s="9">
        <v>13.5</v>
      </c>
      <c r="P931" s="9">
        <v>19.5</v>
      </c>
      <c r="Q931" s="79">
        <f>VLOOKUP(VLOOKUP(DATEVALUE(TEXT(A931,"m/d/yyyy")),FY24_Temp[],5,FALSE)&amp;TEXT(A931,"-h"),Table6[],4,FALSE)</f>
        <v>0.89385713849748882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VLOOKUP(TEXT(A931,"yy-mm")&amp;"-"&amp;IF(AND(WEEKDAY(A931)&gt;1,WEEKDAY(A931)&lt;7),"Wkd",TEXT(A931,"Ddd"))&amp;"-"&amp;TEXT(A931,"hh"),LoadTable[],5,FALSE)*0.92</f>
        <v>521.92427999999995</v>
      </c>
      <c r="U931" s="104">
        <f>VLOOKUP(TEXT(A931,"yy-mm")&amp;"-"&amp;IF(AND(WEEKDAY(A931)&gt;1,WEEKDAY(A931)&lt;7),"Wkd",TEXT(A931,"Ddd"))&amp;"-"&amp;TEXT(A931,"hh"),LoadTable[],6,FALSE)*T931</f>
        <v>45879.753833399998</v>
      </c>
      <c r="V931">
        <f t="shared" ref="V931:W931" si="978">V907</f>
        <v>3.5</v>
      </c>
      <c r="W931">
        <f t="shared" si="978"/>
        <v>3</v>
      </c>
      <c r="X931" s="9">
        <v>-11.6347842666666</v>
      </c>
    </row>
    <row r="932" spans="1:24">
      <c r="A932" s="29">
        <f t="shared" si="943"/>
        <v>45874.70833333108</v>
      </c>
      <c r="B932" s="30">
        <f t="shared" si="967"/>
        <v>8000</v>
      </c>
      <c r="C932" s="8">
        <v>25000</v>
      </c>
      <c r="D932" s="8">
        <v>0</v>
      </c>
      <c r="E932" s="8">
        <v>700</v>
      </c>
      <c r="F932" s="8">
        <v>15000</v>
      </c>
      <c r="G932" s="30">
        <f t="shared" si="968"/>
        <v>2400</v>
      </c>
      <c r="H932" s="8">
        <v>25000</v>
      </c>
      <c r="I932" s="30">
        <f t="shared" si="969"/>
        <v>8000</v>
      </c>
      <c r="J932" s="8">
        <v>25000</v>
      </c>
      <c r="K932" s="30">
        <f t="shared" si="970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14</v>
      </c>
      <c r="O932" s="9">
        <v>13.5</v>
      </c>
      <c r="P932" s="9">
        <v>19.5</v>
      </c>
      <c r="Q932" s="79">
        <f>VLOOKUP(VLOOKUP(DATEVALUE(TEXT(A932,"m/d/yyyy")),FY24_Temp[],5,FALSE)&amp;TEXT(A932,"-h"),Table6[],4,FALSE)</f>
        <v>1.0775714346340723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VLOOKUP(TEXT(A932,"yy-mm")&amp;"-"&amp;IF(AND(WEEKDAY(A932)&gt;1,WEEKDAY(A932)&lt;7),"Wkd",TEXT(A932,"Ddd"))&amp;"-"&amp;TEXT(A932,"hh"),LoadTable[],5,FALSE)*0.92</f>
        <v>521.92427999999995</v>
      </c>
      <c r="U932" s="104">
        <f>VLOOKUP(TEXT(A932,"yy-mm")&amp;"-"&amp;IF(AND(WEEKDAY(A932)&gt;1,WEEKDAY(A932)&lt;7),"Wkd",TEXT(A932,"Ddd"))&amp;"-"&amp;TEXT(A932,"hh"),LoadTable[],6,FALSE)*T932</f>
        <v>57850.609119479988</v>
      </c>
      <c r="V932">
        <f t="shared" ref="V932:W932" si="979">V908</f>
        <v>3.6</v>
      </c>
      <c r="W932">
        <f t="shared" si="979"/>
        <v>3</v>
      </c>
      <c r="X932" s="9">
        <v>-11.7125788166666</v>
      </c>
    </row>
    <row r="933" spans="1:24">
      <c r="A933" s="29">
        <f t="shared" si="943"/>
        <v>45874.749999997744</v>
      </c>
      <c r="B933" s="30">
        <f t="shared" si="967"/>
        <v>5000</v>
      </c>
      <c r="C933" s="8">
        <v>25000</v>
      </c>
      <c r="D933" s="8">
        <v>0</v>
      </c>
      <c r="E933" s="8">
        <v>700</v>
      </c>
      <c r="F933" s="8">
        <v>15000</v>
      </c>
      <c r="G933" s="30">
        <f t="shared" si="968"/>
        <v>2400</v>
      </c>
      <c r="H933" s="8">
        <v>25000</v>
      </c>
      <c r="I933" s="30">
        <f t="shared" si="969"/>
        <v>5000</v>
      </c>
      <c r="J933" s="8">
        <v>25000</v>
      </c>
      <c r="K933" s="30">
        <f t="shared" si="970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14</v>
      </c>
      <c r="O933" s="9">
        <v>13.5</v>
      </c>
      <c r="P933" s="9">
        <v>19.5</v>
      </c>
      <c r="Q933" s="79">
        <f>VLOOKUP(VLOOKUP(DATEVALUE(TEXT(A933,"m/d/yyyy")),FY24_Temp[],5,FALSE)&amp;TEXT(A933,"-h"),Table6[],4,FALSE)</f>
        <v>1.43542856829507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VLOOKUP(TEXT(A933,"yy-mm")&amp;"-"&amp;IF(AND(WEEKDAY(A933)&gt;1,WEEKDAY(A933)&lt;7),"Wkd",TEXT(A933,"Ddd"))&amp;"-"&amp;TEXT(A933,"hh"),LoadTable[],5,FALSE)*0.92</f>
        <v>521.92427999999995</v>
      </c>
      <c r="U933" s="104">
        <f>VLOOKUP(TEXT(A933,"yy-mm")&amp;"-"&amp;IF(AND(WEEKDAY(A933)&gt;1,WEEKDAY(A933)&lt;7),"Wkd",TEXT(A933,"Ddd"))&amp;"-"&amp;TEXT(A933,"hh"),LoadTable[],6,FALSE)*T933</f>
        <v>71088.174633119997</v>
      </c>
      <c r="V933">
        <f t="shared" ref="V933:W933" si="980">V909</f>
        <v>2.9</v>
      </c>
      <c r="W933">
        <f t="shared" si="980"/>
        <v>3</v>
      </c>
      <c r="X933" s="9">
        <v>-11.7903733666666</v>
      </c>
    </row>
    <row r="934" spans="1:24">
      <c r="A934" s="29">
        <f t="shared" si="943"/>
        <v>45874.791666664409</v>
      </c>
      <c r="B934" s="30">
        <f t="shared" si="967"/>
        <v>5000</v>
      </c>
      <c r="C934" s="8">
        <v>25000</v>
      </c>
      <c r="D934" s="8">
        <v>0</v>
      </c>
      <c r="E934" s="8">
        <v>700</v>
      </c>
      <c r="F934" s="8">
        <v>15000</v>
      </c>
      <c r="G934" s="30">
        <f t="shared" si="968"/>
        <v>2400</v>
      </c>
      <c r="H934" s="8">
        <v>25000</v>
      </c>
      <c r="I934" s="30">
        <f t="shared" si="969"/>
        <v>5000</v>
      </c>
      <c r="J934" s="8">
        <v>25000</v>
      </c>
      <c r="K934" s="30">
        <f t="shared" si="970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14</v>
      </c>
      <c r="O934" s="9">
        <v>13.5</v>
      </c>
      <c r="P934" s="9">
        <v>19.5</v>
      </c>
      <c r="Q934" s="79">
        <f>VLOOKUP(VLOOKUP(DATEVALUE(TEXT(A934,"m/d/yyyy")),FY24_Temp[],5,FALSE)&amp;TEXT(A934,"-h"),Table6[],4,FALSE)</f>
        <v>2.2041428089141846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VLOOKUP(TEXT(A934,"yy-mm")&amp;"-"&amp;IF(AND(WEEKDAY(A934)&gt;1,WEEKDAY(A934)&lt;7),"Wkd",TEXT(A934,"Ddd"))&amp;"-"&amp;TEXT(A934,"hh"),LoadTable[],5,FALSE)*0.92</f>
        <v>521.92427999999995</v>
      </c>
      <c r="U934" s="104">
        <f>VLOOKUP(TEXT(A934,"yy-mm")&amp;"-"&amp;IF(AND(WEEKDAY(A934)&gt;1,WEEKDAY(A934)&lt;7),"Wkd",TEXT(A934,"Ddd"))&amp;"-"&amp;TEXT(A934,"hh"),LoadTable[],6,FALSE)*T934</f>
        <v>75540.188741520004</v>
      </c>
      <c r="V934">
        <f t="shared" ref="V934:W934" si="981">V910</f>
        <v>3</v>
      </c>
      <c r="W934">
        <f t="shared" si="981"/>
        <v>3</v>
      </c>
      <c r="X934" s="9">
        <v>-11.8681679166666</v>
      </c>
    </row>
    <row r="935" spans="1:24">
      <c r="A935" s="29">
        <f t="shared" si="943"/>
        <v>45874.833333331073</v>
      </c>
      <c r="B935" s="30">
        <f t="shared" si="967"/>
        <v>5000</v>
      </c>
      <c r="C935" s="8">
        <v>25000</v>
      </c>
      <c r="D935" s="8">
        <v>0</v>
      </c>
      <c r="E935" s="8">
        <v>700</v>
      </c>
      <c r="F935" s="8">
        <v>15000</v>
      </c>
      <c r="G935" s="30">
        <f t="shared" si="968"/>
        <v>2400</v>
      </c>
      <c r="H935" s="8">
        <v>25000</v>
      </c>
      <c r="I935" s="30">
        <f t="shared" si="969"/>
        <v>5000</v>
      </c>
      <c r="J935" s="8">
        <v>25000</v>
      </c>
      <c r="K935" s="30">
        <f t="shared" si="970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14</v>
      </c>
      <c r="O935" s="9">
        <v>13.5</v>
      </c>
      <c r="P935" s="9">
        <v>19.5</v>
      </c>
      <c r="Q935" s="79">
        <f>VLOOKUP(VLOOKUP(DATEVALUE(TEXT(A935,"m/d/yyyy")),FY24_Temp[],5,FALSE)&amp;TEXT(A935,"-h"),Table6[],4,FALSE)</f>
        <v>2.9597143105098178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VLOOKUP(TEXT(A935,"yy-mm")&amp;"-"&amp;IF(AND(WEEKDAY(A935)&gt;1,WEEKDAY(A935)&lt;7),"Wkd",TEXT(A935,"Ddd"))&amp;"-"&amp;TEXT(A935,"hh"),LoadTable[],5,FALSE)*0.92</f>
        <v>521.92427999999995</v>
      </c>
      <c r="U935" s="104">
        <f>VLOOKUP(TEXT(A935,"yy-mm")&amp;"-"&amp;IF(AND(WEEKDAY(A935)&gt;1,WEEKDAY(A935)&lt;7),"Wkd",TEXT(A935,"Ddd"))&amp;"-"&amp;TEXT(A935,"hh"),LoadTable[],6,FALSE)*T935</f>
        <v>69176.365995479995</v>
      </c>
      <c r="V935">
        <f t="shared" ref="V935:W935" si="982">V911</f>
        <v>2.8</v>
      </c>
      <c r="W935">
        <f t="shared" si="982"/>
        <v>3.1</v>
      </c>
      <c r="X935" s="9">
        <v>-11.9459624666666</v>
      </c>
    </row>
    <row r="936" spans="1:24">
      <c r="A936" s="29">
        <f t="shared" si="943"/>
        <v>45874.874999997737</v>
      </c>
      <c r="B936" s="30">
        <f t="shared" si="967"/>
        <v>5000</v>
      </c>
      <c r="C936" s="8">
        <v>25000</v>
      </c>
      <c r="D936" s="8">
        <v>0</v>
      </c>
      <c r="E936" s="8">
        <v>700</v>
      </c>
      <c r="F936" s="8">
        <v>15000</v>
      </c>
      <c r="G936" s="30">
        <f t="shared" si="968"/>
        <v>2400</v>
      </c>
      <c r="H936" s="8">
        <v>25000</v>
      </c>
      <c r="I936" s="30">
        <f t="shared" si="969"/>
        <v>5000</v>
      </c>
      <c r="J936" s="8">
        <v>25000</v>
      </c>
      <c r="K936" s="30">
        <f t="shared" si="970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14</v>
      </c>
      <c r="O936" s="9">
        <v>13.5</v>
      </c>
      <c r="P936" s="9">
        <v>19.5</v>
      </c>
      <c r="Q936" s="79">
        <f>VLOOKUP(VLOOKUP(DATEVALUE(TEXT(A936,"m/d/yyyy")),FY24_Temp[],5,FALSE)&amp;TEXT(A936,"-h"),Table6[],4,FALSE)</f>
        <v>3.2167142799922397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VLOOKUP(TEXT(A936,"yy-mm")&amp;"-"&amp;IF(AND(WEEKDAY(A936)&gt;1,WEEKDAY(A936)&lt;7),"Wkd",TEXT(A936,"Ddd"))&amp;"-"&amp;TEXT(A936,"hh"),LoadTable[],5,FALSE)*0.92</f>
        <v>521.92427999999995</v>
      </c>
      <c r="U936" s="104">
        <f>VLOOKUP(TEXT(A936,"yy-mm")&amp;"-"&amp;IF(AND(WEEKDAY(A936)&gt;1,WEEKDAY(A936)&lt;7),"Wkd",TEXT(A936,"Ddd"))&amp;"-"&amp;TEXT(A936,"hh"),LoadTable[],6,FALSE)*T936</f>
        <v>56417.405046599997</v>
      </c>
      <c r="V936">
        <f t="shared" ref="V936:W936" si="983">V912</f>
        <v>3.5</v>
      </c>
      <c r="W936">
        <f t="shared" si="983"/>
        <v>3.1</v>
      </c>
      <c r="X936" s="9">
        <v>-12.0237570166666</v>
      </c>
    </row>
    <row r="937" spans="1:24">
      <c r="A937" s="29">
        <f t="shared" si="943"/>
        <v>45874.916666664401</v>
      </c>
      <c r="B937" s="30">
        <f t="shared" si="967"/>
        <v>5000</v>
      </c>
      <c r="C937" s="8">
        <v>25000</v>
      </c>
      <c r="D937" s="8">
        <v>0</v>
      </c>
      <c r="E937" s="8">
        <v>700</v>
      </c>
      <c r="F937" s="8">
        <v>15000</v>
      </c>
      <c r="G937" s="30">
        <f t="shared" si="968"/>
        <v>2400</v>
      </c>
      <c r="H937" s="8">
        <v>25000</v>
      </c>
      <c r="I937" s="30">
        <f t="shared" si="969"/>
        <v>5000</v>
      </c>
      <c r="J937" s="8">
        <v>25000</v>
      </c>
      <c r="K937" s="30">
        <f t="shared" si="970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14</v>
      </c>
      <c r="O937" s="9">
        <v>13.5</v>
      </c>
      <c r="P937" s="9">
        <v>19.5</v>
      </c>
      <c r="Q937" s="79">
        <f>VLOOKUP(VLOOKUP(DATEVALUE(TEXT(A937,"m/d/yyyy")),FY24_Temp[],5,FALSE)&amp;TEXT(A937,"-h"),Table6[],4,FALSE)</f>
        <v>3.1878571510314941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VLOOKUP(TEXT(A937,"yy-mm")&amp;"-"&amp;IF(AND(WEEKDAY(A937)&gt;1,WEEKDAY(A937)&lt;7),"Wkd",TEXT(A937,"Ddd"))&amp;"-"&amp;TEXT(A937,"hh"),LoadTable[],5,FALSE)*0.92</f>
        <v>447.02432000000005</v>
      </c>
      <c r="U937" s="104">
        <f>VLOOKUP(TEXT(A937,"yy-mm")&amp;"-"&amp;IF(AND(WEEKDAY(A937)&gt;1,WEEKDAY(A937)&lt;7),"Wkd",TEXT(A937,"Ddd"))&amp;"-"&amp;TEXT(A937,"hh"),LoadTable[],6,FALSE)*T937</f>
        <v>29850.49599232</v>
      </c>
      <c r="V937">
        <f t="shared" ref="V937:W937" si="984">V913</f>
        <v>2.9</v>
      </c>
      <c r="W937">
        <f t="shared" si="984"/>
        <v>3.1</v>
      </c>
      <c r="X937" s="9">
        <v>-12.1015515666666</v>
      </c>
    </row>
    <row r="938" spans="1:24">
      <c r="A938" s="29">
        <f t="shared" si="943"/>
        <v>45874.958333331066</v>
      </c>
      <c r="B938" s="30">
        <f t="shared" si="967"/>
        <v>5000</v>
      </c>
      <c r="C938" s="8">
        <v>25000</v>
      </c>
      <c r="D938" s="8">
        <v>0</v>
      </c>
      <c r="E938" s="8">
        <v>700</v>
      </c>
      <c r="F938" s="8">
        <v>15000</v>
      </c>
      <c r="G938" s="30">
        <f t="shared" si="968"/>
        <v>2400</v>
      </c>
      <c r="H938" s="8">
        <v>25000</v>
      </c>
      <c r="I938" s="30">
        <f t="shared" si="969"/>
        <v>5000</v>
      </c>
      <c r="J938" s="8">
        <v>25000</v>
      </c>
      <c r="K938" s="30">
        <f t="shared" si="970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14</v>
      </c>
      <c r="O938" s="9">
        <v>13.5</v>
      </c>
      <c r="P938" s="9">
        <v>19.5</v>
      </c>
      <c r="Q938" s="79">
        <f>VLOOKUP(VLOOKUP(DATEVALUE(TEXT(A938,"m/d/yyyy")),FY24_Temp[],5,FALSE)&amp;TEXT(A938,"-h"),Table6[],4,FALSE)</f>
        <v>3.0497143268585205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VLOOKUP(TEXT(A938,"yy-mm")&amp;"-"&amp;IF(AND(WEEKDAY(A938)&gt;1,WEEKDAY(A938)&lt;7),"Wkd",TEXT(A938,"Ddd"))&amp;"-"&amp;TEXT(A938,"hh"),LoadTable[],5,FALSE)*0.92</f>
        <v>372.12436000000002</v>
      </c>
      <c r="U938" s="104">
        <f>VLOOKUP(TEXT(A938,"yy-mm")&amp;"-"&amp;IF(AND(WEEKDAY(A938)&gt;1,WEEKDAY(A938)&lt;7),"Wkd",TEXT(A938,"Ddd"))&amp;"-"&amp;TEXT(A938,"hh"),LoadTable[],6,FALSE)*T938</f>
        <v>22421.236938720001</v>
      </c>
      <c r="V938">
        <f t="shared" ref="V938:W938" si="985">V914</f>
        <v>3.6</v>
      </c>
      <c r="W938">
        <f t="shared" si="985"/>
        <v>3.1</v>
      </c>
      <c r="X938" s="9">
        <v>-12.179346116666601</v>
      </c>
    </row>
    <row r="939" spans="1:24">
      <c r="A939" s="29">
        <f t="shared" si="943"/>
        <v>45874.99999999773</v>
      </c>
      <c r="B939" s="30">
        <f t="shared" si="967"/>
        <v>5000</v>
      </c>
      <c r="C939" s="8">
        <v>25000</v>
      </c>
      <c r="D939" s="8">
        <v>0</v>
      </c>
      <c r="E939" s="8">
        <v>700</v>
      </c>
      <c r="F939" s="8">
        <v>15000</v>
      </c>
      <c r="G939" s="30">
        <f t="shared" si="968"/>
        <v>2400</v>
      </c>
      <c r="H939" s="8">
        <v>25000</v>
      </c>
      <c r="I939" s="30">
        <f t="shared" si="969"/>
        <v>5000</v>
      </c>
      <c r="J939" s="8">
        <v>25000</v>
      </c>
      <c r="K939" s="30">
        <f t="shared" si="970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14</v>
      </c>
      <c r="O939" s="9">
        <v>13.5</v>
      </c>
      <c r="P939" s="9">
        <v>19.5</v>
      </c>
      <c r="Q939" s="79">
        <f>VLOOKUP(VLOOKUP(DATEVALUE(TEXT(A939,"m/d/yyyy")),FY24_Temp[],5,FALSE)&amp;TEXT(A939,"-h"),Table6[],4,FALSE)</f>
        <v>2.9064285414559499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VLOOKUP(TEXT(A939,"yy-mm")&amp;"-"&amp;IF(AND(WEEKDAY(A939)&gt;1,WEEKDAY(A939)&lt;7),"Wkd",TEXT(A939,"Ddd"))&amp;"-"&amp;TEXT(A939,"hh"),LoadTable[],5,FALSE)*0.92</f>
        <v>297.2244</v>
      </c>
      <c r="U939" s="104">
        <f>VLOOKUP(TEXT(A939,"yy-mm")&amp;"-"&amp;IF(AND(WEEKDAY(A939)&gt;1,WEEKDAY(A939)&lt;7),"Wkd",TEXT(A939,"Ddd"))&amp;"-"&amp;TEXT(A939,"hh"),LoadTable[],6,FALSE)*T939</f>
        <v>17505.031038000001</v>
      </c>
      <c r="V939">
        <f t="shared" ref="V939:W939" si="986">V915</f>
        <v>3</v>
      </c>
      <c r="W939">
        <f t="shared" si="986"/>
        <v>3.2</v>
      </c>
      <c r="X939" s="9">
        <v>-12.257140666666601</v>
      </c>
    </row>
    <row r="940" spans="1:24">
      <c r="A940" s="29">
        <f t="shared" si="943"/>
        <v>45875.041666664394</v>
      </c>
      <c r="B940" s="30">
        <f t="shared" si="967"/>
        <v>5000</v>
      </c>
      <c r="C940" s="8">
        <v>25000</v>
      </c>
      <c r="D940" s="8">
        <v>0</v>
      </c>
      <c r="E940" s="8">
        <v>700</v>
      </c>
      <c r="F940" s="8">
        <v>15000</v>
      </c>
      <c r="G940" s="30">
        <f t="shared" si="968"/>
        <v>2400</v>
      </c>
      <c r="H940" s="8">
        <v>25000</v>
      </c>
      <c r="I940" s="30">
        <f t="shared" si="969"/>
        <v>5000</v>
      </c>
      <c r="J940" s="8">
        <v>25000</v>
      </c>
      <c r="K940" s="30">
        <f t="shared" si="970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14</v>
      </c>
      <c r="O940" s="9">
        <v>13.5</v>
      </c>
      <c r="P940" s="9">
        <v>19.5</v>
      </c>
      <c r="Q940" s="79">
        <f>VLOOKUP(VLOOKUP(DATEVALUE(TEXT(A940,"m/d/yyyy")),FY24_Temp[],5,FALSE)&amp;TEXT(A940,"-h"),Table6[],4,FALSE)</f>
        <v>2.7961428506033763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VLOOKUP(TEXT(A940,"yy-mm")&amp;"-"&amp;IF(AND(WEEKDAY(A940)&gt;1,WEEKDAY(A940)&lt;7),"Wkd",TEXT(A940,"Ddd"))&amp;"-"&amp;TEXT(A940,"hh"),LoadTable[],5,FALSE)*0.92</f>
        <v>295.12680000000006</v>
      </c>
      <c r="U940" s="104">
        <f>VLOOKUP(TEXT(A940,"yy-mm")&amp;"-"&amp;IF(AND(WEEKDAY(A940)&gt;1,WEEKDAY(A940)&lt;7),"Wkd",TEXT(A940,"Ddd"))&amp;"-"&amp;TEXT(A940,"hh"),LoadTable[],6,FALSE)*T940</f>
        <v>17131.225359600001</v>
      </c>
      <c r="V940">
        <f t="shared" ref="V940:W940" si="987">V916</f>
        <v>2.6</v>
      </c>
      <c r="W940">
        <f t="shared" si="987"/>
        <v>3.2</v>
      </c>
      <c r="X940" s="9">
        <v>-12.334935216666601</v>
      </c>
    </row>
    <row r="941" spans="1:24">
      <c r="A941" s="29">
        <f t="shared" si="943"/>
        <v>45875.083333331058</v>
      </c>
      <c r="B941" s="30">
        <f t="shared" si="967"/>
        <v>5000</v>
      </c>
      <c r="C941" s="8">
        <v>25000</v>
      </c>
      <c r="D941" s="8">
        <v>0</v>
      </c>
      <c r="E941" s="8">
        <v>700</v>
      </c>
      <c r="F941" s="8">
        <v>15000</v>
      </c>
      <c r="G941" s="30">
        <f t="shared" si="968"/>
        <v>2400</v>
      </c>
      <c r="H941" s="8">
        <v>25000</v>
      </c>
      <c r="I941" s="30">
        <f t="shared" si="969"/>
        <v>5000</v>
      </c>
      <c r="J941" s="8">
        <v>25000</v>
      </c>
      <c r="K941" s="30">
        <f t="shared" si="970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14</v>
      </c>
      <c r="O941" s="9">
        <v>13.5</v>
      </c>
      <c r="P941" s="9">
        <v>19.5</v>
      </c>
      <c r="Q941" s="79">
        <f>VLOOKUP(VLOOKUP(DATEVALUE(TEXT(A941,"m/d/yyyy")),FY24_Temp[],5,FALSE)&amp;TEXT(A941,"-h"),Table6[],4,FALSE)</f>
        <v>2.6915714400155202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VLOOKUP(TEXT(A941,"yy-mm")&amp;"-"&amp;IF(AND(WEEKDAY(A941)&gt;1,WEEKDAY(A941)&lt;7),"Wkd",TEXT(A941,"Ddd"))&amp;"-"&amp;TEXT(A941,"hh"),LoadTable[],5,FALSE)*0.92</f>
        <v>295.12680000000006</v>
      </c>
      <c r="U941" s="104">
        <f>VLOOKUP(TEXT(A941,"yy-mm")&amp;"-"&amp;IF(AND(WEEKDAY(A941)&gt;1,WEEKDAY(A941)&lt;7),"Wkd",TEXT(A941,"Ddd"))&amp;"-"&amp;TEXT(A941,"hh"),LoadTable[],6,FALSE)*T941</f>
        <v>16459.811889600001</v>
      </c>
      <c r="V941">
        <f t="shared" ref="V941:W941" si="988">V917</f>
        <v>2.8</v>
      </c>
      <c r="W941">
        <f t="shared" si="988"/>
        <v>3.2</v>
      </c>
      <c r="X941" s="9">
        <v>-12.412729766666599</v>
      </c>
    </row>
    <row r="942" spans="1:24">
      <c r="A942" s="29">
        <f t="shared" si="943"/>
        <v>45875.124999997723</v>
      </c>
      <c r="B942" s="30">
        <f t="shared" si="967"/>
        <v>5000</v>
      </c>
      <c r="C942" s="8">
        <v>25000</v>
      </c>
      <c r="D942" s="8">
        <v>0</v>
      </c>
      <c r="E942" s="8">
        <v>700</v>
      </c>
      <c r="F942" s="8">
        <v>15000</v>
      </c>
      <c r="G942" s="30">
        <f t="shared" si="968"/>
        <v>2400</v>
      </c>
      <c r="H942" s="8">
        <v>25000</v>
      </c>
      <c r="I942" s="30">
        <f t="shared" si="969"/>
        <v>5000</v>
      </c>
      <c r="J942" s="8">
        <v>25000</v>
      </c>
      <c r="K942" s="30">
        <f t="shared" si="970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14</v>
      </c>
      <c r="O942" s="9">
        <v>13.5</v>
      </c>
      <c r="P942" s="9">
        <v>19.5</v>
      </c>
      <c r="Q942" s="79">
        <f>VLOOKUP(VLOOKUP(DATEVALUE(TEXT(A942,"m/d/yyyy")),FY24_Temp[],5,FALSE)&amp;TEXT(A942,"-h"),Table6[],4,FALSE)</f>
        <v>2.5627142701830183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VLOOKUP(TEXT(A942,"yy-mm")&amp;"-"&amp;IF(AND(WEEKDAY(A942)&gt;1,WEEKDAY(A942)&lt;7),"Wkd",TEXT(A942,"Ddd"))&amp;"-"&amp;TEXT(A942,"hh"),LoadTable[],5,FALSE)*0.92</f>
        <v>295.12680000000006</v>
      </c>
      <c r="U942" s="104">
        <f>VLOOKUP(TEXT(A942,"yy-mm")&amp;"-"&amp;IF(AND(WEEKDAY(A942)&gt;1,WEEKDAY(A942)&lt;7),"Wkd",TEXT(A942,"Ddd"))&amp;"-"&amp;TEXT(A942,"hh"),LoadTable[],6,FALSE)*T942</f>
        <v>16610.326557600001</v>
      </c>
      <c r="V942">
        <f t="shared" ref="V942:W942" si="989">V918</f>
        <v>2.7</v>
      </c>
      <c r="W942">
        <f t="shared" si="989"/>
        <v>3.2</v>
      </c>
      <c r="X942" s="9">
        <v>-12.490524316666599</v>
      </c>
    </row>
    <row r="943" spans="1:24">
      <c r="A943" s="29">
        <f t="shared" si="943"/>
        <v>45875.166666664387</v>
      </c>
      <c r="B943" s="30">
        <f t="shared" si="967"/>
        <v>5000</v>
      </c>
      <c r="C943" s="8">
        <v>25000</v>
      </c>
      <c r="D943" s="8">
        <v>0</v>
      </c>
      <c r="E943" s="8">
        <v>700</v>
      </c>
      <c r="F943" s="8">
        <v>15000</v>
      </c>
      <c r="G943" s="30">
        <f t="shared" si="968"/>
        <v>2400</v>
      </c>
      <c r="H943" s="8">
        <v>25000</v>
      </c>
      <c r="I943" s="30">
        <f t="shared" si="969"/>
        <v>5000</v>
      </c>
      <c r="J943" s="8">
        <v>25000</v>
      </c>
      <c r="K943" s="30">
        <f t="shared" si="970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14</v>
      </c>
      <c r="O943" s="9">
        <v>13.5</v>
      </c>
      <c r="P943" s="9">
        <v>19.5</v>
      </c>
      <c r="Q943" s="79">
        <f>VLOOKUP(VLOOKUP(DATEVALUE(TEXT(A943,"m/d/yyyy")),FY24_Temp[],5,FALSE)&amp;TEXT(A943,"-h"),Table6[],4,FALSE)</f>
        <v>2.3978571210588728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VLOOKUP(TEXT(A943,"yy-mm")&amp;"-"&amp;IF(AND(WEEKDAY(A943)&gt;1,WEEKDAY(A943)&lt;7),"Wkd",TEXT(A943,"Ddd"))&amp;"-"&amp;TEXT(A943,"hh"),LoadTable[],5,FALSE)*0.92</f>
        <v>295.12680000000006</v>
      </c>
      <c r="U943" s="104">
        <f>VLOOKUP(TEXT(A943,"yy-mm")&amp;"-"&amp;IF(AND(WEEKDAY(A943)&gt;1,WEEKDAY(A943)&lt;7),"Wkd",TEXT(A943,"Ddd"))&amp;"-"&amp;TEXT(A943,"hh"),LoadTable[],6,FALSE)*T943</f>
        <v>16544.513281200001</v>
      </c>
      <c r="V943">
        <f t="shared" ref="V943:W943" si="990">V919</f>
        <v>3</v>
      </c>
      <c r="W943">
        <f t="shared" si="990"/>
        <v>3.1</v>
      </c>
      <c r="X943" s="9">
        <v>-12.568318866666599</v>
      </c>
    </row>
    <row r="944" spans="1:24">
      <c r="A944" s="29">
        <f t="shared" si="943"/>
        <v>45875.208333331051</v>
      </c>
      <c r="B944" s="30">
        <f t="shared" si="967"/>
        <v>5000</v>
      </c>
      <c r="C944" s="8">
        <v>25000</v>
      </c>
      <c r="D944" s="8">
        <v>0</v>
      </c>
      <c r="E944" s="8">
        <v>700</v>
      </c>
      <c r="F944" s="8">
        <v>15000</v>
      </c>
      <c r="G944" s="30">
        <f t="shared" si="968"/>
        <v>2400</v>
      </c>
      <c r="H944" s="8">
        <v>25000</v>
      </c>
      <c r="I944" s="30">
        <f t="shared" si="969"/>
        <v>5000</v>
      </c>
      <c r="J944" s="8">
        <v>25000</v>
      </c>
      <c r="K944" s="30">
        <f t="shared" si="970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14</v>
      </c>
      <c r="O944" s="9">
        <v>13.5</v>
      </c>
      <c r="P944" s="9">
        <v>19.5</v>
      </c>
      <c r="Q944" s="79">
        <f>VLOOKUP(VLOOKUP(DATEVALUE(TEXT(A944,"m/d/yyyy")),FY24_Temp[],5,FALSE)&amp;TEXT(A944,"-h"),Table6[],4,FALSE)</f>
        <v>2.2397142818995883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VLOOKUP(TEXT(A944,"yy-mm")&amp;"-"&amp;IF(AND(WEEKDAY(A944)&gt;1,WEEKDAY(A944)&lt;7),"Wkd",TEXT(A944,"Ddd"))&amp;"-"&amp;TEXT(A944,"hh"),LoadTable[],5,FALSE)*0.92</f>
        <v>295.12680000000006</v>
      </c>
      <c r="U944" s="104">
        <f>VLOOKUP(TEXT(A944,"yy-mm")&amp;"-"&amp;IF(AND(WEEKDAY(A944)&gt;1,WEEKDAY(A944)&lt;7),"Wkd",TEXT(A944,"Ddd"))&amp;"-"&amp;TEXT(A944,"hh"),LoadTable[],6,FALSE)*T944</f>
        <v>17128.569218400004</v>
      </c>
      <c r="V944">
        <f t="shared" ref="V944:W944" si="991">V920</f>
        <v>2.9</v>
      </c>
      <c r="W944">
        <f t="shared" si="991"/>
        <v>3.1</v>
      </c>
      <c r="X944" s="9">
        <v>-12.6461134166666</v>
      </c>
    </row>
    <row r="945" spans="1:24">
      <c r="A945" s="29">
        <f t="shared" si="943"/>
        <v>45875.249999997715</v>
      </c>
      <c r="B945" s="30">
        <f t="shared" si="967"/>
        <v>8000</v>
      </c>
      <c r="C945" s="8">
        <v>25000</v>
      </c>
      <c r="D945" s="8">
        <v>0</v>
      </c>
      <c r="E945" s="8">
        <v>700</v>
      </c>
      <c r="F945" s="8">
        <v>15000</v>
      </c>
      <c r="G945" s="30">
        <f t="shared" si="968"/>
        <v>2400</v>
      </c>
      <c r="H945" s="8">
        <v>25000</v>
      </c>
      <c r="I945" s="30">
        <f t="shared" si="969"/>
        <v>8000</v>
      </c>
      <c r="J945" s="8">
        <v>25000</v>
      </c>
      <c r="K945" s="30">
        <f t="shared" si="970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14</v>
      </c>
      <c r="O945" s="9">
        <v>13.5</v>
      </c>
      <c r="P945" s="9">
        <v>19.5</v>
      </c>
      <c r="Q945" s="79">
        <f>VLOOKUP(VLOOKUP(DATEVALUE(TEXT(A945,"m/d/yyyy")),FY24_Temp[],5,FALSE)&amp;TEXT(A945,"-h"),Table6[],4,FALSE)</f>
        <v>2.1271428721291676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VLOOKUP(TEXT(A945,"yy-mm")&amp;"-"&amp;IF(AND(WEEKDAY(A945)&gt;1,WEEKDAY(A945)&lt;7),"Wkd",TEXT(A945,"Ddd"))&amp;"-"&amp;TEXT(A945,"hh"),LoadTable[],5,FALSE)*0.92</f>
        <v>295.12680000000006</v>
      </c>
      <c r="U945" s="104">
        <f>VLOOKUP(TEXT(A945,"yy-mm")&amp;"-"&amp;IF(AND(WEEKDAY(A945)&gt;1,WEEKDAY(A945)&lt;7),"Wkd",TEXT(A945,"Ddd"))&amp;"-"&amp;TEXT(A945,"hh"),LoadTable[],6,FALSE)*T945</f>
        <v>20766.892408800006</v>
      </c>
      <c r="V945">
        <f t="shared" ref="V945:W945" si="992">V921</f>
        <v>2.5</v>
      </c>
      <c r="W945">
        <f t="shared" si="992"/>
        <v>3.1</v>
      </c>
      <c r="X945" s="9">
        <v>-12.7239079666666</v>
      </c>
    </row>
    <row r="946" spans="1:24">
      <c r="A946" s="29">
        <f t="shared" si="943"/>
        <v>45875.29166666438</v>
      </c>
      <c r="B946" s="30">
        <f t="shared" si="967"/>
        <v>8000</v>
      </c>
      <c r="C946" s="8">
        <v>25000</v>
      </c>
      <c r="D946" s="8">
        <v>0</v>
      </c>
      <c r="E946" s="8">
        <v>700</v>
      </c>
      <c r="F946" s="8">
        <v>15000</v>
      </c>
      <c r="G946" s="30">
        <f t="shared" si="968"/>
        <v>2400</v>
      </c>
      <c r="H946" s="8">
        <v>25000</v>
      </c>
      <c r="I946" s="30">
        <f t="shared" si="969"/>
        <v>8000</v>
      </c>
      <c r="J946" s="8">
        <v>25000</v>
      </c>
      <c r="K946" s="30">
        <f t="shared" si="970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14</v>
      </c>
      <c r="O946" s="9">
        <v>13.5</v>
      </c>
      <c r="P946" s="9">
        <v>19.5</v>
      </c>
      <c r="Q946" s="79">
        <f>VLOOKUP(VLOOKUP(DATEVALUE(TEXT(A946,"m/d/yyyy")),FY24_Temp[],5,FALSE)&amp;TEXT(A946,"-h"),Table6[],4,FALSE)</f>
        <v>2.0365714345659529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VLOOKUP(TEXT(A946,"yy-mm")&amp;"-"&amp;IF(AND(WEEKDAY(A946)&gt;1,WEEKDAY(A946)&lt;7),"Wkd",TEXT(A946,"Ddd"))&amp;"-"&amp;TEXT(A946,"hh"),LoadTable[],5,FALSE)*0.92</f>
        <v>295.12680000000006</v>
      </c>
      <c r="U946" s="104">
        <f>VLOOKUP(TEXT(A946,"yy-mm")&amp;"-"&amp;IF(AND(WEEKDAY(A946)&gt;1,WEEKDAY(A946)&lt;7),"Wkd",TEXT(A946,"Ddd"))&amp;"-"&amp;TEXT(A946,"hh"),LoadTable[],6,FALSE)*T946</f>
        <v>19169.666167200001</v>
      </c>
      <c r="V946">
        <f t="shared" ref="V946:W946" si="993">V922</f>
        <v>2.5</v>
      </c>
      <c r="W946">
        <f t="shared" si="993"/>
        <v>3.1</v>
      </c>
      <c r="X946" s="9">
        <v>-12.8017025166666</v>
      </c>
    </row>
    <row r="947" spans="1:24">
      <c r="A947" s="29">
        <f t="shared" si="943"/>
        <v>45875.333333331044</v>
      </c>
      <c r="B947" s="30">
        <f t="shared" si="967"/>
        <v>8000</v>
      </c>
      <c r="C947" s="8">
        <v>25000</v>
      </c>
      <c r="D947" s="8">
        <v>0</v>
      </c>
      <c r="E947" s="8">
        <v>700</v>
      </c>
      <c r="F947" s="8">
        <v>15000</v>
      </c>
      <c r="G947" s="30">
        <f t="shared" si="968"/>
        <v>2400</v>
      </c>
      <c r="H947" s="8">
        <v>25000</v>
      </c>
      <c r="I947" s="30">
        <f t="shared" si="969"/>
        <v>8000</v>
      </c>
      <c r="J947" s="8">
        <v>25000</v>
      </c>
      <c r="K947" s="30">
        <f t="shared" si="970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14</v>
      </c>
      <c r="O947" s="9">
        <v>13.5</v>
      </c>
      <c r="P947" s="9">
        <v>19.5</v>
      </c>
      <c r="Q947" s="79">
        <f>VLOOKUP(VLOOKUP(DATEVALUE(TEXT(A947,"m/d/yyyy")),FY24_Temp[],5,FALSE)&amp;TEXT(A947,"-h"),Table6[],4,FALSE)</f>
        <v>1.9252857310431344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VLOOKUP(TEXT(A947,"yy-mm")&amp;"-"&amp;IF(AND(WEEKDAY(A947)&gt;1,WEEKDAY(A947)&lt;7),"Wkd",TEXT(A947,"Ddd"))&amp;"-"&amp;TEXT(A947,"hh"),LoadTable[],5,FALSE)*0.92</f>
        <v>295.12680000000006</v>
      </c>
      <c r="U947" s="104">
        <f>VLOOKUP(TEXT(A947,"yy-mm")&amp;"-"&amp;IF(AND(WEEKDAY(A947)&gt;1,WEEKDAY(A947)&lt;7),"Wkd",TEXT(A947,"Ddd"))&amp;"-"&amp;TEXT(A947,"hh"),LoadTable[],6,FALSE)*T947</f>
        <v>15860.999612400004</v>
      </c>
      <c r="V947">
        <f t="shared" ref="V947:W947" si="994">V923</f>
        <v>3.2</v>
      </c>
      <c r="W947">
        <f t="shared" si="994"/>
        <v>3</v>
      </c>
      <c r="X947" s="9">
        <v>-12.8794970666666</v>
      </c>
    </row>
    <row r="948" spans="1:24">
      <c r="A948" s="29">
        <f t="shared" si="943"/>
        <v>45875.374999997708</v>
      </c>
      <c r="B948" s="30">
        <f t="shared" si="967"/>
        <v>8000</v>
      </c>
      <c r="C948" s="8">
        <v>25000</v>
      </c>
      <c r="D948" s="8">
        <v>0</v>
      </c>
      <c r="E948" s="8">
        <v>700</v>
      </c>
      <c r="F948" s="8">
        <v>15000</v>
      </c>
      <c r="G948" s="30">
        <f t="shared" si="968"/>
        <v>2400</v>
      </c>
      <c r="H948" s="8">
        <v>25000</v>
      </c>
      <c r="I948" s="30">
        <f t="shared" si="969"/>
        <v>8000</v>
      </c>
      <c r="J948" s="8">
        <v>25000</v>
      </c>
      <c r="K948" s="30">
        <f t="shared" si="970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14</v>
      </c>
      <c r="O948" s="9">
        <v>13.5</v>
      </c>
      <c r="P948" s="9">
        <v>19.5</v>
      </c>
      <c r="Q948" s="79">
        <f>VLOOKUP(VLOOKUP(DATEVALUE(TEXT(A948,"m/d/yyyy")),FY24_Temp[],5,FALSE)&amp;TEXT(A948,"-h"),Table6[],4,FALSE)</f>
        <v>1.824714285986764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VLOOKUP(TEXT(A948,"yy-mm")&amp;"-"&amp;IF(AND(WEEKDAY(A948)&gt;1,WEEKDAY(A948)&lt;7),"Wkd",TEXT(A948,"Ddd"))&amp;"-"&amp;TEXT(A948,"hh"),LoadTable[],5,FALSE)*0.92</f>
        <v>295.12680000000006</v>
      </c>
      <c r="U948" s="104">
        <f>VLOOKUP(TEXT(A948,"yy-mm")&amp;"-"&amp;IF(AND(WEEKDAY(A948)&gt;1,WEEKDAY(A948)&lt;7),"Wkd",TEXT(A948,"Ddd"))&amp;"-"&amp;TEXT(A948,"hh"),LoadTable[],6,FALSE)*T948</f>
        <v>15713.436212400004</v>
      </c>
      <c r="V948">
        <f t="shared" ref="V948:W948" si="995">V924</f>
        <v>2.9</v>
      </c>
      <c r="W948">
        <f t="shared" si="995"/>
        <v>3</v>
      </c>
      <c r="X948" s="9">
        <v>-12.9572916166666</v>
      </c>
    </row>
    <row r="949" spans="1:24">
      <c r="A949" s="29">
        <f t="shared" si="943"/>
        <v>45875.416666664372</v>
      </c>
      <c r="B949" s="30">
        <f t="shared" si="967"/>
        <v>8000</v>
      </c>
      <c r="C949" s="8">
        <v>25000</v>
      </c>
      <c r="D949" s="8">
        <v>0</v>
      </c>
      <c r="E949" s="8">
        <v>700</v>
      </c>
      <c r="F949" s="8">
        <v>15000</v>
      </c>
      <c r="G949" s="30">
        <f t="shared" si="968"/>
        <v>2400</v>
      </c>
      <c r="H949" s="8">
        <v>25000</v>
      </c>
      <c r="I949" s="30">
        <f t="shared" si="969"/>
        <v>8000</v>
      </c>
      <c r="J949" s="8">
        <v>25000</v>
      </c>
      <c r="K949" s="30">
        <f t="shared" si="970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14</v>
      </c>
      <c r="O949" s="9">
        <v>13.5</v>
      </c>
      <c r="P949" s="9">
        <v>19.5</v>
      </c>
      <c r="Q949" s="79">
        <f>VLOOKUP(VLOOKUP(DATEVALUE(TEXT(A949,"m/d/yyyy")),FY24_Temp[],5,FALSE)&amp;TEXT(A949,"-h"),Table6[],4,FALSE)</f>
        <v>1.7312857082911901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VLOOKUP(TEXT(A949,"yy-mm")&amp;"-"&amp;IF(AND(WEEKDAY(A949)&gt;1,WEEKDAY(A949)&lt;7),"Wkd",TEXT(A949,"Ddd"))&amp;"-"&amp;TEXT(A949,"hh"),LoadTable[],5,FALSE)*0.92</f>
        <v>295.12680000000006</v>
      </c>
      <c r="U949" s="104">
        <f>VLOOKUP(TEXT(A949,"yy-mm")&amp;"-"&amp;IF(AND(WEEKDAY(A949)&gt;1,WEEKDAY(A949)&lt;7),"Wkd",TEXT(A949,"Ddd"))&amp;"-"&amp;TEXT(A949,"hh"),LoadTable[],6,FALSE)*T949</f>
        <v>14369.723892000002</v>
      </c>
      <c r="V949">
        <f t="shared" ref="V949:W949" si="996">V925</f>
        <v>2.9</v>
      </c>
      <c r="W949">
        <f t="shared" si="996"/>
        <v>3</v>
      </c>
      <c r="X949" s="9">
        <v>-13.0350861666666</v>
      </c>
    </row>
    <row r="950" spans="1:24">
      <c r="A950" s="29">
        <f t="shared" si="943"/>
        <v>45875.458333331037</v>
      </c>
      <c r="B950" s="30">
        <f t="shared" si="967"/>
        <v>8000</v>
      </c>
      <c r="C950" s="8">
        <v>25000</v>
      </c>
      <c r="D950" s="8">
        <v>0</v>
      </c>
      <c r="E950" s="8">
        <v>700</v>
      </c>
      <c r="F950" s="8">
        <v>15000</v>
      </c>
      <c r="G950" s="30">
        <f t="shared" si="968"/>
        <v>2400</v>
      </c>
      <c r="H950" s="8">
        <v>25000</v>
      </c>
      <c r="I950" s="30">
        <f t="shared" si="969"/>
        <v>8000</v>
      </c>
      <c r="J950" s="8">
        <v>25000</v>
      </c>
      <c r="K950" s="30">
        <f t="shared" si="970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14</v>
      </c>
      <c r="O950" s="9">
        <v>13.5</v>
      </c>
      <c r="P950" s="9">
        <v>19.5</v>
      </c>
      <c r="Q950" s="79">
        <f>VLOOKUP(VLOOKUP(DATEVALUE(TEXT(A950,"m/d/yyyy")),FY24_Temp[],5,FALSE)&amp;TEXT(A950,"-h"),Table6[],4,FALSE)</f>
        <v>1.6252857276371546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VLOOKUP(TEXT(A950,"yy-mm")&amp;"-"&amp;IF(AND(WEEKDAY(A950)&gt;1,WEEKDAY(A950)&lt;7),"Wkd",TEXT(A950,"Ddd"))&amp;"-"&amp;TEXT(A950,"hh"),LoadTable[],5,FALSE)*0.92</f>
        <v>295.12680000000006</v>
      </c>
      <c r="U950" s="104">
        <f>VLOOKUP(TEXT(A950,"yy-mm")&amp;"-"&amp;IF(AND(WEEKDAY(A950)&gt;1,WEEKDAY(A950)&lt;7),"Wkd",TEXT(A950,"Ddd"))&amp;"-"&amp;TEXT(A950,"hh"),LoadTable[],6,FALSE)*T950</f>
        <v>14137.459100400003</v>
      </c>
      <c r="V950">
        <f t="shared" ref="V950:W950" si="997">V926</f>
        <v>3.4</v>
      </c>
      <c r="W950">
        <f t="shared" si="997"/>
        <v>3</v>
      </c>
      <c r="X950" s="9">
        <v>-13.1128807166666</v>
      </c>
    </row>
    <row r="951" spans="1:24">
      <c r="A951" s="29">
        <f t="shared" si="943"/>
        <v>45875.499999997701</v>
      </c>
      <c r="B951" s="30">
        <f t="shared" si="967"/>
        <v>8000</v>
      </c>
      <c r="C951" s="8">
        <v>25000</v>
      </c>
      <c r="D951" s="8">
        <v>0</v>
      </c>
      <c r="E951" s="8">
        <v>700</v>
      </c>
      <c r="F951" s="8">
        <v>15000</v>
      </c>
      <c r="G951" s="30">
        <f t="shared" si="968"/>
        <v>2400</v>
      </c>
      <c r="H951" s="8">
        <v>25000</v>
      </c>
      <c r="I951" s="30">
        <f t="shared" si="969"/>
        <v>8000</v>
      </c>
      <c r="J951" s="8">
        <v>25000</v>
      </c>
      <c r="K951" s="30">
        <f t="shared" si="970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14</v>
      </c>
      <c r="O951" s="9">
        <v>13.5</v>
      </c>
      <c r="P951" s="9">
        <v>19.5</v>
      </c>
      <c r="Q951" s="79">
        <f>VLOOKUP(VLOOKUP(DATEVALUE(TEXT(A951,"m/d/yyyy")),FY24_Temp[],5,FALSE)&amp;TEXT(A951,"-h"),Table6[],4,FALSE)</f>
        <v>1.4844285760607039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VLOOKUP(TEXT(A951,"yy-mm")&amp;"-"&amp;IF(AND(WEEKDAY(A951)&gt;1,WEEKDAY(A951)&lt;7),"Wkd",TEXT(A951,"Ddd"))&amp;"-"&amp;TEXT(A951,"hh"),LoadTable[],5,FALSE)*0.92</f>
        <v>295.12680000000006</v>
      </c>
      <c r="U951" s="104">
        <f>VLOOKUP(TEXT(A951,"yy-mm")&amp;"-"&amp;IF(AND(WEEKDAY(A951)&gt;1,WEEKDAY(A951)&lt;7),"Wkd",TEXT(A951,"Ddd"))&amp;"-"&amp;TEXT(A951,"hh"),LoadTable[],6,FALSE)*T951</f>
        <v>14242.819368000002</v>
      </c>
      <c r="V951">
        <f t="shared" ref="V951:W951" si="998">V927</f>
        <v>3.1</v>
      </c>
      <c r="W951">
        <f t="shared" si="998"/>
        <v>2.9</v>
      </c>
      <c r="X951" s="9">
        <v>-13.190675266666601</v>
      </c>
    </row>
    <row r="952" spans="1:24">
      <c r="A952" s="29">
        <f t="shared" si="943"/>
        <v>45875.541666664365</v>
      </c>
      <c r="B952" s="30">
        <f t="shared" si="967"/>
        <v>8000</v>
      </c>
      <c r="C952" s="8">
        <v>25000</v>
      </c>
      <c r="D952" s="8">
        <v>0</v>
      </c>
      <c r="E952" s="8">
        <v>700</v>
      </c>
      <c r="F952" s="8">
        <v>15000</v>
      </c>
      <c r="G952" s="30">
        <f t="shared" si="968"/>
        <v>2400</v>
      </c>
      <c r="H952" s="8">
        <v>25000</v>
      </c>
      <c r="I952" s="30">
        <f t="shared" si="969"/>
        <v>8000</v>
      </c>
      <c r="J952" s="8">
        <v>25000</v>
      </c>
      <c r="K952" s="30">
        <f t="shared" si="970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14</v>
      </c>
      <c r="O952" s="9">
        <v>13.5</v>
      </c>
      <c r="P952" s="9">
        <v>19.5</v>
      </c>
      <c r="Q952" s="79">
        <f>VLOOKUP(VLOOKUP(DATEVALUE(TEXT(A952,"m/d/yyyy")),FY24_Temp[],5,FALSE)&amp;TEXT(A952,"-h"),Table6[],4,FALSE)</f>
        <v>1.3144285849162511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VLOOKUP(TEXT(A952,"yy-mm")&amp;"-"&amp;IF(AND(WEEKDAY(A952)&gt;1,WEEKDAY(A952)&lt;7),"Wkd",TEXT(A952,"Ddd"))&amp;"-"&amp;TEXT(A952,"hh"),LoadTable[],5,FALSE)*0.92</f>
        <v>295.12680000000006</v>
      </c>
      <c r="U952" s="104">
        <f>VLOOKUP(TEXT(A952,"yy-mm")&amp;"-"&amp;IF(AND(WEEKDAY(A952)&gt;1,WEEKDAY(A952)&lt;7),"Wkd",TEXT(A952,"Ddd"))&amp;"-"&amp;TEXT(A952,"hh"),LoadTable[],6,FALSE)*T952</f>
        <v>16280.669922000003</v>
      </c>
      <c r="V952">
        <f t="shared" ref="V952:W952" si="999">V928</f>
        <v>3.2</v>
      </c>
      <c r="W952">
        <f t="shared" si="999"/>
        <v>2.9</v>
      </c>
      <c r="X952" s="9">
        <v>-13.268469816666601</v>
      </c>
    </row>
    <row r="953" spans="1:24">
      <c r="A953" s="29">
        <f t="shared" si="943"/>
        <v>45875.583333331029</v>
      </c>
      <c r="B953" s="30">
        <f t="shared" si="967"/>
        <v>8000</v>
      </c>
      <c r="C953" s="8">
        <v>25000</v>
      </c>
      <c r="D953" s="8">
        <v>0</v>
      </c>
      <c r="E953" s="8">
        <v>700</v>
      </c>
      <c r="F953" s="8">
        <v>15000</v>
      </c>
      <c r="G953" s="30">
        <f t="shared" si="968"/>
        <v>2400</v>
      </c>
      <c r="H953" s="8">
        <v>25000</v>
      </c>
      <c r="I953" s="30">
        <f t="shared" si="969"/>
        <v>8000</v>
      </c>
      <c r="J953" s="8">
        <v>25000</v>
      </c>
      <c r="K953" s="30">
        <f t="shared" si="970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14</v>
      </c>
      <c r="O953" s="9">
        <v>13.5</v>
      </c>
      <c r="P953" s="9">
        <v>19.5</v>
      </c>
      <c r="Q953" s="79">
        <f>VLOOKUP(VLOOKUP(DATEVALUE(TEXT(A953,"m/d/yyyy")),FY24_Temp[],5,FALSE)&amp;TEXT(A953,"-h"),Table6[],4,FALSE)</f>
        <v>1.131428565297808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VLOOKUP(TEXT(A953,"yy-mm")&amp;"-"&amp;IF(AND(WEEKDAY(A953)&gt;1,WEEKDAY(A953)&lt;7),"Wkd",TEXT(A953,"Ddd"))&amp;"-"&amp;TEXT(A953,"hh"),LoadTable[],5,FALSE)*0.92</f>
        <v>402.08416</v>
      </c>
      <c r="U953" s="104">
        <f>VLOOKUP(TEXT(A953,"yy-mm")&amp;"-"&amp;IF(AND(WEEKDAY(A953)&gt;1,WEEKDAY(A953)&lt;7),"Wkd",TEXT(A953,"Ddd"))&amp;"-"&amp;TEXT(A953,"hh"),LoadTable[],6,FALSE)*T953</f>
        <v>27023.674309440001</v>
      </c>
      <c r="V953">
        <f t="shared" ref="V953:W953" si="1000">V929</f>
        <v>3.5</v>
      </c>
      <c r="W953">
        <f t="shared" si="1000"/>
        <v>2.9</v>
      </c>
      <c r="X953" s="9">
        <v>-13.346264366666601</v>
      </c>
    </row>
    <row r="954" spans="1:24">
      <c r="A954" s="29">
        <f t="shared" si="943"/>
        <v>45875.624999997694</v>
      </c>
      <c r="B954" s="30">
        <f t="shared" si="967"/>
        <v>8000</v>
      </c>
      <c r="C954" s="8">
        <v>25000</v>
      </c>
      <c r="D954" s="8">
        <v>0</v>
      </c>
      <c r="E954" s="8">
        <v>700</v>
      </c>
      <c r="F954" s="8">
        <v>15000</v>
      </c>
      <c r="G954" s="30">
        <f t="shared" si="968"/>
        <v>2400</v>
      </c>
      <c r="H954" s="8">
        <v>25000</v>
      </c>
      <c r="I954" s="30">
        <f t="shared" si="969"/>
        <v>8000</v>
      </c>
      <c r="J954" s="8">
        <v>25000</v>
      </c>
      <c r="K954" s="30">
        <f t="shared" si="970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14</v>
      </c>
      <c r="O954" s="9">
        <v>13.5</v>
      </c>
      <c r="P954" s="9">
        <v>19.5</v>
      </c>
      <c r="Q954" s="79">
        <f>VLOOKUP(VLOOKUP(DATEVALUE(TEXT(A954,"m/d/yyyy")),FY24_Temp[],5,FALSE)&amp;TEXT(A954,"-h"),Table6[],4,FALSE)</f>
        <v>0.96828571387699669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VLOOKUP(TEXT(A954,"yy-mm")&amp;"-"&amp;IF(AND(WEEKDAY(A954)&gt;1,WEEKDAY(A954)&lt;7),"Wkd",TEXT(A954,"Ddd"))&amp;"-"&amp;TEXT(A954,"hh"),LoadTable[],5,FALSE)*0.92</f>
        <v>521.92427999999995</v>
      </c>
      <c r="U954" s="104">
        <f>VLOOKUP(TEXT(A954,"yy-mm")&amp;"-"&amp;IF(AND(WEEKDAY(A954)&gt;1,WEEKDAY(A954)&lt;7),"Wkd",TEXT(A954,"Ddd"))&amp;"-"&amp;TEXT(A954,"hh"),LoadTable[],6,FALSE)*T954</f>
        <v>38276.36092236</v>
      </c>
      <c r="V954">
        <f t="shared" ref="V954:W954" si="1001">V930</f>
        <v>3.2</v>
      </c>
      <c r="W954">
        <f t="shared" si="1001"/>
        <v>2.9</v>
      </c>
      <c r="X954" s="9">
        <v>-13.424058916666599</v>
      </c>
    </row>
    <row r="955" spans="1:24">
      <c r="A955" s="29">
        <f t="shared" si="943"/>
        <v>45875.666666664358</v>
      </c>
      <c r="B955" s="30">
        <f t="shared" si="967"/>
        <v>8000</v>
      </c>
      <c r="C955" s="8">
        <v>25000</v>
      </c>
      <c r="D955" s="8">
        <v>0</v>
      </c>
      <c r="E955" s="8">
        <v>700</v>
      </c>
      <c r="F955" s="8">
        <v>15000</v>
      </c>
      <c r="G955" s="30">
        <f t="shared" si="968"/>
        <v>2400</v>
      </c>
      <c r="H955" s="8">
        <v>25000</v>
      </c>
      <c r="I955" s="30">
        <f t="shared" si="969"/>
        <v>8000</v>
      </c>
      <c r="J955" s="8">
        <v>25000</v>
      </c>
      <c r="K955" s="30">
        <f t="shared" si="970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14</v>
      </c>
      <c r="O955" s="9">
        <v>13.5</v>
      </c>
      <c r="P955" s="9">
        <v>19.5</v>
      </c>
      <c r="Q955" s="79">
        <f>VLOOKUP(VLOOKUP(DATEVALUE(TEXT(A955,"m/d/yyyy")),FY24_Temp[],5,FALSE)&amp;TEXT(A955,"-h"),Table6[],4,FALSE)</f>
        <v>0.89385713849748882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VLOOKUP(TEXT(A955,"yy-mm")&amp;"-"&amp;IF(AND(WEEKDAY(A955)&gt;1,WEEKDAY(A955)&lt;7),"Wkd",TEXT(A955,"Ddd"))&amp;"-"&amp;TEXT(A955,"hh"),LoadTable[],5,FALSE)*0.92</f>
        <v>521.92427999999995</v>
      </c>
      <c r="U955" s="104">
        <f>VLOOKUP(TEXT(A955,"yy-mm")&amp;"-"&amp;IF(AND(WEEKDAY(A955)&gt;1,WEEKDAY(A955)&lt;7),"Wkd",TEXT(A955,"Ddd"))&amp;"-"&amp;TEXT(A955,"hh"),LoadTable[],6,FALSE)*T955</f>
        <v>45879.753833399998</v>
      </c>
      <c r="V955">
        <f t="shared" ref="V955:W955" si="1002">V931</f>
        <v>3.5</v>
      </c>
      <c r="W955">
        <f t="shared" si="1002"/>
        <v>3</v>
      </c>
      <c r="X955" s="9">
        <v>-13.501853466666599</v>
      </c>
    </row>
    <row r="956" spans="1:24">
      <c r="A956" s="29">
        <f t="shared" si="943"/>
        <v>45875.708333331022</v>
      </c>
      <c r="B956" s="30">
        <f t="shared" si="967"/>
        <v>8000</v>
      </c>
      <c r="C956" s="8">
        <v>25000</v>
      </c>
      <c r="D956" s="8">
        <v>0</v>
      </c>
      <c r="E956" s="8">
        <v>700</v>
      </c>
      <c r="F956" s="8">
        <v>15000</v>
      </c>
      <c r="G956" s="30">
        <f t="shared" si="968"/>
        <v>2400</v>
      </c>
      <c r="H956" s="8">
        <v>25000</v>
      </c>
      <c r="I956" s="30">
        <f t="shared" si="969"/>
        <v>8000</v>
      </c>
      <c r="J956" s="8">
        <v>25000</v>
      </c>
      <c r="K956" s="30">
        <f t="shared" si="970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14</v>
      </c>
      <c r="O956" s="9">
        <v>13.5</v>
      </c>
      <c r="P956" s="9">
        <v>19.5</v>
      </c>
      <c r="Q956" s="79">
        <f>VLOOKUP(VLOOKUP(DATEVALUE(TEXT(A956,"m/d/yyyy")),FY24_Temp[],5,FALSE)&amp;TEXT(A956,"-h"),Table6[],4,FALSE)</f>
        <v>1.0775714346340723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VLOOKUP(TEXT(A956,"yy-mm")&amp;"-"&amp;IF(AND(WEEKDAY(A956)&gt;1,WEEKDAY(A956)&lt;7),"Wkd",TEXT(A956,"Ddd"))&amp;"-"&amp;TEXT(A956,"hh"),LoadTable[],5,FALSE)*0.92</f>
        <v>521.92427999999995</v>
      </c>
      <c r="U956" s="104">
        <f>VLOOKUP(TEXT(A956,"yy-mm")&amp;"-"&amp;IF(AND(WEEKDAY(A956)&gt;1,WEEKDAY(A956)&lt;7),"Wkd",TEXT(A956,"Ddd"))&amp;"-"&amp;TEXT(A956,"hh"),LoadTable[],6,FALSE)*T956</f>
        <v>57850.609119479988</v>
      </c>
      <c r="V956">
        <f t="shared" ref="V956:W956" si="1003">V932</f>
        <v>3.6</v>
      </c>
      <c r="W956">
        <f t="shared" si="1003"/>
        <v>3</v>
      </c>
      <c r="X956" s="9">
        <v>-13.579648016666599</v>
      </c>
    </row>
    <row r="957" spans="1:24">
      <c r="A957" s="29">
        <f t="shared" si="943"/>
        <v>45875.749999997686</v>
      </c>
      <c r="B957" s="30">
        <f t="shared" si="967"/>
        <v>5000</v>
      </c>
      <c r="C957" s="8">
        <v>25000</v>
      </c>
      <c r="D957" s="8">
        <v>0</v>
      </c>
      <c r="E957" s="8">
        <v>700</v>
      </c>
      <c r="F957" s="8">
        <v>15000</v>
      </c>
      <c r="G957" s="30">
        <f t="shared" si="968"/>
        <v>2400</v>
      </c>
      <c r="H957" s="8">
        <v>25000</v>
      </c>
      <c r="I957" s="30">
        <f t="shared" si="969"/>
        <v>5000</v>
      </c>
      <c r="J957" s="8">
        <v>25000</v>
      </c>
      <c r="K957" s="30">
        <f t="shared" si="970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14</v>
      </c>
      <c r="O957" s="9">
        <v>13.5</v>
      </c>
      <c r="P957" s="9">
        <v>19.5</v>
      </c>
      <c r="Q957" s="79">
        <f>VLOOKUP(VLOOKUP(DATEVALUE(TEXT(A957,"m/d/yyyy")),FY24_Temp[],5,FALSE)&amp;TEXT(A957,"-h"),Table6[],4,FALSE)</f>
        <v>1.43542856829507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VLOOKUP(TEXT(A957,"yy-mm")&amp;"-"&amp;IF(AND(WEEKDAY(A957)&gt;1,WEEKDAY(A957)&lt;7),"Wkd",TEXT(A957,"Ddd"))&amp;"-"&amp;TEXT(A957,"hh"),LoadTable[],5,FALSE)*0.92</f>
        <v>521.92427999999995</v>
      </c>
      <c r="U957" s="104">
        <f>VLOOKUP(TEXT(A957,"yy-mm")&amp;"-"&amp;IF(AND(WEEKDAY(A957)&gt;1,WEEKDAY(A957)&lt;7),"Wkd",TEXT(A957,"Ddd"))&amp;"-"&amp;TEXT(A957,"hh"),LoadTable[],6,FALSE)*T957</f>
        <v>71088.174633119997</v>
      </c>
      <c r="V957">
        <f t="shared" ref="V957:W957" si="1004">V933</f>
        <v>2.9</v>
      </c>
      <c r="W957">
        <f t="shared" si="1004"/>
        <v>3</v>
      </c>
      <c r="X957" s="9">
        <v>-13.6574425666666</v>
      </c>
    </row>
    <row r="958" spans="1:24">
      <c r="A958" s="29">
        <f t="shared" si="943"/>
        <v>45875.79166666435</v>
      </c>
      <c r="B958" s="30">
        <f t="shared" si="967"/>
        <v>5000</v>
      </c>
      <c r="C958" s="8">
        <v>25000</v>
      </c>
      <c r="D958" s="8">
        <v>0</v>
      </c>
      <c r="E958" s="8">
        <v>700</v>
      </c>
      <c r="F958" s="8">
        <v>15000</v>
      </c>
      <c r="G958" s="30">
        <f t="shared" si="968"/>
        <v>2400</v>
      </c>
      <c r="H958" s="8">
        <v>25000</v>
      </c>
      <c r="I958" s="30">
        <f t="shared" si="969"/>
        <v>5000</v>
      </c>
      <c r="J958" s="8">
        <v>25000</v>
      </c>
      <c r="K958" s="30">
        <f t="shared" si="970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14</v>
      </c>
      <c r="O958" s="9">
        <v>13.5</v>
      </c>
      <c r="P958" s="9">
        <v>19.5</v>
      </c>
      <c r="Q958" s="79">
        <f>VLOOKUP(VLOOKUP(DATEVALUE(TEXT(A958,"m/d/yyyy")),FY24_Temp[],5,FALSE)&amp;TEXT(A958,"-h"),Table6[],4,FALSE)</f>
        <v>2.2041428089141846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VLOOKUP(TEXT(A958,"yy-mm")&amp;"-"&amp;IF(AND(WEEKDAY(A958)&gt;1,WEEKDAY(A958)&lt;7),"Wkd",TEXT(A958,"Ddd"))&amp;"-"&amp;TEXT(A958,"hh"),LoadTable[],5,FALSE)*0.92</f>
        <v>521.92427999999995</v>
      </c>
      <c r="U958" s="104">
        <f>VLOOKUP(TEXT(A958,"yy-mm")&amp;"-"&amp;IF(AND(WEEKDAY(A958)&gt;1,WEEKDAY(A958)&lt;7),"Wkd",TEXT(A958,"Ddd"))&amp;"-"&amp;TEXT(A958,"hh"),LoadTable[],6,FALSE)*T958</f>
        <v>75540.188741520004</v>
      </c>
      <c r="V958">
        <f t="shared" ref="V958:W958" si="1005">V934</f>
        <v>3</v>
      </c>
      <c r="W958">
        <f t="shared" si="1005"/>
        <v>3</v>
      </c>
      <c r="X958" s="9">
        <v>-13.7352371166666</v>
      </c>
    </row>
    <row r="959" spans="1:24">
      <c r="A959" s="29">
        <f t="shared" si="943"/>
        <v>45875.833333331015</v>
      </c>
      <c r="B959" s="30">
        <f t="shared" si="967"/>
        <v>5000</v>
      </c>
      <c r="C959" s="8">
        <v>25000</v>
      </c>
      <c r="D959" s="8">
        <v>0</v>
      </c>
      <c r="E959" s="8">
        <v>700</v>
      </c>
      <c r="F959" s="8">
        <v>15000</v>
      </c>
      <c r="G959" s="30">
        <f t="shared" si="968"/>
        <v>2400</v>
      </c>
      <c r="H959" s="8">
        <v>25000</v>
      </c>
      <c r="I959" s="30">
        <f t="shared" si="969"/>
        <v>5000</v>
      </c>
      <c r="J959" s="8">
        <v>25000</v>
      </c>
      <c r="K959" s="30">
        <f t="shared" si="970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14</v>
      </c>
      <c r="O959" s="9">
        <v>13.5</v>
      </c>
      <c r="P959" s="9">
        <v>19.5</v>
      </c>
      <c r="Q959" s="79">
        <f>VLOOKUP(VLOOKUP(DATEVALUE(TEXT(A959,"m/d/yyyy")),FY24_Temp[],5,FALSE)&amp;TEXT(A959,"-h"),Table6[],4,FALSE)</f>
        <v>2.9597143105098178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VLOOKUP(TEXT(A959,"yy-mm")&amp;"-"&amp;IF(AND(WEEKDAY(A959)&gt;1,WEEKDAY(A959)&lt;7),"Wkd",TEXT(A959,"Ddd"))&amp;"-"&amp;TEXT(A959,"hh"),LoadTable[],5,FALSE)*0.92</f>
        <v>521.92427999999995</v>
      </c>
      <c r="U959" s="104">
        <f>VLOOKUP(TEXT(A959,"yy-mm")&amp;"-"&amp;IF(AND(WEEKDAY(A959)&gt;1,WEEKDAY(A959)&lt;7),"Wkd",TEXT(A959,"Ddd"))&amp;"-"&amp;TEXT(A959,"hh"),LoadTable[],6,FALSE)*T959</f>
        <v>69176.365995479995</v>
      </c>
      <c r="V959">
        <f t="shared" ref="V959:W959" si="1006">V935</f>
        <v>2.8</v>
      </c>
      <c r="W959">
        <f t="shared" si="1006"/>
        <v>3.1</v>
      </c>
      <c r="X959" s="9">
        <v>-13.8130316666666</v>
      </c>
    </row>
    <row r="960" spans="1:24">
      <c r="A960" s="29">
        <f t="shared" si="943"/>
        <v>45875.874999997679</v>
      </c>
      <c r="B960" s="30">
        <f t="shared" si="967"/>
        <v>5000</v>
      </c>
      <c r="C960" s="8">
        <v>25000</v>
      </c>
      <c r="D960" s="8">
        <v>0</v>
      </c>
      <c r="E960" s="8">
        <v>700</v>
      </c>
      <c r="F960" s="8">
        <v>15000</v>
      </c>
      <c r="G960" s="30">
        <f t="shared" si="968"/>
        <v>2400</v>
      </c>
      <c r="H960" s="8">
        <v>25000</v>
      </c>
      <c r="I960" s="30">
        <f t="shared" si="969"/>
        <v>5000</v>
      </c>
      <c r="J960" s="8">
        <v>25000</v>
      </c>
      <c r="K960" s="30">
        <f t="shared" si="970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14</v>
      </c>
      <c r="O960" s="9">
        <v>13.5</v>
      </c>
      <c r="P960" s="9">
        <v>19.5</v>
      </c>
      <c r="Q960" s="79">
        <f>VLOOKUP(VLOOKUP(DATEVALUE(TEXT(A960,"m/d/yyyy")),FY24_Temp[],5,FALSE)&amp;TEXT(A960,"-h"),Table6[],4,FALSE)</f>
        <v>3.2167142799922397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VLOOKUP(TEXT(A960,"yy-mm")&amp;"-"&amp;IF(AND(WEEKDAY(A960)&gt;1,WEEKDAY(A960)&lt;7),"Wkd",TEXT(A960,"Ddd"))&amp;"-"&amp;TEXT(A960,"hh"),LoadTable[],5,FALSE)*0.92</f>
        <v>521.92427999999995</v>
      </c>
      <c r="U960" s="104">
        <f>VLOOKUP(TEXT(A960,"yy-mm")&amp;"-"&amp;IF(AND(WEEKDAY(A960)&gt;1,WEEKDAY(A960)&lt;7),"Wkd",TEXT(A960,"Ddd"))&amp;"-"&amp;TEXT(A960,"hh"),LoadTable[],6,FALSE)*T960</f>
        <v>56417.405046599997</v>
      </c>
      <c r="V960">
        <f t="shared" ref="V960:W960" si="1007">V936</f>
        <v>3.5</v>
      </c>
      <c r="W960">
        <f t="shared" si="1007"/>
        <v>3.1</v>
      </c>
      <c r="X960" s="9">
        <v>-13.8908262166666</v>
      </c>
    </row>
    <row r="961" spans="1:24">
      <c r="A961" s="29">
        <f t="shared" si="943"/>
        <v>45875.916666664343</v>
      </c>
      <c r="B961" s="30">
        <f t="shared" si="967"/>
        <v>5000</v>
      </c>
      <c r="C961" s="8">
        <v>25000</v>
      </c>
      <c r="D961" s="8">
        <v>0</v>
      </c>
      <c r="E961" s="8">
        <v>700</v>
      </c>
      <c r="F961" s="8">
        <v>15000</v>
      </c>
      <c r="G961" s="30">
        <f t="shared" si="968"/>
        <v>2400</v>
      </c>
      <c r="H961" s="8">
        <v>25000</v>
      </c>
      <c r="I961" s="30">
        <f t="shared" si="969"/>
        <v>5000</v>
      </c>
      <c r="J961" s="8">
        <v>25000</v>
      </c>
      <c r="K961" s="30">
        <f t="shared" si="970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14</v>
      </c>
      <c r="O961" s="9">
        <v>13.5</v>
      </c>
      <c r="P961" s="9">
        <v>19.5</v>
      </c>
      <c r="Q961" s="79">
        <f>VLOOKUP(VLOOKUP(DATEVALUE(TEXT(A961,"m/d/yyyy")),FY24_Temp[],5,FALSE)&amp;TEXT(A961,"-h"),Table6[],4,FALSE)</f>
        <v>3.1878571510314941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VLOOKUP(TEXT(A961,"yy-mm")&amp;"-"&amp;IF(AND(WEEKDAY(A961)&gt;1,WEEKDAY(A961)&lt;7),"Wkd",TEXT(A961,"Ddd"))&amp;"-"&amp;TEXT(A961,"hh"),LoadTable[],5,FALSE)*0.92</f>
        <v>447.02432000000005</v>
      </c>
      <c r="U961" s="104">
        <f>VLOOKUP(TEXT(A961,"yy-mm")&amp;"-"&amp;IF(AND(WEEKDAY(A961)&gt;1,WEEKDAY(A961)&lt;7),"Wkd",TEXT(A961,"Ddd"))&amp;"-"&amp;TEXT(A961,"hh"),LoadTable[],6,FALSE)*T961</f>
        <v>29850.49599232</v>
      </c>
      <c r="V961">
        <f t="shared" ref="V961:W961" si="1008">V937</f>
        <v>2.9</v>
      </c>
      <c r="W961">
        <f t="shared" si="1008"/>
        <v>3.1</v>
      </c>
      <c r="X961" s="9">
        <v>-13.9686207666666</v>
      </c>
    </row>
    <row r="962" spans="1:24">
      <c r="A962" s="29">
        <f t="shared" si="943"/>
        <v>45875.958333331007</v>
      </c>
      <c r="B962" s="30">
        <f t="shared" si="967"/>
        <v>5000</v>
      </c>
      <c r="C962" s="8">
        <v>25000</v>
      </c>
      <c r="D962" s="8">
        <v>0</v>
      </c>
      <c r="E962" s="8">
        <v>700</v>
      </c>
      <c r="F962" s="8">
        <v>15000</v>
      </c>
      <c r="G962" s="30">
        <f t="shared" si="968"/>
        <v>2400</v>
      </c>
      <c r="H962" s="8">
        <v>25000</v>
      </c>
      <c r="I962" s="30">
        <f t="shared" si="969"/>
        <v>5000</v>
      </c>
      <c r="J962" s="8">
        <v>25000</v>
      </c>
      <c r="K962" s="30">
        <f t="shared" si="970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14</v>
      </c>
      <c r="O962" s="9">
        <v>13.5</v>
      </c>
      <c r="P962" s="9">
        <v>19.5</v>
      </c>
      <c r="Q962" s="79">
        <f>VLOOKUP(VLOOKUP(DATEVALUE(TEXT(A962,"m/d/yyyy")),FY24_Temp[],5,FALSE)&amp;TEXT(A962,"-h"),Table6[],4,FALSE)</f>
        <v>3.0497143268585205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VLOOKUP(TEXT(A962,"yy-mm")&amp;"-"&amp;IF(AND(WEEKDAY(A962)&gt;1,WEEKDAY(A962)&lt;7),"Wkd",TEXT(A962,"Ddd"))&amp;"-"&amp;TEXT(A962,"hh"),LoadTable[],5,FALSE)*0.92</f>
        <v>372.12436000000002</v>
      </c>
      <c r="U962" s="104">
        <f>VLOOKUP(TEXT(A962,"yy-mm")&amp;"-"&amp;IF(AND(WEEKDAY(A962)&gt;1,WEEKDAY(A962)&lt;7),"Wkd",TEXT(A962,"Ddd"))&amp;"-"&amp;TEXT(A962,"hh"),LoadTable[],6,FALSE)*T962</f>
        <v>22421.236938720001</v>
      </c>
      <c r="V962">
        <f t="shared" ref="V962:W962" si="1009">V938</f>
        <v>3.6</v>
      </c>
      <c r="W962">
        <f t="shared" si="1009"/>
        <v>3.1</v>
      </c>
      <c r="X962" s="9">
        <v>-14.0464153166666</v>
      </c>
    </row>
    <row r="963" spans="1:24">
      <c r="A963" s="29">
        <f t="shared" si="943"/>
        <v>45875.999999997672</v>
      </c>
      <c r="B963" s="30">
        <f t="shared" si="967"/>
        <v>5000</v>
      </c>
      <c r="C963" s="8">
        <v>25000</v>
      </c>
      <c r="D963" s="8">
        <v>0</v>
      </c>
      <c r="E963" s="8">
        <v>700</v>
      </c>
      <c r="F963" s="8">
        <v>15000</v>
      </c>
      <c r="G963" s="30">
        <f t="shared" si="968"/>
        <v>2400</v>
      </c>
      <c r="H963" s="8">
        <v>25000</v>
      </c>
      <c r="I963" s="30">
        <f t="shared" si="969"/>
        <v>5000</v>
      </c>
      <c r="J963" s="8">
        <v>25000</v>
      </c>
      <c r="K963" s="30">
        <f t="shared" si="970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14</v>
      </c>
      <c r="O963" s="9">
        <v>13.5</v>
      </c>
      <c r="P963" s="9">
        <v>19.5</v>
      </c>
      <c r="Q963" s="79">
        <f>VLOOKUP(VLOOKUP(DATEVALUE(TEXT(A963,"m/d/yyyy")),FY24_Temp[],5,FALSE)&amp;TEXT(A963,"-h"),Table6[],4,FALSE)</f>
        <v>2.9064285414559499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VLOOKUP(TEXT(A963,"yy-mm")&amp;"-"&amp;IF(AND(WEEKDAY(A963)&gt;1,WEEKDAY(A963)&lt;7),"Wkd",TEXT(A963,"Ddd"))&amp;"-"&amp;TEXT(A963,"hh"),LoadTable[],5,FALSE)*0.92</f>
        <v>297.2244</v>
      </c>
      <c r="U963" s="104">
        <f>VLOOKUP(TEXT(A963,"yy-mm")&amp;"-"&amp;IF(AND(WEEKDAY(A963)&gt;1,WEEKDAY(A963)&lt;7),"Wkd",TEXT(A963,"Ddd"))&amp;"-"&amp;TEXT(A963,"hh"),LoadTable[],6,FALSE)*T963</f>
        <v>17505.031038000001</v>
      </c>
      <c r="V963">
        <f t="shared" ref="V963:W963" si="1010">V939</f>
        <v>3</v>
      </c>
      <c r="W963">
        <f t="shared" si="1010"/>
        <v>3.2</v>
      </c>
      <c r="X963" s="9">
        <v>-14.1242098666666</v>
      </c>
    </row>
    <row r="964" spans="1:24">
      <c r="A964" s="29">
        <f t="shared" si="943"/>
        <v>45876.041666664336</v>
      </c>
      <c r="B964" s="30">
        <f t="shared" si="967"/>
        <v>5000</v>
      </c>
      <c r="C964" s="8">
        <v>25000</v>
      </c>
      <c r="D964" s="8">
        <v>0</v>
      </c>
      <c r="E964" s="8">
        <v>700</v>
      </c>
      <c r="F964" s="8">
        <v>15000</v>
      </c>
      <c r="G964" s="30">
        <f t="shared" si="968"/>
        <v>2400</v>
      </c>
      <c r="H964" s="8">
        <v>25000</v>
      </c>
      <c r="I964" s="30">
        <f t="shared" si="969"/>
        <v>5000</v>
      </c>
      <c r="J964" s="8">
        <v>25000</v>
      </c>
      <c r="K964" s="30">
        <f t="shared" si="970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14</v>
      </c>
      <c r="O964" s="9">
        <v>13.5</v>
      </c>
      <c r="P964" s="9">
        <v>19.5</v>
      </c>
      <c r="Q964" s="79">
        <f>VLOOKUP(VLOOKUP(DATEVALUE(TEXT(A964,"m/d/yyyy")),FY24_Temp[],5,FALSE)&amp;TEXT(A964,"-h"),Table6[],4,FALSE)</f>
        <v>2.7961428506033763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VLOOKUP(TEXT(A964,"yy-mm")&amp;"-"&amp;IF(AND(WEEKDAY(A964)&gt;1,WEEKDAY(A964)&lt;7),"Wkd",TEXT(A964,"Ddd"))&amp;"-"&amp;TEXT(A964,"hh"),LoadTable[],5,FALSE)*0.92</f>
        <v>295.12680000000006</v>
      </c>
      <c r="U964" s="104">
        <f>VLOOKUP(TEXT(A964,"yy-mm")&amp;"-"&amp;IF(AND(WEEKDAY(A964)&gt;1,WEEKDAY(A964)&lt;7),"Wkd",TEXT(A964,"Ddd"))&amp;"-"&amp;TEXT(A964,"hh"),LoadTable[],6,FALSE)*T964</f>
        <v>17131.225359600001</v>
      </c>
      <c r="V964">
        <f t="shared" ref="V964:W964" si="1011">V940</f>
        <v>2.6</v>
      </c>
      <c r="W964">
        <f t="shared" si="1011"/>
        <v>3.2</v>
      </c>
      <c r="X964" s="9">
        <v>-14.2020044166666</v>
      </c>
    </row>
    <row r="965" spans="1:24">
      <c r="A965" s="29">
        <f t="shared" ref="A965:A1028" si="1012">A964+TIME(1,0,0)</f>
        <v>45876.083333331</v>
      </c>
      <c r="B965" s="30">
        <f t="shared" si="967"/>
        <v>5000</v>
      </c>
      <c r="C965" s="8">
        <v>25000</v>
      </c>
      <c r="D965" s="8">
        <v>0</v>
      </c>
      <c r="E965" s="8">
        <v>700</v>
      </c>
      <c r="F965" s="8">
        <v>15000</v>
      </c>
      <c r="G965" s="30">
        <f t="shared" si="968"/>
        <v>2400</v>
      </c>
      <c r="H965" s="8">
        <v>25000</v>
      </c>
      <c r="I965" s="30">
        <f t="shared" si="969"/>
        <v>5000</v>
      </c>
      <c r="J965" s="8">
        <v>25000</v>
      </c>
      <c r="K965" s="30">
        <f t="shared" si="970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14</v>
      </c>
      <c r="O965" s="9">
        <v>13.5</v>
      </c>
      <c r="P965" s="9">
        <v>19.5</v>
      </c>
      <c r="Q965" s="79">
        <f>VLOOKUP(VLOOKUP(DATEVALUE(TEXT(A965,"m/d/yyyy")),FY24_Temp[],5,FALSE)&amp;TEXT(A965,"-h"),Table6[],4,FALSE)</f>
        <v>2.6915714400155202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VLOOKUP(TEXT(A965,"yy-mm")&amp;"-"&amp;IF(AND(WEEKDAY(A965)&gt;1,WEEKDAY(A965)&lt;7),"Wkd",TEXT(A965,"Ddd"))&amp;"-"&amp;TEXT(A965,"hh"),LoadTable[],5,FALSE)*0.92</f>
        <v>295.12680000000006</v>
      </c>
      <c r="U965" s="104">
        <f>VLOOKUP(TEXT(A965,"yy-mm")&amp;"-"&amp;IF(AND(WEEKDAY(A965)&gt;1,WEEKDAY(A965)&lt;7),"Wkd",TEXT(A965,"Ddd"))&amp;"-"&amp;TEXT(A965,"hh"),LoadTable[],6,FALSE)*T965</f>
        <v>16459.811889600001</v>
      </c>
      <c r="V965">
        <f t="shared" ref="V965:W965" si="1013">V941</f>
        <v>2.8</v>
      </c>
      <c r="W965">
        <f t="shared" si="1013"/>
        <v>3.2</v>
      </c>
      <c r="X965" s="9">
        <v>-14.279798966666601</v>
      </c>
    </row>
    <row r="966" spans="1:24">
      <c r="A966" s="29">
        <f t="shared" si="1012"/>
        <v>45876.124999997664</v>
      </c>
      <c r="B966" s="30">
        <f t="shared" si="967"/>
        <v>5000</v>
      </c>
      <c r="C966" s="8">
        <v>25000</v>
      </c>
      <c r="D966" s="8">
        <v>0</v>
      </c>
      <c r="E966" s="8">
        <v>700</v>
      </c>
      <c r="F966" s="8">
        <v>15000</v>
      </c>
      <c r="G966" s="30">
        <f t="shared" si="968"/>
        <v>2400</v>
      </c>
      <c r="H966" s="8">
        <v>25000</v>
      </c>
      <c r="I966" s="30">
        <f t="shared" si="969"/>
        <v>5000</v>
      </c>
      <c r="J966" s="8">
        <v>25000</v>
      </c>
      <c r="K966" s="30">
        <f t="shared" si="970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14</v>
      </c>
      <c r="O966" s="9">
        <v>13.5</v>
      </c>
      <c r="P966" s="9">
        <v>19.5</v>
      </c>
      <c r="Q966" s="79">
        <f>VLOOKUP(VLOOKUP(DATEVALUE(TEXT(A966,"m/d/yyyy")),FY24_Temp[],5,FALSE)&amp;TEXT(A966,"-h"),Table6[],4,FALSE)</f>
        <v>2.5627142701830183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VLOOKUP(TEXT(A966,"yy-mm")&amp;"-"&amp;IF(AND(WEEKDAY(A966)&gt;1,WEEKDAY(A966)&lt;7),"Wkd",TEXT(A966,"Ddd"))&amp;"-"&amp;TEXT(A966,"hh"),LoadTable[],5,FALSE)*0.92</f>
        <v>295.12680000000006</v>
      </c>
      <c r="U966" s="104">
        <f>VLOOKUP(TEXT(A966,"yy-mm")&amp;"-"&amp;IF(AND(WEEKDAY(A966)&gt;1,WEEKDAY(A966)&lt;7),"Wkd",TEXT(A966,"Ddd"))&amp;"-"&amp;TEXT(A966,"hh"),LoadTable[],6,FALSE)*T966</f>
        <v>16610.326557600001</v>
      </c>
      <c r="V966">
        <f t="shared" ref="V966:W966" si="1014">V942</f>
        <v>2.7</v>
      </c>
      <c r="W966">
        <f t="shared" si="1014"/>
        <v>3.2</v>
      </c>
      <c r="X966" s="9">
        <v>-14.357593516666601</v>
      </c>
    </row>
    <row r="967" spans="1:24">
      <c r="A967" s="29">
        <f t="shared" si="1012"/>
        <v>45876.166666664329</v>
      </c>
      <c r="B967" s="30">
        <f t="shared" si="967"/>
        <v>5000</v>
      </c>
      <c r="C967" s="8">
        <v>25000</v>
      </c>
      <c r="D967" s="8">
        <v>0</v>
      </c>
      <c r="E967" s="8">
        <v>700</v>
      </c>
      <c r="F967" s="8">
        <v>15000</v>
      </c>
      <c r="G967" s="30">
        <f t="shared" si="968"/>
        <v>2400</v>
      </c>
      <c r="H967" s="8">
        <v>25000</v>
      </c>
      <c r="I967" s="30">
        <f t="shared" si="969"/>
        <v>5000</v>
      </c>
      <c r="J967" s="8">
        <v>25000</v>
      </c>
      <c r="K967" s="30">
        <f t="shared" si="970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14</v>
      </c>
      <c r="O967" s="9">
        <v>13.5</v>
      </c>
      <c r="P967" s="9">
        <v>19.5</v>
      </c>
      <c r="Q967" s="79">
        <f>VLOOKUP(VLOOKUP(DATEVALUE(TEXT(A967,"m/d/yyyy")),FY24_Temp[],5,FALSE)&amp;TEXT(A967,"-h"),Table6[],4,FALSE)</f>
        <v>2.3978571210588728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VLOOKUP(TEXT(A967,"yy-mm")&amp;"-"&amp;IF(AND(WEEKDAY(A967)&gt;1,WEEKDAY(A967)&lt;7),"Wkd",TEXT(A967,"Ddd"))&amp;"-"&amp;TEXT(A967,"hh"),LoadTable[],5,FALSE)*0.92</f>
        <v>295.12680000000006</v>
      </c>
      <c r="U967" s="104">
        <f>VLOOKUP(TEXT(A967,"yy-mm")&amp;"-"&amp;IF(AND(WEEKDAY(A967)&gt;1,WEEKDAY(A967)&lt;7),"Wkd",TEXT(A967,"Ddd"))&amp;"-"&amp;TEXT(A967,"hh"),LoadTable[],6,FALSE)*T967</f>
        <v>16544.513281200001</v>
      </c>
      <c r="V967">
        <f t="shared" ref="V967:W967" si="1015">V943</f>
        <v>3</v>
      </c>
      <c r="W967">
        <f t="shared" si="1015"/>
        <v>3.1</v>
      </c>
      <c r="X967" s="9">
        <v>-14.435388066666601</v>
      </c>
    </row>
    <row r="968" spans="1:24">
      <c r="A968" s="29">
        <f t="shared" si="1012"/>
        <v>45876.208333330993</v>
      </c>
      <c r="B968" s="30">
        <f t="shared" si="967"/>
        <v>5000</v>
      </c>
      <c r="C968" s="8">
        <v>25000</v>
      </c>
      <c r="D968" s="8">
        <v>0</v>
      </c>
      <c r="E968" s="8">
        <v>700</v>
      </c>
      <c r="F968" s="8">
        <v>15000</v>
      </c>
      <c r="G968" s="30">
        <f t="shared" si="968"/>
        <v>2400</v>
      </c>
      <c r="H968" s="8">
        <v>25000</v>
      </c>
      <c r="I968" s="30">
        <f t="shared" si="969"/>
        <v>5000</v>
      </c>
      <c r="J968" s="8">
        <v>25000</v>
      </c>
      <c r="K968" s="30">
        <f t="shared" si="970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14</v>
      </c>
      <c r="O968" s="9">
        <v>13.5</v>
      </c>
      <c r="P968" s="9">
        <v>19.5</v>
      </c>
      <c r="Q968" s="79">
        <f>VLOOKUP(VLOOKUP(DATEVALUE(TEXT(A968,"m/d/yyyy")),FY24_Temp[],5,FALSE)&amp;TEXT(A968,"-h"),Table6[],4,FALSE)</f>
        <v>2.2397142818995883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VLOOKUP(TEXT(A968,"yy-mm")&amp;"-"&amp;IF(AND(WEEKDAY(A968)&gt;1,WEEKDAY(A968)&lt;7),"Wkd",TEXT(A968,"Ddd"))&amp;"-"&amp;TEXT(A968,"hh"),LoadTable[],5,FALSE)*0.92</f>
        <v>295.12680000000006</v>
      </c>
      <c r="U968" s="104">
        <f>VLOOKUP(TEXT(A968,"yy-mm")&amp;"-"&amp;IF(AND(WEEKDAY(A968)&gt;1,WEEKDAY(A968)&lt;7),"Wkd",TEXT(A968,"Ddd"))&amp;"-"&amp;TEXT(A968,"hh"),LoadTable[],6,FALSE)*T968</f>
        <v>17128.569218400004</v>
      </c>
      <c r="V968">
        <f t="shared" ref="V968:W968" si="1016">V944</f>
        <v>2.9</v>
      </c>
      <c r="W968">
        <f t="shared" si="1016"/>
        <v>3.1</v>
      </c>
      <c r="X968" s="9">
        <v>-14.513182616666599</v>
      </c>
    </row>
    <row r="969" spans="1:24">
      <c r="A969" s="29">
        <f t="shared" si="1012"/>
        <v>45876.249999997657</v>
      </c>
      <c r="B969" s="30">
        <f t="shared" si="967"/>
        <v>8000</v>
      </c>
      <c r="C969" s="8">
        <v>25000</v>
      </c>
      <c r="D969" s="8">
        <v>0</v>
      </c>
      <c r="E969" s="8">
        <v>700</v>
      </c>
      <c r="F969" s="8">
        <v>15000</v>
      </c>
      <c r="G969" s="30">
        <f t="shared" si="968"/>
        <v>2400</v>
      </c>
      <c r="H969" s="8">
        <v>25000</v>
      </c>
      <c r="I969" s="30">
        <f t="shared" si="969"/>
        <v>8000</v>
      </c>
      <c r="J969" s="8">
        <v>25000</v>
      </c>
      <c r="K969" s="30">
        <f t="shared" si="970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14</v>
      </c>
      <c r="O969" s="9">
        <v>13.5</v>
      </c>
      <c r="P969" s="9">
        <v>19.5</v>
      </c>
      <c r="Q969" s="79">
        <f>VLOOKUP(VLOOKUP(DATEVALUE(TEXT(A969,"m/d/yyyy")),FY24_Temp[],5,FALSE)&amp;TEXT(A969,"-h"),Table6[],4,FALSE)</f>
        <v>2.1271428721291676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VLOOKUP(TEXT(A969,"yy-mm")&amp;"-"&amp;IF(AND(WEEKDAY(A969)&gt;1,WEEKDAY(A969)&lt;7),"Wkd",TEXT(A969,"Ddd"))&amp;"-"&amp;TEXT(A969,"hh"),LoadTable[],5,FALSE)*0.92</f>
        <v>295.12680000000006</v>
      </c>
      <c r="U969" s="104">
        <f>VLOOKUP(TEXT(A969,"yy-mm")&amp;"-"&amp;IF(AND(WEEKDAY(A969)&gt;1,WEEKDAY(A969)&lt;7),"Wkd",TEXT(A969,"Ddd"))&amp;"-"&amp;TEXT(A969,"hh"),LoadTable[],6,FALSE)*T969</f>
        <v>20766.892408800006</v>
      </c>
      <c r="V969">
        <f t="shared" ref="V969:W969" si="1017">V945</f>
        <v>2.5</v>
      </c>
      <c r="W969">
        <f t="shared" si="1017"/>
        <v>3.1</v>
      </c>
      <c r="X969" s="9">
        <v>-14.590977166666599</v>
      </c>
    </row>
    <row r="970" spans="1:24">
      <c r="A970" s="29">
        <f t="shared" si="1012"/>
        <v>45876.291666664321</v>
      </c>
      <c r="B970" s="30">
        <f t="shared" si="967"/>
        <v>8000</v>
      </c>
      <c r="C970" s="8">
        <v>25000</v>
      </c>
      <c r="D970" s="8">
        <v>0</v>
      </c>
      <c r="E970" s="8">
        <v>700</v>
      </c>
      <c r="F970" s="8">
        <v>15000</v>
      </c>
      <c r="G970" s="30">
        <f t="shared" si="968"/>
        <v>2400</v>
      </c>
      <c r="H970" s="8">
        <v>25000</v>
      </c>
      <c r="I970" s="30">
        <f t="shared" si="969"/>
        <v>8000</v>
      </c>
      <c r="J970" s="8">
        <v>25000</v>
      </c>
      <c r="K970" s="30">
        <f t="shared" si="970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14</v>
      </c>
      <c r="O970" s="9">
        <v>13.5</v>
      </c>
      <c r="P970" s="9">
        <v>19.5</v>
      </c>
      <c r="Q970" s="79">
        <f>VLOOKUP(VLOOKUP(DATEVALUE(TEXT(A970,"m/d/yyyy")),FY24_Temp[],5,FALSE)&amp;TEXT(A970,"-h"),Table6[],4,FALSE)</f>
        <v>2.0365714345659529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VLOOKUP(TEXT(A970,"yy-mm")&amp;"-"&amp;IF(AND(WEEKDAY(A970)&gt;1,WEEKDAY(A970)&lt;7),"Wkd",TEXT(A970,"Ddd"))&amp;"-"&amp;TEXT(A970,"hh"),LoadTable[],5,FALSE)*0.92</f>
        <v>295.12680000000006</v>
      </c>
      <c r="U970" s="104">
        <f>VLOOKUP(TEXT(A970,"yy-mm")&amp;"-"&amp;IF(AND(WEEKDAY(A970)&gt;1,WEEKDAY(A970)&lt;7),"Wkd",TEXT(A970,"Ddd"))&amp;"-"&amp;TEXT(A970,"hh"),LoadTable[],6,FALSE)*T970</f>
        <v>19169.666167200001</v>
      </c>
      <c r="V970">
        <f t="shared" ref="V970:W970" si="1018">V946</f>
        <v>2.5</v>
      </c>
      <c r="W970">
        <f t="shared" si="1018"/>
        <v>3.1</v>
      </c>
      <c r="X970" s="9">
        <v>-14.668771716666599</v>
      </c>
    </row>
    <row r="971" spans="1:24">
      <c r="A971" s="29">
        <f t="shared" si="1012"/>
        <v>45876.333333330986</v>
      </c>
      <c r="B971" s="30">
        <f t="shared" si="967"/>
        <v>8000</v>
      </c>
      <c r="C971" s="8">
        <v>25000</v>
      </c>
      <c r="D971" s="8">
        <v>0</v>
      </c>
      <c r="E971" s="8">
        <v>700</v>
      </c>
      <c r="F971" s="8">
        <v>15000</v>
      </c>
      <c r="G971" s="30">
        <f t="shared" si="968"/>
        <v>2400</v>
      </c>
      <c r="H971" s="8">
        <v>25000</v>
      </c>
      <c r="I971" s="30">
        <f t="shared" si="969"/>
        <v>8000</v>
      </c>
      <c r="J971" s="8">
        <v>25000</v>
      </c>
      <c r="K971" s="30">
        <f t="shared" si="970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14</v>
      </c>
      <c r="O971" s="9">
        <v>13.5</v>
      </c>
      <c r="P971" s="9">
        <v>19.5</v>
      </c>
      <c r="Q971" s="79">
        <f>VLOOKUP(VLOOKUP(DATEVALUE(TEXT(A971,"m/d/yyyy")),FY24_Temp[],5,FALSE)&amp;TEXT(A971,"-h"),Table6[],4,FALSE)</f>
        <v>1.9252857310431344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VLOOKUP(TEXT(A971,"yy-mm")&amp;"-"&amp;IF(AND(WEEKDAY(A971)&gt;1,WEEKDAY(A971)&lt;7),"Wkd",TEXT(A971,"Ddd"))&amp;"-"&amp;TEXT(A971,"hh"),LoadTable[],5,FALSE)*0.92</f>
        <v>295.12680000000006</v>
      </c>
      <c r="U971" s="104">
        <f>VLOOKUP(TEXT(A971,"yy-mm")&amp;"-"&amp;IF(AND(WEEKDAY(A971)&gt;1,WEEKDAY(A971)&lt;7),"Wkd",TEXT(A971,"Ddd"))&amp;"-"&amp;TEXT(A971,"hh"),LoadTable[],6,FALSE)*T971</f>
        <v>15860.999612400004</v>
      </c>
      <c r="V971">
        <f t="shared" ref="V971:W971" si="1019">V947</f>
        <v>3.2</v>
      </c>
      <c r="W971">
        <f t="shared" si="1019"/>
        <v>3</v>
      </c>
      <c r="X971" s="9">
        <v>-14.7465662666666</v>
      </c>
    </row>
    <row r="972" spans="1:24">
      <c r="A972" s="29">
        <f t="shared" si="1012"/>
        <v>45876.37499999765</v>
      </c>
      <c r="B972" s="30">
        <f t="shared" si="967"/>
        <v>8000</v>
      </c>
      <c r="C972" s="8">
        <v>25000</v>
      </c>
      <c r="D972" s="8">
        <v>0</v>
      </c>
      <c r="E972" s="8">
        <v>700</v>
      </c>
      <c r="F972" s="8">
        <v>15000</v>
      </c>
      <c r="G972" s="30">
        <f t="shared" si="968"/>
        <v>2400</v>
      </c>
      <c r="H972" s="8">
        <v>25000</v>
      </c>
      <c r="I972" s="30">
        <f t="shared" si="969"/>
        <v>8000</v>
      </c>
      <c r="J972" s="8">
        <v>25000</v>
      </c>
      <c r="K972" s="30">
        <f t="shared" si="970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14</v>
      </c>
      <c r="O972" s="9">
        <v>13.5</v>
      </c>
      <c r="P972" s="9">
        <v>19.5</v>
      </c>
      <c r="Q972" s="79">
        <f>VLOOKUP(VLOOKUP(DATEVALUE(TEXT(A972,"m/d/yyyy")),FY24_Temp[],5,FALSE)&amp;TEXT(A972,"-h"),Table6[],4,FALSE)</f>
        <v>1.824714285986764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VLOOKUP(TEXT(A972,"yy-mm")&amp;"-"&amp;IF(AND(WEEKDAY(A972)&gt;1,WEEKDAY(A972)&lt;7),"Wkd",TEXT(A972,"Ddd"))&amp;"-"&amp;TEXT(A972,"hh"),LoadTable[],5,FALSE)*0.92</f>
        <v>295.12680000000006</v>
      </c>
      <c r="U972" s="104">
        <f>VLOOKUP(TEXT(A972,"yy-mm")&amp;"-"&amp;IF(AND(WEEKDAY(A972)&gt;1,WEEKDAY(A972)&lt;7),"Wkd",TEXT(A972,"Ddd"))&amp;"-"&amp;TEXT(A972,"hh"),LoadTable[],6,FALSE)*T972</f>
        <v>15713.436212400004</v>
      </c>
      <c r="V972">
        <f t="shared" ref="V972:W972" si="1020">V948</f>
        <v>2.9</v>
      </c>
      <c r="W972">
        <f t="shared" si="1020"/>
        <v>3</v>
      </c>
      <c r="X972" s="9">
        <v>-14.8243608166666</v>
      </c>
    </row>
    <row r="973" spans="1:24">
      <c r="A973" s="29">
        <f t="shared" si="1012"/>
        <v>45876.416666664314</v>
      </c>
      <c r="B973" s="30">
        <f t="shared" si="967"/>
        <v>8000</v>
      </c>
      <c r="C973" s="8">
        <v>25000</v>
      </c>
      <c r="D973" s="8">
        <v>0</v>
      </c>
      <c r="E973" s="8">
        <v>700</v>
      </c>
      <c r="F973" s="8">
        <v>15000</v>
      </c>
      <c r="G973" s="30">
        <f t="shared" si="968"/>
        <v>2400</v>
      </c>
      <c r="H973" s="8">
        <v>25000</v>
      </c>
      <c r="I973" s="30">
        <f t="shared" si="969"/>
        <v>8000</v>
      </c>
      <c r="J973" s="8">
        <v>25000</v>
      </c>
      <c r="K973" s="30">
        <f t="shared" si="970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14</v>
      </c>
      <c r="O973" s="9">
        <v>13.5</v>
      </c>
      <c r="P973" s="9">
        <v>19.5</v>
      </c>
      <c r="Q973" s="79">
        <f>VLOOKUP(VLOOKUP(DATEVALUE(TEXT(A973,"m/d/yyyy")),FY24_Temp[],5,FALSE)&amp;TEXT(A973,"-h"),Table6[],4,FALSE)</f>
        <v>1.7312857082911901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VLOOKUP(TEXT(A973,"yy-mm")&amp;"-"&amp;IF(AND(WEEKDAY(A973)&gt;1,WEEKDAY(A973)&lt;7),"Wkd",TEXT(A973,"Ddd"))&amp;"-"&amp;TEXT(A973,"hh"),LoadTable[],5,FALSE)*0.92</f>
        <v>295.12680000000006</v>
      </c>
      <c r="U973" s="104">
        <f>VLOOKUP(TEXT(A973,"yy-mm")&amp;"-"&amp;IF(AND(WEEKDAY(A973)&gt;1,WEEKDAY(A973)&lt;7),"Wkd",TEXT(A973,"Ddd"))&amp;"-"&amp;TEXT(A973,"hh"),LoadTable[],6,FALSE)*T973</f>
        <v>14369.723892000002</v>
      </c>
      <c r="V973">
        <f t="shared" ref="V973:W973" si="1021">V949</f>
        <v>2.9</v>
      </c>
      <c r="W973">
        <f t="shared" si="1021"/>
        <v>3</v>
      </c>
      <c r="X973" s="9">
        <v>-14.9021553666666</v>
      </c>
    </row>
    <row r="974" spans="1:24">
      <c r="A974" s="29">
        <f t="shared" si="1012"/>
        <v>45876.458333330978</v>
      </c>
      <c r="B974" s="30">
        <f t="shared" si="967"/>
        <v>8000</v>
      </c>
      <c r="C974" s="8">
        <v>25000</v>
      </c>
      <c r="D974" s="8">
        <v>0</v>
      </c>
      <c r="E974" s="8">
        <v>700</v>
      </c>
      <c r="F974" s="8">
        <v>15000</v>
      </c>
      <c r="G974" s="30">
        <f t="shared" si="968"/>
        <v>2400</v>
      </c>
      <c r="H974" s="8">
        <v>25000</v>
      </c>
      <c r="I974" s="30">
        <f t="shared" si="969"/>
        <v>8000</v>
      </c>
      <c r="J974" s="8">
        <v>25000</v>
      </c>
      <c r="K974" s="30">
        <f t="shared" si="970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14</v>
      </c>
      <c r="O974" s="9">
        <v>13.5</v>
      </c>
      <c r="P974" s="9">
        <v>19.5</v>
      </c>
      <c r="Q974" s="79">
        <f>VLOOKUP(VLOOKUP(DATEVALUE(TEXT(A974,"m/d/yyyy")),FY24_Temp[],5,FALSE)&amp;TEXT(A974,"-h"),Table6[],4,FALSE)</f>
        <v>1.6252857276371546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VLOOKUP(TEXT(A974,"yy-mm")&amp;"-"&amp;IF(AND(WEEKDAY(A974)&gt;1,WEEKDAY(A974)&lt;7),"Wkd",TEXT(A974,"Ddd"))&amp;"-"&amp;TEXT(A974,"hh"),LoadTable[],5,FALSE)*0.92</f>
        <v>295.12680000000006</v>
      </c>
      <c r="U974" s="104">
        <f>VLOOKUP(TEXT(A974,"yy-mm")&amp;"-"&amp;IF(AND(WEEKDAY(A974)&gt;1,WEEKDAY(A974)&lt;7),"Wkd",TEXT(A974,"Ddd"))&amp;"-"&amp;TEXT(A974,"hh"),LoadTable[],6,FALSE)*T974</f>
        <v>14137.459100400003</v>
      </c>
      <c r="V974">
        <f t="shared" ref="V974:W974" si="1022">V950</f>
        <v>3.4</v>
      </c>
      <c r="W974">
        <f t="shared" si="1022"/>
        <v>3</v>
      </c>
      <c r="X974" s="9">
        <v>-14.9799499166666</v>
      </c>
    </row>
    <row r="975" spans="1:24">
      <c r="A975" s="29">
        <f t="shared" si="1012"/>
        <v>45876.499999997643</v>
      </c>
      <c r="B975" s="30">
        <f t="shared" si="967"/>
        <v>8000</v>
      </c>
      <c r="C975" s="8">
        <v>25000</v>
      </c>
      <c r="D975" s="8">
        <v>0</v>
      </c>
      <c r="E975" s="8">
        <v>700</v>
      </c>
      <c r="F975" s="8">
        <v>15000</v>
      </c>
      <c r="G975" s="30">
        <f t="shared" si="968"/>
        <v>2400</v>
      </c>
      <c r="H975" s="8">
        <v>25000</v>
      </c>
      <c r="I975" s="30">
        <f t="shared" si="969"/>
        <v>8000</v>
      </c>
      <c r="J975" s="8">
        <v>25000</v>
      </c>
      <c r="K975" s="30">
        <f t="shared" si="970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14</v>
      </c>
      <c r="O975" s="9">
        <v>13.5</v>
      </c>
      <c r="P975" s="9">
        <v>19.5</v>
      </c>
      <c r="Q975" s="79">
        <f>VLOOKUP(VLOOKUP(DATEVALUE(TEXT(A975,"m/d/yyyy")),FY24_Temp[],5,FALSE)&amp;TEXT(A975,"-h"),Table6[],4,FALSE)</f>
        <v>1.4844285760607039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VLOOKUP(TEXT(A975,"yy-mm")&amp;"-"&amp;IF(AND(WEEKDAY(A975)&gt;1,WEEKDAY(A975)&lt;7),"Wkd",TEXT(A975,"Ddd"))&amp;"-"&amp;TEXT(A975,"hh"),LoadTable[],5,FALSE)*0.92</f>
        <v>295.12680000000006</v>
      </c>
      <c r="U975" s="104">
        <f>VLOOKUP(TEXT(A975,"yy-mm")&amp;"-"&amp;IF(AND(WEEKDAY(A975)&gt;1,WEEKDAY(A975)&lt;7),"Wkd",TEXT(A975,"Ddd"))&amp;"-"&amp;TEXT(A975,"hh"),LoadTable[],6,FALSE)*T975</f>
        <v>14242.819368000002</v>
      </c>
      <c r="V975">
        <f t="shared" ref="V975:W975" si="1023">V951</f>
        <v>3.1</v>
      </c>
      <c r="W975">
        <f t="shared" si="1023"/>
        <v>2.9</v>
      </c>
      <c r="X975" s="9">
        <v>-15.0577444666666</v>
      </c>
    </row>
    <row r="976" spans="1:24">
      <c r="A976" s="29">
        <f t="shared" si="1012"/>
        <v>45876.541666664307</v>
      </c>
      <c r="B976" s="30">
        <f t="shared" si="967"/>
        <v>8000</v>
      </c>
      <c r="C976" s="8">
        <v>25000</v>
      </c>
      <c r="D976" s="8">
        <v>0</v>
      </c>
      <c r="E976" s="8">
        <v>700</v>
      </c>
      <c r="F976" s="8">
        <v>15000</v>
      </c>
      <c r="G976" s="30">
        <f t="shared" si="968"/>
        <v>2400</v>
      </c>
      <c r="H976" s="8">
        <v>25000</v>
      </c>
      <c r="I976" s="30">
        <f t="shared" si="969"/>
        <v>8000</v>
      </c>
      <c r="J976" s="8">
        <v>25000</v>
      </c>
      <c r="K976" s="30">
        <f t="shared" si="970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14</v>
      </c>
      <c r="O976" s="9">
        <v>13.5</v>
      </c>
      <c r="P976" s="9">
        <v>19.5</v>
      </c>
      <c r="Q976" s="79">
        <f>VLOOKUP(VLOOKUP(DATEVALUE(TEXT(A976,"m/d/yyyy")),FY24_Temp[],5,FALSE)&amp;TEXT(A976,"-h"),Table6[],4,FALSE)</f>
        <v>1.3144285849162511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VLOOKUP(TEXT(A976,"yy-mm")&amp;"-"&amp;IF(AND(WEEKDAY(A976)&gt;1,WEEKDAY(A976)&lt;7),"Wkd",TEXT(A976,"Ddd"))&amp;"-"&amp;TEXT(A976,"hh"),LoadTable[],5,FALSE)*0.92</f>
        <v>295.12680000000006</v>
      </c>
      <c r="U976" s="104">
        <f>VLOOKUP(TEXT(A976,"yy-mm")&amp;"-"&amp;IF(AND(WEEKDAY(A976)&gt;1,WEEKDAY(A976)&lt;7),"Wkd",TEXT(A976,"Ddd"))&amp;"-"&amp;TEXT(A976,"hh"),LoadTable[],6,FALSE)*T976</f>
        <v>16280.669922000003</v>
      </c>
      <c r="V976">
        <f t="shared" ref="V976:W976" si="1024">V952</f>
        <v>3.2</v>
      </c>
      <c r="W976">
        <f t="shared" si="1024"/>
        <v>2.9</v>
      </c>
      <c r="X976" s="9">
        <v>-15.1355390166666</v>
      </c>
    </row>
    <row r="977" spans="1:24">
      <c r="A977" s="29">
        <f t="shared" si="1012"/>
        <v>45876.583333330971</v>
      </c>
      <c r="B977" s="30">
        <f t="shared" si="967"/>
        <v>8000</v>
      </c>
      <c r="C977" s="8">
        <v>25000</v>
      </c>
      <c r="D977" s="8">
        <v>0</v>
      </c>
      <c r="E977" s="8">
        <v>700</v>
      </c>
      <c r="F977" s="8">
        <v>15000</v>
      </c>
      <c r="G977" s="30">
        <f t="shared" si="968"/>
        <v>2400</v>
      </c>
      <c r="H977" s="8">
        <v>25000</v>
      </c>
      <c r="I977" s="30">
        <f t="shared" si="969"/>
        <v>8000</v>
      </c>
      <c r="J977" s="8">
        <v>25000</v>
      </c>
      <c r="K977" s="30">
        <f t="shared" si="970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14</v>
      </c>
      <c r="O977" s="9">
        <v>13.5</v>
      </c>
      <c r="P977" s="9">
        <v>19.5</v>
      </c>
      <c r="Q977" s="79">
        <f>VLOOKUP(VLOOKUP(DATEVALUE(TEXT(A977,"m/d/yyyy")),FY24_Temp[],5,FALSE)&amp;TEXT(A977,"-h"),Table6[],4,FALSE)</f>
        <v>1.131428565297808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VLOOKUP(TEXT(A977,"yy-mm")&amp;"-"&amp;IF(AND(WEEKDAY(A977)&gt;1,WEEKDAY(A977)&lt;7),"Wkd",TEXT(A977,"Ddd"))&amp;"-"&amp;TEXT(A977,"hh"),LoadTable[],5,FALSE)*0.92</f>
        <v>402.08416</v>
      </c>
      <c r="U977" s="104">
        <f>VLOOKUP(TEXT(A977,"yy-mm")&amp;"-"&amp;IF(AND(WEEKDAY(A977)&gt;1,WEEKDAY(A977)&lt;7),"Wkd",TEXT(A977,"Ddd"))&amp;"-"&amp;TEXT(A977,"hh"),LoadTable[],6,FALSE)*T977</f>
        <v>27023.674309440001</v>
      </c>
      <c r="V977">
        <f t="shared" ref="V977:W977" si="1025">V953</f>
        <v>3.5</v>
      </c>
      <c r="W977">
        <f t="shared" si="1025"/>
        <v>2.9</v>
      </c>
      <c r="X977" s="9">
        <v>-15.2133335666666</v>
      </c>
    </row>
    <row r="978" spans="1:24">
      <c r="A978" s="29">
        <f t="shared" si="1012"/>
        <v>45876.624999997635</v>
      </c>
      <c r="B978" s="30">
        <f t="shared" si="967"/>
        <v>8000</v>
      </c>
      <c r="C978" s="8">
        <v>25000</v>
      </c>
      <c r="D978" s="8">
        <v>0</v>
      </c>
      <c r="E978" s="8">
        <v>700</v>
      </c>
      <c r="F978" s="8">
        <v>15000</v>
      </c>
      <c r="G978" s="30">
        <f t="shared" si="968"/>
        <v>2400</v>
      </c>
      <c r="H978" s="8">
        <v>25000</v>
      </c>
      <c r="I978" s="30">
        <f t="shared" si="969"/>
        <v>8000</v>
      </c>
      <c r="J978" s="8">
        <v>25000</v>
      </c>
      <c r="K978" s="30">
        <f t="shared" si="970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14</v>
      </c>
      <c r="O978" s="9">
        <v>13.5</v>
      </c>
      <c r="P978" s="9">
        <v>19.5</v>
      </c>
      <c r="Q978" s="79">
        <f>VLOOKUP(VLOOKUP(DATEVALUE(TEXT(A978,"m/d/yyyy")),FY24_Temp[],5,FALSE)&amp;TEXT(A978,"-h"),Table6[],4,FALSE)</f>
        <v>0.96828571387699669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VLOOKUP(TEXT(A978,"yy-mm")&amp;"-"&amp;IF(AND(WEEKDAY(A978)&gt;1,WEEKDAY(A978)&lt;7),"Wkd",TEXT(A978,"Ddd"))&amp;"-"&amp;TEXT(A978,"hh"),LoadTable[],5,FALSE)*0.92</f>
        <v>521.92427999999995</v>
      </c>
      <c r="U978" s="104">
        <f>VLOOKUP(TEXT(A978,"yy-mm")&amp;"-"&amp;IF(AND(WEEKDAY(A978)&gt;1,WEEKDAY(A978)&lt;7),"Wkd",TEXT(A978,"Ddd"))&amp;"-"&amp;TEXT(A978,"hh"),LoadTable[],6,FALSE)*T978</f>
        <v>38276.36092236</v>
      </c>
      <c r="V978">
        <f t="shared" ref="V978:W978" si="1026">V954</f>
        <v>3.2</v>
      </c>
      <c r="W978">
        <f t="shared" si="1026"/>
        <v>2.9</v>
      </c>
      <c r="X978" s="9">
        <v>-15.2911281166666</v>
      </c>
    </row>
    <row r="979" spans="1:24">
      <c r="A979" s="29">
        <f t="shared" si="1012"/>
        <v>45876.6666666643</v>
      </c>
      <c r="B979" s="30">
        <f t="shared" si="967"/>
        <v>8000</v>
      </c>
      <c r="C979" s="8">
        <v>25000</v>
      </c>
      <c r="D979" s="8">
        <v>0</v>
      </c>
      <c r="E979" s="8">
        <v>700</v>
      </c>
      <c r="F979" s="8">
        <v>15000</v>
      </c>
      <c r="G979" s="30">
        <f t="shared" si="968"/>
        <v>2400</v>
      </c>
      <c r="H979" s="8">
        <v>25000</v>
      </c>
      <c r="I979" s="30">
        <f t="shared" si="969"/>
        <v>8000</v>
      </c>
      <c r="J979" s="8">
        <v>25000</v>
      </c>
      <c r="K979" s="30">
        <f t="shared" si="970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14</v>
      </c>
      <c r="O979" s="9">
        <v>13.5</v>
      </c>
      <c r="P979" s="9">
        <v>19.5</v>
      </c>
      <c r="Q979" s="79">
        <f>VLOOKUP(VLOOKUP(DATEVALUE(TEXT(A979,"m/d/yyyy")),FY24_Temp[],5,FALSE)&amp;TEXT(A979,"-h"),Table6[],4,FALSE)</f>
        <v>0.89385713849748882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VLOOKUP(TEXT(A979,"yy-mm")&amp;"-"&amp;IF(AND(WEEKDAY(A979)&gt;1,WEEKDAY(A979)&lt;7),"Wkd",TEXT(A979,"Ddd"))&amp;"-"&amp;TEXT(A979,"hh"),LoadTable[],5,FALSE)*0.92</f>
        <v>521.92427999999995</v>
      </c>
      <c r="U979" s="104">
        <f>VLOOKUP(TEXT(A979,"yy-mm")&amp;"-"&amp;IF(AND(WEEKDAY(A979)&gt;1,WEEKDAY(A979)&lt;7),"Wkd",TEXT(A979,"Ddd"))&amp;"-"&amp;TEXT(A979,"hh"),LoadTable[],6,FALSE)*T979</f>
        <v>45879.753833399998</v>
      </c>
      <c r="V979">
        <f t="shared" ref="V979:W979" si="1027">V955</f>
        <v>3.5</v>
      </c>
      <c r="W979">
        <f t="shared" si="1027"/>
        <v>3</v>
      </c>
      <c r="X979" s="9">
        <v>-15.368922666666601</v>
      </c>
    </row>
    <row r="980" spans="1:24">
      <c r="A980" s="29">
        <f t="shared" si="1012"/>
        <v>45876.708333330964</v>
      </c>
      <c r="B980" s="30">
        <f t="shared" si="967"/>
        <v>8000</v>
      </c>
      <c r="C980" s="8">
        <v>25000</v>
      </c>
      <c r="D980" s="8">
        <v>0</v>
      </c>
      <c r="E980" s="8">
        <v>700</v>
      </c>
      <c r="F980" s="8">
        <v>15000</v>
      </c>
      <c r="G980" s="30">
        <f t="shared" si="968"/>
        <v>2400</v>
      </c>
      <c r="H980" s="8">
        <v>25000</v>
      </c>
      <c r="I980" s="30">
        <f t="shared" si="969"/>
        <v>8000</v>
      </c>
      <c r="J980" s="8">
        <v>25000</v>
      </c>
      <c r="K980" s="30">
        <f t="shared" si="970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14</v>
      </c>
      <c r="O980" s="9">
        <v>13.5</v>
      </c>
      <c r="P980" s="9">
        <v>19.5</v>
      </c>
      <c r="Q980" s="79">
        <f>VLOOKUP(VLOOKUP(DATEVALUE(TEXT(A980,"m/d/yyyy")),FY24_Temp[],5,FALSE)&amp;TEXT(A980,"-h"),Table6[],4,FALSE)</f>
        <v>1.0775714346340723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VLOOKUP(TEXT(A980,"yy-mm")&amp;"-"&amp;IF(AND(WEEKDAY(A980)&gt;1,WEEKDAY(A980)&lt;7),"Wkd",TEXT(A980,"Ddd"))&amp;"-"&amp;TEXT(A980,"hh"),LoadTable[],5,FALSE)*0.92</f>
        <v>521.92427999999995</v>
      </c>
      <c r="U980" s="104">
        <f>VLOOKUP(TEXT(A980,"yy-mm")&amp;"-"&amp;IF(AND(WEEKDAY(A980)&gt;1,WEEKDAY(A980)&lt;7),"Wkd",TEXT(A980,"Ddd"))&amp;"-"&amp;TEXT(A980,"hh"),LoadTable[],6,FALSE)*T980</f>
        <v>57850.609119479988</v>
      </c>
      <c r="V980">
        <f t="shared" ref="V980:W980" si="1028">V956</f>
        <v>3.6</v>
      </c>
      <c r="W980">
        <f t="shared" si="1028"/>
        <v>3</v>
      </c>
      <c r="X980" s="9">
        <v>-15.446717216666601</v>
      </c>
    </row>
    <row r="981" spans="1:24">
      <c r="A981" s="29">
        <f t="shared" si="1012"/>
        <v>45876.749999997628</v>
      </c>
      <c r="B981" s="30">
        <f t="shared" si="967"/>
        <v>5000</v>
      </c>
      <c r="C981" s="8">
        <v>25000</v>
      </c>
      <c r="D981" s="8">
        <v>0</v>
      </c>
      <c r="E981" s="8">
        <v>700</v>
      </c>
      <c r="F981" s="8">
        <v>15000</v>
      </c>
      <c r="G981" s="30">
        <f t="shared" si="968"/>
        <v>2400</v>
      </c>
      <c r="H981" s="8">
        <v>25000</v>
      </c>
      <c r="I981" s="30">
        <f t="shared" si="969"/>
        <v>5000</v>
      </c>
      <c r="J981" s="8">
        <v>25000</v>
      </c>
      <c r="K981" s="30">
        <f t="shared" si="970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14</v>
      </c>
      <c r="O981" s="9">
        <v>13.5</v>
      </c>
      <c r="P981" s="9">
        <v>19.5</v>
      </c>
      <c r="Q981" s="79">
        <f>VLOOKUP(VLOOKUP(DATEVALUE(TEXT(A981,"m/d/yyyy")),FY24_Temp[],5,FALSE)&amp;TEXT(A981,"-h"),Table6[],4,FALSE)</f>
        <v>1.43542856829507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VLOOKUP(TEXT(A981,"yy-mm")&amp;"-"&amp;IF(AND(WEEKDAY(A981)&gt;1,WEEKDAY(A981)&lt;7),"Wkd",TEXT(A981,"Ddd"))&amp;"-"&amp;TEXT(A981,"hh"),LoadTable[],5,FALSE)*0.92</f>
        <v>521.92427999999995</v>
      </c>
      <c r="U981" s="104">
        <f>VLOOKUP(TEXT(A981,"yy-mm")&amp;"-"&amp;IF(AND(WEEKDAY(A981)&gt;1,WEEKDAY(A981)&lt;7),"Wkd",TEXT(A981,"Ddd"))&amp;"-"&amp;TEXT(A981,"hh"),LoadTable[],6,FALSE)*T981</f>
        <v>71088.174633119997</v>
      </c>
      <c r="V981">
        <f t="shared" ref="V981:W981" si="1029">V957</f>
        <v>2.9</v>
      </c>
      <c r="W981">
        <f t="shared" si="1029"/>
        <v>3</v>
      </c>
      <c r="X981" s="9">
        <v>-15.524511766666601</v>
      </c>
    </row>
    <row r="982" spans="1:24">
      <c r="A982" s="29">
        <f t="shared" si="1012"/>
        <v>45876.791666664292</v>
      </c>
      <c r="B982" s="30">
        <f t="shared" si="967"/>
        <v>5000</v>
      </c>
      <c r="C982" s="8">
        <v>25000</v>
      </c>
      <c r="D982" s="8">
        <v>0</v>
      </c>
      <c r="E982" s="8">
        <v>700</v>
      </c>
      <c r="F982" s="8">
        <v>15000</v>
      </c>
      <c r="G982" s="30">
        <f t="shared" si="968"/>
        <v>2400</v>
      </c>
      <c r="H982" s="8">
        <v>25000</v>
      </c>
      <c r="I982" s="30">
        <f t="shared" si="969"/>
        <v>5000</v>
      </c>
      <c r="J982" s="8">
        <v>25000</v>
      </c>
      <c r="K982" s="30">
        <f t="shared" si="970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14</v>
      </c>
      <c r="O982" s="9">
        <v>13.5</v>
      </c>
      <c r="P982" s="9">
        <v>19.5</v>
      </c>
      <c r="Q982" s="79">
        <f>VLOOKUP(VLOOKUP(DATEVALUE(TEXT(A982,"m/d/yyyy")),FY24_Temp[],5,FALSE)&amp;TEXT(A982,"-h"),Table6[],4,FALSE)</f>
        <v>2.2041428089141846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VLOOKUP(TEXT(A982,"yy-mm")&amp;"-"&amp;IF(AND(WEEKDAY(A982)&gt;1,WEEKDAY(A982)&lt;7),"Wkd",TEXT(A982,"Ddd"))&amp;"-"&amp;TEXT(A982,"hh"),LoadTable[],5,FALSE)*0.92</f>
        <v>521.92427999999995</v>
      </c>
      <c r="U982" s="104">
        <f>VLOOKUP(TEXT(A982,"yy-mm")&amp;"-"&amp;IF(AND(WEEKDAY(A982)&gt;1,WEEKDAY(A982)&lt;7),"Wkd",TEXT(A982,"Ddd"))&amp;"-"&amp;TEXT(A982,"hh"),LoadTable[],6,FALSE)*T982</f>
        <v>75540.188741520004</v>
      </c>
      <c r="V982">
        <f t="shared" ref="V982:W982" si="1030">V958</f>
        <v>3</v>
      </c>
      <c r="W982">
        <f t="shared" si="1030"/>
        <v>3</v>
      </c>
      <c r="X982" s="9">
        <v>-15.602306316666599</v>
      </c>
    </row>
    <row r="983" spans="1:24">
      <c r="A983" s="29">
        <f t="shared" si="1012"/>
        <v>45876.833333330957</v>
      </c>
      <c r="B983" s="30">
        <f t="shared" si="967"/>
        <v>5000</v>
      </c>
      <c r="C983" s="8">
        <v>25000</v>
      </c>
      <c r="D983" s="8">
        <v>0</v>
      </c>
      <c r="E983" s="8">
        <v>700</v>
      </c>
      <c r="F983" s="8">
        <v>15000</v>
      </c>
      <c r="G983" s="30">
        <f t="shared" si="968"/>
        <v>2400</v>
      </c>
      <c r="H983" s="8">
        <v>25000</v>
      </c>
      <c r="I983" s="30">
        <f t="shared" si="969"/>
        <v>5000</v>
      </c>
      <c r="J983" s="8">
        <v>25000</v>
      </c>
      <c r="K983" s="30">
        <f t="shared" si="970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14</v>
      </c>
      <c r="O983" s="9">
        <v>13.5</v>
      </c>
      <c r="P983" s="9">
        <v>19.5</v>
      </c>
      <c r="Q983" s="79">
        <f>VLOOKUP(VLOOKUP(DATEVALUE(TEXT(A983,"m/d/yyyy")),FY24_Temp[],5,FALSE)&amp;TEXT(A983,"-h"),Table6[],4,FALSE)</f>
        <v>2.9597143105098178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VLOOKUP(TEXT(A983,"yy-mm")&amp;"-"&amp;IF(AND(WEEKDAY(A983)&gt;1,WEEKDAY(A983)&lt;7),"Wkd",TEXT(A983,"Ddd"))&amp;"-"&amp;TEXT(A983,"hh"),LoadTable[],5,FALSE)*0.92</f>
        <v>521.92427999999995</v>
      </c>
      <c r="U983" s="104">
        <f>VLOOKUP(TEXT(A983,"yy-mm")&amp;"-"&amp;IF(AND(WEEKDAY(A983)&gt;1,WEEKDAY(A983)&lt;7),"Wkd",TEXT(A983,"Ddd"))&amp;"-"&amp;TEXT(A983,"hh"),LoadTable[],6,FALSE)*T983</f>
        <v>69176.365995479995</v>
      </c>
      <c r="V983">
        <f t="shared" ref="V983:W983" si="1031">V959</f>
        <v>2.8</v>
      </c>
      <c r="W983">
        <f t="shared" si="1031"/>
        <v>3.1</v>
      </c>
      <c r="X983" s="9">
        <v>-15.680100866666599</v>
      </c>
    </row>
    <row r="984" spans="1:24">
      <c r="A984" s="29">
        <f t="shared" si="1012"/>
        <v>45876.874999997621</v>
      </c>
      <c r="B984" s="30">
        <f t="shared" si="967"/>
        <v>5000</v>
      </c>
      <c r="C984" s="8">
        <v>25000</v>
      </c>
      <c r="D984" s="8">
        <v>0</v>
      </c>
      <c r="E984" s="8">
        <v>700</v>
      </c>
      <c r="F984" s="8">
        <v>15000</v>
      </c>
      <c r="G984" s="30">
        <f t="shared" si="968"/>
        <v>2400</v>
      </c>
      <c r="H984" s="8">
        <v>25000</v>
      </c>
      <c r="I984" s="30">
        <f t="shared" si="969"/>
        <v>5000</v>
      </c>
      <c r="J984" s="8">
        <v>25000</v>
      </c>
      <c r="K984" s="30">
        <f t="shared" si="970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14</v>
      </c>
      <c r="O984" s="9">
        <v>13.5</v>
      </c>
      <c r="P984" s="9">
        <v>19.5</v>
      </c>
      <c r="Q984" s="79">
        <f>VLOOKUP(VLOOKUP(DATEVALUE(TEXT(A984,"m/d/yyyy")),FY24_Temp[],5,FALSE)&amp;TEXT(A984,"-h"),Table6[],4,FALSE)</f>
        <v>3.2167142799922397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VLOOKUP(TEXT(A984,"yy-mm")&amp;"-"&amp;IF(AND(WEEKDAY(A984)&gt;1,WEEKDAY(A984)&lt;7),"Wkd",TEXT(A984,"Ddd"))&amp;"-"&amp;TEXT(A984,"hh"),LoadTable[],5,FALSE)*0.92</f>
        <v>521.92427999999995</v>
      </c>
      <c r="U984" s="104">
        <f>VLOOKUP(TEXT(A984,"yy-mm")&amp;"-"&amp;IF(AND(WEEKDAY(A984)&gt;1,WEEKDAY(A984)&lt;7),"Wkd",TEXT(A984,"Ddd"))&amp;"-"&amp;TEXT(A984,"hh"),LoadTable[],6,FALSE)*T984</f>
        <v>56417.405046599997</v>
      </c>
      <c r="V984">
        <f t="shared" ref="V984:W984" si="1032">V960</f>
        <v>3.5</v>
      </c>
      <c r="W984">
        <f t="shared" si="1032"/>
        <v>3.1</v>
      </c>
      <c r="X984" s="9">
        <v>-15.757895416666599</v>
      </c>
    </row>
    <row r="985" spans="1:24">
      <c r="A985" s="29">
        <f t="shared" si="1012"/>
        <v>45876.916666664285</v>
      </c>
      <c r="B985" s="30">
        <f t="shared" si="967"/>
        <v>5000</v>
      </c>
      <c r="C985" s="8">
        <v>25000</v>
      </c>
      <c r="D985" s="8">
        <v>0</v>
      </c>
      <c r="E985" s="8">
        <v>700</v>
      </c>
      <c r="F985" s="8">
        <v>15000</v>
      </c>
      <c r="G985" s="30">
        <f t="shared" si="968"/>
        <v>2400</v>
      </c>
      <c r="H985" s="8">
        <v>25000</v>
      </c>
      <c r="I985" s="30">
        <f t="shared" si="969"/>
        <v>5000</v>
      </c>
      <c r="J985" s="8">
        <v>25000</v>
      </c>
      <c r="K985" s="30">
        <f t="shared" si="970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14</v>
      </c>
      <c r="O985" s="9">
        <v>13.5</v>
      </c>
      <c r="P985" s="9">
        <v>19.5</v>
      </c>
      <c r="Q985" s="79">
        <f>VLOOKUP(VLOOKUP(DATEVALUE(TEXT(A985,"m/d/yyyy")),FY24_Temp[],5,FALSE)&amp;TEXT(A985,"-h"),Table6[],4,FALSE)</f>
        <v>3.1878571510314941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VLOOKUP(TEXT(A985,"yy-mm")&amp;"-"&amp;IF(AND(WEEKDAY(A985)&gt;1,WEEKDAY(A985)&lt;7),"Wkd",TEXT(A985,"Ddd"))&amp;"-"&amp;TEXT(A985,"hh"),LoadTable[],5,FALSE)*0.92</f>
        <v>447.02432000000005</v>
      </c>
      <c r="U985" s="104">
        <f>VLOOKUP(TEXT(A985,"yy-mm")&amp;"-"&amp;IF(AND(WEEKDAY(A985)&gt;1,WEEKDAY(A985)&lt;7),"Wkd",TEXT(A985,"Ddd"))&amp;"-"&amp;TEXT(A985,"hh"),LoadTable[],6,FALSE)*T985</f>
        <v>29850.49599232</v>
      </c>
      <c r="V985">
        <f t="shared" ref="V985:W985" si="1033">V961</f>
        <v>2.9</v>
      </c>
      <c r="W985">
        <f t="shared" si="1033"/>
        <v>3.1</v>
      </c>
      <c r="X985" s="9">
        <v>-15.8356899666666</v>
      </c>
    </row>
    <row r="986" spans="1:24">
      <c r="A986" s="29">
        <f t="shared" si="1012"/>
        <v>45876.958333330949</v>
      </c>
      <c r="B986" s="30">
        <f t="shared" si="967"/>
        <v>5000</v>
      </c>
      <c r="C986" s="41">
        <v>25000</v>
      </c>
      <c r="D986" s="41">
        <v>0</v>
      </c>
      <c r="E986" s="41">
        <v>700</v>
      </c>
      <c r="F986" s="41">
        <v>15000</v>
      </c>
      <c r="G986" s="30">
        <f t="shared" si="968"/>
        <v>2400</v>
      </c>
      <c r="H986" s="41">
        <v>25000</v>
      </c>
      <c r="I986" s="30">
        <f t="shared" si="969"/>
        <v>5000</v>
      </c>
      <c r="J986" s="41">
        <v>25000</v>
      </c>
      <c r="K986" s="30">
        <f t="shared" si="970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14</v>
      </c>
      <c r="O986" s="84">
        <v>13.5</v>
      </c>
      <c r="P986" s="84">
        <v>19.5</v>
      </c>
      <c r="Q986" s="85">
        <f>VLOOKUP(VLOOKUP(DATEVALUE(TEXT(A986,"m/d/yyyy")),FY24_Temp[],5,FALSE)&amp;TEXT(A986,"-h"),Table6[],4,FALSE)</f>
        <v>3.0497143268585205</v>
      </c>
      <c r="R986">
        <v>10</v>
      </c>
      <c r="S986">
        <v>1000</v>
      </c>
      <c r="T986" s="98">
        <f>VLOOKUP(TEXT(A986,"yy-mm")&amp;"-"&amp;IF(AND(WEEKDAY(A986)&gt;1,WEEKDAY(A986)&lt;7),"Wkd",TEXT(A986,"Ddd"))&amp;"-"&amp;TEXT(A986,"hh"),LoadTable[],5,FALSE)*0.92</f>
        <v>372.12436000000002</v>
      </c>
      <c r="U986" s="104">
        <f>VLOOKUP(TEXT(A986,"yy-mm")&amp;"-"&amp;IF(AND(WEEKDAY(A986)&gt;1,WEEKDAY(A986)&lt;7),"Wkd",TEXT(A986,"Ddd"))&amp;"-"&amp;TEXT(A986,"hh"),LoadTable[],6,FALSE)*T986</f>
        <v>22421.236938720001</v>
      </c>
      <c r="V986">
        <f t="shared" ref="V986:W986" si="1034">V962</f>
        <v>3.6</v>
      </c>
      <c r="W986">
        <f t="shared" si="1034"/>
        <v>3.1</v>
      </c>
      <c r="X986" s="84">
        <v>-15.9134845166666</v>
      </c>
    </row>
    <row r="987" spans="1:24">
      <c r="A987" s="29">
        <f t="shared" si="1012"/>
        <v>45876.999999997613</v>
      </c>
      <c r="B987" s="30">
        <f t="shared" si="967"/>
        <v>5000</v>
      </c>
      <c r="C987" s="8">
        <v>25000</v>
      </c>
      <c r="D987" s="8">
        <v>0</v>
      </c>
      <c r="E987" s="8">
        <v>700</v>
      </c>
      <c r="F987" s="8">
        <v>15000</v>
      </c>
      <c r="G987" s="30">
        <f t="shared" si="968"/>
        <v>2400</v>
      </c>
      <c r="H987" s="8">
        <v>25000</v>
      </c>
      <c r="I987" s="30">
        <f t="shared" si="969"/>
        <v>5000</v>
      </c>
      <c r="J987" s="8">
        <v>25000</v>
      </c>
      <c r="K987" s="30">
        <f t="shared" si="970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14</v>
      </c>
      <c r="O987" s="9">
        <v>13.5</v>
      </c>
      <c r="P987" s="9">
        <v>19.5</v>
      </c>
      <c r="Q987" s="79">
        <f>VLOOKUP(VLOOKUP(DATEVALUE(TEXT(A987,"m/d/yyyy")),FY24_Temp[],5,FALSE)&amp;TEXT(A987,"-h"),Table6[],4,FALSE)</f>
        <v>2.9064285414559499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VLOOKUP(TEXT(A987,"yy-mm")&amp;"-"&amp;IF(AND(WEEKDAY(A987)&gt;1,WEEKDAY(A987)&lt;7),"Wkd",TEXT(A987,"Ddd"))&amp;"-"&amp;TEXT(A987,"hh"),LoadTable[],5,FALSE)*0.92</f>
        <v>297.2244</v>
      </c>
      <c r="U987" s="104">
        <f>VLOOKUP(TEXT(A987,"yy-mm")&amp;"-"&amp;IF(AND(WEEKDAY(A987)&gt;1,WEEKDAY(A987)&lt;7),"Wkd",TEXT(A987,"Ddd"))&amp;"-"&amp;TEXT(A987,"hh"),LoadTable[],6,FALSE)*T987</f>
        <v>17505.031038000001</v>
      </c>
      <c r="V987">
        <f t="shared" ref="V987:W987" si="1035">V963</f>
        <v>3</v>
      </c>
      <c r="W987">
        <f t="shared" si="1035"/>
        <v>3.2</v>
      </c>
      <c r="X987" s="9">
        <v>-15.9912790666666</v>
      </c>
    </row>
    <row r="988" spans="1:24">
      <c r="A988" s="29">
        <f t="shared" si="1012"/>
        <v>45877.041666664278</v>
      </c>
      <c r="B988" s="30">
        <f t="shared" ref="B988:B1051" si="1036">B964</f>
        <v>5000</v>
      </c>
      <c r="C988" s="42">
        <v>25000</v>
      </c>
      <c r="D988" s="42">
        <v>0</v>
      </c>
      <c r="E988" s="42">
        <v>700</v>
      </c>
      <c r="F988" s="42">
        <v>15000</v>
      </c>
      <c r="G988" s="30">
        <f t="shared" ref="G988:G1051" si="1037">G964</f>
        <v>2400</v>
      </c>
      <c r="H988" s="42">
        <v>25000</v>
      </c>
      <c r="I988" s="30">
        <f t="shared" ref="I988:I1051" si="1038">I964</f>
        <v>5000</v>
      </c>
      <c r="J988" s="42">
        <v>25000</v>
      </c>
      <c r="K988" s="30">
        <f t="shared" ref="K988:K1051" si="1039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14</v>
      </c>
      <c r="O988" s="86">
        <v>13.5</v>
      </c>
      <c r="P988" s="86">
        <v>19.5</v>
      </c>
      <c r="Q988" s="87">
        <f>VLOOKUP(VLOOKUP(DATEVALUE(TEXT(A988,"m/d/yyyy")),FY24_Temp[],5,FALSE)&amp;TEXT(A988,"-h"),Table6[],4,FALSE)</f>
        <v>2.7961428506033763</v>
      </c>
      <c r="R988">
        <v>10</v>
      </c>
      <c r="S988">
        <v>1000</v>
      </c>
      <c r="T988" s="99">
        <f>VLOOKUP(TEXT(A988,"yy-mm")&amp;"-"&amp;IF(AND(WEEKDAY(A988)&gt;1,WEEKDAY(A988)&lt;7),"Wkd",TEXT(A988,"Ddd"))&amp;"-"&amp;TEXT(A988,"hh"),LoadTable[],5,FALSE)*0.92</f>
        <v>295.12680000000006</v>
      </c>
      <c r="U988" s="104">
        <f>VLOOKUP(TEXT(A988,"yy-mm")&amp;"-"&amp;IF(AND(WEEKDAY(A988)&gt;1,WEEKDAY(A988)&lt;7),"Wkd",TEXT(A988,"Ddd"))&amp;"-"&amp;TEXT(A988,"hh"),LoadTable[],6,FALSE)*T988</f>
        <v>17131.225359600001</v>
      </c>
      <c r="V988">
        <f t="shared" ref="V988:W988" si="1040">V964</f>
        <v>2.6</v>
      </c>
      <c r="W988">
        <f t="shared" si="1040"/>
        <v>3.2</v>
      </c>
      <c r="X988" s="86">
        <v>-16.0690736166666</v>
      </c>
    </row>
    <row r="989" spans="1:24">
      <c r="A989" s="29">
        <f t="shared" si="1012"/>
        <v>45877.083333330942</v>
      </c>
      <c r="B989" s="30">
        <f t="shared" si="1036"/>
        <v>5000</v>
      </c>
      <c r="C989" s="8">
        <v>25000</v>
      </c>
      <c r="D989" s="8">
        <v>0</v>
      </c>
      <c r="E989" s="8">
        <v>700</v>
      </c>
      <c r="F989" s="8">
        <v>15000</v>
      </c>
      <c r="G989" s="30">
        <f t="shared" si="1037"/>
        <v>2400</v>
      </c>
      <c r="H989" s="8">
        <v>25000</v>
      </c>
      <c r="I989" s="30">
        <f t="shared" si="1038"/>
        <v>5000</v>
      </c>
      <c r="J989" s="8">
        <v>25000</v>
      </c>
      <c r="K989" s="30">
        <f t="shared" si="1039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14</v>
      </c>
      <c r="O989" s="9">
        <v>13.5</v>
      </c>
      <c r="P989" s="9">
        <v>19.5</v>
      </c>
      <c r="Q989" s="79">
        <f>VLOOKUP(VLOOKUP(DATEVALUE(TEXT(A989,"m/d/yyyy")),FY24_Temp[],5,FALSE)&amp;TEXT(A989,"-h"),Table6[],4,FALSE)</f>
        <v>2.6915714400155202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VLOOKUP(TEXT(A989,"yy-mm")&amp;"-"&amp;IF(AND(WEEKDAY(A989)&gt;1,WEEKDAY(A989)&lt;7),"Wkd",TEXT(A989,"Ddd"))&amp;"-"&amp;TEXT(A989,"hh"),LoadTable[],5,FALSE)*0.92</f>
        <v>295.12680000000006</v>
      </c>
      <c r="U989" s="104">
        <f>VLOOKUP(TEXT(A989,"yy-mm")&amp;"-"&amp;IF(AND(WEEKDAY(A989)&gt;1,WEEKDAY(A989)&lt;7),"Wkd",TEXT(A989,"Ddd"))&amp;"-"&amp;TEXT(A989,"hh"),LoadTable[],6,FALSE)*T989</f>
        <v>16459.811889600001</v>
      </c>
      <c r="V989">
        <f t="shared" ref="V989:W989" si="1041">V965</f>
        <v>2.8</v>
      </c>
      <c r="W989">
        <f t="shared" si="1041"/>
        <v>3.2</v>
      </c>
      <c r="X989" s="9">
        <v>-16.1468681666666</v>
      </c>
    </row>
    <row r="990" spans="1:24">
      <c r="A990" s="29">
        <f t="shared" si="1012"/>
        <v>45877.124999997606</v>
      </c>
      <c r="B990" s="30">
        <f t="shared" si="1036"/>
        <v>5000</v>
      </c>
      <c r="C990" s="8">
        <v>25000</v>
      </c>
      <c r="D990" s="8">
        <v>0</v>
      </c>
      <c r="E990" s="8">
        <v>700</v>
      </c>
      <c r="F990" s="8">
        <v>15000</v>
      </c>
      <c r="G990" s="30">
        <f t="shared" si="1037"/>
        <v>2400</v>
      </c>
      <c r="H990" s="8">
        <v>25000</v>
      </c>
      <c r="I990" s="30">
        <f t="shared" si="1038"/>
        <v>5000</v>
      </c>
      <c r="J990" s="8">
        <v>25000</v>
      </c>
      <c r="K990" s="30">
        <f t="shared" si="1039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14</v>
      </c>
      <c r="O990" s="9">
        <v>13.5</v>
      </c>
      <c r="P990" s="9">
        <v>19.5</v>
      </c>
      <c r="Q990" s="79">
        <f>VLOOKUP(VLOOKUP(DATEVALUE(TEXT(A990,"m/d/yyyy")),FY24_Temp[],5,FALSE)&amp;TEXT(A990,"-h"),Table6[],4,FALSE)</f>
        <v>2.5627142701830183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VLOOKUP(TEXT(A990,"yy-mm")&amp;"-"&amp;IF(AND(WEEKDAY(A990)&gt;1,WEEKDAY(A990)&lt;7),"Wkd",TEXT(A990,"Ddd"))&amp;"-"&amp;TEXT(A990,"hh"),LoadTable[],5,FALSE)*0.92</f>
        <v>295.12680000000006</v>
      </c>
      <c r="U990" s="104">
        <f>VLOOKUP(TEXT(A990,"yy-mm")&amp;"-"&amp;IF(AND(WEEKDAY(A990)&gt;1,WEEKDAY(A990)&lt;7),"Wkd",TEXT(A990,"Ddd"))&amp;"-"&amp;TEXT(A990,"hh"),LoadTable[],6,FALSE)*T990</f>
        <v>16610.326557600001</v>
      </c>
      <c r="V990">
        <f t="shared" ref="V990:W990" si="1042">V966</f>
        <v>2.7</v>
      </c>
      <c r="W990">
        <f t="shared" si="1042"/>
        <v>3.2</v>
      </c>
      <c r="X990" s="9">
        <v>-16.2246627166666</v>
      </c>
    </row>
    <row r="991" spans="1:24">
      <c r="A991" s="29">
        <f t="shared" si="1012"/>
        <v>45877.16666666427</v>
      </c>
      <c r="B991" s="30">
        <f t="shared" si="1036"/>
        <v>5000</v>
      </c>
      <c r="C991" s="8">
        <v>25000</v>
      </c>
      <c r="D991" s="8">
        <v>0</v>
      </c>
      <c r="E991" s="8">
        <v>700</v>
      </c>
      <c r="F991" s="8">
        <v>15000</v>
      </c>
      <c r="G991" s="30">
        <f t="shared" si="1037"/>
        <v>2400</v>
      </c>
      <c r="H991" s="8">
        <v>25000</v>
      </c>
      <c r="I991" s="30">
        <f t="shared" si="1038"/>
        <v>5000</v>
      </c>
      <c r="J991" s="8">
        <v>25000</v>
      </c>
      <c r="K991" s="30">
        <f t="shared" si="1039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14</v>
      </c>
      <c r="O991" s="9">
        <v>13.5</v>
      </c>
      <c r="P991" s="9">
        <v>19.5</v>
      </c>
      <c r="Q991" s="79">
        <f>VLOOKUP(VLOOKUP(DATEVALUE(TEXT(A991,"m/d/yyyy")),FY24_Temp[],5,FALSE)&amp;TEXT(A991,"-h"),Table6[],4,FALSE)</f>
        <v>2.3978571210588728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VLOOKUP(TEXT(A991,"yy-mm")&amp;"-"&amp;IF(AND(WEEKDAY(A991)&gt;1,WEEKDAY(A991)&lt;7),"Wkd",TEXT(A991,"Ddd"))&amp;"-"&amp;TEXT(A991,"hh"),LoadTable[],5,FALSE)*0.92</f>
        <v>295.12680000000006</v>
      </c>
      <c r="U991" s="104">
        <f>VLOOKUP(TEXT(A991,"yy-mm")&amp;"-"&amp;IF(AND(WEEKDAY(A991)&gt;1,WEEKDAY(A991)&lt;7),"Wkd",TEXT(A991,"Ddd"))&amp;"-"&amp;TEXT(A991,"hh"),LoadTable[],6,FALSE)*T991</f>
        <v>16544.513281200001</v>
      </c>
      <c r="V991">
        <f t="shared" ref="V991:W991" si="1043">V967</f>
        <v>3</v>
      </c>
      <c r="W991">
        <f t="shared" si="1043"/>
        <v>3.1</v>
      </c>
      <c r="X991" s="9">
        <v>-16.3024572666666</v>
      </c>
    </row>
    <row r="992" spans="1:24">
      <c r="A992" s="29">
        <f t="shared" si="1012"/>
        <v>45877.208333330935</v>
      </c>
      <c r="B992" s="30">
        <f t="shared" si="1036"/>
        <v>5000</v>
      </c>
      <c r="C992" s="8">
        <v>25000</v>
      </c>
      <c r="D992" s="8">
        <v>0</v>
      </c>
      <c r="E992" s="8">
        <v>700</v>
      </c>
      <c r="F992" s="8">
        <v>15000</v>
      </c>
      <c r="G992" s="30">
        <f t="shared" si="1037"/>
        <v>2400</v>
      </c>
      <c r="H992" s="8">
        <v>25000</v>
      </c>
      <c r="I992" s="30">
        <f t="shared" si="1038"/>
        <v>5000</v>
      </c>
      <c r="J992" s="8">
        <v>25000</v>
      </c>
      <c r="K992" s="30">
        <f t="shared" si="1039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14</v>
      </c>
      <c r="O992" s="9">
        <v>13.5</v>
      </c>
      <c r="P992" s="9">
        <v>19.5</v>
      </c>
      <c r="Q992" s="79">
        <f>VLOOKUP(VLOOKUP(DATEVALUE(TEXT(A992,"m/d/yyyy")),FY24_Temp[],5,FALSE)&amp;TEXT(A992,"-h"),Table6[],4,FALSE)</f>
        <v>2.2397142818995883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VLOOKUP(TEXT(A992,"yy-mm")&amp;"-"&amp;IF(AND(WEEKDAY(A992)&gt;1,WEEKDAY(A992)&lt;7),"Wkd",TEXT(A992,"Ddd"))&amp;"-"&amp;TEXT(A992,"hh"),LoadTable[],5,FALSE)*0.92</f>
        <v>295.12680000000006</v>
      </c>
      <c r="U992" s="104">
        <f>VLOOKUP(TEXT(A992,"yy-mm")&amp;"-"&amp;IF(AND(WEEKDAY(A992)&gt;1,WEEKDAY(A992)&lt;7),"Wkd",TEXT(A992,"Ddd"))&amp;"-"&amp;TEXT(A992,"hh"),LoadTable[],6,FALSE)*T992</f>
        <v>17128.569218400004</v>
      </c>
      <c r="V992">
        <f t="shared" ref="V992:W992" si="1044">V968</f>
        <v>2.9</v>
      </c>
      <c r="W992">
        <f t="shared" si="1044"/>
        <v>3.1</v>
      </c>
      <c r="X992" s="9">
        <v>-16.3802518166666</v>
      </c>
    </row>
    <row r="993" spans="1:24">
      <c r="A993" s="29">
        <f t="shared" si="1012"/>
        <v>45877.249999997599</v>
      </c>
      <c r="B993" s="30">
        <f t="shared" si="1036"/>
        <v>8000</v>
      </c>
      <c r="C993" s="8">
        <v>25000</v>
      </c>
      <c r="D993" s="8">
        <v>0</v>
      </c>
      <c r="E993" s="8">
        <v>700</v>
      </c>
      <c r="F993" s="8">
        <v>15000</v>
      </c>
      <c r="G993" s="30">
        <f t="shared" si="1037"/>
        <v>2400</v>
      </c>
      <c r="H993" s="8">
        <v>25000</v>
      </c>
      <c r="I993" s="30">
        <f t="shared" si="1038"/>
        <v>8000</v>
      </c>
      <c r="J993" s="8">
        <v>25000</v>
      </c>
      <c r="K993" s="30">
        <f t="shared" si="1039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14</v>
      </c>
      <c r="O993" s="9">
        <v>13.5</v>
      </c>
      <c r="P993" s="9">
        <v>19.5</v>
      </c>
      <c r="Q993" s="79">
        <f>VLOOKUP(VLOOKUP(DATEVALUE(TEXT(A993,"m/d/yyyy")),FY24_Temp[],5,FALSE)&amp;TEXT(A993,"-h"),Table6[],4,FALSE)</f>
        <v>2.1271428721291676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VLOOKUP(TEXT(A993,"yy-mm")&amp;"-"&amp;IF(AND(WEEKDAY(A993)&gt;1,WEEKDAY(A993)&lt;7),"Wkd",TEXT(A993,"Ddd"))&amp;"-"&amp;TEXT(A993,"hh"),LoadTable[],5,FALSE)*0.92</f>
        <v>295.12680000000006</v>
      </c>
      <c r="U993" s="104">
        <f>VLOOKUP(TEXT(A993,"yy-mm")&amp;"-"&amp;IF(AND(WEEKDAY(A993)&gt;1,WEEKDAY(A993)&lt;7),"Wkd",TEXT(A993,"Ddd"))&amp;"-"&amp;TEXT(A993,"hh"),LoadTable[],6,FALSE)*T993</f>
        <v>20766.892408800006</v>
      </c>
      <c r="V993">
        <f t="shared" ref="V993:W993" si="1045">V969</f>
        <v>2.5</v>
      </c>
      <c r="W993">
        <f t="shared" si="1045"/>
        <v>3.1</v>
      </c>
      <c r="X993" s="9">
        <v>-16.458046366666601</v>
      </c>
    </row>
    <row r="994" spans="1:24">
      <c r="A994" s="29">
        <f t="shared" si="1012"/>
        <v>45877.291666664263</v>
      </c>
      <c r="B994" s="30">
        <f t="shared" si="1036"/>
        <v>8000</v>
      </c>
      <c r="C994" s="8">
        <v>25000</v>
      </c>
      <c r="D994" s="8">
        <v>0</v>
      </c>
      <c r="E994" s="8">
        <v>700</v>
      </c>
      <c r="F994" s="8">
        <v>15000</v>
      </c>
      <c r="G994" s="30">
        <f t="shared" si="1037"/>
        <v>2400</v>
      </c>
      <c r="H994" s="8">
        <v>25000</v>
      </c>
      <c r="I994" s="30">
        <f t="shared" si="1038"/>
        <v>8000</v>
      </c>
      <c r="J994" s="8">
        <v>25000</v>
      </c>
      <c r="K994" s="30">
        <f t="shared" si="1039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14</v>
      </c>
      <c r="O994" s="9">
        <v>13.5</v>
      </c>
      <c r="P994" s="9">
        <v>19.5</v>
      </c>
      <c r="Q994" s="79">
        <f>VLOOKUP(VLOOKUP(DATEVALUE(TEXT(A994,"m/d/yyyy")),FY24_Temp[],5,FALSE)&amp;TEXT(A994,"-h"),Table6[],4,FALSE)</f>
        <v>2.0365714345659529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VLOOKUP(TEXT(A994,"yy-mm")&amp;"-"&amp;IF(AND(WEEKDAY(A994)&gt;1,WEEKDAY(A994)&lt;7),"Wkd",TEXT(A994,"Ddd"))&amp;"-"&amp;TEXT(A994,"hh"),LoadTable[],5,FALSE)*0.92</f>
        <v>295.12680000000006</v>
      </c>
      <c r="U994" s="104">
        <f>VLOOKUP(TEXT(A994,"yy-mm")&amp;"-"&amp;IF(AND(WEEKDAY(A994)&gt;1,WEEKDAY(A994)&lt;7),"Wkd",TEXT(A994,"Ddd"))&amp;"-"&amp;TEXT(A994,"hh"),LoadTable[],6,FALSE)*T994</f>
        <v>19169.666167200001</v>
      </c>
      <c r="V994">
        <f t="shared" ref="V994:W994" si="1046">V970</f>
        <v>2.5</v>
      </c>
      <c r="W994">
        <f t="shared" si="1046"/>
        <v>3.1</v>
      </c>
      <c r="X994" s="9">
        <v>-16.535840916666601</v>
      </c>
    </row>
    <row r="995" spans="1:24">
      <c r="A995" s="29">
        <f t="shared" si="1012"/>
        <v>45877.333333330927</v>
      </c>
      <c r="B995" s="30">
        <f t="shared" si="1036"/>
        <v>8000</v>
      </c>
      <c r="C995" s="8">
        <v>25000</v>
      </c>
      <c r="D995" s="8">
        <v>0</v>
      </c>
      <c r="E995" s="8">
        <v>700</v>
      </c>
      <c r="F995" s="8">
        <v>15000</v>
      </c>
      <c r="G995" s="30">
        <f t="shared" si="1037"/>
        <v>2400</v>
      </c>
      <c r="H995" s="8">
        <v>25000</v>
      </c>
      <c r="I995" s="30">
        <f t="shared" si="1038"/>
        <v>8000</v>
      </c>
      <c r="J995" s="8">
        <v>25000</v>
      </c>
      <c r="K995" s="30">
        <f t="shared" si="1039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14</v>
      </c>
      <c r="O995" s="9">
        <v>13.5</v>
      </c>
      <c r="P995" s="9">
        <v>19.5</v>
      </c>
      <c r="Q995" s="79">
        <f>VLOOKUP(VLOOKUP(DATEVALUE(TEXT(A995,"m/d/yyyy")),FY24_Temp[],5,FALSE)&amp;TEXT(A995,"-h"),Table6[],4,FALSE)</f>
        <v>1.9252857310431344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VLOOKUP(TEXT(A995,"yy-mm")&amp;"-"&amp;IF(AND(WEEKDAY(A995)&gt;1,WEEKDAY(A995)&lt;7),"Wkd",TEXT(A995,"Ddd"))&amp;"-"&amp;TEXT(A995,"hh"),LoadTable[],5,FALSE)*0.92</f>
        <v>295.12680000000006</v>
      </c>
      <c r="U995" s="104">
        <f>VLOOKUP(TEXT(A995,"yy-mm")&amp;"-"&amp;IF(AND(WEEKDAY(A995)&gt;1,WEEKDAY(A995)&lt;7),"Wkd",TEXT(A995,"Ddd"))&amp;"-"&amp;TEXT(A995,"hh"),LoadTable[],6,FALSE)*T995</f>
        <v>15860.999612400004</v>
      </c>
      <c r="V995">
        <f t="shared" ref="V995:W995" si="1047">V971</f>
        <v>3.2</v>
      </c>
      <c r="W995">
        <f t="shared" si="1047"/>
        <v>3</v>
      </c>
      <c r="X995" s="9">
        <v>-16.613635466666601</v>
      </c>
    </row>
    <row r="996" spans="1:24">
      <c r="A996" s="29">
        <f t="shared" si="1012"/>
        <v>45877.374999997592</v>
      </c>
      <c r="B996" s="30">
        <f t="shared" si="1036"/>
        <v>8000</v>
      </c>
      <c r="C996" s="8">
        <v>25000</v>
      </c>
      <c r="D996" s="8">
        <v>0</v>
      </c>
      <c r="E996" s="8">
        <v>700</v>
      </c>
      <c r="F996" s="8">
        <v>15000</v>
      </c>
      <c r="G996" s="30">
        <f t="shared" si="1037"/>
        <v>2400</v>
      </c>
      <c r="H996" s="8">
        <v>25000</v>
      </c>
      <c r="I996" s="30">
        <f t="shared" si="1038"/>
        <v>8000</v>
      </c>
      <c r="J996" s="8">
        <v>25000</v>
      </c>
      <c r="K996" s="30">
        <f t="shared" si="1039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14</v>
      </c>
      <c r="O996" s="9">
        <v>13.5</v>
      </c>
      <c r="P996" s="9">
        <v>19.5</v>
      </c>
      <c r="Q996" s="79">
        <f>VLOOKUP(VLOOKUP(DATEVALUE(TEXT(A996,"m/d/yyyy")),FY24_Temp[],5,FALSE)&amp;TEXT(A996,"-h"),Table6[],4,FALSE)</f>
        <v>1.824714285986764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VLOOKUP(TEXT(A996,"yy-mm")&amp;"-"&amp;IF(AND(WEEKDAY(A996)&gt;1,WEEKDAY(A996)&lt;7),"Wkd",TEXT(A996,"Ddd"))&amp;"-"&amp;TEXT(A996,"hh"),LoadTable[],5,FALSE)*0.92</f>
        <v>295.12680000000006</v>
      </c>
      <c r="U996" s="104">
        <f>VLOOKUP(TEXT(A996,"yy-mm")&amp;"-"&amp;IF(AND(WEEKDAY(A996)&gt;1,WEEKDAY(A996)&lt;7),"Wkd",TEXT(A996,"Ddd"))&amp;"-"&amp;TEXT(A996,"hh"),LoadTable[],6,FALSE)*T996</f>
        <v>15713.436212400004</v>
      </c>
      <c r="V996">
        <f t="shared" ref="V996:W996" si="1048">V972</f>
        <v>2.9</v>
      </c>
      <c r="W996">
        <f t="shared" si="1048"/>
        <v>3</v>
      </c>
      <c r="X996" s="9">
        <v>-16.691430016666601</v>
      </c>
    </row>
    <row r="997" spans="1:24">
      <c r="A997" s="29">
        <f t="shared" si="1012"/>
        <v>45877.416666664256</v>
      </c>
      <c r="B997" s="30">
        <f t="shared" si="1036"/>
        <v>8000</v>
      </c>
      <c r="C997" s="8">
        <v>25000</v>
      </c>
      <c r="D997" s="8">
        <v>0</v>
      </c>
      <c r="E997" s="8">
        <v>700</v>
      </c>
      <c r="F997" s="8">
        <v>15000</v>
      </c>
      <c r="G997" s="30">
        <f t="shared" si="1037"/>
        <v>2400</v>
      </c>
      <c r="H997" s="8">
        <v>25000</v>
      </c>
      <c r="I997" s="30">
        <f t="shared" si="1038"/>
        <v>8000</v>
      </c>
      <c r="J997" s="8">
        <v>25000</v>
      </c>
      <c r="K997" s="30">
        <f t="shared" si="1039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14</v>
      </c>
      <c r="O997" s="9">
        <v>13.5</v>
      </c>
      <c r="P997" s="9">
        <v>19.5</v>
      </c>
      <c r="Q997" s="79">
        <f>VLOOKUP(VLOOKUP(DATEVALUE(TEXT(A997,"m/d/yyyy")),FY24_Temp[],5,FALSE)&amp;TEXT(A997,"-h"),Table6[],4,FALSE)</f>
        <v>1.7312857082911901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VLOOKUP(TEXT(A997,"yy-mm")&amp;"-"&amp;IF(AND(WEEKDAY(A997)&gt;1,WEEKDAY(A997)&lt;7),"Wkd",TEXT(A997,"Ddd"))&amp;"-"&amp;TEXT(A997,"hh"),LoadTable[],5,FALSE)*0.92</f>
        <v>295.12680000000006</v>
      </c>
      <c r="U997" s="104">
        <f>VLOOKUP(TEXT(A997,"yy-mm")&amp;"-"&amp;IF(AND(WEEKDAY(A997)&gt;1,WEEKDAY(A997)&lt;7),"Wkd",TEXT(A997,"Ddd"))&amp;"-"&amp;TEXT(A997,"hh"),LoadTable[],6,FALSE)*T997</f>
        <v>14369.723892000002</v>
      </c>
      <c r="V997">
        <f t="shared" ref="V997:W997" si="1049">V973</f>
        <v>2.9</v>
      </c>
      <c r="W997">
        <f t="shared" si="1049"/>
        <v>3</v>
      </c>
      <c r="X997" s="9">
        <v>-16.769224566666601</v>
      </c>
    </row>
    <row r="998" spans="1:24">
      <c r="A998" s="29">
        <f t="shared" si="1012"/>
        <v>45877.45833333092</v>
      </c>
      <c r="B998" s="30">
        <f t="shared" si="1036"/>
        <v>8000</v>
      </c>
      <c r="C998" s="8">
        <v>25000</v>
      </c>
      <c r="D998" s="8">
        <v>0</v>
      </c>
      <c r="E998" s="8">
        <v>700</v>
      </c>
      <c r="F998" s="8">
        <v>15000</v>
      </c>
      <c r="G998" s="30">
        <f t="shared" si="1037"/>
        <v>2400</v>
      </c>
      <c r="H998" s="8">
        <v>25000</v>
      </c>
      <c r="I998" s="30">
        <f t="shared" si="1038"/>
        <v>8000</v>
      </c>
      <c r="J998" s="8">
        <v>25000</v>
      </c>
      <c r="K998" s="30">
        <f t="shared" si="1039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14</v>
      </c>
      <c r="O998" s="9">
        <v>13.5</v>
      </c>
      <c r="P998" s="9">
        <v>19.5</v>
      </c>
      <c r="Q998" s="79">
        <f>VLOOKUP(VLOOKUP(DATEVALUE(TEXT(A998,"m/d/yyyy")),FY24_Temp[],5,FALSE)&amp;TEXT(A998,"-h"),Table6[],4,FALSE)</f>
        <v>1.6252857276371546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VLOOKUP(TEXT(A998,"yy-mm")&amp;"-"&amp;IF(AND(WEEKDAY(A998)&gt;1,WEEKDAY(A998)&lt;7),"Wkd",TEXT(A998,"Ddd"))&amp;"-"&amp;TEXT(A998,"hh"),LoadTable[],5,FALSE)*0.92</f>
        <v>295.12680000000006</v>
      </c>
      <c r="U998" s="104">
        <f>VLOOKUP(TEXT(A998,"yy-mm")&amp;"-"&amp;IF(AND(WEEKDAY(A998)&gt;1,WEEKDAY(A998)&lt;7),"Wkd",TEXT(A998,"Ddd"))&amp;"-"&amp;TEXT(A998,"hh"),LoadTable[],6,FALSE)*T998</f>
        <v>14137.459100400003</v>
      </c>
      <c r="V998">
        <f t="shared" ref="V998:W998" si="1050">V974</f>
        <v>3.4</v>
      </c>
      <c r="W998">
        <f t="shared" si="1050"/>
        <v>3</v>
      </c>
      <c r="X998" s="9">
        <v>-16.847019116666601</v>
      </c>
    </row>
    <row r="999" spans="1:24">
      <c r="A999" s="29">
        <f t="shared" si="1012"/>
        <v>45877.499999997584</v>
      </c>
      <c r="B999" s="30">
        <f t="shared" si="1036"/>
        <v>8000</v>
      </c>
      <c r="C999" s="8">
        <v>25000</v>
      </c>
      <c r="D999" s="8">
        <v>0</v>
      </c>
      <c r="E999" s="8">
        <v>700</v>
      </c>
      <c r="F999" s="8">
        <v>15000</v>
      </c>
      <c r="G999" s="30">
        <f t="shared" si="1037"/>
        <v>2400</v>
      </c>
      <c r="H999" s="8">
        <v>25000</v>
      </c>
      <c r="I999" s="30">
        <f t="shared" si="1038"/>
        <v>8000</v>
      </c>
      <c r="J999" s="8">
        <v>25000</v>
      </c>
      <c r="K999" s="30">
        <f t="shared" si="1039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14</v>
      </c>
      <c r="O999" s="9">
        <v>13.5</v>
      </c>
      <c r="P999" s="9">
        <v>19.5</v>
      </c>
      <c r="Q999" s="79">
        <f>VLOOKUP(VLOOKUP(DATEVALUE(TEXT(A999,"m/d/yyyy")),FY24_Temp[],5,FALSE)&amp;TEXT(A999,"-h"),Table6[],4,FALSE)</f>
        <v>1.4844285760607039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VLOOKUP(TEXT(A999,"yy-mm")&amp;"-"&amp;IF(AND(WEEKDAY(A999)&gt;1,WEEKDAY(A999)&lt;7),"Wkd",TEXT(A999,"Ddd"))&amp;"-"&amp;TEXT(A999,"hh"),LoadTable[],5,FALSE)*0.92</f>
        <v>295.12680000000006</v>
      </c>
      <c r="U999" s="104">
        <f>VLOOKUP(TEXT(A999,"yy-mm")&amp;"-"&amp;IF(AND(WEEKDAY(A999)&gt;1,WEEKDAY(A999)&lt;7),"Wkd",TEXT(A999,"Ddd"))&amp;"-"&amp;TEXT(A999,"hh"),LoadTable[],6,FALSE)*T999</f>
        <v>14242.819368000002</v>
      </c>
      <c r="V999">
        <f t="shared" ref="V999:W999" si="1051">V975</f>
        <v>3.1</v>
      </c>
      <c r="W999">
        <f t="shared" si="1051"/>
        <v>2.9</v>
      </c>
      <c r="X999" s="9">
        <v>-16.924813666666601</v>
      </c>
    </row>
    <row r="1000" spans="1:24">
      <c r="A1000" s="29">
        <f t="shared" si="1012"/>
        <v>45877.541666664249</v>
      </c>
      <c r="B1000" s="30">
        <f t="shared" si="1036"/>
        <v>8000</v>
      </c>
      <c r="C1000" s="8">
        <v>25000</v>
      </c>
      <c r="D1000" s="8">
        <v>0</v>
      </c>
      <c r="E1000" s="8">
        <v>700</v>
      </c>
      <c r="F1000" s="8">
        <v>15000</v>
      </c>
      <c r="G1000" s="30">
        <f t="shared" si="1037"/>
        <v>2400</v>
      </c>
      <c r="H1000" s="8">
        <v>25000</v>
      </c>
      <c r="I1000" s="30">
        <f t="shared" si="1038"/>
        <v>8000</v>
      </c>
      <c r="J1000" s="8">
        <v>25000</v>
      </c>
      <c r="K1000" s="30">
        <f t="shared" si="1039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14</v>
      </c>
      <c r="O1000" s="9">
        <v>13.5</v>
      </c>
      <c r="P1000" s="9">
        <v>19.5</v>
      </c>
      <c r="Q1000" s="79">
        <f>VLOOKUP(VLOOKUP(DATEVALUE(TEXT(A1000,"m/d/yyyy")),FY24_Temp[],5,FALSE)&amp;TEXT(A1000,"-h"),Table6[],4,FALSE)</f>
        <v>1.3144285849162511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VLOOKUP(TEXT(A1000,"yy-mm")&amp;"-"&amp;IF(AND(WEEKDAY(A1000)&gt;1,WEEKDAY(A1000)&lt;7),"Wkd",TEXT(A1000,"Ddd"))&amp;"-"&amp;TEXT(A1000,"hh"),LoadTable[],5,FALSE)*0.92</f>
        <v>295.12680000000006</v>
      </c>
      <c r="U1000" s="104">
        <f>VLOOKUP(TEXT(A1000,"yy-mm")&amp;"-"&amp;IF(AND(WEEKDAY(A1000)&gt;1,WEEKDAY(A1000)&lt;7),"Wkd",TEXT(A1000,"Ddd"))&amp;"-"&amp;TEXT(A1000,"hh"),LoadTable[],6,FALSE)*T1000</f>
        <v>16280.669922000003</v>
      </c>
      <c r="V1000">
        <f t="shared" ref="V1000:W1000" si="1052">V976</f>
        <v>3.2</v>
      </c>
      <c r="W1000">
        <f t="shared" si="1052"/>
        <v>2.9</v>
      </c>
      <c r="X1000" s="9">
        <v>-17.002608216666601</v>
      </c>
    </row>
    <row r="1001" spans="1:24">
      <c r="A1001" s="29">
        <f t="shared" si="1012"/>
        <v>45877.583333330913</v>
      </c>
      <c r="B1001" s="30">
        <f t="shared" si="1036"/>
        <v>8000</v>
      </c>
      <c r="C1001" s="8">
        <v>25000</v>
      </c>
      <c r="D1001" s="8">
        <v>0</v>
      </c>
      <c r="E1001" s="8">
        <v>700</v>
      </c>
      <c r="F1001" s="8">
        <v>15000</v>
      </c>
      <c r="G1001" s="30">
        <f t="shared" si="1037"/>
        <v>2400</v>
      </c>
      <c r="H1001" s="8">
        <v>25000</v>
      </c>
      <c r="I1001" s="30">
        <f t="shared" si="1038"/>
        <v>8000</v>
      </c>
      <c r="J1001" s="8">
        <v>25000</v>
      </c>
      <c r="K1001" s="30">
        <f t="shared" si="1039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14</v>
      </c>
      <c r="O1001" s="9">
        <v>13.5</v>
      </c>
      <c r="P1001" s="9">
        <v>19.5</v>
      </c>
      <c r="Q1001" s="79">
        <f>VLOOKUP(VLOOKUP(DATEVALUE(TEXT(A1001,"m/d/yyyy")),FY24_Temp[],5,FALSE)&amp;TEXT(A1001,"-h"),Table6[],4,FALSE)</f>
        <v>1.131428565297808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VLOOKUP(TEXT(A1001,"yy-mm")&amp;"-"&amp;IF(AND(WEEKDAY(A1001)&gt;1,WEEKDAY(A1001)&lt;7),"Wkd",TEXT(A1001,"Ddd"))&amp;"-"&amp;TEXT(A1001,"hh"),LoadTable[],5,FALSE)*0.92</f>
        <v>402.08416</v>
      </c>
      <c r="U1001" s="104">
        <f>VLOOKUP(TEXT(A1001,"yy-mm")&amp;"-"&amp;IF(AND(WEEKDAY(A1001)&gt;1,WEEKDAY(A1001)&lt;7),"Wkd",TEXT(A1001,"Ddd"))&amp;"-"&amp;TEXT(A1001,"hh"),LoadTable[],6,FALSE)*T1001</f>
        <v>27023.674309440001</v>
      </c>
      <c r="V1001">
        <f t="shared" ref="V1001:W1001" si="1053">V977</f>
        <v>3.5</v>
      </c>
      <c r="W1001">
        <f t="shared" si="1053"/>
        <v>2.9</v>
      </c>
      <c r="X1001" s="9">
        <v>-17.080402766666602</v>
      </c>
    </row>
    <row r="1002" spans="1:24">
      <c r="A1002" s="29">
        <f t="shared" si="1012"/>
        <v>45877.624999997577</v>
      </c>
      <c r="B1002" s="30">
        <f t="shared" si="1036"/>
        <v>8000</v>
      </c>
      <c r="C1002" s="8">
        <v>25000</v>
      </c>
      <c r="D1002" s="8">
        <v>0</v>
      </c>
      <c r="E1002" s="8">
        <v>700</v>
      </c>
      <c r="F1002" s="8">
        <v>15000</v>
      </c>
      <c r="G1002" s="30">
        <f t="shared" si="1037"/>
        <v>2400</v>
      </c>
      <c r="H1002" s="8">
        <v>25000</v>
      </c>
      <c r="I1002" s="30">
        <f t="shared" si="1038"/>
        <v>8000</v>
      </c>
      <c r="J1002" s="8">
        <v>25000</v>
      </c>
      <c r="K1002" s="30">
        <f t="shared" si="1039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14</v>
      </c>
      <c r="O1002" s="9">
        <v>13.5</v>
      </c>
      <c r="P1002" s="9">
        <v>19.5</v>
      </c>
      <c r="Q1002" s="79">
        <f>VLOOKUP(VLOOKUP(DATEVALUE(TEXT(A1002,"m/d/yyyy")),FY24_Temp[],5,FALSE)&amp;TEXT(A1002,"-h"),Table6[],4,FALSE)</f>
        <v>0.96828571387699669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VLOOKUP(TEXT(A1002,"yy-mm")&amp;"-"&amp;IF(AND(WEEKDAY(A1002)&gt;1,WEEKDAY(A1002)&lt;7),"Wkd",TEXT(A1002,"Ddd"))&amp;"-"&amp;TEXT(A1002,"hh"),LoadTable[],5,FALSE)*0.92</f>
        <v>521.92427999999995</v>
      </c>
      <c r="U1002" s="104">
        <f>VLOOKUP(TEXT(A1002,"yy-mm")&amp;"-"&amp;IF(AND(WEEKDAY(A1002)&gt;1,WEEKDAY(A1002)&lt;7),"Wkd",TEXT(A1002,"Ddd"))&amp;"-"&amp;TEXT(A1002,"hh"),LoadTable[],6,FALSE)*T1002</f>
        <v>38276.36092236</v>
      </c>
      <c r="V1002">
        <f t="shared" ref="V1002:W1002" si="1054">V978</f>
        <v>3.2</v>
      </c>
      <c r="W1002">
        <f t="shared" si="1054"/>
        <v>2.9</v>
      </c>
      <c r="X1002" s="9">
        <v>-17.158197316666602</v>
      </c>
    </row>
    <row r="1003" spans="1:24">
      <c r="A1003" s="29">
        <f t="shared" si="1012"/>
        <v>45877.666666664241</v>
      </c>
      <c r="B1003" s="30">
        <f t="shared" si="1036"/>
        <v>8000</v>
      </c>
      <c r="C1003" s="8">
        <v>25000</v>
      </c>
      <c r="D1003" s="8">
        <v>0</v>
      </c>
      <c r="E1003" s="8">
        <v>700</v>
      </c>
      <c r="F1003" s="8">
        <v>15000</v>
      </c>
      <c r="G1003" s="30">
        <f t="shared" si="1037"/>
        <v>2400</v>
      </c>
      <c r="H1003" s="8">
        <v>25000</v>
      </c>
      <c r="I1003" s="30">
        <f t="shared" si="1038"/>
        <v>8000</v>
      </c>
      <c r="J1003" s="8">
        <v>25000</v>
      </c>
      <c r="K1003" s="30">
        <f t="shared" si="1039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14</v>
      </c>
      <c r="O1003" s="9">
        <v>13.5</v>
      </c>
      <c r="P1003" s="9">
        <v>19.5</v>
      </c>
      <c r="Q1003" s="79">
        <f>VLOOKUP(VLOOKUP(DATEVALUE(TEXT(A1003,"m/d/yyyy")),FY24_Temp[],5,FALSE)&amp;TEXT(A1003,"-h"),Table6[],4,FALSE)</f>
        <v>0.89385713849748882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VLOOKUP(TEXT(A1003,"yy-mm")&amp;"-"&amp;IF(AND(WEEKDAY(A1003)&gt;1,WEEKDAY(A1003)&lt;7),"Wkd",TEXT(A1003,"Ddd"))&amp;"-"&amp;TEXT(A1003,"hh"),LoadTable[],5,FALSE)*0.92</f>
        <v>521.92427999999995</v>
      </c>
      <c r="U1003" s="104">
        <f>VLOOKUP(TEXT(A1003,"yy-mm")&amp;"-"&amp;IF(AND(WEEKDAY(A1003)&gt;1,WEEKDAY(A1003)&lt;7),"Wkd",TEXT(A1003,"Ddd"))&amp;"-"&amp;TEXT(A1003,"hh"),LoadTable[],6,FALSE)*T1003</f>
        <v>45879.753833399998</v>
      </c>
      <c r="V1003">
        <f t="shared" ref="V1003:W1003" si="1055">V979</f>
        <v>3.5</v>
      </c>
      <c r="W1003">
        <f t="shared" si="1055"/>
        <v>3</v>
      </c>
      <c r="X1003" s="9">
        <v>-17.235991866666598</v>
      </c>
    </row>
    <row r="1004" spans="1:24">
      <c r="A1004" s="29">
        <f t="shared" si="1012"/>
        <v>45877.708333330906</v>
      </c>
      <c r="B1004" s="30">
        <f t="shared" si="1036"/>
        <v>8000</v>
      </c>
      <c r="C1004" s="8">
        <v>25000</v>
      </c>
      <c r="D1004" s="8">
        <v>0</v>
      </c>
      <c r="E1004" s="8">
        <v>700</v>
      </c>
      <c r="F1004" s="8">
        <v>15000</v>
      </c>
      <c r="G1004" s="30">
        <f t="shared" si="1037"/>
        <v>2400</v>
      </c>
      <c r="H1004" s="8">
        <v>25000</v>
      </c>
      <c r="I1004" s="30">
        <f t="shared" si="1038"/>
        <v>8000</v>
      </c>
      <c r="J1004" s="8">
        <v>25000</v>
      </c>
      <c r="K1004" s="30">
        <f t="shared" si="1039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14</v>
      </c>
      <c r="O1004" s="9">
        <v>13.5</v>
      </c>
      <c r="P1004" s="9">
        <v>19.5</v>
      </c>
      <c r="Q1004" s="79">
        <f>VLOOKUP(VLOOKUP(DATEVALUE(TEXT(A1004,"m/d/yyyy")),FY24_Temp[],5,FALSE)&amp;TEXT(A1004,"-h"),Table6[],4,FALSE)</f>
        <v>1.0775714346340723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VLOOKUP(TEXT(A1004,"yy-mm")&amp;"-"&amp;IF(AND(WEEKDAY(A1004)&gt;1,WEEKDAY(A1004)&lt;7),"Wkd",TEXT(A1004,"Ddd"))&amp;"-"&amp;TEXT(A1004,"hh"),LoadTable[],5,FALSE)*0.92</f>
        <v>521.92427999999995</v>
      </c>
      <c r="U1004" s="104">
        <f>VLOOKUP(TEXT(A1004,"yy-mm")&amp;"-"&amp;IF(AND(WEEKDAY(A1004)&gt;1,WEEKDAY(A1004)&lt;7),"Wkd",TEXT(A1004,"Ddd"))&amp;"-"&amp;TEXT(A1004,"hh"),LoadTable[],6,FALSE)*T1004</f>
        <v>57850.609119479988</v>
      </c>
      <c r="V1004">
        <f t="shared" ref="V1004:W1004" si="1056">V980</f>
        <v>3.6</v>
      </c>
      <c r="W1004">
        <f t="shared" si="1056"/>
        <v>3</v>
      </c>
      <c r="X1004" s="9">
        <v>-17.313786416666598</v>
      </c>
    </row>
    <row r="1005" spans="1:24">
      <c r="A1005" s="29">
        <f t="shared" si="1012"/>
        <v>45877.74999999757</v>
      </c>
      <c r="B1005" s="30">
        <f t="shared" si="1036"/>
        <v>5000</v>
      </c>
      <c r="C1005" s="8">
        <v>25000</v>
      </c>
      <c r="D1005" s="8">
        <v>0</v>
      </c>
      <c r="E1005" s="8">
        <v>700</v>
      </c>
      <c r="F1005" s="8">
        <v>15000</v>
      </c>
      <c r="G1005" s="30">
        <f t="shared" si="1037"/>
        <v>2400</v>
      </c>
      <c r="H1005" s="8">
        <v>25000</v>
      </c>
      <c r="I1005" s="30">
        <f t="shared" si="1038"/>
        <v>5000</v>
      </c>
      <c r="J1005" s="8">
        <v>25000</v>
      </c>
      <c r="K1005" s="30">
        <f t="shared" si="1039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14</v>
      </c>
      <c r="O1005" s="9">
        <v>13.5</v>
      </c>
      <c r="P1005" s="9">
        <v>19.5</v>
      </c>
      <c r="Q1005" s="79">
        <f>VLOOKUP(VLOOKUP(DATEVALUE(TEXT(A1005,"m/d/yyyy")),FY24_Temp[],5,FALSE)&amp;TEXT(A1005,"-h"),Table6[],4,FALSE)</f>
        <v>1.43542856829507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VLOOKUP(TEXT(A1005,"yy-mm")&amp;"-"&amp;IF(AND(WEEKDAY(A1005)&gt;1,WEEKDAY(A1005)&lt;7),"Wkd",TEXT(A1005,"Ddd"))&amp;"-"&amp;TEXT(A1005,"hh"),LoadTable[],5,FALSE)*0.92</f>
        <v>521.92427999999995</v>
      </c>
      <c r="U1005" s="104">
        <f>VLOOKUP(TEXT(A1005,"yy-mm")&amp;"-"&amp;IF(AND(WEEKDAY(A1005)&gt;1,WEEKDAY(A1005)&lt;7),"Wkd",TEXT(A1005,"Ddd"))&amp;"-"&amp;TEXT(A1005,"hh"),LoadTable[],6,FALSE)*T1005</f>
        <v>71088.174633119997</v>
      </c>
      <c r="V1005">
        <f t="shared" ref="V1005:W1005" si="1057">V981</f>
        <v>2.9</v>
      </c>
      <c r="W1005">
        <f t="shared" si="1057"/>
        <v>3</v>
      </c>
      <c r="X1005" s="9">
        <v>-17.391580966666599</v>
      </c>
    </row>
    <row r="1006" spans="1:24">
      <c r="A1006" s="29">
        <f t="shared" si="1012"/>
        <v>45877.791666664234</v>
      </c>
      <c r="B1006" s="30">
        <f t="shared" si="1036"/>
        <v>5000</v>
      </c>
      <c r="C1006" s="8">
        <v>25000</v>
      </c>
      <c r="D1006" s="8">
        <v>0</v>
      </c>
      <c r="E1006" s="8">
        <v>700</v>
      </c>
      <c r="F1006" s="8">
        <v>15000</v>
      </c>
      <c r="G1006" s="30">
        <f t="shared" si="1037"/>
        <v>2400</v>
      </c>
      <c r="H1006" s="8">
        <v>25000</v>
      </c>
      <c r="I1006" s="30">
        <f t="shared" si="1038"/>
        <v>5000</v>
      </c>
      <c r="J1006" s="8">
        <v>25000</v>
      </c>
      <c r="K1006" s="30">
        <f t="shared" si="1039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14</v>
      </c>
      <c r="O1006" s="9">
        <v>13.5</v>
      </c>
      <c r="P1006" s="9">
        <v>19.5</v>
      </c>
      <c r="Q1006" s="79">
        <f>VLOOKUP(VLOOKUP(DATEVALUE(TEXT(A1006,"m/d/yyyy")),FY24_Temp[],5,FALSE)&amp;TEXT(A1006,"-h"),Table6[],4,FALSE)</f>
        <v>2.2041428089141846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VLOOKUP(TEXT(A1006,"yy-mm")&amp;"-"&amp;IF(AND(WEEKDAY(A1006)&gt;1,WEEKDAY(A1006)&lt;7),"Wkd",TEXT(A1006,"Ddd"))&amp;"-"&amp;TEXT(A1006,"hh"),LoadTable[],5,FALSE)*0.92</f>
        <v>521.92427999999995</v>
      </c>
      <c r="U1006" s="104">
        <f>VLOOKUP(TEXT(A1006,"yy-mm")&amp;"-"&amp;IF(AND(WEEKDAY(A1006)&gt;1,WEEKDAY(A1006)&lt;7),"Wkd",TEXT(A1006,"Ddd"))&amp;"-"&amp;TEXT(A1006,"hh"),LoadTable[],6,FALSE)*T1006</f>
        <v>75540.188741520004</v>
      </c>
      <c r="V1006">
        <f t="shared" ref="V1006:W1006" si="1058">V982</f>
        <v>3</v>
      </c>
      <c r="W1006">
        <f t="shared" si="1058"/>
        <v>3</v>
      </c>
      <c r="X1006" s="9">
        <v>-17.469375516666599</v>
      </c>
    </row>
    <row r="1007" spans="1:24">
      <c r="A1007" s="29">
        <f t="shared" si="1012"/>
        <v>45877.833333330898</v>
      </c>
      <c r="B1007" s="30">
        <f t="shared" si="1036"/>
        <v>5000</v>
      </c>
      <c r="C1007" s="8">
        <v>25000</v>
      </c>
      <c r="D1007" s="8">
        <v>0</v>
      </c>
      <c r="E1007" s="8">
        <v>700</v>
      </c>
      <c r="F1007" s="8">
        <v>15000</v>
      </c>
      <c r="G1007" s="30">
        <f t="shared" si="1037"/>
        <v>2400</v>
      </c>
      <c r="H1007" s="8">
        <v>25000</v>
      </c>
      <c r="I1007" s="30">
        <f t="shared" si="1038"/>
        <v>5000</v>
      </c>
      <c r="J1007" s="8">
        <v>25000</v>
      </c>
      <c r="K1007" s="30">
        <f t="shared" si="1039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14</v>
      </c>
      <c r="O1007" s="9">
        <v>13.5</v>
      </c>
      <c r="P1007" s="9">
        <v>19.5</v>
      </c>
      <c r="Q1007" s="79">
        <f>VLOOKUP(VLOOKUP(DATEVALUE(TEXT(A1007,"m/d/yyyy")),FY24_Temp[],5,FALSE)&amp;TEXT(A1007,"-h"),Table6[],4,FALSE)</f>
        <v>2.9597143105098178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VLOOKUP(TEXT(A1007,"yy-mm")&amp;"-"&amp;IF(AND(WEEKDAY(A1007)&gt;1,WEEKDAY(A1007)&lt;7),"Wkd",TEXT(A1007,"Ddd"))&amp;"-"&amp;TEXT(A1007,"hh"),LoadTable[],5,FALSE)*0.92</f>
        <v>521.92427999999995</v>
      </c>
      <c r="U1007" s="104">
        <f>VLOOKUP(TEXT(A1007,"yy-mm")&amp;"-"&amp;IF(AND(WEEKDAY(A1007)&gt;1,WEEKDAY(A1007)&lt;7),"Wkd",TEXT(A1007,"Ddd"))&amp;"-"&amp;TEXT(A1007,"hh"),LoadTable[],6,FALSE)*T1007</f>
        <v>69176.365995479995</v>
      </c>
      <c r="V1007">
        <f t="shared" ref="V1007:W1007" si="1059">V983</f>
        <v>2.8</v>
      </c>
      <c r="W1007">
        <f t="shared" si="1059"/>
        <v>3.1</v>
      </c>
      <c r="X1007" s="9">
        <v>-17.547170066666599</v>
      </c>
    </row>
    <row r="1008" spans="1:24">
      <c r="A1008" s="29">
        <f t="shared" si="1012"/>
        <v>45877.874999997563</v>
      </c>
      <c r="B1008" s="30">
        <f t="shared" si="1036"/>
        <v>5000</v>
      </c>
      <c r="C1008" s="8">
        <v>25000</v>
      </c>
      <c r="D1008" s="8">
        <v>0</v>
      </c>
      <c r="E1008" s="8">
        <v>700</v>
      </c>
      <c r="F1008" s="8">
        <v>15000</v>
      </c>
      <c r="G1008" s="30">
        <f t="shared" si="1037"/>
        <v>2400</v>
      </c>
      <c r="H1008" s="8">
        <v>25000</v>
      </c>
      <c r="I1008" s="30">
        <f t="shared" si="1038"/>
        <v>5000</v>
      </c>
      <c r="J1008" s="8">
        <v>25000</v>
      </c>
      <c r="K1008" s="30">
        <f t="shared" si="1039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14</v>
      </c>
      <c r="O1008" s="9">
        <v>13.5</v>
      </c>
      <c r="P1008" s="9">
        <v>19.5</v>
      </c>
      <c r="Q1008" s="79">
        <f>VLOOKUP(VLOOKUP(DATEVALUE(TEXT(A1008,"m/d/yyyy")),FY24_Temp[],5,FALSE)&amp;TEXT(A1008,"-h"),Table6[],4,FALSE)</f>
        <v>3.2167142799922397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VLOOKUP(TEXT(A1008,"yy-mm")&amp;"-"&amp;IF(AND(WEEKDAY(A1008)&gt;1,WEEKDAY(A1008)&lt;7),"Wkd",TEXT(A1008,"Ddd"))&amp;"-"&amp;TEXT(A1008,"hh"),LoadTable[],5,FALSE)*0.92</f>
        <v>521.92427999999995</v>
      </c>
      <c r="U1008" s="104">
        <f>VLOOKUP(TEXT(A1008,"yy-mm")&amp;"-"&amp;IF(AND(WEEKDAY(A1008)&gt;1,WEEKDAY(A1008)&lt;7),"Wkd",TEXT(A1008,"Ddd"))&amp;"-"&amp;TEXT(A1008,"hh"),LoadTable[],6,FALSE)*T1008</f>
        <v>56417.405046599997</v>
      </c>
      <c r="V1008">
        <f t="shared" ref="V1008:W1008" si="1060">V984</f>
        <v>3.5</v>
      </c>
      <c r="W1008">
        <f t="shared" si="1060"/>
        <v>3.1</v>
      </c>
      <c r="X1008" s="9">
        <v>-17.624964616666599</v>
      </c>
    </row>
    <row r="1009" spans="1:24">
      <c r="A1009" s="29">
        <f t="shared" si="1012"/>
        <v>45877.916666664227</v>
      </c>
      <c r="B1009" s="30">
        <f t="shared" si="1036"/>
        <v>5000</v>
      </c>
      <c r="C1009" s="8">
        <v>25000</v>
      </c>
      <c r="D1009" s="8">
        <v>0</v>
      </c>
      <c r="E1009" s="8">
        <v>700</v>
      </c>
      <c r="F1009" s="8">
        <v>15000</v>
      </c>
      <c r="G1009" s="30">
        <f t="shared" si="1037"/>
        <v>2400</v>
      </c>
      <c r="H1009" s="8">
        <v>25000</v>
      </c>
      <c r="I1009" s="30">
        <f t="shared" si="1038"/>
        <v>5000</v>
      </c>
      <c r="J1009" s="8">
        <v>25000</v>
      </c>
      <c r="K1009" s="30">
        <f t="shared" si="1039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14</v>
      </c>
      <c r="O1009" s="9">
        <v>13.5</v>
      </c>
      <c r="P1009" s="9">
        <v>19.5</v>
      </c>
      <c r="Q1009" s="79">
        <f>VLOOKUP(VLOOKUP(DATEVALUE(TEXT(A1009,"m/d/yyyy")),FY24_Temp[],5,FALSE)&amp;TEXT(A1009,"-h"),Table6[],4,FALSE)</f>
        <v>3.1878571510314941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VLOOKUP(TEXT(A1009,"yy-mm")&amp;"-"&amp;IF(AND(WEEKDAY(A1009)&gt;1,WEEKDAY(A1009)&lt;7),"Wkd",TEXT(A1009,"Ddd"))&amp;"-"&amp;TEXT(A1009,"hh"),LoadTable[],5,FALSE)*0.92</f>
        <v>447.02432000000005</v>
      </c>
      <c r="U1009" s="104">
        <f>VLOOKUP(TEXT(A1009,"yy-mm")&amp;"-"&amp;IF(AND(WEEKDAY(A1009)&gt;1,WEEKDAY(A1009)&lt;7),"Wkd",TEXT(A1009,"Ddd"))&amp;"-"&amp;TEXT(A1009,"hh"),LoadTable[],6,FALSE)*T1009</f>
        <v>29850.49599232</v>
      </c>
      <c r="V1009">
        <f t="shared" ref="V1009:W1009" si="1061">V985</f>
        <v>2.9</v>
      </c>
      <c r="W1009">
        <f t="shared" si="1061"/>
        <v>3.1</v>
      </c>
      <c r="X1009" s="9">
        <v>-17.702759166666599</v>
      </c>
    </row>
    <row r="1010" spans="1:24" ht="16" thickBot="1">
      <c r="A1010" s="29">
        <f t="shared" si="1012"/>
        <v>45877.958333330891</v>
      </c>
      <c r="B1010" s="30">
        <f t="shared" si="1036"/>
        <v>5000</v>
      </c>
      <c r="C1010" s="8">
        <v>25000</v>
      </c>
      <c r="D1010" s="8">
        <v>0</v>
      </c>
      <c r="E1010" s="8">
        <v>700</v>
      </c>
      <c r="F1010" s="8">
        <v>15000</v>
      </c>
      <c r="G1010" s="30">
        <f t="shared" si="1037"/>
        <v>2400</v>
      </c>
      <c r="H1010" s="8">
        <v>25000</v>
      </c>
      <c r="I1010" s="30">
        <f t="shared" si="1038"/>
        <v>5000</v>
      </c>
      <c r="J1010" s="8">
        <v>25000</v>
      </c>
      <c r="K1010" s="30">
        <f t="shared" si="1039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14</v>
      </c>
      <c r="O1010" s="9">
        <v>13.5</v>
      </c>
      <c r="P1010" s="9">
        <v>19.5</v>
      </c>
      <c r="Q1010" s="79">
        <f>VLOOKUP(VLOOKUP(DATEVALUE(TEXT(A1010,"m/d/yyyy")),FY24_Temp[],5,FALSE)&amp;TEXT(A1010,"-h"),Table6[],4,FALSE)</f>
        <v>3.0497143268585205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VLOOKUP(TEXT(A1010,"yy-mm")&amp;"-"&amp;IF(AND(WEEKDAY(A1010)&gt;1,WEEKDAY(A1010)&lt;7),"Wkd",TEXT(A1010,"Ddd"))&amp;"-"&amp;TEXT(A1010,"hh"),LoadTable[],5,FALSE)*0.92</f>
        <v>372.12436000000002</v>
      </c>
      <c r="U1010" s="104">
        <f>VLOOKUP(TEXT(A1010,"yy-mm")&amp;"-"&amp;IF(AND(WEEKDAY(A1010)&gt;1,WEEKDAY(A1010)&lt;7),"Wkd",TEXT(A1010,"Ddd"))&amp;"-"&amp;TEXT(A1010,"hh"),LoadTable[],6,FALSE)*T1010</f>
        <v>22421.236938720001</v>
      </c>
      <c r="V1010">
        <f t="shared" ref="V1010:W1010" si="1062">V986</f>
        <v>3.6</v>
      </c>
      <c r="W1010">
        <f t="shared" si="1062"/>
        <v>3.1</v>
      </c>
      <c r="X1010" s="9">
        <v>-17.780553716666599</v>
      </c>
    </row>
    <row r="1011" spans="1:24" ht="16" thickBot="1">
      <c r="A1011" s="120">
        <f t="shared" si="1012"/>
        <v>45877.999999997555</v>
      </c>
      <c r="B1011" s="121">
        <f t="shared" si="1036"/>
        <v>5000</v>
      </c>
      <c r="C1011" s="114">
        <v>25000</v>
      </c>
      <c r="D1011" s="114">
        <v>0</v>
      </c>
      <c r="E1011" s="114">
        <v>700</v>
      </c>
      <c r="F1011" s="114">
        <v>15000</v>
      </c>
      <c r="G1011" s="114">
        <f t="shared" si="1037"/>
        <v>2400</v>
      </c>
      <c r="H1011" s="114">
        <v>25000</v>
      </c>
      <c r="I1011" s="114">
        <f t="shared" si="1038"/>
        <v>5000</v>
      </c>
      <c r="J1011" s="114">
        <v>25000</v>
      </c>
      <c r="K1011" s="114">
        <f t="shared" si="1039"/>
        <v>5000</v>
      </c>
      <c r="L1011" s="114">
        <v>25000</v>
      </c>
      <c r="M1011" s="115">
        <f>VLOOKUP(DATE(YEAR(A1011),MONTH(A1011),DAY(A1011)),FY24_Temp[],4,FALSE)</f>
        <v>8.5</v>
      </c>
      <c r="N1011" s="115">
        <f>VLOOKUP(DATE(YEAR(A1011),MONTH(A1011),DAY(A1011)),FY24_Temp[],3,FALSE)</f>
        <v>14.4</v>
      </c>
      <c r="O1011" s="115">
        <v>13.5</v>
      </c>
      <c r="P1011" s="115">
        <v>19.5</v>
      </c>
      <c r="Q1011" s="116">
        <f>VLOOKUP(VLOOKUP(DATEVALUE(TEXT(A1011,"m/d/yyyy")),FY24_Temp[],5,FALSE)&amp;TEXT(A1011,"-h"),Table6[],4,FALSE)</f>
        <v>2.8105713639940535</v>
      </c>
      <c r="R1011" s="117">
        <v>10</v>
      </c>
      <c r="S1011" s="117">
        <v>1000</v>
      </c>
      <c r="T1011" s="100">
        <f>VLOOKUP(TEXT(A1011,"yy-mm")&amp;"-"&amp;IF(AND(WEEKDAY(A1011)&gt;1,WEEKDAY(A1011)&lt;7),"Wkd",TEXT(A1011,"Ddd"))&amp;"-"&amp;TEXT(A1011,"hh"),LoadTable[],5,FALSE)*0.92</f>
        <v>297.2244</v>
      </c>
      <c r="U1011" s="118">
        <f>VLOOKUP(TEXT(A1011,"yy-mm")&amp;"-"&amp;IF(AND(WEEKDAY(A1011)&gt;1,WEEKDAY(A1011)&lt;7),"Wkd",TEXT(A1011,"Ddd"))&amp;"-"&amp;TEXT(A1011,"hh"),LoadTable[],6,FALSE)*T1011</f>
        <v>16487.929141199998</v>
      </c>
      <c r="V1011" s="117">
        <f t="shared" ref="V1011:W1011" si="1063">V987</f>
        <v>3</v>
      </c>
      <c r="W1011" s="117">
        <f t="shared" si="1063"/>
        <v>3.2</v>
      </c>
      <c r="X1011" s="119">
        <v>-17.858348266666599</v>
      </c>
    </row>
    <row r="1012" spans="1:24">
      <c r="A1012" s="29">
        <f t="shared" si="1012"/>
        <v>45878.04166666422</v>
      </c>
      <c r="B1012" s="30">
        <f t="shared" si="1036"/>
        <v>5000</v>
      </c>
      <c r="C1012" s="8">
        <v>25000</v>
      </c>
      <c r="D1012" s="8">
        <v>0</v>
      </c>
      <c r="E1012" s="8">
        <v>700</v>
      </c>
      <c r="F1012" s="8">
        <v>15000</v>
      </c>
      <c r="G1012" s="30">
        <f t="shared" si="1037"/>
        <v>2400</v>
      </c>
      <c r="H1012" s="8">
        <v>25000</v>
      </c>
      <c r="I1012" s="30">
        <f t="shared" si="1038"/>
        <v>5000</v>
      </c>
      <c r="J1012" s="8">
        <v>25000</v>
      </c>
      <c r="K1012" s="30">
        <f t="shared" si="1039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14.4</v>
      </c>
      <c r="O1012" s="9">
        <v>13.5</v>
      </c>
      <c r="P1012" s="9">
        <v>19.5</v>
      </c>
      <c r="Q1012" s="79">
        <f>VLOOKUP(VLOOKUP(DATEVALUE(TEXT(A1012,"m/d/yyyy")),FY24_Temp[],5,FALSE)&amp;TEXT(A1012,"-h"),Table6[],4,FALSE)</f>
        <v>2.7044286046709334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VLOOKUP(TEXT(A1012,"yy-mm")&amp;"-"&amp;IF(AND(WEEKDAY(A1012)&gt;1,WEEKDAY(A1012)&lt;7),"Wkd",TEXT(A1012,"Ddd"))&amp;"-"&amp;TEXT(A1012,"hh"),LoadTable[],5,FALSE)*0.92</f>
        <v>295.12680000000006</v>
      </c>
      <c r="U1012" s="104">
        <f>VLOOKUP(TEXT(A1012,"yy-mm")&amp;"-"&amp;IF(AND(WEEKDAY(A1012)&gt;1,WEEKDAY(A1012)&lt;7),"Wkd",TEXT(A1012,"Ddd"))&amp;"-"&amp;TEXT(A1012,"hh"),LoadTable[],6,FALSE)*T1012</f>
        <v>15981.706473600003</v>
      </c>
      <c r="V1012">
        <f t="shared" ref="V1012:W1012" si="1064">V988</f>
        <v>2.6</v>
      </c>
      <c r="W1012">
        <f t="shared" si="1064"/>
        <v>3.2</v>
      </c>
      <c r="X1012" s="9">
        <v>-17.936142816666599</v>
      </c>
    </row>
    <row r="1013" spans="1:24">
      <c r="A1013" s="29">
        <f t="shared" si="1012"/>
        <v>45878.083333330884</v>
      </c>
      <c r="B1013" s="30">
        <f t="shared" si="1036"/>
        <v>5000</v>
      </c>
      <c r="C1013" s="8">
        <v>25000</v>
      </c>
      <c r="D1013" s="8">
        <v>0</v>
      </c>
      <c r="E1013" s="8">
        <v>700</v>
      </c>
      <c r="F1013" s="8">
        <v>15000</v>
      </c>
      <c r="G1013" s="30">
        <f t="shared" si="1037"/>
        <v>2400</v>
      </c>
      <c r="H1013" s="8">
        <v>25000</v>
      </c>
      <c r="I1013" s="30">
        <f t="shared" si="1038"/>
        <v>5000</v>
      </c>
      <c r="J1013" s="8">
        <v>25000</v>
      </c>
      <c r="K1013" s="30">
        <f t="shared" si="1039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14.4</v>
      </c>
      <c r="O1013" s="9">
        <v>13.5</v>
      </c>
      <c r="P1013" s="9">
        <v>19.5</v>
      </c>
      <c r="Q1013" s="79">
        <f>VLOOKUP(VLOOKUP(DATEVALUE(TEXT(A1013,"m/d/yyyy")),FY24_Temp[],5,FALSE)&amp;TEXT(A1013,"-h"),Table6[],4,FALSE)</f>
        <v>2.6111428737640381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VLOOKUP(TEXT(A1013,"yy-mm")&amp;"-"&amp;IF(AND(WEEKDAY(A1013)&gt;1,WEEKDAY(A1013)&lt;7),"Wkd",TEXT(A1013,"Ddd"))&amp;"-"&amp;TEXT(A1013,"hh"),LoadTable[],5,FALSE)*0.92</f>
        <v>295.12680000000006</v>
      </c>
      <c r="U1013" s="104">
        <f>VLOOKUP(TEXT(A1013,"yy-mm")&amp;"-"&amp;IF(AND(WEEKDAY(A1013)&gt;1,WEEKDAY(A1013)&lt;7),"Wkd",TEXT(A1013,"Ddd"))&amp;"-"&amp;TEXT(A1013,"hh"),LoadTable[],6,FALSE)*T1013</f>
        <v>15430.704738000002</v>
      </c>
      <c r="V1013">
        <f t="shared" ref="V1013:W1013" si="1065">V989</f>
        <v>2.8</v>
      </c>
      <c r="W1013">
        <f t="shared" si="1065"/>
        <v>3.2</v>
      </c>
      <c r="X1013" s="9">
        <v>-18.0139373666666</v>
      </c>
    </row>
    <row r="1014" spans="1:24">
      <c r="A1014" s="29">
        <f t="shared" si="1012"/>
        <v>45878.124999997548</v>
      </c>
      <c r="B1014" s="30">
        <f t="shared" si="1036"/>
        <v>5000</v>
      </c>
      <c r="C1014" s="8">
        <v>25000</v>
      </c>
      <c r="D1014" s="8">
        <v>0</v>
      </c>
      <c r="E1014" s="8">
        <v>700</v>
      </c>
      <c r="F1014" s="8">
        <v>15000</v>
      </c>
      <c r="G1014" s="30">
        <f t="shared" si="1037"/>
        <v>2400</v>
      </c>
      <c r="H1014" s="8">
        <v>25000</v>
      </c>
      <c r="I1014" s="30">
        <f t="shared" si="1038"/>
        <v>5000</v>
      </c>
      <c r="J1014" s="8">
        <v>25000</v>
      </c>
      <c r="K1014" s="30">
        <f t="shared" si="1039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14.4</v>
      </c>
      <c r="O1014" s="9">
        <v>13.5</v>
      </c>
      <c r="P1014" s="9">
        <v>19.5</v>
      </c>
      <c r="Q1014" s="79">
        <f>VLOOKUP(VLOOKUP(DATEVALUE(TEXT(A1014,"m/d/yyyy")),FY24_Temp[],5,FALSE)&amp;TEXT(A1014,"-h"),Table6[],4,FALSE)</f>
        <v>2.4651428290775845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VLOOKUP(TEXT(A1014,"yy-mm")&amp;"-"&amp;IF(AND(WEEKDAY(A1014)&gt;1,WEEKDAY(A1014)&lt;7),"Wkd",TEXT(A1014,"Ddd"))&amp;"-"&amp;TEXT(A1014,"hh"),LoadTable[],5,FALSE)*0.92</f>
        <v>295.12680000000006</v>
      </c>
      <c r="U1014" s="104">
        <f>VLOOKUP(TEXT(A1014,"yy-mm")&amp;"-"&amp;IF(AND(WEEKDAY(A1014)&gt;1,WEEKDAY(A1014)&lt;7),"Wkd",TEXT(A1014,"Ddd"))&amp;"-"&amp;TEXT(A1014,"hh"),LoadTable[],6,FALSE)*T1014</f>
        <v>15495.632634000003</v>
      </c>
      <c r="V1014">
        <f t="shared" ref="V1014:W1014" si="1066">V990</f>
        <v>2.7</v>
      </c>
      <c r="W1014">
        <f t="shared" si="1066"/>
        <v>3.2</v>
      </c>
      <c r="X1014" s="9">
        <v>-18.0917319166666</v>
      </c>
    </row>
    <row r="1015" spans="1:24">
      <c r="A1015" s="29">
        <f t="shared" si="1012"/>
        <v>45878.166666664212</v>
      </c>
      <c r="B1015" s="30">
        <f t="shared" si="1036"/>
        <v>5000</v>
      </c>
      <c r="C1015" s="8">
        <v>25000</v>
      </c>
      <c r="D1015" s="8">
        <v>0</v>
      </c>
      <c r="E1015" s="8">
        <v>700</v>
      </c>
      <c r="F1015" s="8">
        <v>15000</v>
      </c>
      <c r="G1015" s="30">
        <f t="shared" si="1037"/>
        <v>2400</v>
      </c>
      <c r="H1015" s="8">
        <v>25000</v>
      </c>
      <c r="I1015" s="30">
        <f t="shared" si="1038"/>
        <v>5000</v>
      </c>
      <c r="J1015" s="8">
        <v>25000</v>
      </c>
      <c r="K1015" s="30">
        <f t="shared" si="1039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14.4</v>
      </c>
      <c r="O1015" s="9">
        <v>13.5</v>
      </c>
      <c r="P1015" s="9">
        <v>19.5</v>
      </c>
      <c r="Q1015" s="79">
        <f>VLOOKUP(VLOOKUP(DATEVALUE(TEXT(A1015,"m/d/yyyy")),FY24_Temp[],5,FALSE)&amp;TEXT(A1015,"-h"),Table6[],4,FALSE)</f>
        <v>2.3014285564422607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VLOOKUP(TEXT(A1015,"yy-mm")&amp;"-"&amp;IF(AND(WEEKDAY(A1015)&gt;1,WEEKDAY(A1015)&lt;7),"Wkd",TEXT(A1015,"Ddd"))&amp;"-"&amp;TEXT(A1015,"hh"),LoadTable[],5,FALSE)*0.92</f>
        <v>295.12680000000006</v>
      </c>
      <c r="U1015" s="104">
        <f>VLOOKUP(TEXT(A1015,"yy-mm")&amp;"-"&amp;IF(AND(WEEKDAY(A1015)&gt;1,WEEKDAY(A1015)&lt;7),"Wkd",TEXT(A1015,"Ddd"))&amp;"-"&amp;TEXT(A1015,"hh"),LoadTable[],6,FALSE)*T1015</f>
        <v>15580.924279200002</v>
      </c>
      <c r="V1015">
        <f t="shared" ref="V1015:W1015" si="1067">V991</f>
        <v>3</v>
      </c>
      <c r="W1015">
        <f t="shared" si="1067"/>
        <v>3.1</v>
      </c>
      <c r="X1015" s="9">
        <v>-18.1695264666666</v>
      </c>
    </row>
    <row r="1016" spans="1:24">
      <c r="A1016" s="29">
        <f t="shared" si="1012"/>
        <v>45878.208333330876</v>
      </c>
      <c r="B1016" s="30">
        <f t="shared" si="1036"/>
        <v>5000</v>
      </c>
      <c r="C1016" s="8">
        <v>25000</v>
      </c>
      <c r="D1016" s="8">
        <v>0</v>
      </c>
      <c r="E1016" s="8">
        <v>700</v>
      </c>
      <c r="F1016" s="8">
        <v>15000</v>
      </c>
      <c r="G1016" s="30">
        <f t="shared" si="1037"/>
        <v>2400</v>
      </c>
      <c r="H1016" s="8">
        <v>25000</v>
      </c>
      <c r="I1016" s="30">
        <f t="shared" si="1038"/>
        <v>5000</v>
      </c>
      <c r="J1016" s="8">
        <v>25000</v>
      </c>
      <c r="K1016" s="30">
        <f t="shared" si="1039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14.4</v>
      </c>
      <c r="O1016" s="9">
        <v>13.5</v>
      </c>
      <c r="P1016" s="9">
        <v>19.5</v>
      </c>
      <c r="Q1016" s="79">
        <f>VLOOKUP(VLOOKUP(DATEVALUE(TEXT(A1016,"m/d/yyyy")),FY24_Temp[],5,FALSE)&amp;TEXT(A1016,"-h"),Table6[],4,FALSE)</f>
        <v>2.1431428364345004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VLOOKUP(TEXT(A1016,"yy-mm")&amp;"-"&amp;IF(AND(WEEKDAY(A1016)&gt;1,WEEKDAY(A1016)&lt;7),"Wkd",TEXT(A1016,"Ddd"))&amp;"-"&amp;TEXT(A1016,"hh"),LoadTable[],5,FALSE)*0.92</f>
        <v>295.12680000000006</v>
      </c>
      <c r="U1016" s="104">
        <f>VLOOKUP(TEXT(A1016,"yy-mm")&amp;"-"&amp;IF(AND(WEEKDAY(A1016)&gt;1,WEEKDAY(A1016)&lt;7),"Wkd",TEXT(A1016,"Ddd"))&amp;"-"&amp;TEXT(A1016,"hh"),LoadTable[],6,FALSE)*T1016</f>
        <v>15706.058042400004</v>
      </c>
      <c r="V1016">
        <f t="shared" ref="V1016:W1016" si="1068">V992</f>
        <v>2.9</v>
      </c>
      <c r="W1016">
        <f t="shared" si="1068"/>
        <v>3.1</v>
      </c>
      <c r="X1016" s="9">
        <v>-18.2473210166666</v>
      </c>
    </row>
    <row r="1017" spans="1:24">
      <c r="A1017" s="29">
        <f t="shared" si="1012"/>
        <v>45878.249999997541</v>
      </c>
      <c r="B1017" s="30">
        <f t="shared" si="1036"/>
        <v>8000</v>
      </c>
      <c r="C1017" s="8">
        <v>25000</v>
      </c>
      <c r="D1017" s="8">
        <v>0</v>
      </c>
      <c r="E1017" s="8">
        <v>700</v>
      </c>
      <c r="F1017" s="8">
        <v>15000</v>
      </c>
      <c r="G1017" s="30">
        <f t="shared" si="1037"/>
        <v>2400</v>
      </c>
      <c r="H1017" s="8">
        <v>25000</v>
      </c>
      <c r="I1017" s="30">
        <f t="shared" si="1038"/>
        <v>8000</v>
      </c>
      <c r="J1017" s="8">
        <v>25000</v>
      </c>
      <c r="K1017" s="30">
        <f t="shared" si="1039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14.4</v>
      </c>
      <c r="O1017" s="9">
        <v>13.5</v>
      </c>
      <c r="P1017" s="9">
        <v>19.5</v>
      </c>
      <c r="Q1017" s="79">
        <f>VLOOKUP(VLOOKUP(DATEVALUE(TEXT(A1017,"m/d/yyyy")),FY24_Temp[],5,FALSE)&amp;TEXT(A1017,"-h"),Table6[],4,FALSE)</f>
        <v>2.0285714013235912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VLOOKUP(TEXT(A1017,"yy-mm")&amp;"-"&amp;IF(AND(WEEKDAY(A1017)&gt;1,WEEKDAY(A1017)&lt;7),"Wkd",TEXT(A1017,"Ddd"))&amp;"-"&amp;TEXT(A1017,"hh"),LoadTable[],5,FALSE)*0.92</f>
        <v>295.12680000000006</v>
      </c>
      <c r="U1017" s="104">
        <f>VLOOKUP(TEXT(A1017,"yy-mm")&amp;"-"&amp;IF(AND(WEEKDAY(A1017)&gt;1,WEEKDAY(A1017)&lt;7),"Wkd",TEXT(A1017,"Ddd"))&amp;"-"&amp;TEXT(A1017,"hh"),LoadTable[],6,FALSE)*T1017</f>
        <v>19680.235531200004</v>
      </c>
      <c r="V1017">
        <f t="shared" ref="V1017:W1017" si="1069">V993</f>
        <v>2.5</v>
      </c>
      <c r="W1017">
        <f t="shared" si="1069"/>
        <v>3.1</v>
      </c>
      <c r="X1017" s="9">
        <v>-18.3251155666666</v>
      </c>
    </row>
    <row r="1018" spans="1:24">
      <c r="A1018" s="29">
        <f t="shared" si="1012"/>
        <v>45878.291666664205</v>
      </c>
      <c r="B1018" s="30">
        <f t="shared" si="1036"/>
        <v>8000</v>
      </c>
      <c r="C1018" s="8">
        <v>25000</v>
      </c>
      <c r="D1018" s="8">
        <v>0</v>
      </c>
      <c r="E1018" s="8">
        <v>700</v>
      </c>
      <c r="F1018" s="8">
        <v>15000</v>
      </c>
      <c r="G1018" s="30">
        <f t="shared" si="1037"/>
        <v>2400</v>
      </c>
      <c r="H1018" s="8">
        <v>25000</v>
      </c>
      <c r="I1018" s="30">
        <f t="shared" si="1038"/>
        <v>8000</v>
      </c>
      <c r="J1018" s="8">
        <v>25000</v>
      </c>
      <c r="K1018" s="30">
        <f t="shared" si="1039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14.4</v>
      </c>
      <c r="O1018" s="9">
        <v>13.5</v>
      </c>
      <c r="P1018" s="9">
        <v>19.5</v>
      </c>
      <c r="Q1018" s="79">
        <f>VLOOKUP(VLOOKUP(DATEVALUE(TEXT(A1018,"m/d/yyyy")),FY24_Temp[],5,FALSE)&amp;TEXT(A1018,"-h"),Table6[],4,FALSE)</f>
        <v>1.9455714055470057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VLOOKUP(TEXT(A1018,"yy-mm")&amp;"-"&amp;IF(AND(WEEKDAY(A1018)&gt;1,WEEKDAY(A1018)&lt;7),"Wkd",TEXT(A1018,"Ddd"))&amp;"-"&amp;TEXT(A1018,"hh"),LoadTable[],5,FALSE)*0.92</f>
        <v>295.12680000000006</v>
      </c>
      <c r="U1018" s="104">
        <f>VLOOKUP(TEXT(A1018,"yy-mm")&amp;"-"&amp;IF(AND(WEEKDAY(A1018)&gt;1,WEEKDAY(A1018)&lt;7),"Wkd",TEXT(A1018,"Ddd"))&amp;"-"&amp;TEXT(A1018,"hh"),LoadTable[],6,FALSE)*T1018</f>
        <v>18329.440167600005</v>
      </c>
      <c r="V1018">
        <f t="shared" ref="V1018:W1018" si="1070">V994</f>
        <v>2.5</v>
      </c>
      <c r="W1018">
        <f t="shared" si="1070"/>
        <v>3.1</v>
      </c>
      <c r="X1018" s="9">
        <v>-18.4029101166666</v>
      </c>
    </row>
    <row r="1019" spans="1:24">
      <c r="A1019" s="29">
        <f t="shared" si="1012"/>
        <v>45878.333333330869</v>
      </c>
      <c r="B1019" s="30">
        <f t="shared" si="1036"/>
        <v>8000</v>
      </c>
      <c r="C1019" s="8">
        <v>25000</v>
      </c>
      <c r="D1019" s="8">
        <v>0</v>
      </c>
      <c r="E1019" s="8">
        <v>700</v>
      </c>
      <c r="F1019" s="8">
        <v>15000</v>
      </c>
      <c r="G1019" s="30">
        <f t="shared" si="1037"/>
        <v>2400</v>
      </c>
      <c r="H1019" s="8">
        <v>25000</v>
      </c>
      <c r="I1019" s="30">
        <f t="shared" si="1038"/>
        <v>8000</v>
      </c>
      <c r="J1019" s="8">
        <v>25000</v>
      </c>
      <c r="K1019" s="30">
        <f t="shared" si="1039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14.4</v>
      </c>
      <c r="O1019" s="9">
        <v>13.5</v>
      </c>
      <c r="P1019" s="9">
        <v>19.5</v>
      </c>
      <c r="Q1019" s="79">
        <f>VLOOKUP(VLOOKUP(DATEVALUE(TEXT(A1019,"m/d/yyyy")),FY24_Temp[],5,FALSE)&amp;TEXT(A1019,"-h"),Table6[],4,FALSE)</f>
        <v>1.8411428587777274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VLOOKUP(TEXT(A1019,"yy-mm")&amp;"-"&amp;IF(AND(WEEKDAY(A1019)&gt;1,WEEKDAY(A1019)&lt;7),"Wkd",TEXT(A1019,"Ddd"))&amp;"-"&amp;TEXT(A1019,"hh"),LoadTable[],5,FALSE)*0.92</f>
        <v>295.12680000000006</v>
      </c>
      <c r="U1019" s="104">
        <f>VLOOKUP(TEXT(A1019,"yy-mm")&amp;"-"&amp;IF(AND(WEEKDAY(A1019)&gt;1,WEEKDAY(A1019)&lt;7),"Wkd",TEXT(A1019,"Ddd"))&amp;"-"&amp;TEXT(A1019,"hh"),LoadTable[],6,FALSE)*T1019</f>
        <v>15066.223140000002</v>
      </c>
      <c r="V1019">
        <f t="shared" ref="V1019:W1019" si="1071">V995</f>
        <v>3.2</v>
      </c>
      <c r="W1019">
        <f t="shared" si="1071"/>
        <v>3</v>
      </c>
      <c r="X1019" s="9">
        <v>-18.4807046666666</v>
      </c>
    </row>
    <row r="1020" spans="1:24">
      <c r="A1020" s="29">
        <f t="shared" si="1012"/>
        <v>45878.374999997533</v>
      </c>
      <c r="B1020" s="30">
        <f t="shared" si="1036"/>
        <v>8000</v>
      </c>
      <c r="C1020" s="8">
        <v>25000</v>
      </c>
      <c r="D1020" s="8">
        <v>0</v>
      </c>
      <c r="E1020" s="8">
        <v>700</v>
      </c>
      <c r="F1020" s="8">
        <v>15000</v>
      </c>
      <c r="G1020" s="30">
        <f t="shared" si="1037"/>
        <v>2400</v>
      </c>
      <c r="H1020" s="8">
        <v>25000</v>
      </c>
      <c r="I1020" s="30">
        <f t="shared" si="1038"/>
        <v>8000</v>
      </c>
      <c r="J1020" s="8">
        <v>25000</v>
      </c>
      <c r="K1020" s="30">
        <f t="shared" si="1039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14.4</v>
      </c>
      <c r="O1020" s="9">
        <v>13.5</v>
      </c>
      <c r="P1020" s="9">
        <v>19.5</v>
      </c>
      <c r="Q1020" s="79">
        <f>VLOOKUP(VLOOKUP(DATEVALUE(TEXT(A1020,"m/d/yyyy")),FY24_Temp[],5,FALSE)&amp;TEXT(A1020,"-h"),Table6[],4,FALSE)</f>
        <v>1.7424285582133703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VLOOKUP(TEXT(A1020,"yy-mm")&amp;"-"&amp;IF(AND(WEEKDAY(A1020)&gt;1,WEEKDAY(A1020)&lt;7),"Wkd",TEXT(A1020,"Ddd"))&amp;"-"&amp;TEXT(A1020,"hh"),LoadTable[],5,FALSE)*0.92</f>
        <v>295.12680000000006</v>
      </c>
      <c r="U1020" s="104">
        <f>VLOOKUP(TEXT(A1020,"yy-mm")&amp;"-"&amp;IF(AND(WEEKDAY(A1020)&gt;1,WEEKDAY(A1020)&lt;7),"Wkd",TEXT(A1020,"Ddd"))&amp;"-"&amp;TEXT(A1020,"hh"),LoadTable[],6,FALSE)*T1020</f>
        <v>13543.663978800003</v>
      </c>
      <c r="V1020">
        <f t="shared" ref="V1020:W1020" si="1072">V996</f>
        <v>2.9</v>
      </c>
      <c r="W1020">
        <f t="shared" si="1072"/>
        <v>3</v>
      </c>
      <c r="X1020" s="9">
        <v>-18.558499216666601</v>
      </c>
    </row>
    <row r="1021" spans="1:24">
      <c r="A1021" s="29">
        <f t="shared" si="1012"/>
        <v>45878.416666664198</v>
      </c>
      <c r="B1021" s="30">
        <f t="shared" si="1036"/>
        <v>8000</v>
      </c>
      <c r="C1021" s="8">
        <v>25000</v>
      </c>
      <c r="D1021" s="8">
        <v>0</v>
      </c>
      <c r="E1021" s="8">
        <v>700</v>
      </c>
      <c r="F1021" s="8">
        <v>15000</v>
      </c>
      <c r="G1021" s="30">
        <f t="shared" si="1037"/>
        <v>2400</v>
      </c>
      <c r="H1021" s="8">
        <v>25000</v>
      </c>
      <c r="I1021" s="30">
        <f t="shared" si="1038"/>
        <v>8000</v>
      </c>
      <c r="J1021" s="8">
        <v>25000</v>
      </c>
      <c r="K1021" s="30">
        <f t="shared" si="1039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14.4</v>
      </c>
      <c r="O1021" s="9">
        <v>13.5</v>
      </c>
      <c r="P1021" s="9">
        <v>19.5</v>
      </c>
      <c r="Q1021" s="79">
        <f>VLOOKUP(VLOOKUP(DATEVALUE(TEXT(A1021,"m/d/yyyy")),FY24_Temp[],5,FALSE)&amp;TEXT(A1021,"-h"),Table6[],4,FALSE)</f>
        <v>1.6560000010899134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VLOOKUP(TEXT(A1021,"yy-mm")&amp;"-"&amp;IF(AND(WEEKDAY(A1021)&gt;1,WEEKDAY(A1021)&lt;7),"Wkd",TEXT(A1021,"Ddd"))&amp;"-"&amp;TEXT(A1021,"hh"),LoadTable[],5,FALSE)*0.92</f>
        <v>295.12680000000006</v>
      </c>
      <c r="U1021" s="104">
        <f>VLOOKUP(TEXT(A1021,"yy-mm")&amp;"-"&amp;IF(AND(WEEKDAY(A1021)&gt;1,WEEKDAY(A1021)&lt;7),"Wkd",TEXT(A1021,"Ddd"))&amp;"-"&amp;TEXT(A1021,"hh"),LoadTable[],6,FALSE)*T1021</f>
        <v>13519.168454400002</v>
      </c>
      <c r="V1021">
        <f t="shared" ref="V1021:W1021" si="1073">V997</f>
        <v>2.9</v>
      </c>
      <c r="W1021">
        <f t="shared" si="1073"/>
        <v>3</v>
      </c>
      <c r="X1021" s="9">
        <v>-18.636293766666601</v>
      </c>
    </row>
    <row r="1022" spans="1:24">
      <c r="A1022" s="29">
        <f t="shared" si="1012"/>
        <v>45878.458333330862</v>
      </c>
      <c r="B1022" s="30">
        <f t="shared" si="1036"/>
        <v>8000</v>
      </c>
      <c r="C1022" s="8">
        <v>25000</v>
      </c>
      <c r="D1022" s="8">
        <v>0</v>
      </c>
      <c r="E1022" s="8">
        <v>700</v>
      </c>
      <c r="F1022" s="8">
        <v>15000</v>
      </c>
      <c r="G1022" s="30">
        <f t="shared" si="1037"/>
        <v>2400</v>
      </c>
      <c r="H1022" s="8">
        <v>25000</v>
      </c>
      <c r="I1022" s="30">
        <f t="shared" si="1038"/>
        <v>8000</v>
      </c>
      <c r="J1022" s="8">
        <v>25000</v>
      </c>
      <c r="K1022" s="30">
        <f t="shared" si="1039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14.4</v>
      </c>
      <c r="O1022" s="9">
        <v>13.5</v>
      </c>
      <c r="P1022" s="9">
        <v>19.5</v>
      </c>
      <c r="Q1022" s="79">
        <f>VLOOKUP(VLOOKUP(DATEVALUE(TEXT(A1022,"m/d/yyyy")),FY24_Temp[],5,FALSE)&amp;TEXT(A1022,"-h"),Table6[],4,FALSE)</f>
        <v>1.5444285869598389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VLOOKUP(TEXT(A1022,"yy-mm")&amp;"-"&amp;IF(AND(WEEKDAY(A1022)&gt;1,WEEKDAY(A1022)&lt;7),"Wkd",TEXT(A1022,"Ddd"))&amp;"-"&amp;TEXT(A1022,"hh"),LoadTable[],5,FALSE)*0.92</f>
        <v>295.12680000000006</v>
      </c>
      <c r="U1022" s="104">
        <f>VLOOKUP(TEXT(A1022,"yy-mm")&amp;"-"&amp;IF(AND(WEEKDAY(A1022)&gt;1,WEEKDAY(A1022)&lt;7),"Wkd",TEXT(A1022,"Ddd"))&amp;"-"&amp;TEXT(A1022,"hh"),LoadTable[],6,FALSE)*T1022</f>
        <v>13493.492422800002</v>
      </c>
      <c r="V1022">
        <f t="shared" ref="V1022:W1022" si="1074">V998</f>
        <v>3.4</v>
      </c>
      <c r="W1022">
        <f t="shared" si="1074"/>
        <v>3</v>
      </c>
      <c r="X1022" s="9">
        <v>-18.714088316666601</v>
      </c>
    </row>
    <row r="1023" spans="1:24">
      <c r="A1023" s="29">
        <f t="shared" si="1012"/>
        <v>45878.499999997526</v>
      </c>
      <c r="B1023" s="30">
        <f t="shared" si="1036"/>
        <v>8000</v>
      </c>
      <c r="C1023" s="8">
        <v>25000</v>
      </c>
      <c r="D1023" s="8">
        <v>0</v>
      </c>
      <c r="E1023" s="8">
        <v>700</v>
      </c>
      <c r="F1023" s="8">
        <v>15000</v>
      </c>
      <c r="G1023" s="30">
        <f t="shared" si="1037"/>
        <v>2400</v>
      </c>
      <c r="H1023" s="8">
        <v>25000</v>
      </c>
      <c r="I1023" s="30">
        <f t="shared" si="1038"/>
        <v>8000</v>
      </c>
      <c r="J1023" s="8">
        <v>25000</v>
      </c>
      <c r="K1023" s="30">
        <f t="shared" si="1039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14.4</v>
      </c>
      <c r="O1023" s="9">
        <v>13.5</v>
      </c>
      <c r="P1023" s="9">
        <v>19.5</v>
      </c>
      <c r="Q1023" s="79">
        <f>VLOOKUP(VLOOKUP(DATEVALUE(TEXT(A1023,"m/d/yyyy")),FY24_Temp[],5,FALSE)&amp;TEXT(A1023,"-h"),Table6[],4,FALSE)</f>
        <v>1.4021428823471069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VLOOKUP(TEXT(A1023,"yy-mm")&amp;"-"&amp;IF(AND(WEEKDAY(A1023)&gt;1,WEEKDAY(A1023)&lt;7),"Wkd",TEXT(A1023,"Ddd"))&amp;"-"&amp;TEXT(A1023,"hh"),LoadTable[],5,FALSE)*0.92</f>
        <v>295.12680000000006</v>
      </c>
      <c r="U1023" s="104">
        <f>VLOOKUP(TEXT(A1023,"yy-mm")&amp;"-"&amp;IF(AND(WEEKDAY(A1023)&gt;1,WEEKDAY(A1023)&lt;7),"Wkd",TEXT(A1023,"Ddd"))&amp;"-"&amp;TEXT(A1023,"hh"),LoadTable[],6,FALSE)*T1023</f>
        <v>13497.624198000003</v>
      </c>
      <c r="V1023">
        <f t="shared" ref="V1023:W1023" si="1075">V999</f>
        <v>3.1</v>
      </c>
      <c r="W1023">
        <f t="shared" si="1075"/>
        <v>2.9</v>
      </c>
      <c r="X1023" s="9">
        <v>-18.791882866666601</v>
      </c>
    </row>
    <row r="1024" spans="1:24">
      <c r="A1024" s="29">
        <f t="shared" si="1012"/>
        <v>45878.54166666419</v>
      </c>
      <c r="B1024" s="30">
        <f t="shared" si="1036"/>
        <v>8000</v>
      </c>
      <c r="C1024" s="8">
        <v>25000</v>
      </c>
      <c r="D1024" s="8">
        <v>0</v>
      </c>
      <c r="E1024" s="8">
        <v>700</v>
      </c>
      <c r="F1024" s="8">
        <v>15000</v>
      </c>
      <c r="G1024" s="30">
        <f t="shared" si="1037"/>
        <v>2400</v>
      </c>
      <c r="H1024" s="8">
        <v>25000</v>
      </c>
      <c r="I1024" s="30">
        <f t="shared" si="1038"/>
        <v>8000</v>
      </c>
      <c r="J1024" s="8">
        <v>25000</v>
      </c>
      <c r="K1024" s="30">
        <f t="shared" si="1039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14.4</v>
      </c>
      <c r="O1024" s="9">
        <v>13.5</v>
      </c>
      <c r="P1024" s="9">
        <v>19.5</v>
      </c>
      <c r="Q1024" s="79">
        <f>VLOOKUP(VLOOKUP(DATEVALUE(TEXT(A1024,"m/d/yyyy")),FY24_Temp[],5,FALSE)&amp;TEXT(A1024,"-h"),Table6[],4,FALSE)</f>
        <v>1.2278571299144201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VLOOKUP(TEXT(A1024,"yy-mm")&amp;"-"&amp;IF(AND(WEEKDAY(A1024)&gt;1,WEEKDAY(A1024)&lt;7),"Wkd",TEXT(A1024,"Ddd"))&amp;"-"&amp;TEXT(A1024,"hh"),LoadTable[],5,FALSE)*0.92</f>
        <v>295.12680000000006</v>
      </c>
      <c r="U1024" s="104">
        <f>VLOOKUP(TEXT(A1024,"yy-mm")&amp;"-"&amp;IF(AND(WEEKDAY(A1024)&gt;1,WEEKDAY(A1024)&lt;7),"Wkd",TEXT(A1024,"Ddd"))&amp;"-"&amp;TEXT(A1024,"hh"),LoadTable[],6,FALSE)*T1024</f>
        <v>13523.005102800002</v>
      </c>
      <c r="V1024">
        <f t="shared" ref="V1024:W1024" si="1076">V1000</f>
        <v>3.2</v>
      </c>
      <c r="W1024">
        <f t="shared" si="1076"/>
        <v>2.9</v>
      </c>
      <c r="X1024" s="9">
        <v>-18.869677416666601</v>
      </c>
    </row>
    <row r="1025" spans="1:24">
      <c r="A1025" s="29">
        <f t="shared" si="1012"/>
        <v>45878.583333330855</v>
      </c>
      <c r="B1025" s="30">
        <f t="shared" si="1036"/>
        <v>8000</v>
      </c>
      <c r="C1025" s="8">
        <v>25000</v>
      </c>
      <c r="D1025" s="8">
        <v>0</v>
      </c>
      <c r="E1025" s="8">
        <v>700</v>
      </c>
      <c r="F1025" s="8">
        <v>15000</v>
      </c>
      <c r="G1025" s="30">
        <f t="shared" si="1037"/>
        <v>2400</v>
      </c>
      <c r="H1025" s="8">
        <v>25000</v>
      </c>
      <c r="I1025" s="30">
        <f t="shared" si="1038"/>
        <v>8000</v>
      </c>
      <c r="J1025" s="8">
        <v>25000</v>
      </c>
      <c r="K1025" s="30">
        <f t="shared" si="1039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14.4</v>
      </c>
      <c r="O1025" s="9">
        <v>13.5</v>
      </c>
      <c r="P1025" s="9">
        <v>19.5</v>
      </c>
      <c r="Q1025" s="79">
        <f>VLOOKUP(VLOOKUP(DATEVALUE(TEXT(A1025,"m/d/yyyy")),FY24_Temp[],5,FALSE)&amp;TEXT(A1025,"-h"),Table6[],4,FALSE)</f>
        <v>1.0399999959128243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VLOOKUP(TEXT(A1025,"yy-mm")&amp;"-"&amp;IF(AND(WEEKDAY(A1025)&gt;1,WEEKDAY(A1025)&lt;7),"Wkd",TEXT(A1025,"Ddd"))&amp;"-"&amp;TEXT(A1025,"hh"),LoadTable[],5,FALSE)*0.92</f>
        <v>295.12680000000006</v>
      </c>
      <c r="U1025" s="104">
        <f>VLOOKUP(TEXT(A1025,"yy-mm")&amp;"-"&amp;IF(AND(WEEKDAY(A1025)&gt;1,WEEKDAY(A1025)&lt;7),"Wkd",TEXT(A1025,"Ddd"))&amp;"-"&amp;TEXT(A1025,"hh"),LoadTable[],6,FALSE)*T1025</f>
        <v>13610.952889200003</v>
      </c>
      <c r="V1025">
        <f t="shared" ref="V1025:W1025" si="1077">V1001</f>
        <v>3.5</v>
      </c>
      <c r="W1025">
        <f t="shared" si="1077"/>
        <v>2.9</v>
      </c>
      <c r="X1025" s="9">
        <v>-18.947471966666601</v>
      </c>
    </row>
    <row r="1026" spans="1:24">
      <c r="A1026" s="29">
        <f t="shared" si="1012"/>
        <v>45878.624999997519</v>
      </c>
      <c r="B1026" s="30">
        <f t="shared" si="1036"/>
        <v>8000</v>
      </c>
      <c r="C1026" s="8">
        <v>25000</v>
      </c>
      <c r="D1026" s="8">
        <v>0</v>
      </c>
      <c r="E1026" s="8">
        <v>700</v>
      </c>
      <c r="F1026" s="8">
        <v>15000</v>
      </c>
      <c r="G1026" s="30">
        <f t="shared" si="1037"/>
        <v>2400</v>
      </c>
      <c r="H1026" s="8">
        <v>25000</v>
      </c>
      <c r="I1026" s="30">
        <f t="shared" si="1038"/>
        <v>8000</v>
      </c>
      <c r="J1026" s="8">
        <v>25000</v>
      </c>
      <c r="K1026" s="30">
        <f t="shared" si="1039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14.4</v>
      </c>
      <c r="O1026" s="9">
        <v>13.5</v>
      </c>
      <c r="P1026" s="9">
        <v>19.5</v>
      </c>
      <c r="Q1026" s="79">
        <f>VLOOKUP(VLOOKUP(DATEVALUE(TEXT(A1026,"m/d/yyyy")),FY24_Temp[],5,FALSE)&amp;TEXT(A1026,"-h"),Table6[],4,FALSE)</f>
        <v>0.86785714115415302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VLOOKUP(TEXT(A1026,"yy-mm")&amp;"-"&amp;IF(AND(WEEKDAY(A1026)&gt;1,WEEKDAY(A1026)&lt;7),"Wkd",TEXT(A1026,"Ddd"))&amp;"-"&amp;TEXT(A1026,"hh"),LoadTable[],5,FALSE)*0.92</f>
        <v>347.07460000000003</v>
      </c>
      <c r="U1026" s="104">
        <f>VLOOKUP(TEXT(A1026,"yy-mm")&amp;"-"&amp;IF(AND(WEEKDAY(A1026)&gt;1,WEEKDAY(A1026)&lt;7),"Wkd",TEXT(A1026,"Ddd"))&amp;"-"&amp;TEXT(A1026,"hh"),LoadTable[],6,FALSE)*T1026</f>
        <v>17934.732880400003</v>
      </c>
      <c r="V1026">
        <f t="shared" ref="V1026:W1026" si="1078">V1002</f>
        <v>3.2</v>
      </c>
      <c r="W1026">
        <f t="shared" si="1078"/>
        <v>2.9</v>
      </c>
      <c r="X1026" s="9">
        <v>-19.025266516666601</v>
      </c>
    </row>
    <row r="1027" spans="1:24">
      <c r="A1027" s="29">
        <f t="shared" si="1012"/>
        <v>45878.666666664183</v>
      </c>
      <c r="B1027" s="30">
        <f t="shared" si="1036"/>
        <v>8000</v>
      </c>
      <c r="C1027" s="8">
        <v>25000</v>
      </c>
      <c r="D1027" s="8">
        <v>0</v>
      </c>
      <c r="E1027" s="8">
        <v>700</v>
      </c>
      <c r="F1027" s="8">
        <v>15000</v>
      </c>
      <c r="G1027" s="30">
        <f t="shared" si="1037"/>
        <v>2400</v>
      </c>
      <c r="H1027" s="8">
        <v>25000</v>
      </c>
      <c r="I1027" s="30">
        <f t="shared" si="1038"/>
        <v>8000</v>
      </c>
      <c r="J1027" s="8">
        <v>25000</v>
      </c>
      <c r="K1027" s="30">
        <f t="shared" si="1039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14.4</v>
      </c>
      <c r="O1027" s="9">
        <v>13.5</v>
      </c>
      <c r="P1027" s="9">
        <v>19.5</v>
      </c>
      <c r="Q1027" s="79">
        <f>VLOOKUP(VLOOKUP(DATEVALUE(TEXT(A1027,"m/d/yyyy")),FY24_Temp[],5,FALSE)&amp;TEXT(A1027,"-h"),Table6[],4,FALSE)</f>
        <v>0.77942857572010582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VLOOKUP(TEXT(A1027,"yy-mm")&amp;"-"&amp;IF(AND(WEEKDAY(A1027)&gt;1,WEEKDAY(A1027)&lt;7),"Wkd",TEXT(A1027,"Ddd"))&amp;"-"&amp;TEXT(A1027,"hh"),LoadTable[],5,FALSE)*0.92</f>
        <v>406.27384000000001</v>
      </c>
      <c r="U1027" s="104">
        <f>VLOOKUP(TEXT(A1027,"yy-mm")&amp;"-"&amp;IF(AND(WEEKDAY(A1027)&gt;1,WEEKDAY(A1027)&lt;7),"Wkd",TEXT(A1027,"Ddd"))&amp;"-"&amp;TEXT(A1027,"hh"),LoadTable[],6,FALSE)*T1027</f>
        <v>24574.692033920001</v>
      </c>
      <c r="V1027">
        <f t="shared" ref="V1027:W1027" si="1079">V1003</f>
        <v>3.5</v>
      </c>
      <c r="W1027">
        <f t="shared" si="1079"/>
        <v>3</v>
      </c>
      <c r="X1027" s="9">
        <v>-19.103061066666601</v>
      </c>
    </row>
    <row r="1028" spans="1:24">
      <c r="A1028" s="29">
        <f t="shared" si="1012"/>
        <v>45878.708333330847</v>
      </c>
      <c r="B1028" s="30">
        <f t="shared" si="1036"/>
        <v>8000</v>
      </c>
      <c r="C1028" s="8">
        <v>25000</v>
      </c>
      <c r="D1028" s="8">
        <v>0</v>
      </c>
      <c r="E1028" s="8">
        <v>700</v>
      </c>
      <c r="F1028" s="8">
        <v>15000</v>
      </c>
      <c r="G1028" s="30">
        <f t="shared" si="1037"/>
        <v>2400</v>
      </c>
      <c r="H1028" s="8">
        <v>25000</v>
      </c>
      <c r="I1028" s="30">
        <f t="shared" si="1038"/>
        <v>8000</v>
      </c>
      <c r="J1028" s="8">
        <v>25000</v>
      </c>
      <c r="K1028" s="30">
        <f t="shared" si="1039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14.4</v>
      </c>
      <c r="O1028" s="9">
        <v>13.5</v>
      </c>
      <c r="P1028" s="9">
        <v>19.5</v>
      </c>
      <c r="Q1028" s="79">
        <f>VLOOKUP(VLOOKUP(DATEVALUE(TEXT(A1028,"m/d/yyyy")),FY24_Temp[],5,FALSE)&amp;TEXT(A1028,"-h"),Table6[],4,FALSE)</f>
        <v>0.93557143211364746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VLOOKUP(TEXT(A1028,"yy-mm")&amp;"-"&amp;IF(AND(WEEKDAY(A1028)&gt;1,WEEKDAY(A1028)&lt;7),"Wkd",TEXT(A1028,"Ddd"))&amp;"-"&amp;TEXT(A1028,"hh"),LoadTable[],5,FALSE)*0.92</f>
        <v>521.92427999999995</v>
      </c>
      <c r="U1028" s="104">
        <f>VLOOKUP(TEXT(A1028,"yy-mm")&amp;"-"&amp;IF(AND(WEEKDAY(A1028)&gt;1,WEEKDAY(A1028)&lt;7),"Wkd",TEXT(A1028,"Ddd"))&amp;"-"&amp;TEXT(A1028,"hh"),LoadTable[],6,FALSE)*T1028</f>
        <v>43053.011932919995</v>
      </c>
      <c r="V1028">
        <f t="shared" ref="V1028:W1028" si="1080">V1004</f>
        <v>3.6</v>
      </c>
      <c r="W1028">
        <f t="shared" si="1080"/>
        <v>3</v>
      </c>
      <c r="X1028" s="9">
        <v>-19.180855616666602</v>
      </c>
    </row>
    <row r="1029" spans="1:24">
      <c r="A1029" s="29">
        <f t="shared" ref="A1029:A1092" si="1081">A1028+TIME(1,0,0)</f>
        <v>45878.749999997512</v>
      </c>
      <c r="B1029" s="30">
        <f t="shared" si="1036"/>
        <v>5000</v>
      </c>
      <c r="C1029" s="8">
        <v>25000</v>
      </c>
      <c r="D1029" s="8">
        <v>0</v>
      </c>
      <c r="E1029" s="8">
        <v>700</v>
      </c>
      <c r="F1029" s="8">
        <v>15000</v>
      </c>
      <c r="G1029" s="30">
        <f t="shared" si="1037"/>
        <v>2400</v>
      </c>
      <c r="H1029" s="8">
        <v>25000</v>
      </c>
      <c r="I1029" s="30">
        <f t="shared" si="1038"/>
        <v>5000</v>
      </c>
      <c r="J1029" s="8">
        <v>25000</v>
      </c>
      <c r="K1029" s="30">
        <f t="shared" si="1039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14.4</v>
      </c>
      <c r="O1029" s="9">
        <v>13.5</v>
      </c>
      <c r="P1029" s="9">
        <v>19.5</v>
      </c>
      <c r="Q1029" s="79">
        <f>VLOOKUP(VLOOKUP(DATEVALUE(TEXT(A1029,"m/d/yyyy")),FY24_Temp[],5,FALSE)&amp;TEXT(A1029,"-h"),Table6[],4,FALSE)</f>
        <v>1.3035714285714286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VLOOKUP(TEXT(A1029,"yy-mm")&amp;"-"&amp;IF(AND(WEEKDAY(A1029)&gt;1,WEEKDAY(A1029)&lt;7),"Wkd",TEXT(A1029,"Ddd"))&amp;"-"&amp;TEXT(A1029,"hh"),LoadTable[],5,FALSE)*0.92</f>
        <v>521.92427999999995</v>
      </c>
      <c r="U1029" s="104">
        <f>VLOOKUP(TEXT(A1029,"yy-mm")&amp;"-"&amp;IF(AND(WEEKDAY(A1029)&gt;1,WEEKDAY(A1029)&lt;7),"Wkd",TEXT(A1029,"Ddd"))&amp;"-"&amp;TEXT(A1029,"hh"),LoadTable[],6,FALSE)*T1029</f>
        <v>63421.628884199992</v>
      </c>
      <c r="V1029">
        <f t="shared" ref="V1029:W1029" si="1082">V1005</f>
        <v>2.9</v>
      </c>
      <c r="W1029">
        <f t="shared" si="1082"/>
        <v>3</v>
      </c>
      <c r="X1029" s="9">
        <v>-19.258650166666602</v>
      </c>
    </row>
    <row r="1030" spans="1:24">
      <c r="A1030" s="29">
        <f t="shared" si="1081"/>
        <v>45878.791666664176</v>
      </c>
      <c r="B1030" s="30">
        <f t="shared" si="1036"/>
        <v>5000</v>
      </c>
      <c r="C1030" s="8">
        <v>25000</v>
      </c>
      <c r="D1030" s="8">
        <v>0</v>
      </c>
      <c r="E1030" s="8">
        <v>700</v>
      </c>
      <c r="F1030" s="8">
        <v>15000</v>
      </c>
      <c r="G1030" s="30">
        <f t="shared" si="1037"/>
        <v>2400</v>
      </c>
      <c r="H1030" s="8">
        <v>25000</v>
      </c>
      <c r="I1030" s="30">
        <f t="shared" si="1038"/>
        <v>5000</v>
      </c>
      <c r="J1030" s="8">
        <v>25000</v>
      </c>
      <c r="K1030" s="30">
        <f t="shared" si="1039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14.4</v>
      </c>
      <c r="O1030" s="9">
        <v>13.5</v>
      </c>
      <c r="P1030" s="9">
        <v>19.5</v>
      </c>
      <c r="Q1030" s="79">
        <f>VLOOKUP(VLOOKUP(DATEVALUE(TEXT(A1030,"m/d/yyyy")),FY24_Temp[],5,FALSE)&amp;TEXT(A1030,"-h"),Table6[],4,FALSE)</f>
        <v>2.0524285861424039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VLOOKUP(TEXT(A1030,"yy-mm")&amp;"-"&amp;IF(AND(WEEKDAY(A1030)&gt;1,WEEKDAY(A1030)&lt;7),"Wkd",TEXT(A1030,"Ddd"))&amp;"-"&amp;TEXT(A1030,"hh"),LoadTable[],5,FALSE)*0.92</f>
        <v>521.92427999999995</v>
      </c>
      <c r="U1030" s="104">
        <f>VLOOKUP(TEXT(A1030,"yy-mm")&amp;"-"&amp;IF(AND(WEEKDAY(A1030)&gt;1,WEEKDAY(A1030)&lt;7),"Wkd",TEXT(A1030,"Ddd"))&amp;"-"&amp;TEXT(A1030,"hh"),LoadTable[],6,FALSE)*T1030</f>
        <v>68432.101972200006</v>
      </c>
      <c r="V1030">
        <f t="shared" ref="V1030:W1030" si="1083">V1006</f>
        <v>3</v>
      </c>
      <c r="W1030">
        <f t="shared" si="1083"/>
        <v>3</v>
      </c>
      <c r="X1030" s="9">
        <v>-19.336444716666598</v>
      </c>
    </row>
    <row r="1031" spans="1:24">
      <c r="A1031" s="29">
        <f t="shared" si="1081"/>
        <v>45878.83333333084</v>
      </c>
      <c r="B1031" s="30">
        <f t="shared" si="1036"/>
        <v>5000</v>
      </c>
      <c r="C1031" s="8">
        <v>25000</v>
      </c>
      <c r="D1031" s="8">
        <v>0</v>
      </c>
      <c r="E1031" s="8">
        <v>700</v>
      </c>
      <c r="F1031" s="8">
        <v>15000</v>
      </c>
      <c r="G1031" s="30">
        <f t="shared" si="1037"/>
        <v>2400</v>
      </c>
      <c r="H1031" s="8">
        <v>25000</v>
      </c>
      <c r="I1031" s="30">
        <f t="shared" si="1038"/>
        <v>5000</v>
      </c>
      <c r="J1031" s="8">
        <v>25000</v>
      </c>
      <c r="K1031" s="30">
        <f t="shared" si="1039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14.4</v>
      </c>
      <c r="O1031" s="9">
        <v>13.5</v>
      </c>
      <c r="P1031" s="9">
        <v>19.5</v>
      </c>
      <c r="Q1031" s="79">
        <f>VLOOKUP(VLOOKUP(DATEVALUE(TEXT(A1031,"m/d/yyyy")),FY24_Temp[],5,FALSE)&amp;TEXT(A1031,"-h"),Table6[],4,FALSE)</f>
        <v>2.8517142704554965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VLOOKUP(TEXT(A1031,"yy-mm")&amp;"-"&amp;IF(AND(WEEKDAY(A1031)&gt;1,WEEKDAY(A1031)&lt;7),"Wkd",TEXT(A1031,"Ddd"))&amp;"-"&amp;TEXT(A1031,"hh"),LoadTable[],5,FALSE)*0.92</f>
        <v>521.92427999999995</v>
      </c>
      <c r="U1031" s="104">
        <f>VLOOKUP(TEXT(A1031,"yy-mm")&amp;"-"&amp;IF(AND(WEEKDAY(A1031)&gt;1,WEEKDAY(A1031)&lt;7),"Wkd",TEXT(A1031,"Ddd"))&amp;"-"&amp;TEXT(A1031,"hh"),LoadTable[],6,FALSE)*T1031</f>
        <v>60683.092187039998</v>
      </c>
      <c r="V1031">
        <f t="shared" ref="V1031:W1031" si="1084">V1007</f>
        <v>2.8</v>
      </c>
      <c r="W1031">
        <f t="shared" si="1084"/>
        <v>3.1</v>
      </c>
      <c r="X1031" s="9">
        <v>-19.414239266666598</v>
      </c>
    </row>
    <row r="1032" spans="1:24">
      <c r="A1032" s="29">
        <f t="shared" si="1081"/>
        <v>45878.874999997504</v>
      </c>
      <c r="B1032" s="30">
        <f t="shared" si="1036"/>
        <v>5000</v>
      </c>
      <c r="C1032" s="8">
        <v>25000</v>
      </c>
      <c r="D1032" s="8">
        <v>0</v>
      </c>
      <c r="E1032" s="8">
        <v>700</v>
      </c>
      <c r="F1032" s="8">
        <v>15000</v>
      </c>
      <c r="G1032" s="30">
        <f t="shared" si="1037"/>
        <v>2400</v>
      </c>
      <c r="H1032" s="8">
        <v>25000</v>
      </c>
      <c r="I1032" s="30">
        <f t="shared" si="1038"/>
        <v>5000</v>
      </c>
      <c r="J1032" s="8">
        <v>25000</v>
      </c>
      <c r="K1032" s="30">
        <f t="shared" si="1039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14.4</v>
      </c>
      <c r="O1032" s="9">
        <v>13.5</v>
      </c>
      <c r="P1032" s="9">
        <v>19.5</v>
      </c>
      <c r="Q1032" s="79">
        <f>VLOOKUP(VLOOKUP(DATEVALUE(TEXT(A1032,"m/d/yyyy")),FY24_Temp[],5,FALSE)&amp;TEXT(A1032,"-h"),Table6[],4,FALSE)</f>
        <v>3.1017143045152937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VLOOKUP(TEXT(A1032,"yy-mm")&amp;"-"&amp;IF(AND(WEEKDAY(A1032)&gt;1,WEEKDAY(A1032)&lt;7),"Wkd",TEXT(A1032,"Ddd"))&amp;"-"&amp;TEXT(A1032,"hh"),LoadTable[],5,FALSE)*0.92</f>
        <v>521.92427999999995</v>
      </c>
      <c r="U1032" s="104">
        <f>VLOOKUP(TEXT(A1032,"yy-mm")&amp;"-"&amp;IF(AND(WEEKDAY(A1032)&gt;1,WEEKDAY(A1032)&lt;7),"Wkd",TEXT(A1032,"Ddd"))&amp;"-"&amp;TEXT(A1032,"hh"),LoadTable[],6,FALSE)*T1032</f>
        <v>49717.463064239993</v>
      </c>
      <c r="V1032">
        <f t="shared" ref="V1032:W1032" si="1085">V1008</f>
        <v>3.5</v>
      </c>
      <c r="W1032">
        <f t="shared" si="1085"/>
        <v>3.1</v>
      </c>
      <c r="X1032" s="9">
        <v>-19.492033816666599</v>
      </c>
    </row>
    <row r="1033" spans="1:24">
      <c r="A1033" s="29">
        <f t="shared" si="1081"/>
        <v>45878.916666664169</v>
      </c>
      <c r="B1033" s="30">
        <f t="shared" si="1036"/>
        <v>5000</v>
      </c>
      <c r="C1033" s="8">
        <v>25000</v>
      </c>
      <c r="D1033" s="8">
        <v>0</v>
      </c>
      <c r="E1033" s="8">
        <v>700</v>
      </c>
      <c r="F1033" s="8">
        <v>15000</v>
      </c>
      <c r="G1033" s="30">
        <f t="shared" si="1037"/>
        <v>2400</v>
      </c>
      <c r="H1033" s="8">
        <v>25000</v>
      </c>
      <c r="I1033" s="30">
        <f t="shared" si="1038"/>
        <v>5000</v>
      </c>
      <c r="J1033" s="8">
        <v>25000</v>
      </c>
      <c r="K1033" s="30">
        <f t="shared" si="1039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14.4</v>
      </c>
      <c r="O1033" s="9">
        <v>13.5</v>
      </c>
      <c r="P1033" s="9">
        <v>19.5</v>
      </c>
      <c r="Q1033" s="79">
        <f>VLOOKUP(VLOOKUP(DATEVALUE(TEXT(A1033,"m/d/yyyy")),FY24_Temp[],5,FALSE)&amp;TEXT(A1033,"-h"),Table6[],4,FALSE)</f>
        <v>3.0557142666407993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VLOOKUP(TEXT(A1033,"yy-mm")&amp;"-"&amp;IF(AND(WEEKDAY(A1033)&gt;1,WEEKDAY(A1033)&lt;7),"Wkd",TEXT(A1033,"Ddd"))&amp;"-"&amp;TEXT(A1033,"hh"),LoadTable[],5,FALSE)*0.92</f>
        <v>447.02432000000005</v>
      </c>
      <c r="U1033" s="104">
        <f>VLOOKUP(TEXT(A1033,"yy-mm")&amp;"-"&amp;IF(AND(WEEKDAY(A1033)&gt;1,WEEKDAY(A1033)&lt;7),"Wkd",TEXT(A1033,"Ddd"))&amp;"-"&amp;TEXT(A1033,"hh"),LoadTable[],6,FALSE)*T1033</f>
        <v>27025.302289920004</v>
      </c>
      <c r="V1033">
        <f t="shared" ref="V1033:W1033" si="1086">V1009</f>
        <v>2.9</v>
      </c>
      <c r="W1033">
        <f t="shared" si="1086"/>
        <v>3.1</v>
      </c>
      <c r="X1033" s="9">
        <v>-19.569828366666599</v>
      </c>
    </row>
    <row r="1034" spans="1:24">
      <c r="A1034" s="29">
        <f t="shared" si="1081"/>
        <v>45878.958333330833</v>
      </c>
      <c r="B1034" s="30">
        <f t="shared" si="1036"/>
        <v>5000</v>
      </c>
      <c r="C1034" s="8">
        <v>25000</v>
      </c>
      <c r="D1034" s="8">
        <v>0</v>
      </c>
      <c r="E1034" s="8">
        <v>700</v>
      </c>
      <c r="F1034" s="8">
        <v>15000</v>
      </c>
      <c r="G1034" s="30">
        <f t="shared" si="1037"/>
        <v>2400</v>
      </c>
      <c r="H1034" s="8">
        <v>25000</v>
      </c>
      <c r="I1034" s="30">
        <f t="shared" si="1038"/>
        <v>5000</v>
      </c>
      <c r="J1034" s="8">
        <v>25000</v>
      </c>
      <c r="K1034" s="30">
        <f t="shared" si="1039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14.4</v>
      </c>
      <c r="O1034" s="9">
        <v>13.5</v>
      </c>
      <c r="P1034" s="9">
        <v>19.5</v>
      </c>
      <c r="Q1034" s="79">
        <f>VLOOKUP(VLOOKUP(DATEVALUE(TEXT(A1034,"m/d/yyyy")),FY24_Temp[],5,FALSE)&amp;TEXT(A1034,"-h"),Table6[],4,FALSE)</f>
        <v>2.9255714416503906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VLOOKUP(TEXT(A1034,"yy-mm")&amp;"-"&amp;IF(AND(WEEKDAY(A1034)&gt;1,WEEKDAY(A1034)&lt;7),"Wkd",TEXT(A1034,"Ddd"))&amp;"-"&amp;TEXT(A1034,"hh"),LoadTable[],5,FALSE)*0.92</f>
        <v>372.12436000000002</v>
      </c>
      <c r="U1034" s="104">
        <f>VLOOKUP(TEXT(A1034,"yy-mm")&amp;"-"&amp;IF(AND(WEEKDAY(A1034)&gt;1,WEEKDAY(A1034)&lt;7),"Wkd",TEXT(A1034,"Ddd"))&amp;"-"&amp;TEXT(A1034,"hh"),LoadTable[],6,FALSE)*T1034</f>
        <v>20353.341870200002</v>
      </c>
      <c r="V1034">
        <f t="shared" ref="V1034:W1034" si="1087">V1010</f>
        <v>3.6</v>
      </c>
      <c r="W1034">
        <f t="shared" si="1087"/>
        <v>3.1</v>
      </c>
      <c r="X1034" s="9">
        <v>-19.647622916666599</v>
      </c>
    </row>
    <row r="1035" spans="1:24">
      <c r="A1035" s="29">
        <f t="shared" si="1081"/>
        <v>45878.999999997497</v>
      </c>
      <c r="B1035" s="30">
        <f t="shared" si="1036"/>
        <v>5000</v>
      </c>
      <c r="C1035" s="8">
        <v>25000</v>
      </c>
      <c r="D1035" s="8">
        <v>0</v>
      </c>
      <c r="E1035" s="8">
        <v>700</v>
      </c>
      <c r="F1035" s="8">
        <v>15000</v>
      </c>
      <c r="G1035" s="30">
        <f t="shared" si="1037"/>
        <v>2400</v>
      </c>
      <c r="H1035" s="8">
        <v>25000</v>
      </c>
      <c r="I1035" s="30">
        <f t="shared" si="1038"/>
        <v>5000</v>
      </c>
      <c r="J1035" s="8">
        <v>25000</v>
      </c>
      <c r="K1035" s="30">
        <f t="shared" si="1039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14.4</v>
      </c>
      <c r="O1035" s="9">
        <v>13.5</v>
      </c>
      <c r="P1035" s="9">
        <v>19.5</v>
      </c>
      <c r="Q1035" s="79">
        <f>VLOOKUP(VLOOKUP(DATEVALUE(TEXT(A1035,"m/d/yyyy")),FY24_Temp[],5,FALSE)&amp;TEXT(A1035,"-h"),Table6[],4,FALSE)</f>
        <v>2.8105713639940535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VLOOKUP(TEXT(A1035,"yy-mm")&amp;"-"&amp;IF(AND(WEEKDAY(A1035)&gt;1,WEEKDAY(A1035)&lt;7),"Wkd",TEXT(A1035,"Ddd"))&amp;"-"&amp;TEXT(A1035,"hh"),LoadTable[],5,FALSE)*0.92</f>
        <v>297.2244</v>
      </c>
      <c r="U1035" s="104">
        <f>VLOOKUP(TEXT(A1035,"yy-mm")&amp;"-"&amp;IF(AND(WEEKDAY(A1035)&gt;1,WEEKDAY(A1035)&lt;7),"Wkd",TEXT(A1035,"Ddd"))&amp;"-"&amp;TEXT(A1035,"hh"),LoadTable[],6,FALSE)*T1035</f>
        <v>16465.042862400001</v>
      </c>
      <c r="V1035">
        <f t="shared" ref="V1035:W1035" si="1088">V1011</f>
        <v>3</v>
      </c>
      <c r="W1035">
        <f t="shared" si="1088"/>
        <v>3.2</v>
      </c>
      <c r="X1035" s="9">
        <v>-19.725417466666599</v>
      </c>
    </row>
    <row r="1036" spans="1:24">
      <c r="A1036" s="29">
        <f t="shared" si="1081"/>
        <v>45879.041666664161</v>
      </c>
      <c r="B1036" s="30">
        <f t="shared" si="1036"/>
        <v>5000</v>
      </c>
      <c r="C1036" s="8">
        <v>25000</v>
      </c>
      <c r="D1036" s="8">
        <v>0</v>
      </c>
      <c r="E1036" s="8">
        <v>700</v>
      </c>
      <c r="F1036" s="8">
        <v>15000</v>
      </c>
      <c r="G1036" s="30">
        <f t="shared" si="1037"/>
        <v>2400</v>
      </c>
      <c r="H1036" s="8">
        <v>25000</v>
      </c>
      <c r="I1036" s="30">
        <f t="shared" si="1038"/>
        <v>5000</v>
      </c>
      <c r="J1036" s="8">
        <v>25000</v>
      </c>
      <c r="K1036" s="30">
        <f t="shared" si="1039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14.4</v>
      </c>
      <c r="O1036" s="9">
        <v>13.5</v>
      </c>
      <c r="P1036" s="9">
        <v>19.5</v>
      </c>
      <c r="Q1036" s="79">
        <f>VLOOKUP(VLOOKUP(DATEVALUE(TEXT(A1036,"m/d/yyyy")),FY24_Temp[],5,FALSE)&amp;TEXT(A1036,"-h"),Table6[],4,FALSE)</f>
        <v>2.7044286046709334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VLOOKUP(TEXT(A1036,"yy-mm")&amp;"-"&amp;IF(AND(WEEKDAY(A1036)&gt;1,WEEKDAY(A1036)&lt;7),"Wkd",TEXT(A1036,"Ddd"))&amp;"-"&amp;TEXT(A1036,"hh"),LoadTable[],5,FALSE)*0.92</f>
        <v>295.12680000000006</v>
      </c>
      <c r="U1036" s="104">
        <f>VLOOKUP(TEXT(A1036,"yy-mm")&amp;"-"&amp;IF(AND(WEEKDAY(A1036)&gt;1,WEEKDAY(A1036)&lt;7),"Wkd",TEXT(A1036,"Ddd"))&amp;"-"&amp;TEXT(A1036,"hh"),LoadTable[],6,FALSE)*T1036</f>
        <v>15879.592600800002</v>
      </c>
      <c r="V1036">
        <f t="shared" ref="V1036:W1036" si="1089">V1012</f>
        <v>2.6</v>
      </c>
      <c r="W1036">
        <f t="shared" si="1089"/>
        <v>3.2</v>
      </c>
      <c r="X1036" s="9">
        <v>-19.803212016666599</v>
      </c>
    </row>
    <row r="1037" spans="1:24">
      <c r="A1037" s="29">
        <f t="shared" si="1081"/>
        <v>45879.083333330826</v>
      </c>
      <c r="B1037" s="30">
        <f t="shared" si="1036"/>
        <v>5000</v>
      </c>
      <c r="C1037" s="8">
        <v>25000</v>
      </c>
      <c r="D1037" s="8">
        <v>0</v>
      </c>
      <c r="E1037" s="8">
        <v>700</v>
      </c>
      <c r="F1037" s="8">
        <v>15000</v>
      </c>
      <c r="G1037" s="30">
        <f t="shared" si="1037"/>
        <v>2400</v>
      </c>
      <c r="H1037" s="8">
        <v>25000</v>
      </c>
      <c r="I1037" s="30">
        <f t="shared" si="1038"/>
        <v>5000</v>
      </c>
      <c r="J1037" s="8">
        <v>25000</v>
      </c>
      <c r="K1037" s="30">
        <f t="shared" si="1039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14.4</v>
      </c>
      <c r="O1037" s="9">
        <v>13.5</v>
      </c>
      <c r="P1037" s="9">
        <v>19.5</v>
      </c>
      <c r="Q1037" s="79">
        <f>VLOOKUP(VLOOKUP(DATEVALUE(TEXT(A1037,"m/d/yyyy")),FY24_Temp[],5,FALSE)&amp;TEXT(A1037,"-h"),Table6[],4,FALSE)</f>
        <v>2.6111428737640381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VLOOKUP(TEXT(A1037,"yy-mm")&amp;"-"&amp;IF(AND(WEEKDAY(A1037)&gt;1,WEEKDAY(A1037)&lt;7),"Wkd",TEXT(A1037,"Ddd"))&amp;"-"&amp;TEXT(A1037,"hh"),LoadTable[],5,FALSE)*0.92</f>
        <v>295.12680000000006</v>
      </c>
      <c r="U1037" s="104">
        <f>VLOOKUP(TEXT(A1037,"yy-mm")&amp;"-"&amp;IF(AND(WEEKDAY(A1037)&gt;1,WEEKDAY(A1037)&lt;7),"Wkd",TEXT(A1037,"Ddd"))&amp;"-"&amp;TEXT(A1037,"hh"),LoadTable[],6,FALSE)*T1037</f>
        <v>15515.701256400003</v>
      </c>
      <c r="V1037">
        <f t="shared" ref="V1037:W1037" si="1090">V1013</f>
        <v>2.8</v>
      </c>
      <c r="W1037">
        <f t="shared" si="1090"/>
        <v>3.2</v>
      </c>
      <c r="X1037" s="9">
        <v>-19.881006566666599</v>
      </c>
    </row>
    <row r="1038" spans="1:24">
      <c r="A1038" s="29">
        <f t="shared" si="1081"/>
        <v>45879.12499999749</v>
      </c>
      <c r="B1038" s="30">
        <f t="shared" si="1036"/>
        <v>5000</v>
      </c>
      <c r="C1038" s="8">
        <v>25000</v>
      </c>
      <c r="D1038" s="8">
        <v>0</v>
      </c>
      <c r="E1038" s="8">
        <v>700</v>
      </c>
      <c r="F1038" s="8">
        <v>15000</v>
      </c>
      <c r="G1038" s="30">
        <f t="shared" si="1037"/>
        <v>2400</v>
      </c>
      <c r="H1038" s="8">
        <v>25000</v>
      </c>
      <c r="I1038" s="30">
        <f t="shared" si="1038"/>
        <v>5000</v>
      </c>
      <c r="J1038" s="8">
        <v>25000</v>
      </c>
      <c r="K1038" s="30">
        <f t="shared" si="1039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14.4</v>
      </c>
      <c r="O1038" s="9">
        <v>13.5</v>
      </c>
      <c r="P1038" s="9">
        <v>19.5</v>
      </c>
      <c r="Q1038" s="79">
        <f>VLOOKUP(VLOOKUP(DATEVALUE(TEXT(A1038,"m/d/yyyy")),FY24_Temp[],5,FALSE)&amp;TEXT(A1038,"-h"),Table6[],4,FALSE)</f>
        <v>2.4651428290775845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VLOOKUP(TEXT(A1038,"yy-mm")&amp;"-"&amp;IF(AND(WEEKDAY(A1038)&gt;1,WEEKDAY(A1038)&lt;7),"Wkd",TEXT(A1038,"Ddd"))&amp;"-"&amp;TEXT(A1038,"hh"),LoadTable[],5,FALSE)*0.92</f>
        <v>295.12680000000006</v>
      </c>
      <c r="U1038" s="104">
        <f>VLOOKUP(TEXT(A1038,"yy-mm")&amp;"-"&amp;IF(AND(WEEKDAY(A1038)&gt;1,WEEKDAY(A1038)&lt;7),"Wkd",TEXT(A1038,"Ddd"))&amp;"-"&amp;TEXT(A1038,"hh"),LoadTable[],6,FALSE)*T1038</f>
        <v>15142.956108000004</v>
      </c>
      <c r="V1038">
        <f t="shared" ref="V1038:W1038" si="1091">V1014</f>
        <v>2.7</v>
      </c>
      <c r="W1038">
        <f t="shared" si="1091"/>
        <v>3.2</v>
      </c>
      <c r="X1038" s="9">
        <v>-19.958801116666599</v>
      </c>
    </row>
    <row r="1039" spans="1:24">
      <c r="A1039" s="29">
        <f t="shared" si="1081"/>
        <v>45879.166666664154</v>
      </c>
      <c r="B1039" s="30">
        <f t="shared" si="1036"/>
        <v>5000</v>
      </c>
      <c r="C1039" s="8">
        <v>25000</v>
      </c>
      <c r="D1039" s="8">
        <v>0</v>
      </c>
      <c r="E1039" s="8">
        <v>700</v>
      </c>
      <c r="F1039" s="8">
        <v>15000</v>
      </c>
      <c r="G1039" s="30">
        <f t="shared" si="1037"/>
        <v>2400</v>
      </c>
      <c r="H1039" s="8">
        <v>25000</v>
      </c>
      <c r="I1039" s="30">
        <f t="shared" si="1038"/>
        <v>5000</v>
      </c>
      <c r="J1039" s="8">
        <v>25000</v>
      </c>
      <c r="K1039" s="30">
        <f t="shared" si="1039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14.4</v>
      </c>
      <c r="O1039" s="9">
        <v>13.5</v>
      </c>
      <c r="P1039" s="9">
        <v>19.5</v>
      </c>
      <c r="Q1039" s="79">
        <f>VLOOKUP(VLOOKUP(DATEVALUE(TEXT(A1039,"m/d/yyyy")),FY24_Temp[],5,FALSE)&amp;TEXT(A1039,"-h"),Table6[],4,FALSE)</f>
        <v>2.3014285564422607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VLOOKUP(TEXT(A1039,"yy-mm")&amp;"-"&amp;IF(AND(WEEKDAY(A1039)&gt;1,WEEKDAY(A1039)&lt;7),"Wkd",TEXT(A1039,"Ddd"))&amp;"-"&amp;TEXT(A1039,"hh"),LoadTable[],5,FALSE)*0.92</f>
        <v>295.12680000000006</v>
      </c>
      <c r="U1039" s="104">
        <f>VLOOKUP(TEXT(A1039,"yy-mm")&amp;"-"&amp;IF(AND(WEEKDAY(A1039)&gt;1,WEEKDAY(A1039)&lt;7),"Wkd",TEXT(A1039,"Ddd"))&amp;"-"&amp;TEXT(A1039,"hh"),LoadTable[],6,FALSE)*T1039</f>
        <v>15692.777336400004</v>
      </c>
      <c r="V1039">
        <f t="shared" ref="V1039:W1039" si="1092">V1015</f>
        <v>3</v>
      </c>
      <c r="W1039">
        <f t="shared" si="1092"/>
        <v>3.1</v>
      </c>
      <c r="X1039" s="9">
        <v>-20.036595666666599</v>
      </c>
    </row>
    <row r="1040" spans="1:24">
      <c r="A1040" s="29">
        <f t="shared" si="1081"/>
        <v>45879.208333330818</v>
      </c>
      <c r="B1040" s="30">
        <f t="shared" si="1036"/>
        <v>5000</v>
      </c>
      <c r="C1040" s="8">
        <v>25000</v>
      </c>
      <c r="D1040" s="8">
        <v>0</v>
      </c>
      <c r="E1040" s="8">
        <v>700</v>
      </c>
      <c r="F1040" s="8">
        <v>15000</v>
      </c>
      <c r="G1040" s="30">
        <f t="shared" si="1037"/>
        <v>2400</v>
      </c>
      <c r="H1040" s="8">
        <v>25000</v>
      </c>
      <c r="I1040" s="30">
        <f t="shared" si="1038"/>
        <v>5000</v>
      </c>
      <c r="J1040" s="8">
        <v>25000</v>
      </c>
      <c r="K1040" s="30">
        <f t="shared" si="1039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14.4</v>
      </c>
      <c r="O1040" s="9">
        <v>13.5</v>
      </c>
      <c r="P1040" s="9">
        <v>19.5</v>
      </c>
      <c r="Q1040" s="79">
        <f>VLOOKUP(VLOOKUP(DATEVALUE(TEXT(A1040,"m/d/yyyy")),FY24_Temp[],5,FALSE)&amp;TEXT(A1040,"-h"),Table6[],4,FALSE)</f>
        <v>2.1431428364345004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VLOOKUP(TEXT(A1040,"yy-mm")&amp;"-"&amp;IF(AND(WEEKDAY(A1040)&gt;1,WEEKDAY(A1040)&lt;7),"Wkd",TEXT(A1040,"Ddd"))&amp;"-"&amp;TEXT(A1040,"hh"),LoadTable[],5,FALSE)*0.92</f>
        <v>295.12680000000006</v>
      </c>
      <c r="U1040" s="104">
        <f>VLOOKUP(TEXT(A1040,"yy-mm")&amp;"-"&amp;IF(AND(WEEKDAY(A1040)&gt;1,WEEKDAY(A1040)&lt;7),"Wkd",TEXT(A1040,"Ddd"))&amp;"-"&amp;TEXT(A1040,"hh"),LoadTable[],6,FALSE)*T1040</f>
        <v>16038.961072800003</v>
      </c>
      <c r="V1040">
        <f t="shared" ref="V1040:W1040" si="1093">V1016</f>
        <v>2.9</v>
      </c>
      <c r="W1040">
        <f t="shared" si="1093"/>
        <v>3.1</v>
      </c>
      <c r="X1040" s="9">
        <v>-20.1143902166666</v>
      </c>
    </row>
    <row r="1041" spans="1:24">
      <c r="A1041" s="29">
        <f t="shared" si="1081"/>
        <v>45879.249999997483</v>
      </c>
      <c r="B1041" s="30">
        <f t="shared" si="1036"/>
        <v>8000</v>
      </c>
      <c r="C1041" s="8">
        <v>25000</v>
      </c>
      <c r="D1041" s="8">
        <v>0</v>
      </c>
      <c r="E1041" s="8">
        <v>700</v>
      </c>
      <c r="F1041" s="8">
        <v>15000</v>
      </c>
      <c r="G1041" s="30">
        <f t="shared" si="1037"/>
        <v>2400</v>
      </c>
      <c r="H1041" s="8">
        <v>25000</v>
      </c>
      <c r="I1041" s="30">
        <f t="shared" si="1038"/>
        <v>8000</v>
      </c>
      <c r="J1041" s="8">
        <v>25000</v>
      </c>
      <c r="K1041" s="30">
        <f t="shared" si="1039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14.4</v>
      </c>
      <c r="O1041" s="9">
        <v>13.5</v>
      </c>
      <c r="P1041" s="9">
        <v>19.5</v>
      </c>
      <c r="Q1041" s="79">
        <f>VLOOKUP(VLOOKUP(DATEVALUE(TEXT(A1041,"m/d/yyyy")),FY24_Temp[],5,FALSE)&amp;TEXT(A1041,"-h"),Table6[],4,FALSE)</f>
        <v>2.0285714013235912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VLOOKUP(TEXT(A1041,"yy-mm")&amp;"-"&amp;IF(AND(WEEKDAY(A1041)&gt;1,WEEKDAY(A1041)&lt;7),"Wkd",TEXT(A1041,"Ddd"))&amp;"-"&amp;TEXT(A1041,"hh"),LoadTable[],5,FALSE)*0.92</f>
        <v>295.12680000000006</v>
      </c>
      <c r="U1041" s="104">
        <f>VLOOKUP(TEXT(A1041,"yy-mm")&amp;"-"&amp;IF(AND(WEEKDAY(A1041)&gt;1,WEEKDAY(A1041)&lt;7),"Wkd",TEXT(A1041,"Ddd"))&amp;"-"&amp;TEXT(A1041,"hh"),LoadTable[],6,FALSE)*T1041</f>
        <v>20378.800666800005</v>
      </c>
      <c r="V1041">
        <f t="shared" ref="V1041:W1041" si="1094">V1017</f>
        <v>2.5</v>
      </c>
      <c r="W1041">
        <f t="shared" si="1094"/>
        <v>3.1</v>
      </c>
      <c r="X1041" s="9">
        <v>-20.1921847666666</v>
      </c>
    </row>
    <row r="1042" spans="1:24">
      <c r="A1042" s="29">
        <f t="shared" si="1081"/>
        <v>45879.291666664147</v>
      </c>
      <c r="B1042" s="30">
        <f t="shared" si="1036"/>
        <v>8000</v>
      </c>
      <c r="C1042" s="8">
        <v>25000</v>
      </c>
      <c r="D1042" s="8">
        <v>0</v>
      </c>
      <c r="E1042" s="8">
        <v>700</v>
      </c>
      <c r="F1042" s="8">
        <v>15000</v>
      </c>
      <c r="G1042" s="30">
        <f t="shared" si="1037"/>
        <v>2400</v>
      </c>
      <c r="H1042" s="8">
        <v>25000</v>
      </c>
      <c r="I1042" s="30">
        <f t="shared" si="1038"/>
        <v>8000</v>
      </c>
      <c r="J1042" s="8">
        <v>25000</v>
      </c>
      <c r="K1042" s="30">
        <f t="shared" si="1039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14.4</v>
      </c>
      <c r="O1042" s="9">
        <v>13.5</v>
      </c>
      <c r="P1042" s="9">
        <v>19.5</v>
      </c>
      <c r="Q1042" s="79">
        <f>VLOOKUP(VLOOKUP(DATEVALUE(TEXT(A1042,"m/d/yyyy")),FY24_Temp[],5,FALSE)&amp;TEXT(A1042,"-h"),Table6[],4,FALSE)</f>
        <v>1.9455714055470057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VLOOKUP(TEXT(A1042,"yy-mm")&amp;"-"&amp;IF(AND(WEEKDAY(A1042)&gt;1,WEEKDAY(A1042)&lt;7),"Wkd",TEXT(A1042,"Ddd"))&amp;"-"&amp;TEXT(A1042,"hh"),LoadTable[],5,FALSE)*0.92</f>
        <v>295.12680000000006</v>
      </c>
      <c r="U1042" s="104">
        <f>VLOOKUP(TEXT(A1042,"yy-mm")&amp;"-"&amp;IF(AND(WEEKDAY(A1042)&gt;1,WEEKDAY(A1042)&lt;7),"Wkd",TEXT(A1042,"Ddd"))&amp;"-"&amp;TEXT(A1042,"hh"),LoadTable[],6,FALSE)*T1042</f>
        <v>17926.592085600001</v>
      </c>
      <c r="V1042">
        <f t="shared" ref="V1042:W1042" si="1095">V1018</f>
        <v>2.5</v>
      </c>
      <c r="W1042">
        <f t="shared" si="1095"/>
        <v>3.1</v>
      </c>
      <c r="X1042" s="9">
        <v>-20.2699793166666</v>
      </c>
    </row>
    <row r="1043" spans="1:24">
      <c r="A1043" s="29">
        <f t="shared" si="1081"/>
        <v>45879.333333330811</v>
      </c>
      <c r="B1043" s="30">
        <f t="shared" si="1036"/>
        <v>8000</v>
      </c>
      <c r="C1043" s="8">
        <v>25000</v>
      </c>
      <c r="D1043" s="8">
        <v>0</v>
      </c>
      <c r="E1043" s="8">
        <v>700</v>
      </c>
      <c r="F1043" s="8">
        <v>15000</v>
      </c>
      <c r="G1043" s="30">
        <f t="shared" si="1037"/>
        <v>2400</v>
      </c>
      <c r="H1043" s="8">
        <v>25000</v>
      </c>
      <c r="I1043" s="30">
        <f t="shared" si="1038"/>
        <v>8000</v>
      </c>
      <c r="J1043" s="8">
        <v>25000</v>
      </c>
      <c r="K1043" s="30">
        <f t="shared" si="1039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14.4</v>
      </c>
      <c r="O1043" s="9">
        <v>13.5</v>
      </c>
      <c r="P1043" s="9">
        <v>19.5</v>
      </c>
      <c r="Q1043" s="79">
        <f>VLOOKUP(VLOOKUP(DATEVALUE(TEXT(A1043,"m/d/yyyy")),FY24_Temp[],5,FALSE)&amp;TEXT(A1043,"-h"),Table6[],4,FALSE)</f>
        <v>1.8411428587777274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VLOOKUP(TEXT(A1043,"yy-mm")&amp;"-"&amp;IF(AND(WEEKDAY(A1043)&gt;1,WEEKDAY(A1043)&lt;7),"Wkd",TEXT(A1043,"Ddd"))&amp;"-"&amp;TEXT(A1043,"hh"),LoadTable[],5,FALSE)*0.92</f>
        <v>295.12680000000006</v>
      </c>
      <c r="U1043" s="104">
        <f>VLOOKUP(TEXT(A1043,"yy-mm")&amp;"-"&amp;IF(AND(WEEKDAY(A1043)&gt;1,WEEKDAY(A1043)&lt;7),"Wkd",TEXT(A1043,"Ddd"))&amp;"-"&amp;TEXT(A1043,"hh"),LoadTable[],6,FALSE)*T1043</f>
        <v>15446.641585200003</v>
      </c>
      <c r="V1043">
        <f t="shared" ref="V1043:W1043" si="1096">V1019</f>
        <v>3.2</v>
      </c>
      <c r="W1043">
        <f t="shared" si="1096"/>
        <v>3</v>
      </c>
      <c r="X1043" s="9">
        <v>-20.3477738666666</v>
      </c>
    </row>
    <row r="1044" spans="1:24">
      <c r="A1044" s="29">
        <f t="shared" si="1081"/>
        <v>45879.374999997475</v>
      </c>
      <c r="B1044" s="30">
        <f t="shared" si="1036"/>
        <v>8000</v>
      </c>
      <c r="C1044" s="8">
        <v>25000</v>
      </c>
      <c r="D1044" s="8">
        <v>0</v>
      </c>
      <c r="E1044" s="8">
        <v>700</v>
      </c>
      <c r="F1044" s="8">
        <v>15000</v>
      </c>
      <c r="G1044" s="30">
        <f t="shared" si="1037"/>
        <v>2400</v>
      </c>
      <c r="H1044" s="8">
        <v>25000</v>
      </c>
      <c r="I1044" s="30">
        <f t="shared" si="1038"/>
        <v>8000</v>
      </c>
      <c r="J1044" s="8">
        <v>25000</v>
      </c>
      <c r="K1044" s="30">
        <f t="shared" si="1039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14.4</v>
      </c>
      <c r="O1044" s="9">
        <v>13.5</v>
      </c>
      <c r="P1044" s="9">
        <v>19.5</v>
      </c>
      <c r="Q1044" s="79">
        <f>VLOOKUP(VLOOKUP(DATEVALUE(TEXT(A1044,"m/d/yyyy")),FY24_Temp[],5,FALSE)&amp;TEXT(A1044,"-h"),Table6[],4,FALSE)</f>
        <v>1.7424285582133703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VLOOKUP(TEXT(A1044,"yy-mm")&amp;"-"&amp;IF(AND(WEEKDAY(A1044)&gt;1,WEEKDAY(A1044)&lt;7),"Wkd",TEXT(A1044,"Ddd"))&amp;"-"&amp;TEXT(A1044,"hh"),LoadTable[],5,FALSE)*0.92</f>
        <v>295.12680000000006</v>
      </c>
      <c r="U1044" s="104">
        <f>VLOOKUP(TEXT(A1044,"yy-mm")&amp;"-"&amp;IF(AND(WEEKDAY(A1044)&gt;1,WEEKDAY(A1044)&lt;7),"Wkd",TEXT(A1044,"Ddd"))&amp;"-"&amp;TEXT(A1044,"hh"),LoadTable[],6,FALSE)*T1044</f>
        <v>13546.615246800004</v>
      </c>
      <c r="V1044">
        <f t="shared" ref="V1044:W1044" si="1097">V1020</f>
        <v>2.9</v>
      </c>
      <c r="W1044">
        <f t="shared" si="1097"/>
        <v>3</v>
      </c>
      <c r="X1044" s="9">
        <v>-20.4255684166666</v>
      </c>
    </row>
    <row r="1045" spans="1:24">
      <c r="A1045" s="29">
        <f t="shared" si="1081"/>
        <v>45879.416666664139</v>
      </c>
      <c r="B1045" s="30">
        <f t="shared" si="1036"/>
        <v>8000</v>
      </c>
      <c r="C1045" s="8">
        <v>25000</v>
      </c>
      <c r="D1045" s="8">
        <v>0</v>
      </c>
      <c r="E1045" s="8">
        <v>700</v>
      </c>
      <c r="F1045" s="8">
        <v>15000</v>
      </c>
      <c r="G1045" s="30">
        <f t="shared" si="1037"/>
        <v>2400</v>
      </c>
      <c r="H1045" s="8">
        <v>25000</v>
      </c>
      <c r="I1045" s="30">
        <f t="shared" si="1038"/>
        <v>8000</v>
      </c>
      <c r="J1045" s="8">
        <v>25000</v>
      </c>
      <c r="K1045" s="30">
        <f t="shared" si="1039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14.4</v>
      </c>
      <c r="O1045" s="9">
        <v>13.5</v>
      </c>
      <c r="P1045" s="9">
        <v>19.5</v>
      </c>
      <c r="Q1045" s="79">
        <f>VLOOKUP(VLOOKUP(DATEVALUE(TEXT(A1045,"m/d/yyyy")),FY24_Temp[],5,FALSE)&amp;TEXT(A1045,"-h"),Table6[],4,FALSE)</f>
        <v>1.6560000010899134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VLOOKUP(TEXT(A1045,"yy-mm")&amp;"-"&amp;IF(AND(WEEKDAY(A1045)&gt;1,WEEKDAY(A1045)&lt;7),"Wkd",TEXT(A1045,"Ddd"))&amp;"-"&amp;TEXT(A1045,"hh"),LoadTable[],5,FALSE)*0.92</f>
        <v>295.12680000000006</v>
      </c>
      <c r="U1045" s="104">
        <f>VLOOKUP(TEXT(A1045,"yy-mm")&amp;"-"&amp;IF(AND(WEEKDAY(A1045)&gt;1,WEEKDAY(A1045)&lt;7),"Wkd",TEXT(A1045,"Ddd"))&amp;"-"&amp;TEXT(A1045,"hh"),LoadTable[],6,FALSE)*T1045</f>
        <v>13514.151298800001</v>
      </c>
      <c r="V1045">
        <f t="shared" ref="V1045:W1045" si="1098">V1021</f>
        <v>2.9</v>
      </c>
      <c r="W1045">
        <f t="shared" si="1098"/>
        <v>3</v>
      </c>
      <c r="X1045" s="9">
        <v>-20.5033629666666</v>
      </c>
    </row>
    <row r="1046" spans="1:24">
      <c r="A1046" s="29">
        <f t="shared" si="1081"/>
        <v>45879.458333330804</v>
      </c>
      <c r="B1046" s="30">
        <f t="shared" si="1036"/>
        <v>8000</v>
      </c>
      <c r="C1046" s="8">
        <v>25000</v>
      </c>
      <c r="D1046" s="8">
        <v>0</v>
      </c>
      <c r="E1046" s="8">
        <v>700</v>
      </c>
      <c r="F1046" s="8">
        <v>15000</v>
      </c>
      <c r="G1046" s="30">
        <f t="shared" si="1037"/>
        <v>2400</v>
      </c>
      <c r="H1046" s="8">
        <v>25000</v>
      </c>
      <c r="I1046" s="30">
        <f t="shared" si="1038"/>
        <v>8000</v>
      </c>
      <c r="J1046" s="8">
        <v>25000</v>
      </c>
      <c r="K1046" s="30">
        <f t="shared" si="1039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14.4</v>
      </c>
      <c r="O1046" s="9">
        <v>13.5</v>
      </c>
      <c r="P1046" s="9">
        <v>19.5</v>
      </c>
      <c r="Q1046" s="79">
        <f>VLOOKUP(VLOOKUP(DATEVALUE(TEXT(A1046,"m/d/yyyy")),FY24_Temp[],5,FALSE)&amp;TEXT(A1046,"-h"),Table6[],4,FALSE)</f>
        <v>1.5444285869598389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VLOOKUP(TEXT(A1046,"yy-mm")&amp;"-"&amp;IF(AND(WEEKDAY(A1046)&gt;1,WEEKDAY(A1046)&lt;7),"Wkd",TEXT(A1046,"Ddd"))&amp;"-"&amp;TEXT(A1046,"hh"),LoadTable[],5,FALSE)*0.92</f>
        <v>295.12680000000006</v>
      </c>
      <c r="U1046" s="104">
        <f>VLOOKUP(TEXT(A1046,"yy-mm")&amp;"-"&amp;IF(AND(WEEKDAY(A1046)&gt;1,WEEKDAY(A1046)&lt;7),"Wkd",TEXT(A1046,"Ddd"))&amp;"-"&amp;TEXT(A1046,"hh"),LoadTable[],6,FALSE)*T1046</f>
        <v>13498.509578400002</v>
      </c>
      <c r="V1046">
        <f t="shared" ref="V1046:W1046" si="1099">V1022</f>
        <v>3.4</v>
      </c>
      <c r="W1046">
        <f t="shared" si="1099"/>
        <v>3</v>
      </c>
      <c r="X1046" s="9">
        <v>-20.5811575166666</v>
      </c>
    </row>
    <row r="1047" spans="1:24">
      <c r="A1047" s="29">
        <f t="shared" si="1081"/>
        <v>45879.499999997468</v>
      </c>
      <c r="B1047" s="30">
        <f t="shared" si="1036"/>
        <v>8000</v>
      </c>
      <c r="C1047" s="8">
        <v>25000</v>
      </c>
      <c r="D1047" s="8">
        <v>0</v>
      </c>
      <c r="E1047" s="8">
        <v>700</v>
      </c>
      <c r="F1047" s="8">
        <v>15000</v>
      </c>
      <c r="G1047" s="30">
        <f t="shared" si="1037"/>
        <v>2400</v>
      </c>
      <c r="H1047" s="8">
        <v>25000</v>
      </c>
      <c r="I1047" s="30">
        <f t="shared" si="1038"/>
        <v>8000</v>
      </c>
      <c r="J1047" s="8">
        <v>25000</v>
      </c>
      <c r="K1047" s="30">
        <f t="shared" si="1039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14.4</v>
      </c>
      <c r="O1047" s="9">
        <v>13.5</v>
      </c>
      <c r="P1047" s="9">
        <v>19.5</v>
      </c>
      <c r="Q1047" s="79">
        <f>VLOOKUP(VLOOKUP(DATEVALUE(TEXT(A1047,"m/d/yyyy")),FY24_Temp[],5,FALSE)&amp;TEXT(A1047,"-h"),Table6[],4,FALSE)</f>
        <v>1.4021428823471069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VLOOKUP(TEXT(A1047,"yy-mm")&amp;"-"&amp;IF(AND(WEEKDAY(A1047)&gt;1,WEEKDAY(A1047)&lt;7),"Wkd",TEXT(A1047,"Ddd"))&amp;"-"&amp;TEXT(A1047,"hh"),LoadTable[],5,FALSE)*0.92</f>
        <v>295.12680000000006</v>
      </c>
      <c r="U1047" s="104">
        <f>VLOOKUP(TEXT(A1047,"yy-mm")&amp;"-"&amp;IF(AND(WEEKDAY(A1047)&gt;1,WEEKDAY(A1047)&lt;7),"Wkd",TEXT(A1047,"Ddd"))&amp;"-"&amp;TEXT(A1047,"hh"),LoadTable[],6,FALSE)*T1047</f>
        <v>13497.919324800001</v>
      </c>
      <c r="V1047">
        <f t="shared" ref="V1047:W1047" si="1100">V1023</f>
        <v>3.1</v>
      </c>
      <c r="W1047">
        <f t="shared" si="1100"/>
        <v>2.9</v>
      </c>
      <c r="X1047" s="9">
        <v>-20.6589520666666</v>
      </c>
    </row>
    <row r="1048" spans="1:24">
      <c r="A1048" s="29">
        <f t="shared" si="1081"/>
        <v>45879.541666664132</v>
      </c>
      <c r="B1048" s="30">
        <f t="shared" si="1036"/>
        <v>8000</v>
      </c>
      <c r="C1048" s="8">
        <v>25000</v>
      </c>
      <c r="D1048" s="8">
        <v>0</v>
      </c>
      <c r="E1048" s="8">
        <v>700</v>
      </c>
      <c r="F1048" s="8">
        <v>15000</v>
      </c>
      <c r="G1048" s="30">
        <f t="shared" si="1037"/>
        <v>2400</v>
      </c>
      <c r="H1048" s="8">
        <v>25000</v>
      </c>
      <c r="I1048" s="30">
        <f t="shared" si="1038"/>
        <v>8000</v>
      </c>
      <c r="J1048" s="8">
        <v>25000</v>
      </c>
      <c r="K1048" s="30">
        <f t="shared" si="1039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14.4</v>
      </c>
      <c r="O1048" s="9">
        <v>13.5</v>
      </c>
      <c r="P1048" s="9">
        <v>19.5</v>
      </c>
      <c r="Q1048" s="79">
        <f>VLOOKUP(VLOOKUP(DATEVALUE(TEXT(A1048,"m/d/yyyy")),FY24_Temp[],5,FALSE)&amp;TEXT(A1048,"-h"),Table6[],4,FALSE)</f>
        <v>1.2278571299144201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VLOOKUP(TEXT(A1048,"yy-mm")&amp;"-"&amp;IF(AND(WEEKDAY(A1048)&gt;1,WEEKDAY(A1048)&lt;7),"Wkd",TEXT(A1048,"Ddd"))&amp;"-"&amp;TEXT(A1048,"hh"),LoadTable[],5,FALSE)*0.92</f>
        <v>295.12680000000006</v>
      </c>
      <c r="U1048" s="104">
        <f>VLOOKUP(TEXT(A1048,"yy-mm")&amp;"-"&amp;IF(AND(WEEKDAY(A1048)&gt;1,WEEKDAY(A1048)&lt;7),"Wkd",TEXT(A1048,"Ddd"))&amp;"-"&amp;TEXT(A1048,"hh"),LoadTable[],6,FALSE)*T1048</f>
        <v>13525.366117200003</v>
      </c>
      <c r="V1048">
        <f t="shared" ref="V1048:W1048" si="1101">V1024</f>
        <v>3.2</v>
      </c>
      <c r="W1048">
        <f t="shared" si="1101"/>
        <v>2.9</v>
      </c>
      <c r="X1048" s="9">
        <v>-20.736746616666601</v>
      </c>
    </row>
    <row r="1049" spans="1:24">
      <c r="A1049" s="29">
        <f t="shared" si="1081"/>
        <v>45879.583333330796</v>
      </c>
      <c r="B1049" s="30">
        <f t="shared" si="1036"/>
        <v>8000</v>
      </c>
      <c r="C1049" s="8">
        <v>25000</v>
      </c>
      <c r="D1049" s="8">
        <v>0</v>
      </c>
      <c r="E1049" s="8">
        <v>700</v>
      </c>
      <c r="F1049" s="8">
        <v>15000</v>
      </c>
      <c r="G1049" s="30">
        <f t="shared" si="1037"/>
        <v>2400</v>
      </c>
      <c r="H1049" s="8">
        <v>25000</v>
      </c>
      <c r="I1049" s="30">
        <f t="shared" si="1038"/>
        <v>8000</v>
      </c>
      <c r="J1049" s="8">
        <v>25000</v>
      </c>
      <c r="K1049" s="30">
        <f t="shared" si="1039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14.4</v>
      </c>
      <c r="O1049" s="9">
        <v>13.5</v>
      </c>
      <c r="P1049" s="9">
        <v>19.5</v>
      </c>
      <c r="Q1049" s="79">
        <f>VLOOKUP(VLOOKUP(DATEVALUE(TEXT(A1049,"m/d/yyyy")),FY24_Temp[],5,FALSE)&amp;TEXT(A1049,"-h"),Table6[],4,FALSE)</f>
        <v>1.0399999959128243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VLOOKUP(TEXT(A1049,"yy-mm")&amp;"-"&amp;IF(AND(WEEKDAY(A1049)&gt;1,WEEKDAY(A1049)&lt;7),"Wkd",TEXT(A1049,"Ddd"))&amp;"-"&amp;TEXT(A1049,"hh"),LoadTable[],5,FALSE)*0.92</f>
        <v>295.12680000000006</v>
      </c>
      <c r="U1049" s="104">
        <f>VLOOKUP(TEXT(A1049,"yy-mm")&amp;"-"&amp;IF(AND(WEEKDAY(A1049)&gt;1,WEEKDAY(A1049)&lt;7),"Wkd",TEXT(A1049,"Ddd"))&amp;"-"&amp;TEXT(A1049,"hh"),LoadTable[],6,FALSE)*T1049</f>
        <v>14151.034933200002</v>
      </c>
      <c r="V1049">
        <f t="shared" ref="V1049:W1049" si="1102">V1025</f>
        <v>3.5</v>
      </c>
      <c r="W1049">
        <f t="shared" si="1102"/>
        <v>2.9</v>
      </c>
      <c r="X1049" s="9">
        <v>-20.814541166666601</v>
      </c>
    </row>
    <row r="1050" spans="1:24">
      <c r="A1050" s="29">
        <f t="shared" si="1081"/>
        <v>45879.624999997461</v>
      </c>
      <c r="B1050" s="30">
        <f t="shared" si="1036"/>
        <v>8000</v>
      </c>
      <c r="C1050" s="8">
        <v>25000</v>
      </c>
      <c r="D1050" s="8">
        <v>0</v>
      </c>
      <c r="E1050" s="8">
        <v>700</v>
      </c>
      <c r="F1050" s="8">
        <v>15000</v>
      </c>
      <c r="G1050" s="30">
        <f t="shared" si="1037"/>
        <v>2400</v>
      </c>
      <c r="H1050" s="8">
        <v>25000</v>
      </c>
      <c r="I1050" s="30">
        <f t="shared" si="1038"/>
        <v>8000</v>
      </c>
      <c r="J1050" s="8">
        <v>25000</v>
      </c>
      <c r="K1050" s="30">
        <f t="shared" si="1039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14.4</v>
      </c>
      <c r="O1050" s="9">
        <v>13.5</v>
      </c>
      <c r="P1050" s="9">
        <v>19.5</v>
      </c>
      <c r="Q1050" s="79">
        <f>VLOOKUP(VLOOKUP(DATEVALUE(TEXT(A1050,"m/d/yyyy")),FY24_Temp[],5,FALSE)&amp;TEXT(A1050,"-h"),Table6[],4,FALSE)</f>
        <v>0.86785714115415302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VLOOKUP(TEXT(A1050,"yy-mm")&amp;"-"&amp;IF(AND(WEEKDAY(A1050)&gt;1,WEEKDAY(A1050)&lt;7),"Wkd",TEXT(A1050,"Ddd"))&amp;"-"&amp;TEXT(A1050,"hh"),LoadTable[],5,FALSE)*0.92</f>
        <v>384.35300000000001</v>
      </c>
      <c r="U1050" s="104">
        <f>VLOOKUP(TEXT(A1050,"yy-mm")&amp;"-"&amp;IF(AND(WEEKDAY(A1050)&gt;1,WEEKDAY(A1050)&lt;7),"Wkd",TEXT(A1050,"Ddd"))&amp;"-"&amp;TEXT(A1050,"hh"),LoadTable[],6,FALSE)*T1050</f>
        <v>20589.021504</v>
      </c>
      <c r="V1050">
        <f t="shared" ref="V1050:W1050" si="1103">V1026</f>
        <v>3.2</v>
      </c>
      <c r="W1050">
        <f t="shared" si="1103"/>
        <v>2.9</v>
      </c>
      <c r="X1050" s="9">
        <v>-20.892335716666601</v>
      </c>
    </row>
    <row r="1051" spans="1:24">
      <c r="A1051" s="29">
        <f t="shared" si="1081"/>
        <v>45879.666666664125</v>
      </c>
      <c r="B1051" s="30">
        <f t="shared" si="1036"/>
        <v>8000</v>
      </c>
      <c r="C1051" s="8">
        <v>25000</v>
      </c>
      <c r="D1051" s="8">
        <v>0</v>
      </c>
      <c r="E1051" s="8">
        <v>700</v>
      </c>
      <c r="F1051" s="8">
        <v>15000</v>
      </c>
      <c r="G1051" s="30">
        <f t="shared" si="1037"/>
        <v>2400</v>
      </c>
      <c r="H1051" s="8">
        <v>25000</v>
      </c>
      <c r="I1051" s="30">
        <f t="shared" si="1038"/>
        <v>8000</v>
      </c>
      <c r="J1051" s="8">
        <v>25000</v>
      </c>
      <c r="K1051" s="30">
        <f t="shared" si="1039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14.4</v>
      </c>
      <c r="O1051" s="9">
        <v>13.5</v>
      </c>
      <c r="P1051" s="9">
        <v>19.5</v>
      </c>
      <c r="Q1051" s="79">
        <f>VLOOKUP(VLOOKUP(DATEVALUE(TEXT(A1051,"m/d/yyyy")),FY24_Temp[],5,FALSE)&amp;TEXT(A1051,"-h"),Table6[],4,FALSE)</f>
        <v>0.77942857572010582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VLOOKUP(TEXT(A1051,"yy-mm")&amp;"-"&amp;IF(AND(WEEKDAY(A1051)&gt;1,WEEKDAY(A1051)&lt;7),"Wkd",TEXT(A1051,"Ddd"))&amp;"-"&amp;TEXT(A1051,"hh"),LoadTable[],5,FALSE)*0.92</f>
        <v>475.29131999999998</v>
      </c>
      <c r="U1051" s="104">
        <f>VLOOKUP(TEXT(A1051,"yy-mm")&amp;"-"&amp;IF(AND(WEEKDAY(A1051)&gt;1,WEEKDAY(A1051)&lt;7),"Wkd",TEXT(A1051,"Ddd"))&amp;"-"&amp;TEXT(A1051,"hh"),LoadTable[],6,FALSE)*T1051</f>
        <v>31854.974849040002</v>
      </c>
      <c r="V1051">
        <f t="shared" ref="V1051:W1051" si="1104">V1027</f>
        <v>3.5</v>
      </c>
      <c r="W1051">
        <f t="shared" si="1104"/>
        <v>3</v>
      </c>
      <c r="X1051" s="9">
        <v>-20.970130266666601</v>
      </c>
    </row>
    <row r="1052" spans="1:24">
      <c r="A1052" s="29">
        <f t="shared" si="1081"/>
        <v>45879.708333330789</v>
      </c>
      <c r="B1052" s="30">
        <f t="shared" ref="B1052:B1115" si="1105">B1028</f>
        <v>8000</v>
      </c>
      <c r="C1052" s="8">
        <v>25000</v>
      </c>
      <c r="D1052" s="8">
        <v>0</v>
      </c>
      <c r="E1052" s="8">
        <v>700</v>
      </c>
      <c r="F1052" s="8">
        <v>15000</v>
      </c>
      <c r="G1052" s="30">
        <f t="shared" ref="G1052:G1115" si="1106">G1028</f>
        <v>2400</v>
      </c>
      <c r="H1052" s="8">
        <v>25000</v>
      </c>
      <c r="I1052" s="30">
        <f t="shared" ref="I1052:I1115" si="1107">I1028</f>
        <v>8000</v>
      </c>
      <c r="J1052" s="8">
        <v>25000</v>
      </c>
      <c r="K1052" s="30">
        <f t="shared" ref="K1052:K1115" si="1108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14.4</v>
      </c>
      <c r="O1052" s="9">
        <v>13.5</v>
      </c>
      <c r="P1052" s="9">
        <v>19.5</v>
      </c>
      <c r="Q1052" s="79">
        <f>VLOOKUP(VLOOKUP(DATEVALUE(TEXT(A1052,"m/d/yyyy")),FY24_Temp[],5,FALSE)&amp;TEXT(A1052,"-h"),Table6[],4,FALSE)</f>
        <v>0.93557143211364746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VLOOKUP(TEXT(A1052,"yy-mm")&amp;"-"&amp;IF(AND(WEEKDAY(A1052)&gt;1,WEEKDAY(A1052)&lt;7),"Wkd",TEXT(A1052,"Ddd"))&amp;"-"&amp;TEXT(A1052,"hh"),LoadTable[],5,FALSE)*0.92</f>
        <v>475.29131999999998</v>
      </c>
      <c r="U1052" s="104">
        <f>VLOOKUP(TEXT(A1052,"yy-mm")&amp;"-"&amp;IF(AND(WEEKDAY(A1052)&gt;1,WEEKDAY(A1052)&lt;7),"Wkd",TEXT(A1052,"Ddd"))&amp;"-"&amp;TEXT(A1052,"hh"),LoadTable[],6,FALSE)*T1052</f>
        <v>41441.125482119998</v>
      </c>
      <c r="V1052">
        <f t="shared" ref="V1052:W1052" si="1109">V1028</f>
        <v>3.6</v>
      </c>
      <c r="W1052">
        <f t="shared" si="1109"/>
        <v>3</v>
      </c>
      <c r="X1052" s="9">
        <v>-21.047924816666601</v>
      </c>
    </row>
    <row r="1053" spans="1:24">
      <c r="A1053" s="29">
        <f t="shared" si="1081"/>
        <v>45879.749999997453</v>
      </c>
      <c r="B1053" s="30">
        <f t="shared" si="1105"/>
        <v>5000</v>
      </c>
      <c r="C1053" s="8">
        <v>25000</v>
      </c>
      <c r="D1053" s="8">
        <v>0</v>
      </c>
      <c r="E1053" s="8">
        <v>700</v>
      </c>
      <c r="F1053" s="8">
        <v>15000</v>
      </c>
      <c r="G1053" s="30">
        <f t="shared" si="1106"/>
        <v>2400</v>
      </c>
      <c r="H1053" s="8">
        <v>25000</v>
      </c>
      <c r="I1053" s="30">
        <f t="shared" si="1107"/>
        <v>5000</v>
      </c>
      <c r="J1053" s="8">
        <v>25000</v>
      </c>
      <c r="K1053" s="30">
        <f t="shared" si="1108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14.4</v>
      </c>
      <c r="O1053" s="9">
        <v>13.5</v>
      </c>
      <c r="P1053" s="9">
        <v>19.5</v>
      </c>
      <c r="Q1053" s="79">
        <f>VLOOKUP(VLOOKUP(DATEVALUE(TEXT(A1053,"m/d/yyyy")),FY24_Temp[],5,FALSE)&amp;TEXT(A1053,"-h"),Table6[],4,FALSE)</f>
        <v>1.3035714285714286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VLOOKUP(TEXT(A1053,"yy-mm")&amp;"-"&amp;IF(AND(WEEKDAY(A1053)&gt;1,WEEKDAY(A1053)&lt;7),"Wkd",TEXT(A1053,"Ddd"))&amp;"-"&amp;TEXT(A1053,"hh"),LoadTable[],5,FALSE)*0.92</f>
        <v>521.92427999999995</v>
      </c>
      <c r="U1053" s="104">
        <f>VLOOKUP(TEXT(A1053,"yy-mm")&amp;"-"&amp;IF(AND(WEEKDAY(A1053)&gt;1,WEEKDAY(A1053)&lt;7),"Wkd",TEXT(A1053,"Ddd"))&amp;"-"&amp;TEXT(A1053,"hh"),LoadTable[],6,FALSE)*T1053</f>
        <v>56599.034696039991</v>
      </c>
      <c r="V1053">
        <f t="shared" ref="V1053:W1053" si="1110">V1029</f>
        <v>2.9</v>
      </c>
      <c r="W1053">
        <f t="shared" si="1110"/>
        <v>3</v>
      </c>
      <c r="X1053" s="9">
        <v>-21.125719366666601</v>
      </c>
    </row>
    <row r="1054" spans="1:24">
      <c r="A1054" s="29">
        <f t="shared" si="1081"/>
        <v>45879.791666664118</v>
      </c>
      <c r="B1054" s="30">
        <f t="shared" si="1105"/>
        <v>5000</v>
      </c>
      <c r="C1054" s="8">
        <v>25000</v>
      </c>
      <c r="D1054" s="8">
        <v>0</v>
      </c>
      <c r="E1054" s="8">
        <v>700</v>
      </c>
      <c r="F1054" s="8">
        <v>15000</v>
      </c>
      <c r="G1054" s="30">
        <f t="shared" si="1106"/>
        <v>2400</v>
      </c>
      <c r="H1054" s="8">
        <v>25000</v>
      </c>
      <c r="I1054" s="30">
        <f t="shared" si="1107"/>
        <v>5000</v>
      </c>
      <c r="J1054" s="8">
        <v>25000</v>
      </c>
      <c r="K1054" s="30">
        <f t="shared" si="1108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14.4</v>
      </c>
      <c r="O1054" s="9">
        <v>13.5</v>
      </c>
      <c r="P1054" s="9">
        <v>19.5</v>
      </c>
      <c r="Q1054" s="79">
        <f>VLOOKUP(VLOOKUP(DATEVALUE(TEXT(A1054,"m/d/yyyy")),FY24_Temp[],5,FALSE)&amp;TEXT(A1054,"-h"),Table6[],4,FALSE)</f>
        <v>2.0524285861424039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VLOOKUP(TEXT(A1054,"yy-mm")&amp;"-"&amp;IF(AND(WEEKDAY(A1054)&gt;1,WEEKDAY(A1054)&lt;7),"Wkd",TEXT(A1054,"Ddd"))&amp;"-"&amp;TEXT(A1054,"hh"),LoadTable[],5,FALSE)*0.92</f>
        <v>521.92427999999995</v>
      </c>
      <c r="U1054" s="104">
        <f>VLOOKUP(TEXT(A1054,"yy-mm")&amp;"-"&amp;IF(AND(WEEKDAY(A1054)&gt;1,WEEKDAY(A1054)&lt;7),"Wkd",TEXT(A1054,"Ddd"))&amp;"-"&amp;TEXT(A1054,"hh"),LoadTable[],6,FALSE)*T1054</f>
        <v>64978.007087159996</v>
      </c>
      <c r="V1054">
        <f t="shared" ref="V1054:W1054" si="1111">V1030</f>
        <v>3</v>
      </c>
      <c r="W1054">
        <f t="shared" si="1111"/>
        <v>3</v>
      </c>
      <c r="X1054" s="9">
        <v>-21.203513916666601</v>
      </c>
    </row>
    <row r="1055" spans="1:24">
      <c r="A1055" s="29">
        <f t="shared" si="1081"/>
        <v>45879.833333330782</v>
      </c>
      <c r="B1055" s="30">
        <f t="shared" si="1105"/>
        <v>5000</v>
      </c>
      <c r="C1055" s="8">
        <v>25000</v>
      </c>
      <c r="D1055" s="8">
        <v>0</v>
      </c>
      <c r="E1055" s="8">
        <v>700</v>
      </c>
      <c r="F1055" s="8">
        <v>15000</v>
      </c>
      <c r="G1055" s="30">
        <f t="shared" si="1106"/>
        <v>2400</v>
      </c>
      <c r="H1055" s="8">
        <v>25000</v>
      </c>
      <c r="I1055" s="30">
        <f t="shared" si="1107"/>
        <v>5000</v>
      </c>
      <c r="J1055" s="8">
        <v>25000</v>
      </c>
      <c r="K1055" s="30">
        <f t="shared" si="1108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14.4</v>
      </c>
      <c r="O1055" s="9">
        <v>13.5</v>
      </c>
      <c r="P1055" s="9">
        <v>19.5</v>
      </c>
      <c r="Q1055" s="79">
        <f>VLOOKUP(VLOOKUP(DATEVALUE(TEXT(A1055,"m/d/yyyy")),FY24_Temp[],5,FALSE)&amp;TEXT(A1055,"-h"),Table6[],4,FALSE)</f>
        <v>2.8517142704554965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VLOOKUP(TEXT(A1055,"yy-mm")&amp;"-"&amp;IF(AND(WEEKDAY(A1055)&gt;1,WEEKDAY(A1055)&lt;7),"Wkd",TEXT(A1055,"Ddd"))&amp;"-"&amp;TEXT(A1055,"hh"),LoadTable[],5,FALSE)*0.92</f>
        <v>519.82668000000001</v>
      </c>
      <c r="U1055" s="104">
        <f>VLOOKUP(TEXT(A1055,"yy-mm")&amp;"-"&amp;IF(AND(WEEKDAY(A1055)&gt;1,WEEKDAY(A1055)&lt;7),"Wkd",TEXT(A1055,"Ddd"))&amp;"-"&amp;TEXT(A1055,"hh"),LoadTable[],6,FALSE)*T1055</f>
        <v>61197.635556360001</v>
      </c>
      <c r="V1055">
        <f t="shared" ref="V1055:W1055" si="1112">V1031</f>
        <v>2.8</v>
      </c>
      <c r="W1055">
        <f t="shared" si="1112"/>
        <v>3.1</v>
      </c>
      <c r="X1055" s="9">
        <v>-21.281308466666601</v>
      </c>
    </row>
    <row r="1056" spans="1:24">
      <c r="A1056" s="29">
        <f t="shared" si="1081"/>
        <v>45879.874999997446</v>
      </c>
      <c r="B1056" s="30">
        <f t="shared" si="1105"/>
        <v>5000</v>
      </c>
      <c r="C1056" s="8">
        <v>25000</v>
      </c>
      <c r="D1056" s="8">
        <v>0</v>
      </c>
      <c r="E1056" s="8">
        <v>700</v>
      </c>
      <c r="F1056" s="8">
        <v>15000</v>
      </c>
      <c r="G1056" s="30">
        <f t="shared" si="1106"/>
        <v>2400</v>
      </c>
      <c r="H1056" s="8">
        <v>25000</v>
      </c>
      <c r="I1056" s="30">
        <f t="shared" si="1107"/>
        <v>5000</v>
      </c>
      <c r="J1056" s="8">
        <v>25000</v>
      </c>
      <c r="K1056" s="30">
        <f t="shared" si="1108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14.4</v>
      </c>
      <c r="O1056" s="9">
        <v>13.5</v>
      </c>
      <c r="P1056" s="9">
        <v>19.5</v>
      </c>
      <c r="Q1056" s="79">
        <f>VLOOKUP(VLOOKUP(DATEVALUE(TEXT(A1056,"m/d/yyyy")),FY24_Temp[],5,FALSE)&amp;TEXT(A1056,"-h"),Table6[],4,FALSE)</f>
        <v>3.1017143045152937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VLOOKUP(TEXT(A1056,"yy-mm")&amp;"-"&amp;IF(AND(WEEKDAY(A1056)&gt;1,WEEKDAY(A1056)&lt;7),"Wkd",TEXT(A1056,"Ddd"))&amp;"-"&amp;TEXT(A1056,"hh"),LoadTable[],5,FALSE)*0.92</f>
        <v>444.92671999999999</v>
      </c>
      <c r="U1056" s="104">
        <f>VLOOKUP(TEXT(A1056,"yy-mm")&amp;"-"&amp;IF(AND(WEEKDAY(A1056)&gt;1,WEEKDAY(A1056)&lt;7),"Wkd",TEXT(A1056,"Ddd"))&amp;"-"&amp;TEXT(A1056,"hh"),LoadTable[],6,FALSE)*T1056</f>
        <v>45470.176003840003</v>
      </c>
      <c r="V1056">
        <f t="shared" ref="V1056:W1056" si="1113">V1032</f>
        <v>3.5</v>
      </c>
      <c r="W1056">
        <f t="shared" si="1113"/>
        <v>3.1</v>
      </c>
      <c r="X1056" s="9">
        <v>-21.359103016666602</v>
      </c>
    </row>
    <row r="1057" spans="1:24">
      <c r="A1057" s="29">
        <f t="shared" si="1081"/>
        <v>45879.91666666411</v>
      </c>
      <c r="B1057" s="30">
        <f t="shared" si="1105"/>
        <v>5000</v>
      </c>
      <c r="C1057" s="8">
        <v>25000</v>
      </c>
      <c r="D1057" s="8">
        <v>0</v>
      </c>
      <c r="E1057" s="8">
        <v>700</v>
      </c>
      <c r="F1057" s="8">
        <v>15000</v>
      </c>
      <c r="G1057" s="30">
        <f t="shared" si="1106"/>
        <v>2400</v>
      </c>
      <c r="H1057" s="8">
        <v>25000</v>
      </c>
      <c r="I1057" s="30">
        <f t="shared" si="1107"/>
        <v>5000</v>
      </c>
      <c r="J1057" s="8">
        <v>25000</v>
      </c>
      <c r="K1057" s="30">
        <f t="shared" si="1108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14.4</v>
      </c>
      <c r="O1057" s="9">
        <v>13.5</v>
      </c>
      <c r="P1057" s="9">
        <v>19.5</v>
      </c>
      <c r="Q1057" s="79">
        <f>VLOOKUP(VLOOKUP(DATEVALUE(TEXT(A1057,"m/d/yyyy")),FY24_Temp[],5,FALSE)&amp;TEXT(A1057,"-h"),Table6[],4,FALSE)</f>
        <v>3.0557142666407993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VLOOKUP(TEXT(A1057,"yy-mm")&amp;"-"&amp;IF(AND(WEEKDAY(A1057)&gt;1,WEEKDAY(A1057)&lt;7),"Wkd",TEXT(A1057,"Ddd"))&amp;"-"&amp;TEXT(A1057,"hh"),LoadTable[],5,FALSE)*0.92</f>
        <v>370.02675999999997</v>
      </c>
      <c r="U1057" s="104">
        <f>VLOOKUP(TEXT(A1057,"yy-mm")&amp;"-"&amp;IF(AND(WEEKDAY(A1057)&gt;1,WEEKDAY(A1057)&lt;7),"Wkd",TEXT(A1057,"Ddd"))&amp;"-"&amp;TEXT(A1057,"hh"),LoadTable[],6,FALSE)*T1057</f>
        <v>24705.206658160001</v>
      </c>
      <c r="V1057">
        <f t="shared" ref="V1057:W1057" si="1114">V1033</f>
        <v>2.9</v>
      </c>
      <c r="W1057">
        <f t="shared" si="1114"/>
        <v>3.1</v>
      </c>
      <c r="X1057" s="9">
        <v>-21.436897566666602</v>
      </c>
    </row>
    <row r="1058" spans="1:24">
      <c r="A1058" s="29">
        <f t="shared" si="1081"/>
        <v>45879.958333330775</v>
      </c>
      <c r="B1058" s="30">
        <f t="shared" si="1105"/>
        <v>5000</v>
      </c>
      <c r="C1058" s="8">
        <v>25000</v>
      </c>
      <c r="D1058" s="8">
        <v>0</v>
      </c>
      <c r="E1058" s="8">
        <v>700</v>
      </c>
      <c r="F1058" s="8">
        <v>15000</v>
      </c>
      <c r="G1058" s="30">
        <f t="shared" si="1106"/>
        <v>2400</v>
      </c>
      <c r="H1058" s="8">
        <v>25000</v>
      </c>
      <c r="I1058" s="30">
        <f t="shared" si="1107"/>
        <v>5000</v>
      </c>
      <c r="J1058" s="8">
        <v>25000</v>
      </c>
      <c r="K1058" s="30">
        <f t="shared" si="1108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14.4</v>
      </c>
      <c r="O1058" s="9">
        <v>13.5</v>
      </c>
      <c r="P1058" s="9">
        <v>19.5</v>
      </c>
      <c r="Q1058" s="79">
        <f>VLOOKUP(VLOOKUP(DATEVALUE(TEXT(A1058,"m/d/yyyy")),FY24_Temp[],5,FALSE)&amp;TEXT(A1058,"-h"),Table6[],4,FALSE)</f>
        <v>2.9255714416503906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VLOOKUP(TEXT(A1058,"yy-mm")&amp;"-"&amp;IF(AND(WEEKDAY(A1058)&gt;1,WEEKDAY(A1058)&lt;7),"Wkd",TEXT(A1058,"Ddd"))&amp;"-"&amp;TEXT(A1058,"hh"),LoadTable[],5,FALSE)*0.92</f>
        <v>295.12680000000006</v>
      </c>
      <c r="U1058" s="104">
        <f>VLOOKUP(TEXT(A1058,"yy-mm")&amp;"-"&amp;IF(AND(WEEKDAY(A1058)&gt;1,WEEKDAY(A1058)&lt;7),"Wkd",TEXT(A1058,"Ddd"))&amp;"-"&amp;TEXT(A1058,"hh"),LoadTable[],6,FALSE)*T1058</f>
        <v>18122.851407600003</v>
      </c>
      <c r="V1058">
        <f t="shared" ref="V1058:W1058" si="1115">V1034</f>
        <v>3.6</v>
      </c>
      <c r="W1058">
        <f t="shared" si="1115"/>
        <v>3.1</v>
      </c>
      <c r="X1058" s="9">
        <v>-21.514692116666598</v>
      </c>
    </row>
    <row r="1059" spans="1:24">
      <c r="A1059" s="29">
        <f t="shared" si="1081"/>
        <v>45879.999999997439</v>
      </c>
      <c r="B1059" s="30">
        <f t="shared" si="1105"/>
        <v>5000</v>
      </c>
      <c r="C1059" s="8">
        <v>25000</v>
      </c>
      <c r="D1059" s="8">
        <v>0</v>
      </c>
      <c r="E1059" s="8">
        <v>700</v>
      </c>
      <c r="F1059" s="8">
        <v>15000</v>
      </c>
      <c r="G1059" s="30">
        <f t="shared" si="1106"/>
        <v>2400</v>
      </c>
      <c r="H1059" s="8">
        <v>25000</v>
      </c>
      <c r="I1059" s="30">
        <f t="shared" si="1107"/>
        <v>5000</v>
      </c>
      <c r="J1059" s="8">
        <v>25000</v>
      </c>
      <c r="K1059" s="30">
        <f t="shared" si="1108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14.4</v>
      </c>
      <c r="O1059" s="9">
        <v>13.5</v>
      </c>
      <c r="P1059" s="9">
        <v>19.5</v>
      </c>
      <c r="Q1059" s="79">
        <f>VLOOKUP(VLOOKUP(DATEVALUE(TEXT(A1059,"m/d/yyyy")),FY24_Temp[],5,FALSE)&amp;TEXT(A1059,"-h"),Table6[],4,FALSE)</f>
        <v>2.8105713639940535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VLOOKUP(TEXT(A1059,"yy-mm")&amp;"-"&amp;IF(AND(WEEKDAY(A1059)&gt;1,WEEKDAY(A1059)&lt;7),"Wkd",TEXT(A1059,"Ddd"))&amp;"-"&amp;TEXT(A1059,"hh"),LoadTable[],5,FALSE)*0.92</f>
        <v>297.2244</v>
      </c>
      <c r="U1059" s="104">
        <f>VLOOKUP(TEXT(A1059,"yy-mm")&amp;"-"&amp;IF(AND(WEEKDAY(A1059)&gt;1,WEEKDAY(A1059)&lt;7),"Wkd",TEXT(A1059,"Ddd"))&amp;"-"&amp;TEXT(A1059,"hh"),LoadTable[],6,FALSE)*T1059</f>
        <v>17505.031038000001</v>
      </c>
      <c r="V1059">
        <f t="shared" ref="V1059:W1059" si="1116">V1035</f>
        <v>3</v>
      </c>
      <c r="W1059">
        <f t="shared" si="1116"/>
        <v>3.2</v>
      </c>
      <c r="X1059" s="9">
        <v>-21.592486666666598</v>
      </c>
    </row>
    <row r="1060" spans="1:24">
      <c r="A1060" s="29">
        <f t="shared" si="1081"/>
        <v>45880.041666664103</v>
      </c>
      <c r="B1060" s="30">
        <f t="shared" si="1105"/>
        <v>5000</v>
      </c>
      <c r="C1060" s="8">
        <v>25000</v>
      </c>
      <c r="D1060" s="8">
        <v>0</v>
      </c>
      <c r="E1060" s="8">
        <v>700</v>
      </c>
      <c r="F1060" s="8">
        <v>15000</v>
      </c>
      <c r="G1060" s="30">
        <f t="shared" si="1106"/>
        <v>2400</v>
      </c>
      <c r="H1060" s="8">
        <v>25000</v>
      </c>
      <c r="I1060" s="30">
        <f t="shared" si="1107"/>
        <v>5000</v>
      </c>
      <c r="J1060" s="8">
        <v>25000</v>
      </c>
      <c r="K1060" s="30">
        <f t="shared" si="1108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14.4</v>
      </c>
      <c r="O1060" s="9">
        <v>13.5</v>
      </c>
      <c r="P1060" s="9">
        <v>19.5</v>
      </c>
      <c r="Q1060" s="79">
        <f>VLOOKUP(VLOOKUP(DATEVALUE(TEXT(A1060,"m/d/yyyy")),FY24_Temp[],5,FALSE)&amp;TEXT(A1060,"-h"),Table6[],4,FALSE)</f>
        <v>2.7044286046709334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VLOOKUP(TEXT(A1060,"yy-mm")&amp;"-"&amp;IF(AND(WEEKDAY(A1060)&gt;1,WEEKDAY(A1060)&lt;7),"Wkd",TEXT(A1060,"Ddd"))&amp;"-"&amp;TEXT(A1060,"hh"),LoadTable[],5,FALSE)*0.92</f>
        <v>295.12680000000006</v>
      </c>
      <c r="U1060" s="104">
        <f>VLOOKUP(TEXT(A1060,"yy-mm")&amp;"-"&amp;IF(AND(WEEKDAY(A1060)&gt;1,WEEKDAY(A1060)&lt;7),"Wkd",TEXT(A1060,"Ddd"))&amp;"-"&amp;TEXT(A1060,"hh"),LoadTable[],6,FALSE)*T1060</f>
        <v>17131.225359600001</v>
      </c>
      <c r="V1060">
        <f t="shared" ref="V1060:W1060" si="1117">V1036</f>
        <v>2.6</v>
      </c>
      <c r="W1060">
        <f t="shared" si="1117"/>
        <v>3.2</v>
      </c>
      <c r="X1060" s="9">
        <v>-21.670281216666599</v>
      </c>
    </row>
    <row r="1061" spans="1:24">
      <c r="A1061" s="29">
        <f t="shared" si="1081"/>
        <v>45880.083333330767</v>
      </c>
      <c r="B1061" s="30">
        <f t="shared" si="1105"/>
        <v>5000</v>
      </c>
      <c r="C1061" s="8">
        <v>25000</v>
      </c>
      <c r="D1061" s="8">
        <v>0</v>
      </c>
      <c r="E1061" s="8">
        <v>700</v>
      </c>
      <c r="F1061" s="8">
        <v>15000</v>
      </c>
      <c r="G1061" s="30">
        <f t="shared" si="1106"/>
        <v>2400</v>
      </c>
      <c r="H1061" s="8">
        <v>25000</v>
      </c>
      <c r="I1061" s="30">
        <f t="shared" si="1107"/>
        <v>5000</v>
      </c>
      <c r="J1061" s="8">
        <v>25000</v>
      </c>
      <c r="K1061" s="30">
        <f t="shared" si="1108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14.4</v>
      </c>
      <c r="O1061" s="9">
        <v>13.5</v>
      </c>
      <c r="P1061" s="9">
        <v>19.5</v>
      </c>
      <c r="Q1061" s="79">
        <f>VLOOKUP(VLOOKUP(DATEVALUE(TEXT(A1061,"m/d/yyyy")),FY24_Temp[],5,FALSE)&amp;TEXT(A1061,"-h"),Table6[],4,FALSE)</f>
        <v>2.6111428737640381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VLOOKUP(TEXT(A1061,"yy-mm")&amp;"-"&amp;IF(AND(WEEKDAY(A1061)&gt;1,WEEKDAY(A1061)&lt;7),"Wkd",TEXT(A1061,"Ddd"))&amp;"-"&amp;TEXT(A1061,"hh"),LoadTable[],5,FALSE)*0.92</f>
        <v>295.12680000000006</v>
      </c>
      <c r="U1061" s="104">
        <f>VLOOKUP(TEXT(A1061,"yy-mm")&amp;"-"&amp;IF(AND(WEEKDAY(A1061)&gt;1,WEEKDAY(A1061)&lt;7),"Wkd",TEXT(A1061,"Ddd"))&amp;"-"&amp;TEXT(A1061,"hh"),LoadTable[],6,FALSE)*T1061</f>
        <v>16459.811889600001</v>
      </c>
      <c r="V1061">
        <f t="shared" ref="V1061:W1061" si="1118">V1037</f>
        <v>2.8</v>
      </c>
      <c r="W1061">
        <f t="shared" si="1118"/>
        <v>3.2</v>
      </c>
      <c r="X1061" s="9">
        <v>-21.748075766666599</v>
      </c>
    </row>
    <row r="1062" spans="1:24">
      <c r="A1062" s="29">
        <f t="shared" si="1081"/>
        <v>45880.124999997432</v>
      </c>
      <c r="B1062" s="30">
        <f t="shared" si="1105"/>
        <v>5000</v>
      </c>
      <c r="C1062" s="8">
        <v>25000</v>
      </c>
      <c r="D1062" s="8">
        <v>0</v>
      </c>
      <c r="E1062" s="8">
        <v>700</v>
      </c>
      <c r="F1062" s="8">
        <v>15000</v>
      </c>
      <c r="G1062" s="30">
        <f t="shared" si="1106"/>
        <v>2400</v>
      </c>
      <c r="H1062" s="8">
        <v>25000</v>
      </c>
      <c r="I1062" s="30">
        <f t="shared" si="1107"/>
        <v>5000</v>
      </c>
      <c r="J1062" s="8">
        <v>25000</v>
      </c>
      <c r="K1062" s="30">
        <f t="shared" si="1108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14.4</v>
      </c>
      <c r="O1062" s="9">
        <v>13.5</v>
      </c>
      <c r="P1062" s="9">
        <v>19.5</v>
      </c>
      <c r="Q1062" s="79">
        <f>VLOOKUP(VLOOKUP(DATEVALUE(TEXT(A1062,"m/d/yyyy")),FY24_Temp[],5,FALSE)&amp;TEXT(A1062,"-h"),Table6[],4,FALSE)</f>
        <v>2.4651428290775845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VLOOKUP(TEXT(A1062,"yy-mm")&amp;"-"&amp;IF(AND(WEEKDAY(A1062)&gt;1,WEEKDAY(A1062)&lt;7),"Wkd",TEXT(A1062,"Ddd"))&amp;"-"&amp;TEXT(A1062,"hh"),LoadTable[],5,FALSE)*0.92</f>
        <v>295.12680000000006</v>
      </c>
      <c r="U1062" s="104">
        <f>VLOOKUP(TEXT(A1062,"yy-mm")&amp;"-"&amp;IF(AND(WEEKDAY(A1062)&gt;1,WEEKDAY(A1062)&lt;7),"Wkd",TEXT(A1062,"Ddd"))&amp;"-"&amp;TEXT(A1062,"hh"),LoadTable[],6,FALSE)*T1062</f>
        <v>16610.326557600001</v>
      </c>
      <c r="V1062">
        <f t="shared" ref="V1062:W1062" si="1119">V1038</f>
        <v>2.7</v>
      </c>
      <c r="W1062">
        <f t="shared" si="1119"/>
        <v>3.2</v>
      </c>
      <c r="X1062" s="9">
        <v>-21.825870316666499</v>
      </c>
    </row>
    <row r="1063" spans="1:24">
      <c r="A1063" s="29">
        <f t="shared" si="1081"/>
        <v>45880.166666664096</v>
      </c>
      <c r="B1063" s="30">
        <f t="shared" si="1105"/>
        <v>5000</v>
      </c>
      <c r="C1063" s="8">
        <v>25000</v>
      </c>
      <c r="D1063" s="8">
        <v>0</v>
      </c>
      <c r="E1063" s="8">
        <v>700</v>
      </c>
      <c r="F1063" s="8">
        <v>15000</v>
      </c>
      <c r="G1063" s="30">
        <f t="shared" si="1106"/>
        <v>2400</v>
      </c>
      <c r="H1063" s="8">
        <v>25000</v>
      </c>
      <c r="I1063" s="30">
        <f t="shared" si="1107"/>
        <v>5000</v>
      </c>
      <c r="J1063" s="8">
        <v>25000</v>
      </c>
      <c r="K1063" s="30">
        <f t="shared" si="1108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14.4</v>
      </c>
      <c r="O1063" s="9">
        <v>13.5</v>
      </c>
      <c r="P1063" s="9">
        <v>19.5</v>
      </c>
      <c r="Q1063" s="79">
        <f>VLOOKUP(VLOOKUP(DATEVALUE(TEXT(A1063,"m/d/yyyy")),FY24_Temp[],5,FALSE)&amp;TEXT(A1063,"-h"),Table6[],4,FALSE)</f>
        <v>2.3014285564422607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VLOOKUP(TEXT(A1063,"yy-mm")&amp;"-"&amp;IF(AND(WEEKDAY(A1063)&gt;1,WEEKDAY(A1063)&lt;7),"Wkd",TEXT(A1063,"Ddd"))&amp;"-"&amp;TEXT(A1063,"hh"),LoadTable[],5,FALSE)*0.92</f>
        <v>295.12680000000006</v>
      </c>
      <c r="U1063" s="104">
        <f>VLOOKUP(TEXT(A1063,"yy-mm")&amp;"-"&amp;IF(AND(WEEKDAY(A1063)&gt;1,WEEKDAY(A1063)&lt;7),"Wkd",TEXT(A1063,"Ddd"))&amp;"-"&amp;TEXT(A1063,"hh"),LoadTable[],6,FALSE)*T1063</f>
        <v>16544.513281200001</v>
      </c>
      <c r="V1063">
        <f t="shared" ref="V1063:W1063" si="1120">V1039</f>
        <v>3</v>
      </c>
      <c r="W1063">
        <f t="shared" si="1120"/>
        <v>3.1</v>
      </c>
      <c r="X1063" s="9">
        <v>-21.903664866666499</v>
      </c>
    </row>
    <row r="1064" spans="1:24">
      <c r="A1064" s="29">
        <f t="shared" si="1081"/>
        <v>45880.20833333076</v>
      </c>
      <c r="B1064" s="30">
        <f t="shared" si="1105"/>
        <v>5000</v>
      </c>
      <c r="C1064" s="8">
        <v>25000</v>
      </c>
      <c r="D1064" s="8">
        <v>0</v>
      </c>
      <c r="E1064" s="8">
        <v>700</v>
      </c>
      <c r="F1064" s="8">
        <v>15000</v>
      </c>
      <c r="G1064" s="30">
        <f t="shared" si="1106"/>
        <v>2400</v>
      </c>
      <c r="H1064" s="8">
        <v>25000</v>
      </c>
      <c r="I1064" s="30">
        <f t="shared" si="1107"/>
        <v>5000</v>
      </c>
      <c r="J1064" s="8">
        <v>25000</v>
      </c>
      <c r="K1064" s="30">
        <f t="shared" si="1108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14.4</v>
      </c>
      <c r="O1064" s="9">
        <v>13.5</v>
      </c>
      <c r="P1064" s="9">
        <v>19.5</v>
      </c>
      <c r="Q1064" s="79">
        <f>VLOOKUP(VLOOKUP(DATEVALUE(TEXT(A1064,"m/d/yyyy")),FY24_Temp[],5,FALSE)&amp;TEXT(A1064,"-h"),Table6[],4,FALSE)</f>
        <v>2.1431428364345004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VLOOKUP(TEXT(A1064,"yy-mm")&amp;"-"&amp;IF(AND(WEEKDAY(A1064)&gt;1,WEEKDAY(A1064)&lt;7),"Wkd",TEXT(A1064,"Ddd"))&amp;"-"&amp;TEXT(A1064,"hh"),LoadTable[],5,FALSE)*0.92</f>
        <v>295.12680000000006</v>
      </c>
      <c r="U1064" s="104">
        <f>VLOOKUP(TEXT(A1064,"yy-mm")&amp;"-"&amp;IF(AND(WEEKDAY(A1064)&gt;1,WEEKDAY(A1064)&lt;7),"Wkd",TEXT(A1064,"Ddd"))&amp;"-"&amp;TEXT(A1064,"hh"),LoadTable[],6,FALSE)*T1064</f>
        <v>17128.569218400004</v>
      </c>
      <c r="V1064">
        <f t="shared" ref="V1064:W1064" si="1121">V1040</f>
        <v>2.9</v>
      </c>
      <c r="W1064">
        <f t="shared" si="1121"/>
        <v>3.1</v>
      </c>
      <c r="X1064" s="9">
        <v>-21.9814594166665</v>
      </c>
    </row>
    <row r="1065" spans="1:24">
      <c r="A1065" s="29">
        <f t="shared" si="1081"/>
        <v>45880.249999997424</v>
      </c>
      <c r="B1065" s="30">
        <f t="shared" si="1105"/>
        <v>8000</v>
      </c>
      <c r="C1065" s="8">
        <v>25000</v>
      </c>
      <c r="D1065" s="8">
        <v>0</v>
      </c>
      <c r="E1065" s="8">
        <v>700</v>
      </c>
      <c r="F1065" s="8">
        <v>15000</v>
      </c>
      <c r="G1065" s="30">
        <f t="shared" si="1106"/>
        <v>2400</v>
      </c>
      <c r="H1065" s="8">
        <v>25000</v>
      </c>
      <c r="I1065" s="30">
        <f t="shared" si="1107"/>
        <v>8000</v>
      </c>
      <c r="J1065" s="8">
        <v>25000</v>
      </c>
      <c r="K1065" s="30">
        <f t="shared" si="1108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14.4</v>
      </c>
      <c r="O1065" s="9">
        <v>13.5</v>
      </c>
      <c r="P1065" s="9">
        <v>19.5</v>
      </c>
      <c r="Q1065" s="79">
        <f>VLOOKUP(VLOOKUP(DATEVALUE(TEXT(A1065,"m/d/yyyy")),FY24_Temp[],5,FALSE)&amp;TEXT(A1065,"-h"),Table6[],4,FALSE)</f>
        <v>2.0285714013235912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VLOOKUP(TEXT(A1065,"yy-mm")&amp;"-"&amp;IF(AND(WEEKDAY(A1065)&gt;1,WEEKDAY(A1065)&lt;7),"Wkd",TEXT(A1065,"Ddd"))&amp;"-"&amp;TEXT(A1065,"hh"),LoadTable[],5,FALSE)*0.92</f>
        <v>295.12680000000006</v>
      </c>
      <c r="U1065" s="104">
        <f>VLOOKUP(TEXT(A1065,"yy-mm")&amp;"-"&amp;IF(AND(WEEKDAY(A1065)&gt;1,WEEKDAY(A1065)&lt;7),"Wkd",TEXT(A1065,"Ddd"))&amp;"-"&amp;TEXT(A1065,"hh"),LoadTable[],6,FALSE)*T1065</f>
        <v>20766.892408800006</v>
      </c>
      <c r="V1065">
        <f t="shared" ref="V1065:W1065" si="1122">V1041</f>
        <v>2.5</v>
      </c>
      <c r="W1065">
        <f t="shared" si="1122"/>
        <v>3.1</v>
      </c>
      <c r="X1065" s="9">
        <v>-22.0592539666665</v>
      </c>
    </row>
    <row r="1066" spans="1:24">
      <c r="A1066" s="29">
        <f t="shared" si="1081"/>
        <v>45880.291666664089</v>
      </c>
      <c r="B1066" s="30">
        <f t="shared" si="1105"/>
        <v>8000</v>
      </c>
      <c r="C1066" s="8">
        <v>25000</v>
      </c>
      <c r="D1066" s="8">
        <v>0</v>
      </c>
      <c r="E1066" s="8">
        <v>700</v>
      </c>
      <c r="F1066" s="8">
        <v>15000</v>
      </c>
      <c r="G1066" s="30">
        <f t="shared" si="1106"/>
        <v>2400</v>
      </c>
      <c r="H1066" s="8">
        <v>25000</v>
      </c>
      <c r="I1066" s="30">
        <f t="shared" si="1107"/>
        <v>8000</v>
      </c>
      <c r="J1066" s="8">
        <v>25000</v>
      </c>
      <c r="K1066" s="30">
        <f t="shared" si="1108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14.4</v>
      </c>
      <c r="O1066" s="9">
        <v>13.5</v>
      </c>
      <c r="P1066" s="9">
        <v>19.5</v>
      </c>
      <c r="Q1066" s="79">
        <f>VLOOKUP(VLOOKUP(DATEVALUE(TEXT(A1066,"m/d/yyyy")),FY24_Temp[],5,FALSE)&amp;TEXT(A1066,"-h"),Table6[],4,FALSE)</f>
        <v>1.9455714055470057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VLOOKUP(TEXT(A1066,"yy-mm")&amp;"-"&amp;IF(AND(WEEKDAY(A1066)&gt;1,WEEKDAY(A1066)&lt;7),"Wkd",TEXT(A1066,"Ddd"))&amp;"-"&amp;TEXT(A1066,"hh"),LoadTable[],5,FALSE)*0.92</f>
        <v>295.12680000000006</v>
      </c>
      <c r="U1066" s="104">
        <f>VLOOKUP(TEXT(A1066,"yy-mm")&amp;"-"&amp;IF(AND(WEEKDAY(A1066)&gt;1,WEEKDAY(A1066)&lt;7),"Wkd",TEXT(A1066,"Ddd"))&amp;"-"&amp;TEXT(A1066,"hh"),LoadTable[],6,FALSE)*T1066</f>
        <v>19169.666167200001</v>
      </c>
      <c r="V1066">
        <f t="shared" ref="V1066:W1066" si="1123">V1042</f>
        <v>2.5</v>
      </c>
      <c r="W1066">
        <f t="shared" si="1123"/>
        <v>3.1</v>
      </c>
      <c r="X1066" s="9">
        <v>-22.1370485166665</v>
      </c>
    </row>
    <row r="1067" spans="1:24">
      <c r="A1067" s="29">
        <f t="shared" si="1081"/>
        <v>45880.333333330753</v>
      </c>
      <c r="B1067" s="30">
        <f t="shared" si="1105"/>
        <v>8000</v>
      </c>
      <c r="C1067" s="8">
        <v>25000</v>
      </c>
      <c r="D1067" s="8">
        <v>0</v>
      </c>
      <c r="E1067" s="8">
        <v>700</v>
      </c>
      <c r="F1067" s="8">
        <v>15000</v>
      </c>
      <c r="G1067" s="30">
        <f t="shared" si="1106"/>
        <v>2400</v>
      </c>
      <c r="H1067" s="8">
        <v>25000</v>
      </c>
      <c r="I1067" s="30">
        <f t="shared" si="1107"/>
        <v>8000</v>
      </c>
      <c r="J1067" s="8">
        <v>25000</v>
      </c>
      <c r="K1067" s="30">
        <f t="shared" si="1108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14.4</v>
      </c>
      <c r="O1067" s="9">
        <v>13.5</v>
      </c>
      <c r="P1067" s="9">
        <v>19.5</v>
      </c>
      <c r="Q1067" s="79">
        <f>VLOOKUP(VLOOKUP(DATEVALUE(TEXT(A1067,"m/d/yyyy")),FY24_Temp[],5,FALSE)&amp;TEXT(A1067,"-h"),Table6[],4,FALSE)</f>
        <v>1.8411428587777274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VLOOKUP(TEXT(A1067,"yy-mm")&amp;"-"&amp;IF(AND(WEEKDAY(A1067)&gt;1,WEEKDAY(A1067)&lt;7),"Wkd",TEXT(A1067,"Ddd"))&amp;"-"&amp;TEXT(A1067,"hh"),LoadTable[],5,FALSE)*0.92</f>
        <v>295.12680000000006</v>
      </c>
      <c r="U1067" s="104">
        <f>VLOOKUP(TEXT(A1067,"yy-mm")&amp;"-"&amp;IF(AND(WEEKDAY(A1067)&gt;1,WEEKDAY(A1067)&lt;7),"Wkd",TEXT(A1067,"Ddd"))&amp;"-"&amp;TEXT(A1067,"hh"),LoadTable[],6,FALSE)*T1067</f>
        <v>15860.999612400004</v>
      </c>
      <c r="V1067">
        <f t="shared" ref="V1067:W1067" si="1124">V1043</f>
        <v>3.2</v>
      </c>
      <c r="W1067">
        <f t="shared" si="1124"/>
        <v>3</v>
      </c>
      <c r="X1067" s="9">
        <v>-22.2148430666665</v>
      </c>
    </row>
    <row r="1068" spans="1:24">
      <c r="A1068" s="29">
        <f t="shared" si="1081"/>
        <v>45880.374999997417</v>
      </c>
      <c r="B1068" s="30">
        <f t="shared" si="1105"/>
        <v>8000</v>
      </c>
      <c r="C1068" s="8">
        <v>25000</v>
      </c>
      <c r="D1068" s="8">
        <v>0</v>
      </c>
      <c r="E1068" s="8">
        <v>700</v>
      </c>
      <c r="F1068" s="8">
        <v>15000</v>
      </c>
      <c r="G1068" s="30">
        <f t="shared" si="1106"/>
        <v>2400</v>
      </c>
      <c r="H1068" s="8">
        <v>25000</v>
      </c>
      <c r="I1068" s="30">
        <f t="shared" si="1107"/>
        <v>8000</v>
      </c>
      <c r="J1068" s="8">
        <v>25000</v>
      </c>
      <c r="K1068" s="30">
        <f t="shared" si="1108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14.4</v>
      </c>
      <c r="O1068" s="9">
        <v>13.5</v>
      </c>
      <c r="P1068" s="9">
        <v>19.5</v>
      </c>
      <c r="Q1068" s="79">
        <f>VLOOKUP(VLOOKUP(DATEVALUE(TEXT(A1068,"m/d/yyyy")),FY24_Temp[],5,FALSE)&amp;TEXT(A1068,"-h"),Table6[],4,FALSE)</f>
        <v>1.7424285582133703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VLOOKUP(TEXT(A1068,"yy-mm")&amp;"-"&amp;IF(AND(WEEKDAY(A1068)&gt;1,WEEKDAY(A1068)&lt;7),"Wkd",TEXT(A1068,"Ddd"))&amp;"-"&amp;TEXT(A1068,"hh"),LoadTable[],5,FALSE)*0.92</f>
        <v>295.12680000000006</v>
      </c>
      <c r="U1068" s="104">
        <f>VLOOKUP(TEXT(A1068,"yy-mm")&amp;"-"&amp;IF(AND(WEEKDAY(A1068)&gt;1,WEEKDAY(A1068)&lt;7),"Wkd",TEXT(A1068,"Ddd"))&amp;"-"&amp;TEXT(A1068,"hh"),LoadTable[],6,FALSE)*T1068</f>
        <v>15713.436212400004</v>
      </c>
      <c r="V1068">
        <f t="shared" ref="V1068:W1068" si="1125">V1044</f>
        <v>2.9</v>
      </c>
      <c r="W1068">
        <f t="shared" si="1125"/>
        <v>3</v>
      </c>
      <c r="X1068" s="9">
        <v>-22.2926376166665</v>
      </c>
    </row>
    <row r="1069" spans="1:24">
      <c r="A1069" s="29">
        <f t="shared" si="1081"/>
        <v>45880.416666664081</v>
      </c>
      <c r="B1069" s="30">
        <f t="shared" si="1105"/>
        <v>8000</v>
      </c>
      <c r="C1069" s="8">
        <v>25000</v>
      </c>
      <c r="D1069" s="8">
        <v>0</v>
      </c>
      <c r="E1069" s="8">
        <v>700</v>
      </c>
      <c r="F1069" s="8">
        <v>15000</v>
      </c>
      <c r="G1069" s="30">
        <f t="shared" si="1106"/>
        <v>2400</v>
      </c>
      <c r="H1069" s="8">
        <v>25000</v>
      </c>
      <c r="I1069" s="30">
        <f t="shared" si="1107"/>
        <v>8000</v>
      </c>
      <c r="J1069" s="8">
        <v>25000</v>
      </c>
      <c r="K1069" s="30">
        <f t="shared" si="1108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14.4</v>
      </c>
      <c r="O1069" s="9">
        <v>13.5</v>
      </c>
      <c r="P1069" s="9">
        <v>19.5</v>
      </c>
      <c r="Q1069" s="79">
        <f>VLOOKUP(VLOOKUP(DATEVALUE(TEXT(A1069,"m/d/yyyy")),FY24_Temp[],5,FALSE)&amp;TEXT(A1069,"-h"),Table6[],4,FALSE)</f>
        <v>1.6560000010899134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VLOOKUP(TEXT(A1069,"yy-mm")&amp;"-"&amp;IF(AND(WEEKDAY(A1069)&gt;1,WEEKDAY(A1069)&lt;7),"Wkd",TEXT(A1069,"Ddd"))&amp;"-"&amp;TEXT(A1069,"hh"),LoadTable[],5,FALSE)*0.92</f>
        <v>295.12680000000006</v>
      </c>
      <c r="U1069" s="104">
        <f>VLOOKUP(TEXT(A1069,"yy-mm")&amp;"-"&amp;IF(AND(WEEKDAY(A1069)&gt;1,WEEKDAY(A1069)&lt;7),"Wkd",TEXT(A1069,"Ddd"))&amp;"-"&amp;TEXT(A1069,"hh"),LoadTable[],6,FALSE)*T1069</f>
        <v>14369.723892000002</v>
      </c>
      <c r="V1069">
        <f t="shared" ref="V1069:W1069" si="1126">V1045</f>
        <v>2.9</v>
      </c>
      <c r="W1069">
        <f t="shared" si="1126"/>
        <v>3</v>
      </c>
      <c r="X1069" s="9">
        <v>-22.3704321666665</v>
      </c>
    </row>
    <row r="1070" spans="1:24">
      <c r="A1070" s="29">
        <f t="shared" si="1081"/>
        <v>45880.458333330746</v>
      </c>
      <c r="B1070" s="30">
        <f t="shared" si="1105"/>
        <v>8000</v>
      </c>
      <c r="C1070" s="8">
        <v>25000</v>
      </c>
      <c r="D1070" s="8">
        <v>0</v>
      </c>
      <c r="E1070" s="8">
        <v>700</v>
      </c>
      <c r="F1070" s="8">
        <v>15000</v>
      </c>
      <c r="G1070" s="30">
        <f t="shared" si="1106"/>
        <v>2400</v>
      </c>
      <c r="H1070" s="8">
        <v>25000</v>
      </c>
      <c r="I1070" s="30">
        <f t="shared" si="1107"/>
        <v>8000</v>
      </c>
      <c r="J1070" s="8">
        <v>25000</v>
      </c>
      <c r="K1070" s="30">
        <f t="shared" si="1108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14.4</v>
      </c>
      <c r="O1070" s="9">
        <v>13.5</v>
      </c>
      <c r="P1070" s="9">
        <v>19.5</v>
      </c>
      <c r="Q1070" s="79">
        <f>VLOOKUP(VLOOKUP(DATEVALUE(TEXT(A1070,"m/d/yyyy")),FY24_Temp[],5,FALSE)&amp;TEXT(A1070,"-h"),Table6[],4,FALSE)</f>
        <v>1.5444285869598389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VLOOKUP(TEXT(A1070,"yy-mm")&amp;"-"&amp;IF(AND(WEEKDAY(A1070)&gt;1,WEEKDAY(A1070)&lt;7),"Wkd",TEXT(A1070,"Ddd"))&amp;"-"&amp;TEXT(A1070,"hh"),LoadTable[],5,FALSE)*0.92</f>
        <v>295.12680000000006</v>
      </c>
      <c r="U1070" s="104">
        <f>VLOOKUP(TEXT(A1070,"yy-mm")&amp;"-"&amp;IF(AND(WEEKDAY(A1070)&gt;1,WEEKDAY(A1070)&lt;7),"Wkd",TEXT(A1070,"Ddd"))&amp;"-"&amp;TEXT(A1070,"hh"),LoadTable[],6,FALSE)*T1070</f>
        <v>14137.459100400003</v>
      </c>
      <c r="V1070">
        <f t="shared" ref="V1070:W1070" si="1127">V1046</f>
        <v>3.4</v>
      </c>
      <c r="W1070">
        <f t="shared" si="1127"/>
        <v>3</v>
      </c>
      <c r="X1070" s="9">
        <v>-22.4482267166665</v>
      </c>
    </row>
    <row r="1071" spans="1:24">
      <c r="A1071" s="29">
        <f t="shared" si="1081"/>
        <v>45880.49999999741</v>
      </c>
      <c r="B1071" s="30">
        <f t="shared" si="1105"/>
        <v>8000</v>
      </c>
      <c r="C1071" s="8">
        <v>25000</v>
      </c>
      <c r="D1071" s="8">
        <v>0</v>
      </c>
      <c r="E1071" s="8">
        <v>700</v>
      </c>
      <c r="F1071" s="8">
        <v>15000</v>
      </c>
      <c r="G1071" s="30">
        <f t="shared" si="1106"/>
        <v>2400</v>
      </c>
      <c r="H1071" s="8">
        <v>25000</v>
      </c>
      <c r="I1071" s="30">
        <f t="shared" si="1107"/>
        <v>8000</v>
      </c>
      <c r="J1071" s="8">
        <v>25000</v>
      </c>
      <c r="K1071" s="30">
        <f t="shared" si="1108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14.4</v>
      </c>
      <c r="O1071" s="9">
        <v>13.5</v>
      </c>
      <c r="P1071" s="9">
        <v>19.5</v>
      </c>
      <c r="Q1071" s="79">
        <f>VLOOKUP(VLOOKUP(DATEVALUE(TEXT(A1071,"m/d/yyyy")),FY24_Temp[],5,FALSE)&amp;TEXT(A1071,"-h"),Table6[],4,FALSE)</f>
        <v>1.4021428823471069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VLOOKUP(TEXT(A1071,"yy-mm")&amp;"-"&amp;IF(AND(WEEKDAY(A1071)&gt;1,WEEKDAY(A1071)&lt;7),"Wkd",TEXT(A1071,"Ddd"))&amp;"-"&amp;TEXT(A1071,"hh"),LoadTable[],5,FALSE)*0.92</f>
        <v>295.12680000000006</v>
      </c>
      <c r="U1071" s="104">
        <f>VLOOKUP(TEXT(A1071,"yy-mm")&amp;"-"&amp;IF(AND(WEEKDAY(A1071)&gt;1,WEEKDAY(A1071)&lt;7),"Wkd",TEXT(A1071,"Ddd"))&amp;"-"&amp;TEXT(A1071,"hh"),LoadTable[],6,FALSE)*T1071</f>
        <v>14242.819368000002</v>
      </c>
      <c r="V1071">
        <f t="shared" ref="V1071:W1071" si="1128">V1047</f>
        <v>3.1</v>
      </c>
      <c r="W1071">
        <f t="shared" si="1128"/>
        <v>2.9</v>
      </c>
      <c r="X1071" s="9">
        <v>-22.526021266666501</v>
      </c>
    </row>
    <row r="1072" spans="1:24">
      <c r="A1072" s="29">
        <f t="shared" si="1081"/>
        <v>45880.541666664074</v>
      </c>
      <c r="B1072" s="30">
        <f t="shared" si="1105"/>
        <v>8000</v>
      </c>
      <c r="C1072" s="8">
        <v>25000</v>
      </c>
      <c r="D1072" s="8">
        <v>0</v>
      </c>
      <c r="E1072" s="8">
        <v>700</v>
      </c>
      <c r="F1072" s="8">
        <v>15000</v>
      </c>
      <c r="G1072" s="30">
        <f t="shared" si="1106"/>
        <v>2400</v>
      </c>
      <c r="H1072" s="8">
        <v>25000</v>
      </c>
      <c r="I1072" s="30">
        <f t="shared" si="1107"/>
        <v>8000</v>
      </c>
      <c r="J1072" s="8">
        <v>25000</v>
      </c>
      <c r="K1072" s="30">
        <f t="shared" si="1108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14.4</v>
      </c>
      <c r="O1072" s="9">
        <v>13.5</v>
      </c>
      <c r="P1072" s="9">
        <v>19.5</v>
      </c>
      <c r="Q1072" s="79">
        <f>VLOOKUP(VLOOKUP(DATEVALUE(TEXT(A1072,"m/d/yyyy")),FY24_Temp[],5,FALSE)&amp;TEXT(A1072,"-h"),Table6[],4,FALSE)</f>
        <v>1.2278571299144201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VLOOKUP(TEXT(A1072,"yy-mm")&amp;"-"&amp;IF(AND(WEEKDAY(A1072)&gt;1,WEEKDAY(A1072)&lt;7),"Wkd",TEXT(A1072,"Ddd"))&amp;"-"&amp;TEXT(A1072,"hh"),LoadTable[],5,FALSE)*0.92</f>
        <v>295.12680000000006</v>
      </c>
      <c r="U1072" s="104">
        <f>VLOOKUP(TEXT(A1072,"yy-mm")&amp;"-"&amp;IF(AND(WEEKDAY(A1072)&gt;1,WEEKDAY(A1072)&lt;7),"Wkd",TEXT(A1072,"Ddd"))&amp;"-"&amp;TEXT(A1072,"hh"),LoadTable[],6,FALSE)*T1072</f>
        <v>16280.669922000003</v>
      </c>
      <c r="V1072">
        <f t="shared" ref="V1072:W1072" si="1129">V1048</f>
        <v>3.2</v>
      </c>
      <c r="W1072">
        <f t="shared" si="1129"/>
        <v>2.9</v>
      </c>
      <c r="X1072" s="9">
        <v>-22.603815816666501</v>
      </c>
    </row>
    <row r="1073" spans="1:24">
      <c r="A1073" s="29">
        <f t="shared" si="1081"/>
        <v>45880.583333330738</v>
      </c>
      <c r="B1073" s="30">
        <f t="shared" si="1105"/>
        <v>8000</v>
      </c>
      <c r="C1073" s="8">
        <v>25000</v>
      </c>
      <c r="D1073" s="8">
        <v>0</v>
      </c>
      <c r="E1073" s="8">
        <v>700</v>
      </c>
      <c r="F1073" s="8">
        <v>15000</v>
      </c>
      <c r="G1073" s="30">
        <f t="shared" si="1106"/>
        <v>2400</v>
      </c>
      <c r="H1073" s="8">
        <v>25000</v>
      </c>
      <c r="I1073" s="30">
        <f t="shared" si="1107"/>
        <v>8000</v>
      </c>
      <c r="J1073" s="8">
        <v>25000</v>
      </c>
      <c r="K1073" s="30">
        <f t="shared" si="1108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14.4</v>
      </c>
      <c r="O1073" s="9">
        <v>13.5</v>
      </c>
      <c r="P1073" s="9">
        <v>19.5</v>
      </c>
      <c r="Q1073" s="79">
        <f>VLOOKUP(VLOOKUP(DATEVALUE(TEXT(A1073,"m/d/yyyy")),FY24_Temp[],5,FALSE)&amp;TEXT(A1073,"-h"),Table6[],4,FALSE)</f>
        <v>1.0399999959128243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VLOOKUP(TEXT(A1073,"yy-mm")&amp;"-"&amp;IF(AND(WEEKDAY(A1073)&gt;1,WEEKDAY(A1073)&lt;7),"Wkd",TEXT(A1073,"Ddd"))&amp;"-"&amp;TEXT(A1073,"hh"),LoadTable[],5,FALSE)*0.92</f>
        <v>402.08416</v>
      </c>
      <c r="U1073" s="104">
        <f>VLOOKUP(TEXT(A1073,"yy-mm")&amp;"-"&amp;IF(AND(WEEKDAY(A1073)&gt;1,WEEKDAY(A1073)&lt;7),"Wkd",TEXT(A1073,"Ddd"))&amp;"-"&amp;TEXT(A1073,"hh"),LoadTable[],6,FALSE)*T1073</f>
        <v>27023.674309440001</v>
      </c>
      <c r="V1073">
        <f t="shared" ref="V1073:W1073" si="1130">V1049</f>
        <v>3.5</v>
      </c>
      <c r="W1073">
        <f t="shared" si="1130"/>
        <v>2.9</v>
      </c>
      <c r="X1073" s="9">
        <v>-22.681610366666501</v>
      </c>
    </row>
    <row r="1074" spans="1:24">
      <c r="A1074" s="29">
        <f t="shared" si="1081"/>
        <v>45880.624999997402</v>
      </c>
      <c r="B1074" s="30">
        <f t="shared" si="1105"/>
        <v>8000</v>
      </c>
      <c r="C1074" s="8">
        <v>25000</v>
      </c>
      <c r="D1074" s="8">
        <v>0</v>
      </c>
      <c r="E1074" s="8">
        <v>700</v>
      </c>
      <c r="F1074" s="8">
        <v>15000</v>
      </c>
      <c r="G1074" s="30">
        <f t="shared" si="1106"/>
        <v>2400</v>
      </c>
      <c r="H1074" s="8">
        <v>25000</v>
      </c>
      <c r="I1074" s="30">
        <f t="shared" si="1107"/>
        <v>8000</v>
      </c>
      <c r="J1074" s="8">
        <v>25000</v>
      </c>
      <c r="K1074" s="30">
        <f t="shared" si="1108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14.4</v>
      </c>
      <c r="O1074" s="9">
        <v>13.5</v>
      </c>
      <c r="P1074" s="9">
        <v>19.5</v>
      </c>
      <c r="Q1074" s="79">
        <f>VLOOKUP(VLOOKUP(DATEVALUE(TEXT(A1074,"m/d/yyyy")),FY24_Temp[],5,FALSE)&amp;TEXT(A1074,"-h"),Table6[],4,FALSE)</f>
        <v>0.86785714115415302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VLOOKUP(TEXT(A1074,"yy-mm")&amp;"-"&amp;IF(AND(WEEKDAY(A1074)&gt;1,WEEKDAY(A1074)&lt;7),"Wkd",TEXT(A1074,"Ddd"))&amp;"-"&amp;TEXT(A1074,"hh"),LoadTable[],5,FALSE)*0.92</f>
        <v>521.92427999999995</v>
      </c>
      <c r="U1074" s="104">
        <f>VLOOKUP(TEXT(A1074,"yy-mm")&amp;"-"&amp;IF(AND(WEEKDAY(A1074)&gt;1,WEEKDAY(A1074)&lt;7),"Wkd",TEXT(A1074,"Ddd"))&amp;"-"&amp;TEXT(A1074,"hh"),LoadTable[],6,FALSE)*T1074</f>
        <v>38276.36092236</v>
      </c>
      <c r="V1074">
        <f t="shared" ref="V1074:W1074" si="1131">V1050</f>
        <v>3.2</v>
      </c>
      <c r="W1074">
        <f t="shared" si="1131"/>
        <v>2.9</v>
      </c>
      <c r="X1074" s="9">
        <v>-22.759404916666501</v>
      </c>
    </row>
    <row r="1075" spans="1:24">
      <c r="A1075" s="29">
        <f t="shared" si="1081"/>
        <v>45880.666666664067</v>
      </c>
      <c r="B1075" s="30">
        <f t="shared" si="1105"/>
        <v>8000</v>
      </c>
      <c r="C1075" s="8">
        <v>25000</v>
      </c>
      <c r="D1075" s="8">
        <v>0</v>
      </c>
      <c r="E1075" s="8">
        <v>700</v>
      </c>
      <c r="F1075" s="8">
        <v>15000</v>
      </c>
      <c r="G1075" s="30">
        <f t="shared" si="1106"/>
        <v>2400</v>
      </c>
      <c r="H1075" s="8">
        <v>25000</v>
      </c>
      <c r="I1075" s="30">
        <f t="shared" si="1107"/>
        <v>8000</v>
      </c>
      <c r="J1075" s="8">
        <v>25000</v>
      </c>
      <c r="K1075" s="30">
        <f t="shared" si="1108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14.4</v>
      </c>
      <c r="O1075" s="9">
        <v>13.5</v>
      </c>
      <c r="P1075" s="9">
        <v>19.5</v>
      </c>
      <c r="Q1075" s="79">
        <f>VLOOKUP(VLOOKUP(DATEVALUE(TEXT(A1075,"m/d/yyyy")),FY24_Temp[],5,FALSE)&amp;TEXT(A1075,"-h"),Table6[],4,FALSE)</f>
        <v>0.77942857572010582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VLOOKUP(TEXT(A1075,"yy-mm")&amp;"-"&amp;IF(AND(WEEKDAY(A1075)&gt;1,WEEKDAY(A1075)&lt;7),"Wkd",TEXT(A1075,"Ddd"))&amp;"-"&amp;TEXT(A1075,"hh"),LoadTable[],5,FALSE)*0.92</f>
        <v>521.92427999999995</v>
      </c>
      <c r="U1075" s="104">
        <f>VLOOKUP(TEXT(A1075,"yy-mm")&amp;"-"&amp;IF(AND(WEEKDAY(A1075)&gt;1,WEEKDAY(A1075)&lt;7),"Wkd",TEXT(A1075,"Ddd"))&amp;"-"&amp;TEXT(A1075,"hh"),LoadTable[],6,FALSE)*T1075</f>
        <v>45879.753833399998</v>
      </c>
      <c r="V1075">
        <f t="shared" ref="V1075:W1075" si="1132">V1051</f>
        <v>3.5</v>
      </c>
      <c r="W1075">
        <f t="shared" si="1132"/>
        <v>3</v>
      </c>
      <c r="X1075" s="9">
        <v>-22.837199466666501</v>
      </c>
    </row>
    <row r="1076" spans="1:24">
      <c r="A1076" s="29">
        <f t="shared" si="1081"/>
        <v>45880.708333330731</v>
      </c>
      <c r="B1076" s="30">
        <f t="shared" si="1105"/>
        <v>8000</v>
      </c>
      <c r="C1076" s="8">
        <v>25000</v>
      </c>
      <c r="D1076" s="8">
        <v>0</v>
      </c>
      <c r="E1076" s="8">
        <v>700</v>
      </c>
      <c r="F1076" s="8">
        <v>15000</v>
      </c>
      <c r="G1076" s="30">
        <f t="shared" si="1106"/>
        <v>2400</v>
      </c>
      <c r="H1076" s="8">
        <v>25000</v>
      </c>
      <c r="I1076" s="30">
        <f t="shared" si="1107"/>
        <v>8000</v>
      </c>
      <c r="J1076" s="8">
        <v>25000</v>
      </c>
      <c r="K1076" s="30">
        <f t="shared" si="1108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14.4</v>
      </c>
      <c r="O1076" s="9">
        <v>13.5</v>
      </c>
      <c r="P1076" s="9">
        <v>19.5</v>
      </c>
      <c r="Q1076" s="79">
        <f>VLOOKUP(VLOOKUP(DATEVALUE(TEXT(A1076,"m/d/yyyy")),FY24_Temp[],5,FALSE)&amp;TEXT(A1076,"-h"),Table6[],4,FALSE)</f>
        <v>0.93557143211364746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VLOOKUP(TEXT(A1076,"yy-mm")&amp;"-"&amp;IF(AND(WEEKDAY(A1076)&gt;1,WEEKDAY(A1076)&lt;7),"Wkd",TEXT(A1076,"Ddd"))&amp;"-"&amp;TEXT(A1076,"hh"),LoadTable[],5,FALSE)*0.92</f>
        <v>521.92427999999995</v>
      </c>
      <c r="U1076" s="104">
        <f>VLOOKUP(TEXT(A1076,"yy-mm")&amp;"-"&amp;IF(AND(WEEKDAY(A1076)&gt;1,WEEKDAY(A1076)&lt;7),"Wkd",TEXT(A1076,"Ddd"))&amp;"-"&amp;TEXT(A1076,"hh"),LoadTable[],6,FALSE)*T1076</f>
        <v>57850.609119479988</v>
      </c>
      <c r="V1076">
        <f t="shared" ref="V1076:W1076" si="1133">V1052</f>
        <v>3.6</v>
      </c>
      <c r="W1076">
        <f t="shared" si="1133"/>
        <v>3</v>
      </c>
      <c r="X1076" s="9">
        <v>-22.914994016666501</v>
      </c>
    </row>
    <row r="1077" spans="1:24">
      <c r="A1077" s="29">
        <f t="shared" si="1081"/>
        <v>45880.749999997395</v>
      </c>
      <c r="B1077" s="30">
        <f t="shared" si="1105"/>
        <v>5000</v>
      </c>
      <c r="C1077" s="8">
        <v>25000</v>
      </c>
      <c r="D1077" s="8">
        <v>0</v>
      </c>
      <c r="E1077" s="8">
        <v>700</v>
      </c>
      <c r="F1077" s="8">
        <v>15000</v>
      </c>
      <c r="G1077" s="30">
        <f t="shared" si="1106"/>
        <v>2400</v>
      </c>
      <c r="H1077" s="8">
        <v>25000</v>
      </c>
      <c r="I1077" s="30">
        <f t="shared" si="1107"/>
        <v>5000</v>
      </c>
      <c r="J1077" s="8">
        <v>25000</v>
      </c>
      <c r="K1077" s="30">
        <f t="shared" si="1108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14.4</v>
      </c>
      <c r="O1077" s="9">
        <v>13.5</v>
      </c>
      <c r="P1077" s="9">
        <v>19.5</v>
      </c>
      <c r="Q1077" s="79">
        <f>VLOOKUP(VLOOKUP(DATEVALUE(TEXT(A1077,"m/d/yyyy")),FY24_Temp[],5,FALSE)&amp;TEXT(A1077,"-h"),Table6[],4,FALSE)</f>
        <v>1.3035714285714286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VLOOKUP(TEXT(A1077,"yy-mm")&amp;"-"&amp;IF(AND(WEEKDAY(A1077)&gt;1,WEEKDAY(A1077)&lt;7),"Wkd",TEXT(A1077,"Ddd"))&amp;"-"&amp;TEXT(A1077,"hh"),LoadTable[],5,FALSE)*0.92</f>
        <v>521.92427999999995</v>
      </c>
      <c r="U1077" s="104">
        <f>VLOOKUP(TEXT(A1077,"yy-mm")&amp;"-"&amp;IF(AND(WEEKDAY(A1077)&gt;1,WEEKDAY(A1077)&lt;7),"Wkd",TEXT(A1077,"Ddd"))&amp;"-"&amp;TEXT(A1077,"hh"),LoadTable[],6,FALSE)*T1077</f>
        <v>71088.174633119997</v>
      </c>
      <c r="V1077">
        <f t="shared" ref="V1077:W1077" si="1134">V1053</f>
        <v>2.9</v>
      </c>
      <c r="W1077">
        <f t="shared" si="1134"/>
        <v>3</v>
      </c>
      <c r="X1077" s="9">
        <v>-22.992788566666501</v>
      </c>
    </row>
    <row r="1078" spans="1:24">
      <c r="A1078" s="29">
        <f t="shared" si="1081"/>
        <v>45880.791666664059</v>
      </c>
      <c r="B1078" s="30">
        <f t="shared" si="1105"/>
        <v>5000</v>
      </c>
      <c r="C1078" s="8">
        <v>25000</v>
      </c>
      <c r="D1078" s="8">
        <v>0</v>
      </c>
      <c r="E1078" s="8">
        <v>700</v>
      </c>
      <c r="F1078" s="8">
        <v>15000</v>
      </c>
      <c r="G1078" s="30">
        <f t="shared" si="1106"/>
        <v>2400</v>
      </c>
      <c r="H1078" s="8">
        <v>25000</v>
      </c>
      <c r="I1078" s="30">
        <f t="shared" si="1107"/>
        <v>5000</v>
      </c>
      <c r="J1078" s="8">
        <v>25000</v>
      </c>
      <c r="K1078" s="30">
        <f t="shared" si="1108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14.4</v>
      </c>
      <c r="O1078" s="9">
        <v>13.5</v>
      </c>
      <c r="P1078" s="9">
        <v>19.5</v>
      </c>
      <c r="Q1078" s="79">
        <f>VLOOKUP(VLOOKUP(DATEVALUE(TEXT(A1078,"m/d/yyyy")),FY24_Temp[],5,FALSE)&amp;TEXT(A1078,"-h"),Table6[],4,FALSE)</f>
        <v>2.0524285861424039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VLOOKUP(TEXT(A1078,"yy-mm")&amp;"-"&amp;IF(AND(WEEKDAY(A1078)&gt;1,WEEKDAY(A1078)&lt;7),"Wkd",TEXT(A1078,"Ddd"))&amp;"-"&amp;TEXT(A1078,"hh"),LoadTable[],5,FALSE)*0.92</f>
        <v>521.92427999999995</v>
      </c>
      <c r="U1078" s="104">
        <f>VLOOKUP(TEXT(A1078,"yy-mm")&amp;"-"&amp;IF(AND(WEEKDAY(A1078)&gt;1,WEEKDAY(A1078)&lt;7),"Wkd",TEXT(A1078,"Ddd"))&amp;"-"&amp;TEXT(A1078,"hh"),LoadTable[],6,FALSE)*T1078</f>
        <v>75540.188741520004</v>
      </c>
      <c r="V1078">
        <f t="shared" ref="V1078:W1078" si="1135">V1054</f>
        <v>3</v>
      </c>
      <c r="W1078">
        <f t="shared" si="1135"/>
        <v>3</v>
      </c>
      <c r="X1078" s="9">
        <v>-23.070583116666501</v>
      </c>
    </row>
    <row r="1079" spans="1:24">
      <c r="A1079" s="29">
        <f t="shared" si="1081"/>
        <v>45880.833333330724</v>
      </c>
      <c r="B1079" s="30">
        <f t="shared" si="1105"/>
        <v>5000</v>
      </c>
      <c r="C1079" s="8">
        <v>25000</v>
      </c>
      <c r="D1079" s="8">
        <v>0</v>
      </c>
      <c r="E1079" s="8">
        <v>700</v>
      </c>
      <c r="F1079" s="8">
        <v>15000</v>
      </c>
      <c r="G1079" s="30">
        <f t="shared" si="1106"/>
        <v>2400</v>
      </c>
      <c r="H1079" s="8">
        <v>25000</v>
      </c>
      <c r="I1079" s="30">
        <f t="shared" si="1107"/>
        <v>5000</v>
      </c>
      <c r="J1079" s="8">
        <v>25000</v>
      </c>
      <c r="K1079" s="30">
        <f t="shared" si="1108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14.4</v>
      </c>
      <c r="O1079" s="9">
        <v>13.5</v>
      </c>
      <c r="P1079" s="9">
        <v>19.5</v>
      </c>
      <c r="Q1079" s="79">
        <f>VLOOKUP(VLOOKUP(DATEVALUE(TEXT(A1079,"m/d/yyyy")),FY24_Temp[],5,FALSE)&amp;TEXT(A1079,"-h"),Table6[],4,FALSE)</f>
        <v>2.8517142704554965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VLOOKUP(TEXT(A1079,"yy-mm")&amp;"-"&amp;IF(AND(WEEKDAY(A1079)&gt;1,WEEKDAY(A1079)&lt;7),"Wkd",TEXT(A1079,"Ddd"))&amp;"-"&amp;TEXT(A1079,"hh"),LoadTable[],5,FALSE)*0.92</f>
        <v>521.92427999999995</v>
      </c>
      <c r="U1079" s="104">
        <f>VLOOKUP(TEXT(A1079,"yy-mm")&amp;"-"&amp;IF(AND(WEEKDAY(A1079)&gt;1,WEEKDAY(A1079)&lt;7),"Wkd",TEXT(A1079,"Ddd"))&amp;"-"&amp;TEXT(A1079,"hh"),LoadTable[],6,FALSE)*T1079</f>
        <v>69176.365995479995</v>
      </c>
      <c r="V1079">
        <f t="shared" ref="V1079:W1079" si="1136">V1055</f>
        <v>2.8</v>
      </c>
      <c r="W1079">
        <f t="shared" si="1136"/>
        <v>3.1</v>
      </c>
      <c r="X1079" s="9">
        <v>-23.148377666666502</v>
      </c>
    </row>
    <row r="1080" spans="1:24">
      <c r="A1080" s="29">
        <f t="shared" si="1081"/>
        <v>45880.874999997388</v>
      </c>
      <c r="B1080" s="30">
        <f t="shared" si="1105"/>
        <v>5000</v>
      </c>
      <c r="C1080" s="8">
        <v>25000</v>
      </c>
      <c r="D1080" s="8">
        <v>0</v>
      </c>
      <c r="E1080" s="8">
        <v>700</v>
      </c>
      <c r="F1080" s="8">
        <v>15000</v>
      </c>
      <c r="G1080" s="30">
        <f t="shared" si="1106"/>
        <v>2400</v>
      </c>
      <c r="H1080" s="8">
        <v>25000</v>
      </c>
      <c r="I1080" s="30">
        <f t="shared" si="1107"/>
        <v>5000</v>
      </c>
      <c r="J1080" s="8">
        <v>25000</v>
      </c>
      <c r="K1080" s="30">
        <f t="shared" si="1108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14.4</v>
      </c>
      <c r="O1080" s="9">
        <v>13.5</v>
      </c>
      <c r="P1080" s="9">
        <v>19.5</v>
      </c>
      <c r="Q1080" s="79">
        <f>VLOOKUP(VLOOKUP(DATEVALUE(TEXT(A1080,"m/d/yyyy")),FY24_Temp[],5,FALSE)&amp;TEXT(A1080,"-h"),Table6[],4,FALSE)</f>
        <v>3.1017143045152937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VLOOKUP(TEXT(A1080,"yy-mm")&amp;"-"&amp;IF(AND(WEEKDAY(A1080)&gt;1,WEEKDAY(A1080)&lt;7),"Wkd",TEXT(A1080,"Ddd"))&amp;"-"&amp;TEXT(A1080,"hh"),LoadTable[],5,FALSE)*0.92</f>
        <v>521.92427999999995</v>
      </c>
      <c r="U1080" s="104">
        <f>VLOOKUP(TEXT(A1080,"yy-mm")&amp;"-"&amp;IF(AND(WEEKDAY(A1080)&gt;1,WEEKDAY(A1080)&lt;7),"Wkd",TEXT(A1080,"Ddd"))&amp;"-"&amp;TEXT(A1080,"hh"),LoadTable[],6,FALSE)*T1080</f>
        <v>56417.405046599997</v>
      </c>
      <c r="V1080">
        <f t="shared" ref="V1080:W1080" si="1137">V1056</f>
        <v>3.5</v>
      </c>
      <c r="W1080">
        <f t="shared" si="1137"/>
        <v>3.1</v>
      </c>
      <c r="X1080" s="9">
        <v>-23.226172216666502</v>
      </c>
    </row>
    <row r="1081" spans="1:24">
      <c r="A1081" s="29">
        <f t="shared" si="1081"/>
        <v>45880.916666664052</v>
      </c>
      <c r="B1081" s="30">
        <f t="shared" si="1105"/>
        <v>5000</v>
      </c>
      <c r="C1081" s="8">
        <v>25000</v>
      </c>
      <c r="D1081" s="8">
        <v>0</v>
      </c>
      <c r="E1081" s="8">
        <v>700</v>
      </c>
      <c r="F1081" s="8">
        <v>15000</v>
      </c>
      <c r="G1081" s="30">
        <f t="shared" si="1106"/>
        <v>2400</v>
      </c>
      <c r="H1081" s="8">
        <v>25000</v>
      </c>
      <c r="I1081" s="30">
        <f t="shared" si="1107"/>
        <v>5000</v>
      </c>
      <c r="J1081" s="8">
        <v>25000</v>
      </c>
      <c r="K1081" s="30">
        <f t="shared" si="1108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14.4</v>
      </c>
      <c r="O1081" s="9">
        <v>13.5</v>
      </c>
      <c r="P1081" s="9">
        <v>19.5</v>
      </c>
      <c r="Q1081" s="79">
        <f>VLOOKUP(VLOOKUP(DATEVALUE(TEXT(A1081,"m/d/yyyy")),FY24_Temp[],5,FALSE)&amp;TEXT(A1081,"-h"),Table6[],4,FALSE)</f>
        <v>3.0557142666407993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VLOOKUP(TEXT(A1081,"yy-mm")&amp;"-"&amp;IF(AND(WEEKDAY(A1081)&gt;1,WEEKDAY(A1081)&lt;7),"Wkd",TEXT(A1081,"Ddd"))&amp;"-"&amp;TEXT(A1081,"hh"),LoadTable[],5,FALSE)*0.92</f>
        <v>447.02432000000005</v>
      </c>
      <c r="U1081" s="104">
        <f>VLOOKUP(TEXT(A1081,"yy-mm")&amp;"-"&amp;IF(AND(WEEKDAY(A1081)&gt;1,WEEKDAY(A1081)&lt;7),"Wkd",TEXT(A1081,"Ddd"))&amp;"-"&amp;TEXT(A1081,"hh"),LoadTable[],6,FALSE)*T1081</f>
        <v>29850.49599232</v>
      </c>
      <c r="V1081">
        <f t="shared" ref="V1081:W1081" si="1138">V1057</f>
        <v>2.9</v>
      </c>
      <c r="W1081">
        <f t="shared" si="1138"/>
        <v>3.1</v>
      </c>
      <c r="X1081" s="9">
        <v>-23.303966766666498</v>
      </c>
    </row>
    <row r="1082" spans="1:24">
      <c r="A1082" s="29">
        <f t="shared" si="1081"/>
        <v>45880.958333330716</v>
      </c>
      <c r="B1082" s="30">
        <f t="shared" si="1105"/>
        <v>5000</v>
      </c>
      <c r="C1082" s="8">
        <v>25000</v>
      </c>
      <c r="D1082" s="8">
        <v>0</v>
      </c>
      <c r="E1082" s="8">
        <v>700</v>
      </c>
      <c r="F1082" s="8">
        <v>15000</v>
      </c>
      <c r="G1082" s="30">
        <f t="shared" si="1106"/>
        <v>2400</v>
      </c>
      <c r="H1082" s="8">
        <v>25000</v>
      </c>
      <c r="I1082" s="30">
        <f t="shared" si="1107"/>
        <v>5000</v>
      </c>
      <c r="J1082" s="8">
        <v>25000</v>
      </c>
      <c r="K1082" s="30">
        <f t="shared" si="1108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14.4</v>
      </c>
      <c r="O1082" s="9">
        <v>13.5</v>
      </c>
      <c r="P1082" s="9">
        <v>19.5</v>
      </c>
      <c r="Q1082" s="79">
        <f>VLOOKUP(VLOOKUP(DATEVALUE(TEXT(A1082,"m/d/yyyy")),FY24_Temp[],5,FALSE)&amp;TEXT(A1082,"-h"),Table6[],4,FALSE)</f>
        <v>2.9255714416503906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VLOOKUP(TEXT(A1082,"yy-mm")&amp;"-"&amp;IF(AND(WEEKDAY(A1082)&gt;1,WEEKDAY(A1082)&lt;7),"Wkd",TEXT(A1082,"Ddd"))&amp;"-"&amp;TEXT(A1082,"hh"),LoadTable[],5,FALSE)*0.92</f>
        <v>372.12436000000002</v>
      </c>
      <c r="U1082" s="104">
        <f>VLOOKUP(TEXT(A1082,"yy-mm")&amp;"-"&amp;IF(AND(WEEKDAY(A1082)&gt;1,WEEKDAY(A1082)&lt;7),"Wkd",TEXT(A1082,"Ddd"))&amp;"-"&amp;TEXT(A1082,"hh"),LoadTable[],6,FALSE)*T1082</f>
        <v>22421.236938720001</v>
      </c>
      <c r="V1082">
        <f t="shared" ref="V1082:W1082" si="1139">V1058</f>
        <v>3.6</v>
      </c>
      <c r="W1082">
        <f t="shared" si="1139"/>
        <v>3.1</v>
      </c>
      <c r="X1082" s="9">
        <v>-23.381761316666498</v>
      </c>
    </row>
    <row r="1083" spans="1:24">
      <c r="A1083" s="29">
        <f t="shared" si="1081"/>
        <v>45880.999999997381</v>
      </c>
      <c r="B1083" s="30">
        <f t="shared" si="1105"/>
        <v>5000</v>
      </c>
      <c r="C1083" s="8">
        <v>25000</v>
      </c>
      <c r="D1083" s="8">
        <v>0</v>
      </c>
      <c r="E1083" s="8">
        <v>700</v>
      </c>
      <c r="F1083" s="8">
        <v>15000</v>
      </c>
      <c r="G1083" s="30">
        <f t="shared" si="1106"/>
        <v>2400</v>
      </c>
      <c r="H1083" s="8">
        <v>25000</v>
      </c>
      <c r="I1083" s="30">
        <f t="shared" si="1107"/>
        <v>5000</v>
      </c>
      <c r="J1083" s="8">
        <v>25000</v>
      </c>
      <c r="K1083" s="30">
        <f t="shared" si="1108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14.4</v>
      </c>
      <c r="O1083" s="9">
        <v>13.5</v>
      </c>
      <c r="P1083" s="9">
        <v>19.5</v>
      </c>
      <c r="Q1083" s="79">
        <f>VLOOKUP(VLOOKUP(DATEVALUE(TEXT(A1083,"m/d/yyyy")),FY24_Temp[],5,FALSE)&amp;TEXT(A1083,"-h"),Table6[],4,FALSE)</f>
        <v>2.8105713639940535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VLOOKUP(TEXT(A1083,"yy-mm")&amp;"-"&amp;IF(AND(WEEKDAY(A1083)&gt;1,WEEKDAY(A1083)&lt;7),"Wkd",TEXT(A1083,"Ddd"))&amp;"-"&amp;TEXT(A1083,"hh"),LoadTable[],5,FALSE)*0.92</f>
        <v>297.2244</v>
      </c>
      <c r="U1083" s="104">
        <f>VLOOKUP(TEXT(A1083,"yy-mm")&amp;"-"&amp;IF(AND(WEEKDAY(A1083)&gt;1,WEEKDAY(A1083)&lt;7),"Wkd",TEXT(A1083,"Ddd"))&amp;"-"&amp;TEXT(A1083,"hh"),LoadTable[],6,FALSE)*T1083</f>
        <v>17505.031038000001</v>
      </c>
      <c r="V1083">
        <f t="shared" ref="V1083:W1083" si="1140">V1059</f>
        <v>3</v>
      </c>
      <c r="W1083">
        <f t="shared" si="1140"/>
        <v>3.2</v>
      </c>
      <c r="X1083" s="9">
        <v>-23.459555866666499</v>
      </c>
    </row>
    <row r="1084" spans="1:24">
      <c r="A1084" s="29">
        <f t="shared" si="1081"/>
        <v>45881.041666664045</v>
      </c>
      <c r="B1084" s="30">
        <f t="shared" si="1105"/>
        <v>5000</v>
      </c>
      <c r="C1084" s="8">
        <v>25000</v>
      </c>
      <c r="D1084" s="8">
        <v>0</v>
      </c>
      <c r="E1084" s="8">
        <v>700</v>
      </c>
      <c r="F1084" s="8">
        <v>15000</v>
      </c>
      <c r="G1084" s="30">
        <f t="shared" si="1106"/>
        <v>2400</v>
      </c>
      <c r="H1084" s="8">
        <v>25000</v>
      </c>
      <c r="I1084" s="30">
        <f t="shared" si="1107"/>
        <v>5000</v>
      </c>
      <c r="J1084" s="8">
        <v>25000</v>
      </c>
      <c r="K1084" s="30">
        <f t="shared" si="1108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14.4</v>
      </c>
      <c r="O1084" s="9">
        <v>13.5</v>
      </c>
      <c r="P1084" s="9">
        <v>19.5</v>
      </c>
      <c r="Q1084" s="79">
        <f>VLOOKUP(VLOOKUP(DATEVALUE(TEXT(A1084,"m/d/yyyy")),FY24_Temp[],5,FALSE)&amp;TEXT(A1084,"-h"),Table6[],4,FALSE)</f>
        <v>2.7044286046709334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VLOOKUP(TEXT(A1084,"yy-mm")&amp;"-"&amp;IF(AND(WEEKDAY(A1084)&gt;1,WEEKDAY(A1084)&lt;7),"Wkd",TEXT(A1084,"Ddd"))&amp;"-"&amp;TEXT(A1084,"hh"),LoadTable[],5,FALSE)*0.92</f>
        <v>295.12680000000006</v>
      </c>
      <c r="U1084" s="104">
        <f>VLOOKUP(TEXT(A1084,"yy-mm")&amp;"-"&amp;IF(AND(WEEKDAY(A1084)&gt;1,WEEKDAY(A1084)&lt;7),"Wkd",TEXT(A1084,"Ddd"))&amp;"-"&amp;TEXT(A1084,"hh"),LoadTable[],6,FALSE)*T1084</f>
        <v>17131.225359600001</v>
      </c>
      <c r="V1084">
        <f t="shared" ref="V1084:W1084" si="1141">V1060</f>
        <v>2.6</v>
      </c>
      <c r="W1084">
        <f t="shared" si="1141"/>
        <v>3.2</v>
      </c>
      <c r="X1084" s="9">
        <v>-23.537350416666499</v>
      </c>
    </row>
    <row r="1085" spans="1:24">
      <c r="A1085" s="29">
        <f t="shared" si="1081"/>
        <v>45881.083333330709</v>
      </c>
      <c r="B1085" s="30">
        <f t="shared" si="1105"/>
        <v>5000</v>
      </c>
      <c r="C1085" s="8">
        <v>25000</v>
      </c>
      <c r="D1085" s="8">
        <v>0</v>
      </c>
      <c r="E1085" s="8">
        <v>700</v>
      </c>
      <c r="F1085" s="8">
        <v>15000</v>
      </c>
      <c r="G1085" s="30">
        <f t="shared" si="1106"/>
        <v>2400</v>
      </c>
      <c r="H1085" s="8">
        <v>25000</v>
      </c>
      <c r="I1085" s="30">
        <f t="shared" si="1107"/>
        <v>5000</v>
      </c>
      <c r="J1085" s="8">
        <v>25000</v>
      </c>
      <c r="K1085" s="30">
        <f t="shared" si="1108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14.4</v>
      </c>
      <c r="O1085" s="9">
        <v>13.5</v>
      </c>
      <c r="P1085" s="9">
        <v>19.5</v>
      </c>
      <c r="Q1085" s="79">
        <f>VLOOKUP(VLOOKUP(DATEVALUE(TEXT(A1085,"m/d/yyyy")),FY24_Temp[],5,FALSE)&amp;TEXT(A1085,"-h"),Table6[],4,FALSE)</f>
        <v>2.6111428737640381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VLOOKUP(TEXT(A1085,"yy-mm")&amp;"-"&amp;IF(AND(WEEKDAY(A1085)&gt;1,WEEKDAY(A1085)&lt;7),"Wkd",TEXT(A1085,"Ddd"))&amp;"-"&amp;TEXT(A1085,"hh"),LoadTable[],5,FALSE)*0.92</f>
        <v>295.12680000000006</v>
      </c>
      <c r="U1085" s="104">
        <f>VLOOKUP(TEXT(A1085,"yy-mm")&amp;"-"&amp;IF(AND(WEEKDAY(A1085)&gt;1,WEEKDAY(A1085)&lt;7),"Wkd",TEXT(A1085,"Ddd"))&amp;"-"&amp;TEXT(A1085,"hh"),LoadTable[],6,FALSE)*T1085</f>
        <v>16459.811889600001</v>
      </c>
      <c r="V1085">
        <f t="shared" ref="V1085:W1085" si="1142">V1061</f>
        <v>2.8</v>
      </c>
      <c r="W1085">
        <f t="shared" si="1142"/>
        <v>3.2</v>
      </c>
      <c r="X1085" s="9">
        <v>-23.615144966666499</v>
      </c>
    </row>
    <row r="1086" spans="1:24">
      <c r="A1086" s="29">
        <f t="shared" si="1081"/>
        <v>45881.124999997373</v>
      </c>
      <c r="B1086" s="30">
        <f t="shared" si="1105"/>
        <v>5000</v>
      </c>
      <c r="C1086" s="8">
        <v>25000</v>
      </c>
      <c r="D1086" s="8">
        <v>0</v>
      </c>
      <c r="E1086" s="8">
        <v>700</v>
      </c>
      <c r="F1086" s="8">
        <v>15000</v>
      </c>
      <c r="G1086" s="30">
        <f t="shared" si="1106"/>
        <v>2400</v>
      </c>
      <c r="H1086" s="8">
        <v>25000</v>
      </c>
      <c r="I1086" s="30">
        <f t="shared" si="1107"/>
        <v>5000</v>
      </c>
      <c r="J1086" s="8">
        <v>25000</v>
      </c>
      <c r="K1086" s="30">
        <f t="shared" si="1108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14.4</v>
      </c>
      <c r="O1086" s="9">
        <v>13.5</v>
      </c>
      <c r="P1086" s="9">
        <v>19.5</v>
      </c>
      <c r="Q1086" s="79">
        <f>VLOOKUP(VLOOKUP(DATEVALUE(TEXT(A1086,"m/d/yyyy")),FY24_Temp[],5,FALSE)&amp;TEXT(A1086,"-h"),Table6[],4,FALSE)</f>
        <v>2.4651428290775845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VLOOKUP(TEXT(A1086,"yy-mm")&amp;"-"&amp;IF(AND(WEEKDAY(A1086)&gt;1,WEEKDAY(A1086)&lt;7),"Wkd",TEXT(A1086,"Ddd"))&amp;"-"&amp;TEXT(A1086,"hh"),LoadTable[],5,FALSE)*0.92</f>
        <v>295.12680000000006</v>
      </c>
      <c r="U1086" s="104">
        <f>VLOOKUP(TEXT(A1086,"yy-mm")&amp;"-"&amp;IF(AND(WEEKDAY(A1086)&gt;1,WEEKDAY(A1086)&lt;7),"Wkd",TEXT(A1086,"Ddd"))&amp;"-"&amp;TEXT(A1086,"hh"),LoadTable[],6,FALSE)*T1086</f>
        <v>16610.326557600001</v>
      </c>
      <c r="V1086">
        <f t="shared" ref="V1086:W1086" si="1143">V1062</f>
        <v>2.7</v>
      </c>
      <c r="W1086">
        <f t="shared" si="1143"/>
        <v>3.2</v>
      </c>
      <c r="X1086" s="9">
        <v>-23.692939516666499</v>
      </c>
    </row>
    <row r="1087" spans="1:24">
      <c r="A1087" s="29">
        <f t="shared" si="1081"/>
        <v>45881.166666664038</v>
      </c>
      <c r="B1087" s="30">
        <f t="shared" si="1105"/>
        <v>5000</v>
      </c>
      <c r="C1087" s="8">
        <v>25000</v>
      </c>
      <c r="D1087" s="8">
        <v>0</v>
      </c>
      <c r="E1087" s="8">
        <v>700</v>
      </c>
      <c r="F1087" s="8">
        <v>15000</v>
      </c>
      <c r="G1087" s="30">
        <f t="shared" si="1106"/>
        <v>2400</v>
      </c>
      <c r="H1087" s="8">
        <v>25000</v>
      </c>
      <c r="I1087" s="30">
        <f t="shared" si="1107"/>
        <v>5000</v>
      </c>
      <c r="J1087" s="8">
        <v>25000</v>
      </c>
      <c r="K1087" s="30">
        <f t="shared" si="1108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14.4</v>
      </c>
      <c r="O1087" s="9">
        <v>13.5</v>
      </c>
      <c r="P1087" s="9">
        <v>19.5</v>
      </c>
      <c r="Q1087" s="79">
        <f>VLOOKUP(VLOOKUP(DATEVALUE(TEXT(A1087,"m/d/yyyy")),FY24_Temp[],5,FALSE)&amp;TEXT(A1087,"-h"),Table6[],4,FALSE)</f>
        <v>2.3014285564422607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VLOOKUP(TEXT(A1087,"yy-mm")&amp;"-"&amp;IF(AND(WEEKDAY(A1087)&gt;1,WEEKDAY(A1087)&lt;7),"Wkd",TEXT(A1087,"Ddd"))&amp;"-"&amp;TEXT(A1087,"hh"),LoadTable[],5,FALSE)*0.92</f>
        <v>295.12680000000006</v>
      </c>
      <c r="U1087" s="104">
        <f>VLOOKUP(TEXT(A1087,"yy-mm")&amp;"-"&amp;IF(AND(WEEKDAY(A1087)&gt;1,WEEKDAY(A1087)&lt;7),"Wkd",TEXT(A1087,"Ddd"))&amp;"-"&amp;TEXT(A1087,"hh"),LoadTable[],6,FALSE)*T1087</f>
        <v>16544.513281200001</v>
      </c>
      <c r="V1087">
        <f t="shared" ref="V1087:W1087" si="1144">V1063</f>
        <v>3</v>
      </c>
      <c r="W1087">
        <f t="shared" si="1144"/>
        <v>3.1</v>
      </c>
      <c r="X1087" s="9">
        <v>-23.770734066666499</v>
      </c>
    </row>
    <row r="1088" spans="1:24">
      <c r="A1088" s="29">
        <f t="shared" si="1081"/>
        <v>45881.208333330702</v>
      </c>
      <c r="B1088" s="30">
        <f t="shared" si="1105"/>
        <v>5000</v>
      </c>
      <c r="C1088" s="8">
        <v>25000</v>
      </c>
      <c r="D1088" s="8">
        <v>0</v>
      </c>
      <c r="E1088" s="8">
        <v>700</v>
      </c>
      <c r="F1088" s="8">
        <v>15000</v>
      </c>
      <c r="G1088" s="30">
        <f t="shared" si="1106"/>
        <v>2400</v>
      </c>
      <c r="H1088" s="8">
        <v>25000</v>
      </c>
      <c r="I1088" s="30">
        <f t="shared" si="1107"/>
        <v>5000</v>
      </c>
      <c r="J1088" s="8">
        <v>25000</v>
      </c>
      <c r="K1088" s="30">
        <f t="shared" si="1108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14.4</v>
      </c>
      <c r="O1088" s="9">
        <v>13.5</v>
      </c>
      <c r="P1088" s="9">
        <v>19.5</v>
      </c>
      <c r="Q1088" s="79">
        <f>VLOOKUP(VLOOKUP(DATEVALUE(TEXT(A1088,"m/d/yyyy")),FY24_Temp[],5,FALSE)&amp;TEXT(A1088,"-h"),Table6[],4,FALSE)</f>
        <v>2.1431428364345004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VLOOKUP(TEXT(A1088,"yy-mm")&amp;"-"&amp;IF(AND(WEEKDAY(A1088)&gt;1,WEEKDAY(A1088)&lt;7),"Wkd",TEXT(A1088,"Ddd"))&amp;"-"&amp;TEXT(A1088,"hh"),LoadTable[],5,FALSE)*0.92</f>
        <v>295.12680000000006</v>
      </c>
      <c r="U1088" s="104">
        <f>VLOOKUP(TEXT(A1088,"yy-mm")&amp;"-"&amp;IF(AND(WEEKDAY(A1088)&gt;1,WEEKDAY(A1088)&lt;7),"Wkd",TEXT(A1088,"Ddd"))&amp;"-"&amp;TEXT(A1088,"hh"),LoadTable[],6,FALSE)*T1088</f>
        <v>17128.569218400004</v>
      </c>
      <c r="V1088">
        <f t="shared" ref="V1088:W1088" si="1145">V1064</f>
        <v>2.9</v>
      </c>
      <c r="W1088">
        <f t="shared" si="1145"/>
        <v>3.1</v>
      </c>
      <c r="X1088" s="9">
        <v>-23.848528616666499</v>
      </c>
    </row>
    <row r="1089" spans="1:24">
      <c r="A1089" s="29">
        <f t="shared" si="1081"/>
        <v>45881.249999997366</v>
      </c>
      <c r="B1089" s="30">
        <f t="shared" si="1105"/>
        <v>8000</v>
      </c>
      <c r="C1089" s="8">
        <v>25000</v>
      </c>
      <c r="D1089" s="8">
        <v>0</v>
      </c>
      <c r="E1089" s="8">
        <v>700</v>
      </c>
      <c r="F1089" s="8">
        <v>15000</v>
      </c>
      <c r="G1089" s="30">
        <f t="shared" si="1106"/>
        <v>2400</v>
      </c>
      <c r="H1089" s="8">
        <v>25000</v>
      </c>
      <c r="I1089" s="30">
        <f t="shared" si="1107"/>
        <v>8000</v>
      </c>
      <c r="J1089" s="8">
        <v>25000</v>
      </c>
      <c r="K1089" s="30">
        <f t="shared" si="1108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14.4</v>
      </c>
      <c r="O1089" s="9">
        <v>13.5</v>
      </c>
      <c r="P1089" s="9">
        <v>19.5</v>
      </c>
      <c r="Q1089" s="79">
        <f>VLOOKUP(VLOOKUP(DATEVALUE(TEXT(A1089,"m/d/yyyy")),FY24_Temp[],5,FALSE)&amp;TEXT(A1089,"-h"),Table6[],4,FALSE)</f>
        <v>2.0285714013235912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VLOOKUP(TEXT(A1089,"yy-mm")&amp;"-"&amp;IF(AND(WEEKDAY(A1089)&gt;1,WEEKDAY(A1089)&lt;7),"Wkd",TEXT(A1089,"Ddd"))&amp;"-"&amp;TEXT(A1089,"hh"),LoadTable[],5,FALSE)*0.92</f>
        <v>295.12680000000006</v>
      </c>
      <c r="U1089" s="104">
        <f>VLOOKUP(TEXT(A1089,"yy-mm")&amp;"-"&amp;IF(AND(WEEKDAY(A1089)&gt;1,WEEKDAY(A1089)&lt;7),"Wkd",TEXT(A1089,"Ddd"))&amp;"-"&amp;TEXT(A1089,"hh"),LoadTable[],6,FALSE)*T1089</f>
        <v>20766.892408800006</v>
      </c>
      <c r="V1089">
        <f t="shared" ref="V1089:W1089" si="1146">V1065</f>
        <v>2.5</v>
      </c>
      <c r="W1089">
        <f t="shared" si="1146"/>
        <v>3.1</v>
      </c>
      <c r="X1089" s="9">
        <v>-23.926323166666499</v>
      </c>
    </row>
    <row r="1090" spans="1:24">
      <c r="A1090" s="29">
        <f t="shared" si="1081"/>
        <v>45881.29166666403</v>
      </c>
      <c r="B1090" s="30">
        <f t="shared" si="1105"/>
        <v>8000</v>
      </c>
      <c r="C1090" s="8">
        <v>25000</v>
      </c>
      <c r="D1090" s="8">
        <v>0</v>
      </c>
      <c r="E1090" s="8">
        <v>700</v>
      </c>
      <c r="F1090" s="8">
        <v>15000</v>
      </c>
      <c r="G1090" s="30">
        <f t="shared" si="1106"/>
        <v>2400</v>
      </c>
      <c r="H1090" s="8">
        <v>25000</v>
      </c>
      <c r="I1090" s="30">
        <f t="shared" si="1107"/>
        <v>8000</v>
      </c>
      <c r="J1090" s="8">
        <v>25000</v>
      </c>
      <c r="K1090" s="30">
        <f t="shared" si="1108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14.4</v>
      </c>
      <c r="O1090" s="9">
        <v>13.5</v>
      </c>
      <c r="P1090" s="9">
        <v>19.5</v>
      </c>
      <c r="Q1090" s="79">
        <f>VLOOKUP(VLOOKUP(DATEVALUE(TEXT(A1090,"m/d/yyyy")),FY24_Temp[],5,FALSE)&amp;TEXT(A1090,"-h"),Table6[],4,FALSE)</f>
        <v>1.9455714055470057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VLOOKUP(TEXT(A1090,"yy-mm")&amp;"-"&amp;IF(AND(WEEKDAY(A1090)&gt;1,WEEKDAY(A1090)&lt;7),"Wkd",TEXT(A1090,"Ddd"))&amp;"-"&amp;TEXT(A1090,"hh"),LoadTable[],5,FALSE)*0.92</f>
        <v>295.12680000000006</v>
      </c>
      <c r="U1090" s="104">
        <f>VLOOKUP(TEXT(A1090,"yy-mm")&amp;"-"&amp;IF(AND(WEEKDAY(A1090)&gt;1,WEEKDAY(A1090)&lt;7),"Wkd",TEXT(A1090,"Ddd"))&amp;"-"&amp;TEXT(A1090,"hh"),LoadTable[],6,FALSE)*T1090</f>
        <v>19169.666167200001</v>
      </c>
      <c r="V1090">
        <f t="shared" ref="V1090:W1090" si="1147">V1066</f>
        <v>2.5</v>
      </c>
      <c r="W1090">
        <f t="shared" si="1147"/>
        <v>3.1</v>
      </c>
      <c r="X1090" s="9">
        <v>-24.004117716666499</v>
      </c>
    </row>
    <row r="1091" spans="1:24">
      <c r="A1091" s="29">
        <f t="shared" si="1081"/>
        <v>45881.333333330695</v>
      </c>
      <c r="B1091" s="30">
        <f t="shared" si="1105"/>
        <v>8000</v>
      </c>
      <c r="C1091" s="8">
        <v>25000</v>
      </c>
      <c r="D1091" s="8">
        <v>0</v>
      </c>
      <c r="E1091" s="8">
        <v>700</v>
      </c>
      <c r="F1091" s="8">
        <v>15000</v>
      </c>
      <c r="G1091" s="30">
        <f t="shared" si="1106"/>
        <v>2400</v>
      </c>
      <c r="H1091" s="8">
        <v>25000</v>
      </c>
      <c r="I1091" s="30">
        <f t="shared" si="1107"/>
        <v>8000</v>
      </c>
      <c r="J1091" s="8">
        <v>25000</v>
      </c>
      <c r="K1091" s="30">
        <f t="shared" si="1108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14.4</v>
      </c>
      <c r="O1091" s="9">
        <v>13.5</v>
      </c>
      <c r="P1091" s="9">
        <v>19.5</v>
      </c>
      <c r="Q1091" s="79">
        <f>VLOOKUP(VLOOKUP(DATEVALUE(TEXT(A1091,"m/d/yyyy")),FY24_Temp[],5,FALSE)&amp;TEXT(A1091,"-h"),Table6[],4,FALSE)</f>
        <v>1.8411428587777274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VLOOKUP(TEXT(A1091,"yy-mm")&amp;"-"&amp;IF(AND(WEEKDAY(A1091)&gt;1,WEEKDAY(A1091)&lt;7),"Wkd",TEXT(A1091,"Ddd"))&amp;"-"&amp;TEXT(A1091,"hh"),LoadTable[],5,FALSE)*0.92</f>
        <v>295.12680000000006</v>
      </c>
      <c r="U1091" s="104">
        <f>VLOOKUP(TEXT(A1091,"yy-mm")&amp;"-"&amp;IF(AND(WEEKDAY(A1091)&gt;1,WEEKDAY(A1091)&lt;7),"Wkd",TEXT(A1091,"Ddd"))&amp;"-"&amp;TEXT(A1091,"hh"),LoadTable[],6,FALSE)*T1091</f>
        <v>15860.999612400004</v>
      </c>
      <c r="V1091">
        <f t="shared" ref="V1091:W1091" si="1148">V1067</f>
        <v>3.2</v>
      </c>
      <c r="W1091">
        <f t="shared" si="1148"/>
        <v>3</v>
      </c>
      <c r="X1091" s="9">
        <v>-24.0819122666665</v>
      </c>
    </row>
    <row r="1092" spans="1:24">
      <c r="A1092" s="29">
        <f t="shared" si="1081"/>
        <v>45881.374999997359</v>
      </c>
      <c r="B1092" s="30">
        <f t="shared" si="1105"/>
        <v>8000</v>
      </c>
      <c r="C1092" s="8">
        <v>25000</v>
      </c>
      <c r="D1092" s="8">
        <v>0</v>
      </c>
      <c r="E1092" s="8">
        <v>700</v>
      </c>
      <c r="F1092" s="8">
        <v>15000</v>
      </c>
      <c r="G1092" s="30">
        <f t="shared" si="1106"/>
        <v>2400</v>
      </c>
      <c r="H1092" s="8">
        <v>25000</v>
      </c>
      <c r="I1092" s="30">
        <f t="shared" si="1107"/>
        <v>8000</v>
      </c>
      <c r="J1092" s="8">
        <v>25000</v>
      </c>
      <c r="K1092" s="30">
        <f t="shared" si="1108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14.4</v>
      </c>
      <c r="O1092" s="9">
        <v>13.5</v>
      </c>
      <c r="P1092" s="9">
        <v>19.5</v>
      </c>
      <c r="Q1092" s="79">
        <f>VLOOKUP(VLOOKUP(DATEVALUE(TEXT(A1092,"m/d/yyyy")),FY24_Temp[],5,FALSE)&amp;TEXT(A1092,"-h"),Table6[],4,FALSE)</f>
        <v>1.7424285582133703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VLOOKUP(TEXT(A1092,"yy-mm")&amp;"-"&amp;IF(AND(WEEKDAY(A1092)&gt;1,WEEKDAY(A1092)&lt;7),"Wkd",TEXT(A1092,"Ddd"))&amp;"-"&amp;TEXT(A1092,"hh"),LoadTable[],5,FALSE)*0.92</f>
        <v>295.12680000000006</v>
      </c>
      <c r="U1092" s="104">
        <f>VLOOKUP(TEXT(A1092,"yy-mm")&amp;"-"&amp;IF(AND(WEEKDAY(A1092)&gt;1,WEEKDAY(A1092)&lt;7),"Wkd",TEXT(A1092,"Ddd"))&amp;"-"&amp;TEXT(A1092,"hh"),LoadTable[],6,FALSE)*T1092</f>
        <v>15713.436212400004</v>
      </c>
      <c r="V1092">
        <f t="shared" ref="V1092:W1092" si="1149">V1068</f>
        <v>2.9</v>
      </c>
      <c r="W1092">
        <f t="shared" si="1149"/>
        <v>3</v>
      </c>
      <c r="X1092" s="9">
        <v>-24.1597068166665</v>
      </c>
    </row>
    <row r="1093" spans="1:24">
      <c r="A1093" s="29">
        <f t="shared" ref="A1093:A1156" si="1150">A1092+TIME(1,0,0)</f>
        <v>45881.416666664023</v>
      </c>
      <c r="B1093" s="30">
        <f t="shared" si="1105"/>
        <v>8000</v>
      </c>
      <c r="C1093" s="8">
        <v>25000</v>
      </c>
      <c r="D1093" s="8">
        <v>0</v>
      </c>
      <c r="E1093" s="8">
        <v>700</v>
      </c>
      <c r="F1093" s="8">
        <v>15000</v>
      </c>
      <c r="G1093" s="30">
        <f t="shared" si="1106"/>
        <v>2400</v>
      </c>
      <c r="H1093" s="8">
        <v>25000</v>
      </c>
      <c r="I1093" s="30">
        <f t="shared" si="1107"/>
        <v>8000</v>
      </c>
      <c r="J1093" s="8">
        <v>25000</v>
      </c>
      <c r="K1093" s="30">
        <f t="shared" si="1108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14.4</v>
      </c>
      <c r="O1093" s="9">
        <v>13.5</v>
      </c>
      <c r="P1093" s="9">
        <v>19.5</v>
      </c>
      <c r="Q1093" s="79">
        <f>VLOOKUP(VLOOKUP(DATEVALUE(TEXT(A1093,"m/d/yyyy")),FY24_Temp[],5,FALSE)&amp;TEXT(A1093,"-h"),Table6[],4,FALSE)</f>
        <v>1.6560000010899134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VLOOKUP(TEXT(A1093,"yy-mm")&amp;"-"&amp;IF(AND(WEEKDAY(A1093)&gt;1,WEEKDAY(A1093)&lt;7),"Wkd",TEXT(A1093,"Ddd"))&amp;"-"&amp;TEXT(A1093,"hh"),LoadTable[],5,FALSE)*0.92</f>
        <v>295.12680000000006</v>
      </c>
      <c r="U1093" s="104">
        <f>VLOOKUP(TEXT(A1093,"yy-mm")&amp;"-"&amp;IF(AND(WEEKDAY(A1093)&gt;1,WEEKDAY(A1093)&lt;7),"Wkd",TEXT(A1093,"Ddd"))&amp;"-"&amp;TEXT(A1093,"hh"),LoadTable[],6,FALSE)*T1093</f>
        <v>14369.723892000002</v>
      </c>
      <c r="V1093">
        <f t="shared" ref="V1093:W1093" si="1151">V1069</f>
        <v>2.9</v>
      </c>
      <c r="W1093">
        <f t="shared" si="1151"/>
        <v>3</v>
      </c>
      <c r="X1093" s="9">
        <v>-24.2375013666665</v>
      </c>
    </row>
    <row r="1094" spans="1:24">
      <c r="A1094" s="29">
        <f t="shared" si="1150"/>
        <v>45881.458333330687</v>
      </c>
      <c r="B1094" s="30">
        <f t="shared" si="1105"/>
        <v>8000</v>
      </c>
      <c r="C1094" s="8">
        <v>25000</v>
      </c>
      <c r="D1094" s="8">
        <v>0</v>
      </c>
      <c r="E1094" s="8">
        <v>700</v>
      </c>
      <c r="F1094" s="8">
        <v>15000</v>
      </c>
      <c r="G1094" s="30">
        <f t="shared" si="1106"/>
        <v>2400</v>
      </c>
      <c r="H1094" s="8">
        <v>25000</v>
      </c>
      <c r="I1094" s="30">
        <f t="shared" si="1107"/>
        <v>8000</v>
      </c>
      <c r="J1094" s="8">
        <v>25000</v>
      </c>
      <c r="K1094" s="30">
        <f t="shared" si="1108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14.4</v>
      </c>
      <c r="O1094" s="9">
        <v>13.5</v>
      </c>
      <c r="P1094" s="9">
        <v>19.5</v>
      </c>
      <c r="Q1094" s="79">
        <f>VLOOKUP(VLOOKUP(DATEVALUE(TEXT(A1094,"m/d/yyyy")),FY24_Temp[],5,FALSE)&amp;TEXT(A1094,"-h"),Table6[],4,FALSE)</f>
        <v>1.5444285869598389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VLOOKUP(TEXT(A1094,"yy-mm")&amp;"-"&amp;IF(AND(WEEKDAY(A1094)&gt;1,WEEKDAY(A1094)&lt;7),"Wkd",TEXT(A1094,"Ddd"))&amp;"-"&amp;TEXT(A1094,"hh"),LoadTable[],5,FALSE)*0.92</f>
        <v>295.12680000000006</v>
      </c>
      <c r="U1094" s="104">
        <f>VLOOKUP(TEXT(A1094,"yy-mm")&amp;"-"&amp;IF(AND(WEEKDAY(A1094)&gt;1,WEEKDAY(A1094)&lt;7),"Wkd",TEXT(A1094,"Ddd"))&amp;"-"&amp;TEXT(A1094,"hh"),LoadTable[],6,FALSE)*T1094</f>
        <v>14137.459100400003</v>
      </c>
      <c r="V1094">
        <f t="shared" ref="V1094:W1094" si="1152">V1070</f>
        <v>3.4</v>
      </c>
      <c r="W1094">
        <f t="shared" si="1152"/>
        <v>3</v>
      </c>
      <c r="X1094" s="9">
        <v>-24.3152959166665</v>
      </c>
    </row>
    <row r="1095" spans="1:24">
      <c r="A1095" s="29">
        <f t="shared" si="1150"/>
        <v>45881.499999997352</v>
      </c>
      <c r="B1095" s="30">
        <f t="shared" si="1105"/>
        <v>8000</v>
      </c>
      <c r="C1095" s="8">
        <v>25000</v>
      </c>
      <c r="D1095" s="8">
        <v>0</v>
      </c>
      <c r="E1095" s="8">
        <v>700</v>
      </c>
      <c r="F1095" s="8">
        <v>15000</v>
      </c>
      <c r="G1095" s="30">
        <f t="shared" si="1106"/>
        <v>2400</v>
      </c>
      <c r="H1095" s="8">
        <v>25000</v>
      </c>
      <c r="I1095" s="30">
        <f t="shared" si="1107"/>
        <v>8000</v>
      </c>
      <c r="J1095" s="8">
        <v>25000</v>
      </c>
      <c r="K1095" s="30">
        <f t="shared" si="1108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14.4</v>
      </c>
      <c r="O1095" s="9">
        <v>13.5</v>
      </c>
      <c r="P1095" s="9">
        <v>19.5</v>
      </c>
      <c r="Q1095" s="79">
        <f>VLOOKUP(VLOOKUP(DATEVALUE(TEXT(A1095,"m/d/yyyy")),FY24_Temp[],5,FALSE)&amp;TEXT(A1095,"-h"),Table6[],4,FALSE)</f>
        <v>1.4021428823471069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VLOOKUP(TEXT(A1095,"yy-mm")&amp;"-"&amp;IF(AND(WEEKDAY(A1095)&gt;1,WEEKDAY(A1095)&lt;7),"Wkd",TEXT(A1095,"Ddd"))&amp;"-"&amp;TEXT(A1095,"hh"),LoadTable[],5,FALSE)*0.92</f>
        <v>295.12680000000006</v>
      </c>
      <c r="U1095" s="104">
        <f>VLOOKUP(TEXT(A1095,"yy-mm")&amp;"-"&amp;IF(AND(WEEKDAY(A1095)&gt;1,WEEKDAY(A1095)&lt;7),"Wkd",TEXT(A1095,"Ddd"))&amp;"-"&amp;TEXT(A1095,"hh"),LoadTable[],6,FALSE)*T1095</f>
        <v>14242.819368000002</v>
      </c>
      <c r="V1095">
        <f t="shared" ref="V1095:W1095" si="1153">V1071</f>
        <v>3.1</v>
      </c>
      <c r="W1095">
        <f t="shared" si="1153"/>
        <v>2.9</v>
      </c>
      <c r="X1095" s="9">
        <v>-24.3930904666665</v>
      </c>
    </row>
    <row r="1096" spans="1:24">
      <c r="A1096" s="29">
        <f t="shared" si="1150"/>
        <v>45881.541666664016</v>
      </c>
      <c r="B1096" s="30">
        <f t="shared" si="1105"/>
        <v>8000</v>
      </c>
      <c r="C1096" s="8">
        <v>25000</v>
      </c>
      <c r="D1096" s="8">
        <v>0</v>
      </c>
      <c r="E1096" s="8">
        <v>700</v>
      </c>
      <c r="F1096" s="8">
        <v>15000</v>
      </c>
      <c r="G1096" s="30">
        <f t="shared" si="1106"/>
        <v>2400</v>
      </c>
      <c r="H1096" s="8">
        <v>25000</v>
      </c>
      <c r="I1096" s="30">
        <f t="shared" si="1107"/>
        <v>8000</v>
      </c>
      <c r="J1096" s="8">
        <v>25000</v>
      </c>
      <c r="K1096" s="30">
        <f t="shared" si="1108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14.4</v>
      </c>
      <c r="O1096" s="9">
        <v>13.5</v>
      </c>
      <c r="P1096" s="9">
        <v>19.5</v>
      </c>
      <c r="Q1096" s="79">
        <f>VLOOKUP(VLOOKUP(DATEVALUE(TEXT(A1096,"m/d/yyyy")),FY24_Temp[],5,FALSE)&amp;TEXT(A1096,"-h"),Table6[],4,FALSE)</f>
        <v>1.2278571299144201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VLOOKUP(TEXT(A1096,"yy-mm")&amp;"-"&amp;IF(AND(WEEKDAY(A1096)&gt;1,WEEKDAY(A1096)&lt;7),"Wkd",TEXT(A1096,"Ddd"))&amp;"-"&amp;TEXT(A1096,"hh"),LoadTable[],5,FALSE)*0.92</f>
        <v>295.12680000000006</v>
      </c>
      <c r="U1096" s="104">
        <f>VLOOKUP(TEXT(A1096,"yy-mm")&amp;"-"&amp;IF(AND(WEEKDAY(A1096)&gt;1,WEEKDAY(A1096)&lt;7),"Wkd",TEXT(A1096,"Ddd"))&amp;"-"&amp;TEXT(A1096,"hh"),LoadTable[],6,FALSE)*T1096</f>
        <v>16280.669922000003</v>
      </c>
      <c r="V1096">
        <f t="shared" ref="V1096:W1096" si="1154">V1072</f>
        <v>3.2</v>
      </c>
      <c r="W1096">
        <f t="shared" si="1154"/>
        <v>2.9</v>
      </c>
      <c r="X1096" s="9">
        <v>-24.4708850166665</v>
      </c>
    </row>
    <row r="1097" spans="1:24">
      <c r="A1097" s="29">
        <f t="shared" si="1150"/>
        <v>45881.58333333068</v>
      </c>
      <c r="B1097" s="30">
        <f t="shared" si="1105"/>
        <v>8000</v>
      </c>
      <c r="C1097" s="8">
        <v>25000</v>
      </c>
      <c r="D1097" s="8">
        <v>0</v>
      </c>
      <c r="E1097" s="8">
        <v>700</v>
      </c>
      <c r="F1097" s="8">
        <v>15000</v>
      </c>
      <c r="G1097" s="30">
        <f t="shared" si="1106"/>
        <v>2400</v>
      </c>
      <c r="H1097" s="8">
        <v>25000</v>
      </c>
      <c r="I1097" s="30">
        <f t="shared" si="1107"/>
        <v>8000</v>
      </c>
      <c r="J1097" s="8">
        <v>25000</v>
      </c>
      <c r="K1097" s="30">
        <f t="shared" si="1108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14.4</v>
      </c>
      <c r="O1097" s="9">
        <v>13.5</v>
      </c>
      <c r="P1097" s="9">
        <v>19.5</v>
      </c>
      <c r="Q1097" s="79">
        <f>VLOOKUP(VLOOKUP(DATEVALUE(TEXT(A1097,"m/d/yyyy")),FY24_Temp[],5,FALSE)&amp;TEXT(A1097,"-h"),Table6[],4,FALSE)</f>
        <v>1.0399999959128243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VLOOKUP(TEXT(A1097,"yy-mm")&amp;"-"&amp;IF(AND(WEEKDAY(A1097)&gt;1,WEEKDAY(A1097)&lt;7),"Wkd",TEXT(A1097,"Ddd"))&amp;"-"&amp;TEXT(A1097,"hh"),LoadTable[],5,FALSE)*0.92</f>
        <v>402.08416</v>
      </c>
      <c r="U1097" s="104">
        <f>VLOOKUP(TEXT(A1097,"yy-mm")&amp;"-"&amp;IF(AND(WEEKDAY(A1097)&gt;1,WEEKDAY(A1097)&lt;7),"Wkd",TEXT(A1097,"Ddd"))&amp;"-"&amp;TEXT(A1097,"hh"),LoadTable[],6,FALSE)*T1097</f>
        <v>27023.674309440001</v>
      </c>
      <c r="V1097">
        <f t="shared" ref="V1097:W1097" si="1155">V1073</f>
        <v>3.5</v>
      </c>
      <c r="W1097">
        <f t="shared" si="1155"/>
        <v>2.9</v>
      </c>
      <c r="X1097" s="9">
        <v>-24.5486795666665</v>
      </c>
    </row>
    <row r="1098" spans="1:24">
      <c r="A1098" s="29">
        <f t="shared" si="1150"/>
        <v>45881.624999997344</v>
      </c>
      <c r="B1098" s="30">
        <f t="shared" si="1105"/>
        <v>8000</v>
      </c>
      <c r="C1098" s="8">
        <v>25000</v>
      </c>
      <c r="D1098" s="8">
        <v>0</v>
      </c>
      <c r="E1098" s="8">
        <v>700</v>
      </c>
      <c r="F1098" s="8">
        <v>15000</v>
      </c>
      <c r="G1098" s="30">
        <f t="shared" si="1106"/>
        <v>2400</v>
      </c>
      <c r="H1098" s="8">
        <v>25000</v>
      </c>
      <c r="I1098" s="30">
        <f t="shared" si="1107"/>
        <v>8000</v>
      </c>
      <c r="J1098" s="8">
        <v>25000</v>
      </c>
      <c r="K1098" s="30">
        <f t="shared" si="1108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14.4</v>
      </c>
      <c r="O1098" s="9">
        <v>13.5</v>
      </c>
      <c r="P1098" s="9">
        <v>19.5</v>
      </c>
      <c r="Q1098" s="79">
        <f>VLOOKUP(VLOOKUP(DATEVALUE(TEXT(A1098,"m/d/yyyy")),FY24_Temp[],5,FALSE)&amp;TEXT(A1098,"-h"),Table6[],4,FALSE)</f>
        <v>0.86785714115415302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VLOOKUP(TEXT(A1098,"yy-mm")&amp;"-"&amp;IF(AND(WEEKDAY(A1098)&gt;1,WEEKDAY(A1098)&lt;7),"Wkd",TEXT(A1098,"Ddd"))&amp;"-"&amp;TEXT(A1098,"hh"),LoadTable[],5,FALSE)*0.92</f>
        <v>521.92427999999995</v>
      </c>
      <c r="U1098" s="104">
        <f>VLOOKUP(TEXT(A1098,"yy-mm")&amp;"-"&amp;IF(AND(WEEKDAY(A1098)&gt;1,WEEKDAY(A1098)&lt;7),"Wkd",TEXT(A1098,"Ddd"))&amp;"-"&amp;TEXT(A1098,"hh"),LoadTable[],6,FALSE)*T1098</f>
        <v>38276.36092236</v>
      </c>
      <c r="V1098">
        <f t="shared" ref="V1098:W1098" si="1156">V1074</f>
        <v>3.2</v>
      </c>
      <c r="W1098">
        <f t="shared" si="1156"/>
        <v>2.9</v>
      </c>
      <c r="X1098" s="9">
        <v>-24.6264741166665</v>
      </c>
    </row>
    <row r="1099" spans="1:24">
      <c r="A1099" s="29">
        <f t="shared" si="1150"/>
        <v>45881.666666664009</v>
      </c>
      <c r="B1099" s="30">
        <f t="shared" si="1105"/>
        <v>8000</v>
      </c>
      <c r="C1099" s="8">
        <v>25000</v>
      </c>
      <c r="D1099" s="8">
        <v>0</v>
      </c>
      <c r="E1099" s="8">
        <v>700</v>
      </c>
      <c r="F1099" s="8">
        <v>15000</v>
      </c>
      <c r="G1099" s="30">
        <f t="shared" si="1106"/>
        <v>2400</v>
      </c>
      <c r="H1099" s="8">
        <v>25000</v>
      </c>
      <c r="I1099" s="30">
        <f t="shared" si="1107"/>
        <v>8000</v>
      </c>
      <c r="J1099" s="8">
        <v>25000</v>
      </c>
      <c r="K1099" s="30">
        <f t="shared" si="1108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14.4</v>
      </c>
      <c r="O1099" s="9">
        <v>13.5</v>
      </c>
      <c r="P1099" s="9">
        <v>19.5</v>
      </c>
      <c r="Q1099" s="79">
        <f>VLOOKUP(VLOOKUP(DATEVALUE(TEXT(A1099,"m/d/yyyy")),FY24_Temp[],5,FALSE)&amp;TEXT(A1099,"-h"),Table6[],4,FALSE)</f>
        <v>0.77942857572010582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VLOOKUP(TEXT(A1099,"yy-mm")&amp;"-"&amp;IF(AND(WEEKDAY(A1099)&gt;1,WEEKDAY(A1099)&lt;7),"Wkd",TEXT(A1099,"Ddd"))&amp;"-"&amp;TEXT(A1099,"hh"),LoadTable[],5,FALSE)*0.92</f>
        <v>521.92427999999995</v>
      </c>
      <c r="U1099" s="104">
        <f>VLOOKUP(TEXT(A1099,"yy-mm")&amp;"-"&amp;IF(AND(WEEKDAY(A1099)&gt;1,WEEKDAY(A1099)&lt;7),"Wkd",TEXT(A1099,"Ddd"))&amp;"-"&amp;TEXT(A1099,"hh"),LoadTable[],6,FALSE)*T1099</f>
        <v>45879.753833399998</v>
      </c>
      <c r="V1099">
        <f t="shared" ref="V1099:W1099" si="1157">V1075</f>
        <v>3.5</v>
      </c>
      <c r="W1099">
        <f t="shared" si="1157"/>
        <v>3</v>
      </c>
      <c r="X1099" s="9">
        <v>-24.704268666666501</v>
      </c>
    </row>
    <row r="1100" spans="1:24">
      <c r="A1100" s="29">
        <f t="shared" si="1150"/>
        <v>45881.708333330673</v>
      </c>
      <c r="B1100" s="30">
        <f t="shared" si="1105"/>
        <v>8000</v>
      </c>
      <c r="C1100" s="8">
        <v>25000</v>
      </c>
      <c r="D1100" s="8">
        <v>0</v>
      </c>
      <c r="E1100" s="8">
        <v>700</v>
      </c>
      <c r="F1100" s="8">
        <v>15000</v>
      </c>
      <c r="G1100" s="30">
        <f t="shared" si="1106"/>
        <v>2400</v>
      </c>
      <c r="H1100" s="8">
        <v>25000</v>
      </c>
      <c r="I1100" s="30">
        <f t="shared" si="1107"/>
        <v>8000</v>
      </c>
      <c r="J1100" s="8">
        <v>25000</v>
      </c>
      <c r="K1100" s="30">
        <f t="shared" si="1108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14.4</v>
      </c>
      <c r="O1100" s="9">
        <v>13.5</v>
      </c>
      <c r="P1100" s="9">
        <v>19.5</v>
      </c>
      <c r="Q1100" s="79">
        <f>VLOOKUP(VLOOKUP(DATEVALUE(TEXT(A1100,"m/d/yyyy")),FY24_Temp[],5,FALSE)&amp;TEXT(A1100,"-h"),Table6[],4,FALSE)</f>
        <v>0.93557143211364746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VLOOKUP(TEXT(A1100,"yy-mm")&amp;"-"&amp;IF(AND(WEEKDAY(A1100)&gt;1,WEEKDAY(A1100)&lt;7),"Wkd",TEXT(A1100,"Ddd"))&amp;"-"&amp;TEXT(A1100,"hh"),LoadTable[],5,FALSE)*0.92</f>
        <v>521.92427999999995</v>
      </c>
      <c r="U1100" s="104">
        <f>VLOOKUP(TEXT(A1100,"yy-mm")&amp;"-"&amp;IF(AND(WEEKDAY(A1100)&gt;1,WEEKDAY(A1100)&lt;7),"Wkd",TEXT(A1100,"Ddd"))&amp;"-"&amp;TEXT(A1100,"hh"),LoadTable[],6,FALSE)*T1100</f>
        <v>57850.609119479988</v>
      </c>
      <c r="V1100">
        <f t="shared" ref="V1100:W1100" si="1158">V1076</f>
        <v>3.6</v>
      </c>
      <c r="W1100">
        <f t="shared" si="1158"/>
        <v>3</v>
      </c>
      <c r="X1100" s="9">
        <v>-24.782063216666501</v>
      </c>
    </row>
    <row r="1101" spans="1:24">
      <c r="A1101" s="29">
        <f t="shared" si="1150"/>
        <v>45881.749999997337</v>
      </c>
      <c r="B1101" s="30">
        <f t="shared" si="1105"/>
        <v>5000</v>
      </c>
      <c r="C1101" s="8">
        <v>25000</v>
      </c>
      <c r="D1101" s="8">
        <v>0</v>
      </c>
      <c r="E1101" s="8">
        <v>700</v>
      </c>
      <c r="F1101" s="8">
        <v>15000</v>
      </c>
      <c r="G1101" s="30">
        <f t="shared" si="1106"/>
        <v>2400</v>
      </c>
      <c r="H1101" s="8">
        <v>25000</v>
      </c>
      <c r="I1101" s="30">
        <f t="shared" si="1107"/>
        <v>5000</v>
      </c>
      <c r="J1101" s="8">
        <v>25000</v>
      </c>
      <c r="K1101" s="30">
        <f t="shared" si="1108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14.4</v>
      </c>
      <c r="O1101" s="9">
        <v>13.5</v>
      </c>
      <c r="P1101" s="9">
        <v>19.5</v>
      </c>
      <c r="Q1101" s="79">
        <f>VLOOKUP(VLOOKUP(DATEVALUE(TEXT(A1101,"m/d/yyyy")),FY24_Temp[],5,FALSE)&amp;TEXT(A1101,"-h"),Table6[],4,FALSE)</f>
        <v>1.3035714285714286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VLOOKUP(TEXT(A1101,"yy-mm")&amp;"-"&amp;IF(AND(WEEKDAY(A1101)&gt;1,WEEKDAY(A1101)&lt;7),"Wkd",TEXT(A1101,"Ddd"))&amp;"-"&amp;TEXT(A1101,"hh"),LoadTable[],5,FALSE)*0.92</f>
        <v>521.92427999999995</v>
      </c>
      <c r="U1101" s="104">
        <f>VLOOKUP(TEXT(A1101,"yy-mm")&amp;"-"&amp;IF(AND(WEEKDAY(A1101)&gt;1,WEEKDAY(A1101)&lt;7),"Wkd",TEXT(A1101,"Ddd"))&amp;"-"&amp;TEXT(A1101,"hh"),LoadTable[],6,FALSE)*T1101</f>
        <v>71088.174633119997</v>
      </c>
      <c r="V1101">
        <f t="shared" ref="V1101:W1101" si="1159">V1077</f>
        <v>2.9</v>
      </c>
      <c r="W1101">
        <f t="shared" si="1159"/>
        <v>3</v>
      </c>
      <c r="X1101" s="9">
        <v>-24.859857766666501</v>
      </c>
    </row>
    <row r="1102" spans="1:24">
      <c r="A1102" s="29">
        <f t="shared" si="1150"/>
        <v>45881.791666664001</v>
      </c>
      <c r="B1102" s="30">
        <f t="shared" si="1105"/>
        <v>5000</v>
      </c>
      <c r="C1102" s="8">
        <v>25000</v>
      </c>
      <c r="D1102" s="8">
        <v>0</v>
      </c>
      <c r="E1102" s="8">
        <v>700</v>
      </c>
      <c r="F1102" s="8">
        <v>15000</v>
      </c>
      <c r="G1102" s="30">
        <f t="shared" si="1106"/>
        <v>2400</v>
      </c>
      <c r="H1102" s="8">
        <v>25000</v>
      </c>
      <c r="I1102" s="30">
        <f t="shared" si="1107"/>
        <v>5000</v>
      </c>
      <c r="J1102" s="8">
        <v>25000</v>
      </c>
      <c r="K1102" s="30">
        <f t="shared" si="1108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14.4</v>
      </c>
      <c r="O1102" s="9">
        <v>13.5</v>
      </c>
      <c r="P1102" s="9">
        <v>19.5</v>
      </c>
      <c r="Q1102" s="79">
        <f>VLOOKUP(VLOOKUP(DATEVALUE(TEXT(A1102,"m/d/yyyy")),FY24_Temp[],5,FALSE)&amp;TEXT(A1102,"-h"),Table6[],4,FALSE)</f>
        <v>2.0524285861424039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VLOOKUP(TEXT(A1102,"yy-mm")&amp;"-"&amp;IF(AND(WEEKDAY(A1102)&gt;1,WEEKDAY(A1102)&lt;7),"Wkd",TEXT(A1102,"Ddd"))&amp;"-"&amp;TEXT(A1102,"hh"),LoadTable[],5,FALSE)*0.92</f>
        <v>521.92427999999995</v>
      </c>
      <c r="U1102" s="104">
        <f>VLOOKUP(TEXT(A1102,"yy-mm")&amp;"-"&amp;IF(AND(WEEKDAY(A1102)&gt;1,WEEKDAY(A1102)&lt;7),"Wkd",TEXT(A1102,"Ddd"))&amp;"-"&amp;TEXT(A1102,"hh"),LoadTable[],6,FALSE)*T1102</f>
        <v>75540.188741520004</v>
      </c>
      <c r="V1102">
        <f t="shared" ref="V1102:W1102" si="1160">V1078</f>
        <v>3</v>
      </c>
      <c r="W1102">
        <f t="shared" si="1160"/>
        <v>3</v>
      </c>
      <c r="X1102" s="9">
        <v>-24.937652316666501</v>
      </c>
    </row>
    <row r="1103" spans="1:24">
      <c r="A1103" s="29">
        <f t="shared" si="1150"/>
        <v>45881.833333330665</v>
      </c>
      <c r="B1103" s="30">
        <f t="shared" si="1105"/>
        <v>5000</v>
      </c>
      <c r="C1103" s="8">
        <v>25000</v>
      </c>
      <c r="D1103" s="8">
        <v>0</v>
      </c>
      <c r="E1103" s="8">
        <v>700</v>
      </c>
      <c r="F1103" s="8">
        <v>15000</v>
      </c>
      <c r="G1103" s="30">
        <f t="shared" si="1106"/>
        <v>2400</v>
      </c>
      <c r="H1103" s="8">
        <v>25000</v>
      </c>
      <c r="I1103" s="30">
        <f t="shared" si="1107"/>
        <v>5000</v>
      </c>
      <c r="J1103" s="8">
        <v>25000</v>
      </c>
      <c r="K1103" s="30">
        <f t="shared" si="1108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14.4</v>
      </c>
      <c r="O1103" s="9">
        <v>13.5</v>
      </c>
      <c r="P1103" s="9">
        <v>19.5</v>
      </c>
      <c r="Q1103" s="79">
        <f>VLOOKUP(VLOOKUP(DATEVALUE(TEXT(A1103,"m/d/yyyy")),FY24_Temp[],5,FALSE)&amp;TEXT(A1103,"-h"),Table6[],4,FALSE)</f>
        <v>2.8517142704554965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VLOOKUP(TEXT(A1103,"yy-mm")&amp;"-"&amp;IF(AND(WEEKDAY(A1103)&gt;1,WEEKDAY(A1103)&lt;7),"Wkd",TEXT(A1103,"Ddd"))&amp;"-"&amp;TEXT(A1103,"hh"),LoadTable[],5,FALSE)*0.92</f>
        <v>521.92427999999995</v>
      </c>
      <c r="U1103" s="104">
        <f>VLOOKUP(TEXT(A1103,"yy-mm")&amp;"-"&amp;IF(AND(WEEKDAY(A1103)&gt;1,WEEKDAY(A1103)&lt;7),"Wkd",TEXT(A1103,"Ddd"))&amp;"-"&amp;TEXT(A1103,"hh"),LoadTable[],6,FALSE)*T1103</f>
        <v>69176.365995479995</v>
      </c>
      <c r="V1103">
        <f t="shared" ref="V1103:W1103" si="1161">V1079</f>
        <v>2.8</v>
      </c>
      <c r="W1103">
        <f t="shared" si="1161"/>
        <v>3.1</v>
      </c>
      <c r="X1103" s="9">
        <v>-25.015446866666501</v>
      </c>
    </row>
    <row r="1104" spans="1:24">
      <c r="A1104" s="29">
        <f t="shared" si="1150"/>
        <v>45881.87499999733</v>
      </c>
      <c r="B1104" s="30">
        <f t="shared" si="1105"/>
        <v>5000</v>
      </c>
      <c r="C1104" s="8">
        <v>25000</v>
      </c>
      <c r="D1104" s="8">
        <v>0</v>
      </c>
      <c r="E1104" s="8">
        <v>700</v>
      </c>
      <c r="F1104" s="8">
        <v>15000</v>
      </c>
      <c r="G1104" s="30">
        <f t="shared" si="1106"/>
        <v>2400</v>
      </c>
      <c r="H1104" s="8">
        <v>25000</v>
      </c>
      <c r="I1104" s="30">
        <f t="shared" si="1107"/>
        <v>5000</v>
      </c>
      <c r="J1104" s="8">
        <v>25000</v>
      </c>
      <c r="K1104" s="30">
        <f t="shared" si="1108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14.4</v>
      </c>
      <c r="O1104" s="9">
        <v>13.5</v>
      </c>
      <c r="P1104" s="9">
        <v>19.5</v>
      </c>
      <c r="Q1104" s="79">
        <f>VLOOKUP(VLOOKUP(DATEVALUE(TEXT(A1104,"m/d/yyyy")),FY24_Temp[],5,FALSE)&amp;TEXT(A1104,"-h"),Table6[],4,FALSE)</f>
        <v>3.1017143045152937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VLOOKUP(TEXT(A1104,"yy-mm")&amp;"-"&amp;IF(AND(WEEKDAY(A1104)&gt;1,WEEKDAY(A1104)&lt;7),"Wkd",TEXT(A1104,"Ddd"))&amp;"-"&amp;TEXT(A1104,"hh"),LoadTable[],5,FALSE)*0.92</f>
        <v>521.92427999999995</v>
      </c>
      <c r="U1104" s="104">
        <f>VLOOKUP(TEXT(A1104,"yy-mm")&amp;"-"&amp;IF(AND(WEEKDAY(A1104)&gt;1,WEEKDAY(A1104)&lt;7),"Wkd",TEXT(A1104,"Ddd"))&amp;"-"&amp;TEXT(A1104,"hh"),LoadTable[],6,FALSE)*T1104</f>
        <v>56417.405046599997</v>
      </c>
      <c r="V1104">
        <f t="shared" ref="V1104:W1104" si="1162">V1080</f>
        <v>3.5</v>
      </c>
      <c r="W1104">
        <f t="shared" si="1162"/>
        <v>3.1</v>
      </c>
      <c r="X1104" s="9">
        <v>-25.093241416666501</v>
      </c>
    </row>
    <row r="1105" spans="1:24">
      <c r="A1105" s="29">
        <f t="shared" si="1150"/>
        <v>45881.916666663994</v>
      </c>
      <c r="B1105" s="30">
        <f t="shared" si="1105"/>
        <v>5000</v>
      </c>
      <c r="C1105" s="8">
        <v>25000</v>
      </c>
      <c r="D1105" s="8">
        <v>0</v>
      </c>
      <c r="E1105" s="8">
        <v>700</v>
      </c>
      <c r="F1105" s="8">
        <v>15000</v>
      </c>
      <c r="G1105" s="30">
        <f t="shared" si="1106"/>
        <v>2400</v>
      </c>
      <c r="H1105" s="8">
        <v>25000</v>
      </c>
      <c r="I1105" s="30">
        <f t="shared" si="1107"/>
        <v>5000</v>
      </c>
      <c r="J1105" s="8">
        <v>25000</v>
      </c>
      <c r="K1105" s="30">
        <f t="shared" si="1108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14.4</v>
      </c>
      <c r="O1105" s="9">
        <v>13.5</v>
      </c>
      <c r="P1105" s="9">
        <v>19.5</v>
      </c>
      <c r="Q1105" s="79">
        <f>VLOOKUP(VLOOKUP(DATEVALUE(TEXT(A1105,"m/d/yyyy")),FY24_Temp[],5,FALSE)&amp;TEXT(A1105,"-h"),Table6[],4,FALSE)</f>
        <v>3.0557142666407993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VLOOKUP(TEXT(A1105,"yy-mm")&amp;"-"&amp;IF(AND(WEEKDAY(A1105)&gt;1,WEEKDAY(A1105)&lt;7),"Wkd",TEXT(A1105,"Ddd"))&amp;"-"&amp;TEXT(A1105,"hh"),LoadTable[],5,FALSE)*0.92</f>
        <v>447.02432000000005</v>
      </c>
      <c r="U1105" s="104">
        <f>VLOOKUP(TEXT(A1105,"yy-mm")&amp;"-"&amp;IF(AND(WEEKDAY(A1105)&gt;1,WEEKDAY(A1105)&lt;7),"Wkd",TEXT(A1105,"Ddd"))&amp;"-"&amp;TEXT(A1105,"hh"),LoadTable[],6,FALSE)*T1105</f>
        <v>29850.49599232</v>
      </c>
      <c r="V1105">
        <f t="shared" ref="V1105:W1105" si="1163">V1081</f>
        <v>2.9</v>
      </c>
      <c r="W1105">
        <f t="shared" si="1163"/>
        <v>3.1</v>
      </c>
      <c r="X1105" s="9">
        <v>-25.171035966666501</v>
      </c>
    </row>
    <row r="1106" spans="1:24">
      <c r="A1106" s="29">
        <f t="shared" si="1150"/>
        <v>45881.958333330658</v>
      </c>
      <c r="B1106" s="30">
        <f t="shared" si="1105"/>
        <v>5000</v>
      </c>
      <c r="C1106" s="8">
        <v>25000</v>
      </c>
      <c r="D1106" s="8">
        <v>0</v>
      </c>
      <c r="E1106" s="8">
        <v>700</v>
      </c>
      <c r="F1106" s="8">
        <v>15000</v>
      </c>
      <c r="G1106" s="30">
        <f t="shared" si="1106"/>
        <v>2400</v>
      </c>
      <c r="H1106" s="8">
        <v>25000</v>
      </c>
      <c r="I1106" s="30">
        <f t="shared" si="1107"/>
        <v>5000</v>
      </c>
      <c r="J1106" s="8">
        <v>25000</v>
      </c>
      <c r="K1106" s="30">
        <f t="shared" si="1108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14.4</v>
      </c>
      <c r="O1106" s="9">
        <v>13.5</v>
      </c>
      <c r="P1106" s="9">
        <v>19.5</v>
      </c>
      <c r="Q1106" s="79">
        <f>VLOOKUP(VLOOKUP(DATEVALUE(TEXT(A1106,"m/d/yyyy")),FY24_Temp[],5,FALSE)&amp;TEXT(A1106,"-h"),Table6[],4,FALSE)</f>
        <v>2.9255714416503906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VLOOKUP(TEXT(A1106,"yy-mm")&amp;"-"&amp;IF(AND(WEEKDAY(A1106)&gt;1,WEEKDAY(A1106)&lt;7),"Wkd",TEXT(A1106,"Ddd"))&amp;"-"&amp;TEXT(A1106,"hh"),LoadTable[],5,FALSE)*0.92</f>
        <v>372.12436000000002</v>
      </c>
      <c r="U1106" s="104">
        <f>VLOOKUP(TEXT(A1106,"yy-mm")&amp;"-"&amp;IF(AND(WEEKDAY(A1106)&gt;1,WEEKDAY(A1106)&lt;7),"Wkd",TEXT(A1106,"Ddd"))&amp;"-"&amp;TEXT(A1106,"hh"),LoadTable[],6,FALSE)*T1106</f>
        <v>22421.236938720001</v>
      </c>
      <c r="V1106">
        <f t="shared" ref="V1106:W1106" si="1164">V1082</f>
        <v>3.6</v>
      </c>
      <c r="W1106">
        <f t="shared" si="1164"/>
        <v>3.1</v>
      </c>
      <c r="X1106" s="9">
        <v>-25.248830516666501</v>
      </c>
    </row>
    <row r="1107" spans="1:24">
      <c r="A1107" s="29">
        <f t="shared" si="1150"/>
        <v>45881.999999997322</v>
      </c>
      <c r="B1107" s="30">
        <f t="shared" si="1105"/>
        <v>5000</v>
      </c>
      <c r="C1107" s="8">
        <v>25000</v>
      </c>
      <c r="D1107" s="8">
        <v>0</v>
      </c>
      <c r="E1107" s="8">
        <v>700</v>
      </c>
      <c r="F1107" s="8">
        <v>15000</v>
      </c>
      <c r="G1107" s="30">
        <f t="shared" si="1106"/>
        <v>2400</v>
      </c>
      <c r="H1107" s="8">
        <v>25000</v>
      </c>
      <c r="I1107" s="30">
        <f t="shared" si="1107"/>
        <v>5000</v>
      </c>
      <c r="J1107" s="8">
        <v>25000</v>
      </c>
      <c r="K1107" s="30">
        <f t="shared" si="1108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14.4</v>
      </c>
      <c r="O1107" s="9">
        <v>13.5</v>
      </c>
      <c r="P1107" s="9">
        <v>19.5</v>
      </c>
      <c r="Q1107" s="79">
        <f>VLOOKUP(VLOOKUP(DATEVALUE(TEXT(A1107,"m/d/yyyy")),FY24_Temp[],5,FALSE)&amp;TEXT(A1107,"-h"),Table6[],4,FALSE)</f>
        <v>2.8105713639940535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VLOOKUP(TEXT(A1107,"yy-mm")&amp;"-"&amp;IF(AND(WEEKDAY(A1107)&gt;1,WEEKDAY(A1107)&lt;7),"Wkd",TEXT(A1107,"Ddd"))&amp;"-"&amp;TEXT(A1107,"hh"),LoadTable[],5,FALSE)*0.92</f>
        <v>297.2244</v>
      </c>
      <c r="U1107" s="104">
        <f>VLOOKUP(TEXT(A1107,"yy-mm")&amp;"-"&amp;IF(AND(WEEKDAY(A1107)&gt;1,WEEKDAY(A1107)&lt;7),"Wkd",TEXT(A1107,"Ddd"))&amp;"-"&amp;TEXT(A1107,"hh"),LoadTable[],6,FALSE)*T1107</f>
        <v>17505.031038000001</v>
      </c>
      <c r="V1107">
        <f t="shared" ref="V1107:W1107" si="1165">V1083</f>
        <v>3</v>
      </c>
      <c r="W1107">
        <f t="shared" si="1165"/>
        <v>3.2</v>
      </c>
      <c r="X1107" s="9">
        <v>-25.326625066666502</v>
      </c>
    </row>
    <row r="1108" spans="1:24">
      <c r="A1108" s="29">
        <f t="shared" si="1150"/>
        <v>45882.041666663987</v>
      </c>
      <c r="B1108" s="30">
        <f t="shared" si="1105"/>
        <v>5000</v>
      </c>
      <c r="C1108" s="8">
        <v>25000</v>
      </c>
      <c r="D1108" s="8">
        <v>0</v>
      </c>
      <c r="E1108" s="8">
        <v>700</v>
      </c>
      <c r="F1108" s="8">
        <v>15000</v>
      </c>
      <c r="G1108" s="30">
        <f t="shared" si="1106"/>
        <v>2400</v>
      </c>
      <c r="H1108" s="8">
        <v>25000</v>
      </c>
      <c r="I1108" s="30">
        <f t="shared" si="1107"/>
        <v>5000</v>
      </c>
      <c r="J1108" s="8">
        <v>25000</v>
      </c>
      <c r="K1108" s="30">
        <f t="shared" si="1108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14.4</v>
      </c>
      <c r="O1108" s="9">
        <v>13.5</v>
      </c>
      <c r="P1108" s="9">
        <v>19.5</v>
      </c>
      <c r="Q1108" s="79">
        <f>VLOOKUP(VLOOKUP(DATEVALUE(TEXT(A1108,"m/d/yyyy")),FY24_Temp[],5,FALSE)&amp;TEXT(A1108,"-h"),Table6[],4,FALSE)</f>
        <v>2.7044286046709334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VLOOKUP(TEXT(A1108,"yy-mm")&amp;"-"&amp;IF(AND(WEEKDAY(A1108)&gt;1,WEEKDAY(A1108)&lt;7),"Wkd",TEXT(A1108,"Ddd"))&amp;"-"&amp;TEXT(A1108,"hh"),LoadTable[],5,FALSE)*0.92</f>
        <v>295.12680000000006</v>
      </c>
      <c r="U1108" s="104">
        <f>VLOOKUP(TEXT(A1108,"yy-mm")&amp;"-"&amp;IF(AND(WEEKDAY(A1108)&gt;1,WEEKDAY(A1108)&lt;7),"Wkd",TEXT(A1108,"Ddd"))&amp;"-"&amp;TEXT(A1108,"hh"),LoadTable[],6,FALSE)*T1108</f>
        <v>17131.225359600001</v>
      </c>
      <c r="V1108">
        <f t="shared" ref="V1108:W1108" si="1166">V1084</f>
        <v>2.6</v>
      </c>
      <c r="W1108">
        <f t="shared" si="1166"/>
        <v>3.2</v>
      </c>
      <c r="X1108" s="9">
        <v>-25.404419616666502</v>
      </c>
    </row>
    <row r="1109" spans="1:24">
      <c r="A1109" s="29">
        <f t="shared" si="1150"/>
        <v>45882.083333330651</v>
      </c>
      <c r="B1109" s="30">
        <f t="shared" si="1105"/>
        <v>5000</v>
      </c>
      <c r="C1109" s="8">
        <v>25000</v>
      </c>
      <c r="D1109" s="8">
        <v>0</v>
      </c>
      <c r="E1109" s="8">
        <v>700</v>
      </c>
      <c r="F1109" s="8">
        <v>15000</v>
      </c>
      <c r="G1109" s="30">
        <f t="shared" si="1106"/>
        <v>2400</v>
      </c>
      <c r="H1109" s="8">
        <v>25000</v>
      </c>
      <c r="I1109" s="30">
        <f t="shared" si="1107"/>
        <v>5000</v>
      </c>
      <c r="J1109" s="8">
        <v>25000</v>
      </c>
      <c r="K1109" s="30">
        <f t="shared" si="1108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14.4</v>
      </c>
      <c r="O1109" s="9">
        <v>13.5</v>
      </c>
      <c r="P1109" s="9">
        <v>19.5</v>
      </c>
      <c r="Q1109" s="79">
        <f>VLOOKUP(VLOOKUP(DATEVALUE(TEXT(A1109,"m/d/yyyy")),FY24_Temp[],5,FALSE)&amp;TEXT(A1109,"-h"),Table6[],4,FALSE)</f>
        <v>2.6111428737640381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VLOOKUP(TEXT(A1109,"yy-mm")&amp;"-"&amp;IF(AND(WEEKDAY(A1109)&gt;1,WEEKDAY(A1109)&lt;7),"Wkd",TEXT(A1109,"Ddd"))&amp;"-"&amp;TEXT(A1109,"hh"),LoadTable[],5,FALSE)*0.92</f>
        <v>295.12680000000006</v>
      </c>
      <c r="U1109" s="104">
        <f>VLOOKUP(TEXT(A1109,"yy-mm")&amp;"-"&amp;IF(AND(WEEKDAY(A1109)&gt;1,WEEKDAY(A1109)&lt;7),"Wkd",TEXT(A1109,"Ddd"))&amp;"-"&amp;TEXT(A1109,"hh"),LoadTable[],6,FALSE)*T1109</f>
        <v>16459.811889600001</v>
      </c>
      <c r="V1109">
        <f t="shared" ref="V1109:W1109" si="1167">V1085</f>
        <v>2.8</v>
      </c>
      <c r="W1109">
        <f t="shared" si="1167"/>
        <v>3.2</v>
      </c>
      <c r="X1109" s="9">
        <v>-25.482214166666498</v>
      </c>
    </row>
    <row r="1110" spans="1:24">
      <c r="A1110" s="29">
        <f t="shared" si="1150"/>
        <v>45882.124999997315</v>
      </c>
      <c r="B1110" s="30">
        <f t="shared" si="1105"/>
        <v>5000</v>
      </c>
      <c r="C1110" s="8">
        <v>25000</v>
      </c>
      <c r="D1110" s="8">
        <v>0</v>
      </c>
      <c r="E1110" s="8">
        <v>700</v>
      </c>
      <c r="F1110" s="8">
        <v>15000</v>
      </c>
      <c r="G1110" s="30">
        <f t="shared" si="1106"/>
        <v>2400</v>
      </c>
      <c r="H1110" s="8">
        <v>25000</v>
      </c>
      <c r="I1110" s="30">
        <f t="shared" si="1107"/>
        <v>5000</v>
      </c>
      <c r="J1110" s="8">
        <v>25000</v>
      </c>
      <c r="K1110" s="30">
        <f t="shared" si="1108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14.4</v>
      </c>
      <c r="O1110" s="9">
        <v>13.5</v>
      </c>
      <c r="P1110" s="9">
        <v>19.5</v>
      </c>
      <c r="Q1110" s="79">
        <f>VLOOKUP(VLOOKUP(DATEVALUE(TEXT(A1110,"m/d/yyyy")),FY24_Temp[],5,FALSE)&amp;TEXT(A1110,"-h"),Table6[],4,FALSE)</f>
        <v>2.4651428290775845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VLOOKUP(TEXT(A1110,"yy-mm")&amp;"-"&amp;IF(AND(WEEKDAY(A1110)&gt;1,WEEKDAY(A1110)&lt;7),"Wkd",TEXT(A1110,"Ddd"))&amp;"-"&amp;TEXT(A1110,"hh"),LoadTable[],5,FALSE)*0.92</f>
        <v>295.12680000000006</v>
      </c>
      <c r="U1110" s="104">
        <f>VLOOKUP(TEXT(A1110,"yy-mm")&amp;"-"&amp;IF(AND(WEEKDAY(A1110)&gt;1,WEEKDAY(A1110)&lt;7),"Wkd",TEXT(A1110,"Ddd"))&amp;"-"&amp;TEXT(A1110,"hh"),LoadTable[],6,FALSE)*T1110</f>
        <v>16610.326557600001</v>
      </c>
      <c r="V1110">
        <f t="shared" ref="V1110:W1110" si="1168">V1086</f>
        <v>2.7</v>
      </c>
      <c r="W1110">
        <f t="shared" si="1168"/>
        <v>3.2</v>
      </c>
      <c r="X1110" s="9">
        <v>-25.560008716666498</v>
      </c>
    </row>
    <row r="1111" spans="1:24">
      <c r="A1111" s="29">
        <f t="shared" si="1150"/>
        <v>45882.166666663979</v>
      </c>
      <c r="B1111" s="30">
        <f t="shared" si="1105"/>
        <v>5000</v>
      </c>
      <c r="C1111" s="8">
        <v>25000</v>
      </c>
      <c r="D1111" s="8">
        <v>0</v>
      </c>
      <c r="E1111" s="8">
        <v>700</v>
      </c>
      <c r="F1111" s="8">
        <v>15000</v>
      </c>
      <c r="G1111" s="30">
        <f t="shared" si="1106"/>
        <v>2400</v>
      </c>
      <c r="H1111" s="8">
        <v>25000</v>
      </c>
      <c r="I1111" s="30">
        <f t="shared" si="1107"/>
        <v>5000</v>
      </c>
      <c r="J1111" s="8">
        <v>25000</v>
      </c>
      <c r="K1111" s="30">
        <f t="shared" si="1108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14.4</v>
      </c>
      <c r="O1111" s="9">
        <v>13.5</v>
      </c>
      <c r="P1111" s="9">
        <v>19.5</v>
      </c>
      <c r="Q1111" s="79">
        <f>VLOOKUP(VLOOKUP(DATEVALUE(TEXT(A1111,"m/d/yyyy")),FY24_Temp[],5,FALSE)&amp;TEXT(A1111,"-h"),Table6[],4,FALSE)</f>
        <v>2.3014285564422607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VLOOKUP(TEXT(A1111,"yy-mm")&amp;"-"&amp;IF(AND(WEEKDAY(A1111)&gt;1,WEEKDAY(A1111)&lt;7),"Wkd",TEXT(A1111,"Ddd"))&amp;"-"&amp;TEXT(A1111,"hh"),LoadTable[],5,FALSE)*0.92</f>
        <v>295.12680000000006</v>
      </c>
      <c r="U1111" s="104">
        <f>VLOOKUP(TEXT(A1111,"yy-mm")&amp;"-"&amp;IF(AND(WEEKDAY(A1111)&gt;1,WEEKDAY(A1111)&lt;7),"Wkd",TEXT(A1111,"Ddd"))&amp;"-"&amp;TEXT(A1111,"hh"),LoadTable[],6,FALSE)*T1111</f>
        <v>16544.513281200001</v>
      </c>
      <c r="V1111">
        <f t="shared" ref="V1111:W1111" si="1169">V1087</f>
        <v>3</v>
      </c>
      <c r="W1111">
        <f t="shared" si="1169"/>
        <v>3.1</v>
      </c>
      <c r="X1111" s="9">
        <v>-25.637803266666499</v>
      </c>
    </row>
    <row r="1112" spans="1:24">
      <c r="A1112" s="29">
        <f t="shared" si="1150"/>
        <v>45882.208333330644</v>
      </c>
      <c r="B1112" s="30">
        <f t="shared" si="1105"/>
        <v>5000</v>
      </c>
      <c r="C1112" s="8">
        <v>25000</v>
      </c>
      <c r="D1112" s="8">
        <v>0</v>
      </c>
      <c r="E1112" s="8">
        <v>700</v>
      </c>
      <c r="F1112" s="8">
        <v>15000</v>
      </c>
      <c r="G1112" s="30">
        <f t="shared" si="1106"/>
        <v>2400</v>
      </c>
      <c r="H1112" s="8">
        <v>25000</v>
      </c>
      <c r="I1112" s="30">
        <f t="shared" si="1107"/>
        <v>5000</v>
      </c>
      <c r="J1112" s="8">
        <v>25000</v>
      </c>
      <c r="K1112" s="30">
        <f t="shared" si="1108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14.4</v>
      </c>
      <c r="O1112" s="9">
        <v>13.5</v>
      </c>
      <c r="P1112" s="9">
        <v>19.5</v>
      </c>
      <c r="Q1112" s="79">
        <f>VLOOKUP(VLOOKUP(DATEVALUE(TEXT(A1112,"m/d/yyyy")),FY24_Temp[],5,FALSE)&amp;TEXT(A1112,"-h"),Table6[],4,FALSE)</f>
        <v>2.1431428364345004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VLOOKUP(TEXT(A1112,"yy-mm")&amp;"-"&amp;IF(AND(WEEKDAY(A1112)&gt;1,WEEKDAY(A1112)&lt;7),"Wkd",TEXT(A1112,"Ddd"))&amp;"-"&amp;TEXT(A1112,"hh"),LoadTable[],5,FALSE)*0.92</f>
        <v>295.12680000000006</v>
      </c>
      <c r="U1112" s="104">
        <f>VLOOKUP(TEXT(A1112,"yy-mm")&amp;"-"&amp;IF(AND(WEEKDAY(A1112)&gt;1,WEEKDAY(A1112)&lt;7),"Wkd",TEXT(A1112,"Ddd"))&amp;"-"&amp;TEXT(A1112,"hh"),LoadTable[],6,FALSE)*T1112</f>
        <v>17128.569218400004</v>
      </c>
      <c r="V1112">
        <f t="shared" ref="V1112:W1112" si="1170">V1088</f>
        <v>2.9</v>
      </c>
      <c r="W1112">
        <f t="shared" si="1170"/>
        <v>3.1</v>
      </c>
      <c r="X1112" s="9">
        <v>-25.715597816666499</v>
      </c>
    </row>
    <row r="1113" spans="1:24">
      <c r="A1113" s="29">
        <f t="shared" si="1150"/>
        <v>45882.249999997308</v>
      </c>
      <c r="B1113" s="30">
        <f t="shared" si="1105"/>
        <v>8000</v>
      </c>
      <c r="C1113" s="8">
        <v>25000</v>
      </c>
      <c r="D1113" s="8">
        <v>0</v>
      </c>
      <c r="E1113" s="8">
        <v>700</v>
      </c>
      <c r="F1113" s="8">
        <v>15000</v>
      </c>
      <c r="G1113" s="30">
        <f t="shared" si="1106"/>
        <v>2400</v>
      </c>
      <c r="H1113" s="8">
        <v>25000</v>
      </c>
      <c r="I1113" s="30">
        <f t="shared" si="1107"/>
        <v>8000</v>
      </c>
      <c r="J1113" s="8">
        <v>25000</v>
      </c>
      <c r="K1113" s="30">
        <f t="shared" si="1108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14.4</v>
      </c>
      <c r="O1113" s="9">
        <v>13.5</v>
      </c>
      <c r="P1113" s="9">
        <v>19.5</v>
      </c>
      <c r="Q1113" s="79">
        <f>VLOOKUP(VLOOKUP(DATEVALUE(TEXT(A1113,"m/d/yyyy")),FY24_Temp[],5,FALSE)&amp;TEXT(A1113,"-h"),Table6[],4,FALSE)</f>
        <v>2.0285714013235912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VLOOKUP(TEXT(A1113,"yy-mm")&amp;"-"&amp;IF(AND(WEEKDAY(A1113)&gt;1,WEEKDAY(A1113)&lt;7),"Wkd",TEXT(A1113,"Ddd"))&amp;"-"&amp;TEXT(A1113,"hh"),LoadTable[],5,FALSE)*0.92</f>
        <v>295.12680000000006</v>
      </c>
      <c r="U1113" s="104">
        <f>VLOOKUP(TEXT(A1113,"yy-mm")&amp;"-"&amp;IF(AND(WEEKDAY(A1113)&gt;1,WEEKDAY(A1113)&lt;7),"Wkd",TEXT(A1113,"Ddd"))&amp;"-"&amp;TEXT(A1113,"hh"),LoadTable[],6,FALSE)*T1113</f>
        <v>20766.892408800006</v>
      </c>
      <c r="V1113">
        <f t="shared" ref="V1113:W1113" si="1171">V1089</f>
        <v>2.5</v>
      </c>
      <c r="W1113">
        <f t="shared" si="1171"/>
        <v>3.1</v>
      </c>
      <c r="X1113" s="9">
        <v>-25.793392366666499</v>
      </c>
    </row>
    <row r="1114" spans="1:24">
      <c r="A1114" s="29">
        <f t="shared" si="1150"/>
        <v>45882.291666663972</v>
      </c>
      <c r="B1114" s="30">
        <f t="shared" si="1105"/>
        <v>8000</v>
      </c>
      <c r="C1114" s="8">
        <v>25000</v>
      </c>
      <c r="D1114" s="8">
        <v>0</v>
      </c>
      <c r="E1114" s="8">
        <v>700</v>
      </c>
      <c r="F1114" s="8">
        <v>15000</v>
      </c>
      <c r="G1114" s="30">
        <f t="shared" si="1106"/>
        <v>2400</v>
      </c>
      <c r="H1114" s="8">
        <v>25000</v>
      </c>
      <c r="I1114" s="30">
        <f t="shared" si="1107"/>
        <v>8000</v>
      </c>
      <c r="J1114" s="8">
        <v>25000</v>
      </c>
      <c r="K1114" s="30">
        <f t="shared" si="1108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14.4</v>
      </c>
      <c r="O1114" s="9">
        <v>13.5</v>
      </c>
      <c r="P1114" s="9">
        <v>19.5</v>
      </c>
      <c r="Q1114" s="79">
        <f>VLOOKUP(VLOOKUP(DATEVALUE(TEXT(A1114,"m/d/yyyy")),FY24_Temp[],5,FALSE)&amp;TEXT(A1114,"-h"),Table6[],4,FALSE)</f>
        <v>1.9455714055470057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VLOOKUP(TEXT(A1114,"yy-mm")&amp;"-"&amp;IF(AND(WEEKDAY(A1114)&gt;1,WEEKDAY(A1114)&lt;7),"Wkd",TEXT(A1114,"Ddd"))&amp;"-"&amp;TEXT(A1114,"hh"),LoadTable[],5,FALSE)*0.92</f>
        <v>295.12680000000006</v>
      </c>
      <c r="U1114" s="104">
        <f>VLOOKUP(TEXT(A1114,"yy-mm")&amp;"-"&amp;IF(AND(WEEKDAY(A1114)&gt;1,WEEKDAY(A1114)&lt;7),"Wkd",TEXT(A1114,"Ddd"))&amp;"-"&amp;TEXT(A1114,"hh"),LoadTable[],6,FALSE)*T1114</f>
        <v>19169.666167200001</v>
      </c>
      <c r="V1114">
        <f t="shared" ref="V1114:W1114" si="1172">V1090</f>
        <v>2.5</v>
      </c>
      <c r="W1114">
        <f t="shared" si="1172"/>
        <v>3.1</v>
      </c>
      <c r="X1114" s="9">
        <v>-25.871186916666499</v>
      </c>
    </row>
    <row r="1115" spans="1:24">
      <c r="A1115" s="29">
        <f t="shared" si="1150"/>
        <v>45882.333333330636</v>
      </c>
      <c r="B1115" s="30">
        <f t="shared" si="1105"/>
        <v>8000</v>
      </c>
      <c r="C1115" s="8">
        <v>25000</v>
      </c>
      <c r="D1115" s="8">
        <v>0</v>
      </c>
      <c r="E1115" s="8">
        <v>700</v>
      </c>
      <c r="F1115" s="8">
        <v>15000</v>
      </c>
      <c r="G1115" s="30">
        <f t="shared" si="1106"/>
        <v>2400</v>
      </c>
      <c r="H1115" s="8">
        <v>25000</v>
      </c>
      <c r="I1115" s="30">
        <f t="shared" si="1107"/>
        <v>8000</v>
      </c>
      <c r="J1115" s="8">
        <v>25000</v>
      </c>
      <c r="K1115" s="30">
        <f t="shared" si="1108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14.4</v>
      </c>
      <c r="O1115" s="9">
        <v>13.5</v>
      </c>
      <c r="P1115" s="9">
        <v>19.5</v>
      </c>
      <c r="Q1115" s="79">
        <f>VLOOKUP(VLOOKUP(DATEVALUE(TEXT(A1115,"m/d/yyyy")),FY24_Temp[],5,FALSE)&amp;TEXT(A1115,"-h"),Table6[],4,FALSE)</f>
        <v>1.8411428587777274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VLOOKUP(TEXT(A1115,"yy-mm")&amp;"-"&amp;IF(AND(WEEKDAY(A1115)&gt;1,WEEKDAY(A1115)&lt;7),"Wkd",TEXT(A1115,"Ddd"))&amp;"-"&amp;TEXT(A1115,"hh"),LoadTable[],5,FALSE)*0.92</f>
        <v>295.12680000000006</v>
      </c>
      <c r="U1115" s="104">
        <f>VLOOKUP(TEXT(A1115,"yy-mm")&amp;"-"&amp;IF(AND(WEEKDAY(A1115)&gt;1,WEEKDAY(A1115)&lt;7),"Wkd",TEXT(A1115,"Ddd"))&amp;"-"&amp;TEXT(A1115,"hh"),LoadTable[],6,FALSE)*T1115</f>
        <v>15860.999612400004</v>
      </c>
      <c r="V1115">
        <f t="shared" ref="V1115:W1115" si="1173">V1091</f>
        <v>3.2</v>
      </c>
      <c r="W1115">
        <f t="shared" si="1173"/>
        <v>3</v>
      </c>
      <c r="X1115" s="9">
        <v>-25.948981466666499</v>
      </c>
    </row>
    <row r="1116" spans="1:24">
      <c r="A1116" s="29">
        <f t="shared" si="1150"/>
        <v>45882.374999997301</v>
      </c>
      <c r="B1116" s="30">
        <f t="shared" ref="B1116:B1179" si="1174">B1092</f>
        <v>8000</v>
      </c>
      <c r="C1116" s="8">
        <v>25000</v>
      </c>
      <c r="D1116" s="8">
        <v>0</v>
      </c>
      <c r="E1116" s="8">
        <v>700</v>
      </c>
      <c r="F1116" s="8">
        <v>15000</v>
      </c>
      <c r="G1116" s="30">
        <f t="shared" ref="G1116:G1179" si="1175">G1092</f>
        <v>2400</v>
      </c>
      <c r="H1116" s="8">
        <v>25000</v>
      </c>
      <c r="I1116" s="30">
        <f t="shared" ref="I1116:I1179" si="1176">I1092</f>
        <v>8000</v>
      </c>
      <c r="J1116" s="8">
        <v>25000</v>
      </c>
      <c r="K1116" s="30">
        <f t="shared" ref="K1116:K1179" si="1177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14.4</v>
      </c>
      <c r="O1116" s="9">
        <v>13.5</v>
      </c>
      <c r="P1116" s="9">
        <v>19.5</v>
      </c>
      <c r="Q1116" s="79">
        <f>VLOOKUP(VLOOKUP(DATEVALUE(TEXT(A1116,"m/d/yyyy")),FY24_Temp[],5,FALSE)&amp;TEXT(A1116,"-h"),Table6[],4,FALSE)</f>
        <v>1.7424285582133703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VLOOKUP(TEXT(A1116,"yy-mm")&amp;"-"&amp;IF(AND(WEEKDAY(A1116)&gt;1,WEEKDAY(A1116)&lt;7),"Wkd",TEXT(A1116,"Ddd"))&amp;"-"&amp;TEXT(A1116,"hh"),LoadTable[],5,FALSE)*0.92</f>
        <v>295.12680000000006</v>
      </c>
      <c r="U1116" s="104">
        <f>VLOOKUP(TEXT(A1116,"yy-mm")&amp;"-"&amp;IF(AND(WEEKDAY(A1116)&gt;1,WEEKDAY(A1116)&lt;7),"Wkd",TEXT(A1116,"Ddd"))&amp;"-"&amp;TEXT(A1116,"hh"),LoadTable[],6,FALSE)*T1116</f>
        <v>15713.436212400004</v>
      </c>
      <c r="V1116">
        <f t="shared" ref="V1116:W1116" si="1178">V1092</f>
        <v>2.9</v>
      </c>
      <c r="W1116">
        <f t="shared" si="1178"/>
        <v>3</v>
      </c>
      <c r="X1116" s="9">
        <v>-26.026776016666499</v>
      </c>
    </row>
    <row r="1117" spans="1:24">
      <c r="A1117" s="29">
        <f t="shared" si="1150"/>
        <v>45882.416666663965</v>
      </c>
      <c r="B1117" s="30">
        <f t="shared" si="1174"/>
        <v>8000</v>
      </c>
      <c r="C1117" s="8">
        <v>25000</v>
      </c>
      <c r="D1117" s="8">
        <v>0</v>
      </c>
      <c r="E1117" s="8">
        <v>700</v>
      </c>
      <c r="F1117" s="8">
        <v>15000</v>
      </c>
      <c r="G1117" s="30">
        <f t="shared" si="1175"/>
        <v>2400</v>
      </c>
      <c r="H1117" s="8">
        <v>25000</v>
      </c>
      <c r="I1117" s="30">
        <f t="shared" si="1176"/>
        <v>8000</v>
      </c>
      <c r="J1117" s="8">
        <v>25000</v>
      </c>
      <c r="K1117" s="30">
        <f t="shared" si="1177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14.4</v>
      </c>
      <c r="O1117" s="9">
        <v>13.5</v>
      </c>
      <c r="P1117" s="9">
        <v>19.5</v>
      </c>
      <c r="Q1117" s="79">
        <f>VLOOKUP(VLOOKUP(DATEVALUE(TEXT(A1117,"m/d/yyyy")),FY24_Temp[],5,FALSE)&amp;TEXT(A1117,"-h"),Table6[],4,FALSE)</f>
        <v>1.6560000010899134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VLOOKUP(TEXT(A1117,"yy-mm")&amp;"-"&amp;IF(AND(WEEKDAY(A1117)&gt;1,WEEKDAY(A1117)&lt;7),"Wkd",TEXT(A1117,"Ddd"))&amp;"-"&amp;TEXT(A1117,"hh"),LoadTable[],5,FALSE)*0.92</f>
        <v>295.12680000000006</v>
      </c>
      <c r="U1117" s="104">
        <f>VLOOKUP(TEXT(A1117,"yy-mm")&amp;"-"&amp;IF(AND(WEEKDAY(A1117)&gt;1,WEEKDAY(A1117)&lt;7),"Wkd",TEXT(A1117,"Ddd"))&amp;"-"&amp;TEXT(A1117,"hh"),LoadTable[],6,FALSE)*T1117</f>
        <v>14369.723892000002</v>
      </c>
      <c r="V1117">
        <f t="shared" ref="V1117:W1117" si="1179">V1093</f>
        <v>2.9</v>
      </c>
      <c r="W1117">
        <f t="shared" si="1179"/>
        <v>3</v>
      </c>
      <c r="X1117" s="9">
        <v>-26.104570566666499</v>
      </c>
    </row>
    <row r="1118" spans="1:24">
      <c r="A1118" s="29">
        <f t="shared" si="1150"/>
        <v>45882.458333330629</v>
      </c>
      <c r="B1118" s="30">
        <f t="shared" si="1174"/>
        <v>8000</v>
      </c>
      <c r="C1118" s="8">
        <v>25000</v>
      </c>
      <c r="D1118" s="8">
        <v>0</v>
      </c>
      <c r="E1118" s="8">
        <v>700</v>
      </c>
      <c r="F1118" s="8">
        <v>15000</v>
      </c>
      <c r="G1118" s="30">
        <f t="shared" si="1175"/>
        <v>2400</v>
      </c>
      <c r="H1118" s="8">
        <v>25000</v>
      </c>
      <c r="I1118" s="30">
        <f t="shared" si="1176"/>
        <v>8000</v>
      </c>
      <c r="J1118" s="8">
        <v>25000</v>
      </c>
      <c r="K1118" s="30">
        <f t="shared" si="1177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14.4</v>
      </c>
      <c r="O1118" s="9">
        <v>13.5</v>
      </c>
      <c r="P1118" s="9">
        <v>19.5</v>
      </c>
      <c r="Q1118" s="79">
        <f>VLOOKUP(VLOOKUP(DATEVALUE(TEXT(A1118,"m/d/yyyy")),FY24_Temp[],5,FALSE)&amp;TEXT(A1118,"-h"),Table6[],4,FALSE)</f>
        <v>1.5444285869598389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VLOOKUP(TEXT(A1118,"yy-mm")&amp;"-"&amp;IF(AND(WEEKDAY(A1118)&gt;1,WEEKDAY(A1118)&lt;7),"Wkd",TEXT(A1118,"Ddd"))&amp;"-"&amp;TEXT(A1118,"hh"),LoadTable[],5,FALSE)*0.92</f>
        <v>295.12680000000006</v>
      </c>
      <c r="U1118" s="104">
        <f>VLOOKUP(TEXT(A1118,"yy-mm")&amp;"-"&amp;IF(AND(WEEKDAY(A1118)&gt;1,WEEKDAY(A1118)&lt;7),"Wkd",TEXT(A1118,"Ddd"))&amp;"-"&amp;TEXT(A1118,"hh"),LoadTable[],6,FALSE)*T1118</f>
        <v>14137.459100400003</v>
      </c>
      <c r="V1118">
        <f t="shared" ref="V1118:W1118" si="1180">V1094</f>
        <v>3.4</v>
      </c>
      <c r="W1118">
        <f t="shared" si="1180"/>
        <v>3</v>
      </c>
      <c r="X1118" s="9">
        <v>-26.182365116666499</v>
      </c>
    </row>
    <row r="1119" spans="1:24">
      <c r="A1119" s="29">
        <f t="shared" si="1150"/>
        <v>45882.499999997293</v>
      </c>
      <c r="B1119" s="30">
        <f t="shared" si="1174"/>
        <v>8000</v>
      </c>
      <c r="C1119" s="8">
        <v>25000</v>
      </c>
      <c r="D1119" s="8">
        <v>0</v>
      </c>
      <c r="E1119" s="8">
        <v>700</v>
      </c>
      <c r="F1119" s="8">
        <v>15000</v>
      </c>
      <c r="G1119" s="30">
        <f t="shared" si="1175"/>
        <v>2400</v>
      </c>
      <c r="H1119" s="8">
        <v>25000</v>
      </c>
      <c r="I1119" s="30">
        <f t="shared" si="1176"/>
        <v>8000</v>
      </c>
      <c r="J1119" s="8">
        <v>25000</v>
      </c>
      <c r="K1119" s="30">
        <f t="shared" si="1177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14.4</v>
      </c>
      <c r="O1119" s="9">
        <v>13.5</v>
      </c>
      <c r="P1119" s="9">
        <v>19.5</v>
      </c>
      <c r="Q1119" s="79">
        <f>VLOOKUP(VLOOKUP(DATEVALUE(TEXT(A1119,"m/d/yyyy")),FY24_Temp[],5,FALSE)&amp;TEXT(A1119,"-h"),Table6[],4,FALSE)</f>
        <v>1.4021428823471069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VLOOKUP(TEXT(A1119,"yy-mm")&amp;"-"&amp;IF(AND(WEEKDAY(A1119)&gt;1,WEEKDAY(A1119)&lt;7),"Wkd",TEXT(A1119,"Ddd"))&amp;"-"&amp;TEXT(A1119,"hh"),LoadTable[],5,FALSE)*0.92</f>
        <v>295.12680000000006</v>
      </c>
      <c r="U1119" s="104">
        <f>VLOOKUP(TEXT(A1119,"yy-mm")&amp;"-"&amp;IF(AND(WEEKDAY(A1119)&gt;1,WEEKDAY(A1119)&lt;7),"Wkd",TEXT(A1119,"Ddd"))&amp;"-"&amp;TEXT(A1119,"hh"),LoadTable[],6,FALSE)*T1119</f>
        <v>14242.819368000002</v>
      </c>
      <c r="V1119">
        <f t="shared" ref="V1119:W1119" si="1181">V1095</f>
        <v>3.1</v>
      </c>
      <c r="W1119">
        <f t="shared" si="1181"/>
        <v>2.9</v>
      </c>
      <c r="X1119" s="9">
        <v>-26.2601596666665</v>
      </c>
    </row>
    <row r="1120" spans="1:24">
      <c r="A1120" s="29">
        <f t="shared" si="1150"/>
        <v>45882.541666663958</v>
      </c>
      <c r="B1120" s="30">
        <f t="shared" si="1174"/>
        <v>8000</v>
      </c>
      <c r="C1120" s="8">
        <v>25000</v>
      </c>
      <c r="D1120" s="8">
        <v>0</v>
      </c>
      <c r="E1120" s="8">
        <v>700</v>
      </c>
      <c r="F1120" s="8">
        <v>15000</v>
      </c>
      <c r="G1120" s="30">
        <f t="shared" si="1175"/>
        <v>2400</v>
      </c>
      <c r="H1120" s="8">
        <v>25000</v>
      </c>
      <c r="I1120" s="30">
        <f t="shared" si="1176"/>
        <v>8000</v>
      </c>
      <c r="J1120" s="8">
        <v>25000</v>
      </c>
      <c r="K1120" s="30">
        <f t="shared" si="1177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14.4</v>
      </c>
      <c r="O1120" s="9">
        <v>13.5</v>
      </c>
      <c r="P1120" s="9">
        <v>19.5</v>
      </c>
      <c r="Q1120" s="79">
        <f>VLOOKUP(VLOOKUP(DATEVALUE(TEXT(A1120,"m/d/yyyy")),FY24_Temp[],5,FALSE)&amp;TEXT(A1120,"-h"),Table6[],4,FALSE)</f>
        <v>1.2278571299144201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VLOOKUP(TEXT(A1120,"yy-mm")&amp;"-"&amp;IF(AND(WEEKDAY(A1120)&gt;1,WEEKDAY(A1120)&lt;7),"Wkd",TEXT(A1120,"Ddd"))&amp;"-"&amp;TEXT(A1120,"hh"),LoadTable[],5,FALSE)*0.92</f>
        <v>295.12680000000006</v>
      </c>
      <c r="U1120" s="104">
        <f>VLOOKUP(TEXT(A1120,"yy-mm")&amp;"-"&amp;IF(AND(WEEKDAY(A1120)&gt;1,WEEKDAY(A1120)&lt;7),"Wkd",TEXT(A1120,"Ddd"))&amp;"-"&amp;TEXT(A1120,"hh"),LoadTable[],6,FALSE)*T1120</f>
        <v>16280.669922000003</v>
      </c>
      <c r="V1120">
        <f t="shared" ref="V1120:W1120" si="1182">V1096</f>
        <v>3.2</v>
      </c>
      <c r="W1120">
        <f t="shared" si="1182"/>
        <v>2.9</v>
      </c>
      <c r="X1120" s="9">
        <v>-26.3379542166665</v>
      </c>
    </row>
    <row r="1121" spans="1:24">
      <c r="A1121" s="29">
        <f t="shared" si="1150"/>
        <v>45882.583333330622</v>
      </c>
      <c r="B1121" s="30">
        <f t="shared" si="1174"/>
        <v>8000</v>
      </c>
      <c r="C1121" s="8">
        <v>25000</v>
      </c>
      <c r="D1121" s="8">
        <v>0</v>
      </c>
      <c r="E1121" s="8">
        <v>700</v>
      </c>
      <c r="F1121" s="8">
        <v>15000</v>
      </c>
      <c r="G1121" s="30">
        <f t="shared" si="1175"/>
        <v>2400</v>
      </c>
      <c r="H1121" s="8">
        <v>25000</v>
      </c>
      <c r="I1121" s="30">
        <f t="shared" si="1176"/>
        <v>8000</v>
      </c>
      <c r="J1121" s="8">
        <v>25000</v>
      </c>
      <c r="K1121" s="30">
        <f t="shared" si="1177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14.4</v>
      </c>
      <c r="O1121" s="9">
        <v>13.5</v>
      </c>
      <c r="P1121" s="9">
        <v>19.5</v>
      </c>
      <c r="Q1121" s="79">
        <f>VLOOKUP(VLOOKUP(DATEVALUE(TEXT(A1121,"m/d/yyyy")),FY24_Temp[],5,FALSE)&amp;TEXT(A1121,"-h"),Table6[],4,FALSE)</f>
        <v>1.0399999959128243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VLOOKUP(TEXT(A1121,"yy-mm")&amp;"-"&amp;IF(AND(WEEKDAY(A1121)&gt;1,WEEKDAY(A1121)&lt;7),"Wkd",TEXT(A1121,"Ddd"))&amp;"-"&amp;TEXT(A1121,"hh"),LoadTable[],5,FALSE)*0.92</f>
        <v>402.08416</v>
      </c>
      <c r="U1121" s="104">
        <f>VLOOKUP(TEXT(A1121,"yy-mm")&amp;"-"&amp;IF(AND(WEEKDAY(A1121)&gt;1,WEEKDAY(A1121)&lt;7),"Wkd",TEXT(A1121,"Ddd"))&amp;"-"&amp;TEXT(A1121,"hh"),LoadTable[],6,FALSE)*T1121</f>
        <v>27023.674309440001</v>
      </c>
      <c r="V1121">
        <f t="shared" ref="V1121:W1121" si="1183">V1097</f>
        <v>3.5</v>
      </c>
      <c r="W1121">
        <f t="shared" si="1183"/>
        <v>2.9</v>
      </c>
      <c r="X1121" s="9">
        <v>-26.4157487666665</v>
      </c>
    </row>
    <row r="1122" spans="1:24">
      <c r="A1122" s="29">
        <f t="shared" si="1150"/>
        <v>45882.624999997286</v>
      </c>
      <c r="B1122" s="30">
        <f t="shared" si="1174"/>
        <v>8000</v>
      </c>
      <c r="C1122" s="8">
        <v>25000</v>
      </c>
      <c r="D1122" s="8">
        <v>0</v>
      </c>
      <c r="E1122" s="8">
        <v>700</v>
      </c>
      <c r="F1122" s="8">
        <v>15000</v>
      </c>
      <c r="G1122" s="30">
        <f t="shared" si="1175"/>
        <v>2400</v>
      </c>
      <c r="H1122" s="8">
        <v>25000</v>
      </c>
      <c r="I1122" s="30">
        <f t="shared" si="1176"/>
        <v>8000</v>
      </c>
      <c r="J1122" s="8">
        <v>25000</v>
      </c>
      <c r="K1122" s="30">
        <f t="shared" si="1177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14.4</v>
      </c>
      <c r="O1122" s="9">
        <v>13.5</v>
      </c>
      <c r="P1122" s="9">
        <v>19.5</v>
      </c>
      <c r="Q1122" s="79">
        <f>VLOOKUP(VLOOKUP(DATEVALUE(TEXT(A1122,"m/d/yyyy")),FY24_Temp[],5,FALSE)&amp;TEXT(A1122,"-h"),Table6[],4,FALSE)</f>
        <v>0.86785714115415302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VLOOKUP(TEXT(A1122,"yy-mm")&amp;"-"&amp;IF(AND(WEEKDAY(A1122)&gt;1,WEEKDAY(A1122)&lt;7),"Wkd",TEXT(A1122,"Ddd"))&amp;"-"&amp;TEXT(A1122,"hh"),LoadTable[],5,FALSE)*0.92</f>
        <v>521.92427999999995</v>
      </c>
      <c r="U1122" s="104">
        <f>VLOOKUP(TEXT(A1122,"yy-mm")&amp;"-"&amp;IF(AND(WEEKDAY(A1122)&gt;1,WEEKDAY(A1122)&lt;7),"Wkd",TEXT(A1122,"Ddd"))&amp;"-"&amp;TEXT(A1122,"hh"),LoadTable[],6,FALSE)*T1122</f>
        <v>38276.36092236</v>
      </c>
      <c r="V1122">
        <f t="shared" ref="V1122:W1122" si="1184">V1098</f>
        <v>3.2</v>
      </c>
      <c r="W1122">
        <f t="shared" si="1184"/>
        <v>2.9</v>
      </c>
      <c r="X1122" s="9">
        <v>-26.4935433166665</v>
      </c>
    </row>
    <row r="1123" spans="1:24">
      <c r="A1123" s="29">
        <f t="shared" si="1150"/>
        <v>45882.66666666395</v>
      </c>
      <c r="B1123" s="30">
        <f t="shared" si="1174"/>
        <v>8000</v>
      </c>
      <c r="C1123" s="8">
        <v>25000</v>
      </c>
      <c r="D1123" s="8">
        <v>0</v>
      </c>
      <c r="E1123" s="8">
        <v>700</v>
      </c>
      <c r="F1123" s="8">
        <v>15000</v>
      </c>
      <c r="G1123" s="30">
        <f t="shared" si="1175"/>
        <v>2400</v>
      </c>
      <c r="H1123" s="8">
        <v>25000</v>
      </c>
      <c r="I1123" s="30">
        <f t="shared" si="1176"/>
        <v>8000</v>
      </c>
      <c r="J1123" s="8">
        <v>25000</v>
      </c>
      <c r="K1123" s="30">
        <f t="shared" si="1177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14.4</v>
      </c>
      <c r="O1123" s="9">
        <v>13.5</v>
      </c>
      <c r="P1123" s="9">
        <v>19.5</v>
      </c>
      <c r="Q1123" s="79">
        <f>VLOOKUP(VLOOKUP(DATEVALUE(TEXT(A1123,"m/d/yyyy")),FY24_Temp[],5,FALSE)&amp;TEXT(A1123,"-h"),Table6[],4,FALSE)</f>
        <v>0.77942857572010582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VLOOKUP(TEXT(A1123,"yy-mm")&amp;"-"&amp;IF(AND(WEEKDAY(A1123)&gt;1,WEEKDAY(A1123)&lt;7),"Wkd",TEXT(A1123,"Ddd"))&amp;"-"&amp;TEXT(A1123,"hh"),LoadTable[],5,FALSE)*0.92</f>
        <v>521.92427999999995</v>
      </c>
      <c r="U1123" s="104">
        <f>VLOOKUP(TEXT(A1123,"yy-mm")&amp;"-"&amp;IF(AND(WEEKDAY(A1123)&gt;1,WEEKDAY(A1123)&lt;7),"Wkd",TEXT(A1123,"Ddd"))&amp;"-"&amp;TEXT(A1123,"hh"),LoadTable[],6,FALSE)*T1123</f>
        <v>45879.753833399998</v>
      </c>
      <c r="V1123">
        <f t="shared" ref="V1123:W1123" si="1185">V1099</f>
        <v>3.5</v>
      </c>
      <c r="W1123">
        <f t="shared" si="1185"/>
        <v>3</v>
      </c>
      <c r="X1123" s="9">
        <v>-26.5713378666665</v>
      </c>
    </row>
    <row r="1124" spans="1:24">
      <c r="A1124" s="29">
        <f t="shared" si="1150"/>
        <v>45882.708333330615</v>
      </c>
      <c r="B1124" s="30">
        <f t="shared" si="1174"/>
        <v>8000</v>
      </c>
      <c r="C1124" s="8">
        <v>25000</v>
      </c>
      <c r="D1124" s="8">
        <v>0</v>
      </c>
      <c r="E1124" s="8">
        <v>700</v>
      </c>
      <c r="F1124" s="8">
        <v>15000</v>
      </c>
      <c r="G1124" s="30">
        <f t="shared" si="1175"/>
        <v>2400</v>
      </c>
      <c r="H1124" s="8">
        <v>25000</v>
      </c>
      <c r="I1124" s="30">
        <f t="shared" si="1176"/>
        <v>8000</v>
      </c>
      <c r="J1124" s="8">
        <v>25000</v>
      </c>
      <c r="K1124" s="30">
        <f t="shared" si="1177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14.4</v>
      </c>
      <c r="O1124" s="9">
        <v>13.5</v>
      </c>
      <c r="P1124" s="9">
        <v>19.5</v>
      </c>
      <c r="Q1124" s="79">
        <f>VLOOKUP(VLOOKUP(DATEVALUE(TEXT(A1124,"m/d/yyyy")),FY24_Temp[],5,FALSE)&amp;TEXT(A1124,"-h"),Table6[],4,FALSE)</f>
        <v>0.93557143211364746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VLOOKUP(TEXT(A1124,"yy-mm")&amp;"-"&amp;IF(AND(WEEKDAY(A1124)&gt;1,WEEKDAY(A1124)&lt;7),"Wkd",TEXT(A1124,"Ddd"))&amp;"-"&amp;TEXT(A1124,"hh"),LoadTable[],5,FALSE)*0.92</f>
        <v>521.92427999999995</v>
      </c>
      <c r="U1124" s="104">
        <f>VLOOKUP(TEXT(A1124,"yy-mm")&amp;"-"&amp;IF(AND(WEEKDAY(A1124)&gt;1,WEEKDAY(A1124)&lt;7),"Wkd",TEXT(A1124,"Ddd"))&amp;"-"&amp;TEXT(A1124,"hh"),LoadTable[],6,FALSE)*T1124</f>
        <v>57850.609119479988</v>
      </c>
      <c r="V1124">
        <f t="shared" ref="V1124:W1124" si="1186">V1100</f>
        <v>3.6</v>
      </c>
      <c r="W1124">
        <f t="shared" si="1186"/>
        <v>3</v>
      </c>
      <c r="X1124" s="9">
        <v>-26.6491324166665</v>
      </c>
    </row>
    <row r="1125" spans="1:24">
      <c r="A1125" s="29">
        <f t="shared" si="1150"/>
        <v>45882.749999997279</v>
      </c>
      <c r="B1125" s="30">
        <f t="shared" si="1174"/>
        <v>5000</v>
      </c>
      <c r="C1125" s="8">
        <v>25000</v>
      </c>
      <c r="D1125" s="8">
        <v>0</v>
      </c>
      <c r="E1125" s="8">
        <v>700</v>
      </c>
      <c r="F1125" s="8">
        <v>15000</v>
      </c>
      <c r="G1125" s="30">
        <f t="shared" si="1175"/>
        <v>2400</v>
      </c>
      <c r="H1125" s="8">
        <v>25000</v>
      </c>
      <c r="I1125" s="30">
        <f t="shared" si="1176"/>
        <v>5000</v>
      </c>
      <c r="J1125" s="8">
        <v>25000</v>
      </c>
      <c r="K1125" s="30">
        <f t="shared" si="1177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14.4</v>
      </c>
      <c r="O1125" s="9">
        <v>13.5</v>
      </c>
      <c r="P1125" s="9">
        <v>19.5</v>
      </c>
      <c r="Q1125" s="79">
        <f>VLOOKUP(VLOOKUP(DATEVALUE(TEXT(A1125,"m/d/yyyy")),FY24_Temp[],5,FALSE)&amp;TEXT(A1125,"-h"),Table6[],4,FALSE)</f>
        <v>1.3035714285714286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VLOOKUP(TEXT(A1125,"yy-mm")&amp;"-"&amp;IF(AND(WEEKDAY(A1125)&gt;1,WEEKDAY(A1125)&lt;7),"Wkd",TEXT(A1125,"Ddd"))&amp;"-"&amp;TEXT(A1125,"hh"),LoadTable[],5,FALSE)*0.92</f>
        <v>521.92427999999995</v>
      </c>
      <c r="U1125" s="104">
        <f>VLOOKUP(TEXT(A1125,"yy-mm")&amp;"-"&amp;IF(AND(WEEKDAY(A1125)&gt;1,WEEKDAY(A1125)&lt;7),"Wkd",TEXT(A1125,"Ddd"))&amp;"-"&amp;TEXT(A1125,"hh"),LoadTable[],6,FALSE)*T1125</f>
        <v>71088.174633119997</v>
      </c>
      <c r="V1125">
        <f t="shared" ref="V1125:W1125" si="1187">V1101</f>
        <v>2.9</v>
      </c>
      <c r="W1125">
        <f t="shared" si="1187"/>
        <v>3</v>
      </c>
      <c r="X1125" s="9">
        <v>-26.7269269666665</v>
      </c>
    </row>
    <row r="1126" spans="1:24">
      <c r="A1126" s="29">
        <f t="shared" si="1150"/>
        <v>45882.791666663943</v>
      </c>
      <c r="B1126" s="30">
        <f t="shared" si="1174"/>
        <v>5000</v>
      </c>
      <c r="C1126" s="8">
        <v>25000</v>
      </c>
      <c r="D1126" s="8">
        <v>0</v>
      </c>
      <c r="E1126" s="8">
        <v>700</v>
      </c>
      <c r="F1126" s="8">
        <v>15000</v>
      </c>
      <c r="G1126" s="30">
        <f t="shared" si="1175"/>
        <v>2400</v>
      </c>
      <c r="H1126" s="8">
        <v>25000</v>
      </c>
      <c r="I1126" s="30">
        <f t="shared" si="1176"/>
        <v>5000</v>
      </c>
      <c r="J1126" s="8">
        <v>25000</v>
      </c>
      <c r="K1126" s="30">
        <f t="shared" si="1177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14.4</v>
      </c>
      <c r="O1126" s="9">
        <v>13.5</v>
      </c>
      <c r="P1126" s="9">
        <v>19.5</v>
      </c>
      <c r="Q1126" s="79">
        <f>VLOOKUP(VLOOKUP(DATEVALUE(TEXT(A1126,"m/d/yyyy")),FY24_Temp[],5,FALSE)&amp;TEXT(A1126,"-h"),Table6[],4,FALSE)</f>
        <v>2.0524285861424039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VLOOKUP(TEXT(A1126,"yy-mm")&amp;"-"&amp;IF(AND(WEEKDAY(A1126)&gt;1,WEEKDAY(A1126)&lt;7),"Wkd",TEXT(A1126,"Ddd"))&amp;"-"&amp;TEXT(A1126,"hh"),LoadTable[],5,FALSE)*0.92</f>
        <v>521.92427999999995</v>
      </c>
      <c r="U1126" s="104">
        <f>VLOOKUP(TEXT(A1126,"yy-mm")&amp;"-"&amp;IF(AND(WEEKDAY(A1126)&gt;1,WEEKDAY(A1126)&lt;7),"Wkd",TEXT(A1126,"Ddd"))&amp;"-"&amp;TEXT(A1126,"hh"),LoadTable[],6,FALSE)*T1126</f>
        <v>75540.188741520004</v>
      </c>
      <c r="V1126">
        <f t="shared" ref="V1126:W1126" si="1188">V1102</f>
        <v>3</v>
      </c>
      <c r="W1126">
        <f t="shared" si="1188"/>
        <v>3</v>
      </c>
      <c r="X1126" s="9">
        <v>-26.8047215166665</v>
      </c>
    </row>
    <row r="1127" spans="1:24">
      <c r="A1127" s="29">
        <f t="shared" si="1150"/>
        <v>45882.833333330607</v>
      </c>
      <c r="B1127" s="30">
        <f t="shared" si="1174"/>
        <v>5000</v>
      </c>
      <c r="C1127" s="8">
        <v>25000</v>
      </c>
      <c r="D1127" s="8">
        <v>0</v>
      </c>
      <c r="E1127" s="8">
        <v>700</v>
      </c>
      <c r="F1127" s="8">
        <v>15000</v>
      </c>
      <c r="G1127" s="30">
        <f t="shared" si="1175"/>
        <v>2400</v>
      </c>
      <c r="H1127" s="8">
        <v>25000</v>
      </c>
      <c r="I1127" s="30">
        <f t="shared" si="1176"/>
        <v>5000</v>
      </c>
      <c r="J1127" s="8">
        <v>25000</v>
      </c>
      <c r="K1127" s="30">
        <f t="shared" si="1177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14.4</v>
      </c>
      <c r="O1127" s="9">
        <v>13.5</v>
      </c>
      <c r="P1127" s="9">
        <v>19.5</v>
      </c>
      <c r="Q1127" s="79">
        <f>VLOOKUP(VLOOKUP(DATEVALUE(TEXT(A1127,"m/d/yyyy")),FY24_Temp[],5,FALSE)&amp;TEXT(A1127,"-h"),Table6[],4,FALSE)</f>
        <v>2.8517142704554965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VLOOKUP(TEXT(A1127,"yy-mm")&amp;"-"&amp;IF(AND(WEEKDAY(A1127)&gt;1,WEEKDAY(A1127)&lt;7),"Wkd",TEXT(A1127,"Ddd"))&amp;"-"&amp;TEXT(A1127,"hh"),LoadTable[],5,FALSE)*0.92</f>
        <v>521.92427999999995</v>
      </c>
      <c r="U1127" s="104">
        <f>VLOOKUP(TEXT(A1127,"yy-mm")&amp;"-"&amp;IF(AND(WEEKDAY(A1127)&gt;1,WEEKDAY(A1127)&lt;7),"Wkd",TEXT(A1127,"Ddd"))&amp;"-"&amp;TEXT(A1127,"hh"),LoadTable[],6,FALSE)*T1127</f>
        <v>69176.365995479995</v>
      </c>
      <c r="V1127">
        <f t="shared" ref="V1127:W1127" si="1189">V1103</f>
        <v>2.8</v>
      </c>
      <c r="W1127">
        <f t="shared" si="1189"/>
        <v>3.1</v>
      </c>
      <c r="X1127" s="9">
        <v>-26.882516066666501</v>
      </c>
    </row>
    <row r="1128" spans="1:24">
      <c r="A1128" s="29">
        <f t="shared" si="1150"/>
        <v>45882.874999997272</v>
      </c>
      <c r="B1128" s="30">
        <f t="shared" si="1174"/>
        <v>5000</v>
      </c>
      <c r="C1128" s="8">
        <v>25000</v>
      </c>
      <c r="D1128" s="8">
        <v>0</v>
      </c>
      <c r="E1128" s="8">
        <v>700</v>
      </c>
      <c r="F1128" s="8">
        <v>15000</v>
      </c>
      <c r="G1128" s="30">
        <f t="shared" si="1175"/>
        <v>2400</v>
      </c>
      <c r="H1128" s="8">
        <v>25000</v>
      </c>
      <c r="I1128" s="30">
        <f t="shared" si="1176"/>
        <v>5000</v>
      </c>
      <c r="J1128" s="8">
        <v>25000</v>
      </c>
      <c r="K1128" s="30">
        <f t="shared" si="1177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14.4</v>
      </c>
      <c r="O1128" s="9">
        <v>13.5</v>
      </c>
      <c r="P1128" s="9">
        <v>19.5</v>
      </c>
      <c r="Q1128" s="79">
        <f>VLOOKUP(VLOOKUP(DATEVALUE(TEXT(A1128,"m/d/yyyy")),FY24_Temp[],5,FALSE)&amp;TEXT(A1128,"-h"),Table6[],4,FALSE)</f>
        <v>3.1017143045152937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VLOOKUP(TEXT(A1128,"yy-mm")&amp;"-"&amp;IF(AND(WEEKDAY(A1128)&gt;1,WEEKDAY(A1128)&lt;7),"Wkd",TEXT(A1128,"Ddd"))&amp;"-"&amp;TEXT(A1128,"hh"),LoadTable[],5,FALSE)*0.92</f>
        <v>521.92427999999995</v>
      </c>
      <c r="U1128" s="104">
        <f>VLOOKUP(TEXT(A1128,"yy-mm")&amp;"-"&amp;IF(AND(WEEKDAY(A1128)&gt;1,WEEKDAY(A1128)&lt;7),"Wkd",TEXT(A1128,"Ddd"))&amp;"-"&amp;TEXT(A1128,"hh"),LoadTable[],6,FALSE)*T1128</f>
        <v>56417.405046599997</v>
      </c>
      <c r="V1128">
        <f t="shared" ref="V1128:W1128" si="1190">V1104</f>
        <v>3.5</v>
      </c>
      <c r="W1128">
        <f t="shared" si="1190"/>
        <v>3.1</v>
      </c>
      <c r="X1128" s="9">
        <v>-26.960310616666501</v>
      </c>
    </row>
    <row r="1129" spans="1:24">
      <c r="A1129" s="29">
        <f t="shared" si="1150"/>
        <v>45882.916666663936</v>
      </c>
      <c r="B1129" s="30">
        <f t="shared" si="1174"/>
        <v>5000</v>
      </c>
      <c r="C1129" s="8">
        <v>25000</v>
      </c>
      <c r="D1129" s="8">
        <v>0</v>
      </c>
      <c r="E1129" s="8">
        <v>700</v>
      </c>
      <c r="F1129" s="8">
        <v>15000</v>
      </c>
      <c r="G1129" s="30">
        <f t="shared" si="1175"/>
        <v>2400</v>
      </c>
      <c r="H1129" s="8">
        <v>25000</v>
      </c>
      <c r="I1129" s="30">
        <f t="shared" si="1176"/>
        <v>5000</v>
      </c>
      <c r="J1129" s="8">
        <v>25000</v>
      </c>
      <c r="K1129" s="30">
        <f t="shared" si="1177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14.4</v>
      </c>
      <c r="O1129" s="9">
        <v>13.5</v>
      </c>
      <c r="P1129" s="9">
        <v>19.5</v>
      </c>
      <c r="Q1129" s="79">
        <f>VLOOKUP(VLOOKUP(DATEVALUE(TEXT(A1129,"m/d/yyyy")),FY24_Temp[],5,FALSE)&amp;TEXT(A1129,"-h"),Table6[],4,FALSE)</f>
        <v>3.0557142666407993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VLOOKUP(TEXT(A1129,"yy-mm")&amp;"-"&amp;IF(AND(WEEKDAY(A1129)&gt;1,WEEKDAY(A1129)&lt;7),"Wkd",TEXT(A1129,"Ddd"))&amp;"-"&amp;TEXT(A1129,"hh"),LoadTable[],5,FALSE)*0.92</f>
        <v>447.02432000000005</v>
      </c>
      <c r="U1129" s="104">
        <f>VLOOKUP(TEXT(A1129,"yy-mm")&amp;"-"&amp;IF(AND(WEEKDAY(A1129)&gt;1,WEEKDAY(A1129)&lt;7),"Wkd",TEXT(A1129,"Ddd"))&amp;"-"&amp;TEXT(A1129,"hh"),LoadTable[],6,FALSE)*T1129</f>
        <v>29850.49599232</v>
      </c>
      <c r="V1129">
        <f t="shared" ref="V1129:W1129" si="1191">V1105</f>
        <v>2.9</v>
      </c>
      <c r="W1129">
        <f t="shared" si="1191"/>
        <v>3.1</v>
      </c>
      <c r="X1129" s="9">
        <v>-27.038105166666501</v>
      </c>
    </row>
    <row r="1130" spans="1:24">
      <c r="A1130" s="29">
        <f t="shared" si="1150"/>
        <v>45882.9583333306</v>
      </c>
      <c r="B1130" s="30">
        <f t="shared" si="1174"/>
        <v>5000</v>
      </c>
      <c r="C1130" s="8">
        <v>25000</v>
      </c>
      <c r="D1130" s="8">
        <v>0</v>
      </c>
      <c r="E1130" s="8">
        <v>700</v>
      </c>
      <c r="F1130" s="8">
        <v>15000</v>
      </c>
      <c r="G1130" s="30">
        <f t="shared" si="1175"/>
        <v>2400</v>
      </c>
      <c r="H1130" s="8">
        <v>25000</v>
      </c>
      <c r="I1130" s="30">
        <f t="shared" si="1176"/>
        <v>5000</v>
      </c>
      <c r="J1130" s="8">
        <v>25000</v>
      </c>
      <c r="K1130" s="30">
        <f t="shared" si="1177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14.4</v>
      </c>
      <c r="O1130" s="9">
        <v>13.5</v>
      </c>
      <c r="P1130" s="9">
        <v>19.5</v>
      </c>
      <c r="Q1130" s="79">
        <f>VLOOKUP(VLOOKUP(DATEVALUE(TEXT(A1130,"m/d/yyyy")),FY24_Temp[],5,FALSE)&amp;TEXT(A1130,"-h"),Table6[],4,FALSE)</f>
        <v>2.9255714416503906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VLOOKUP(TEXT(A1130,"yy-mm")&amp;"-"&amp;IF(AND(WEEKDAY(A1130)&gt;1,WEEKDAY(A1130)&lt;7),"Wkd",TEXT(A1130,"Ddd"))&amp;"-"&amp;TEXT(A1130,"hh"),LoadTable[],5,FALSE)*0.92</f>
        <v>372.12436000000002</v>
      </c>
      <c r="U1130" s="104">
        <f>VLOOKUP(TEXT(A1130,"yy-mm")&amp;"-"&amp;IF(AND(WEEKDAY(A1130)&gt;1,WEEKDAY(A1130)&lt;7),"Wkd",TEXT(A1130,"Ddd"))&amp;"-"&amp;TEXT(A1130,"hh"),LoadTable[],6,FALSE)*T1130</f>
        <v>22421.236938720001</v>
      </c>
      <c r="V1130">
        <f t="shared" ref="V1130:W1130" si="1192">V1106</f>
        <v>3.6</v>
      </c>
      <c r="W1130">
        <f t="shared" si="1192"/>
        <v>3.1</v>
      </c>
      <c r="X1130" s="9">
        <v>-27.115899716666501</v>
      </c>
    </row>
    <row r="1131" spans="1:24">
      <c r="A1131" s="29">
        <f t="shared" si="1150"/>
        <v>45882.999999997264</v>
      </c>
      <c r="B1131" s="30">
        <f t="shared" si="1174"/>
        <v>5000</v>
      </c>
      <c r="C1131" s="8">
        <v>25000</v>
      </c>
      <c r="D1131" s="8">
        <v>0</v>
      </c>
      <c r="E1131" s="8">
        <v>700</v>
      </c>
      <c r="F1131" s="8">
        <v>15000</v>
      </c>
      <c r="G1131" s="30">
        <f t="shared" si="1175"/>
        <v>2400</v>
      </c>
      <c r="H1131" s="8">
        <v>25000</v>
      </c>
      <c r="I1131" s="30">
        <f t="shared" si="1176"/>
        <v>5000</v>
      </c>
      <c r="J1131" s="8">
        <v>25000</v>
      </c>
      <c r="K1131" s="30">
        <f t="shared" si="1177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14.4</v>
      </c>
      <c r="O1131" s="9">
        <v>13.5</v>
      </c>
      <c r="P1131" s="9">
        <v>19.5</v>
      </c>
      <c r="Q1131" s="79">
        <f>VLOOKUP(VLOOKUP(DATEVALUE(TEXT(A1131,"m/d/yyyy")),FY24_Temp[],5,FALSE)&amp;TEXT(A1131,"-h"),Table6[],4,FALSE)</f>
        <v>2.8105713639940535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VLOOKUP(TEXT(A1131,"yy-mm")&amp;"-"&amp;IF(AND(WEEKDAY(A1131)&gt;1,WEEKDAY(A1131)&lt;7),"Wkd",TEXT(A1131,"Ddd"))&amp;"-"&amp;TEXT(A1131,"hh"),LoadTable[],5,FALSE)*0.92</f>
        <v>297.2244</v>
      </c>
      <c r="U1131" s="104">
        <f>VLOOKUP(TEXT(A1131,"yy-mm")&amp;"-"&amp;IF(AND(WEEKDAY(A1131)&gt;1,WEEKDAY(A1131)&lt;7),"Wkd",TEXT(A1131,"Ddd"))&amp;"-"&amp;TEXT(A1131,"hh"),LoadTable[],6,FALSE)*T1131</f>
        <v>17505.031038000001</v>
      </c>
      <c r="V1131">
        <f t="shared" ref="V1131:W1131" si="1193">V1107</f>
        <v>3</v>
      </c>
      <c r="W1131">
        <f t="shared" si="1193"/>
        <v>3.2</v>
      </c>
      <c r="X1131" s="9">
        <v>-27.193694266666501</v>
      </c>
    </row>
    <row r="1132" spans="1:24">
      <c r="A1132" s="29">
        <f t="shared" si="1150"/>
        <v>45883.041666663928</v>
      </c>
      <c r="B1132" s="30">
        <f t="shared" si="1174"/>
        <v>5000</v>
      </c>
      <c r="C1132" s="8">
        <v>25000</v>
      </c>
      <c r="D1132" s="8">
        <v>0</v>
      </c>
      <c r="E1132" s="8">
        <v>700</v>
      </c>
      <c r="F1132" s="8">
        <v>15000</v>
      </c>
      <c r="G1132" s="30">
        <f t="shared" si="1175"/>
        <v>2400</v>
      </c>
      <c r="H1132" s="8">
        <v>25000</v>
      </c>
      <c r="I1132" s="30">
        <f t="shared" si="1176"/>
        <v>5000</v>
      </c>
      <c r="J1132" s="8">
        <v>25000</v>
      </c>
      <c r="K1132" s="30">
        <f t="shared" si="1177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14.4</v>
      </c>
      <c r="O1132" s="9">
        <v>13.5</v>
      </c>
      <c r="P1132" s="9">
        <v>19.5</v>
      </c>
      <c r="Q1132" s="79">
        <f>VLOOKUP(VLOOKUP(DATEVALUE(TEXT(A1132,"m/d/yyyy")),FY24_Temp[],5,FALSE)&amp;TEXT(A1132,"-h"),Table6[],4,FALSE)</f>
        <v>2.7044286046709334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VLOOKUP(TEXT(A1132,"yy-mm")&amp;"-"&amp;IF(AND(WEEKDAY(A1132)&gt;1,WEEKDAY(A1132)&lt;7),"Wkd",TEXT(A1132,"Ddd"))&amp;"-"&amp;TEXT(A1132,"hh"),LoadTable[],5,FALSE)*0.92</f>
        <v>295.12680000000006</v>
      </c>
      <c r="U1132" s="104">
        <f>VLOOKUP(TEXT(A1132,"yy-mm")&amp;"-"&amp;IF(AND(WEEKDAY(A1132)&gt;1,WEEKDAY(A1132)&lt;7),"Wkd",TEXT(A1132,"Ddd"))&amp;"-"&amp;TEXT(A1132,"hh"),LoadTable[],6,FALSE)*T1132</f>
        <v>17131.225359600001</v>
      </c>
      <c r="V1132">
        <f t="shared" ref="V1132:W1132" si="1194">V1108</f>
        <v>2.6</v>
      </c>
      <c r="W1132">
        <f t="shared" si="1194"/>
        <v>3.2</v>
      </c>
      <c r="X1132" s="9">
        <v>-27.271488816666501</v>
      </c>
    </row>
    <row r="1133" spans="1:24">
      <c r="A1133" s="29">
        <f t="shared" si="1150"/>
        <v>45883.083333330593</v>
      </c>
      <c r="B1133" s="30">
        <f t="shared" si="1174"/>
        <v>5000</v>
      </c>
      <c r="C1133" s="8">
        <v>25000</v>
      </c>
      <c r="D1133" s="8">
        <v>0</v>
      </c>
      <c r="E1133" s="8">
        <v>700</v>
      </c>
      <c r="F1133" s="8">
        <v>15000</v>
      </c>
      <c r="G1133" s="30">
        <f t="shared" si="1175"/>
        <v>2400</v>
      </c>
      <c r="H1133" s="8">
        <v>25000</v>
      </c>
      <c r="I1133" s="30">
        <f t="shared" si="1176"/>
        <v>5000</v>
      </c>
      <c r="J1133" s="8">
        <v>25000</v>
      </c>
      <c r="K1133" s="30">
        <f t="shared" si="1177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14.4</v>
      </c>
      <c r="O1133" s="9">
        <v>13.5</v>
      </c>
      <c r="P1133" s="9">
        <v>19.5</v>
      </c>
      <c r="Q1133" s="79">
        <f>VLOOKUP(VLOOKUP(DATEVALUE(TEXT(A1133,"m/d/yyyy")),FY24_Temp[],5,FALSE)&amp;TEXT(A1133,"-h"),Table6[],4,FALSE)</f>
        <v>2.6111428737640381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VLOOKUP(TEXT(A1133,"yy-mm")&amp;"-"&amp;IF(AND(WEEKDAY(A1133)&gt;1,WEEKDAY(A1133)&lt;7),"Wkd",TEXT(A1133,"Ddd"))&amp;"-"&amp;TEXT(A1133,"hh"),LoadTable[],5,FALSE)*0.92</f>
        <v>295.12680000000006</v>
      </c>
      <c r="U1133" s="104">
        <f>VLOOKUP(TEXT(A1133,"yy-mm")&amp;"-"&amp;IF(AND(WEEKDAY(A1133)&gt;1,WEEKDAY(A1133)&lt;7),"Wkd",TEXT(A1133,"Ddd"))&amp;"-"&amp;TEXT(A1133,"hh"),LoadTable[],6,FALSE)*T1133</f>
        <v>16459.811889600001</v>
      </c>
      <c r="V1133">
        <f t="shared" ref="V1133:W1133" si="1195">V1109</f>
        <v>2.8</v>
      </c>
      <c r="W1133">
        <f t="shared" si="1195"/>
        <v>3.2</v>
      </c>
      <c r="X1133" s="9">
        <v>-27.349283366666501</v>
      </c>
    </row>
    <row r="1134" spans="1:24">
      <c r="A1134" s="29">
        <f t="shared" si="1150"/>
        <v>45883.124999997257</v>
      </c>
      <c r="B1134" s="30">
        <f t="shared" si="1174"/>
        <v>5000</v>
      </c>
      <c r="C1134" s="8">
        <v>25000</v>
      </c>
      <c r="D1134" s="8">
        <v>0</v>
      </c>
      <c r="E1134" s="8">
        <v>700</v>
      </c>
      <c r="F1134" s="8">
        <v>15000</v>
      </c>
      <c r="G1134" s="30">
        <f t="shared" si="1175"/>
        <v>2400</v>
      </c>
      <c r="H1134" s="8">
        <v>25000</v>
      </c>
      <c r="I1134" s="30">
        <f t="shared" si="1176"/>
        <v>5000</v>
      </c>
      <c r="J1134" s="8">
        <v>25000</v>
      </c>
      <c r="K1134" s="30">
        <f t="shared" si="1177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14.4</v>
      </c>
      <c r="O1134" s="9">
        <v>13.5</v>
      </c>
      <c r="P1134" s="9">
        <v>19.5</v>
      </c>
      <c r="Q1134" s="79">
        <f>VLOOKUP(VLOOKUP(DATEVALUE(TEXT(A1134,"m/d/yyyy")),FY24_Temp[],5,FALSE)&amp;TEXT(A1134,"-h"),Table6[],4,FALSE)</f>
        <v>2.4651428290775845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VLOOKUP(TEXT(A1134,"yy-mm")&amp;"-"&amp;IF(AND(WEEKDAY(A1134)&gt;1,WEEKDAY(A1134)&lt;7),"Wkd",TEXT(A1134,"Ddd"))&amp;"-"&amp;TEXT(A1134,"hh"),LoadTable[],5,FALSE)*0.92</f>
        <v>295.12680000000006</v>
      </c>
      <c r="U1134" s="104">
        <f>VLOOKUP(TEXT(A1134,"yy-mm")&amp;"-"&amp;IF(AND(WEEKDAY(A1134)&gt;1,WEEKDAY(A1134)&lt;7),"Wkd",TEXT(A1134,"Ddd"))&amp;"-"&amp;TEXT(A1134,"hh"),LoadTable[],6,FALSE)*T1134</f>
        <v>16610.326557600001</v>
      </c>
      <c r="V1134">
        <f t="shared" ref="V1134:W1134" si="1196">V1110</f>
        <v>2.7</v>
      </c>
      <c r="W1134">
        <f t="shared" si="1196"/>
        <v>3.2</v>
      </c>
      <c r="X1134" s="9">
        <v>-27.427077916666502</v>
      </c>
    </row>
    <row r="1135" spans="1:24">
      <c r="A1135" s="29">
        <f t="shared" si="1150"/>
        <v>45883.166666663921</v>
      </c>
      <c r="B1135" s="30">
        <f t="shared" si="1174"/>
        <v>5000</v>
      </c>
      <c r="C1135" s="8">
        <v>25000</v>
      </c>
      <c r="D1135" s="8">
        <v>0</v>
      </c>
      <c r="E1135" s="8">
        <v>700</v>
      </c>
      <c r="F1135" s="8">
        <v>15000</v>
      </c>
      <c r="G1135" s="30">
        <f t="shared" si="1175"/>
        <v>2400</v>
      </c>
      <c r="H1135" s="8">
        <v>25000</v>
      </c>
      <c r="I1135" s="30">
        <f t="shared" si="1176"/>
        <v>5000</v>
      </c>
      <c r="J1135" s="8">
        <v>25000</v>
      </c>
      <c r="K1135" s="30">
        <f t="shared" si="1177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14.4</v>
      </c>
      <c r="O1135" s="9">
        <v>13.5</v>
      </c>
      <c r="P1135" s="9">
        <v>19.5</v>
      </c>
      <c r="Q1135" s="79">
        <f>VLOOKUP(VLOOKUP(DATEVALUE(TEXT(A1135,"m/d/yyyy")),FY24_Temp[],5,FALSE)&amp;TEXT(A1135,"-h"),Table6[],4,FALSE)</f>
        <v>2.3014285564422607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VLOOKUP(TEXT(A1135,"yy-mm")&amp;"-"&amp;IF(AND(WEEKDAY(A1135)&gt;1,WEEKDAY(A1135)&lt;7),"Wkd",TEXT(A1135,"Ddd"))&amp;"-"&amp;TEXT(A1135,"hh"),LoadTable[],5,FALSE)*0.92</f>
        <v>295.12680000000006</v>
      </c>
      <c r="U1135" s="104">
        <f>VLOOKUP(TEXT(A1135,"yy-mm")&amp;"-"&amp;IF(AND(WEEKDAY(A1135)&gt;1,WEEKDAY(A1135)&lt;7),"Wkd",TEXT(A1135,"Ddd"))&amp;"-"&amp;TEXT(A1135,"hh"),LoadTable[],6,FALSE)*T1135</f>
        <v>16544.513281200001</v>
      </c>
      <c r="V1135">
        <f t="shared" ref="V1135:W1135" si="1197">V1111</f>
        <v>3</v>
      </c>
      <c r="W1135">
        <f t="shared" si="1197"/>
        <v>3.1</v>
      </c>
      <c r="X1135" s="9">
        <v>-27.504872466666502</v>
      </c>
    </row>
    <row r="1136" spans="1:24">
      <c r="A1136" s="29">
        <f t="shared" si="1150"/>
        <v>45883.208333330585</v>
      </c>
      <c r="B1136" s="30">
        <f t="shared" si="1174"/>
        <v>5000</v>
      </c>
      <c r="C1136" s="8">
        <v>25000</v>
      </c>
      <c r="D1136" s="8">
        <v>0</v>
      </c>
      <c r="E1136" s="8">
        <v>700</v>
      </c>
      <c r="F1136" s="8">
        <v>15000</v>
      </c>
      <c r="G1136" s="30">
        <f t="shared" si="1175"/>
        <v>2400</v>
      </c>
      <c r="H1136" s="8">
        <v>25000</v>
      </c>
      <c r="I1136" s="30">
        <f t="shared" si="1176"/>
        <v>5000</v>
      </c>
      <c r="J1136" s="8">
        <v>25000</v>
      </c>
      <c r="K1136" s="30">
        <f t="shared" si="1177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14.4</v>
      </c>
      <c r="O1136" s="9">
        <v>13.5</v>
      </c>
      <c r="P1136" s="9">
        <v>19.5</v>
      </c>
      <c r="Q1136" s="79">
        <f>VLOOKUP(VLOOKUP(DATEVALUE(TEXT(A1136,"m/d/yyyy")),FY24_Temp[],5,FALSE)&amp;TEXT(A1136,"-h"),Table6[],4,FALSE)</f>
        <v>2.1431428364345004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VLOOKUP(TEXT(A1136,"yy-mm")&amp;"-"&amp;IF(AND(WEEKDAY(A1136)&gt;1,WEEKDAY(A1136)&lt;7),"Wkd",TEXT(A1136,"Ddd"))&amp;"-"&amp;TEXT(A1136,"hh"),LoadTable[],5,FALSE)*0.92</f>
        <v>295.12680000000006</v>
      </c>
      <c r="U1136" s="104">
        <f>VLOOKUP(TEXT(A1136,"yy-mm")&amp;"-"&amp;IF(AND(WEEKDAY(A1136)&gt;1,WEEKDAY(A1136)&lt;7),"Wkd",TEXT(A1136,"Ddd"))&amp;"-"&amp;TEXT(A1136,"hh"),LoadTable[],6,FALSE)*T1136</f>
        <v>17128.569218400004</v>
      </c>
      <c r="V1136">
        <f t="shared" ref="V1136:W1136" si="1198">V1112</f>
        <v>2.9</v>
      </c>
      <c r="W1136">
        <f t="shared" si="1198"/>
        <v>3.1</v>
      </c>
      <c r="X1136" s="9">
        <v>-27.582667016666498</v>
      </c>
    </row>
    <row r="1137" spans="1:24">
      <c r="A1137" s="29">
        <f t="shared" si="1150"/>
        <v>45883.24999999725</v>
      </c>
      <c r="B1137" s="30">
        <f t="shared" si="1174"/>
        <v>8000</v>
      </c>
      <c r="C1137" s="8">
        <v>25000</v>
      </c>
      <c r="D1137" s="8">
        <v>0</v>
      </c>
      <c r="E1137" s="8">
        <v>700</v>
      </c>
      <c r="F1137" s="8">
        <v>15000</v>
      </c>
      <c r="G1137" s="30">
        <f t="shared" si="1175"/>
        <v>2400</v>
      </c>
      <c r="H1137" s="8">
        <v>25000</v>
      </c>
      <c r="I1137" s="30">
        <f t="shared" si="1176"/>
        <v>8000</v>
      </c>
      <c r="J1137" s="8">
        <v>25000</v>
      </c>
      <c r="K1137" s="30">
        <f t="shared" si="1177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14.4</v>
      </c>
      <c r="O1137" s="9">
        <v>13.5</v>
      </c>
      <c r="P1137" s="9">
        <v>19.5</v>
      </c>
      <c r="Q1137" s="79">
        <f>VLOOKUP(VLOOKUP(DATEVALUE(TEXT(A1137,"m/d/yyyy")),FY24_Temp[],5,FALSE)&amp;TEXT(A1137,"-h"),Table6[],4,FALSE)</f>
        <v>2.0285714013235912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VLOOKUP(TEXT(A1137,"yy-mm")&amp;"-"&amp;IF(AND(WEEKDAY(A1137)&gt;1,WEEKDAY(A1137)&lt;7),"Wkd",TEXT(A1137,"Ddd"))&amp;"-"&amp;TEXT(A1137,"hh"),LoadTable[],5,FALSE)*0.92</f>
        <v>295.12680000000006</v>
      </c>
      <c r="U1137" s="104">
        <f>VLOOKUP(TEXT(A1137,"yy-mm")&amp;"-"&amp;IF(AND(WEEKDAY(A1137)&gt;1,WEEKDAY(A1137)&lt;7),"Wkd",TEXT(A1137,"Ddd"))&amp;"-"&amp;TEXT(A1137,"hh"),LoadTable[],6,FALSE)*T1137</f>
        <v>20766.892408800006</v>
      </c>
      <c r="V1137">
        <f t="shared" ref="V1137:W1137" si="1199">V1113</f>
        <v>2.5</v>
      </c>
      <c r="W1137">
        <f t="shared" si="1199"/>
        <v>3.1</v>
      </c>
      <c r="X1137" s="9">
        <v>-27.660461566666498</v>
      </c>
    </row>
    <row r="1138" spans="1:24">
      <c r="A1138" s="29">
        <f t="shared" si="1150"/>
        <v>45883.291666663914</v>
      </c>
      <c r="B1138" s="30">
        <f t="shared" si="1174"/>
        <v>8000</v>
      </c>
      <c r="C1138" s="8">
        <v>25000</v>
      </c>
      <c r="D1138" s="8">
        <v>0</v>
      </c>
      <c r="E1138" s="8">
        <v>700</v>
      </c>
      <c r="F1138" s="8">
        <v>15000</v>
      </c>
      <c r="G1138" s="30">
        <f t="shared" si="1175"/>
        <v>2400</v>
      </c>
      <c r="H1138" s="8">
        <v>25000</v>
      </c>
      <c r="I1138" s="30">
        <f t="shared" si="1176"/>
        <v>8000</v>
      </c>
      <c r="J1138" s="8">
        <v>25000</v>
      </c>
      <c r="K1138" s="30">
        <f t="shared" si="1177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14.4</v>
      </c>
      <c r="O1138" s="9">
        <v>13.5</v>
      </c>
      <c r="P1138" s="9">
        <v>19.5</v>
      </c>
      <c r="Q1138" s="79">
        <f>VLOOKUP(VLOOKUP(DATEVALUE(TEXT(A1138,"m/d/yyyy")),FY24_Temp[],5,FALSE)&amp;TEXT(A1138,"-h"),Table6[],4,FALSE)</f>
        <v>1.9455714055470057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VLOOKUP(TEXT(A1138,"yy-mm")&amp;"-"&amp;IF(AND(WEEKDAY(A1138)&gt;1,WEEKDAY(A1138)&lt;7),"Wkd",TEXT(A1138,"Ddd"))&amp;"-"&amp;TEXT(A1138,"hh"),LoadTable[],5,FALSE)*0.92</f>
        <v>295.12680000000006</v>
      </c>
      <c r="U1138" s="104">
        <f>VLOOKUP(TEXT(A1138,"yy-mm")&amp;"-"&amp;IF(AND(WEEKDAY(A1138)&gt;1,WEEKDAY(A1138)&lt;7),"Wkd",TEXT(A1138,"Ddd"))&amp;"-"&amp;TEXT(A1138,"hh"),LoadTable[],6,FALSE)*T1138</f>
        <v>19169.666167200001</v>
      </c>
      <c r="V1138">
        <f t="shared" ref="V1138:W1138" si="1200">V1114</f>
        <v>2.5</v>
      </c>
      <c r="W1138">
        <f t="shared" si="1200"/>
        <v>3.1</v>
      </c>
      <c r="X1138" s="9">
        <v>-27.738256116666498</v>
      </c>
    </row>
    <row r="1139" spans="1:24">
      <c r="A1139" s="29">
        <f t="shared" si="1150"/>
        <v>45883.333333330578</v>
      </c>
      <c r="B1139" s="30">
        <f t="shared" si="1174"/>
        <v>8000</v>
      </c>
      <c r="C1139" s="8">
        <v>25000</v>
      </c>
      <c r="D1139" s="8">
        <v>0</v>
      </c>
      <c r="E1139" s="8">
        <v>700</v>
      </c>
      <c r="F1139" s="8">
        <v>15000</v>
      </c>
      <c r="G1139" s="30">
        <f t="shared" si="1175"/>
        <v>2400</v>
      </c>
      <c r="H1139" s="8">
        <v>25000</v>
      </c>
      <c r="I1139" s="30">
        <f t="shared" si="1176"/>
        <v>8000</v>
      </c>
      <c r="J1139" s="8">
        <v>25000</v>
      </c>
      <c r="K1139" s="30">
        <f t="shared" si="1177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14.4</v>
      </c>
      <c r="O1139" s="9">
        <v>13.5</v>
      </c>
      <c r="P1139" s="9">
        <v>19.5</v>
      </c>
      <c r="Q1139" s="79">
        <f>VLOOKUP(VLOOKUP(DATEVALUE(TEXT(A1139,"m/d/yyyy")),FY24_Temp[],5,FALSE)&amp;TEXT(A1139,"-h"),Table6[],4,FALSE)</f>
        <v>1.8411428587777274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VLOOKUP(TEXT(A1139,"yy-mm")&amp;"-"&amp;IF(AND(WEEKDAY(A1139)&gt;1,WEEKDAY(A1139)&lt;7),"Wkd",TEXT(A1139,"Ddd"))&amp;"-"&amp;TEXT(A1139,"hh"),LoadTable[],5,FALSE)*0.92</f>
        <v>295.12680000000006</v>
      </c>
      <c r="U1139" s="104">
        <f>VLOOKUP(TEXT(A1139,"yy-mm")&amp;"-"&amp;IF(AND(WEEKDAY(A1139)&gt;1,WEEKDAY(A1139)&lt;7),"Wkd",TEXT(A1139,"Ddd"))&amp;"-"&amp;TEXT(A1139,"hh"),LoadTable[],6,FALSE)*T1139</f>
        <v>15860.999612400004</v>
      </c>
      <c r="V1139">
        <f t="shared" ref="V1139:W1139" si="1201">V1115</f>
        <v>3.2</v>
      </c>
      <c r="W1139">
        <f t="shared" si="1201"/>
        <v>3</v>
      </c>
      <c r="X1139" s="9">
        <v>-27.816050666666499</v>
      </c>
    </row>
    <row r="1140" spans="1:24">
      <c r="A1140" s="29">
        <f t="shared" si="1150"/>
        <v>45883.374999997242</v>
      </c>
      <c r="B1140" s="30">
        <f t="shared" si="1174"/>
        <v>8000</v>
      </c>
      <c r="C1140" s="8">
        <v>25000</v>
      </c>
      <c r="D1140" s="8">
        <v>0</v>
      </c>
      <c r="E1140" s="8">
        <v>700</v>
      </c>
      <c r="F1140" s="8">
        <v>15000</v>
      </c>
      <c r="G1140" s="30">
        <f t="shared" si="1175"/>
        <v>2400</v>
      </c>
      <c r="H1140" s="8">
        <v>25000</v>
      </c>
      <c r="I1140" s="30">
        <f t="shared" si="1176"/>
        <v>8000</v>
      </c>
      <c r="J1140" s="8">
        <v>25000</v>
      </c>
      <c r="K1140" s="30">
        <f t="shared" si="1177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14.4</v>
      </c>
      <c r="O1140" s="9">
        <v>13.5</v>
      </c>
      <c r="P1140" s="9">
        <v>19.5</v>
      </c>
      <c r="Q1140" s="79">
        <f>VLOOKUP(VLOOKUP(DATEVALUE(TEXT(A1140,"m/d/yyyy")),FY24_Temp[],5,FALSE)&amp;TEXT(A1140,"-h"),Table6[],4,FALSE)</f>
        <v>1.7424285582133703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VLOOKUP(TEXT(A1140,"yy-mm")&amp;"-"&amp;IF(AND(WEEKDAY(A1140)&gt;1,WEEKDAY(A1140)&lt;7),"Wkd",TEXT(A1140,"Ddd"))&amp;"-"&amp;TEXT(A1140,"hh"),LoadTable[],5,FALSE)*0.92</f>
        <v>295.12680000000006</v>
      </c>
      <c r="U1140" s="104">
        <f>VLOOKUP(TEXT(A1140,"yy-mm")&amp;"-"&amp;IF(AND(WEEKDAY(A1140)&gt;1,WEEKDAY(A1140)&lt;7),"Wkd",TEXT(A1140,"Ddd"))&amp;"-"&amp;TEXT(A1140,"hh"),LoadTable[],6,FALSE)*T1140</f>
        <v>15713.436212400004</v>
      </c>
      <c r="V1140">
        <f t="shared" ref="V1140:W1140" si="1202">V1116</f>
        <v>2.9</v>
      </c>
      <c r="W1140">
        <f t="shared" si="1202"/>
        <v>3</v>
      </c>
      <c r="X1140" s="9">
        <v>-27.893845216666499</v>
      </c>
    </row>
    <row r="1141" spans="1:24">
      <c r="A1141" s="29">
        <f t="shared" si="1150"/>
        <v>45883.416666663907</v>
      </c>
      <c r="B1141" s="30">
        <f t="shared" si="1174"/>
        <v>8000</v>
      </c>
      <c r="C1141" s="8">
        <v>25000</v>
      </c>
      <c r="D1141" s="8">
        <v>0</v>
      </c>
      <c r="E1141" s="8">
        <v>700</v>
      </c>
      <c r="F1141" s="8">
        <v>15000</v>
      </c>
      <c r="G1141" s="30">
        <f t="shared" si="1175"/>
        <v>2400</v>
      </c>
      <c r="H1141" s="8">
        <v>25000</v>
      </c>
      <c r="I1141" s="30">
        <f t="shared" si="1176"/>
        <v>8000</v>
      </c>
      <c r="J1141" s="8">
        <v>25000</v>
      </c>
      <c r="K1141" s="30">
        <f t="shared" si="1177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14.4</v>
      </c>
      <c r="O1141" s="9">
        <v>13.5</v>
      </c>
      <c r="P1141" s="9">
        <v>19.5</v>
      </c>
      <c r="Q1141" s="79">
        <f>VLOOKUP(VLOOKUP(DATEVALUE(TEXT(A1141,"m/d/yyyy")),FY24_Temp[],5,FALSE)&amp;TEXT(A1141,"-h"),Table6[],4,FALSE)</f>
        <v>1.6560000010899134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VLOOKUP(TEXT(A1141,"yy-mm")&amp;"-"&amp;IF(AND(WEEKDAY(A1141)&gt;1,WEEKDAY(A1141)&lt;7),"Wkd",TEXT(A1141,"Ddd"))&amp;"-"&amp;TEXT(A1141,"hh"),LoadTable[],5,FALSE)*0.92</f>
        <v>295.12680000000006</v>
      </c>
      <c r="U1141" s="104">
        <f>VLOOKUP(TEXT(A1141,"yy-mm")&amp;"-"&amp;IF(AND(WEEKDAY(A1141)&gt;1,WEEKDAY(A1141)&lt;7),"Wkd",TEXT(A1141,"Ddd"))&amp;"-"&amp;TEXT(A1141,"hh"),LoadTable[],6,FALSE)*T1141</f>
        <v>14369.723892000002</v>
      </c>
      <c r="V1141">
        <f t="shared" ref="V1141:W1141" si="1203">V1117</f>
        <v>2.9</v>
      </c>
      <c r="W1141">
        <f t="shared" si="1203"/>
        <v>3</v>
      </c>
      <c r="X1141" s="9">
        <v>-27.971639766666499</v>
      </c>
    </row>
    <row r="1142" spans="1:24">
      <c r="A1142" s="29">
        <f t="shared" si="1150"/>
        <v>45883.458333330571</v>
      </c>
      <c r="B1142" s="30">
        <f t="shared" si="1174"/>
        <v>8000</v>
      </c>
      <c r="C1142" s="8">
        <v>25000</v>
      </c>
      <c r="D1142" s="8">
        <v>0</v>
      </c>
      <c r="E1142" s="8">
        <v>700</v>
      </c>
      <c r="F1142" s="8">
        <v>15000</v>
      </c>
      <c r="G1142" s="30">
        <f t="shared" si="1175"/>
        <v>2400</v>
      </c>
      <c r="H1142" s="8">
        <v>25000</v>
      </c>
      <c r="I1142" s="30">
        <f t="shared" si="1176"/>
        <v>8000</v>
      </c>
      <c r="J1142" s="8">
        <v>25000</v>
      </c>
      <c r="K1142" s="30">
        <f t="shared" si="1177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14.4</v>
      </c>
      <c r="O1142" s="9">
        <v>13.5</v>
      </c>
      <c r="P1142" s="9">
        <v>19.5</v>
      </c>
      <c r="Q1142" s="79">
        <f>VLOOKUP(VLOOKUP(DATEVALUE(TEXT(A1142,"m/d/yyyy")),FY24_Temp[],5,FALSE)&amp;TEXT(A1142,"-h"),Table6[],4,FALSE)</f>
        <v>1.5444285869598389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VLOOKUP(TEXT(A1142,"yy-mm")&amp;"-"&amp;IF(AND(WEEKDAY(A1142)&gt;1,WEEKDAY(A1142)&lt;7),"Wkd",TEXT(A1142,"Ddd"))&amp;"-"&amp;TEXT(A1142,"hh"),LoadTable[],5,FALSE)*0.92</f>
        <v>295.12680000000006</v>
      </c>
      <c r="U1142" s="104">
        <f>VLOOKUP(TEXT(A1142,"yy-mm")&amp;"-"&amp;IF(AND(WEEKDAY(A1142)&gt;1,WEEKDAY(A1142)&lt;7),"Wkd",TEXT(A1142,"Ddd"))&amp;"-"&amp;TEXT(A1142,"hh"),LoadTable[],6,FALSE)*T1142</f>
        <v>14137.459100400003</v>
      </c>
      <c r="V1142">
        <f t="shared" ref="V1142:W1142" si="1204">V1118</f>
        <v>3.4</v>
      </c>
      <c r="W1142">
        <f t="shared" si="1204"/>
        <v>3</v>
      </c>
      <c r="X1142" s="9">
        <v>-28.049434316666499</v>
      </c>
    </row>
    <row r="1143" spans="1:24">
      <c r="A1143" s="29">
        <f t="shared" si="1150"/>
        <v>45883.499999997235</v>
      </c>
      <c r="B1143" s="30">
        <f t="shared" si="1174"/>
        <v>8000</v>
      </c>
      <c r="C1143" s="8">
        <v>25000</v>
      </c>
      <c r="D1143" s="8">
        <v>0</v>
      </c>
      <c r="E1143" s="8">
        <v>700</v>
      </c>
      <c r="F1143" s="8">
        <v>15000</v>
      </c>
      <c r="G1143" s="30">
        <f t="shared" si="1175"/>
        <v>2400</v>
      </c>
      <c r="H1143" s="8">
        <v>25000</v>
      </c>
      <c r="I1143" s="30">
        <f t="shared" si="1176"/>
        <v>8000</v>
      </c>
      <c r="J1143" s="8">
        <v>25000</v>
      </c>
      <c r="K1143" s="30">
        <f t="shared" si="1177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14.4</v>
      </c>
      <c r="O1143" s="9">
        <v>13.5</v>
      </c>
      <c r="P1143" s="9">
        <v>19.5</v>
      </c>
      <c r="Q1143" s="79">
        <f>VLOOKUP(VLOOKUP(DATEVALUE(TEXT(A1143,"m/d/yyyy")),FY24_Temp[],5,FALSE)&amp;TEXT(A1143,"-h"),Table6[],4,FALSE)</f>
        <v>1.4021428823471069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VLOOKUP(TEXT(A1143,"yy-mm")&amp;"-"&amp;IF(AND(WEEKDAY(A1143)&gt;1,WEEKDAY(A1143)&lt;7),"Wkd",TEXT(A1143,"Ddd"))&amp;"-"&amp;TEXT(A1143,"hh"),LoadTable[],5,FALSE)*0.92</f>
        <v>295.12680000000006</v>
      </c>
      <c r="U1143" s="104">
        <f>VLOOKUP(TEXT(A1143,"yy-mm")&amp;"-"&amp;IF(AND(WEEKDAY(A1143)&gt;1,WEEKDAY(A1143)&lt;7),"Wkd",TEXT(A1143,"Ddd"))&amp;"-"&amp;TEXT(A1143,"hh"),LoadTable[],6,FALSE)*T1143</f>
        <v>14242.819368000002</v>
      </c>
      <c r="V1143">
        <f t="shared" ref="V1143:W1143" si="1205">V1119</f>
        <v>3.1</v>
      </c>
      <c r="W1143">
        <f t="shared" si="1205"/>
        <v>2.9</v>
      </c>
      <c r="X1143" s="9">
        <v>-28.127228866666499</v>
      </c>
    </row>
    <row r="1144" spans="1:24">
      <c r="A1144" s="29">
        <f t="shared" si="1150"/>
        <v>45883.541666663899</v>
      </c>
      <c r="B1144" s="30">
        <f t="shared" si="1174"/>
        <v>8000</v>
      </c>
      <c r="C1144" s="8">
        <v>25000</v>
      </c>
      <c r="D1144" s="8">
        <v>0</v>
      </c>
      <c r="E1144" s="8">
        <v>700</v>
      </c>
      <c r="F1144" s="8">
        <v>15000</v>
      </c>
      <c r="G1144" s="30">
        <f t="shared" si="1175"/>
        <v>2400</v>
      </c>
      <c r="H1144" s="8">
        <v>25000</v>
      </c>
      <c r="I1144" s="30">
        <f t="shared" si="1176"/>
        <v>8000</v>
      </c>
      <c r="J1144" s="8">
        <v>25000</v>
      </c>
      <c r="K1144" s="30">
        <f t="shared" si="1177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14.4</v>
      </c>
      <c r="O1144" s="9">
        <v>13.5</v>
      </c>
      <c r="P1144" s="9">
        <v>19.5</v>
      </c>
      <c r="Q1144" s="79">
        <f>VLOOKUP(VLOOKUP(DATEVALUE(TEXT(A1144,"m/d/yyyy")),FY24_Temp[],5,FALSE)&amp;TEXT(A1144,"-h"),Table6[],4,FALSE)</f>
        <v>1.2278571299144201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VLOOKUP(TEXT(A1144,"yy-mm")&amp;"-"&amp;IF(AND(WEEKDAY(A1144)&gt;1,WEEKDAY(A1144)&lt;7),"Wkd",TEXT(A1144,"Ddd"))&amp;"-"&amp;TEXT(A1144,"hh"),LoadTable[],5,FALSE)*0.92</f>
        <v>295.12680000000006</v>
      </c>
      <c r="U1144" s="104">
        <f>VLOOKUP(TEXT(A1144,"yy-mm")&amp;"-"&amp;IF(AND(WEEKDAY(A1144)&gt;1,WEEKDAY(A1144)&lt;7),"Wkd",TEXT(A1144,"Ddd"))&amp;"-"&amp;TEXT(A1144,"hh"),LoadTable[],6,FALSE)*T1144</f>
        <v>16280.669922000003</v>
      </c>
      <c r="V1144">
        <f t="shared" ref="V1144:W1144" si="1206">V1120</f>
        <v>3.2</v>
      </c>
      <c r="W1144">
        <f t="shared" si="1206"/>
        <v>2.9</v>
      </c>
      <c r="X1144" s="9">
        <v>-28.205023416666499</v>
      </c>
    </row>
    <row r="1145" spans="1:24">
      <c r="A1145" s="29">
        <f t="shared" si="1150"/>
        <v>45883.583333330564</v>
      </c>
      <c r="B1145" s="30">
        <f t="shared" si="1174"/>
        <v>8000</v>
      </c>
      <c r="C1145" s="8">
        <v>25000</v>
      </c>
      <c r="D1145" s="8">
        <v>0</v>
      </c>
      <c r="E1145" s="8">
        <v>700</v>
      </c>
      <c r="F1145" s="8">
        <v>15000</v>
      </c>
      <c r="G1145" s="30">
        <f t="shared" si="1175"/>
        <v>2400</v>
      </c>
      <c r="H1145" s="8">
        <v>25000</v>
      </c>
      <c r="I1145" s="30">
        <f t="shared" si="1176"/>
        <v>8000</v>
      </c>
      <c r="J1145" s="8">
        <v>25000</v>
      </c>
      <c r="K1145" s="30">
        <f t="shared" si="1177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14.4</v>
      </c>
      <c r="O1145" s="9">
        <v>13.5</v>
      </c>
      <c r="P1145" s="9">
        <v>19.5</v>
      </c>
      <c r="Q1145" s="79">
        <f>VLOOKUP(VLOOKUP(DATEVALUE(TEXT(A1145,"m/d/yyyy")),FY24_Temp[],5,FALSE)&amp;TEXT(A1145,"-h"),Table6[],4,FALSE)</f>
        <v>1.0399999959128243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VLOOKUP(TEXT(A1145,"yy-mm")&amp;"-"&amp;IF(AND(WEEKDAY(A1145)&gt;1,WEEKDAY(A1145)&lt;7),"Wkd",TEXT(A1145,"Ddd"))&amp;"-"&amp;TEXT(A1145,"hh"),LoadTable[],5,FALSE)*0.92</f>
        <v>402.08416</v>
      </c>
      <c r="U1145" s="104">
        <f>VLOOKUP(TEXT(A1145,"yy-mm")&amp;"-"&amp;IF(AND(WEEKDAY(A1145)&gt;1,WEEKDAY(A1145)&lt;7),"Wkd",TEXT(A1145,"Ddd"))&amp;"-"&amp;TEXT(A1145,"hh"),LoadTable[],6,FALSE)*T1145</f>
        <v>27023.674309440001</v>
      </c>
      <c r="V1145">
        <f t="shared" ref="V1145:W1145" si="1207">V1121</f>
        <v>3.5</v>
      </c>
      <c r="W1145">
        <f t="shared" si="1207"/>
        <v>2.9</v>
      </c>
      <c r="X1145" s="9">
        <v>-28.282817966666499</v>
      </c>
    </row>
    <row r="1146" spans="1:24">
      <c r="A1146" s="29">
        <f t="shared" si="1150"/>
        <v>45883.624999997228</v>
      </c>
      <c r="B1146" s="30">
        <f t="shared" si="1174"/>
        <v>8000</v>
      </c>
      <c r="C1146" s="8">
        <v>25000</v>
      </c>
      <c r="D1146" s="8">
        <v>0</v>
      </c>
      <c r="E1146" s="8">
        <v>700</v>
      </c>
      <c r="F1146" s="8">
        <v>15000</v>
      </c>
      <c r="G1146" s="30">
        <f t="shared" si="1175"/>
        <v>2400</v>
      </c>
      <c r="H1146" s="8">
        <v>25000</v>
      </c>
      <c r="I1146" s="30">
        <f t="shared" si="1176"/>
        <v>8000</v>
      </c>
      <c r="J1146" s="8">
        <v>25000</v>
      </c>
      <c r="K1146" s="30">
        <f t="shared" si="1177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14.4</v>
      </c>
      <c r="O1146" s="9">
        <v>13.5</v>
      </c>
      <c r="P1146" s="9">
        <v>19.5</v>
      </c>
      <c r="Q1146" s="79">
        <f>VLOOKUP(VLOOKUP(DATEVALUE(TEXT(A1146,"m/d/yyyy")),FY24_Temp[],5,FALSE)&amp;TEXT(A1146,"-h"),Table6[],4,FALSE)</f>
        <v>0.86785714115415302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VLOOKUP(TEXT(A1146,"yy-mm")&amp;"-"&amp;IF(AND(WEEKDAY(A1146)&gt;1,WEEKDAY(A1146)&lt;7),"Wkd",TEXT(A1146,"Ddd"))&amp;"-"&amp;TEXT(A1146,"hh"),LoadTable[],5,FALSE)*0.92</f>
        <v>521.92427999999995</v>
      </c>
      <c r="U1146" s="104">
        <f>VLOOKUP(TEXT(A1146,"yy-mm")&amp;"-"&amp;IF(AND(WEEKDAY(A1146)&gt;1,WEEKDAY(A1146)&lt;7),"Wkd",TEXT(A1146,"Ddd"))&amp;"-"&amp;TEXT(A1146,"hh"),LoadTable[],6,FALSE)*T1146</f>
        <v>38276.36092236</v>
      </c>
      <c r="V1146">
        <f t="shared" ref="V1146:W1146" si="1208">V1122</f>
        <v>3.2</v>
      </c>
      <c r="W1146">
        <f t="shared" si="1208"/>
        <v>2.9</v>
      </c>
      <c r="X1146" s="9">
        <v>-28.3606125166665</v>
      </c>
    </row>
    <row r="1147" spans="1:24">
      <c r="A1147" s="29">
        <f t="shared" si="1150"/>
        <v>45883.666666663892</v>
      </c>
      <c r="B1147" s="30">
        <f t="shared" si="1174"/>
        <v>8000</v>
      </c>
      <c r="C1147" s="8">
        <v>25000</v>
      </c>
      <c r="D1147" s="8">
        <v>0</v>
      </c>
      <c r="E1147" s="8">
        <v>700</v>
      </c>
      <c r="F1147" s="8">
        <v>15000</v>
      </c>
      <c r="G1147" s="30">
        <f t="shared" si="1175"/>
        <v>2400</v>
      </c>
      <c r="H1147" s="8">
        <v>25000</v>
      </c>
      <c r="I1147" s="30">
        <f t="shared" si="1176"/>
        <v>8000</v>
      </c>
      <c r="J1147" s="8">
        <v>25000</v>
      </c>
      <c r="K1147" s="30">
        <f t="shared" si="1177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14.4</v>
      </c>
      <c r="O1147" s="9">
        <v>13.5</v>
      </c>
      <c r="P1147" s="9">
        <v>19.5</v>
      </c>
      <c r="Q1147" s="79">
        <f>VLOOKUP(VLOOKUP(DATEVALUE(TEXT(A1147,"m/d/yyyy")),FY24_Temp[],5,FALSE)&amp;TEXT(A1147,"-h"),Table6[],4,FALSE)</f>
        <v>0.77942857572010582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VLOOKUP(TEXT(A1147,"yy-mm")&amp;"-"&amp;IF(AND(WEEKDAY(A1147)&gt;1,WEEKDAY(A1147)&lt;7),"Wkd",TEXT(A1147,"Ddd"))&amp;"-"&amp;TEXT(A1147,"hh"),LoadTable[],5,FALSE)*0.92</f>
        <v>521.92427999999995</v>
      </c>
      <c r="U1147" s="104">
        <f>VLOOKUP(TEXT(A1147,"yy-mm")&amp;"-"&amp;IF(AND(WEEKDAY(A1147)&gt;1,WEEKDAY(A1147)&lt;7),"Wkd",TEXT(A1147,"Ddd"))&amp;"-"&amp;TEXT(A1147,"hh"),LoadTable[],6,FALSE)*T1147</f>
        <v>45879.753833399998</v>
      </c>
      <c r="V1147">
        <f t="shared" ref="V1147:W1147" si="1209">V1123</f>
        <v>3.5</v>
      </c>
      <c r="W1147">
        <f t="shared" si="1209"/>
        <v>3</v>
      </c>
      <c r="X1147" s="9">
        <v>-28.4384070666665</v>
      </c>
    </row>
    <row r="1148" spans="1:24">
      <c r="A1148" s="29">
        <f t="shared" si="1150"/>
        <v>45883.708333330556</v>
      </c>
      <c r="B1148" s="30">
        <f t="shared" si="1174"/>
        <v>8000</v>
      </c>
      <c r="C1148" s="8">
        <v>25000</v>
      </c>
      <c r="D1148" s="8">
        <v>0</v>
      </c>
      <c r="E1148" s="8">
        <v>700</v>
      </c>
      <c r="F1148" s="8">
        <v>15000</v>
      </c>
      <c r="G1148" s="30">
        <f t="shared" si="1175"/>
        <v>2400</v>
      </c>
      <c r="H1148" s="8">
        <v>25000</v>
      </c>
      <c r="I1148" s="30">
        <f t="shared" si="1176"/>
        <v>8000</v>
      </c>
      <c r="J1148" s="8">
        <v>25000</v>
      </c>
      <c r="K1148" s="30">
        <f t="shared" si="1177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14.4</v>
      </c>
      <c r="O1148" s="9">
        <v>13.5</v>
      </c>
      <c r="P1148" s="9">
        <v>19.5</v>
      </c>
      <c r="Q1148" s="79">
        <f>VLOOKUP(VLOOKUP(DATEVALUE(TEXT(A1148,"m/d/yyyy")),FY24_Temp[],5,FALSE)&amp;TEXT(A1148,"-h"),Table6[],4,FALSE)</f>
        <v>0.93557143211364746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VLOOKUP(TEXT(A1148,"yy-mm")&amp;"-"&amp;IF(AND(WEEKDAY(A1148)&gt;1,WEEKDAY(A1148)&lt;7),"Wkd",TEXT(A1148,"Ddd"))&amp;"-"&amp;TEXT(A1148,"hh"),LoadTable[],5,FALSE)*0.92</f>
        <v>521.92427999999995</v>
      </c>
      <c r="U1148" s="104">
        <f>VLOOKUP(TEXT(A1148,"yy-mm")&amp;"-"&amp;IF(AND(WEEKDAY(A1148)&gt;1,WEEKDAY(A1148)&lt;7),"Wkd",TEXT(A1148,"Ddd"))&amp;"-"&amp;TEXT(A1148,"hh"),LoadTable[],6,FALSE)*T1148</f>
        <v>57850.609119479988</v>
      </c>
      <c r="V1148">
        <f t="shared" ref="V1148:W1148" si="1210">V1124</f>
        <v>3.6</v>
      </c>
      <c r="W1148">
        <f t="shared" si="1210"/>
        <v>3</v>
      </c>
      <c r="X1148" s="9">
        <v>-28.5162016166665</v>
      </c>
    </row>
    <row r="1149" spans="1:24">
      <c r="A1149" s="29">
        <f t="shared" si="1150"/>
        <v>45883.749999997221</v>
      </c>
      <c r="B1149" s="30">
        <f t="shared" si="1174"/>
        <v>5000</v>
      </c>
      <c r="C1149" s="8">
        <v>25000</v>
      </c>
      <c r="D1149" s="8">
        <v>0</v>
      </c>
      <c r="E1149" s="8">
        <v>700</v>
      </c>
      <c r="F1149" s="8">
        <v>15000</v>
      </c>
      <c r="G1149" s="30">
        <f t="shared" si="1175"/>
        <v>2400</v>
      </c>
      <c r="H1149" s="8">
        <v>25000</v>
      </c>
      <c r="I1149" s="30">
        <f t="shared" si="1176"/>
        <v>5000</v>
      </c>
      <c r="J1149" s="8">
        <v>25000</v>
      </c>
      <c r="K1149" s="30">
        <f t="shared" si="1177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14.4</v>
      </c>
      <c r="O1149" s="9">
        <v>13.5</v>
      </c>
      <c r="P1149" s="9">
        <v>19.5</v>
      </c>
      <c r="Q1149" s="79">
        <f>VLOOKUP(VLOOKUP(DATEVALUE(TEXT(A1149,"m/d/yyyy")),FY24_Temp[],5,FALSE)&amp;TEXT(A1149,"-h"),Table6[],4,FALSE)</f>
        <v>1.3035714285714286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VLOOKUP(TEXT(A1149,"yy-mm")&amp;"-"&amp;IF(AND(WEEKDAY(A1149)&gt;1,WEEKDAY(A1149)&lt;7),"Wkd",TEXT(A1149,"Ddd"))&amp;"-"&amp;TEXT(A1149,"hh"),LoadTable[],5,FALSE)*0.92</f>
        <v>521.92427999999995</v>
      </c>
      <c r="U1149" s="104">
        <f>VLOOKUP(TEXT(A1149,"yy-mm")&amp;"-"&amp;IF(AND(WEEKDAY(A1149)&gt;1,WEEKDAY(A1149)&lt;7),"Wkd",TEXT(A1149,"Ddd"))&amp;"-"&amp;TEXT(A1149,"hh"),LoadTable[],6,FALSE)*T1149</f>
        <v>71088.174633119997</v>
      </c>
      <c r="V1149">
        <f t="shared" ref="V1149:W1149" si="1211">V1125</f>
        <v>2.9</v>
      </c>
      <c r="W1149">
        <f t="shared" si="1211"/>
        <v>3</v>
      </c>
      <c r="X1149" s="9">
        <v>-28.5939961666665</v>
      </c>
    </row>
    <row r="1150" spans="1:24">
      <c r="A1150" s="29">
        <f t="shared" si="1150"/>
        <v>45883.791666663885</v>
      </c>
      <c r="B1150" s="30">
        <f t="shared" si="1174"/>
        <v>5000</v>
      </c>
      <c r="C1150" s="8">
        <v>25000</v>
      </c>
      <c r="D1150" s="8">
        <v>0</v>
      </c>
      <c r="E1150" s="8">
        <v>700</v>
      </c>
      <c r="F1150" s="8">
        <v>15000</v>
      </c>
      <c r="G1150" s="30">
        <f t="shared" si="1175"/>
        <v>2400</v>
      </c>
      <c r="H1150" s="8">
        <v>25000</v>
      </c>
      <c r="I1150" s="30">
        <f t="shared" si="1176"/>
        <v>5000</v>
      </c>
      <c r="J1150" s="8">
        <v>25000</v>
      </c>
      <c r="K1150" s="30">
        <f t="shared" si="1177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14.4</v>
      </c>
      <c r="O1150" s="9">
        <v>13.5</v>
      </c>
      <c r="P1150" s="9">
        <v>19.5</v>
      </c>
      <c r="Q1150" s="79">
        <f>VLOOKUP(VLOOKUP(DATEVALUE(TEXT(A1150,"m/d/yyyy")),FY24_Temp[],5,FALSE)&amp;TEXT(A1150,"-h"),Table6[],4,FALSE)</f>
        <v>2.0524285861424039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VLOOKUP(TEXT(A1150,"yy-mm")&amp;"-"&amp;IF(AND(WEEKDAY(A1150)&gt;1,WEEKDAY(A1150)&lt;7),"Wkd",TEXT(A1150,"Ddd"))&amp;"-"&amp;TEXT(A1150,"hh"),LoadTable[],5,FALSE)*0.92</f>
        <v>521.92427999999995</v>
      </c>
      <c r="U1150" s="104">
        <f>VLOOKUP(TEXT(A1150,"yy-mm")&amp;"-"&amp;IF(AND(WEEKDAY(A1150)&gt;1,WEEKDAY(A1150)&lt;7),"Wkd",TEXT(A1150,"Ddd"))&amp;"-"&amp;TEXT(A1150,"hh"),LoadTable[],6,FALSE)*T1150</f>
        <v>75540.188741520004</v>
      </c>
      <c r="V1150">
        <f t="shared" ref="V1150:W1150" si="1212">V1126</f>
        <v>3</v>
      </c>
      <c r="W1150">
        <f t="shared" si="1212"/>
        <v>3</v>
      </c>
      <c r="X1150" s="9">
        <v>-28.6717907166665</v>
      </c>
    </row>
    <row r="1151" spans="1:24">
      <c r="A1151" s="29">
        <f t="shared" si="1150"/>
        <v>45883.833333330549</v>
      </c>
      <c r="B1151" s="30">
        <f t="shared" si="1174"/>
        <v>5000</v>
      </c>
      <c r="C1151" s="8">
        <v>25000</v>
      </c>
      <c r="D1151" s="8">
        <v>0</v>
      </c>
      <c r="E1151" s="8">
        <v>700</v>
      </c>
      <c r="F1151" s="8">
        <v>15000</v>
      </c>
      <c r="G1151" s="30">
        <f t="shared" si="1175"/>
        <v>2400</v>
      </c>
      <c r="H1151" s="8">
        <v>25000</v>
      </c>
      <c r="I1151" s="30">
        <f t="shared" si="1176"/>
        <v>5000</v>
      </c>
      <c r="J1151" s="8">
        <v>25000</v>
      </c>
      <c r="K1151" s="30">
        <f t="shared" si="1177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14.4</v>
      </c>
      <c r="O1151" s="9">
        <v>13.5</v>
      </c>
      <c r="P1151" s="9">
        <v>19.5</v>
      </c>
      <c r="Q1151" s="79">
        <f>VLOOKUP(VLOOKUP(DATEVALUE(TEXT(A1151,"m/d/yyyy")),FY24_Temp[],5,FALSE)&amp;TEXT(A1151,"-h"),Table6[],4,FALSE)</f>
        <v>2.8517142704554965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VLOOKUP(TEXT(A1151,"yy-mm")&amp;"-"&amp;IF(AND(WEEKDAY(A1151)&gt;1,WEEKDAY(A1151)&lt;7),"Wkd",TEXT(A1151,"Ddd"))&amp;"-"&amp;TEXT(A1151,"hh"),LoadTable[],5,FALSE)*0.92</f>
        <v>521.92427999999995</v>
      </c>
      <c r="U1151" s="104">
        <f>VLOOKUP(TEXT(A1151,"yy-mm")&amp;"-"&amp;IF(AND(WEEKDAY(A1151)&gt;1,WEEKDAY(A1151)&lt;7),"Wkd",TEXT(A1151,"Ddd"))&amp;"-"&amp;TEXT(A1151,"hh"),LoadTable[],6,FALSE)*T1151</f>
        <v>69176.365995479995</v>
      </c>
      <c r="V1151">
        <f t="shared" ref="V1151:W1151" si="1213">V1127</f>
        <v>2.8</v>
      </c>
      <c r="W1151">
        <f t="shared" si="1213"/>
        <v>3.1</v>
      </c>
      <c r="X1151" s="9">
        <v>-28.7495852666665</v>
      </c>
    </row>
    <row r="1152" spans="1:24">
      <c r="A1152" s="29">
        <f t="shared" si="1150"/>
        <v>45883.874999997213</v>
      </c>
      <c r="B1152" s="30">
        <f t="shared" si="1174"/>
        <v>5000</v>
      </c>
      <c r="C1152" s="8">
        <v>25000</v>
      </c>
      <c r="D1152" s="8">
        <v>0</v>
      </c>
      <c r="E1152" s="8">
        <v>700</v>
      </c>
      <c r="F1152" s="8">
        <v>15000</v>
      </c>
      <c r="G1152" s="30">
        <f t="shared" si="1175"/>
        <v>2400</v>
      </c>
      <c r="H1152" s="8">
        <v>25000</v>
      </c>
      <c r="I1152" s="30">
        <f t="shared" si="1176"/>
        <v>5000</v>
      </c>
      <c r="J1152" s="8">
        <v>25000</v>
      </c>
      <c r="K1152" s="30">
        <f t="shared" si="1177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14.4</v>
      </c>
      <c r="O1152" s="9">
        <v>13.5</v>
      </c>
      <c r="P1152" s="9">
        <v>19.5</v>
      </c>
      <c r="Q1152" s="79">
        <f>VLOOKUP(VLOOKUP(DATEVALUE(TEXT(A1152,"m/d/yyyy")),FY24_Temp[],5,FALSE)&amp;TEXT(A1152,"-h"),Table6[],4,FALSE)</f>
        <v>3.1017143045152937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VLOOKUP(TEXT(A1152,"yy-mm")&amp;"-"&amp;IF(AND(WEEKDAY(A1152)&gt;1,WEEKDAY(A1152)&lt;7),"Wkd",TEXT(A1152,"Ddd"))&amp;"-"&amp;TEXT(A1152,"hh"),LoadTable[],5,FALSE)*0.92</f>
        <v>521.92427999999995</v>
      </c>
      <c r="U1152" s="104">
        <f>VLOOKUP(TEXT(A1152,"yy-mm")&amp;"-"&amp;IF(AND(WEEKDAY(A1152)&gt;1,WEEKDAY(A1152)&lt;7),"Wkd",TEXT(A1152,"Ddd"))&amp;"-"&amp;TEXT(A1152,"hh"),LoadTable[],6,FALSE)*T1152</f>
        <v>56417.405046599997</v>
      </c>
      <c r="V1152">
        <f t="shared" ref="V1152:W1152" si="1214">V1128</f>
        <v>3.5</v>
      </c>
      <c r="W1152">
        <f t="shared" si="1214"/>
        <v>3.1</v>
      </c>
      <c r="X1152" s="9">
        <v>-28.8273798166665</v>
      </c>
    </row>
    <row r="1153" spans="1:24">
      <c r="A1153" s="29">
        <f t="shared" si="1150"/>
        <v>45883.916666663878</v>
      </c>
      <c r="B1153" s="30">
        <f t="shared" si="1174"/>
        <v>5000</v>
      </c>
      <c r="C1153" s="8">
        <v>25000</v>
      </c>
      <c r="D1153" s="8">
        <v>0</v>
      </c>
      <c r="E1153" s="8">
        <v>700</v>
      </c>
      <c r="F1153" s="8">
        <v>15000</v>
      </c>
      <c r="G1153" s="30">
        <f t="shared" si="1175"/>
        <v>2400</v>
      </c>
      <c r="H1153" s="8">
        <v>25000</v>
      </c>
      <c r="I1153" s="30">
        <f t="shared" si="1176"/>
        <v>5000</v>
      </c>
      <c r="J1153" s="8">
        <v>25000</v>
      </c>
      <c r="K1153" s="30">
        <f t="shared" si="1177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14.4</v>
      </c>
      <c r="O1153" s="9">
        <v>13.5</v>
      </c>
      <c r="P1153" s="9">
        <v>19.5</v>
      </c>
      <c r="Q1153" s="79">
        <f>VLOOKUP(VLOOKUP(DATEVALUE(TEXT(A1153,"m/d/yyyy")),FY24_Temp[],5,FALSE)&amp;TEXT(A1153,"-h"),Table6[],4,FALSE)</f>
        <v>3.0557142666407993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VLOOKUP(TEXT(A1153,"yy-mm")&amp;"-"&amp;IF(AND(WEEKDAY(A1153)&gt;1,WEEKDAY(A1153)&lt;7),"Wkd",TEXT(A1153,"Ddd"))&amp;"-"&amp;TEXT(A1153,"hh"),LoadTable[],5,FALSE)*0.92</f>
        <v>447.02432000000005</v>
      </c>
      <c r="U1153" s="104">
        <f>VLOOKUP(TEXT(A1153,"yy-mm")&amp;"-"&amp;IF(AND(WEEKDAY(A1153)&gt;1,WEEKDAY(A1153)&lt;7),"Wkd",TEXT(A1153,"Ddd"))&amp;"-"&amp;TEXT(A1153,"hh"),LoadTable[],6,FALSE)*T1153</f>
        <v>29850.49599232</v>
      </c>
      <c r="V1153">
        <f t="shared" ref="V1153:W1153" si="1215">V1129</f>
        <v>2.9</v>
      </c>
      <c r="W1153">
        <f t="shared" si="1215"/>
        <v>3.1</v>
      </c>
      <c r="X1153" s="9">
        <v>-28.9051743666665</v>
      </c>
    </row>
    <row r="1154" spans="1:24">
      <c r="A1154" s="29">
        <f t="shared" si="1150"/>
        <v>45883.958333330542</v>
      </c>
      <c r="B1154" s="30">
        <f t="shared" si="1174"/>
        <v>5000</v>
      </c>
      <c r="C1154" s="41">
        <v>25000</v>
      </c>
      <c r="D1154" s="41">
        <v>0</v>
      </c>
      <c r="E1154" s="41">
        <v>700</v>
      </c>
      <c r="F1154" s="41">
        <v>15000</v>
      </c>
      <c r="G1154" s="30">
        <f t="shared" si="1175"/>
        <v>2400</v>
      </c>
      <c r="H1154" s="41">
        <v>25000</v>
      </c>
      <c r="I1154" s="30">
        <f t="shared" si="1176"/>
        <v>5000</v>
      </c>
      <c r="J1154" s="41">
        <v>25000</v>
      </c>
      <c r="K1154" s="30">
        <f t="shared" si="1177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14.4</v>
      </c>
      <c r="O1154" s="84">
        <v>13.5</v>
      </c>
      <c r="P1154" s="84">
        <v>19.5</v>
      </c>
      <c r="Q1154" s="85">
        <f>VLOOKUP(VLOOKUP(DATEVALUE(TEXT(A1154,"m/d/yyyy")),FY24_Temp[],5,FALSE)&amp;TEXT(A1154,"-h"),Table6[],4,FALSE)</f>
        <v>2.9255714416503906</v>
      </c>
      <c r="R1154">
        <v>10</v>
      </c>
      <c r="S1154">
        <v>1000</v>
      </c>
      <c r="T1154" s="98">
        <f>VLOOKUP(TEXT(A1154,"yy-mm")&amp;"-"&amp;IF(AND(WEEKDAY(A1154)&gt;1,WEEKDAY(A1154)&lt;7),"Wkd",TEXT(A1154,"Ddd"))&amp;"-"&amp;TEXT(A1154,"hh"),LoadTable[],5,FALSE)*0.92</f>
        <v>372.12436000000002</v>
      </c>
      <c r="U1154" s="104">
        <f>VLOOKUP(TEXT(A1154,"yy-mm")&amp;"-"&amp;IF(AND(WEEKDAY(A1154)&gt;1,WEEKDAY(A1154)&lt;7),"Wkd",TEXT(A1154,"Ddd"))&amp;"-"&amp;TEXT(A1154,"hh"),LoadTable[],6,FALSE)*T1154</f>
        <v>22421.236938720001</v>
      </c>
      <c r="V1154">
        <f t="shared" ref="V1154:W1154" si="1216">V1130</f>
        <v>3.6</v>
      </c>
      <c r="W1154">
        <f t="shared" si="1216"/>
        <v>3.1</v>
      </c>
      <c r="X1154" s="84">
        <v>-28.982968916666501</v>
      </c>
    </row>
    <row r="1155" spans="1:24">
      <c r="A1155" s="29">
        <f t="shared" si="1150"/>
        <v>45883.999999997206</v>
      </c>
      <c r="B1155" s="30">
        <f t="shared" si="1174"/>
        <v>5000</v>
      </c>
      <c r="C1155" s="8">
        <v>25000</v>
      </c>
      <c r="D1155" s="8">
        <v>0</v>
      </c>
      <c r="E1155" s="8">
        <v>700</v>
      </c>
      <c r="F1155" s="8">
        <v>15000</v>
      </c>
      <c r="G1155" s="30">
        <f t="shared" si="1175"/>
        <v>2400</v>
      </c>
      <c r="H1155" s="8">
        <v>25000</v>
      </c>
      <c r="I1155" s="30">
        <f t="shared" si="1176"/>
        <v>5000</v>
      </c>
      <c r="J1155" s="8">
        <v>25000</v>
      </c>
      <c r="K1155" s="30">
        <f t="shared" si="1177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14.4</v>
      </c>
      <c r="O1155" s="9">
        <v>13.5</v>
      </c>
      <c r="P1155" s="9">
        <v>19.5</v>
      </c>
      <c r="Q1155" s="79">
        <f>VLOOKUP(VLOOKUP(DATEVALUE(TEXT(A1155,"m/d/yyyy")),FY24_Temp[],5,FALSE)&amp;TEXT(A1155,"-h"),Table6[],4,FALSE)</f>
        <v>2.8105713639940535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VLOOKUP(TEXT(A1155,"yy-mm")&amp;"-"&amp;IF(AND(WEEKDAY(A1155)&gt;1,WEEKDAY(A1155)&lt;7),"Wkd",TEXT(A1155,"Ddd"))&amp;"-"&amp;TEXT(A1155,"hh"),LoadTable[],5,FALSE)*0.92</f>
        <v>297.2244</v>
      </c>
      <c r="U1155" s="104">
        <f>VLOOKUP(TEXT(A1155,"yy-mm")&amp;"-"&amp;IF(AND(WEEKDAY(A1155)&gt;1,WEEKDAY(A1155)&lt;7),"Wkd",TEXT(A1155,"Ddd"))&amp;"-"&amp;TEXT(A1155,"hh"),LoadTable[],6,FALSE)*T1155</f>
        <v>17505.031038000001</v>
      </c>
      <c r="V1155">
        <f t="shared" ref="V1155:W1155" si="1217">V1131</f>
        <v>3</v>
      </c>
      <c r="W1155">
        <f t="shared" si="1217"/>
        <v>3.2</v>
      </c>
      <c r="X1155" s="9">
        <v>-29.060763466666501</v>
      </c>
    </row>
    <row r="1156" spans="1:24">
      <c r="A1156" s="29">
        <f t="shared" si="1150"/>
        <v>45884.04166666387</v>
      </c>
      <c r="B1156" s="30">
        <f t="shared" si="1174"/>
        <v>5000</v>
      </c>
      <c r="C1156" s="42">
        <v>25000</v>
      </c>
      <c r="D1156" s="42">
        <v>0</v>
      </c>
      <c r="E1156" s="42">
        <v>700</v>
      </c>
      <c r="F1156" s="42">
        <v>15000</v>
      </c>
      <c r="G1156" s="30">
        <f t="shared" si="1175"/>
        <v>2400</v>
      </c>
      <c r="H1156" s="42">
        <v>25000</v>
      </c>
      <c r="I1156" s="30">
        <f t="shared" si="1176"/>
        <v>5000</v>
      </c>
      <c r="J1156" s="42">
        <v>25000</v>
      </c>
      <c r="K1156" s="30">
        <f t="shared" si="1177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14.4</v>
      </c>
      <c r="O1156" s="86">
        <v>13.5</v>
      </c>
      <c r="P1156" s="86">
        <v>19.5</v>
      </c>
      <c r="Q1156" s="87">
        <f>VLOOKUP(VLOOKUP(DATEVALUE(TEXT(A1156,"m/d/yyyy")),FY24_Temp[],5,FALSE)&amp;TEXT(A1156,"-h"),Table6[],4,FALSE)</f>
        <v>2.7044286046709334</v>
      </c>
      <c r="R1156">
        <v>10</v>
      </c>
      <c r="S1156">
        <v>1000</v>
      </c>
      <c r="T1156" s="99">
        <f>VLOOKUP(TEXT(A1156,"yy-mm")&amp;"-"&amp;IF(AND(WEEKDAY(A1156)&gt;1,WEEKDAY(A1156)&lt;7),"Wkd",TEXT(A1156,"Ddd"))&amp;"-"&amp;TEXT(A1156,"hh"),LoadTable[],5,FALSE)*0.92</f>
        <v>295.12680000000006</v>
      </c>
      <c r="U1156" s="104">
        <f>VLOOKUP(TEXT(A1156,"yy-mm")&amp;"-"&amp;IF(AND(WEEKDAY(A1156)&gt;1,WEEKDAY(A1156)&lt;7),"Wkd",TEXT(A1156,"Ddd"))&amp;"-"&amp;TEXT(A1156,"hh"),LoadTable[],6,FALSE)*T1156</f>
        <v>17131.225359600001</v>
      </c>
      <c r="V1156">
        <f t="shared" ref="V1156:W1156" si="1218">V1132</f>
        <v>2.6</v>
      </c>
      <c r="W1156">
        <f t="shared" si="1218"/>
        <v>3.2</v>
      </c>
      <c r="X1156" s="86">
        <v>-29.138558016666501</v>
      </c>
    </row>
    <row r="1157" spans="1:24">
      <c r="A1157" s="29">
        <f t="shared" ref="A1157:A1220" si="1219">A1156+TIME(1,0,0)</f>
        <v>45884.083333330535</v>
      </c>
      <c r="B1157" s="30">
        <f t="shared" si="1174"/>
        <v>5000</v>
      </c>
      <c r="C1157" s="8">
        <v>25000</v>
      </c>
      <c r="D1157" s="8">
        <v>0</v>
      </c>
      <c r="E1157" s="8">
        <v>700</v>
      </c>
      <c r="F1157" s="8">
        <v>15000</v>
      </c>
      <c r="G1157" s="30">
        <f t="shared" si="1175"/>
        <v>2400</v>
      </c>
      <c r="H1157" s="8">
        <v>25000</v>
      </c>
      <c r="I1157" s="30">
        <f t="shared" si="1176"/>
        <v>5000</v>
      </c>
      <c r="J1157" s="8">
        <v>25000</v>
      </c>
      <c r="K1157" s="30">
        <f t="shared" si="1177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14.4</v>
      </c>
      <c r="O1157" s="9">
        <v>13.5</v>
      </c>
      <c r="P1157" s="9">
        <v>19.5</v>
      </c>
      <c r="Q1157" s="79">
        <f>VLOOKUP(VLOOKUP(DATEVALUE(TEXT(A1157,"m/d/yyyy")),FY24_Temp[],5,FALSE)&amp;TEXT(A1157,"-h"),Table6[],4,FALSE)</f>
        <v>2.6111428737640381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VLOOKUP(TEXT(A1157,"yy-mm")&amp;"-"&amp;IF(AND(WEEKDAY(A1157)&gt;1,WEEKDAY(A1157)&lt;7),"Wkd",TEXT(A1157,"Ddd"))&amp;"-"&amp;TEXT(A1157,"hh"),LoadTable[],5,FALSE)*0.92</f>
        <v>295.12680000000006</v>
      </c>
      <c r="U1157" s="104">
        <f>VLOOKUP(TEXT(A1157,"yy-mm")&amp;"-"&amp;IF(AND(WEEKDAY(A1157)&gt;1,WEEKDAY(A1157)&lt;7),"Wkd",TEXT(A1157,"Ddd"))&amp;"-"&amp;TEXT(A1157,"hh"),LoadTable[],6,FALSE)*T1157</f>
        <v>16459.811889600001</v>
      </c>
      <c r="V1157">
        <f t="shared" ref="V1157:W1157" si="1220">V1133</f>
        <v>2.8</v>
      </c>
      <c r="W1157">
        <f t="shared" si="1220"/>
        <v>3.2</v>
      </c>
      <c r="X1157" s="9">
        <v>-29.216352566666501</v>
      </c>
    </row>
    <row r="1158" spans="1:24">
      <c r="A1158" s="29">
        <f t="shared" si="1219"/>
        <v>45884.124999997199</v>
      </c>
      <c r="B1158" s="30">
        <f t="shared" si="1174"/>
        <v>5000</v>
      </c>
      <c r="C1158" s="8">
        <v>25000</v>
      </c>
      <c r="D1158" s="8">
        <v>0</v>
      </c>
      <c r="E1158" s="8">
        <v>700</v>
      </c>
      <c r="F1158" s="8">
        <v>15000</v>
      </c>
      <c r="G1158" s="30">
        <f t="shared" si="1175"/>
        <v>2400</v>
      </c>
      <c r="H1158" s="8">
        <v>25000</v>
      </c>
      <c r="I1158" s="30">
        <f t="shared" si="1176"/>
        <v>5000</v>
      </c>
      <c r="J1158" s="8">
        <v>25000</v>
      </c>
      <c r="K1158" s="30">
        <f t="shared" si="1177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14.4</v>
      </c>
      <c r="O1158" s="9">
        <v>13.5</v>
      </c>
      <c r="P1158" s="9">
        <v>19.5</v>
      </c>
      <c r="Q1158" s="79">
        <f>VLOOKUP(VLOOKUP(DATEVALUE(TEXT(A1158,"m/d/yyyy")),FY24_Temp[],5,FALSE)&amp;TEXT(A1158,"-h"),Table6[],4,FALSE)</f>
        <v>2.4651428290775845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VLOOKUP(TEXT(A1158,"yy-mm")&amp;"-"&amp;IF(AND(WEEKDAY(A1158)&gt;1,WEEKDAY(A1158)&lt;7),"Wkd",TEXT(A1158,"Ddd"))&amp;"-"&amp;TEXT(A1158,"hh"),LoadTable[],5,FALSE)*0.92</f>
        <v>295.12680000000006</v>
      </c>
      <c r="U1158" s="104">
        <f>VLOOKUP(TEXT(A1158,"yy-mm")&amp;"-"&amp;IF(AND(WEEKDAY(A1158)&gt;1,WEEKDAY(A1158)&lt;7),"Wkd",TEXT(A1158,"Ddd"))&amp;"-"&amp;TEXT(A1158,"hh"),LoadTable[],6,FALSE)*T1158</f>
        <v>16610.326557600001</v>
      </c>
      <c r="V1158">
        <f t="shared" ref="V1158:W1158" si="1221">V1134</f>
        <v>2.7</v>
      </c>
      <c r="W1158">
        <f t="shared" si="1221"/>
        <v>3.2</v>
      </c>
      <c r="X1158" s="9">
        <v>-29.294147116666501</v>
      </c>
    </row>
    <row r="1159" spans="1:24">
      <c r="A1159" s="29">
        <f t="shared" si="1219"/>
        <v>45884.166666663863</v>
      </c>
      <c r="B1159" s="30">
        <f t="shared" si="1174"/>
        <v>5000</v>
      </c>
      <c r="C1159" s="8">
        <v>25000</v>
      </c>
      <c r="D1159" s="8">
        <v>0</v>
      </c>
      <c r="E1159" s="8">
        <v>700</v>
      </c>
      <c r="F1159" s="8">
        <v>15000</v>
      </c>
      <c r="G1159" s="30">
        <f t="shared" si="1175"/>
        <v>2400</v>
      </c>
      <c r="H1159" s="8">
        <v>25000</v>
      </c>
      <c r="I1159" s="30">
        <f t="shared" si="1176"/>
        <v>5000</v>
      </c>
      <c r="J1159" s="8">
        <v>25000</v>
      </c>
      <c r="K1159" s="30">
        <f t="shared" si="1177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14.4</v>
      </c>
      <c r="O1159" s="9">
        <v>13.5</v>
      </c>
      <c r="P1159" s="9">
        <v>19.5</v>
      </c>
      <c r="Q1159" s="79">
        <f>VLOOKUP(VLOOKUP(DATEVALUE(TEXT(A1159,"m/d/yyyy")),FY24_Temp[],5,FALSE)&amp;TEXT(A1159,"-h"),Table6[],4,FALSE)</f>
        <v>2.3014285564422607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VLOOKUP(TEXT(A1159,"yy-mm")&amp;"-"&amp;IF(AND(WEEKDAY(A1159)&gt;1,WEEKDAY(A1159)&lt;7),"Wkd",TEXT(A1159,"Ddd"))&amp;"-"&amp;TEXT(A1159,"hh"),LoadTable[],5,FALSE)*0.92</f>
        <v>295.12680000000006</v>
      </c>
      <c r="U1159" s="104">
        <f>VLOOKUP(TEXT(A1159,"yy-mm")&amp;"-"&amp;IF(AND(WEEKDAY(A1159)&gt;1,WEEKDAY(A1159)&lt;7),"Wkd",TEXT(A1159,"Ddd"))&amp;"-"&amp;TEXT(A1159,"hh"),LoadTable[],6,FALSE)*T1159</f>
        <v>16544.513281200001</v>
      </c>
      <c r="V1159">
        <f t="shared" ref="V1159:W1159" si="1222">V1135</f>
        <v>3</v>
      </c>
      <c r="W1159">
        <f t="shared" si="1222"/>
        <v>3.1</v>
      </c>
      <c r="X1159" s="9">
        <v>-29.371941666666501</v>
      </c>
    </row>
    <row r="1160" spans="1:24">
      <c r="A1160" s="29">
        <f t="shared" si="1219"/>
        <v>45884.208333330527</v>
      </c>
      <c r="B1160" s="30">
        <f t="shared" si="1174"/>
        <v>5000</v>
      </c>
      <c r="C1160" s="8">
        <v>25000</v>
      </c>
      <c r="D1160" s="8">
        <v>0</v>
      </c>
      <c r="E1160" s="8">
        <v>700</v>
      </c>
      <c r="F1160" s="8">
        <v>15000</v>
      </c>
      <c r="G1160" s="30">
        <f t="shared" si="1175"/>
        <v>2400</v>
      </c>
      <c r="H1160" s="8">
        <v>25000</v>
      </c>
      <c r="I1160" s="30">
        <f t="shared" si="1176"/>
        <v>5000</v>
      </c>
      <c r="J1160" s="8">
        <v>25000</v>
      </c>
      <c r="K1160" s="30">
        <f t="shared" si="1177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14.4</v>
      </c>
      <c r="O1160" s="9">
        <v>13.5</v>
      </c>
      <c r="P1160" s="9">
        <v>19.5</v>
      </c>
      <c r="Q1160" s="79">
        <f>VLOOKUP(VLOOKUP(DATEVALUE(TEXT(A1160,"m/d/yyyy")),FY24_Temp[],5,FALSE)&amp;TEXT(A1160,"-h"),Table6[],4,FALSE)</f>
        <v>2.1431428364345004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VLOOKUP(TEXT(A1160,"yy-mm")&amp;"-"&amp;IF(AND(WEEKDAY(A1160)&gt;1,WEEKDAY(A1160)&lt;7),"Wkd",TEXT(A1160,"Ddd"))&amp;"-"&amp;TEXT(A1160,"hh"),LoadTable[],5,FALSE)*0.92</f>
        <v>295.12680000000006</v>
      </c>
      <c r="U1160" s="104">
        <f>VLOOKUP(TEXT(A1160,"yy-mm")&amp;"-"&amp;IF(AND(WEEKDAY(A1160)&gt;1,WEEKDAY(A1160)&lt;7),"Wkd",TEXT(A1160,"Ddd"))&amp;"-"&amp;TEXT(A1160,"hh"),LoadTable[],6,FALSE)*T1160</f>
        <v>17128.569218400004</v>
      </c>
      <c r="V1160">
        <f t="shared" ref="V1160:W1160" si="1223">V1136</f>
        <v>2.9</v>
      </c>
      <c r="W1160">
        <f t="shared" si="1223"/>
        <v>3.1</v>
      </c>
      <c r="X1160" s="9">
        <v>-29.449736216666501</v>
      </c>
    </row>
    <row r="1161" spans="1:24">
      <c r="A1161" s="29">
        <f t="shared" si="1219"/>
        <v>45884.249999997191</v>
      </c>
      <c r="B1161" s="30">
        <f t="shared" si="1174"/>
        <v>8000</v>
      </c>
      <c r="C1161" s="8">
        <v>25000</v>
      </c>
      <c r="D1161" s="8">
        <v>0</v>
      </c>
      <c r="E1161" s="8">
        <v>700</v>
      </c>
      <c r="F1161" s="8">
        <v>15000</v>
      </c>
      <c r="G1161" s="30">
        <f t="shared" si="1175"/>
        <v>2400</v>
      </c>
      <c r="H1161" s="8">
        <v>25000</v>
      </c>
      <c r="I1161" s="30">
        <f t="shared" si="1176"/>
        <v>8000</v>
      </c>
      <c r="J1161" s="8">
        <v>25000</v>
      </c>
      <c r="K1161" s="30">
        <f t="shared" si="1177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14.4</v>
      </c>
      <c r="O1161" s="9">
        <v>13.5</v>
      </c>
      <c r="P1161" s="9">
        <v>19.5</v>
      </c>
      <c r="Q1161" s="79">
        <f>VLOOKUP(VLOOKUP(DATEVALUE(TEXT(A1161,"m/d/yyyy")),FY24_Temp[],5,FALSE)&amp;TEXT(A1161,"-h"),Table6[],4,FALSE)</f>
        <v>2.0285714013235912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VLOOKUP(TEXT(A1161,"yy-mm")&amp;"-"&amp;IF(AND(WEEKDAY(A1161)&gt;1,WEEKDAY(A1161)&lt;7),"Wkd",TEXT(A1161,"Ddd"))&amp;"-"&amp;TEXT(A1161,"hh"),LoadTable[],5,FALSE)*0.92</f>
        <v>295.12680000000006</v>
      </c>
      <c r="U1161" s="104">
        <f>VLOOKUP(TEXT(A1161,"yy-mm")&amp;"-"&amp;IF(AND(WEEKDAY(A1161)&gt;1,WEEKDAY(A1161)&lt;7),"Wkd",TEXT(A1161,"Ddd"))&amp;"-"&amp;TEXT(A1161,"hh"),LoadTable[],6,FALSE)*T1161</f>
        <v>20766.892408800006</v>
      </c>
      <c r="V1161">
        <f t="shared" ref="V1161:W1161" si="1224">V1137</f>
        <v>2.5</v>
      </c>
      <c r="W1161">
        <f t="shared" si="1224"/>
        <v>3.1</v>
      </c>
      <c r="X1161" s="9">
        <v>-29.527530766666501</v>
      </c>
    </row>
    <row r="1162" spans="1:24">
      <c r="A1162" s="29">
        <f t="shared" si="1219"/>
        <v>45884.291666663856</v>
      </c>
      <c r="B1162" s="30">
        <f t="shared" si="1174"/>
        <v>8000</v>
      </c>
      <c r="C1162" s="8">
        <v>25000</v>
      </c>
      <c r="D1162" s="8">
        <v>0</v>
      </c>
      <c r="E1162" s="8">
        <v>700</v>
      </c>
      <c r="F1162" s="8">
        <v>15000</v>
      </c>
      <c r="G1162" s="30">
        <f t="shared" si="1175"/>
        <v>2400</v>
      </c>
      <c r="H1162" s="8">
        <v>25000</v>
      </c>
      <c r="I1162" s="30">
        <f t="shared" si="1176"/>
        <v>8000</v>
      </c>
      <c r="J1162" s="8">
        <v>25000</v>
      </c>
      <c r="K1162" s="30">
        <f t="shared" si="1177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14.4</v>
      </c>
      <c r="O1162" s="9">
        <v>13.5</v>
      </c>
      <c r="P1162" s="9">
        <v>19.5</v>
      </c>
      <c r="Q1162" s="79">
        <f>VLOOKUP(VLOOKUP(DATEVALUE(TEXT(A1162,"m/d/yyyy")),FY24_Temp[],5,FALSE)&amp;TEXT(A1162,"-h"),Table6[],4,FALSE)</f>
        <v>1.9455714055470057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VLOOKUP(TEXT(A1162,"yy-mm")&amp;"-"&amp;IF(AND(WEEKDAY(A1162)&gt;1,WEEKDAY(A1162)&lt;7),"Wkd",TEXT(A1162,"Ddd"))&amp;"-"&amp;TEXT(A1162,"hh"),LoadTable[],5,FALSE)*0.92</f>
        <v>295.12680000000006</v>
      </c>
      <c r="U1162" s="104">
        <f>VLOOKUP(TEXT(A1162,"yy-mm")&amp;"-"&amp;IF(AND(WEEKDAY(A1162)&gt;1,WEEKDAY(A1162)&lt;7),"Wkd",TEXT(A1162,"Ddd"))&amp;"-"&amp;TEXT(A1162,"hh"),LoadTable[],6,FALSE)*T1162</f>
        <v>19169.666167200001</v>
      </c>
      <c r="V1162">
        <f t="shared" ref="V1162:W1162" si="1225">V1138</f>
        <v>2.5</v>
      </c>
      <c r="W1162">
        <f t="shared" si="1225"/>
        <v>3.1</v>
      </c>
      <c r="X1162" s="9">
        <v>-29.605325316666502</v>
      </c>
    </row>
    <row r="1163" spans="1:24">
      <c r="A1163" s="29">
        <f t="shared" si="1219"/>
        <v>45884.33333333052</v>
      </c>
      <c r="B1163" s="30">
        <f t="shared" si="1174"/>
        <v>8000</v>
      </c>
      <c r="C1163" s="8">
        <v>25000</v>
      </c>
      <c r="D1163" s="8">
        <v>0</v>
      </c>
      <c r="E1163" s="8">
        <v>700</v>
      </c>
      <c r="F1163" s="8">
        <v>15000</v>
      </c>
      <c r="G1163" s="30">
        <f t="shared" si="1175"/>
        <v>2400</v>
      </c>
      <c r="H1163" s="8">
        <v>25000</v>
      </c>
      <c r="I1163" s="30">
        <f t="shared" si="1176"/>
        <v>8000</v>
      </c>
      <c r="J1163" s="8">
        <v>25000</v>
      </c>
      <c r="K1163" s="30">
        <f t="shared" si="1177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14.4</v>
      </c>
      <c r="O1163" s="9">
        <v>13.5</v>
      </c>
      <c r="P1163" s="9">
        <v>19.5</v>
      </c>
      <c r="Q1163" s="79">
        <f>VLOOKUP(VLOOKUP(DATEVALUE(TEXT(A1163,"m/d/yyyy")),FY24_Temp[],5,FALSE)&amp;TEXT(A1163,"-h"),Table6[],4,FALSE)</f>
        <v>1.8411428587777274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VLOOKUP(TEXT(A1163,"yy-mm")&amp;"-"&amp;IF(AND(WEEKDAY(A1163)&gt;1,WEEKDAY(A1163)&lt;7),"Wkd",TEXT(A1163,"Ddd"))&amp;"-"&amp;TEXT(A1163,"hh"),LoadTable[],5,FALSE)*0.92</f>
        <v>295.12680000000006</v>
      </c>
      <c r="U1163" s="104">
        <f>VLOOKUP(TEXT(A1163,"yy-mm")&amp;"-"&amp;IF(AND(WEEKDAY(A1163)&gt;1,WEEKDAY(A1163)&lt;7),"Wkd",TEXT(A1163,"Ddd"))&amp;"-"&amp;TEXT(A1163,"hh"),LoadTable[],6,FALSE)*T1163</f>
        <v>15860.999612400004</v>
      </c>
      <c r="V1163">
        <f t="shared" ref="V1163:W1163" si="1226">V1139</f>
        <v>3.2</v>
      </c>
      <c r="W1163">
        <f t="shared" si="1226"/>
        <v>3</v>
      </c>
      <c r="X1163" s="9">
        <v>-29.683119866666502</v>
      </c>
    </row>
    <row r="1164" spans="1:24">
      <c r="A1164" s="29">
        <f t="shared" si="1219"/>
        <v>45884.374999997184</v>
      </c>
      <c r="B1164" s="30">
        <f t="shared" si="1174"/>
        <v>8000</v>
      </c>
      <c r="C1164" s="8">
        <v>25000</v>
      </c>
      <c r="D1164" s="8">
        <v>0</v>
      </c>
      <c r="E1164" s="8">
        <v>700</v>
      </c>
      <c r="F1164" s="8">
        <v>15000</v>
      </c>
      <c r="G1164" s="30">
        <f t="shared" si="1175"/>
        <v>2400</v>
      </c>
      <c r="H1164" s="8">
        <v>25000</v>
      </c>
      <c r="I1164" s="30">
        <f t="shared" si="1176"/>
        <v>8000</v>
      </c>
      <c r="J1164" s="8">
        <v>25000</v>
      </c>
      <c r="K1164" s="30">
        <f t="shared" si="1177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14.4</v>
      </c>
      <c r="O1164" s="9">
        <v>13.5</v>
      </c>
      <c r="P1164" s="9">
        <v>19.5</v>
      </c>
      <c r="Q1164" s="79">
        <f>VLOOKUP(VLOOKUP(DATEVALUE(TEXT(A1164,"m/d/yyyy")),FY24_Temp[],5,FALSE)&amp;TEXT(A1164,"-h"),Table6[],4,FALSE)</f>
        <v>1.7424285582133703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VLOOKUP(TEXT(A1164,"yy-mm")&amp;"-"&amp;IF(AND(WEEKDAY(A1164)&gt;1,WEEKDAY(A1164)&lt;7),"Wkd",TEXT(A1164,"Ddd"))&amp;"-"&amp;TEXT(A1164,"hh"),LoadTable[],5,FALSE)*0.92</f>
        <v>295.12680000000006</v>
      </c>
      <c r="U1164" s="104">
        <f>VLOOKUP(TEXT(A1164,"yy-mm")&amp;"-"&amp;IF(AND(WEEKDAY(A1164)&gt;1,WEEKDAY(A1164)&lt;7),"Wkd",TEXT(A1164,"Ddd"))&amp;"-"&amp;TEXT(A1164,"hh"),LoadTable[],6,FALSE)*T1164</f>
        <v>15713.436212400004</v>
      </c>
      <c r="V1164">
        <f t="shared" ref="V1164:W1164" si="1227">V1140</f>
        <v>2.9</v>
      </c>
      <c r="W1164">
        <f t="shared" si="1227"/>
        <v>3</v>
      </c>
      <c r="X1164" s="9">
        <v>-29.760914416666498</v>
      </c>
    </row>
    <row r="1165" spans="1:24">
      <c r="A1165" s="29">
        <f t="shared" si="1219"/>
        <v>45884.416666663848</v>
      </c>
      <c r="B1165" s="30">
        <f t="shared" si="1174"/>
        <v>8000</v>
      </c>
      <c r="C1165" s="8">
        <v>25000</v>
      </c>
      <c r="D1165" s="8">
        <v>0</v>
      </c>
      <c r="E1165" s="8">
        <v>700</v>
      </c>
      <c r="F1165" s="8">
        <v>15000</v>
      </c>
      <c r="G1165" s="30">
        <f t="shared" si="1175"/>
        <v>2400</v>
      </c>
      <c r="H1165" s="8">
        <v>25000</v>
      </c>
      <c r="I1165" s="30">
        <f t="shared" si="1176"/>
        <v>8000</v>
      </c>
      <c r="J1165" s="8">
        <v>25000</v>
      </c>
      <c r="K1165" s="30">
        <f t="shared" si="1177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14.4</v>
      </c>
      <c r="O1165" s="9">
        <v>13.5</v>
      </c>
      <c r="P1165" s="9">
        <v>19.5</v>
      </c>
      <c r="Q1165" s="79">
        <f>VLOOKUP(VLOOKUP(DATEVALUE(TEXT(A1165,"m/d/yyyy")),FY24_Temp[],5,FALSE)&amp;TEXT(A1165,"-h"),Table6[],4,FALSE)</f>
        <v>1.6560000010899134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VLOOKUP(TEXT(A1165,"yy-mm")&amp;"-"&amp;IF(AND(WEEKDAY(A1165)&gt;1,WEEKDAY(A1165)&lt;7),"Wkd",TEXT(A1165,"Ddd"))&amp;"-"&amp;TEXT(A1165,"hh"),LoadTable[],5,FALSE)*0.92</f>
        <v>295.12680000000006</v>
      </c>
      <c r="U1165" s="104">
        <f>VLOOKUP(TEXT(A1165,"yy-mm")&amp;"-"&amp;IF(AND(WEEKDAY(A1165)&gt;1,WEEKDAY(A1165)&lt;7),"Wkd",TEXT(A1165,"Ddd"))&amp;"-"&amp;TEXT(A1165,"hh"),LoadTable[],6,FALSE)*T1165</f>
        <v>14369.723892000002</v>
      </c>
      <c r="V1165">
        <f t="shared" ref="V1165:W1165" si="1228">V1141</f>
        <v>2.9</v>
      </c>
      <c r="W1165">
        <f t="shared" si="1228"/>
        <v>3</v>
      </c>
      <c r="X1165" s="9">
        <v>-29.838708966666498</v>
      </c>
    </row>
    <row r="1166" spans="1:24">
      <c r="A1166" s="29">
        <f t="shared" si="1219"/>
        <v>45884.458333330513</v>
      </c>
      <c r="B1166" s="30">
        <f t="shared" si="1174"/>
        <v>8000</v>
      </c>
      <c r="C1166" s="8">
        <v>25000</v>
      </c>
      <c r="D1166" s="8">
        <v>0</v>
      </c>
      <c r="E1166" s="8">
        <v>700</v>
      </c>
      <c r="F1166" s="8">
        <v>15000</v>
      </c>
      <c r="G1166" s="30">
        <f t="shared" si="1175"/>
        <v>2400</v>
      </c>
      <c r="H1166" s="8">
        <v>25000</v>
      </c>
      <c r="I1166" s="30">
        <f t="shared" si="1176"/>
        <v>8000</v>
      </c>
      <c r="J1166" s="8">
        <v>25000</v>
      </c>
      <c r="K1166" s="30">
        <f t="shared" si="1177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14.4</v>
      </c>
      <c r="O1166" s="9">
        <v>13.5</v>
      </c>
      <c r="P1166" s="9">
        <v>19.5</v>
      </c>
      <c r="Q1166" s="79">
        <f>VLOOKUP(VLOOKUP(DATEVALUE(TEXT(A1166,"m/d/yyyy")),FY24_Temp[],5,FALSE)&amp;TEXT(A1166,"-h"),Table6[],4,FALSE)</f>
        <v>1.5444285869598389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VLOOKUP(TEXT(A1166,"yy-mm")&amp;"-"&amp;IF(AND(WEEKDAY(A1166)&gt;1,WEEKDAY(A1166)&lt;7),"Wkd",TEXT(A1166,"Ddd"))&amp;"-"&amp;TEXT(A1166,"hh"),LoadTable[],5,FALSE)*0.92</f>
        <v>295.12680000000006</v>
      </c>
      <c r="U1166" s="104">
        <f>VLOOKUP(TEXT(A1166,"yy-mm")&amp;"-"&amp;IF(AND(WEEKDAY(A1166)&gt;1,WEEKDAY(A1166)&lt;7),"Wkd",TEXT(A1166,"Ddd"))&amp;"-"&amp;TEXT(A1166,"hh"),LoadTable[],6,FALSE)*T1166</f>
        <v>14137.459100400003</v>
      </c>
      <c r="V1166">
        <f t="shared" ref="V1166:W1166" si="1229">V1142</f>
        <v>3.4</v>
      </c>
      <c r="W1166">
        <f t="shared" si="1229"/>
        <v>3</v>
      </c>
      <c r="X1166" s="9">
        <v>-29.916503516666499</v>
      </c>
    </row>
    <row r="1167" spans="1:24">
      <c r="A1167" s="29">
        <f t="shared" si="1219"/>
        <v>45884.499999997177</v>
      </c>
      <c r="B1167" s="30">
        <f t="shared" si="1174"/>
        <v>8000</v>
      </c>
      <c r="C1167" s="8">
        <v>25000</v>
      </c>
      <c r="D1167" s="8">
        <v>0</v>
      </c>
      <c r="E1167" s="8">
        <v>700</v>
      </c>
      <c r="F1167" s="8">
        <v>15000</v>
      </c>
      <c r="G1167" s="30">
        <f t="shared" si="1175"/>
        <v>2400</v>
      </c>
      <c r="H1167" s="8">
        <v>25000</v>
      </c>
      <c r="I1167" s="30">
        <f t="shared" si="1176"/>
        <v>8000</v>
      </c>
      <c r="J1167" s="8">
        <v>25000</v>
      </c>
      <c r="K1167" s="30">
        <f t="shared" si="1177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14.4</v>
      </c>
      <c r="O1167" s="9">
        <v>13.5</v>
      </c>
      <c r="P1167" s="9">
        <v>19.5</v>
      </c>
      <c r="Q1167" s="79">
        <f>VLOOKUP(VLOOKUP(DATEVALUE(TEXT(A1167,"m/d/yyyy")),FY24_Temp[],5,FALSE)&amp;TEXT(A1167,"-h"),Table6[],4,FALSE)</f>
        <v>1.4021428823471069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VLOOKUP(TEXT(A1167,"yy-mm")&amp;"-"&amp;IF(AND(WEEKDAY(A1167)&gt;1,WEEKDAY(A1167)&lt;7),"Wkd",TEXT(A1167,"Ddd"))&amp;"-"&amp;TEXT(A1167,"hh"),LoadTable[],5,FALSE)*0.92</f>
        <v>295.12680000000006</v>
      </c>
      <c r="U1167" s="104">
        <f>VLOOKUP(TEXT(A1167,"yy-mm")&amp;"-"&amp;IF(AND(WEEKDAY(A1167)&gt;1,WEEKDAY(A1167)&lt;7),"Wkd",TEXT(A1167,"Ddd"))&amp;"-"&amp;TEXT(A1167,"hh"),LoadTable[],6,FALSE)*T1167</f>
        <v>14242.819368000002</v>
      </c>
      <c r="V1167">
        <f t="shared" ref="V1167:W1167" si="1230">V1143</f>
        <v>3.1</v>
      </c>
      <c r="W1167">
        <f t="shared" si="1230"/>
        <v>2.9</v>
      </c>
      <c r="X1167" s="9">
        <v>-29.994298066666499</v>
      </c>
    </row>
    <row r="1168" spans="1:24">
      <c r="A1168" s="29">
        <f t="shared" si="1219"/>
        <v>45884.541666663841</v>
      </c>
      <c r="B1168" s="30">
        <f t="shared" si="1174"/>
        <v>8000</v>
      </c>
      <c r="C1168" s="8">
        <v>25000</v>
      </c>
      <c r="D1168" s="8">
        <v>0</v>
      </c>
      <c r="E1168" s="8">
        <v>700</v>
      </c>
      <c r="F1168" s="8">
        <v>15000</v>
      </c>
      <c r="G1168" s="30">
        <f t="shared" si="1175"/>
        <v>2400</v>
      </c>
      <c r="H1168" s="8">
        <v>25000</v>
      </c>
      <c r="I1168" s="30">
        <f t="shared" si="1176"/>
        <v>8000</v>
      </c>
      <c r="J1168" s="8">
        <v>25000</v>
      </c>
      <c r="K1168" s="30">
        <f t="shared" si="1177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14.4</v>
      </c>
      <c r="O1168" s="9">
        <v>13.5</v>
      </c>
      <c r="P1168" s="9">
        <v>19.5</v>
      </c>
      <c r="Q1168" s="79">
        <f>VLOOKUP(VLOOKUP(DATEVALUE(TEXT(A1168,"m/d/yyyy")),FY24_Temp[],5,FALSE)&amp;TEXT(A1168,"-h"),Table6[],4,FALSE)</f>
        <v>1.2278571299144201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VLOOKUP(TEXT(A1168,"yy-mm")&amp;"-"&amp;IF(AND(WEEKDAY(A1168)&gt;1,WEEKDAY(A1168)&lt;7),"Wkd",TEXT(A1168,"Ddd"))&amp;"-"&amp;TEXT(A1168,"hh"),LoadTable[],5,FALSE)*0.92</f>
        <v>295.12680000000006</v>
      </c>
      <c r="U1168" s="104">
        <f>VLOOKUP(TEXT(A1168,"yy-mm")&amp;"-"&amp;IF(AND(WEEKDAY(A1168)&gt;1,WEEKDAY(A1168)&lt;7),"Wkd",TEXT(A1168,"Ddd"))&amp;"-"&amp;TEXT(A1168,"hh"),LoadTable[],6,FALSE)*T1168</f>
        <v>16280.669922000003</v>
      </c>
      <c r="V1168">
        <f t="shared" ref="V1168:W1168" si="1231">V1144</f>
        <v>3.2</v>
      </c>
      <c r="W1168">
        <f t="shared" si="1231"/>
        <v>2.9</v>
      </c>
      <c r="X1168" s="9">
        <v>-30.072092616666499</v>
      </c>
    </row>
    <row r="1169" spans="1:24">
      <c r="A1169" s="29">
        <f t="shared" si="1219"/>
        <v>45884.583333330505</v>
      </c>
      <c r="B1169" s="30">
        <f t="shared" si="1174"/>
        <v>8000</v>
      </c>
      <c r="C1169" s="8">
        <v>25000</v>
      </c>
      <c r="D1169" s="8">
        <v>0</v>
      </c>
      <c r="E1169" s="8">
        <v>700</v>
      </c>
      <c r="F1169" s="8">
        <v>15000</v>
      </c>
      <c r="G1169" s="30">
        <f t="shared" si="1175"/>
        <v>2400</v>
      </c>
      <c r="H1169" s="8">
        <v>25000</v>
      </c>
      <c r="I1169" s="30">
        <f t="shared" si="1176"/>
        <v>8000</v>
      </c>
      <c r="J1169" s="8">
        <v>25000</v>
      </c>
      <c r="K1169" s="30">
        <f t="shared" si="1177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14.4</v>
      </c>
      <c r="O1169" s="9">
        <v>13.5</v>
      </c>
      <c r="P1169" s="9">
        <v>19.5</v>
      </c>
      <c r="Q1169" s="79">
        <f>VLOOKUP(VLOOKUP(DATEVALUE(TEXT(A1169,"m/d/yyyy")),FY24_Temp[],5,FALSE)&amp;TEXT(A1169,"-h"),Table6[],4,FALSE)</f>
        <v>1.0399999959128243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VLOOKUP(TEXT(A1169,"yy-mm")&amp;"-"&amp;IF(AND(WEEKDAY(A1169)&gt;1,WEEKDAY(A1169)&lt;7),"Wkd",TEXT(A1169,"Ddd"))&amp;"-"&amp;TEXT(A1169,"hh"),LoadTable[],5,FALSE)*0.92</f>
        <v>402.08416</v>
      </c>
      <c r="U1169" s="104">
        <f>VLOOKUP(TEXT(A1169,"yy-mm")&amp;"-"&amp;IF(AND(WEEKDAY(A1169)&gt;1,WEEKDAY(A1169)&lt;7),"Wkd",TEXT(A1169,"Ddd"))&amp;"-"&amp;TEXT(A1169,"hh"),LoadTable[],6,FALSE)*T1169</f>
        <v>27023.674309440001</v>
      </c>
      <c r="V1169">
        <f t="shared" ref="V1169:W1169" si="1232">V1145</f>
        <v>3.5</v>
      </c>
      <c r="W1169">
        <f t="shared" si="1232"/>
        <v>2.9</v>
      </c>
      <c r="X1169" s="9">
        <v>-30.149887166666499</v>
      </c>
    </row>
    <row r="1170" spans="1:24">
      <c r="A1170" s="29">
        <f t="shared" si="1219"/>
        <v>45884.62499999717</v>
      </c>
      <c r="B1170" s="30">
        <f t="shared" si="1174"/>
        <v>8000</v>
      </c>
      <c r="C1170" s="8">
        <v>25000</v>
      </c>
      <c r="D1170" s="8">
        <v>0</v>
      </c>
      <c r="E1170" s="8">
        <v>700</v>
      </c>
      <c r="F1170" s="8">
        <v>15000</v>
      </c>
      <c r="G1170" s="30">
        <f t="shared" si="1175"/>
        <v>2400</v>
      </c>
      <c r="H1170" s="8">
        <v>25000</v>
      </c>
      <c r="I1170" s="30">
        <f t="shared" si="1176"/>
        <v>8000</v>
      </c>
      <c r="J1170" s="8">
        <v>25000</v>
      </c>
      <c r="K1170" s="30">
        <f t="shared" si="1177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14.4</v>
      </c>
      <c r="O1170" s="9">
        <v>13.5</v>
      </c>
      <c r="P1170" s="9">
        <v>19.5</v>
      </c>
      <c r="Q1170" s="79">
        <f>VLOOKUP(VLOOKUP(DATEVALUE(TEXT(A1170,"m/d/yyyy")),FY24_Temp[],5,FALSE)&amp;TEXT(A1170,"-h"),Table6[],4,FALSE)</f>
        <v>0.86785714115415302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VLOOKUP(TEXT(A1170,"yy-mm")&amp;"-"&amp;IF(AND(WEEKDAY(A1170)&gt;1,WEEKDAY(A1170)&lt;7),"Wkd",TEXT(A1170,"Ddd"))&amp;"-"&amp;TEXT(A1170,"hh"),LoadTable[],5,FALSE)*0.92</f>
        <v>521.92427999999995</v>
      </c>
      <c r="U1170" s="104">
        <f>VLOOKUP(TEXT(A1170,"yy-mm")&amp;"-"&amp;IF(AND(WEEKDAY(A1170)&gt;1,WEEKDAY(A1170)&lt;7),"Wkd",TEXT(A1170,"Ddd"))&amp;"-"&amp;TEXT(A1170,"hh"),LoadTable[],6,FALSE)*T1170</f>
        <v>38276.36092236</v>
      </c>
      <c r="V1170">
        <f t="shared" ref="V1170:W1170" si="1233">V1146</f>
        <v>3.2</v>
      </c>
      <c r="W1170">
        <f t="shared" si="1233"/>
        <v>2.9</v>
      </c>
      <c r="X1170" s="9">
        <v>-30.227681716666499</v>
      </c>
    </row>
    <row r="1171" spans="1:24">
      <c r="A1171" s="29">
        <f t="shared" si="1219"/>
        <v>45884.666666663834</v>
      </c>
      <c r="B1171" s="30">
        <f t="shared" si="1174"/>
        <v>8000</v>
      </c>
      <c r="C1171" s="8">
        <v>25000</v>
      </c>
      <c r="D1171" s="8">
        <v>0</v>
      </c>
      <c r="E1171" s="8">
        <v>700</v>
      </c>
      <c r="F1171" s="8">
        <v>15000</v>
      </c>
      <c r="G1171" s="30">
        <f t="shared" si="1175"/>
        <v>2400</v>
      </c>
      <c r="H1171" s="8">
        <v>25000</v>
      </c>
      <c r="I1171" s="30">
        <f t="shared" si="1176"/>
        <v>8000</v>
      </c>
      <c r="J1171" s="8">
        <v>25000</v>
      </c>
      <c r="K1171" s="30">
        <f t="shared" si="1177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14.4</v>
      </c>
      <c r="O1171" s="9">
        <v>13.5</v>
      </c>
      <c r="P1171" s="9">
        <v>19.5</v>
      </c>
      <c r="Q1171" s="79">
        <f>VLOOKUP(VLOOKUP(DATEVALUE(TEXT(A1171,"m/d/yyyy")),FY24_Temp[],5,FALSE)&amp;TEXT(A1171,"-h"),Table6[],4,FALSE)</f>
        <v>0.77942857572010582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VLOOKUP(TEXT(A1171,"yy-mm")&amp;"-"&amp;IF(AND(WEEKDAY(A1171)&gt;1,WEEKDAY(A1171)&lt;7),"Wkd",TEXT(A1171,"Ddd"))&amp;"-"&amp;TEXT(A1171,"hh"),LoadTable[],5,FALSE)*0.92</f>
        <v>521.92427999999995</v>
      </c>
      <c r="U1171" s="104">
        <f>VLOOKUP(TEXT(A1171,"yy-mm")&amp;"-"&amp;IF(AND(WEEKDAY(A1171)&gt;1,WEEKDAY(A1171)&lt;7),"Wkd",TEXT(A1171,"Ddd"))&amp;"-"&amp;TEXT(A1171,"hh"),LoadTable[],6,FALSE)*T1171</f>
        <v>45879.753833399998</v>
      </c>
      <c r="V1171">
        <f t="shared" ref="V1171:W1171" si="1234">V1147</f>
        <v>3.5</v>
      </c>
      <c r="W1171">
        <f t="shared" si="1234"/>
        <v>3</v>
      </c>
      <c r="X1171" s="9">
        <v>-30.305476266666499</v>
      </c>
    </row>
    <row r="1172" spans="1:24">
      <c r="A1172" s="29">
        <f t="shared" si="1219"/>
        <v>45884.708333330498</v>
      </c>
      <c r="B1172" s="30">
        <f t="shared" si="1174"/>
        <v>8000</v>
      </c>
      <c r="C1172" s="8">
        <v>25000</v>
      </c>
      <c r="D1172" s="8">
        <v>0</v>
      </c>
      <c r="E1172" s="8">
        <v>700</v>
      </c>
      <c r="F1172" s="8">
        <v>15000</v>
      </c>
      <c r="G1172" s="30">
        <f t="shared" si="1175"/>
        <v>2400</v>
      </c>
      <c r="H1172" s="8">
        <v>25000</v>
      </c>
      <c r="I1172" s="30">
        <f t="shared" si="1176"/>
        <v>8000</v>
      </c>
      <c r="J1172" s="8">
        <v>25000</v>
      </c>
      <c r="K1172" s="30">
        <f t="shared" si="1177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14.4</v>
      </c>
      <c r="O1172" s="9">
        <v>13.5</v>
      </c>
      <c r="P1172" s="9">
        <v>19.5</v>
      </c>
      <c r="Q1172" s="79">
        <f>VLOOKUP(VLOOKUP(DATEVALUE(TEXT(A1172,"m/d/yyyy")),FY24_Temp[],5,FALSE)&amp;TEXT(A1172,"-h"),Table6[],4,FALSE)</f>
        <v>0.93557143211364746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VLOOKUP(TEXT(A1172,"yy-mm")&amp;"-"&amp;IF(AND(WEEKDAY(A1172)&gt;1,WEEKDAY(A1172)&lt;7),"Wkd",TEXT(A1172,"Ddd"))&amp;"-"&amp;TEXT(A1172,"hh"),LoadTable[],5,FALSE)*0.92</f>
        <v>521.92427999999995</v>
      </c>
      <c r="U1172" s="104">
        <f>VLOOKUP(TEXT(A1172,"yy-mm")&amp;"-"&amp;IF(AND(WEEKDAY(A1172)&gt;1,WEEKDAY(A1172)&lt;7),"Wkd",TEXT(A1172,"Ddd"))&amp;"-"&amp;TEXT(A1172,"hh"),LoadTable[],6,FALSE)*T1172</f>
        <v>57850.609119479988</v>
      </c>
      <c r="V1172">
        <f t="shared" ref="V1172:W1172" si="1235">V1148</f>
        <v>3.6</v>
      </c>
      <c r="W1172">
        <f t="shared" si="1235"/>
        <v>3</v>
      </c>
      <c r="X1172" s="9">
        <v>-30.383270816666499</v>
      </c>
    </row>
    <row r="1173" spans="1:24">
      <c r="A1173" s="29">
        <f t="shared" si="1219"/>
        <v>45884.749999997162</v>
      </c>
      <c r="B1173" s="30">
        <f t="shared" si="1174"/>
        <v>5000</v>
      </c>
      <c r="C1173" s="8">
        <v>25000</v>
      </c>
      <c r="D1173" s="8">
        <v>0</v>
      </c>
      <c r="E1173" s="8">
        <v>700</v>
      </c>
      <c r="F1173" s="8">
        <v>15000</v>
      </c>
      <c r="G1173" s="30">
        <f t="shared" si="1175"/>
        <v>2400</v>
      </c>
      <c r="H1173" s="8">
        <v>25000</v>
      </c>
      <c r="I1173" s="30">
        <f t="shared" si="1176"/>
        <v>5000</v>
      </c>
      <c r="J1173" s="8">
        <v>25000</v>
      </c>
      <c r="K1173" s="30">
        <f t="shared" si="1177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14.4</v>
      </c>
      <c r="O1173" s="9">
        <v>13.5</v>
      </c>
      <c r="P1173" s="9">
        <v>19.5</v>
      </c>
      <c r="Q1173" s="79">
        <f>VLOOKUP(VLOOKUP(DATEVALUE(TEXT(A1173,"m/d/yyyy")),FY24_Temp[],5,FALSE)&amp;TEXT(A1173,"-h"),Table6[],4,FALSE)</f>
        <v>1.3035714285714286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VLOOKUP(TEXT(A1173,"yy-mm")&amp;"-"&amp;IF(AND(WEEKDAY(A1173)&gt;1,WEEKDAY(A1173)&lt;7),"Wkd",TEXT(A1173,"Ddd"))&amp;"-"&amp;TEXT(A1173,"hh"),LoadTable[],5,FALSE)*0.92</f>
        <v>521.92427999999995</v>
      </c>
      <c r="U1173" s="104">
        <f>VLOOKUP(TEXT(A1173,"yy-mm")&amp;"-"&amp;IF(AND(WEEKDAY(A1173)&gt;1,WEEKDAY(A1173)&lt;7),"Wkd",TEXT(A1173,"Ddd"))&amp;"-"&amp;TEXT(A1173,"hh"),LoadTable[],6,FALSE)*T1173</f>
        <v>71088.174633119997</v>
      </c>
      <c r="V1173">
        <f t="shared" ref="V1173:W1173" si="1236">V1149</f>
        <v>2.9</v>
      </c>
      <c r="W1173">
        <f t="shared" si="1236"/>
        <v>3</v>
      </c>
      <c r="X1173" s="9">
        <v>-30.461065366666499</v>
      </c>
    </row>
    <row r="1174" spans="1:24">
      <c r="A1174" s="29">
        <f t="shared" si="1219"/>
        <v>45884.791666663827</v>
      </c>
      <c r="B1174" s="30">
        <f t="shared" si="1174"/>
        <v>5000</v>
      </c>
      <c r="C1174" s="8">
        <v>25000</v>
      </c>
      <c r="D1174" s="8">
        <v>0</v>
      </c>
      <c r="E1174" s="8">
        <v>700</v>
      </c>
      <c r="F1174" s="8">
        <v>15000</v>
      </c>
      <c r="G1174" s="30">
        <f t="shared" si="1175"/>
        <v>2400</v>
      </c>
      <c r="H1174" s="8">
        <v>25000</v>
      </c>
      <c r="I1174" s="30">
        <f t="shared" si="1176"/>
        <v>5000</v>
      </c>
      <c r="J1174" s="8">
        <v>25000</v>
      </c>
      <c r="K1174" s="30">
        <f t="shared" si="1177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14.4</v>
      </c>
      <c r="O1174" s="9">
        <v>13.5</v>
      </c>
      <c r="P1174" s="9">
        <v>19.5</v>
      </c>
      <c r="Q1174" s="79">
        <f>VLOOKUP(VLOOKUP(DATEVALUE(TEXT(A1174,"m/d/yyyy")),FY24_Temp[],5,FALSE)&amp;TEXT(A1174,"-h"),Table6[],4,FALSE)</f>
        <v>2.0524285861424039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VLOOKUP(TEXT(A1174,"yy-mm")&amp;"-"&amp;IF(AND(WEEKDAY(A1174)&gt;1,WEEKDAY(A1174)&lt;7),"Wkd",TEXT(A1174,"Ddd"))&amp;"-"&amp;TEXT(A1174,"hh"),LoadTable[],5,FALSE)*0.92</f>
        <v>521.92427999999995</v>
      </c>
      <c r="U1174" s="104">
        <f>VLOOKUP(TEXT(A1174,"yy-mm")&amp;"-"&amp;IF(AND(WEEKDAY(A1174)&gt;1,WEEKDAY(A1174)&lt;7),"Wkd",TEXT(A1174,"Ddd"))&amp;"-"&amp;TEXT(A1174,"hh"),LoadTable[],6,FALSE)*T1174</f>
        <v>75540.188741520004</v>
      </c>
      <c r="V1174">
        <f t="shared" ref="V1174:W1174" si="1237">V1150</f>
        <v>3</v>
      </c>
      <c r="W1174">
        <f t="shared" si="1237"/>
        <v>3</v>
      </c>
      <c r="X1174" s="9">
        <v>-30.5388599166665</v>
      </c>
    </row>
    <row r="1175" spans="1:24">
      <c r="A1175" s="29">
        <f t="shared" si="1219"/>
        <v>45884.833333330491</v>
      </c>
      <c r="B1175" s="30">
        <f t="shared" si="1174"/>
        <v>5000</v>
      </c>
      <c r="C1175" s="8">
        <v>25000</v>
      </c>
      <c r="D1175" s="8">
        <v>0</v>
      </c>
      <c r="E1175" s="8">
        <v>700</v>
      </c>
      <c r="F1175" s="8">
        <v>15000</v>
      </c>
      <c r="G1175" s="30">
        <f t="shared" si="1175"/>
        <v>2400</v>
      </c>
      <c r="H1175" s="8">
        <v>25000</v>
      </c>
      <c r="I1175" s="30">
        <f t="shared" si="1176"/>
        <v>5000</v>
      </c>
      <c r="J1175" s="8">
        <v>25000</v>
      </c>
      <c r="K1175" s="30">
        <f t="shared" si="1177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14.4</v>
      </c>
      <c r="O1175" s="9">
        <v>13.5</v>
      </c>
      <c r="P1175" s="9">
        <v>19.5</v>
      </c>
      <c r="Q1175" s="79">
        <f>VLOOKUP(VLOOKUP(DATEVALUE(TEXT(A1175,"m/d/yyyy")),FY24_Temp[],5,FALSE)&amp;TEXT(A1175,"-h"),Table6[],4,FALSE)</f>
        <v>2.8517142704554965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VLOOKUP(TEXT(A1175,"yy-mm")&amp;"-"&amp;IF(AND(WEEKDAY(A1175)&gt;1,WEEKDAY(A1175)&lt;7),"Wkd",TEXT(A1175,"Ddd"))&amp;"-"&amp;TEXT(A1175,"hh"),LoadTable[],5,FALSE)*0.92</f>
        <v>521.92427999999995</v>
      </c>
      <c r="U1175" s="104">
        <f>VLOOKUP(TEXT(A1175,"yy-mm")&amp;"-"&amp;IF(AND(WEEKDAY(A1175)&gt;1,WEEKDAY(A1175)&lt;7),"Wkd",TEXT(A1175,"Ddd"))&amp;"-"&amp;TEXT(A1175,"hh"),LoadTable[],6,FALSE)*T1175</f>
        <v>69176.365995479995</v>
      </c>
      <c r="V1175">
        <f t="shared" ref="V1175:W1175" si="1238">V1151</f>
        <v>2.8</v>
      </c>
      <c r="W1175">
        <f t="shared" si="1238"/>
        <v>3.1</v>
      </c>
      <c r="X1175" s="9">
        <v>-30.6166544666665</v>
      </c>
    </row>
    <row r="1176" spans="1:24">
      <c r="A1176" s="29">
        <f t="shared" si="1219"/>
        <v>45884.874999997155</v>
      </c>
      <c r="B1176" s="30">
        <f t="shared" si="1174"/>
        <v>5000</v>
      </c>
      <c r="C1176" s="8">
        <v>25000</v>
      </c>
      <c r="D1176" s="8">
        <v>0</v>
      </c>
      <c r="E1176" s="8">
        <v>700</v>
      </c>
      <c r="F1176" s="8">
        <v>15000</v>
      </c>
      <c r="G1176" s="30">
        <f t="shared" si="1175"/>
        <v>2400</v>
      </c>
      <c r="H1176" s="8">
        <v>25000</v>
      </c>
      <c r="I1176" s="30">
        <f t="shared" si="1176"/>
        <v>5000</v>
      </c>
      <c r="J1176" s="8">
        <v>25000</v>
      </c>
      <c r="K1176" s="30">
        <f t="shared" si="1177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14.4</v>
      </c>
      <c r="O1176" s="9">
        <v>13.5</v>
      </c>
      <c r="P1176" s="9">
        <v>19.5</v>
      </c>
      <c r="Q1176" s="79">
        <f>VLOOKUP(VLOOKUP(DATEVALUE(TEXT(A1176,"m/d/yyyy")),FY24_Temp[],5,FALSE)&amp;TEXT(A1176,"-h"),Table6[],4,FALSE)</f>
        <v>3.1017143045152937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VLOOKUP(TEXT(A1176,"yy-mm")&amp;"-"&amp;IF(AND(WEEKDAY(A1176)&gt;1,WEEKDAY(A1176)&lt;7),"Wkd",TEXT(A1176,"Ddd"))&amp;"-"&amp;TEXT(A1176,"hh"),LoadTable[],5,FALSE)*0.92</f>
        <v>521.92427999999995</v>
      </c>
      <c r="U1176" s="104">
        <f>VLOOKUP(TEXT(A1176,"yy-mm")&amp;"-"&amp;IF(AND(WEEKDAY(A1176)&gt;1,WEEKDAY(A1176)&lt;7),"Wkd",TEXT(A1176,"Ddd"))&amp;"-"&amp;TEXT(A1176,"hh"),LoadTable[],6,FALSE)*T1176</f>
        <v>56417.405046599997</v>
      </c>
      <c r="V1176">
        <f t="shared" ref="V1176:W1176" si="1239">V1152</f>
        <v>3.5</v>
      </c>
      <c r="W1176">
        <f t="shared" si="1239"/>
        <v>3.1</v>
      </c>
      <c r="X1176" s="9">
        <v>-30.6944490166665</v>
      </c>
    </row>
    <row r="1177" spans="1:24">
      <c r="A1177" s="29">
        <f t="shared" si="1219"/>
        <v>45884.916666663819</v>
      </c>
      <c r="B1177" s="30">
        <f t="shared" si="1174"/>
        <v>5000</v>
      </c>
      <c r="C1177" s="8">
        <v>25000</v>
      </c>
      <c r="D1177" s="8">
        <v>0</v>
      </c>
      <c r="E1177" s="8">
        <v>700</v>
      </c>
      <c r="F1177" s="8">
        <v>15000</v>
      </c>
      <c r="G1177" s="30">
        <f t="shared" si="1175"/>
        <v>2400</v>
      </c>
      <c r="H1177" s="8">
        <v>25000</v>
      </c>
      <c r="I1177" s="30">
        <f t="shared" si="1176"/>
        <v>5000</v>
      </c>
      <c r="J1177" s="8">
        <v>25000</v>
      </c>
      <c r="K1177" s="30">
        <f t="shared" si="1177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14.4</v>
      </c>
      <c r="O1177" s="9">
        <v>13.5</v>
      </c>
      <c r="P1177" s="9">
        <v>19.5</v>
      </c>
      <c r="Q1177" s="79">
        <f>VLOOKUP(VLOOKUP(DATEVALUE(TEXT(A1177,"m/d/yyyy")),FY24_Temp[],5,FALSE)&amp;TEXT(A1177,"-h"),Table6[],4,FALSE)</f>
        <v>3.0557142666407993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VLOOKUP(TEXT(A1177,"yy-mm")&amp;"-"&amp;IF(AND(WEEKDAY(A1177)&gt;1,WEEKDAY(A1177)&lt;7),"Wkd",TEXT(A1177,"Ddd"))&amp;"-"&amp;TEXT(A1177,"hh"),LoadTable[],5,FALSE)*0.92</f>
        <v>447.02432000000005</v>
      </c>
      <c r="U1177" s="104">
        <f>VLOOKUP(TEXT(A1177,"yy-mm")&amp;"-"&amp;IF(AND(WEEKDAY(A1177)&gt;1,WEEKDAY(A1177)&lt;7),"Wkd",TEXT(A1177,"Ddd"))&amp;"-"&amp;TEXT(A1177,"hh"),LoadTable[],6,FALSE)*T1177</f>
        <v>29850.49599232</v>
      </c>
      <c r="V1177">
        <f t="shared" ref="V1177:W1177" si="1240">V1153</f>
        <v>2.9</v>
      </c>
      <c r="W1177">
        <f t="shared" si="1240"/>
        <v>3.1</v>
      </c>
      <c r="X1177" s="9">
        <v>-30.7722435666665</v>
      </c>
    </row>
    <row r="1178" spans="1:24" ht="16" thickBot="1">
      <c r="A1178" s="29">
        <f t="shared" si="1219"/>
        <v>45884.958333330484</v>
      </c>
      <c r="B1178" s="30">
        <f t="shared" si="1174"/>
        <v>5000</v>
      </c>
      <c r="C1178" s="8">
        <v>25000</v>
      </c>
      <c r="D1178" s="8">
        <v>0</v>
      </c>
      <c r="E1178" s="8">
        <v>700</v>
      </c>
      <c r="F1178" s="8">
        <v>15000</v>
      </c>
      <c r="G1178" s="30">
        <f t="shared" si="1175"/>
        <v>2400</v>
      </c>
      <c r="H1178" s="8">
        <v>25000</v>
      </c>
      <c r="I1178" s="30">
        <f t="shared" si="1176"/>
        <v>5000</v>
      </c>
      <c r="J1178" s="8">
        <v>25000</v>
      </c>
      <c r="K1178" s="30">
        <f t="shared" si="1177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14.4</v>
      </c>
      <c r="O1178" s="9">
        <v>13.5</v>
      </c>
      <c r="P1178" s="9">
        <v>19.5</v>
      </c>
      <c r="Q1178" s="79">
        <f>VLOOKUP(VLOOKUP(DATEVALUE(TEXT(A1178,"m/d/yyyy")),FY24_Temp[],5,FALSE)&amp;TEXT(A1178,"-h"),Table6[],4,FALSE)</f>
        <v>2.9255714416503906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VLOOKUP(TEXT(A1178,"yy-mm")&amp;"-"&amp;IF(AND(WEEKDAY(A1178)&gt;1,WEEKDAY(A1178)&lt;7),"Wkd",TEXT(A1178,"Ddd"))&amp;"-"&amp;TEXT(A1178,"hh"),LoadTable[],5,FALSE)*0.92</f>
        <v>372.12436000000002</v>
      </c>
      <c r="U1178" s="104">
        <f>VLOOKUP(TEXT(A1178,"yy-mm")&amp;"-"&amp;IF(AND(WEEKDAY(A1178)&gt;1,WEEKDAY(A1178)&lt;7),"Wkd",TEXT(A1178,"Ddd"))&amp;"-"&amp;TEXT(A1178,"hh"),LoadTable[],6,FALSE)*T1178</f>
        <v>22421.236938720001</v>
      </c>
      <c r="V1178">
        <f t="shared" ref="V1178:W1178" si="1241">V1154</f>
        <v>3.6</v>
      </c>
      <c r="W1178">
        <f t="shared" si="1241"/>
        <v>3.1</v>
      </c>
      <c r="X1178" s="9">
        <v>-30.8500381166665</v>
      </c>
    </row>
    <row r="1179" spans="1:24" ht="16" thickBot="1">
      <c r="A1179" s="120">
        <f t="shared" si="1219"/>
        <v>45884.999999997148</v>
      </c>
      <c r="B1179" s="121">
        <f t="shared" si="1174"/>
        <v>5000</v>
      </c>
      <c r="C1179" s="114">
        <v>25000</v>
      </c>
      <c r="D1179" s="114">
        <v>0</v>
      </c>
      <c r="E1179" s="114">
        <v>700</v>
      </c>
      <c r="F1179" s="114">
        <v>15000</v>
      </c>
      <c r="G1179" s="114">
        <f t="shared" si="1175"/>
        <v>2400</v>
      </c>
      <c r="H1179" s="114">
        <v>25000</v>
      </c>
      <c r="I1179" s="114">
        <f t="shared" si="1176"/>
        <v>5000</v>
      </c>
      <c r="J1179" s="114">
        <v>25000</v>
      </c>
      <c r="K1179" s="114">
        <f t="shared" si="1177"/>
        <v>5000</v>
      </c>
      <c r="L1179" s="114">
        <v>25000</v>
      </c>
      <c r="M1179" s="115">
        <f>VLOOKUP(DATE(YEAR(A1179),MONTH(A1179),DAY(A1179)),FY24_Temp[],4,FALSE)</f>
        <v>8.5</v>
      </c>
      <c r="N1179" s="115">
        <f>VLOOKUP(DATE(YEAR(A1179),MONTH(A1179),DAY(A1179)),FY24_Temp[],3,FALSE)</f>
        <v>14.63</v>
      </c>
      <c r="O1179" s="115">
        <v>13.5</v>
      </c>
      <c r="P1179" s="115">
        <v>19.5</v>
      </c>
      <c r="Q1179" s="116">
        <f>VLOOKUP(VLOOKUP(DATEVALUE(TEXT(A1179,"m/d/yyyy")),FY24_Temp[],5,FALSE)&amp;TEXT(A1179,"-h"),Table6[],4,FALSE)</f>
        <v>2.774571418762207</v>
      </c>
      <c r="R1179" s="117">
        <v>10</v>
      </c>
      <c r="S1179" s="117">
        <v>1000</v>
      </c>
      <c r="T1179" s="100">
        <f>VLOOKUP(TEXT(A1179,"yy-mm")&amp;"-"&amp;IF(AND(WEEKDAY(A1179)&gt;1,WEEKDAY(A1179)&lt;7),"Wkd",TEXT(A1179,"Ddd"))&amp;"-"&amp;TEXT(A1179,"hh"),LoadTable[],5,FALSE)*0.92</f>
        <v>297.2244</v>
      </c>
      <c r="U1179" s="118">
        <f>VLOOKUP(TEXT(A1179,"yy-mm")&amp;"-"&amp;IF(AND(WEEKDAY(A1179)&gt;1,WEEKDAY(A1179)&lt;7),"Wkd",TEXT(A1179,"Ddd"))&amp;"-"&amp;TEXT(A1179,"hh"),LoadTable[],6,FALSE)*T1179</f>
        <v>16487.929141199998</v>
      </c>
      <c r="V1179" s="117">
        <f t="shared" ref="V1179:W1179" si="1242">V1155</f>
        <v>3</v>
      </c>
      <c r="W1179" s="117">
        <f t="shared" si="1242"/>
        <v>3.2</v>
      </c>
      <c r="X1179" s="119">
        <v>-30.9278326666665</v>
      </c>
    </row>
    <row r="1180" spans="1:24">
      <c r="A1180" s="29">
        <f t="shared" si="1219"/>
        <v>45885.041666663812</v>
      </c>
      <c r="B1180" s="30">
        <f t="shared" ref="B1180:B1243" si="1243">B1156</f>
        <v>5000</v>
      </c>
      <c r="C1180" s="8">
        <v>25000</v>
      </c>
      <c r="D1180" s="8">
        <v>0</v>
      </c>
      <c r="E1180" s="8">
        <v>700</v>
      </c>
      <c r="F1180" s="8">
        <v>15000</v>
      </c>
      <c r="G1180" s="30">
        <f t="shared" ref="G1180:G1243" si="1244">G1156</f>
        <v>2400</v>
      </c>
      <c r="H1180" s="8">
        <v>25000</v>
      </c>
      <c r="I1180" s="30">
        <f t="shared" ref="I1180:I1243" si="1245">I1156</f>
        <v>5000</v>
      </c>
      <c r="J1180" s="8">
        <v>25000</v>
      </c>
      <c r="K1180" s="30">
        <f t="shared" ref="K1180:K1243" si="1246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14.63</v>
      </c>
      <c r="O1180" s="9">
        <v>13.5</v>
      </c>
      <c r="P1180" s="9">
        <v>19.5</v>
      </c>
      <c r="Q1180" s="79">
        <f>VLOOKUP(VLOOKUP(DATEVALUE(TEXT(A1180,"m/d/yyyy")),FY24_Temp[],5,FALSE)&amp;TEXT(A1180,"-h"),Table6[],4,FALSE)</f>
        <v>2.6695714337485179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VLOOKUP(TEXT(A1180,"yy-mm")&amp;"-"&amp;IF(AND(WEEKDAY(A1180)&gt;1,WEEKDAY(A1180)&lt;7),"Wkd",TEXT(A1180,"Ddd"))&amp;"-"&amp;TEXT(A1180,"hh"),LoadTable[],5,FALSE)*0.92</f>
        <v>295.12680000000006</v>
      </c>
      <c r="U1180" s="104">
        <f>VLOOKUP(TEXT(A1180,"yy-mm")&amp;"-"&amp;IF(AND(WEEKDAY(A1180)&gt;1,WEEKDAY(A1180)&lt;7),"Wkd",TEXT(A1180,"Ddd"))&amp;"-"&amp;TEXT(A1180,"hh"),LoadTable[],6,FALSE)*T1180</f>
        <v>15981.706473600003</v>
      </c>
      <c r="V1180">
        <f t="shared" ref="V1180:W1180" si="1247">V1156</f>
        <v>2.6</v>
      </c>
      <c r="W1180">
        <f t="shared" si="1247"/>
        <v>3.2</v>
      </c>
      <c r="X1180" s="9">
        <v>-31.0056272166665</v>
      </c>
    </row>
    <row r="1181" spans="1:24">
      <c r="A1181" s="29">
        <f t="shared" si="1219"/>
        <v>45885.083333330476</v>
      </c>
      <c r="B1181" s="30">
        <f t="shared" si="1243"/>
        <v>5000</v>
      </c>
      <c r="C1181" s="8">
        <v>25000</v>
      </c>
      <c r="D1181" s="8">
        <v>0</v>
      </c>
      <c r="E1181" s="8">
        <v>700</v>
      </c>
      <c r="F1181" s="8">
        <v>15000</v>
      </c>
      <c r="G1181" s="30">
        <f t="shared" si="1244"/>
        <v>2400</v>
      </c>
      <c r="H1181" s="8">
        <v>25000</v>
      </c>
      <c r="I1181" s="30">
        <f t="shared" si="1245"/>
        <v>5000</v>
      </c>
      <c r="J1181" s="8">
        <v>25000</v>
      </c>
      <c r="K1181" s="30">
        <f t="shared" si="124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14.63</v>
      </c>
      <c r="O1181" s="9">
        <v>13.5</v>
      </c>
      <c r="P1181" s="9">
        <v>19.5</v>
      </c>
      <c r="Q1181" s="79">
        <f>VLOOKUP(VLOOKUP(DATEVALUE(TEXT(A1181,"m/d/yyyy")),FY24_Temp[],5,FALSE)&amp;TEXT(A1181,"-h"),Table6[],4,FALSE)</f>
        <v>2.576000009264265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VLOOKUP(TEXT(A1181,"yy-mm")&amp;"-"&amp;IF(AND(WEEKDAY(A1181)&gt;1,WEEKDAY(A1181)&lt;7),"Wkd",TEXT(A1181,"Ddd"))&amp;"-"&amp;TEXT(A1181,"hh"),LoadTable[],5,FALSE)*0.92</f>
        <v>295.12680000000006</v>
      </c>
      <c r="U1181" s="104">
        <f>VLOOKUP(TEXT(A1181,"yy-mm")&amp;"-"&amp;IF(AND(WEEKDAY(A1181)&gt;1,WEEKDAY(A1181)&lt;7),"Wkd",TEXT(A1181,"Ddd"))&amp;"-"&amp;TEXT(A1181,"hh"),LoadTable[],6,FALSE)*T1181</f>
        <v>15430.704738000002</v>
      </c>
      <c r="V1181">
        <f t="shared" ref="V1181:W1181" si="1248">V1157</f>
        <v>2.8</v>
      </c>
      <c r="W1181">
        <f t="shared" si="1248"/>
        <v>3.2</v>
      </c>
      <c r="X1181" s="9">
        <v>-31.0834217666665</v>
      </c>
    </row>
    <row r="1182" spans="1:24">
      <c r="A1182" s="29">
        <f t="shared" si="1219"/>
        <v>45885.124999997141</v>
      </c>
      <c r="B1182" s="30">
        <f t="shared" si="1243"/>
        <v>5000</v>
      </c>
      <c r="C1182" s="8">
        <v>25000</v>
      </c>
      <c r="D1182" s="8">
        <v>0</v>
      </c>
      <c r="E1182" s="8">
        <v>700</v>
      </c>
      <c r="F1182" s="8">
        <v>15000</v>
      </c>
      <c r="G1182" s="30">
        <f t="shared" si="1244"/>
        <v>2400</v>
      </c>
      <c r="H1182" s="8">
        <v>25000</v>
      </c>
      <c r="I1182" s="30">
        <f t="shared" si="1245"/>
        <v>5000</v>
      </c>
      <c r="J1182" s="8">
        <v>25000</v>
      </c>
      <c r="K1182" s="30">
        <f t="shared" si="124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14.63</v>
      </c>
      <c r="O1182" s="9">
        <v>13.5</v>
      </c>
      <c r="P1182" s="9">
        <v>19.5</v>
      </c>
      <c r="Q1182" s="79">
        <f>VLOOKUP(VLOOKUP(DATEVALUE(TEXT(A1182,"m/d/yyyy")),FY24_Temp[],5,FALSE)&amp;TEXT(A1182,"-h"),Table6[],4,FALSE)</f>
        <v>2.4292857306344167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VLOOKUP(TEXT(A1182,"yy-mm")&amp;"-"&amp;IF(AND(WEEKDAY(A1182)&gt;1,WEEKDAY(A1182)&lt;7),"Wkd",TEXT(A1182,"Ddd"))&amp;"-"&amp;TEXT(A1182,"hh"),LoadTable[],5,FALSE)*0.92</f>
        <v>295.12680000000006</v>
      </c>
      <c r="U1182" s="104">
        <f>VLOOKUP(TEXT(A1182,"yy-mm")&amp;"-"&amp;IF(AND(WEEKDAY(A1182)&gt;1,WEEKDAY(A1182)&lt;7),"Wkd",TEXT(A1182,"Ddd"))&amp;"-"&amp;TEXT(A1182,"hh"),LoadTable[],6,FALSE)*T1182</f>
        <v>15495.632634000003</v>
      </c>
      <c r="V1182">
        <f t="shared" ref="V1182:W1182" si="1249">V1158</f>
        <v>2.7</v>
      </c>
      <c r="W1182">
        <f t="shared" si="1249"/>
        <v>3.2</v>
      </c>
      <c r="X1182" s="9">
        <v>-31.161216316666501</v>
      </c>
    </row>
    <row r="1183" spans="1:24">
      <c r="A1183" s="29">
        <f t="shared" si="1219"/>
        <v>45885.166666663805</v>
      </c>
      <c r="B1183" s="30">
        <f t="shared" si="1243"/>
        <v>5000</v>
      </c>
      <c r="C1183" s="8">
        <v>25000</v>
      </c>
      <c r="D1183" s="8">
        <v>0</v>
      </c>
      <c r="E1183" s="8">
        <v>700</v>
      </c>
      <c r="F1183" s="8">
        <v>15000</v>
      </c>
      <c r="G1183" s="30">
        <f t="shared" si="1244"/>
        <v>2400</v>
      </c>
      <c r="H1183" s="8">
        <v>25000</v>
      </c>
      <c r="I1183" s="30">
        <f t="shared" si="1245"/>
        <v>5000</v>
      </c>
      <c r="J1183" s="8">
        <v>25000</v>
      </c>
      <c r="K1183" s="30">
        <f t="shared" si="124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14.63</v>
      </c>
      <c r="O1183" s="9">
        <v>13.5</v>
      </c>
      <c r="P1183" s="9">
        <v>19.5</v>
      </c>
      <c r="Q1183" s="79">
        <f>VLOOKUP(VLOOKUP(DATEVALUE(TEXT(A1183,"m/d/yyyy")),FY24_Temp[],5,FALSE)&amp;TEXT(A1183,"-h"),Table6[],4,FALSE)</f>
        <v>2.264857155936105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VLOOKUP(TEXT(A1183,"yy-mm")&amp;"-"&amp;IF(AND(WEEKDAY(A1183)&gt;1,WEEKDAY(A1183)&lt;7),"Wkd",TEXT(A1183,"Ddd"))&amp;"-"&amp;TEXT(A1183,"hh"),LoadTable[],5,FALSE)*0.92</f>
        <v>295.12680000000006</v>
      </c>
      <c r="U1183" s="104">
        <f>VLOOKUP(TEXT(A1183,"yy-mm")&amp;"-"&amp;IF(AND(WEEKDAY(A1183)&gt;1,WEEKDAY(A1183)&lt;7),"Wkd",TEXT(A1183,"Ddd"))&amp;"-"&amp;TEXT(A1183,"hh"),LoadTable[],6,FALSE)*T1183</f>
        <v>15580.924279200002</v>
      </c>
      <c r="V1183">
        <f t="shared" ref="V1183:W1183" si="1250">V1159</f>
        <v>3</v>
      </c>
      <c r="W1183">
        <f t="shared" si="1250"/>
        <v>3.1</v>
      </c>
      <c r="X1183" s="9">
        <v>-31.239010866666501</v>
      </c>
    </row>
    <row r="1184" spans="1:24">
      <c r="A1184" s="29">
        <f t="shared" si="1219"/>
        <v>45885.208333330469</v>
      </c>
      <c r="B1184" s="30">
        <f t="shared" si="1243"/>
        <v>5000</v>
      </c>
      <c r="C1184" s="8">
        <v>25000</v>
      </c>
      <c r="D1184" s="8">
        <v>0</v>
      </c>
      <c r="E1184" s="8">
        <v>700</v>
      </c>
      <c r="F1184" s="8">
        <v>15000</v>
      </c>
      <c r="G1184" s="30">
        <f t="shared" si="1244"/>
        <v>2400</v>
      </c>
      <c r="H1184" s="8">
        <v>25000</v>
      </c>
      <c r="I1184" s="30">
        <f t="shared" si="1245"/>
        <v>5000</v>
      </c>
      <c r="J1184" s="8">
        <v>25000</v>
      </c>
      <c r="K1184" s="30">
        <f t="shared" si="124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14.63</v>
      </c>
      <c r="O1184" s="9">
        <v>13.5</v>
      </c>
      <c r="P1184" s="9">
        <v>19.5</v>
      </c>
      <c r="Q1184" s="79">
        <f>VLOOKUP(VLOOKUP(DATEVALUE(TEXT(A1184,"m/d/yyyy")),FY24_Temp[],5,FALSE)&amp;TEXT(A1184,"-h"),Table6[],4,FALSE)</f>
        <v>2.1067142827170238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VLOOKUP(TEXT(A1184,"yy-mm")&amp;"-"&amp;IF(AND(WEEKDAY(A1184)&gt;1,WEEKDAY(A1184)&lt;7),"Wkd",TEXT(A1184,"Ddd"))&amp;"-"&amp;TEXT(A1184,"hh"),LoadTable[],5,FALSE)*0.92</f>
        <v>295.12680000000006</v>
      </c>
      <c r="U1184" s="104">
        <f>VLOOKUP(TEXT(A1184,"yy-mm")&amp;"-"&amp;IF(AND(WEEKDAY(A1184)&gt;1,WEEKDAY(A1184)&lt;7),"Wkd",TEXT(A1184,"Ddd"))&amp;"-"&amp;TEXT(A1184,"hh"),LoadTable[],6,FALSE)*T1184</f>
        <v>15706.058042400004</v>
      </c>
      <c r="V1184">
        <f t="shared" ref="V1184:W1184" si="1251">V1160</f>
        <v>2.9</v>
      </c>
      <c r="W1184">
        <f t="shared" si="1251"/>
        <v>3.1</v>
      </c>
      <c r="X1184" s="9">
        <v>-31.316805416666501</v>
      </c>
    </row>
    <row r="1185" spans="1:24">
      <c r="A1185" s="29">
        <f t="shared" si="1219"/>
        <v>45885.249999997133</v>
      </c>
      <c r="B1185" s="30">
        <f t="shared" si="1243"/>
        <v>8000</v>
      </c>
      <c r="C1185" s="8">
        <v>25000</v>
      </c>
      <c r="D1185" s="8">
        <v>0</v>
      </c>
      <c r="E1185" s="8">
        <v>700</v>
      </c>
      <c r="F1185" s="8">
        <v>15000</v>
      </c>
      <c r="G1185" s="30">
        <f t="shared" si="1244"/>
        <v>2400</v>
      </c>
      <c r="H1185" s="8">
        <v>25000</v>
      </c>
      <c r="I1185" s="30">
        <f t="shared" si="1245"/>
        <v>8000</v>
      </c>
      <c r="J1185" s="8">
        <v>25000</v>
      </c>
      <c r="K1185" s="30">
        <f t="shared" si="124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14.63</v>
      </c>
      <c r="O1185" s="9">
        <v>13.5</v>
      </c>
      <c r="P1185" s="9">
        <v>19.5</v>
      </c>
      <c r="Q1185" s="79">
        <f>VLOOKUP(VLOOKUP(DATEVALUE(TEXT(A1185,"m/d/yyyy")),FY24_Temp[],5,FALSE)&amp;TEXT(A1185,"-h"),Table6[],4,FALSE)</f>
        <v>1.992142847606114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VLOOKUP(TEXT(A1185,"yy-mm")&amp;"-"&amp;IF(AND(WEEKDAY(A1185)&gt;1,WEEKDAY(A1185)&lt;7),"Wkd",TEXT(A1185,"Ddd"))&amp;"-"&amp;TEXT(A1185,"hh"),LoadTable[],5,FALSE)*0.92</f>
        <v>295.12680000000006</v>
      </c>
      <c r="U1185" s="104">
        <f>VLOOKUP(TEXT(A1185,"yy-mm")&amp;"-"&amp;IF(AND(WEEKDAY(A1185)&gt;1,WEEKDAY(A1185)&lt;7),"Wkd",TEXT(A1185,"Ddd"))&amp;"-"&amp;TEXT(A1185,"hh"),LoadTable[],6,FALSE)*T1185</f>
        <v>19680.235531200004</v>
      </c>
      <c r="V1185">
        <f t="shared" ref="V1185:W1185" si="1252">V1161</f>
        <v>2.5</v>
      </c>
      <c r="W1185">
        <f t="shared" si="1252"/>
        <v>3.1</v>
      </c>
      <c r="X1185" s="9">
        <v>-31.394599966666501</v>
      </c>
    </row>
    <row r="1186" spans="1:24">
      <c r="A1186" s="29">
        <f t="shared" si="1219"/>
        <v>45885.291666663798</v>
      </c>
      <c r="B1186" s="30">
        <f t="shared" si="1243"/>
        <v>8000</v>
      </c>
      <c r="C1186" s="8">
        <v>25000</v>
      </c>
      <c r="D1186" s="8">
        <v>0</v>
      </c>
      <c r="E1186" s="8">
        <v>700</v>
      </c>
      <c r="F1186" s="8">
        <v>15000</v>
      </c>
      <c r="G1186" s="30">
        <f t="shared" si="1244"/>
        <v>2400</v>
      </c>
      <c r="H1186" s="8">
        <v>25000</v>
      </c>
      <c r="I1186" s="30">
        <f t="shared" si="1245"/>
        <v>8000</v>
      </c>
      <c r="J1186" s="8">
        <v>25000</v>
      </c>
      <c r="K1186" s="30">
        <f t="shared" si="124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14.63</v>
      </c>
      <c r="O1186" s="9">
        <v>13.5</v>
      </c>
      <c r="P1186" s="9">
        <v>19.5</v>
      </c>
      <c r="Q1186" s="79">
        <f>VLOOKUP(VLOOKUP(DATEVALUE(TEXT(A1186,"m/d/yyyy")),FY24_Temp[],5,FALSE)&amp;TEXT(A1186,"-h"),Table6[],4,FALSE)</f>
        <v>1.9098571368626185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VLOOKUP(TEXT(A1186,"yy-mm")&amp;"-"&amp;IF(AND(WEEKDAY(A1186)&gt;1,WEEKDAY(A1186)&lt;7),"Wkd",TEXT(A1186,"Ddd"))&amp;"-"&amp;TEXT(A1186,"hh"),LoadTable[],5,FALSE)*0.92</f>
        <v>295.12680000000006</v>
      </c>
      <c r="U1186" s="104">
        <f>VLOOKUP(TEXT(A1186,"yy-mm")&amp;"-"&amp;IF(AND(WEEKDAY(A1186)&gt;1,WEEKDAY(A1186)&lt;7),"Wkd",TEXT(A1186,"Ddd"))&amp;"-"&amp;TEXT(A1186,"hh"),LoadTable[],6,FALSE)*T1186</f>
        <v>18329.440167600005</v>
      </c>
      <c r="V1186">
        <f t="shared" ref="V1186:W1186" si="1253">V1162</f>
        <v>2.5</v>
      </c>
      <c r="W1186">
        <f t="shared" si="1253"/>
        <v>3.1</v>
      </c>
      <c r="X1186" s="9">
        <v>-31.472394516666501</v>
      </c>
    </row>
    <row r="1187" spans="1:24">
      <c r="A1187" s="29">
        <f t="shared" si="1219"/>
        <v>45885.333333330462</v>
      </c>
      <c r="B1187" s="30">
        <f t="shared" si="1243"/>
        <v>8000</v>
      </c>
      <c r="C1187" s="8">
        <v>25000</v>
      </c>
      <c r="D1187" s="8">
        <v>0</v>
      </c>
      <c r="E1187" s="8">
        <v>700</v>
      </c>
      <c r="F1187" s="8">
        <v>15000</v>
      </c>
      <c r="G1187" s="30">
        <f t="shared" si="1244"/>
        <v>2400</v>
      </c>
      <c r="H1187" s="8">
        <v>25000</v>
      </c>
      <c r="I1187" s="30">
        <f t="shared" si="1245"/>
        <v>8000</v>
      </c>
      <c r="J1187" s="8">
        <v>25000</v>
      </c>
      <c r="K1187" s="30">
        <f t="shared" si="124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14.63</v>
      </c>
      <c r="O1187" s="9">
        <v>13.5</v>
      </c>
      <c r="P1187" s="9">
        <v>19.5</v>
      </c>
      <c r="Q1187" s="79">
        <f>VLOOKUP(VLOOKUP(DATEVALUE(TEXT(A1187,"m/d/yyyy")),FY24_Temp[],5,FALSE)&amp;TEXT(A1187,"-h"),Table6[],4,FALSE)</f>
        <v>1.8045714242117745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VLOOKUP(TEXT(A1187,"yy-mm")&amp;"-"&amp;IF(AND(WEEKDAY(A1187)&gt;1,WEEKDAY(A1187)&lt;7),"Wkd",TEXT(A1187,"Ddd"))&amp;"-"&amp;TEXT(A1187,"hh"),LoadTable[],5,FALSE)*0.92</f>
        <v>295.12680000000006</v>
      </c>
      <c r="U1187" s="104">
        <f>VLOOKUP(TEXT(A1187,"yy-mm")&amp;"-"&amp;IF(AND(WEEKDAY(A1187)&gt;1,WEEKDAY(A1187)&lt;7),"Wkd",TEXT(A1187,"Ddd"))&amp;"-"&amp;TEXT(A1187,"hh"),LoadTable[],6,FALSE)*T1187</f>
        <v>15066.223140000002</v>
      </c>
      <c r="V1187">
        <f t="shared" ref="V1187:W1187" si="1254">V1163</f>
        <v>3.2</v>
      </c>
      <c r="W1187">
        <f t="shared" si="1254"/>
        <v>3</v>
      </c>
      <c r="X1187" s="9">
        <v>-31.550189066666501</v>
      </c>
    </row>
    <row r="1188" spans="1:24">
      <c r="A1188" s="29">
        <f t="shared" si="1219"/>
        <v>45885.374999997126</v>
      </c>
      <c r="B1188" s="30">
        <f t="shared" si="1243"/>
        <v>8000</v>
      </c>
      <c r="C1188" s="8">
        <v>25000</v>
      </c>
      <c r="D1188" s="8">
        <v>0</v>
      </c>
      <c r="E1188" s="8">
        <v>700</v>
      </c>
      <c r="F1188" s="8">
        <v>15000</v>
      </c>
      <c r="G1188" s="30">
        <f t="shared" si="1244"/>
        <v>2400</v>
      </c>
      <c r="H1188" s="8">
        <v>25000</v>
      </c>
      <c r="I1188" s="30">
        <f t="shared" si="1245"/>
        <v>8000</v>
      </c>
      <c r="J1188" s="8">
        <v>25000</v>
      </c>
      <c r="K1188" s="30">
        <f t="shared" si="124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14.63</v>
      </c>
      <c r="O1188" s="9">
        <v>13.5</v>
      </c>
      <c r="P1188" s="9">
        <v>19.5</v>
      </c>
      <c r="Q1188" s="79">
        <f>VLOOKUP(VLOOKUP(DATEVALUE(TEXT(A1188,"m/d/yyyy")),FY24_Temp[],5,FALSE)&amp;TEXT(A1188,"-h"),Table6[],4,FALSE)</f>
        <v>1.7064285789217268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VLOOKUP(TEXT(A1188,"yy-mm")&amp;"-"&amp;IF(AND(WEEKDAY(A1188)&gt;1,WEEKDAY(A1188)&lt;7),"Wkd",TEXT(A1188,"Ddd"))&amp;"-"&amp;TEXT(A1188,"hh"),LoadTable[],5,FALSE)*0.92</f>
        <v>295.12680000000006</v>
      </c>
      <c r="U1188" s="104">
        <f>VLOOKUP(TEXT(A1188,"yy-mm")&amp;"-"&amp;IF(AND(WEEKDAY(A1188)&gt;1,WEEKDAY(A1188)&lt;7),"Wkd",TEXT(A1188,"Ddd"))&amp;"-"&amp;TEXT(A1188,"hh"),LoadTable[],6,FALSE)*T1188</f>
        <v>13543.663978800003</v>
      </c>
      <c r="V1188">
        <f t="shared" ref="V1188:W1188" si="1255">V1164</f>
        <v>2.9</v>
      </c>
      <c r="W1188">
        <f t="shared" si="1255"/>
        <v>3</v>
      </c>
      <c r="X1188" s="9">
        <v>-31.627983616666501</v>
      </c>
    </row>
    <row r="1189" spans="1:24">
      <c r="A1189" s="29">
        <f t="shared" si="1219"/>
        <v>45885.41666666379</v>
      </c>
      <c r="B1189" s="30">
        <f t="shared" si="1243"/>
        <v>8000</v>
      </c>
      <c r="C1189" s="8">
        <v>25000</v>
      </c>
      <c r="D1189" s="8">
        <v>0</v>
      </c>
      <c r="E1189" s="8">
        <v>700</v>
      </c>
      <c r="F1189" s="8">
        <v>15000</v>
      </c>
      <c r="G1189" s="30">
        <f t="shared" si="1244"/>
        <v>2400</v>
      </c>
      <c r="H1189" s="8">
        <v>25000</v>
      </c>
      <c r="I1189" s="30">
        <f t="shared" si="1245"/>
        <v>8000</v>
      </c>
      <c r="J1189" s="8">
        <v>25000</v>
      </c>
      <c r="K1189" s="30">
        <f t="shared" si="124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14.63</v>
      </c>
      <c r="O1189" s="9">
        <v>13.5</v>
      </c>
      <c r="P1189" s="9">
        <v>19.5</v>
      </c>
      <c r="Q1189" s="79">
        <f>VLOOKUP(VLOOKUP(DATEVALUE(TEXT(A1189,"m/d/yyyy")),FY24_Temp[],5,FALSE)&amp;TEXT(A1189,"-h"),Table6[],4,FALSE)</f>
        <v>1.6218571492603846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VLOOKUP(TEXT(A1189,"yy-mm")&amp;"-"&amp;IF(AND(WEEKDAY(A1189)&gt;1,WEEKDAY(A1189)&lt;7),"Wkd",TEXT(A1189,"Ddd"))&amp;"-"&amp;TEXT(A1189,"hh"),LoadTable[],5,FALSE)*0.92</f>
        <v>295.12680000000006</v>
      </c>
      <c r="U1189" s="104">
        <f>VLOOKUP(TEXT(A1189,"yy-mm")&amp;"-"&amp;IF(AND(WEEKDAY(A1189)&gt;1,WEEKDAY(A1189)&lt;7),"Wkd",TEXT(A1189,"Ddd"))&amp;"-"&amp;TEXT(A1189,"hh"),LoadTable[],6,FALSE)*T1189</f>
        <v>13519.168454400002</v>
      </c>
      <c r="V1189">
        <f t="shared" ref="V1189:W1189" si="1256">V1165</f>
        <v>2.9</v>
      </c>
      <c r="W1189">
        <f t="shared" si="1256"/>
        <v>3</v>
      </c>
      <c r="X1189" s="9">
        <v>-31.705778166666502</v>
      </c>
    </row>
    <row r="1190" spans="1:24">
      <c r="A1190" s="29">
        <f t="shared" si="1219"/>
        <v>45885.458333330454</v>
      </c>
      <c r="B1190" s="30">
        <f t="shared" si="1243"/>
        <v>8000</v>
      </c>
      <c r="C1190" s="8">
        <v>25000</v>
      </c>
      <c r="D1190" s="8">
        <v>0</v>
      </c>
      <c r="E1190" s="8">
        <v>700</v>
      </c>
      <c r="F1190" s="8">
        <v>15000</v>
      </c>
      <c r="G1190" s="30">
        <f t="shared" si="1244"/>
        <v>2400</v>
      </c>
      <c r="H1190" s="8">
        <v>25000</v>
      </c>
      <c r="I1190" s="30">
        <f t="shared" si="1245"/>
        <v>8000</v>
      </c>
      <c r="J1190" s="8">
        <v>25000</v>
      </c>
      <c r="K1190" s="30">
        <f t="shared" si="124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14.63</v>
      </c>
      <c r="O1190" s="9">
        <v>13.5</v>
      </c>
      <c r="P1190" s="9">
        <v>19.5</v>
      </c>
      <c r="Q1190" s="79">
        <f>VLOOKUP(VLOOKUP(DATEVALUE(TEXT(A1190,"m/d/yyyy")),FY24_Temp[],5,FALSE)&amp;TEXT(A1190,"-h"),Table6[],4,FALSE)</f>
        <v>1.5159999813352312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VLOOKUP(TEXT(A1190,"yy-mm")&amp;"-"&amp;IF(AND(WEEKDAY(A1190)&gt;1,WEEKDAY(A1190)&lt;7),"Wkd",TEXT(A1190,"Ddd"))&amp;"-"&amp;TEXT(A1190,"hh"),LoadTable[],5,FALSE)*0.92</f>
        <v>295.12680000000006</v>
      </c>
      <c r="U1190" s="104">
        <f>VLOOKUP(TEXT(A1190,"yy-mm")&amp;"-"&amp;IF(AND(WEEKDAY(A1190)&gt;1,WEEKDAY(A1190)&lt;7),"Wkd",TEXT(A1190,"Ddd"))&amp;"-"&amp;TEXT(A1190,"hh"),LoadTable[],6,FALSE)*T1190</f>
        <v>13493.492422800002</v>
      </c>
      <c r="V1190">
        <f t="shared" ref="V1190:W1190" si="1257">V1166</f>
        <v>3.4</v>
      </c>
      <c r="W1190">
        <f t="shared" si="1257"/>
        <v>3</v>
      </c>
      <c r="X1190" s="9">
        <v>-31.783572716666502</v>
      </c>
    </row>
    <row r="1191" spans="1:24">
      <c r="A1191" s="29">
        <f t="shared" si="1219"/>
        <v>45885.499999997119</v>
      </c>
      <c r="B1191" s="30">
        <f t="shared" si="1243"/>
        <v>8000</v>
      </c>
      <c r="C1191" s="8">
        <v>25000</v>
      </c>
      <c r="D1191" s="8">
        <v>0</v>
      </c>
      <c r="E1191" s="8">
        <v>700</v>
      </c>
      <c r="F1191" s="8">
        <v>15000</v>
      </c>
      <c r="G1191" s="30">
        <f t="shared" si="1244"/>
        <v>2400</v>
      </c>
      <c r="H1191" s="8">
        <v>25000</v>
      </c>
      <c r="I1191" s="30">
        <f t="shared" si="1245"/>
        <v>8000</v>
      </c>
      <c r="J1191" s="8">
        <v>25000</v>
      </c>
      <c r="K1191" s="30">
        <f t="shared" si="124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14.63</v>
      </c>
      <c r="O1191" s="9">
        <v>13.5</v>
      </c>
      <c r="P1191" s="9">
        <v>19.5</v>
      </c>
      <c r="Q1191" s="79">
        <f>VLOOKUP(VLOOKUP(DATEVALUE(TEXT(A1191,"m/d/yyyy")),FY24_Temp[],5,FALSE)&amp;TEXT(A1191,"-h"),Table6[],4,FALSE)</f>
        <v>1.3808571270533971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VLOOKUP(TEXT(A1191,"yy-mm")&amp;"-"&amp;IF(AND(WEEKDAY(A1191)&gt;1,WEEKDAY(A1191)&lt;7),"Wkd",TEXT(A1191,"Ddd"))&amp;"-"&amp;TEXT(A1191,"hh"),LoadTable[],5,FALSE)*0.92</f>
        <v>295.12680000000006</v>
      </c>
      <c r="U1191" s="104">
        <f>VLOOKUP(TEXT(A1191,"yy-mm")&amp;"-"&amp;IF(AND(WEEKDAY(A1191)&gt;1,WEEKDAY(A1191)&lt;7),"Wkd",TEXT(A1191,"Ddd"))&amp;"-"&amp;TEXT(A1191,"hh"),LoadTable[],6,FALSE)*T1191</f>
        <v>13497.624198000003</v>
      </c>
      <c r="V1191">
        <f t="shared" ref="V1191:W1191" si="1258">V1167</f>
        <v>3.1</v>
      </c>
      <c r="W1191">
        <f t="shared" si="1258"/>
        <v>2.9</v>
      </c>
      <c r="X1191" s="9">
        <v>-31.861367266666502</v>
      </c>
    </row>
    <row r="1192" spans="1:24">
      <c r="A1192" s="29">
        <f t="shared" si="1219"/>
        <v>45885.541666663783</v>
      </c>
      <c r="B1192" s="30">
        <f t="shared" si="1243"/>
        <v>8000</v>
      </c>
      <c r="C1192" s="8">
        <v>25000</v>
      </c>
      <c r="D1192" s="8">
        <v>0</v>
      </c>
      <c r="E1192" s="8">
        <v>700</v>
      </c>
      <c r="F1192" s="8">
        <v>15000</v>
      </c>
      <c r="G1192" s="30">
        <f t="shared" si="1244"/>
        <v>2400</v>
      </c>
      <c r="H1192" s="8">
        <v>25000</v>
      </c>
      <c r="I1192" s="30">
        <f t="shared" si="1245"/>
        <v>8000</v>
      </c>
      <c r="J1192" s="8">
        <v>25000</v>
      </c>
      <c r="K1192" s="30">
        <f t="shared" si="124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14.63</v>
      </c>
      <c r="O1192" s="9">
        <v>13.5</v>
      </c>
      <c r="P1192" s="9">
        <v>19.5</v>
      </c>
      <c r="Q1192" s="79">
        <f>VLOOKUP(VLOOKUP(DATEVALUE(TEXT(A1192,"m/d/yyyy")),FY24_Temp[],5,FALSE)&amp;TEXT(A1192,"-h"),Table6[],4,FALSE)</f>
        <v>1.2139999866485596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VLOOKUP(TEXT(A1192,"yy-mm")&amp;"-"&amp;IF(AND(WEEKDAY(A1192)&gt;1,WEEKDAY(A1192)&lt;7),"Wkd",TEXT(A1192,"Ddd"))&amp;"-"&amp;TEXT(A1192,"hh"),LoadTable[],5,FALSE)*0.92</f>
        <v>295.12680000000006</v>
      </c>
      <c r="U1192" s="104">
        <f>VLOOKUP(TEXT(A1192,"yy-mm")&amp;"-"&amp;IF(AND(WEEKDAY(A1192)&gt;1,WEEKDAY(A1192)&lt;7),"Wkd",TEXT(A1192,"Ddd"))&amp;"-"&amp;TEXT(A1192,"hh"),LoadTable[],6,FALSE)*T1192</f>
        <v>13523.005102800002</v>
      </c>
      <c r="V1192">
        <f t="shared" ref="V1192:W1192" si="1259">V1168</f>
        <v>3.2</v>
      </c>
      <c r="W1192">
        <f t="shared" si="1259"/>
        <v>2.9</v>
      </c>
      <c r="X1192" s="9">
        <v>-31.939161816666498</v>
      </c>
    </row>
    <row r="1193" spans="1:24">
      <c r="A1193" s="29">
        <f t="shared" si="1219"/>
        <v>45885.583333330447</v>
      </c>
      <c r="B1193" s="30">
        <f t="shared" si="1243"/>
        <v>8000</v>
      </c>
      <c r="C1193" s="8">
        <v>25000</v>
      </c>
      <c r="D1193" s="8">
        <v>0</v>
      </c>
      <c r="E1193" s="8">
        <v>700</v>
      </c>
      <c r="F1193" s="8">
        <v>15000</v>
      </c>
      <c r="G1193" s="30">
        <f t="shared" si="1244"/>
        <v>2400</v>
      </c>
      <c r="H1193" s="8">
        <v>25000</v>
      </c>
      <c r="I1193" s="30">
        <f t="shared" si="1245"/>
        <v>8000</v>
      </c>
      <c r="J1193" s="8">
        <v>25000</v>
      </c>
      <c r="K1193" s="30">
        <f t="shared" si="124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14.63</v>
      </c>
      <c r="O1193" s="9">
        <v>13.5</v>
      </c>
      <c r="P1193" s="9">
        <v>19.5</v>
      </c>
      <c r="Q1193" s="79">
        <f>VLOOKUP(VLOOKUP(DATEVALUE(TEXT(A1193,"m/d/yyyy")),FY24_Temp[],5,FALSE)&amp;TEXT(A1193,"-h"),Table6[],4,FALSE)</f>
        <v>1.0331428476742335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VLOOKUP(TEXT(A1193,"yy-mm")&amp;"-"&amp;IF(AND(WEEKDAY(A1193)&gt;1,WEEKDAY(A1193)&lt;7),"Wkd",TEXT(A1193,"Ddd"))&amp;"-"&amp;TEXT(A1193,"hh"),LoadTable[],5,FALSE)*0.92</f>
        <v>295.12680000000006</v>
      </c>
      <c r="U1193" s="104">
        <f>VLOOKUP(TEXT(A1193,"yy-mm")&amp;"-"&amp;IF(AND(WEEKDAY(A1193)&gt;1,WEEKDAY(A1193)&lt;7),"Wkd",TEXT(A1193,"Ddd"))&amp;"-"&amp;TEXT(A1193,"hh"),LoadTable[],6,FALSE)*T1193</f>
        <v>13610.952889200003</v>
      </c>
      <c r="V1193">
        <f t="shared" ref="V1193:W1193" si="1260">V1169</f>
        <v>3.5</v>
      </c>
      <c r="W1193">
        <f t="shared" si="1260"/>
        <v>2.9</v>
      </c>
      <c r="X1193" s="9">
        <v>-32.016956366666498</v>
      </c>
    </row>
    <row r="1194" spans="1:24">
      <c r="A1194" s="29">
        <f t="shared" si="1219"/>
        <v>45885.624999997111</v>
      </c>
      <c r="B1194" s="30">
        <f t="shared" si="1243"/>
        <v>8000</v>
      </c>
      <c r="C1194" s="8">
        <v>25000</v>
      </c>
      <c r="D1194" s="8">
        <v>0</v>
      </c>
      <c r="E1194" s="8">
        <v>700</v>
      </c>
      <c r="F1194" s="8">
        <v>15000</v>
      </c>
      <c r="G1194" s="30">
        <f t="shared" si="1244"/>
        <v>2400</v>
      </c>
      <c r="H1194" s="8">
        <v>25000</v>
      </c>
      <c r="I1194" s="30">
        <f t="shared" si="1245"/>
        <v>8000</v>
      </c>
      <c r="J1194" s="8">
        <v>25000</v>
      </c>
      <c r="K1194" s="30">
        <f t="shared" si="124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14.63</v>
      </c>
      <c r="O1194" s="9">
        <v>13.5</v>
      </c>
      <c r="P1194" s="9">
        <v>19.5</v>
      </c>
      <c r="Q1194" s="79">
        <f>VLOOKUP(VLOOKUP(DATEVALUE(TEXT(A1194,"m/d/yyyy")),FY24_Temp[],5,FALSE)&amp;TEXT(A1194,"-h"),Table6[],4,FALSE)</f>
        <v>0.8692857112203326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VLOOKUP(TEXT(A1194,"yy-mm")&amp;"-"&amp;IF(AND(WEEKDAY(A1194)&gt;1,WEEKDAY(A1194)&lt;7),"Wkd",TEXT(A1194,"Ddd"))&amp;"-"&amp;TEXT(A1194,"hh"),LoadTable[],5,FALSE)*0.92</f>
        <v>347.07460000000003</v>
      </c>
      <c r="U1194" s="104">
        <f>VLOOKUP(TEXT(A1194,"yy-mm")&amp;"-"&amp;IF(AND(WEEKDAY(A1194)&gt;1,WEEKDAY(A1194)&lt;7),"Wkd",TEXT(A1194,"Ddd"))&amp;"-"&amp;TEXT(A1194,"hh"),LoadTable[],6,FALSE)*T1194</f>
        <v>17934.732880400003</v>
      </c>
      <c r="V1194">
        <f t="shared" ref="V1194:W1194" si="1261">V1170</f>
        <v>3.2</v>
      </c>
      <c r="W1194">
        <f t="shared" si="1261"/>
        <v>2.9</v>
      </c>
      <c r="X1194" s="9">
        <v>-32.094750916666499</v>
      </c>
    </row>
    <row r="1195" spans="1:24">
      <c r="A1195" s="29">
        <f t="shared" si="1219"/>
        <v>45885.666666663776</v>
      </c>
      <c r="B1195" s="30">
        <f t="shared" si="1243"/>
        <v>8000</v>
      </c>
      <c r="C1195" s="8">
        <v>25000</v>
      </c>
      <c r="D1195" s="8">
        <v>0</v>
      </c>
      <c r="E1195" s="8">
        <v>700</v>
      </c>
      <c r="F1195" s="8">
        <v>15000</v>
      </c>
      <c r="G1195" s="30">
        <f t="shared" si="1244"/>
        <v>2400</v>
      </c>
      <c r="H1195" s="8">
        <v>25000</v>
      </c>
      <c r="I1195" s="30">
        <f t="shared" si="1245"/>
        <v>8000</v>
      </c>
      <c r="J1195" s="8">
        <v>25000</v>
      </c>
      <c r="K1195" s="30">
        <f t="shared" si="124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14.63</v>
      </c>
      <c r="O1195" s="9">
        <v>13.5</v>
      </c>
      <c r="P1195" s="9">
        <v>19.5</v>
      </c>
      <c r="Q1195" s="79">
        <f>VLOOKUP(VLOOKUP(DATEVALUE(TEXT(A1195,"m/d/yyyy")),FY24_Temp[],5,FALSE)&amp;TEXT(A1195,"-h"),Table6[],4,FALSE)</f>
        <v>0.78099999257496422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VLOOKUP(TEXT(A1195,"yy-mm")&amp;"-"&amp;IF(AND(WEEKDAY(A1195)&gt;1,WEEKDAY(A1195)&lt;7),"Wkd",TEXT(A1195,"Ddd"))&amp;"-"&amp;TEXT(A1195,"hh"),LoadTable[],5,FALSE)*0.92</f>
        <v>406.27384000000001</v>
      </c>
      <c r="U1195" s="104">
        <f>VLOOKUP(TEXT(A1195,"yy-mm")&amp;"-"&amp;IF(AND(WEEKDAY(A1195)&gt;1,WEEKDAY(A1195)&lt;7),"Wkd",TEXT(A1195,"Ddd"))&amp;"-"&amp;TEXT(A1195,"hh"),LoadTable[],6,FALSE)*T1195</f>
        <v>24574.692033920001</v>
      </c>
      <c r="V1195">
        <f t="shared" ref="V1195:W1195" si="1262">V1171</f>
        <v>3.5</v>
      </c>
      <c r="W1195">
        <f t="shared" si="1262"/>
        <v>3</v>
      </c>
      <c r="X1195" s="9">
        <v>-32.172545466666399</v>
      </c>
    </row>
    <row r="1196" spans="1:24">
      <c r="A1196" s="29">
        <f t="shared" si="1219"/>
        <v>45885.70833333044</v>
      </c>
      <c r="B1196" s="30">
        <f t="shared" si="1243"/>
        <v>8000</v>
      </c>
      <c r="C1196" s="8">
        <v>25000</v>
      </c>
      <c r="D1196" s="8">
        <v>0</v>
      </c>
      <c r="E1196" s="8">
        <v>700</v>
      </c>
      <c r="F1196" s="8">
        <v>15000</v>
      </c>
      <c r="G1196" s="30">
        <f t="shared" si="1244"/>
        <v>2400</v>
      </c>
      <c r="H1196" s="8">
        <v>25000</v>
      </c>
      <c r="I1196" s="30">
        <f t="shared" si="1245"/>
        <v>8000</v>
      </c>
      <c r="J1196" s="8">
        <v>25000</v>
      </c>
      <c r="K1196" s="30">
        <f t="shared" si="124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14.63</v>
      </c>
      <c r="O1196" s="9">
        <v>13.5</v>
      </c>
      <c r="P1196" s="9">
        <v>19.5</v>
      </c>
      <c r="Q1196" s="79">
        <f>VLOOKUP(VLOOKUP(DATEVALUE(TEXT(A1196,"m/d/yyyy")),FY24_Temp[],5,FALSE)&amp;TEXT(A1196,"-h"),Table6[],4,FALSE)</f>
        <v>0.92514285019465858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VLOOKUP(TEXT(A1196,"yy-mm")&amp;"-"&amp;IF(AND(WEEKDAY(A1196)&gt;1,WEEKDAY(A1196)&lt;7),"Wkd",TEXT(A1196,"Ddd"))&amp;"-"&amp;TEXT(A1196,"hh"),LoadTable[],5,FALSE)*0.92</f>
        <v>521.92427999999995</v>
      </c>
      <c r="U1196" s="104">
        <f>VLOOKUP(TEXT(A1196,"yy-mm")&amp;"-"&amp;IF(AND(WEEKDAY(A1196)&gt;1,WEEKDAY(A1196)&lt;7),"Wkd",TEXT(A1196,"Ddd"))&amp;"-"&amp;TEXT(A1196,"hh"),LoadTable[],6,FALSE)*T1196</f>
        <v>43053.011932919995</v>
      </c>
      <c r="V1196">
        <f t="shared" ref="V1196:W1196" si="1263">V1172</f>
        <v>3.6</v>
      </c>
      <c r="W1196">
        <f t="shared" si="1263"/>
        <v>3</v>
      </c>
      <c r="X1196" s="9">
        <v>-32.250340016666399</v>
      </c>
    </row>
    <row r="1197" spans="1:24">
      <c r="A1197" s="29">
        <f t="shared" si="1219"/>
        <v>45885.749999997104</v>
      </c>
      <c r="B1197" s="30">
        <f t="shared" si="1243"/>
        <v>5000</v>
      </c>
      <c r="C1197" s="8">
        <v>25000</v>
      </c>
      <c r="D1197" s="8">
        <v>0</v>
      </c>
      <c r="E1197" s="8">
        <v>700</v>
      </c>
      <c r="F1197" s="8">
        <v>15000</v>
      </c>
      <c r="G1197" s="30">
        <f t="shared" si="1244"/>
        <v>2400</v>
      </c>
      <c r="H1197" s="8">
        <v>25000</v>
      </c>
      <c r="I1197" s="30">
        <f t="shared" si="1245"/>
        <v>5000</v>
      </c>
      <c r="J1197" s="8">
        <v>25000</v>
      </c>
      <c r="K1197" s="30">
        <f t="shared" si="124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14.63</v>
      </c>
      <c r="O1197" s="9">
        <v>13.5</v>
      </c>
      <c r="P1197" s="9">
        <v>19.5</v>
      </c>
      <c r="Q1197" s="79">
        <f>VLOOKUP(VLOOKUP(DATEVALUE(TEXT(A1197,"m/d/yyyy")),FY24_Temp[],5,FALSE)&amp;TEXT(A1197,"-h"),Table6[],4,FALSE)</f>
        <v>1.2939999955041068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VLOOKUP(TEXT(A1197,"yy-mm")&amp;"-"&amp;IF(AND(WEEKDAY(A1197)&gt;1,WEEKDAY(A1197)&lt;7),"Wkd",TEXT(A1197,"Ddd"))&amp;"-"&amp;TEXT(A1197,"hh"),LoadTable[],5,FALSE)*0.92</f>
        <v>521.92427999999995</v>
      </c>
      <c r="U1197" s="104">
        <f>VLOOKUP(TEXT(A1197,"yy-mm")&amp;"-"&amp;IF(AND(WEEKDAY(A1197)&gt;1,WEEKDAY(A1197)&lt;7),"Wkd",TEXT(A1197,"Ddd"))&amp;"-"&amp;TEXT(A1197,"hh"),LoadTable[],6,FALSE)*T1197</f>
        <v>63421.628884199992</v>
      </c>
      <c r="V1197">
        <f t="shared" ref="V1197:W1197" si="1264">V1173</f>
        <v>2.9</v>
      </c>
      <c r="W1197">
        <f t="shared" si="1264"/>
        <v>3</v>
      </c>
      <c r="X1197" s="9">
        <v>-32.3281345666664</v>
      </c>
    </row>
    <row r="1198" spans="1:24">
      <c r="A1198" s="29">
        <f t="shared" si="1219"/>
        <v>45885.791666663768</v>
      </c>
      <c r="B1198" s="30">
        <f t="shared" si="1243"/>
        <v>5000</v>
      </c>
      <c r="C1198" s="8">
        <v>25000</v>
      </c>
      <c r="D1198" s="8">
        <v>0</v>
      </c>
      <c r="E1198" s="8">
        <v>700</v>
      </c>
      <c r="F1198" s="8">
        <v>15000</v>
      </c>
      <c r="G1198" s="30">
        <f t="shared" si="1244"/>
        <v>2400</v>
      </c>
      <c r="H1198" s="8">
        <v>25000</v>
      </c>
      <c r="I1198" s="30">
        <f t="shared" si="1245"/>
        <v>5000</v>
      </c>
      <c r="J1198" s="8">
        <v>25000</v>
      </c>
      <c r="K1198" s="30">
        <f t="shared" si="124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14.63</v>
      </c>
      <c r="O1198" s="9">
        <v>13.5</v>
      </c>
      <c r="P1198" s="9">
        <v>19.5</v>
      </c>
      <c r="Q1198" s="79">
        <f>VLOOKUP(VLOOKUP(DATEVALUE(TEXT(A1198,"m/d/yyyy")),FY24_Temp[],5,FALSE)&amp;TEXT(A1198,"-h"),Table6[],4,FALSE)</f>
        <v>2.0332857200077603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VLOOKUP(TEXT(A1198,"yy-mm")&amp;"-"&amp;IF(AND(WEEKDAY(A1198)&gt;1,WEEKDAY(A1198)&lt;7),"Wkd",TEXT(A1198,"Ddd"))&amp;"-"&amp;TEXT(A1198,"hh"),LoadTable[],5,FALSE)*0.92</f>
        <v>521.92427999999995</v>
      </c>
      <c r="U1198" s="104">
        <f>VLOOKUP(TEXT(A1198,"yy-mm")&amp;"-"&amp;IF(AND(WEEKDAY(A1198)&gt;1,WEEKDAY(A1198)&lt;7),"Wkd",TEXT(A1198,"Ddd"))&amp;"-"&amp;TEXT(A1198,"hh"),LoadTable[],6,FALSE)*T1198</f>
        <v>68432.101972200006</v>
      </c>
      <c r="V1198">
        <f t="shared" ref="V1198:W1198" si="1265">V1174</f>
        <v>3</v>
      </c>
      <c r="W1198">
        <f t="shared" si="1265"/>
        <v>3</v>
      </c>
      <c r="X1198" s="9">
        <v>-32.4059291166664</v>
      </c>
    </row>
    <row r="1199" spans="1:24">
      <c r="A1199" s="29">
        <f t="shared" si="1219"/>
        <v>45885.833333330433</v>
      </c>
      <c r="B1199" s="30">
        <f t="shared" si="1243"/>
        <v>5000</v>
      </c>
      <c r="C1199" s="8">
        <v>25000</v>
      </c>
      <c r="D1199" s="8">
        <v>0</v>
      </c>
      <c r="E1199" s="8">
        <v>700</v>
      </c>
      <c r="F1199" s="8">
        <v>15000</v>
      </c>
      <c r="G1199" s="30">
        <f t="shared" si="1244"/>
        <v>2400</v>
      </c>
      <c r="H1199" s="8">
        <v>25000</v>
      </c>
      <c r="I1199" s="30">
        <f t="shared" si="1245"/>
        <v>5000</v>
      </c>
      <c r="J1199" s="8">
        <v>25000</v>
      </c>
      <c r="K1199" s="30">
        <f t="shared" si="124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14.63</v>
      </c>
      <c r="O1199" s="9">
        <v>13.5</v>
      </c>
      <c r="P1199" s="9">
        <v>19.5</v>
      </c>
      <c r="Q1199" s="79">
        <f>VLOOKUP(VLOOKUP(DATEVALUE(TEXT(A1199,"m/d/yyyy")),FY24_Temp[],5,FALSE)&amp;TEXT(A1199,"-h"),Table6[],4,FALSE)</f>
        <v>2.8272856644221713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VLOOKUP(TEXT(A1199,"yy-mm")&amp;"-"&amp;IF(AND(WEEKDAY(A1199)&gt;1,WEEKDAY(A1199)&lt;7),"Wkd",TEXT(A1199,"Ddd"))&amp;"-"&amp;TEXT(A1199,"hh"),LoadTable[],5,FALSE)*0.92</f>
        <v>521.92427999999995</v>
      </c>
      <c r="U1199" s="104">
        <f>VLOOKUP(TEXT(A1199,"yy-mm")&amp;"-"&amp;IF(AND(WEEKDAY(A1199)&gt;1,WEEKDAY(A1199)&lt;7),"Wkd",TEXT(A1199,"Ddd"))&amp;"-"&amp;TEXT(A1199,"hh"),LoadTable[],6,FALSE)*T1199</f>
        <v>60683.092187039998</v>
      </c>
      <c r="V1199">
        <f t="shared" ref="V1199:W1199" si="1266">V1175</f>
        <v>2.8</v>
      </c>
      <c r="W1199">
        <f t="shared" si="1266"/>
        <v>3.1</v>
      </c>
      <c r="X1199" s="9">
        <v>-32.4837236666664</v>
      </c>
    </row>
    <row r="1200" spans="1:24">
      <c r="A1200" s="29">
        <f t="shared" si="1219"/>
        <v>45885.874999997097</v>
      </c>
      <c r="B1200" s="30">
        <f t="shared" si="1243"/>
        <v>5000</v>
      </c>
      <c r="C1200" s="8">
        <v>25000</v>
      </c>
      <c r="D1200" s="8">
        <v>0</v>
      </c>
      <c r="E1200" s="8">
        <v>700</v>
      </c>
      <c r="F1200" s="8">
        <v>15000</v>
      </c>
      <c r="G1200" s="30">
        <f t="shared" si="1244"/>
        <v>2400</v>
      </c>
      <c r="H1200" s="8">
        <v>25000</v>
      </c>
      <c r="I1200" s="30">
        <f t="shared" si="1245"/>
        <v>5000</v>
      </c>
      <c r="J1200" s="8">
        <v>25000</v>
      </c>
      <c r="K1200" s="30">
        <f t="shared" si="124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14.63</v>
      </c>
      <c r="O1200" s="9">
        <v>13.5</v>
      </c>
      <c r="P1200" s="9">
        <v>19.5</v>
      </c>
      <c r="Q1200" s="79">
        <f>VLOOKUP(VLOOKUP(DATEVALUE(TEXT(A1200,"m/d/yyyy")),FY24_Temp[],5,FALSE)&amp;TEXT(A1200,"-h"),Table6[],4,FALSE)</f>
        <v>3.0739999839237759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VLOOKUP(TEXT(A1200,"yy-mm")&amp;"-"&amp;IF(AND(WEEKDAY(A1200)&gt;1,WEEKDAY(A1200)&lt;7),"Wkd",TEXT(A1200,"Ddd"))&amp;"-"&amp;TEXT(A1200,"hh"),LoadTable[],5,FALSE)*0.92</f>
        <v>521.92427999999995</v>
      </c>
      <c r="U1200" s="104">
        <f>VLOOKUP(TEXT(A1200,"yy-mm")&amp;"-"&amp;IF(AND(WEEKDAY(A1200)&gt;1,WEEKDAY(A1200)&lt;7),"Wkd",TEXT(A1200,"Ddd"))&amp;"-"&amp;TEXT(A1200,"hh"),LoadTable[],6,FALSE)*T1200</f>
        <v>49717.463064239993</v>
      </c>
      <c r="V1200">
        <f t="shared" ref="V1200:W1200" si="1267">V1176</f>
        <v>3.5</v>
      </c>
      <c r="W1200">
        <f t="shared" si="1267"/>
        <v>3.1</v>
      </c>
      <c r="X1200" s="9">
        <v>-32.5615182166664</v>
      </c>
    </row>
    <row r="1201" spans="1:24">
      <c r="A1201" s="29">
        <f t="shared" si="1219"/>
        <v>45885.916666663761</v>
      </c>
      <c r="B1201" s="30">
        <f t="shared" si="1243"/>
        <v>5000</v>
      </c>
      <c r="C1201" s="8">
        <v>25000</v>
      </c>
      <c r="D1201" s="8">
        <v>0</v>
      </c>
      <c r="E1201" s="8">
        <v>700</v>
      </c>
      <c r="F1201" s="8">
        <v>15000</v>
      </c>
      <c r="G1201" s="30">
        <f t="shared" si="1244"/>
        <v>2400</v>
      </c>
      <c r="H1201" s="8">
        <v>25000</v>
      </c>
      <c r="I1201" s="30">
        <f t="shared" si="1245"/>
        <v>5000</v>
      </c>
      <c r="J1201" s="8">
        <v>25000</v>
      </c>
      <c r="K1201" s="30">
        <f t="shared" si="124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14.63</v>
      </c>
      <c r="O1201" s="9">
        <v>13.5</v>
      </c>
      <c r="P1201" s="9">
        <v>19.5</v>
      </c>
      <c r="Q1201" s="79">
        <f>VLOOKUP(VLOOKUP(DATEVALUE(TEXT(A1201,"m/d/yyyy")),FY24_Temp[],5,FALSE)&amp;TEXT(A1201,"-h"),Table6[],4,FALSE)</f>
        <v>3.0308571543012346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VLOOKUP(TEXT(A1201,"yy-mm")&amp;"-"&amp;IF(AND(WEEKDAY(A1201)&gt;1,WEEKDAY(A1201)&lt;7),"Wkd",TEXT(A1201,"Ddd"))&amp;"-"&amp;TEXT(A1201,"hh"),LoadTable[],5,FALSE)*0.92</f>
        <v>447.02432000000005</v>
      </c>
      <c r="U1201" s="104">
        <f>VLOOKUP(TEXT(A1201,"yy-mm")&amp;"-"&amp;IF(AND(WEEKDAY(A1201)&gt;1,WEEKDAY(A1201)&lt;7),"Wkd",TEXT(A1201,"Ddd"))&amp;"-"&amp;TEXT(A1201,"hh"),LoadTable[],6,FALSE)*T1201</f>
        <v>27025.302289920004</v>
      </c>
      <c r="V1201">
        <f t="shared" ref="V1201:W1201" si="1268">V1177</f>
        <v>2.9</v>
      </c>
      <c r="W1201">
        <f t="shared" si="1268"/>
        <v>3.1</v>
      </c>
      <c r="X1201" s="9">
        <v>-32.6393127666664</v>
      </c>
    </row>
    <row r="1202" spans="1:24">
      <c r="A1202" s="29">
        <f t="shared" si="1219"/>
        <v>45885.958333330425</v>
      </c>
      <c r="B1202" s="30">
        <f t="shared" si="1243"/>
        <v>5000</v>
      </c>
      <c r="C1202" s="8">
        <v>25000</v>
      </c>
      <c r="D1202" s="8">
        <v>0</v>
      </c>
      <c r="E1202" s="8">
        <v>700</v>
      </c>
      <c r="F1202" s="8">
        <v>15000</v>
      </c>
      <c r="G1202" s="30">
        <f t="shared" si="1244"/>
        <v>2400</v>
      </c>
      <c r="H1202" s="8">
        <v>25000</v>
      </c>
      <c r="I1202" s="30">
        <f t="shared" si="1245"/>
        <v>5000</v>
      </c>
      <c r="J1202" s="8">
        <v>25000</v>
      </c>
      <c r="K1202" s="30">
        <f t="shared" si="124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14.63</v>
      </c>
      <c r="O1202" s="9">
        <v>13.5</v>
      </c>
      <c r="P1202" s="9">
        <v>19.5</v>
      </c>
      <c r="Q1202" s="79">
        <f>VLOOKUP(VLOOKUP(DATEVALUE(TEXT(A1202,"m/d/yyyy")),FY24_Temp[],5,FALSE)&amp;TEXT(A1202,"-h"),Table6[],4,FALSE)</f>
        <v>2.9022857121058871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VLOOKUP(TEXT(A1202,"yy-mm")&amp;"-"&amp;IF(AND(WEEKDAY(A1202)&gt;1,WEEKDAY(A1202)&lt;7),"Wkd",TEXT(A1202,"Ddd"))&amp;"-"&amp;TEXT(A1202,"hh"),LoadTable[],5,FALSE)*0.92</f>
        <v>372.12436000000002</v>
      </c>
      <c r="U1202" s="104">
        <f>VLOOKUP(TEXT(A1202,"yy-mm")&amp;"-"&amp;IF(AND(WEEKDAY(A1202)&gt;1,WEEKDAY(A1202)&lt;7),"Wkd",TEXT(A1202,"Ddd"))&amp;"-"&amp;TEXT(A1202,"hh"),LoadTable[],6,FALSE)*T1202</f>
        <v>20353.341870200002</v>
      </c>
      <c r="V1202">
        <f t="shared" ref="V1202:W1202" si="1269">V1178</f>
        <v>3.6</v>
      </c>
      <c r="W1202">
        <f t="shared" si="1269"/>
        <v>3.1</v>
      </c>
      <c r="X1202" s="9">
        <v>-32.7171073166664</v>
      </c>
    </row>
    <row r="1203" spans="1:24">
      <c r="A1203" s="29">
        <f t="shared" si="1219"/>
        <v>45885.99999999709</v>
      </c>
      <c r="B1203" s="30">
        <f t="shared" si="1243"/>
        <v>5000</v>
      </c>
      <c r="C1203" s="8">
        <v>25000</v>
      </c>
      <c r="D1203" s="8">
        <v>0</v>
      </c>
      <c r="E1203" s="8">
        <v>700</v>
      </c>
      <c r="F1203" s="8">
        <v>15000</v>
      </c>
      <c r="G1203" s="30">
        <f t="shared" si="1244"/>
        <v>2400</v>
      </c>
      <c r="H1203" s="8">
        <v>25000</v>
      </c>
      <c r="I1203" s="30">
        <f t="shared" si="1245"/>
        <v>5000</v>
      </c>
      <c r="J1203" s="8">
        <v>25000</v>
      </c>
      <c r="K1203" s="30">
        <f t="shared" si="124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14.63</v>
      </c>
      <c r="O1203" s="9">
        <v>13.5</v>
      </c>
      <c r="P1203" s="9">
        <v>19.5</v>
      </c>
      <c r="Q1203" s="79">
        <f>VLOOKUP(VLOOKUP(DATEVALUE(TEXT(A1203,"m/d/yyyy")),FY24_Temp[],5,FALSE)&amp;TEXT(A1203,"-h"),Table6[],4,FALSE)</f>
        <v>2.774571418762207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VLOOKUP(TEXT(A1203,"yy-mm")&amp;"-"&amp;IF(AND(WEEKDAY(A1203)&gt;1,WEEKDAY(A1203)&lt;7),"Wkd",TEXT(A1203,"Ddd"))&amp;"-"&amp;TEXT(A1203,"hh"),LoadTable[],5,FALSE)*0.92</f>
        <v>297.2244</v>
      </c>
      <c r="U1203" s="104">
        <f>VLOOKUP(TEXT(A1203,"yy-mm")&amp;"-"&amp;IF(AND(WEEKDAY(A1203)&gt;1,WEEKDAY(A1203)&lt;7),"Wkd",TEXT(A1203,"Ddd"))&amp;"-"&amp;TEXT(A1203,"hh"),LoadTable[],6,FALSE)*T1203</f>
        <v>16465.042862400001</v>
      </c>
      <c r="V1203">
        <f t="shared" ref="V1203:W1203" si="1270">V1179</f>
        <v>3</v>
      </c>
      <c r="W1203">
        <f t="shared" si="1270"/>
        <v>3.2</v>
      </c>
      <c r="X1203" s="9">
        <v>-32.7949018666664</v>
      </c>
    </row>
    <row r="1204" spans="1:24">
      <c r="A1204" s="29">
        <f t="shared" si="1219"/>
        <v>45886.041666663754</v>
      </c>
      <c r="B1204" s="30">
        <f t="shared" si="1243"/>
        <v>5000</v>
      </c>
      <c r="C1204" s="8">
        <v>25000</v>
      </c>
      <c r="D1204" s="8">
        <v>0</v>
      </c>
      <c r="E1204" s="8">
        <v>700</v>
      </c>
      <c r="F1204" s="8">
        <v>15000</v>
      </c>
      <c r="G1204" s="30">
        <f t="shared" si="1244"/>
        <v>2400</v>
      </c>
      <c r="H1204" s="8">
        <v>25000</v>
      </c>
      <c r="I1204" s="30">
        <f t="shared" si="1245"/>
        <v>5000</v>
      </c>
      <c r="J1204" s="8">
        <v>25000</v>
      </c>
      <c r="K1204" s="30">
        <f t="shared" si="124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14.63</v>
      </c>
      <c r="O1204" s="9">
        <v>13.5</v>
      </c>
      <c r="P1204" s="9">
        <v>19.5</v>
      </c>
      <c r="Q1204" s="79">
        <f>VLOOKUP(VLOOKUP(DATEVALUE(TEXT(A1204,"m/d/yyyy")),FY24_Temp[],5,FALSE)&amp;TEXT(A1204,"-h"),Table6[],4,FALSE)</f>
        <v>2.6695714337485179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VLOOKUP(TEXT(A1204,"yy-mm")&amp;"-"&amp;IF(AND(WEEKDAY(A1204)&gt;1,WEEKDAY(A1204)&lt;7),"Wkd",TEXT(A1204,"Ddd"))&amp;"-"&amp;TEXT(A1204,"hh"),LoadTable[],5,FALSE)*0.92</f>
        <v>295.12680000000006</v>
      </c>
      <c r="U1204" s="104">
        <f>VLOOKUP(TEXT(A1204,"yy-mm")&amp;"-"&amp;IF(AND(WEEKDAY(A1204)&gt;1,WEEKDAY(A1204)&lt;7),"Wkd",TEXT(A1204,"Ddd"))&amp;"-"&amp;TEXT(A1204,"hh"),LoadTable[],6,FALSE)*T1204</f>
        <v>15879.592600800002</v>
      </c>
      <c r="V1204">
        <f t="shared" ref="V1204:W1204" si="1271">V1180</f>
        <v>2.6</v>
      </c>
      <c r="W1204">
        <f t="shared" si="1271"/>
        <v>3.2</v>
      </c>
      <c r="X1204" s="9">
        <v>-32.8726964166664</v>
      </c>
    </row>
    <row r="1205" spans="1:24">
      <c r="A1205" s="29">
        <f t="shared" si="1219"/>
        <v>45886.083333330418</v>
      </c>
      <c r="B1205" s="30">
        <f t="shared" si="1243"/>
        <v>5000</v>
      </c>
      <c r="C1205" s="8">
        <v>25000</v>
      </c>
      <c r="D1205" s="8">
        <v>0</v>
      </c>
      <c r="E1205" s="8">
        <v>700</v>
      </c>
      <c r="F1205" s="8">
        <v>15000</v>
      </c>
      <c r="G1205" s="30">
        <f t="shared" si="1244"/>
        <v>2400</v>
      </c>
      <c r="H1205" s="8">
        <v>25000</v>
      </c>
      <c r="I1205" s="30">
        <f t="shared" si="1245"/>
        <v>5000</v>
      </c>
      <c r="J1205" s="8">
        <v>25000</v>
      </c>
      <c r="K1205" s="30">
        <f t="shared" si="124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14.63</v>
      </c>
      <c r="O1205" s="9">
        <v>13.5</v>
      </c>
      <c r="P1205" s="9">
        <v>19.5</v>
      </c>
      <c r="Q1205" s="79">
        <f>VLOOKUP(VLOOKUP(DATEVALUE(TEXT(A1205,"m/d/yyyy")),FY24_Temp[],5,FALSE)&amp;TEXT(A1205,"-h"),Table6[],4,FALSE)</f>
        <v>2.576000009264265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VLOOKUP(TEXT(A1205,"yy-mm")&amp;"-"&amp;IF(AND(WEEKDAY(A1205)&gt;1,WEEKDAY(A1205)&lt;7),"Wkd",TEXT(A1205,"Ddd"))&amp;"-"&amp;TEXT(A1205,"hh"),LoadTable[],5,FALSE)*0.92</f>
        <v>295.12680000000006</v>
      </c>
      <c r="U1205" s="104">
        <f>VLOOKUP(TEXT(A1205,"yy-mm")&amp;"-"&amp;IF(AND(WEEKDAY(A1205)&gt;1,WEEKDAY(A1205)&lt;7),"Wkd",TEXT(A1205,"Ddd"))&amp;"-"&amp;TEXT(A1205,"hh"),LoadTable[],6,FALSE)*T1205</f>
        <v>15515.701256400003</v>
      </c>
      <c r="V1205">
        <f t="shared" ref="V1205:W1205" si="1272">V1181</f>
        <v>2.8</v>
      </c>
      <c r="W1205">
        <f t="shared" si="1272"/>
        <v>3.2</v>
      </c>
      <c r="X1205" s="9">
        <v>-32.950490966666401</v>
      </c>
    </row>
    <row r="1206" spans="1:24">
      <c r="A1206" s="29">
        <f t="shared" si="1219"/>
        <v>45886.124999997082</v>
      </c>
      <c r="B1206" s="30">
        <f t="shared" si="1243"/>
        <v>5000</v>
      </c>
      <c r="C1206" s="8">
        <v>25000</v>
      </c>
      <c r="D1206" s="8">
        <v>0</v>
      </c>
      <c r="E1206" s="8">
        <v>700</v>
      </c>
      <c r="F1206" s="8">
        <v>15000</v>
      </c>
      <c r="G1206" s="30">
        <f t="shared" si="1244"/>
        <v>2400</v>
      </c>
      <c r="H1206" s="8">
        <v>25000</v>
      </c>
      <c r="I1206" s="30">
        <f t="shared" si="1245"/>
        <v>5000</v>
      </c>
      <c r="J1206" s="8">
        <v>25000</v>
      </c>
      <c r="K1206" s="30">
        <f t="shared" si="124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14.63</v>
      </c>
      <c r="O1206" s="9">
        <v>13.5</v>
      </c>
      <c r="P1206" s="9">
        <v>19.5</v>
      </c>
      <c r="Q1206" s="79">
        <f>VLOOKUP(VLOOKUP(DATEVALUE(TEXT(A1206,"m/d/yyyy")),FY24_Temp[],5,FALSE)&amp;TEXT(A1206,"-h"),Table6[],4,FALSE)</f>
        <v>2.4292857306344167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VLOOKUP(TEXT(A1206,"yy-mm")&amp;"-"&amp;IF(AND(WEEKDAY(A1206)&gt;1,WEEKDAY(A1206)&lt;7),"Wkd",TEXT(A1206,"Ddd"))&amp;"-"&amp;TEXT(A1206,"hh"),LoadTable[],5,FALSE)*0.92</f>
        <v>295.12680000000006</v>
      </c>
      <c r="U1206" s="104">
        <f>VLOOKUP(TEXT(A1206,"yy-mm")&amp;"-"&amp;IF(AND(WEEKDAY(A1206)&gt;1,WEEKDAY(A1206)&lt;7),"Wkd",TEXT(A1206,"Ddd"))&amp;"-"&amp;TEXT(A1206,"hh"),LoadTable[],6,FALSE)*T1206</f>
        <v>15142.956108000004</v>
      </c>
      <c r="V1206">
        <f t="shared" ref="V1206:W1206" si="1273">V1182</f>
        <v>2.7</v>
      </c>
      <c r="W1206">
        <f t="shared" si="1273"/>
        <v>3.2</v>
      </c>
      <c r="X1206" s="9">
        <v>-33.028285516666401</v>
      </c>
    </row>
    <row r="1207" spans="1:24">
      <c r="A1207" s="29">
        <f t="shared" si="1219"/>
        <v>45886.166666663747</v>
      </c>
      <c r="B1207" s="30">
        <f t="shared" si="1243"/>
        <v>5000</v>
      </c>
      <c r="C1207" s="8">
        <v>25000</v>
      </c>
      <c r="D1207" s="8">
        <v>0</v>
      </c>
      <c r="E1207" s="8">
        <v>700</v>
      </c>
      <c r="F1207" s="8">
        <v>15000</v>
      </c>
      <c r="G1207" s="30">
        <f t="shared" si="1244"/>
        <v>2400</v>
      </c>
      <c r="H1207" s="8">
        <v>25000</v>
      </c>
      <c r="I1207" s="30">
        <f t="shared" si="1245"/>
        <v>5000</v>
      </c>
      <c r="J1207" s="8">
        <v>25000</v>
      </c>
      <c r="K1207" s="30">
        <f t="shared" si="124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14.63</v>
      </c>
      <c r="O1207" s="9">
        <v>13.5</v>
      </c>
      <c r="P1207" s="9">
        <v>19.5</v>
      </c>
      <c r="Q1207" s="79">
        <f>VLOOKUP(VLOOKUP(DATEVALUE(TEXT(A1207,"m/d/yyyy")),FY24_Temp[],5,FALSE)&amp;TEXT(A1207,"-h"),Table6[],4,FALSE)</f>
        <v>2.264857155936105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VLOOKUP(TEXT(A1207,"yy-mm")&amp;"-"&amp;IF(AND(WEEKDAY(A1207)&gt;1,WEEKDAY(A1207)&lt;7),"Wkd",TEXT(A1207,"Ddd"))&amp;"-"&amp;TEXT(A1207,"hh"),LoadTable[],5,FALSE)*0.92</f>
        <v>295.12680000000006</v>
      </c>
      <c r="U1207" s="104">
        <f>VLOOKUP(TEXT(A1207,"yy-mm")&amp;"-"&amp;IF(AND(WEEKDAY(A1207)&gt;1,WEEKDAY(A1207)&lt;7),"Wkd",TEXT(A1207,"Ddd"))&amp;"-"&amp;TEXT(A1207,"hh"),LoadTable[],6,FALSE)*T1207</f>
        <v>15692.777336400004</v>
      </c>
      <c r="V1207">
        <f t="shared" ref="V1207:W1207" si="1274">V1183</f>
        <v>3</v>
      </c>
      <c r="W1207">
        <f t="shared" si="1274"/>
        <v>3.1</v>
      </c>
      <c r="X1207" s="9">
        <v>-33.106080066666401</v>
      </c>
    </row>
    <row r="1208" spans="1:24">
      <c r="A1208" s="29">
        <f t="shared" si="1219"/>
        <v>45886.208333330411</v>
      </c>
      <c r="B1208" s="30">
        <f t="shared" si="1243"/>
        <v>5000</v>
      </c>
      <c r="C1208" s="8">
        <v>25000</v>
      </c>
      <c r="D1208" s="8">
        <v>0</v>
      </c>
      <c r="E1208" s="8">
        <v>700</v>
      </c>
      <c r="F1208" s="8">
        <v>15000</v>
      </c>
      <c r="G1208" s="30">
        <f t="shared" si="1244"/>
        <v>2400</v>
      </c>
      <c r="H1208" s="8">
        <v>25000</v>
      </c>
      <c r="I1208" s="30">
        <f t="shared" si="1245"/>
        <v>5000</v>
      </c>
      <c r="J1208" s="8">
        <v>25000</v>
      </c>
      <c r="K1208" s="30">
        <f t="shared" si="124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14.63</v>
      </c>
      <c r="O1208" s="9">
        <v>13.5</v>
      </c>
      <c r="P1208" s="9">
        <v>19.5</v>
      </c>
      <c r="Q1208" s="79">
        <f>VLOOKUP(VLOOKUP(DATEVALUE(TEXT(A1208,"m/d/yyyy")),FY24_Temp[],5,FALSE)&amp;TEXT(A1208,"-h"),Table6[],4,FALSE)</f>
        <v>2.1067142827170238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VLOOKUP(TEXT(A1208,"yy-mm")&amp;"-"&amp;IF(AND(WEEKDAY(A1208)&gt;1,WEEKDAY(A1208)&lt;7),"Wkd",TEXT(A1208,"Ddd"))&amp;"-"&amp;TEXT(A1208,"hh"),LoadTable[],5,FALSE)*0.92</f>
        <v>295.12680000000006</v>
      </c>
      <c r="U1208" s="104">
        <f>VLOOKUP(TEXT(A1208,"yy-mm")&amp;"-"&amp;IF(AND(WEEKDAY(A1208)&gt;1,WEEKDAY(A1208)&lt;7),"Wkd",TEXT(A1208,"Ddd"))&amp;"-"&amp;TEXT(A1208,"hh"),LoadTable[],6,FALSE)*T1208</f>
        <v>16038.961072800003</v>
      </c>
      <c r="V1208">
        <f t="shared" ref="V1208:W1208" si="1275">V1184</f>
        <v>2.9</v>
      </c>
      <c r="W1208">
        <f t="shared" si="1275"/>
        <v>3.1</v>
      </c>
      <c r="X1208" s="9">
        <v>-33.183874616666401</v>
      </c>
    </row>
    <row r="1209" spans="1:24">
      <c r="A1209" s="29">
        <f t="shared" si="1219"/>
        <v>45886.249999997075</v>
      </c>
      <c r="B1209" s="30">
        <f t="shared" si="1243"/>
        <v>8000</v>
      </c>
      <c r="C1209" s="8">
        <v>25000</v>
      </c>
      <c r="D1209" s="8">
        <v>0</v>
      </c>
      <c r="E1209" s="8">
        <v>700</v>
      </c>
      <c r="F1209" s="8">
        <v>15000</v>
      </c>
      <c r="G1209" s="30">
        <f t="shared" si="1244"/>
        <v>2400</v>
      </c>
      <c r="H1209" s="8">
        <v>25000</v>
      </c>
      <c r="I1209" s="30">
        <f t="shared" si="1245"/>
        <v>8000</v>
      </c>
      <c r="J1209" s="8">
        <v>25000</v>
      </c>
      <c r="K1209" s="30">
        <f t="shared" si="124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14.63</v>
      </c>
      <c r="O1209" s="9">
        <v>13.5</v>
      </c>
      <c r="P1209" s="9">
        <v>19.5</v>
      </c>
      <c r="Q1209" s="79">
        <f>VLOOKUP(VLOOKUP(DATEVALUE(TEXT(A1209,"m/d/yyyy")),FY24_Temp[],5,FALSE)&amp;TEXT(A1209,"-h"),Table6[],4,FALSE)</f>
        <v>1.992142847606114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VLOOKUP(TEXT(A1209,"yy-mm")&amp;"-"&amp;IF(AND(WEEKDAY(A1209)&gt;1,WEEKDAY(A1209)&lt;7),"Wkd",TEXT(A1209,"Ddd"))&amp;"-"&amp;TEXT(A1209,"hh"),LoadTable[],5,FALSE)*0.92</f>
        <v>295.12680000000006</v>
      </c>
      <c r="U1209" s="104">
        <f>VLOOKUP(TEXT(A1209,"yy-mm")&amp;"-"&amp;IF(AND(WEEKDAY(A1209)&gt;1,WEEKDAY(A1209)&lt;7),"Wkd",TEXT(A1209,"Ddd"))&amp;"-"&amp;TEXT(A1209,"hh"),LoadTable[],6,FALSE)*T1209</f>
        <v>20378.800666800005</v>
      </c>
      <c r="V1209">
        <f t="shared" ref="V1209:W1209" si="1276">V1185</f>
        <v>2.5</v>
      </c>
      <c r="W1209">
        <f t="shared" si="1276"/>
        <v>3.1</v>
      </c>
      <c r="X1209" s="9">
        <v>-33.261669166666401</v>
      </c>
    </row>
    <row r="1210" spans="1:24">
      <c r="A1210" s="29">
        <f t="shared" si="1219"/>
        <v>45886.291666663739</v>
      </c>
      <c r="B1210" s="30">
        <f t="shared" si="1243"/>
        <v>8000</v>
      </c>
      <c r="C1210" s="8">
        <v>25000</v>
      </c>
      <c r="D1210" s="8">
        <v>0</v>
      </c>
      <c r="E1210" s="8">
        <v>700</v>
      </c>
      <c r="F1210" s="8">
        <v>15000</v>
      </c>
      <c r="G1210" s="30">
        <f t="shared" si="1244"/>
        <v>2400</v>
      </c>
      <c r="H1210" s="8">
        <v>25000</v>
      </c>
      <c r="I1210" s="30">
        <f t="shared" si="1245"/>
        <v>8000</v>
      </c>
      <c r="J1210" s="8">
        <v>25000</v>
      </c>
      <c r="K1210" s="30">
        <f t="shared" si="124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14.63</v>
      </c>
      <c r="O1210" s="9">
        <v>13.5</v>
      </c>
      <c r="P1210" s="9">
        <v>19.5</v>
      </c>
      <c r="Q1210" s="79">
        <f>VLOOKUP(VLOOKUP(DATEVALUE(TEXT(A1210,"m/d/yyyy")),FY24_Temp[],5,FALSE)&amp;TEXT(A1210,"-h"),Table6[],4,FALSE)</f>
        <v>1.9098571368626185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VLOOKUP(TEXT(A1210,"yy-mm")&amp;"-"&amp;IF(AND(WEEKDAY(A1210)&gt;1,WEEKDAY(A1210)&lt;7),"Wkd",TEXT(A1210,"Ddd"))&amp;"-"&amp;TEXT(A1210,"hh"),LoadTable[],5,FALSE)*0.92</f>
        <v>295.12680000000006</v>
      </c>
      <c r="U1210" s="104">
        <f>VLOOKUP(TEXT(A1210,"yy-mm")&amp;"-"&amp;IF(AND(WEEKDAY(A1210)&gt;1,WEEKDAY(A1210)&lt;7),"Wkd",TEXT(A1210,"Ddd"))&amp;"-"&amp;TEXT(A1210,"hh"),LoadTable[],6,FALSE)*T1210</f>
        <v>17926.592085600001</v>
      </c>
      <c r="V1210">
        <f t="shared" ref="V1210:W1210" si="1277">V1186</f>
        <v>2.5</v>
      </c>
      <c r="W1210">
        <f t="shared" si="1277"/>
        <v>3.1</v>
      </c>
      <c r="X1210" s="9">
        <v>-33.339463716666401</v>
      </c>
    </row>
    <row r="1211" spans="1:24">
      <c r="A1211" s="29">
        <f t="shared" si="1219"/>
        <v>45886.333333330404</v>
      </c>
      <c r="B1211" s="30">
        <f t="shared" si="1243"/>
        <v>8000</v>
      </c>
      <c r="C1211" s="8">
        <v>25000</v>
      </c>
      <c r="D1211" s="8">
        <v>0</v>
      </c>
      <c r="E1211" s="8">
        <v>700</v>
      </c>
      <c r="F1211" s="8">
        <v>15000</v>
      </c>
      <c r="G1211" s="30">
        <f t="shared" si="1244"/>
        <v>2400</v>
      </c>
      <c r="H1211" s="8">
        <v>25000</v>
      </c>
      <c r="I1211" s="30">
        <f t="shared" si="1245"/>
        <v>8000</v>
      </c>
      <c r="J1211" s="8">
        <v>25000</v>
      </c>
      <c r="K1211" s="30">
        <f t="shared" si="124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14.63</v>
      </c>
      <c r="O1211" s="9">
        <v>13.5</v>
      </c>
      <c r="P1211" s="9">
        <v>19.5</v>
      </c>
      <c r="Q1211" s="79">
        <f>VLOOKUP(VLOOKUP(DATEVALUE(TEXT(A1211,"m/d/yyyy")),FY24_Temp[],5,FALSE)&amp;TEXT(A1211,"-h"),Table6[],4,FALSE)</f>
        <v>1.8045714242117745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VLOOKUP(TEXT(A1211,"yy-mm")&amp;"-"&amp;IF(AND(WEEKDAY(A1211)&gt;1,WEEKDAY(A1211)&lt;7),"Wkd",TEXT(A1211,"Ddd"))&amp;"-"&amp;TEXT(A1211,"hh"),LoadTable[],5,FALSE)*0.92</f>
        <v>295.12680000000006</v>
      </c>
      <c r="U1211" s="104">
        <f>VLOOKUP(TEXT(A1211,"yy-mm")&amp;"-"&amp;IF(AND(WEEKDAY(A1211)&gt;1,WEEKDAY(A1211)&lt;7),"Wkd",TEXT(A1211,"Ddd"))&amp;"-"&amp;TEXT(A1211,"hh"),LoadTable[],6,FALSE)*T1211</f>
        <v>15446.641585200003</v>
      </c>
      <c r="V1211">
        <f t="shared" ref="V1211:W1211" si="1278">V1187</f>
        <v>3.2</v>
      </c>
      <c r="W1211">
        <f t="shared" si="1278"/>
        <v>3</v>
      </c>
      <c r="X1211" s="9">
        <v>-33.417258266666401</v>
      </c>
    </row>
    <row r="1212" spans="1:24">
      <c r="A1212" s="29">
        <f t="shared" si="1219"/>
        <v>45886.374999997068</v>
      </c>
      <c r="B1212" s="30">
        <f t="shared" si="1243"/>
        <v>8000</v>
      </c>
      <c r="C1212" s="8">
        <v>25000</v>
      </c>
      <c r="D1212" s="8">
        <v>0</v>
      </c>
      <c r="E1212" s="8">
        <v>700</v>
      </c>
      <c r="F1212" s="8">
        <v>15000</v>
      </c>
      <c r="G1212" s="30">
        <f t="shared" si="1244"/>
        <v>2400</v>
      </c>
      <c r="H1212" s="8">
        <v>25000</v>
      </c>
      <c r="I1212" s="30">
        <f t="shared" si="1245"/>
        <v>8000</v>
      </c>
      <c r="J1212" s="8">
        <v>25000</v>
      </c>
      <c r="K1212" s="30">
        <f t="shared" si="124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14.63</v>
      </c>
      <c r="O1212" s="9">
        <v>13.5</v>
      </c>
      <c r="P1212" s="9">
        <v>19.5</v>
      </c>
      <c r="Q1212" s="79">
        <f>VLOOKUP(VLOOKUP(DATEVALUE(TEXT(A1212,"m/d/yyyy")),FY24_Temp[],5,FALSE)&amp;TEXT(A1212,"-h"),Table6[],4,FALSE)</f>
        <v>1.7064285789217268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VLOOKUP(TEXT(A1212,"yy-mm")&amp;"-"&amp;IF(AND(WEEKDAY(A1212)&gt;1,WEEKDAY(A1212)&lt;7),"Wkd",TEXT(A1212,"Ddd"))&amp;"-"&amp;TEXT(A1212,"hh"),LoadTable[],5,FALSE)*0.92</f>
        <v>295.12680000000006</v>
      </c>
      <c r="U1212" s="104">
        <f>VLOOKUP(TEXT(A1212,"yy-mm")&amp;"-"&amp;IF(AND(WEEKDAY(A1212)&gt;1,WEEKDAY(A1212)&lt;7),"Wkd",TEXT(A1212,"Ddd"))&amp;"-"&amp;TEXT(A1212,"hh"),LoadTable[],6,FALSE)*T1212</f>
        <v>13546.615246800004</v>
      </c>
      <c r="V1212">
        <f t="shared" ref="V1212:W1212" si="1279">V1188</f>
        <v>2.9</v>
      </c>
      <c r="W1212">
        <f t="shared" si="1279"/>
        <v>3</v>
      </c>
      <c r="X1212" s="9">
        <v>-33.495052816666401</v>
      </c>
    </row>
    <row r="1213" spans="1:24">
      <c r="A1213" s="29">
        <f t="shared" si="1219"/>
        <v>45886.416666663732</v>
      </c>
      <c r="B1213" s="30">
        <f t="shared" si="1243"/>
        <v>8000</v>
      </c>
      <c r="C1213" s="8">
        <v>25000</v>
      </c>
      <c r="D1213" s="8">
        <v>0</v>
      </c>
      <c r="E1213" s="8">
        <v>700</v>
      </c>
      <c r="F1213" s="8">
        <v>15000</v>
      </c>
      <c r="G1213" s="30">
        <f t="shared" si="1244"/>
        <v>2400</v>
      </c>
      <c r="H1213" s="8">
        <v>25000</v>
      </c>
      <c r="I1213" s="30">
        <f t="shared" si="1245"/>
        <v>8000</v>
      </c>
      <c r="J1213" s="8">
        <v>25000</v>
      </c>
      <c r="K1213" s="30">
        <f t="shared" si="124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14.63</v>
      </c>
      <c r="O1213" s="9">
        <v>13.5</v>
      </c>
      <c r="P1213" s="9">
        <v>19.5</v>
      </c>
      <c r="Q1213" s="79">
        <f>VLOOKUP(VLOOKUP(DATEVALUE(TEXT(A1213,"m/d/yyyy")),FY24_Temp[],5,FALSE)&amp;TEXT(A1213,"-h"),Table6[],4,FALSE)</f>
        <v>1.6218571492603846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VLOOKUP(TEXT(A1213,"yy-mm")&amp;"-"&amp;IF(AND(WEEKDAY(A1213)&gt;1,WEEKDAY(A1213)&lt;7),"Wkd",TEXT(A1213,"Ddd"))&amp;"-"&amp;TEXT(A1213,"hh"),LoadTable[],5,FALSE)*0.92</f>
        <v>295.12680000000006</v>
      </c>
      <c r="U1213" s="104">
        <f>VLOOKUP(TEXT(A1213,"yy-mm")&amp;"-"&amp;IF(AND(WEEKDAY(A1213)&gt;1,WEEKDAY(A1213)&lt;7),"Wkd",TEXT(A1213,"Ddd"))&amp;"-"&amp;TEXT(A1213,"hh"),LoadTable[],6,FALSE)*T1213</f>
        <v>13514.151298800001</v>
      </c>
      <c r="V1213">
        <f t="shared" ref="V1213:W1213" si="1280">V1189</f>
        <v>2.9</v>
      </c>
      <c r="W1213">
        <f t="shared" si="1280"/>
        <v>3</v>
      </c>
      <c r="X1213" s="9">
        <v>-33.572847366666402</v>
      </c>
    </row>
    <row r="1214" spans="1:24">
      <c r="A1214" s="29">
        <f t="shared" si="1219"/>
        <v>45886.458333330396</v>
      </c>
      <c r="B1214" s="30">
        <f t="shared" si="1243"/>
        <v>8000</v>
      </c>
      <c r="C1214" s="8">
        <v>25000</v>
      </c>
      <c r="D1214" s="8">
        <v>0</v>
      </c>
      <c r="E1214" s="8">
        <v>700</v>
      </c>
      <c r="F1214" s="8">
        <v>15000</v>
      </c>
      <c r="G1214" s="30">
        <f t="shared" si="1244"/>
        <v>2400</v>
      </c>
      <c r="H1214" s="8">
        <v>25000</v>
      </c>
      <c r="I1214" s="30">
        <f t="shared" si="1245"/>
        <v>8000</v>
      </c>
      <c r="J1214" s="8">
        <v>25000</v>
      </c>
      <c r="K1214" s="30">
        <f t="shared" si="124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14.63</v>
      </c>
      <c r="O1214" s="9">
        <v>13.5</v>
      </c>
      <c r="P1214" s="9">
        <v>19.5</v>
      </c>
      <c r="Q1214" s="79">
        <f>VLOOKUP(VLOOKUP(DATEVALUE(TEXT(A1214,"m/d/yyyy")),FY24_Temp[],5,FALSE)&amp;TEXT(A1214,"-h"),Table6[],4,FALSE)</f>
        <v>1.5159999813352312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VLOOKUP(TEXT(A1214,"yy-mm")&amp;"-"&amp;IF(AND(WEEKDAY(A1214)&gt;1,WEEKDAY(A1214)&lt;7),"Wkd",TEXT(A1214,"Ddd"))&amp;"-"&amp;TEXT(A1214,"hh"),LoadTable[],5,FALSE)*0.92</f>
        <v>295.12680000000006</v>
      </c>
      <c r="U1214" s="104">
        <f>VLOOKUP(TEXT(A1214,"yy-mm")&amp;"-"&amp;IF(AND(WEEKDAY(A1214)&gt;1,WEEKDAY(A1214)&lt;7),"Wkd",TEXT(A1214,"Ddd"))&amp;"-"&amp;TEXT(A1214,"hh"),LoadTable[],6,FALSE)*T1214</f>
        <v>13498.509578400002</v>
      </c>
      <c r="V1214">
        <f t="shared" ref="V1214:W1214" si="1281">V1190</f>
        <v>3.4</v>
      </c>
      <c r="W1214">
        <f t="shared" si="1281"/>
        <v>3</v>
      </c>
      <c r="X1214" s="9">
        <v>-33.650641916666402</v>
      </c>
    </row>
    <row r="1215" spans="1:24">
      <c r="A1215" s="29">
        <f t="shared" si="1219"/>
        <v>45886.499999997061</v>
      </c>
      <c r="B1215" s="30">
        <f t="shared" si="1243"/>
        <v>8000</v>
      </c>
      <c r="C1215" s="8">
        <v>25000</v>
      </c>
      <c r="D1215" s="8">
        <v>0</v>
      </c>
      <c r="E1215" s="8">
        <v>700</v>
      </c>
      <c r="F1215" s="8">
        <v>15000</v>
      </c>
      <c r="G1215" s="30">
        <f t="shared" si="1244"/>
        <v>2400</v>
      </c>
      <c r="H1215" s="8">
        <v>25000</v>
      </c>
      <c r="I1215" s="30">
        <f t="shared" si="1245"/>
        <v>8000</v>
      </c>
      <c r="J1215" s="8">
        <v>25000</v>
      </c>
      <c r="K1215" s="30">
        <f t="shared" si="124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14.63</v>
      </c>
      <c r="O1215" s="9">
        <v>13.5</v>
      </c>
      <c r="P1215" s="9">
        <v>19.5</v>
      </c>
      <c r="Q1215" s="79">
        <f>VLOOKUP(VLOOKUP(DATEVALUE(TEXT(A1215,"m/d/yyyy")),FY24_Temp[],5,FALSE)&amp;TEXT(A1215,"-h"),Table6[],4,FALSE)</f>
        <v>1.3808571270533971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VLOOKUP(TEXT(A1215,"yy-mm")&amp;"-"&amp;IF(AND(WEEKDAY(A1215)&gt;1,WEEKDAY(A1215)&lt;7),"Wkd",TEXT(A1215,"Ddd"))&amp;"-"&amp;TEXT(A1215,"hh"),LoadTable[],5,FALSE)*0.92</f>
        <v>295.12680000000006</v>
      </c>
      <c r="U1215" s="104">
        <f>VLOOKUP(TEXT(A1215,"yy-mm")&amp;"-"&amp;IF(AND(WEEKDAY(A1215)&gt;1,WEEKDAY(A1215)&lt;7),"Wkd",TEXT(A1215,"Ddd"))&amp;"-"&amp;TEXT(A1215,"hh"),LoadTable[],6,FALSE)*T1215</f>
        <v>13497.919324800001</v>
      </c>
      <c r="V1215">
        <f t="shared" ref="V1215:W1215" si="1282">V1191</f>
        <v>3.1</v>
      </c>
      <c r="W1215">
        <f t="shared" si="1282"/>
        <v>2.9</v>
      </c>
      <c r="X1215" s="9">
        <v>-33.728436466666402</v>
      </c>
    </row>
    <row r="1216" spans="1:24">
      <c r="A1216" s="29">
        <f t="shared" si="1219"/>
        <v>45886.541666663725</v>
      </c>
      <c r="B1216" s="30">
        <f t="shared" si="1243"/>
        <v>8000</v>
      </c>
      <c r="C1216" s="8">
        <v>25000</v>
      </c>
      <c r="D1216" s="8">
        <v>0</v>
      </c>
      <c r="E1216" s="8">
        <v>700</v>
      </c>
      <c r="F1216" s="8">
        <v>15000</v>
      </c>
      <c r="G1216" s="30">
        <f t="shared" si="1244"/>
        <v>2400</v>
      </c>
      <c r="H1216" s="8">
        <v>25000</v>
      </c>
      <c r="I1216" s="30">
        <f t="shared" si="1245"/>
        <v>8000</v>
      </c>
      <c r="J1216" s="8">
        <v>25000</v>
      </c>
      <c r="K1216" s="30">
        <f t="shared" si="124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14.63</v>
      </c>
      <c r="O1216" s="9">
        <v>13.5</v>
      </c>
      <c r="P1216" s="9">
        <v>19.5</v>
      </c>
      <c r="Q1216" s="79">
        <f>VLOOKUP(VLOOKUP(DATEVALUE(TEXT(A1216,"m/d/yyyy")),FY24_Temp[],5,FALSE)&amp;TEXT(A1216,"-h"),Table6[],4,FALSE)</f>
        <v>1.2139999866485596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VLOOKUP(TEXT(A1216,"yy-mm")&amp;"-"&amp;IF(AND(WEEKDAY(A1216)&gt;1,WEEKDAY(A1216)&lt;7),"Wkd",TEXT(A1216,"Ddd"))&amp;"-"&amp;TEXT(A1216,"hh"),LoadTable[],5,FALSE)*0.92</f>
        <v>295.12680000000006</v>
      </c>
      <c r="U1216" s="104">
        <f>VLOOKUP(TEXT(A1216,"yy-mm")&amp;"-"&amp;IF(AND(WEEKDAY(A1216)&gt;1,WEEKDAY(A1216)&lt;7),"Wkd",TEXT(A1216,"Ddd"))&amp;"-"&amp;TEXT(A1216,"hh"),LoadTable[],6,FALSE)*T1216</f>
        <v>13525.366117200003</v>
      </c>
      <c r="V1216">
        <f t="shared" ref="V1216:W1216" si="1283">V1192</f>
        <v>3.2</v>
      </c>
      <c r="W1216">
        <f t="shared" si="1283"/>
        <v>2.9</v>
      </c>
      <c r="X1216" s="9">
        <v>-33.806231016666402</v>
      </c>
    </row>
    <row r="1217" spans="1:24">
      <c r="A1217" s="29">
        <f t="shared" si="1219"/>
        <v>45886.583333330389</v>
      </c>
      <c r="B1217" s="30">
        <f t="shared" si="1243"/>
        <v>8000</v>
      </c>
      <c r="C1217" s="8">
        <v>25000</v>
      </c>
      <c r="D1217" s="8">
        <v>0</v>
      </c>
      <c r="E1217" s="8">
        <v>700</v>
      </c>
      <c r="F1217" s="8">
        <v>15000</v>
      </c>
      <c r="G1217" s="30">
        <f t="shared" si="1244"/>
        <v>2400</v>
      </c>
      <c r="H1217" s="8">
        <v>25000</v>
      </c>
      <c r="I1217" s="30">
        <f t="shared" si="1245"/>
        <v>8000</v>
      </c>
      <c r="J1217" s="8">
        <v>25000</v>
      </c>
      <c r="K1217" s="30">
        <f t="shared" si="124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14.63</v>
      </c>
      <c r="O1217" s="9">
        <v>13.5</v>
      </c>
      <c r="P1217" s="9">
        <v>19.5</v>
      </c>
      <c r="Q1217" s="79">
        <f>VLOOKUP(VLOOKUP(DATEVALUE(TEXT(A1217,"m/d/yyyy")),FY24_Temp[],5,FALSE)&amp;TEXT(A1217,"-h"),Table6[],4,FALSE)</f>
        <v>1.0331428476742335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VLOOKUP(TEXT(A1217,"yy-mm")&amp;"-"&amp;IF(AND(WEEKDAY(A1217)&gt;1,WEEKDAY(A1217)&lt;7),"Wkd",TEXT(A1217,"Ddd"))&amp;"-"&amp;TEXT(A1217,"hh"),LoadTable[],5,FALSE)*0.92</f>
        <v>295.12680000000006</v>
      </c>
      <c r="U1217" s="104">
        <f>VLOOKUP(TEXT(A1217,"yy-mm")&amp;"-"&amp;IF(AND(WEEKDAY(A1217)&gt;1,WEEKDAY(A1217)&lt;7),"Wkd",TEXT(A1217,"Ddd"))&amp;"-"&amp;TEXT(A1217,"hh"),LoadTable[],6,FALSE)*T1217</f>
        <v>14151.034933200002</v>
      </c>
      <c r="V1217">
        <f t="shared" ref="V1217:W1217" si="1284">V1193</f>
        <v>3.5</v>
      </c>
      <c r="W1217">
        <f t="shared" si="1284"/>
        <v>2.9</v>
      </c>
      <c r="X1217" s="9">
        <v>-33.884025566666402</v>
      </c>
    </row>
    <row r="1218" spans="1:24">
      <c r="A1218" s="29">
        <f t="shared" si="1219"/>
        <v>45886.624999997053</v>
      </c>
      <c r="B1218" s="30">
        <f t="shared" si="1243"/>
        <v>8000</v>
      </c>
      <c r="C1218" s="8">
        <v>25000</v>
      </c>
      <c r="D1218" s="8">
        <v>0</v>
      </c>
      <c r="E1218" s="8">
        <v>700</v>
      </c>
      <c r="F1218" s="8">
        <v>15000</v>
      </c>
      <c r="G1218" s="30">
        <f t="shared" si="1244"/>
        <v>2400</v>
      </c>
      <c r="H1218" s="8">
        <v>25000</v>
      </c>
      <c r="I1218" s="30">
        <f t="shared" si="1245"/>
        <v>8000</v>
      </c>
      <c r="J1218" s="8">
        <v>25000</v>
      </c>
      <c r="K1218" s="30">
        <f t="shared" si="124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14.63</v>
      </c>
      <c r="O1218" s="9">
        <v>13.5</v>
      </c>
      <c r="P1218" s="9">
        <v>19.5</v>
      </c>
      <c r="Q1218" s="79">
        <f>VLOOKUP(VLOOKUP(DATEVALUE(TEXT(A1218,"m/d/yyyy")),FY24_Temp[],5,FALSE)&amp;TEXT(A1218,"-h"),Table6[],4,FALSE)</f>
        <v>0.8692857112203326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VLOOKUP(TEXT(A1218,"yy-mm")&amp;"-"&amp;IF(AND(WEEKDAY(A1218)&gt;1,WEEKDAY(A1218)&lt;7),"Wkd",TEXT(A1218,"Ddd"))&amp;"-"&amp;TEXT(A1218,"hh"),LoadTable[],5,FALSE)*0.92</f>
        <v>384.35300000000001</v>
      </c>
      <c r="U1218" s="104">
        <f>VLOOKUP(TEXT(A1218,"yy-mm")&amp;"-"&amp;IF(AND(WEEKDAY(A1218)&gt;1,WEEKDAY(A1218)&lt;7),"Wkd",TEXT(A1218,"Ddd"))&amp;"-"&amp;TEXT(A1218,"hh"),LoadTable[],6,FALSE)*T1218</f>
        <v>20589.021504</v>
      </c>
      <c r="V1218">
        <f t="shared" ref="V1218:W1218" si="1285">V1194</f>
        <v>3.2</v>
      </c>
      <c r="W1218">
        <f t="shared" si="1285"/>
        <v>2.9</v>
      </c>
      <c r="X1218" s="9">
        <v>-33.961820116666402</v>
      </c>
    </row>
    <row r="1219" spans="1:24">
      <c r="A1219" s="29">
        <f t="shared" si="1219"/>
        <v>45886.666666663717</v>
      </c>
      <c r="B1219" s="30">
        <f t="shared" si="1243"/>
        <v>8000</v>
      </c>
      <c r="C1219" s="8">
        <v>25000</v>
      </c>
      <c r="D1219" s="8">
        <v>0</v>
      </c>
      <c r="E1219" s="8">
        <v>700</v>
      </c>
      <c r="F1219" s="8">
        <v>15000</v>
      </c>
      <c r="G1219" s="30">
        <f t="shared" si="1244"/>
        <v>2400</v>
      </c>
      <c r="H1219" s="8">
        <v>25000</v>
      </c>
      <c r="I1219" s="30">
        <f t="shared" si="1245"/>
        <v>8000</v>
      </c>
      <c r="J1219" s="8">
        <v>25000</v>
      </c>
      <c r="K1219" s="30">
        <f t="shared" si="124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14.63</v>
      </c>
      <c r="O1219" s="9">
        <v>13.5</v>
      </c>
      <c r="P1219" s="9">
        <v>19.5</v>
      </c>
      <c r="Q1219" s="79">
        <f>VLOOKUP(VLOOKUP(DATEVALUE(TEXT(A1219,"m/d/yyyy")),FY24_Temp[],5,FALSE)&amp;TEXT(A1219,"-h"),Table6[],4,FALSE)</f>
        <v>0.78099999257496422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VLOOKUP(TEXT(A1219,"yy-mm")&amp;"-"&amp;IF(AND(WEEKDAY(A1219)&gt;1,WEEKDAY(A1219)&lt;7),"Wkd",TEXT(A1219,"Ddd"))&amp;"-"&amp;TEXT(A1219,"hh"),LoadTable[],5,FALSE)*0.92</f>
        <v>475.29131999999998</v>
      </c>
      <c r="U1219" s="104">
        <f>VLOOKUP(TEXT(A1219,"yy-mm")&amp;"-"&amp;IF(AND(WEEKDAY(A1219)&gt;1,WEEKDAY(A1219)&lt;7),"Wkd",TEXT(A1219,"Ddd"))&amp;"-"&amp;TEXT(A1219,"hh"),LoadTable[],6,FALSE)*T1219</f>
        <v>31854.974849040002</v>
      </c>
      <c r="V1219">
        <f t="shared" ref="V1219:W1219" si="1286">V1195</f>
        <v>3.5</v>
      </c>
      <c r="W1219">
        <f t="shared" si="1286"/>
        <v>3</v>
      </c>
      <c r="X1219" s="9">
        <v>-34.039614666666402</v>
      </c>
    </row>
    <row r="1220" spans="1:24">
      <c r="A1220" s="29">
        <f t="shared" si="1219"/>
        <v>45886.708333330382</v>
      </c>
      <c r="B1220" s="30">
        <f t="shared" si="1243"/>
        <v>8000</v>
      </c>
      <c r="C1220" s="8">
        <v>25000</v>
      </c>
      <c r="D1220" s="8">
        <v>0</v>
      </c>
      <c r="E1220" s="8">
        <v>700</v>
      </c>
      <c r="F1220" s="8">
        <v>15000</v>
      </c>
      <c r="G1220" s="30">
        <f t="shared" si="1244"/>
        <v>2400</v>
      </c>
      <c r="H1220" s="8">
        <v>25000</v>
      </c>
      <c r="I1220" s="30">
        <f t="shared" si="1245"/>
        <v>8000</v>
      </c>
      <c r="J1220" s="8">
        <v>25000</v>
      </c>
      <c r="K1220" s="30">
        <f t="shared" si="124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14.63</v>
      </c>
      <c r="O1220" s="9">
        <v>13.5</v>
      </c>
      <c r="P1220" s="9">
        <v>19.5</v>
      </c>
      <c r="Q1220" s="79">
        <f>VLOOKUP(VLOOKUP(DATEVALUE(TEXT(A1220,"m/d/yyyy")),FY24_Temp[],5,FALSE)&amp;TEXT(A1220,"-h"),Table6[],4,FALSE)</f>
        <v>0.92514285019465858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VLOOKUP(TEXT(A1220,"yy-mm")&amp;"-"&amp;IF(AND(WEEKDAY(A1220)&gt;1,WEEKDAY(A1220)&lt;7),"Wkd",TEXT(A1220,"Ddd"))&amp;"-"&amp;TEXT(A1220,"hh"),LoadTable[],5,FALSE)*0.92</f>
        <v>475.29131999999998</v>
      </c>
      <c r="U1220" s="104">
        <f>VLOOKUP(TEXT(A1220,"yy-mm")&amp;"-"&amp;IF(AND(WEEKDAY(A1220)&gt;1,WEEKDAY(A1220)&lt;7),"Wkd",TEXT(A1220,"Ddd"))&amp;"-"&amp;TEXT(A1220,"hh"),LoadTable[],6,FALSE)*T1220</f>
        <v>41441.125482119998</v>
      </c>
      <c r="V1220">
        <f t="shared" ref="V1220:W1220" si="1287">V1196</f>
        <v>3.6</v>
      </c>
      <c r="W1220">
        <f t="shared" si="1287"/>
        <v>3</v>
      </c>
      <c r="X1220" s="9">
        <v>-34.117409216666402</v>
      </c>
    </row>
    <row r="1221" spans="1:24">
      <c r="A1221" s="29">
        <f t="shared" ref="A1221:A1284" si="1288">A1220+TIME(1,0,0)</f>
        <v>45886.749999997046</v>
      </c>
      <c r="B1221" s="30">
        <f t="shared" si="1243"/>
        <v>5000</v>
      </c>
      <c r="C1221" s="8">
        <v>25000</v>
      </c>
      <c r="D1221" s="8">
        <v>0</v>
      </c>
      <c r="E1221" s="8">
        <v>700</v>
      </c>
      <c r="F1221" s="8">
        <v>15000</v>
      </c>
      <c r="G1221" s="30">
        <f t="shared" si="1244"/>
        <v>2400</v>
      </c>
      <c r="H1221" s="8">
        <v>25000</v>
      </c>
      <c r="I1221" s="30">
        <f t="shared" si="1245"/>
        <v>5000</v>
      </c>
      <c r="J1221" s="8">
        <v>25000</v>
      </c>
      <c r="K1221" s="30">
        <f t="shared" si="124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14.63</v>
      </c>
      <c r="O1221" s="9">
        <v>13.5</v>
      </c>
      <c r="P1221" s="9">
        <v>19.5</v>
      </c>
      <c r="Q1221" s="79">
        <f>VLOOKUP(VLOOKUP(DATEVALUE(TEXT(A1221,"m/d/yyyy")),FY24_Temp[],5,FALSE)&amp;TEXT(A1221,"-h"),Table6[],4,FALSE)</f>
        <v>1.2939999955041068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VLOOKUP(TEXT(A1221,"yy-mm")&amp;"-"&amp;IF(AND(WEEKDAY(A1221)&gt;1,WEEKDAY(A1221)&lt;7),"Wkd",TEXT(A1221,"Ddd"))&amp;"-"&amp;TEXT(A1221,"hh"),LoadTable[],5,FALSE)*0.92</f>
        <v>521.92427999999995</v>
      </c>
      <c r="U1221" s="104">
        <f>VLOOKUP(TEXT(A1221,"yy-mm")&amp;"-"&amp;IF(AND(WEEKDAY(A1221)&gt;1,WEEKDAY(A1221)&lt;7),"Wkd",TEXT(A1221,"Ddd"))&amp;"-"&amp;TEXT(A1221,"hh"),LoadTable[],6,FALSE)*T1221</f>
        <v>56599.034696039991</v>
      </c>
      <c r="V1221">
        <f t="shared" ref="V1221:W1221" si="1289">V1197</f>
        <v>2.9</v>
      </c>
      <c r="W1221">
        <f t="shared" si="1289"/>
        <v>3</v>
      </c>
      <c r="X1221" s="9">
        <v>-34.195203766666403</v>
      </c>
    </row>
    <row r="1222" spans="1:24">
      <c r="A1222" s="29">
        <f t="shared" si="1288"/>
        <v>45886.79166666371</v>
      </c>
      <c r="B1222" s="30">
        <f t="shared" si="1243"/>
        <v>5000</v>
      </c>
      <c r="C1222" s="8">
        <v>25000</v>
      </c>
      <c r="D1222" s="8">
        <v>0</v>
      </c>
      <c r="E1222" s="8">
        <v>700</v>
      </c>
      <c r="F1222" s="8">
        <v>15000</v>
      </c>
      <c r="G1222" s="30">
        <f t="shared" si="1244"/>
        <v>2400</v>
      </c>
      <c r="H1222" s="8">
        <v>25000</v>
      </c>
      <c r="I1222" s="30">
        <f t="shared" si="1245"/>
        <v>5000</v>
      </c>
      <c r="J1222" s="8">
        <v>25000</v>
      </c>
      <c r="K1222" s="30">
        <f t="shared" si="124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14.63</v>
      </c>
      <c r="O1222" s="9">
        <v>13.5</v>
      </c>
      <c r="P1222" s="9">
        <v>19.5</v>
      </c>
      <c r="Q1222" s="79">
        <f>VLOOKUP(VLOOKUP(DATEVALUE(TEXT(A1222,"m/d/yyyy")),FY24_Temp[],5,FALSE)&amp;TEXT(A1222,"-h"),Table6[],4,FALSE)</f>
        <v>2.0332857200077603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VLOOKUP(TEXT(A1222,"yy-mm")&amp;"-"&amp;IF(AND(WEEKDAY(A1222)&gt;1,WEEKDAY(A1222)&lt;7),"Wkd",TEXT(A1222,"Ddd"))&amp;"-"&amp;TEXT(A1222,"hh"),LoadTable[],5,FALSE)*0.92</f>
        <v>521.92427999999995</v>
      </c>
      <c r="U1222" s="104">
        <f>VLOOKUP(TEXT(A1222,"yy-mm")&amp;"-"&amp;IF(AND(WEEKDAY(A1222)&gt;1,WEEKDAY(A1222)&lt;7),"Wkd",TEXT(A1222,"Ddd"))&amp;"-"&amp;TEXT(A1222,"hh"),LoadTable[],6,FALSE)*T1222</f>
        <v>64978.007087159996</v>
      </c>
      <c r="V1222">
        <f t="shared" ref="V1222:W1222" si="1290">V1198</f>
        <v>3</v>
      </c>
      <c r="W1222">
        <f t="shared" si="1290"/>
        <v>3</v>
      </c>
      <c r="X1222" s="9">
        <v>-34.272998316666403</v>
      </c>
    </row>
    <row r="1223" spans="1:24">
      <c r="A1223" s="29">
        <f t="shared" si="1288"/>
        <v>45886.833333330374</v>
      </c>
      <c r="B1223" s="30">
        <f t="shared" si="1243"/>
        <v>5000</v>
      </c>
      <c r="C1223" s="8">
        <v>25000</v>
      </c>
      <c r="D1223" s="8">
        <v>0</v>
      </c>
      <c r="E1223" s="8">
        <v>700</v>
      </c>
      <c r="F1223" s="8">
        <v>15000</v>
      </c>
      <c r="G1223" s="30">
        <f t="shared" si="1244"/>
        <v>2400</v>
      </c>
      <c r="H1223" s="8">
        <v>25000</v>
      </c>
      <c r="I1223" s="30">
        <f t="shared" si="1245"/>
        <v>5000</v>
      </c>
      <c r="J1223" s="8">
        <v>25000</v>
      </c>
      <c r="K1223" s="30">
        <f t="shared" si="124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14.63</v>
      </c>
      <c r="O1223" s="9">
        <v>13.5</v>
      </c>
      <c r="P1223" s="9">
        <v>19.5</v>
      </c>
      <c r="Q1223" s="79">
        <f>VLOOKUP(VLOOKUP(DATEVALUE(TEXT(A1223,"m/d/yyyy")),FY24_Temp[],5,FALSE)&amp;TEXT(A1223,"-h"),Table6[],4,FALSE)</f>
        <v>2.8272856644221713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VLOOKUP(TEXT(A1223,"yy-mm")&amp;"-"&amp;IF(AND(WEEKDAY(A1223)&gt;1,WEEKDAY(A1223)&lt;7),"Wkd",TEXT(A1223,"Ddd"))&amp;"-"&amp;TEXT(A1223,"hh"),LoadTable[],5,FALSE)*0.92</f>
        <v>519.82668000000001</v>
      </c>
      <c r="U1223" s="104">
        <f>VLOOKUP(TEXT(A1223,"yy-mm")&amp;"-"&amp;IF(AND(WEEKDAY(A1223)&gt;1,WEEKDAY(A1223)&lt;7),"Wkd",TEXT(A1223,"Ddd"))&amp;"-"&amp;TEXT(A1223,"hh"),LoadTable[],6,FALSE)*T1223</f>
        <v>61197.635556360001</v>
      </c>
      <c r="V1223">
        <f t="shared" ref="V1223:W1223" si="1291">V1199</f>
        <v>2.8</v>
      </c>
      <c r="W1223">
        <f t="shared" si="1291"/>
        <v>3.1</v>
      </c>
      <c r="X1223" s="9">
        <v>-34.350792866666403</v>
      </c>
    </row>
    <row r="1224" spans="1:24">
      <c r="A1224" s="29">
        <f t="shared" si="1288"/>
        <v>45886.874999997039</v>
      </c>
      <c r="B1224" s="30">
        <f t="shared" si="1243"/>
        <v>5000</v>
      </c>
      <c r="C1224" s="8">
        <v>25000</v>
      </c>
      <c r="D1224" s="8">
        <v>0</v>
      </c>
      <c r="E1224" s="8">
        <v>700</v>
      </c>
      <c r="F1224" s="8">
        <v>15000</v>
      </c>
      <c r="G1224" s="30">
        <f t="shared" si="1244"/>
        <v>2400</v>
      </c>
      <c r="H1224" s="8">
        <v>25000</v>
      </c>
      <c r="I1224" s="30">
        <f t="shared" si="1245"/>
        <v>5000</v>
      </c>
      <c r="J1224" s="8">
        <v>25000</v>
      </c>
      <c r="K1224" s="30">
        <f t="shared" si="124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14.63</v>
      </c>
      <c r="O1224" s="9">
        <v>13.5</v>
      </c>
      <c r="P1224" s="9">
        <v>19.5</v>
      </c>
      <c r="Q1224" s="79">
        <f>VLOOKUP(VLOOKUP(DATEVALUE(TEXT(A1224,"m/d/yyyy")),FY24_Temp[],5,FALSE)&amp;TEXT(A1224,"-h"),Table6[],4,FALSE)</f>
        <v>3.0739999839237759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VLOOKUP(TEXT(A1224,"yy-mm")&amp;"-"&amp;IF(AND(WEEKDAY(A1224)&gt;1,WEEKDAY(A1224)&lt;7),"Wkd",TEXT(A1224,"Ddd"))&amp;"-"&amp;TEXT(A1224,"hh"),LoadTable[],5,FALSE)*0.92</f>
        <v>444.92671999999999</v>
      </c>
      <c r="U1224" s="104">
        <f>VLOOKUP(TEXT(A1224,"yy-mm")&amp;"-"&amp;IF(AND(WEEKDAY(A1224)&gt;1,WEEKDAY(A1224)&lt;7),"Wkd",TEXT(A1224,"Ddd"))&amp;"-"&amp;TEXT(A1224,"hh"),LoadTable[],6,FALSE)*T1224</f>
        <v>45470.176003840003</v>
      </c>
      <c r="V1224">
        <f t="shared" ref="V1224:W1224" si="1292">V1200</f>
        <v>3.5</v>
      </c>
      <c r="W1224">
        <f t="shared" si="1292"/>
        <v>3.1</v>
      </c>
      <c r="X1224" s="9">
        <v>-34.428587416666403</v>
      </c>
    </row>
    <row r="1225" spans="1:24">
      <c r="A1225" s="29">
        <f t="shared" si="1288"/>
        <v>45886.916666663703</v>
      </c>
      <c r="B1225" s="30">
        <f t="shared" si="1243"/>
        <v>5000</v>
      </c>
      <c r="C1225" s="8">
        <v>25000</v>
      </c>
      <c r="D1225" s="8">
        <v>0</v>
      </c>
      <c r="E1225" s="8">
        <v>700</v>
      </c>
      <c r="F1225" s="8">
        <v>15000</v>
      </c>
      <c r="G1225" s="30">
        <f t="shared" si="1244"/>
        <v>2400</v>
      </c>
      <c r="H1225" s="8">
        <v>25000</v>
      </c>
      <c r="I1225" s="30">
        <f t="shared" si="1245"/>
        <v>5000</v>
      </c>
      <c r="J1225" s="8">
        <v>25000</v>
      </c>
      <c r="K1225" s="30">
        <f t="shared" si="124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14.63</v>
      </c>
      <c r="O1225" s="9">
        <v>13.5</v>
      </c>
      <c r="P1225" s="9">
        <v>19.5</v>
      </c>
      <c r="Q1225" s="79">
        <f>VLOOKUP(VLOOKUP(DATEVALUE(TEXT(A1225,"m/d/yyyy")),FY24_Temp[],5,FALSE)&amp;TEXT(A1225,"-h"),Table6[],4,FALSE)</f>
        <v>3.0308571543012346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VLOOKUP(TEXT(A1225,"yy-mm")&amp;"-"&amp;IF(AND(WEEKDAY(A1225)&gt;1,WEEKDAY(A1225)&lt;7),"Wkd",TEXT(A1225,"Ddd"))&amp;"-"&amp;TEXT(A1225,"hh"),LoadTable[],5,FALSE)*0.92</f>
        <v>370.02675999999997</v>
      </c>
      <c r="U1225" s="104">
        <f>VLOOKUP(TEXT(A1225,"yy-mm")&amp;"-"&amp;IF(AND(WEEKDAY(A1225)&gt;1,WEEKDAY(A1225)&lt;7),"Wkd",TEXT(A1225,"Ddd"))&amp;"-"&amp;TEXT(A1225,"hh"),LoadTable[],6,FALSE)*T1225</f>
        <v>24705.206658160001</v>
      </c>
      <c r="V1225">
        <f t="shared" ref="V1225:W1225" si="1293">V1201</f>
        <v>2.9</v>
      </c>
      <c r="W1225">
        <f t="shared" si="1293"/>
        <v>3.1</v>
      </c>
      <c r="X1225" s="9">
        <v>-34.506381966666403</v>
      </c>
    </row>
    <row r="1226" spans="1:24">
      <c r="A1226" s="29">
        <f t="shared" si="1288"/>
        <v>45886.958333330367</v>
      </c>
      <c r="B1226" s="30">
        <f t="shared" si="1243"/>
        <v>5000</v>
      </c>
      <c r="C1226" s="8">
        <v>25000</v>
      </c>
      <c r="D1226" s="8">
        <v>0</v>
      </c>
      <c r="E1226" s="8">
        <v>700</v>
      </c>
      <c r="F1226" s="8">
        <v>15000</v>
      </c>
      <c r="G1226" s="30">
        <f t="shared" si="1244"/>
        <v>2400</v>
      </c>
      <c r="H1226" s="8">
        <v>25000</v>
      </c>
      <c r="I1226" s="30">
        <f t="shared" si="1245"/>
        <v>5000</v>
      </c>
      <c r="J1226" s="8">
        <v>25000</v>
      </c>
      <c r="K1226" s="30">
        <f t="shared" si="124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14.63</v>
      </c>
      <c r="O1226" s="9">
        <v>13.5</v>
      </c>
      <c r="P1226" s="9">
        <v>19.5</v>
      </c>
      <c r="Q1226" s="79">
        <f>VLOOKUP(VLOOKUP(DATEVALUE(TEXT(A1226,"m/d/yyyy")),FY24_Temp[],5,FALSE)&amp;TEXT(A1226,"-h"),Table6[],4,FALSE)</f>
        <v>2.9022857121058871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VLOOKUP(TEXT(A1226,"yy-mm")&amp;"-"&amp;IF(AND(WEEKDAY(A1226)&gt;1,WEEKDAY(A1226)&lt;7),"Wkd",TEXT(A1226,"Ddd"))&amp;"-"&amp;TEXT(A1226,"hh"),LoadTable[],5,FALSE)*0.92</f>
        <v>295.12680000000006</v>
      </c>
      <c r="U1226" s="104">
        <f>VLOOKUP(TEXT(A1226,"yy-mm")&amp;"-"&amp;IF(AND(WEEKDAY(A1226)&gt;1,WEEKDAY(A1226)&lt;7),"Wkd",TEXT(A1226,"Ddd"))&amp;"-"&amp;TEXT(A1226,"hh"),LoadTable[],6,FALSE)*T1226</f>
        <v>18122.851407600003</v>
      </c>
      <c r="V1226">
        <f t="shared" ref="V1226:W1226" si="1294">V1202</f>
        <v>3.6</v>
      </c>
      <c r="W1226">
        <f t="shared" si="1294"/>
        <v>3.1</v>
      </c>
      <c r="X1226" s="9">
        <v>-34.584176516666403</v>
      </c>
    </row>
    <row r="1227" spans="1:24">
      <c r="A1227" s="29">
        <f t="shared" si="1288"/>
        <v>45886.999999997031</v>
      </c>
      <c r="B1227" s="30">
        <f t="shared" si="1243"/>
        <v>5000</v>
      </c>
      <c r="C1227" s="8">
        <v>25000</v>
      </c>
      <c r="D1227" s="8">
        <v>0</v>
      </c>
      <c r="E1227" s="8">
        <v>700</v>
      </c>
      <c r="F1227" s="8">
        <v>15000</v>
      </c>
      <c r="G1227" s="30">
        <f t="shared" si="1244"/>
        <v>2400</v>
      </c>
      <c r="H1227" s="8">
        <v>25000</v>
      </c>
      <c r="I1227" s="30">
        <f t="shared" si="1245"/>
        <v>5000</v>
      </c>
      <c r="J1227" s="8">
        <v>25000</v>
      </c>
      <c r="K1227" s="30">
        <f t="shared" si="124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14.63</v>
      </c>
      <c r="O1227" s="9">
        <v>13.5</v>
      </c>
      <c r="P1227" s="9">
        <v>19.5</v>
      </c>
      <c r="Q1227" s="79">
        <f>VLOOKUP(VLOOKUP(DATEVALUE(TEXT(A1227,"m/d/yyyy")),FY24_Temp[],5,FALSE)&amp;TEXT(A1227,"-h"),Table6[],4,FALSE)</f>
        <v>2.774571418762207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VLOOKUP(TEXT(A1227,"yy-mm")&amp;"-"&amp;IF(AND(WEEKDAY(A1227)&gt;1,WEEKDAY(A1227)&lt;7),"Wkd",TEXT(A1227,"Ddd"))&amp;"-"&amp;TEXT(A1227,"hh"),LoadTable[],5,FALSE)*0.92</f>
        <v>297.2244</v>
      </c>
      <c r="U1227" s="104">
        <f>VLOOKUP(TEXT(A1227,"yy-mm")&amp;"-"&amp;IF(AND(WEEKDAY(A1227)&gt;1,WEEKDAY(A1227)&lt;7),"Wkd",TEXT(A1227,"Ddd"))&amp;"-"&amp;TEXT(A1227,"hh"),LoadTable[],6,FALSE)*T1227</f>
        <v>17505.031038000001</v>
      </c>
      <c r="V1227">
        <f t="shared" ref="V1227:W1227" si="1295">V1203</f>
        <v>3</v>
      </c>
      <c r="W1227">
        <f t="shared" si="1295"/>
        <v>3.2</v>
      </c>
      <c r="X1227" s="9">
        <v>-34.661971066666403</v>
      </c>
    </row>
    <row r="1228" spans="1:24">
      <c r="A1228" s="29">
        <f t="shared" si="1288"/>
        <v>45887.041666663696</v>
      </c>
      <c r="B1228" s="30">
        <f t="shared" si="1243"/>
        <v>5000</v>
      </c>
      <c r="C1228" s="8">
        <v>25000</v>
      </c>
      <c r="D1228" s="8">
        <v>0</v>
      </c>
      <c r="E1228" s="8">
        <v>700</v>
      </c>
      <c r="F1228" s="8">
        <v>15000</v>
      </c>
      <c r="G1228" s="30">
        <f t="shared" si="1244"/>
        <v>2400</v>
      </c>
      <c r="H1228" s="8">
        <v>25000</v>
      </c>
      <c r="I1228" s="30">
        <f t="shared" si="1245"/>
        <v>5000</v>
      </c>
      <c r="J1228" s="8">
        <v>25000</v>
      </c>
      <c r="K1228" s="30">
        <f t="shared" si="1246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14.63</v>
      </c>
      <c r="O1228" s="9">
        <v>13.5</v>
      </c>
      <c r="P1228" s="9">
        <v>19.5</v>
      </c>
      <c r="Q1228" s="79">
        <f>VLOOKUP(VLOOKUP(DATEVALUE(TEXT(A1228,"m/d/yyyy")),FY24_Temp[],5,FALSE)&amp;TEXT(A1228,"-h"),Table6[],4,FALSE)</f>
        <v>2.6695714337485179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VLOOKUP(TEXT(A1228,"yy-mm")&amp;"-"&amp;IF(AND(WEEKDAY(A1228)&gt;1,WEEKDAY(A1228)&lt;7),"Wkd",TEXT(A1228,"Ddd"))&amp;"-"&amp;TEXT(A1228,"hh"),LoadTable[],5,FALSE)*0.92</f>
        <v>295.12680000000006</v>
      </c>
      <c r="U1228" s="104">
        <f>VLOOKUP(TEXT(A1228,"yy-mm")&amp;"-"&amp;IF(AND(WEEKDAY(A1228)&gt;1,WEEKDAY(A1228)&lt;7),"Wkd",TEXT(A1228,"Ddd"))&amp;"-"&amp;TEXT(A1228,"hh"),LoadTable[],6,FALSE)*T1228</f>
        <v>17131.225359600001</v>
      </c>
      <c r="V1228">
        <f t="shared" ref="V1228:W1228" si="1296">V1204</f>
        <v>2.6</v>
      </c>
      <c r="W1228">
        <f t="shared" si="1296"/>
        <v>3.2</v>
      </c>
      <c r="X1228" s="9">
        <v>-34.739765616666404</v>
      </c>
    </row>
    <row r="1229" spans="1:24">
      <c r="A1229" s="29">
        <f t="shared" si="1288"/>
        <v>45887.08333333036</v>
      </c>
      <c r="B1229" s="30">
        <f t="shared" si="1243"/>
        <v>5000</v>
      </c>
      <c r="C1229" s="8">
        <v>25000</v>
      </c>
      <c r="D1229" s="8">
        <v>0</v>
      </c>
      <c r="E1229" s="8">
        <v>700</v>
      </c>
      <c r="F1229" s="8">
        <v>15000</v>
      </c>
      <c r="G1229" s="30">
        <f t="shared" si="1244"/>
        <v>2400</v>
      </c>
      <c r="H1229" s="8">
        <v>25000</v>
      </c>
      <c r="I1229" s="30">
        <f t="shared" si="1245"/>
        <v>5000</v>
      </c>
      <c r="J1229" s="8">
        <v>25000</v>
      </c>
      <c r="K1229" s="30">
        <f t="shared" si="1246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14.63</v>
      </c>
      <c r="O1229" s="9">
        <v>13.5</v>
      </c>
      <c r="P1229" s="9">
        <v>19.5</v>
      </c>
      <c r="Q1229" s="79">
        <f>VLOOKUP(VLOOKUP(DATEVALUE(TEXT(A1229,"m/d/yyyy")),FY24_Temp[],5,FALSE)&amp;TEXT(A1229,"-h"),Table6[],4,FALSE)</f>
        <v>2.576000009264265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VLOOKUP(TEXT(A1229,"yy-mm")&amp;"-"&amp;IF(AND(WEEKDAY(A1229)&gt;1,WEEKDAY(A1229)&lt;7),"Wkd",TEXT(A1229,"Ddd"))&amp;"-"&amp;TEXT(A1229,"hh"),LoadTable[],5,FALSE)*0.92</f>
        <v>295.12680000000006</v>
      </c>
      <c r="U1229" s="104">
        <f>VLOOKUP(TEXT(A1229,"yy-mm")&amp;"-"&amp;IF(AND(WEEKDAY(A1229)&gt;1,WEEKDAY(A1229)&lt;7),"Wkd",TEXT(A1229,"Ddd"))&amp;"-"&amp;TEXT(A1229,"hh"),LoadTable[],6,FALSE)*T1229</f>
        <v>16459.811889600001</v>
      </c>
      <c r="V1229">
        <f t="shared" ref="V1229:W1229" si="1297">V1205</f>
        <v>2.8</v>
      </c>
      <c r="W1229">
        <f t="shared" si="1297"/>
        <v>3.2</v>
      </c>
      <c r="X1229" s="9">
        <v>-34.817560166666397</v>
      </c>
    </row>
    <row r="1230" spans="1:24">
      <c r="A1230" s="29">
        <f t="shared" si="1288"/>
        <v>45887.124999997024</v>
      </c>
      <c r="B1230" s="30">
        <f t="shared" si="1243"/>
        <v>5000</v>
      </c>
      <c r="C1230" s="8">
        <v>25000</v>
      </c>
      <c r="D1230" s="8">
        <v>0</v>
      </c>
      <c r="E1230" s="8">
        <v>700</v>
      </c>
      <c r="F1230" s="8">
        <v>15000</v>
      </c>
      <c r="G1230" s="30">
        <f t="shared" si="1244"/>
        <v>2400</v>
      </c>
      <c r="H1230" s="8">
        <v>25000</v>
      </c>
      <c r="I1230" s="30">
        <f t="shared" si="1245"/>
        <v>5000</v>
      </c>
      <c r="J1230" s="8">
        <v>25000</v>
      </c>
      <c r="K1230" s="30">
        <f t="shared" si="1246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14.63</v>
      </c>
      <c r="O1230" s="9">
        <v>13.5</v>
      </c>
      <c r="P1230" s="9">
        <v>19.5</v>
      </c>
      <c r="Q1230" s="79">
        <f>VLOOKUP(VLOOKUP(DATEVALUE(TEXT(A1230,"m/d/yyyy")),FY24_Temp[],5,FALSE)&amp;TEXT(A1230,"-h"),Table6[],4,FALSE)</f>
        <v>2.4292857306344167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VLOOKUP(TEXT(A1230,"yy-mm")&amp;"-"&amp;IF(AND(WEEKDAY(A1230)&gt;1,WEEKDAY(A1230)&lt;7),"Wkd",TEXT(A1230,"Ddd"))&amp;"-"&amp;TEXT(A1230,"hh"),LoadTable[],5,FALSE)*0.92</f>
        <v>295.12680000000006</v>
      </c>
      <c r="U1230" s="104">
        <f>VLOOKUP(TEXT(A1230,"yy-mm")&amp;"-"&amp;IF(AND(WEEKDAY(A1230)&gt;1,WEEKDAY(A1230)&lt;7),"Wkd",TEXT(A1230,"Ddd"))&amp;"-"&amp;TEXT(A1230,"hh"),LoadTable[],6,FALSE)*T1230</f>
        <v>16610.326557600001</v>
      </c>
      <c r="V1230">
        <f t="shared" ref="V1230:W1230" si="1298">V1206</f>
        <v>2.7</v>
      </c>
      <c r="W1230">
        <f t="shared" si="1298"/>
        <v>3.2</v>
      </c>
      <c r="X1230" s="9">
        <v>-34.895354716666397</v>
      </c>
    </row>
    <row r="1231" spans="1:24">
      <c r="A1231" s="29">
        <f t="shared" si="1288"/>
        <v>45887.166666663688</v>
      </c>
      <c r="B1231" s="30">
        <f t="shared" si="1243"/>
        <v>5000</v>
      </c>
      <c r="C1231" s="8">
        <v>25000</v>
      </c>
      <c r="D1231" s="8">
        <v>0</v>
      </c>
      <c r="E1231" s="8">
        <v>700</v>
      </c>
      <c r="F1231" s="8">
        <v>15000</v>
      </c>
      <c r="G1231" s="30">
        <f t="shared" si="1244"/>
        <v>2400</v>
      </c>
      <c r="H1231" s="8">
        <v>25000</v>
      </c>
      <c r="I1231" s="30">
        <f t="shared" si="1245"/>
        <v>5000</v>
      </c>
      <c r="J1231" s="8">
        <v>25000</v>
      </c>
      <c r="K1231" s="30">
        <f t="shared" si="1246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14.63</v>
      </c>
      <c r="O1231" s="9">
        <v>13.5</v>
      </c>
      <c r="P1231" s="9">
        <v>19.5</v>
      </c>
      <c r="Q1231" s="79">
        <f>VLOOKUP(VLOOKUP(DATEVALUE(TEXT(A1231,"m/d/yyyy")),FY24_Temp[],5,FALSE)&amp;TEXT(A1231,"-h"),Table6[],4,FALSE)</f>
        <v>2.264857155936105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VLOOKUP(TEXT(A1231,"yy-mm")&amp;"-"&amp;IF(AND(WEEKDAY(A1231)&gt;1,WEEKDAY(A1231)&lt;7),"Wkd",TEXT(A1231,"Ddd"))&amp;"-"&amp;TEXT(A1231,"hh"),LoadTable[],5,FALSE)*0.92</f>
        <v>295.12680000000006</v>
      </c>
      <c r="U1231" s="104">
        <f>VLOOKUP(TEXT(A1231,"yy-mm")&amp;"-"&amp;IF(AND(WEEKDAY(A1231)&gt;1,WEEKDAY(A1231)&lt;7),"Wkd",TEXT(A1231,"Ddd"))&amp;"-"&amp;TEXT(A1231,"hh"),LoadTable[],6,FALSE)*T1231</f>
        <v>16544.513281200001</v>
      </c>
      <c r="V1231">
        <f t="shared" ref="V1231:W1231" si="1299">V1207</f>
        <v>3</v>
      </c>
      <c r="W1231">
        <f t="shared" si="1299"/>
        <v>3.1</v>
      </c>
      <c r="X1231" s="9">
        <v>-34.973149266666397</v>
      </c>
    </row>
    <row r="1232" spans="1:24">
      <c r="A1232" s="29">
        <f t="shared" si="1288"/>
        <v>45887.208333330353</v>
      </c>
      <c r="B1232" s="30">
        <f t="shared" si="1243"/>
        <v>5000</v>
      </c>
      <c r="C1232" s="8">
        <v>25000</v>
      </c>
      <c r="D1232" s="8">
        <v>0</v>
      </c>
      <c r="E1232" s="8">
        <v>700</v>
      </c>
      <c r="F1232" s="8">
        <v>15000</v>
      </c>
      <c r="G1232" s="30">
        <f t="shared" si="1244"/>
        <v>2400</v>
      </c>
      <c r="H1232" s="8">
        <v>25000</v>
      </c>
      <c r="I1232" s="30">
        <f t="shared" si="1245"/>
        <v>5000</v>
      </c>
      <c r="J1232" s="8">
        <v>25000</v>
      </c>
      <c r="K1232" s="30">
        <f t="shared" si="1246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14.63</v>
      </c>
      <c r="O1232" s="9">
        <v>13.5</v>
      </c>
      <c r="P1232" s="9">
        <v>19.5</v>
      </c>
      <c r="Q1232" s="79">
        <f>VLOOKUP(VLOOKUP(DATEVALUE(TEXT(A1232,"m/d/yyyy")),FY24_Temp[],5,FALSE)&amp;TEXT(A1232,"-h"),Table6[],4,FALSE)</f>
        <v>2.1067142827170238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VLOOKUP(TEXT(A1232,"yy-mm")&amp;"-"&amp;IF(AND(WEEKDAY(A1232)&gt;1,WEEKDAY(A1232)&lt;7),"Wkd",TEXT(A1232,"Ddd"))&amp;"-"&amp;TEXT(A1232,"hh"),LoadTable[],5,FALSE)*0.92</f>
        <v>295.12680000000006</v>
      </c>
      <c r="U1232" s="104">
        <f>VLOOKUP(TEXT(A1232,"yy-mm")&amp;"-"&amp;IF(AND(WEEKDAY(A1232)&gt;1,WEEKDAY(A1232)&lt;7),"Wkd",TEXT(A1232,"Ddd"))&amp;"-"&amp;TEXT(A1232,"hh"),LoadTable[],6,FALSE)*T1232</f>
        <v>17128.569218400004</v>
      </c>
      <c r="V1232">
        <f t="shared" ref="V1232:W1232" si="1300">V1208</f>
        <v>2.9</v>
      </c>
      <c r="W1232">
        <f t="shared" si="1300"/>
        <v>3.1</v>
      </c>
      <c r="X1232" s="9">
        <v>-35.050943816666397</v>
      </c>
    </row>
    <row r="1233" spans="1:24">
      <c r="A1233" s="29">
        <f t="shared" si="1288"/>
        <v>45887.249999997017</v>
      </c>
      <c r="B1233" s="30">
        <f t="shared" si="1243"/>
        <v>8000</v>
      </c>
      <c r="C1233" s="8">
        <v>25000</v>
      </c>
      <c r="D1233" s="8">
        <v>0</v>
      </c>
      <c r="E1233" s="8">
        <v>700</v>
      </c>
      <c r="F1233" s="8">
        <v>15000</v>
      </c>
      <c r="G1233" s="30">
        <f t="shared" si="1244"/>
        <v>2400</v>
      </c>
      <c r="H1233" s="8">
        <v>25000</v>
      </c>
      <c r="I1233" s="30">
        <f t="shared" si="1245"/>
        <v>8000</v>
      </c>
      <c r="J1233" s="8">
        <v>25000</v>
      </c>
      <c r="K1233" s="30">
        <f t="shared" si="1246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14.63</v>
      </c>
      <c r="O1233" s="9">
        <v>13.5</v>
      </c>
      <c r="P1233" s="9">
        <v>19.5</v>
      </c>
      <c r="Q1233" s="79">
        <f>VLOOKUP(VLOOKUP(DATEVALUE(TEXT(A1233,"m/d/yyyy")),FY24_Temp[],5,FALSE)&amp;TEXT(A1233,"-h"),Table6[],4,FALSE)</f>
        <v>1.992142847606114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VLOOKUP(TEXT(A1233,"yy-mm")&amp;"-"&amp;IF(AND(WEEKDAY(A1233)&gt;1,WEEKDAY(A1233)&lt;7),"Wkd",TEXT(A1233,"Ddd"))&amp;"-"&amp;TEXT(A1233,"hh"),LoadTable[],5,FALSE)*0.92</f>
        <v>295.12680000000006</v>
      </c>
      <c r="U1233" s="104">
        <f>VLOOKUP(TEXT(A1233,"yy-mm")&amp;"-"&amp;IF(AND(WEEKDAY(A1233)&gt;1,WEEKDAY(A1233)&lt;7),"Wkd",TEXT(A1233,"Ddd"))&amp;"-"&amp;TEXT(A1233,"hh"),LoadTable[],6,FALSE)*T1233</f>
        <v>20766.892408800006</v>
      </c>
      <c r="V1233">
        <f t="shared" ref="V1233:W1233" si="1301">V1209</f>
        <v>2.5</v>
      </c>
      <c r="W1233">
        <f t="shared" si="1301"/>
        <v>3.1</v>
      </c>
      <c r="X1233" s="9">
        <v>-35.128738366666397</v>
      </c>
    </row>
    <row r="1234" spans="1:24">
      <c r="A1234" s="29">
        <f t="shared" si="1288"/>
        <v>45887.291666663681</v>
      </c>
      <c r="B1234" s="30">
        <f t="shared" si="1243"/>
        <v>8000</v>
      </c>
      <c r="C1234" s="8">
        <v>25000</v>
      </c>
      <c r="D1234" s="8">
        <v>0</v>
      </c>
      <c r="E1234" s="8">
        <v>700</v>
      </c>
      <c r="F1234" s="8">
        <v>15000</v>
      </c>
      <c r="G1234" s="30">
        <f t="shared" si="1244"/>
        <v>2400</v>
      </c>
      <c r="H1234" s="8">
        <v>25000</v>
      </c>
      <c r="I1234" s="30">
        <f t="shared" si="1245"/>
        <v>8000</v>
      </c>
      <c r="J1234" s="8">
        <v>25000</v>
      </c>
      <c r="K1234" s="30">
        <f t="shared" si="1246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14.63</v>
      </c>
      <c r="O1234" s="9">
        <v>13.5</v>
      </c>
      <c r="P1234" s="9">
        <v>19.5</v>
      </c>
      <c r="Q1234" s="79">
        <f>VLOOKUP(VLOOKUP(DATEVALUE(TEXT(A1234,"m/d/yyyy")),FY24_Temp[],5,FALSE)&amp;TEXT(A1234,"-h"),Table6[],4,FALSE)</f>
        <v>1.9098571368626185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VLOOKUP(TEXT(A1234,"yy-mm")&amp;"-"&amp;IF(AND(WEEKDAY(A1234)&gt;1,WEEKDAY(A1234)&lt;7),"Wkd",TEXT(A1234,"Ddd"))&amp;"-"&amp;TEXT(A1234,"hh"),LoadTable[],5,FALSE)*0.92</f>
        <v>295.12680000000006</v>
      </c>
      <c r="U1234" s="104">
        <f>VLOOKUP(TEXT(A1234,"yy-mm")&amp;"-"&amp;IF(AND(WEEKDAY(A1234)&gt;1,WEEKDAY(A1234)&lt;7),"Wkd",TEXT(A1234,"Ddd"))&amp;"-"&amp;TEXT(A1234,"hh"),LoadTable[],6,FALSE)*T1234</f>
        <v>19169.666167200001</v>
      </c>
      <c r="V1234">
        <f t="shared" ref="V1234:W1234" si="1302">V1210</f>
        <v>2.5</v>
      </c>
      <c r="W1234">
        <f t="shared" si="1302"/>
        <v>3.1</v>
      </c>
      <c r="X1234" s="9">
        <v>-35.206532916666397</v>
      </c>
    </row>
    <row r="1235" spans="1:24">
      <c r="A1235" s="29">
        <f t="shared" si="1288"/>
        <v>45887.333333330345</v>
      </c>
      <c r="B1235" s="30">
        <f t="shared" si="1243"/>
        <v>8000</v>
      </c>
      <c r="C1235" s="8">
        <v>25000</v>
      </c>
      <c r="D1235" s="8">
        <v>0</v>
      </c>
      <c r="E1235" s="8">
        <v>700</v>
      </c>
      <c r="F1235" s="8">
        <v>15000</v>
      </c>
      <c r="G1235" s="30">
        <f t="shared" si="1244"/>
        <v>2400</v>
      </c>
      <c r="H1235" s="8">
        <v>25000</v>
      </c>
      <c r="I1235" s="30">
        <f t="shared" si="1245"/>
        <v>8000</v>
      </c>
      <c r="J1235" s="8">
        <v>25000</v>
      </c>
      <c r="K1235" s="30">
        <f t="shared" si="1246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14.63</v>
      </c>
      <c r="O1235" s="9">
        <v>13.5</v>
      </c>
      <c r="P1235" s="9">
        <v>19.5</v>
      </c>
      <c r="Q1235" s="79">
        <f>VLOOKUP(VLOOKUP(DATEVALUE(TEXT(A1235,"m/d/yyyy")),FY24_Temp[],5,FALSE)&amp;TEXT(A1235,"-h"),Table6[],4,FALSE)</f>
        <v>1.8045714242117745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VLOOKUP(TEXT(A1235,"yy-mm")&amp;"-"&amp;IF(AND(WEEKDAY(A1235)&gt;1,WEEKDAY(A1235)&lt;7),"Wkd",TEXT(A1235,"Ddd"))&amp;"-"&amp;TEXT(A1235,"hh"),LoadTable[],5,FALSE)*0.92</f>
        <v>295.12680000000006</v>
      </c>
      <c r="U1235" s="104">
        <f>VLOOKUP(TEXT(A1235,"yy-mm")&amp;"-"&amp;IF(AND(WEEKDAY(A1235)&gt;1,WEEKDAY(A1235)&lt;7),"Wkd",TEXT(A1235,"Ddd"))&amp;"-"&amp;TEXT(A1235,"hh"),LoadTable[],6,FALSE)*T1235</f>
        <v>15860.999612400004</v>
      </c>
      <c r="V1235">
        <f t="shared" ref="V1235:W1235" si="1303">V1211</f>
        <v>3.2</v>
      </c>
      <c r="W1235">
        <f t="shared" si="1303"/>
        <v>3</v>
      </c>
      <c r="X1235" s="9">
        <v>-35.284327466666397</v>
      </c>
    </row>
    <row r="1236" spans="1:24">
      <c r="A1236" s="29">
        <f t="shared" si="1288"/>
        <v>45887.37499999701</v>
      </c>
      <c r="B1236" s="30">
        <f t="shared" si="1243"/>
        <v>8000</v>
      </c>
      <c r="C1236" s="8">
        <v>25000</v>
      </c>
      <c r="D1236" s="8">
        <v>0</v>
      </c>
      <c r="E1236" s="8">
        <v>700</v>
      </c>
      <c r="F1236" s="8">
        <v>15000</v>
      </c>
      <c r="G1236" s="30">
        <f t="shared" si="1244"/>
        <v>2400</v>
      </c>
      <c r="H1236" s="8">
        <v>25000</v>
      </c>
      <c r="I1236" s="30">
        <f t="shared" si="1245"/>
        <v>8000</v>
      </c>
      <c r="J1236" s="8">
        <v>25000</v>
      </c>
      <c r="K1236" s="30">
        <f t="shared" si="1246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14.63</v>
      </c>
      <c r="O1236" s="9">
        <v>13.5</v>
      </c>
      <c r="P1236" s="9">
        <v>19.5</v>
      </c>
      <c r="Q1236" s="79">
        <f>VLOOKUP(VLOOKUP(DATEVALUE(TEXT(A1236,"m/d/yyyy")),FY24_Temp[],5,FALSE)&amp;TEXT(A1236,"-h"),Table6[],4,FALSE)</f>
        <v>1.7064285789217268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VLOOKUP(TEXT(A1236,"yy-mm")&amp;"-"&amp;IF(AND(WEEKDAY(A1236)&gt;1,WEEKDAY(A1236)&lt;7),"Wkd",TEXT(A1236,"Ddd"))&amp;"-"&amp;TEXT(A1236,"hh"),LoadTable[],5,FALSE)*0.92</f>
        <v>295.12680000000006</v>
      </c>
      <c r="U1236" s="104">
        <f>VLOOKUP(TEXT(A1236,"yy-mm")&amp;"-"&amp;IF(AND(WEEKDAY(A1236)&gt;1,WEEKDAY(A1236)&lt;7),"Wkd",TEXT(A1236,"Ddd"))&amp;"-"&amp;TEXT(A1236,"hh"),LoadTable[],6,FALSE)*T1236</f>
        <v>15713.436212400004</v>
      </c>
      <c r="V1236">
        <f t="shared" ref="V1236:W1236" si="1304">V1212</f>
        <v>2.9</v>
      </c>
      <c r="W1236">
        <f t="shared" si="1304"/>
        <v>3</v>
      </c>
      <c r="X1236" s="9">
        <v>-35.362122016666397</v>
      </c>
    </row>
    <row r="1237" spans="1:24">
      <c r="A1237" s="29">
        <f t="shared" si="1288"/>
        <v>45887.416666663674</v>
      </c>
      <c r="B1237" s="30">
        <f t="shared" si="1243"/>
        <v>8000</v>
      </c>
      <c r="C1237" s="8">
        <v>25000</v>
      </c>
      <c r="D1237" s="8">
        <v>0</v>
      </c>
      <c r="E1237" s="8">
        <v>700</v>
      </c>
      <c r="F1237" s="8">
        <v>15000</v>
      </c>
      <c r="G1237" s="30">
        <f t="shared" si="1244"/>
        <v>2400</v>
      </c>
      <c r="H1237" s="8">
        <v>25000</v>
      </c>
      <c r="I1237" s="30">
        <f t="shared" si="1245"/>
        <v>8000</v>
      </c>
      <c r="J1237" s="8">
        <v>25000</v>
      </c>
      <c r="K1237" s="30">
        <f t="shared" si="1246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14.63</v>
      </c>
      <c r="O1237" s="9">
        <v>13.5</v>
      </c>
      <c r="P1237" s="9">
        <v>19.5</v>
      </c>
      <c r="Q1237" s="79">
        <f>VLOOKUP(VLOOKUP(DATEVALUE(TEXT(A1237,"m/d/yyyy")),FY24_Temp[],5,FALSE)&amp;TEXT(A1237,"-h"),Table6[],4,FALSE)</f>
        <v>1.6218571492603846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VLOOKUP(TEXT(A1237,"yy-mm")&amp;"-"&amp;IF(AND(WEEKDAY(A1237)&gt;1,WEEKDAY(A1237)&lt;7),"Wkd",TEXT(A1237,"Ddd"))&amp;"-"&amp;TEXT(A1237,"hh"),LoadTable[],5,FALSE)*0.92</f>
        <v>295.12680000000006</v>
      </c>
      <c r="U1237" s="104">
        <f>VLOOKUP(TEXT(A1237,"yy-mm")&amp;"-"&amp;IF(AND(WEEKDAY(A1237)&gt;1,WEEKDAY(A1237)&lt;7),"Wkd",TEXT(A1237,"Ddd"))&amp;"-"&amp;TEXT(A1237,"hh"),LoadTable[],6,FALSE)*T1237</f>
        <v>14369.723892000002</v>
      </c>
      <c r="V1237">
        <f t="shared" ref="V1237:W1237" si="1305">V1213</f>
        <v>2.9</v>
      </c>
      <c r="W1237">
        <f t="shared" si="1305"/>
        <v>3</v>
      </c>
      <c r="X1237" s="9">
        <v>-35.439916566666398</v>
      </c>
    </row>
    <row r="1238" spans="1:24">
      <c r="A1238" s="29">
        <f t="shared" si="1288"/>
        <v>45887.458333330338</v>
      </c>
      <c r="B1238" s="30">
        <f t="shared" si="1243"/>
        <v>8000</v>
      </c>
      <c r="C1238" s="8">
        <v>25000</v>
      </c>
      <c r="D1238" s="8">
        <v>0</v>
      </c>
      <c r="E1238" s="8">
        <v>700</v>
      </c>
      <c r="F1238" s="8">
        <v>15000</v>
      </c>
      <c r="G1238" s="30">
        <f t="shared" si="1244"/>
        <v>2400</v>
      </c>
      <c r="H1238" s="8">
        <v>25000</v>
      </c>
      <c r="I1238" s="30">
        <f t="shared" si="1245"/>
        <v>8000</v>
      </c>
      <c r="J1238" s="8">
        <v>25000</v>
      </c>
      <c r="K1238" s="30">
        <f t="shared" si="1246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14.63</v>
      </c>
      <c r="O1238" s="9">
        <v>13.5</v>
      </c>
      <c r="P1238" s="9">
        <v>19.5</v>
      </c>
      <c r="Q1238" s="79">
        <f>VLOOKUP(VLOOKUP(DATEVALUE(TEXT(A1238,"m/d/yyyy")),FY24_Temp[],5,FALSE)&amp;TEXT(A1238,"-h"),Table6[],4,FALSE)</f>
        <v>1.5159999813352312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VLOOKUP(TEXT(A1238,"yy-mm")&amp;"-"&amp;IF(AND(WEEKDAY(A1238)&gt;1,WEEKDAY(A1238)&lt;7),"Wkd",TEXT(A1238,"Ddd"))&amp;"-"&amp;TEXT(A1238,"hh"),LoadTable[],5,FALSE)*0.92</f>
        <v>295.12680000000006</v>
      </c>
      <c r="U1238" s="104">
        <f>VLOOKUP(TEXT(A1238,"yy-mm")&amp;"-"&amp;IF(AND(WEEKDAY(A1238)&gt;1,WEEKDAY(A1238)&lt;7),"Wkd",TEXT(A1238,"Ddd"))&amp;"-"&amp;TEXT(A1238,"hh"),LoadTable[],6,FALSE)*T1238</f>
        <v>14137.459100400003</v>
      </c>
      <c r="V1238">
        <f t="shared" ref="V1238:W1238" si="1306">V1214</f>
        <v>3.4</v>
      </c>
      <c r="W1238">
        <f t="shared" si="1306"/>
        <v>3</v>
      </c>
      <c r="X1238" s="9">
        <v>-35.517711116666398</v>
      </c>
    </row>
    <row r="1239" spans="1:24">
      <c r="A1239" s="29">
        <f t="shared" si="1288"/>
        <v>45887.499999997002</v>
      </c>
      <c r="B1239" s="30">
        <f t="shared" si="1243"/>
        <v>8000</v>
      </c>
      <c r="C1239" s="8">
        <v>25000</v>
      </c>
      <c r="D1239" s="8">
        <v>0</v>
      </c>
      <c r="E1239" s="8">
        <v>700</v>
      </c>
      <c r="F1239" s="8">
        <v>15000</v>
      </c>
      <c r="G1239" s="30">
        <f t="shared" si="1244"/>
        <v>2400</v>
      </c>
      <c r="H1239" s="8">
        <v>25000</v>
      </c>
      <c r="I1239" s="30">
        <f t="shared" si="1245"/>
        <v>8000</v>
      </c>
      <c r="J1239" s="8">
        <v>25000</v>
      </c>
      <c r="K1239" s="30">
        <f t="shared" si="1246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14.63</v>
      </c>
      <c r="O1239" s="9">
        <v>13.5</v>
      </c>
      <c r="P1239" s="9">
        <v>19.5</v>
      </c>
      <c r="Q1239" s="79">
        <f>VLOOKUP(VLOOKUP(DATEVALUE(TEXT(A1239,"m/d/yyyy")),FY24_Temp[],5,FALSE)&amp;TEXT(A1239,"-h"),Table6[],4,FALSE)</f>
        <v>1.3808571270533971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VLOOKUP(TEXT(A1239,"yy-mm")&amp;"-"&amp;IF(AND(WEEKDAY(A1239)&gt;1,WEEKDAY(A1239)&lt;7),"Wkd",TEXT(A1239,"Ddd"))&amp;"-"&amp;TEXT(A1239,"hh"),LoadTable[],5,FALSE)*0.92</f>
        <v>295.12680000000006</v>
      </c>
      <c r="U1239" s="104">
        <f>VLOOKUP(TEXT(A1239,"yy-mm")&amp;"-"&amp;IF(AND(WEEKDAY(A1239)&gt;1,WEEKDAY(A1239)&lt;7),"Wkd",TEXT(A1239,"Ddd"))&amp;"-"&amp;TEXT(A1239,"hh"),LoadTable[],6,FALSE)*T1239</f>
        <v>14242.819368000002</v>
      </c>
      <c r="V1239">
        <f t="shared" ref="V1239:W1239" si="1307">V1215</f>
        <v>3.1</v>
      </c>
      <c r="W1239">
        <f t="shared" si="1307"/>
        <v>2.9</v>
      </c>
      <c r="X1239" s="9">
        <v>-35.595505666666398</v>
      </c>
    </row>
    <row r="1240" spans="1:24">
      <c r="A1240" s="29">
        <f t="shared" si="1288"/>
        <v>45887.541666663667</v>
      </c>
      <c r="B1240" s="30">
        <f t="shared" si="1243"/>
        <v>8000</v>
      </c>
      <c r="C1240" s="8">
        <v>25000</v>
      </c>
      <c r="D1240" s="8">
        <v>0</v>
      </c>
      <c r="E1240" s="8">
        <v>700</v>
      </c>
      <c r="F1240" s="8">
        <v>15000</v>
      </c>
      <c r="G1240" s="30">
        <f t="shared" si="1244"/>
        <v>2400</v>
      </c>
      <c r="H1240" s="8">
        <v>25000</v>
      </c>
      <c r="I1240" s="30">
        <f t="shared" si="1245"/>
        <v>8000</v>
      </c>
      <c r="J1240" s="8">
        <v>25000</v>
      </c>
      <c r="K1240" s="30">
        <f t="shared" si="1246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14.63</v>
      </c>
      <c r="O1240" s="9">
        <v>13.5</v>
      </c>
      <c r="P1240" s="9">
        <v>19.5</v>
      </c>
      <c r="Q1240" s="79">
        <f>VLOOKUP(VLOOKUP(DATEVALUE(TEXT(A1240,"m/d/yyyy")),FY24_Temp[],5,FALSE)&amp;TEXT(A1240,"-h"),Table6[],4,FALSE)</f>
        <v>1.2139999866485596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VLOOKUP(TEXT(A1240,"yy-mm")&amp;"-"&amp;IF(AND(WEEKDAY(A1240)&gt;1,WEEKDAY(A1240)&lt;7),"Wkd",TEXT(A1240,"Ddd"))&amp;"-"&amp;TEXT(A1240,"hh"),LoadTable[],5,FALSE)*0.92</f>
        <v>295.12680000000006</v>
      </c>
      <c r="U1240" s="104">
        <f>VLOOKUP(TEXT(A1240,"yy-mm")&amp;"-"&amp;IF(AND(WEEKDAY(A1240)&gt;1,WEEKDAY(A1240)&lt;7),"Wkd",TEXT(A1240,"Ddd"))&amp;"-"&amp;TEXT(A1240,"hh"),LoadTable[],6,FALSE)*T1240</f>
        <v>16280.669922000003</v>
      </c>
      <c r="V1240">
        <f t="shared" ref="V1240:W1240" si="1308">V1216</f>
        <v>3.2</v>
      </c>
      <c r="W1240">
        <f t="shared" si="1308"/>
        <v>2.9</v>
      </c>
      <c r="X1240" s="9">
        <v>-35.673300216666398</v>
      </c>
    </row>
    <row r="1241" spans="1:24">
      <c r="A1241" s="29">
        <f t="shared" si="1288"/>
        <v>45887.583333330331</v>
      </c>
      <c r="B1241" s="30">
        <f t="shared" si="1243"/>
        <v>8000</v>
      </c>
      <c r="C1241" s="8">
        <v>25000</v>
      </c>
      <c r="D1241" s="8">
        <v>0</v>
      </c>
      <c r="E1241" s="8">
        <v>700</v>
      </c>
      <c r="F1241" s="8">
        <v>15000</v>
      </c>
      <c r="G1241" s="30">
        <f t="shared" si="1244"/>
        <v>2400</v>
      </c>
      <c r="H1241" s="8">
        <v>25000</v>
      </c>
      <c r="I1241" s="30">
        <f t="shared" si="1245"/>
        <v>8000</v>
      </c>
      <c r="J1241" s="8">
        <v>25000</v>
      </c>
      <c r="K1241" s="30">
        <f t="shared" si="1246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14.63</v>
      </c>
      <c r="O1241" s="9">
        <v>13.5</v>
      </c>
      <c r="P1241" s="9">
        <v>19.5</v>
      </c>
      <c r="Q1241" s="79">
        <f>VLOOKUP(VLOOKUP(DATEVALUE(TEXT(A1241,"m/d/yyyy")),FY24_Temp[],5,FALSE)&amp;TEXT(A1241,"-h"),Table6[],4,FALSE)</f>
        <v>1.0331428476742335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VLOOKUP(TEXT(A1241,"yy-mm")&amp;"-"&amp;IF(AND(WEEKDAY(A1241)&gt;1,WEEKDAY(A1241)&lt;7),"Wkd",TEXT(A1241,"Ddd"))&amp;"-"&amp;TEXT(A1241,"hh"),LoadTable[],5,FALSE)*0.92</f>
        <v>402.08416</v>
      </c>
      <c r="U1241" s="104">
        <f>VLOOKUP(TEXT(A1241,"yy-mm")&amp;"-"&amp;IF(AND(WEEKDAY(A1241)&gt;1,WEEKDAY(A1241)&lt;7),"Wkd",TEXT(A1241,"Ddd"))&amp;"-"&amp;TEXT(A1241,"hh"),LoadTable[],6,FALSE)*T1241</f>
        <v>27023.674309440001</v>
      </c>
      <c r="V1241">
        <f t="shared" ref="V1241:W1241" si="1309">V1217</f>
        <v>3.5</v>
      </c>
      <c r="W1241">
        <f t="shared" si="1309"/>
        <v>2.9</v>
      </c>
      <c r="X1241" s="9">
        <v>-35.751094766666398</v>
      </c>
    </row>
    <row r="1242" spans="1:24">
      <c r="A1242" s="29">
        <f t="shared" si="1288"/>
        <v>45887.624999996995</v>
      </c>
      <c r="B1242" s="30">
        <f t="shared" si="1243"/>
        <v>8000</v>
      </c>
      <c r="C1242" s="8">
        <v>25000</v>
      </c>
      <c r="D1242" s="8">
        <v>0</v>
      </c>
      <c r="E1242" s="8">
        <v>700</v>
      </c>
      <c r="F1242" s="8">
        <v>15000</v>
      </c>
      <c r="G1242" s="30">
        <f t="shared" si="1244"/>
        <v>2400</v>
      </c>
      <c r="H1242" s="8">
        <v>25000</v>
      </c>
      <c r="I1242" s="30">
        <f t="shared" si="1245"/>
        <v>8000</v>
      </c>
      <c r="J1242" s="8">
        <v>25000</v>
      </c>
      <c r="K1242" s="30">
        <f t="shared" si="1246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14.63</v>
      </c>
      <c r="O1242" s="9">
        <v>13.5</v>
      </c>
      <c r="P1242" s="9">
        <v>19.5</v>
      </c>
      <c r="Q1242" s="79">
        <f>VLOOKUP(VLOOKUP(DATEVALUE(TEXT(A1242,"m/d/yyyy")),FY24_Temp[],5,FALSE)&amp;TEXT(A1242,"-h"),Table6[],4,FALSE)</f>
        <v>0.8692857112203326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VLOOKUP(TEXT(A1242,"yy-mm")&amp;"-"&amp;IF(AND(WEEKDAY(A1242)&gt;1,WEEKDAY(A1242)&lt;7),"Wkd",TEXT(A1242,"Ddd"))&amp;"-"&amp;TEXT(A1242,"hh"),LoadTable[],5,FALSE)*0.92</f>
        <v>521.92427999999995</v>
      </c>
      <c r="U1242" s="104">
        <f>VLOOKUP(TEXT(A1242,"yy-mm")&amp;"-"&amp;IF(AND(WEEKDAY(A1242)&gt;1,WEEKDAY(A1242)&lt;7),"Wkd",TEXT(A1242,"Ddd"))&amp;"-"&amp;TEXT(A1242,"hh"),LoadTable[],6,FALSE)*T1242</f>
        <v>38276.36092236</v>
      </c>
      <c r="V1242">
        <f t="shared" ref="V1242:W1242" si="1310">V1218</f>
        <v>3.2</v>
      </c>
      <c r="W1242">
        <f t="shared" si="1310"/>
        <v>2.9</v>
      </c>
      <c r="X1242" s="9">
        <v>-35.828889316666398</v>
      </c>
    </row>
    <row r="1243" spans="1:24">
      <c r="A1243" s="29">
        <f t="shared" si="1288"/>
        <v>45887.666666663659</v>
      </c>
      <c r="B1243" s="30">
        <f t="shared" si="1243"/>
        <v>8000</v>
      </c>
      <c r="C1243" s="8">
        <v>25000</v>
      </c>
      <c r="D1243" s="8">
        <v>0</v>
      </c>
      <c r="E1243" s="8">
        <v>700</v>
      </c>
      <c r="F1243" s="8">
        <v>15000</v>
      </c>
      <c r="G1243" s="30">
        <f t="shared" si="1244"/>
        <v>2400</v>
      </c>
      <c r="H1243" s="8">
        <v>25000</v>
      </c>
      <c r="I1243" s="30">
        <f t="shared" si="1245"/>
        <v>8000</v>
      </c>
      <c r="J1243" s="8">
        <v>25000</v>
      </c>
      <c r="K1243" s="30">
        <f t="shared" si="1246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14.63</v>
      </c>
      <c r="O1243" s="9">
        <v>13.5</v>
      </c>
      <c r="P1243" s="9">
        <v>19.5</v>
      </c>
      <c r="Q1243" s="79">
        <f>VLOOKUP(VLOOKUP(DATEVALUE(TEXT(A1243,"m/d/yyyy")),FY24_Temp[],5,FALSE)&amp;TEXT(A1243,"-h"),Table6[],4,FALSE)</f>
        <v>0.78099999257496422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VLOOKUP(TEXT(A1243,"yy-mm")&amp;"-"&amp;IF(AND(WEEKDAY(A1243)&gt;1,WEEKDAY(A1243)&lt;7),"Wkd",TEXT(A1243,"Ddd"))&amp;"-"&amp;TEXT(A1243,"hh"),LoadTable[],5,FALSE)*0.92</f>
        <v>521.92427999999995</v>
      </c>
      <c r="U1243" s="104">
        <f>VLOOKUP(TEXT(A1243,"yy-mm")&amp;"-"&amp;IF(AND(WEEKDAY(A1243)&gt;1,WEEKDAY(A1243)&lt;7),"Wkd",TEXT(A1243,"Ddd"))&amp;"-"&amp;TEXT(A1243,"hh"),LoadTable[],6,FALSE)*T1243</f>
        <v>45879.753833399998</v>
      </c>
      <c r="V1243">
        <f t="shared" ref="V1243:W1243" si="1311">V1219</f>
        <v>3.5</v>
      </c>
      <c r="W1243">
        <f t="shared" si="1311"/>
        <v>3</v>
      </c>
      <c r="X1243" s="9">
        <v>-35.906683866666398</v>
      </c>
    </row>
    <row r="1244" spans="1:24">
      <c r="A1244" s="29">
        <f t="shared" si="1288"/>
        <v>45887.708333330324</v>
      </c>
      <c r="B1244" s="30">
        <f t="shared" ref="B1244:B1307" si="1312">B1220</f>
        <v>8000</v>
      </c>
      <c r="C1244" s="8">
        <v>25000</v>
      </c>
      <c r="D1244" s="8">
        <v>0</v>
      </c>
      <c r="E1244" s="8">
        <v>700</v>
      </c>
      <c r="F1244" s="8">
        <v>15000</v>
      </c>
      <c r="G1244" s="30">
        <f t="shared" ref="G1244:G1307" si="1313">G1220</f>
        <v>2400</v>
      </c>
      <c r="H1244" s="8">
        <v>25000</v>
      </c>
      <c r="I1244" s="30">
        <f t="shared" ref="I1244:I1307" si="1314">I1220</f>
        <v>8000</v>
      </c>
      <c r="J1244" s="8">
        <v>25000</v>
      </c>
      <c r="K1244" s="30">
        <f t="shared" ref="K1244:K1307" si="1315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14.63</v>
      </c>
      <c r="O1244" s="9">
        <v>13.5</v>
      </c>
      <c r="P1244" s="9">
        <v>19.5</v>
      </c>
      <c r="Q1244" s="79">
        <f>VLOOKUP(VLOOKUP(DATEVALUE(TEXT(A1244,"m/d/yyyy")),FY24_Temp[],5,FALSE)&amp;TEXT(A1244,"-h"),Table6[],4,FALSE)</f>
        <v>0.92514285019465858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VLOOKUP(TEXT(A1244,"yy-mm")&amp;"-"&amp;IF(AND(WEEKDAY(A1244)&gt;1,WEEKDAY(A1244)&lt;7),"Wkd",TEXT(A1244,"Ddd"))&amp;"-"&amp;TEXT(A1244,"hh"),LoadTable[],5,FALSE)*0.92</f>
        <v>521.92427999999995</v>
      </c>
      <c r="U1244" s="104">
        <f>VLOOKUP(TEXT(A1244,"yy-mm")&amp;"-"&amp;IF(AND(WEEKDAY(A1244)&gt;1,WEEKDAY(A1244)&lt;7),"Wkd",TEXT(A1244,"Ddd"))&amp;"-"&amp;TEXT(A1244,"hh"),LoadTable[],6,FALSE)*T1244</f>
        <v>57850.609119479988</v>
      </c>
      <c r="V1244">
        <f t="shared" ref="V1244:W1244" si="1316">V1220</f>
        <v>3.6</v>
      </c>
      <c r="W1244">
        <f t="shared" si="1316"/>
        <v>3</v>
      </c>
      <c r="X1244" s="9">
        <v>-35.984478416666398</v>
      </c>
    </row>
    <row r="1245" spans="1:24">
      <c r="A1245" s="29">
        <f t="shared" si="1288"/>
        <v>45887.749999996988</v>
      </c>
      <c r="B1245" s="30">
        <f t="shared" si="1312"/>
        <v>5000</v>
      </c>
      <c r="C1245" s="8">
        <v>25000</v>
      </c>
      <c r="D1245" s="8">
        <v>0</v>
      </c>
      <c r="E1245" s="8">
        <v>700</v>
      </c>
      <c r="F1245" s="8">
        <v>15000</v>
      </c>
      <c r="G1245" s="30">
        <f t="shared" si="1313"/>
        <v>2400</v>
      </c>
      <c r="H1245" s="8">
        <v>25000</v>
      </c>
      <c r="I1245" s="30">
        <f t="shared" si="1314"/>
        <v>5000</v>
      </c>
      <c r="J1245" s="8">
        <v>25000</v>
      </c>
      <c r="K1245" s="30">
        <f t="shared" si="1315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14.63</v>
      </c>
      <c r="O1245" s="9">
        <v>13.5</v>
      </c>
      <c r="P1245" s="9">
        <v>19.5</v>
      </c>
      <c r="Q1245" s="79">
        <f>VLOOKUP(VLOOKUP(DATEVALUE(TEXT(A1245,"m/d/yyyy")),FY24_Temp[],5,FALSE)&amp;TEXT(A1245,"-h"),Table6[],4,FALSE)</f>
        <v>1.2939999955041068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VLOOKUP(TEXT(A1245,"yy-mm")&amp;"-"&amp;IF(AND(WEEKDAY(A1245)&gt;1,WEEKDAY(A1245)&lt;7),"Wkd",TEXT(A1245,"Ddd"))&amp;"-"&amp;TEXT(A1245,"hh"),LoadTable[],5,FALSE)*0.92</f>
        <v>521.92427999999995</v>
      </c>
      <c r="U1245" s="104">
        <f>VLOOKUP(TEXT(A1245,"yy-mm")&amp;"-"&amp;IF(AND(WEEKDAY(A1245)&gt;1,WEEKDAY(A1245)&lt;7),"Wkd",TEXT(A1245,"Ddd"))&amp;"-"&amp;TEXT(A1245,"hh"),LoadTable[],6,FALSE)*T1245</f>
        <v>71088.174633119997</v>
      </c>
      <c r="V1245">
        <f t="shared" ref="V1245:W1245" si="1317">V1221</f>
        <v>2.9</v>
      </c>
      <c r="W1245">
        <f t="shared" si="1317"/>
        <v>3</v>
      </c>
      <c r="X1245" s="9">
        <v>-36.062272966666399</v>
      </c>
    </row>
    <row r="1246" spans="1:24">
      <c r="A1246" s="29">
        <f t="shared" si="1288"/>
        <v>45887.791666663652</v>
      </c>
      <c r="B1246" s="30">
        <f t="shared" si="1312"/>
        <v>5000</v>
      </c>
      <c r="C1246" s="8">
        <v>25000</v>
      </c>
      <c r="D1246" s="8">
        <v>0</v>
      </c>
      <c r="E1246" s="8">
        <v>700</v>
      </c>
      <c r="F1246" s="8">
        <v>15000</v>
      </c>
      <c r="G1246" s="30">
        <f t="shared" si="1313"/>
        <v>2400</v>
      </c>
      <c r="H1246" s="8">
        <v>25000</v>
      </c>
      <c r="I1246" s="30">
        <f t="shared" si="1314"/>
        <v>5000</v>
      </c>
      <c r="J1246" s="8">
        <v>25000</v>
      </c>
      <c r="K1246" s="30">
        <f t="shared" si="1315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14.63</v>
      </c>
      <c r="O1246" s="9">
        <v>13.5</v>
      </c>
      <c r="P1246" s="9">
        <v>19.5</v>
      </c>
      <c r="Q1246" s="79">
        <f>VLOOKUP(VLOOKUP(DATEVALUE(TEXT(A1246,"m/d/yyyy")),FY24_Temp[],5,FALSE)&amp;TEXT(A1246,"-h"),Table6[],4,FALSE)</f>
        <v>2.0332857200077603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VLOOKUP(TEXT(A1246,"yy-mm")&amp;"-"&amp;IF(AND(WEEKDAY(A1246)&gt;1,WEEKDAY(A1246)&lt;7),"Wkd",TEXT(A1246,"Ddd"))&amp;"-"&amp;TEXT(A1246,"hh"),LoadTable[],5,FALSE)*0.92</f>
        <v>521.92427999999995</v>
      </c>
      <c r="U1246" s="104">
        <f>VLOOKUP(TEXT(A1246,"yy-mm")&amp;"-"&amp;IF(AND(WEEKDAY(A1246)&gt;1,WEEKDAY(A1246)&lt;7),"Wkd",TEXT(A1246,"Ddd"))&amp;"-"&amp;TEXT(A1246,"hh"),LoadTable[],6,FALSE)*T1246</f>
        <v>75540.188741520004</v>
      </c>
      <c r="V1246">
        <f t="shared" ref="V1246:W1246" si="1318">V1222</f>
        <v>3</v>
      </c>
      <c r="W1246">
        <f t="shared" si="1318"/>
        <v>3</v>
      </c>
      <c r="X1246" s="9">
        <v>-36.140067516666399</v>
      </c>
    </row>
    <row r="1247" spans="1:24">
      <c r="A1247" s="29">
        <f t="shared" si="1288"/>
        <v>45887.833333330316</v>
      </c>
      <c r="B1247" s="30">
        <f t="shared" si="1312"/>
        <v>5000</v>
      </c>
      <c r="C1247" s="8">
        <v>25000</v>
      </c>
      <c r="D1247" s="8">
        <v>0</v>
      </c>
      <c r="E1247" s="8">
        <v>700</v>
      </c>
      <c r="F1247" s="8">
        <v>15000</v>
      </c>
      <c r="G1247" s="30">
        <f t="shared" si="1313"/>
        <v>2400</v>
      </c>
      <c r="H1247" s="8">
        <v>25000</v>
      </c>
      <c r="I1247" s="30">
        <f t="shared" si="1314"/>
        <v>5000</v>
      </c>
      <c r="J1247" s="8">
        <v>25000</v>
      </c>
      <c r="K1247" s="30">
        <f t="shared" si="1315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14.63</v>
      </c>
      <c r="O1247" s="9">
        <v>13.5</v>
      </c>
      <c r="P1247" s="9">
        <v>19.5</v>
      </c>
      <c r="Q1247" s="79">
        <f>VLOOKUP(VLOOKUP(DATEVALUE(TEXT(A1247,"m/d/yyyy")),FY24_Temp[],5,FALSE)&amp;TEXT(A1247,"-h"),Table6[],4,FALSE)</f>
        <v>2.8272856644221713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VLOOKUP(TEXT(A1247,"yy-mm")&amp;"-"&amp;IF(AND(WEEKDAY(A1247)&gt;1,WEEKDAY(A1247)&lt;7),"Wkd",TEXT(A1247,"Ddd"))&amp;"-"&amp;TEXT(A1247,"hh"),LoadTable[],5,FALSE)*0.92</f>
        <v>521.92427999999995</v>
      </c>
      <c r="U1247" s="104">
        <f>VLOOKUP(TEXT(A1247,"yy-mm")&amp;"-"&amp;IF(AND(WEEKDAY(A1247)&gt;1,WEEKDAY(A1247)&lt;7),"Wkd",TEXT(A1247,"Ddd"))&amp;"-"&amp;TEXT(A1247,"hh"),LoadTable[],6,FALSE)*T1247</f>
        <v>69176.365995479995</v>
      </c>
      <c r="V1247">
        <f t="shared" ref="V1247:W1247" si="1319">V1223</f>
        <v>2.8</v>
      </c>
      <c r="W1247">
        <f t="shared" si="1319"/>
        <v>3.1</v>
      </c>
      <c r="X1247" s="9">
        <v>-36.217862066666399</v>
      </c>
    </row>
    <row r="1248" spans="1:24">
      <c r="A1248" s="29">
        <f t="shared" si="1288"/>
        <v>45887.87499999698</v>
      </c>
      <c r="B1248" s="30">
        <f t="shared" si="1312"/>
        <v>5000</v>
      </c>
      <c r="C1248" s="8">
        <v>25000</v>
      </c>
      <c r="D1248" s="8">
        <v>0</v>
      </c>
      <c r="E1248" s="8">
        <v>700</v>
      </c>
      <c r="F1248" s="8">
        <v>15000</v>
      </c>
      <c r="G1248" s="30">
        <f t="shared" si="1313"/>
        <v>2400</v>
      </c>
      <c r="H1248" s="8">
        <v>25000</v>
      </c>
      <c r="I1248" s="30">
        <f t="shared" si="1314"/>
        <v>5000</v>
      </c>
      <c r="J1248" s="8">
        <v>25000</v>
      </c>
      <c r="K1248" s="30">
        <f t="shared" si="1315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14.63</v>
      </c>
      <c r="O1248" s="9">
        <v>13.5</v>
      </c>
      <c r="P1248" s="9">
        <v>19.5</v>
      </c>
      <c r="Q1248" s="79">
        <f>VLOOKUP(VLOOKUP(DATEVALUE(TEXT(A1248,"m/d/yyyy")),FY24_Temp[],5,FALSE)&amp;TEXT(A1248,"-h"),Table6[],4,FALSE)</f>
        <v>3.0739999839237759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VLOOKUP(TEXT(A1248,"yy-mm")&amp;"-"&amp;IF(AND(WEEKDAY(A1248)&gt;1,WEEKDAY(A1248)&lt;7),"Wkd",TEXT(A1248,"Ddd"))&amp;"-"&amp;TEXT(A1248,"hh"),LoadTable[],5,FALSE)*0.92</f>
        <v>521.92427999999995</v>
      </c>
      <c r="U1248" s="104">
        <f>VLOOKUP(TEXT(A1248,"yy-mm")&amp;"-"&amp;IF(AND(WEEKDAY(A1248)&gt;1,WEEKDAY(A1248)&lt;7),"Wkd",TEXT(A1248,"Ddd"))&amp;"-"&amp;TEXT(A1248,"hh"),LoadTable[],6,FALSE)*T1248</f>
        <v>56417.405046599997</v>
      </c>
      <c r="V1248">
        <f t="shared" ref="V1248:W1248" si="1320">V1224</f>
        <v>3.5</v>
      </c>
      <c r="W1248">
        <f t="shared" si="1320"/>
        <v>3.1</v>
      </c>
      <c r="X1248" s="9">
        <v>-36.295656616666399</v>
      </c>
    </row>
    <row r="1249" spans="1:24">
      <c r="A1249" s="29">
        <f t="shared" si="1288"/>
        <v>45887.916666663645</v>
      </c>
      <c r="B1249" s="30">
        <f t="shared" si="1312"/>
        <v>5000</v>
      </c>
      <c r="C1249" s="8">
        <v>25000</v>
      </c>
      <c r="D1249" s="8">
        <v>0</v>
      </c>
      <c r="E1249" s="8">
        <v>700</v>
      </c>
      <c r="F1249" s="8">
        <v>15000</v>
      </c>
      <c r="G1249" s="30">
        <f t="shared" si="1313"/>
        <v>2400</v>
      </c>
      <c r="H1249" s="8">
        <v>25000</v>
      </c>
      <c r="I1249" s="30">
        <f t="shared" si="1314"/>
        <v>5000</v>
      </c>
      <c r="J1249" s="8">
        <v>25000</v>
      </c>
      <c r="K1249" s="30">
        <f t="shared" si="1315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14.63</v>
      </c>
      <c r="O1249" s="9">
        <v>13.5</v>
      </c>
      <c r="P1249" s="9">
        <v>19.5</v>
      </c>
      <c r="Q1249" s="79">
        <f>VLOOKUP(VLOOKUP(DATEVALUE(TEXT(A1249,"m/d/yyyy")),FY24_Temp[],5,FALSE)&amp;TEXT(A1249,"-h"),Table6[],4,FALSE)</f>
        <v>3.0308571543012346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VLOOKUP(TEXT(A1249,"yy-mm")&amp;"-"&amp;IF(AND(WEEKDAY(A1249)&gt;1,WEEKDAY(A1249)&lt;7),"Wkd",TEXT(A1249,"Ddd"))&amp;"-"&amp;TEXT(A1249,"hh"),LoadTable[],5,FALSE)*0.92</f>
        <v>447.02432000000005</v>
      </c>
      <c r="U1249" s="104">
        <f>VLOOKUP(TEXT(A1249,"yy-mm")&amp;"-"&amp;IF(AND(WEEKDAY(A1249)&gt;1,WEEKDAY(A1249)&lt;7),"Wkd",TEXT(A1249,"Ddd"))&amp;"-"&amp;TEXT(A1249,"hh"),LoadTable[],6,FALSE)*T1249</f>
        <v>29850.49599232</v>
      </c>
      <c r="V1249">
        <f t="shared" ref="V1249:W1249" si="1321">V1225</f>
        <v>2.9</v>
      </c>
      <c r="W1249">
        <f t="shared" si="1321"/>
        <v>3.1</v>
      </c>
      <c r="X1249" s="9">
        <v>-36.373451166666399</v>
      </c>
    </row>
    <row r="1250" spans="1:24">
      <c r="A1250" s="29">
        <f t="shared" si="1288"/>
        <v>45887.958333330309</v>
      </c>
      <c r="B1250" s="30">
        <f t="shared" si="1312"/>
        <v>5000</v>
      </c>
      <c r="C1250" s="8">
        <v>25000</v>
      </c>
      <c r="D1250" s="8">
        <v>0</v>
      </c>
      <c r="E1250" s="8">
        <v>700</v>
      </c>
      <c r="F1250" s="8">
        <v>15000</v>
      </c>
      <c r="G1250" s="30">
        <f t="shared" si="1313"/>
        <v>2400</v>
      </c>
      <c r="H1250" s="8">
        <v>25000</v>
      </c>
      <c r="I1250" s="30">
        <f t="shared" si="1314"/>
        <v>5000</v>
      </c>
      <c r="J1250" s="8">
        <v>25000</v>
      </c>
      <c r="K1250" s="30">
        <f t="shared" si="1315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14.63</v>
      </c>
      <c r="O1250" s="9">
        <v>13.5</v>
      </c>
      <c r="P1250" s="9">
        <v>19.5</v>
      </c>
      <c r="Q1250" s="79">
        <f>VLOOKUP(VLOOKUP(DATEVALUE(TEXT(A1250,"m/d/yyyy")),FY24_Temp[],5,FALSE)&amp;TEXT(A1250,"-h"),Table6[],4,FALSE)</f>
        <v>2.9022857121058871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VLOOKUP(TEXT(A1250,"yy-mm")&amp;"-"&amp;IF(AND(WEEKDAY(A1250)&gt;1,WEEKDAY(A1250)&lt;7),"Wkd",TEXT(A1250,"Ddd"))&amp;"-"&amp;TEXT(A1250,"hh"),LoadTable[],5,FALSE)*0.92</f>
        <v>372.12436000000002</v>
      </c>
      <c r="U1250" s="104">
        <f>VLOOKUP(TEXT(A1250,"yy-mm")&amp;"-"&amp;IF(AND(WEEKDAY(A1250)&gt;1,WEEKDAY(A1250)&lt;7),"Wkd",TEXT(A1250,"Ddd"))&amp;"-"&amp;TEXT(A1250,"hh"),LoadTable[],6,FALSE)*T1250</f>
        <v>22421.236938720001</v>
      </c>
      <c r="V1250">
        <f t="shared" ref="V1250:W1250" si="1322">V1226</f>
        <v>3.6</v>
      </c>
      <c r="W1250">
        <f t="shared" si="1322"/>
        <v>3.1</v>
      </c>
      <c r="X1250" s="9">
        <v>-36.451245716666399</v>
      </c>
    </row>
    <row r="1251" spans="1:24">
      <c r="A1251" s="29">
        <f t="shared" si="1288"/>
        <v>45887.999999996973</v>
      </c>
      <c r="B1251" s="30">
        <f t="shared" si="1312"/>
        <v>5000</v>
      </c>
      <c r="C1251" s="8">
        <v>25000</v>
      </c>
      <c r="D1251" s="8">
        <v>0</v>
      </c>
      <c r="E1251" s="8">
        <v>700</v>
      </c>
      <c r="F1251" s="8">
        <v>15000</v>
      </c>
      <c r="G1251" s="30">
        <f t="shared" si="1313"/>
        <v>2400</v>
      </c>
      <c r="H1251" s="8">
        <v>25000</v>
      </c>
      <c r="I1251" s="30">
        <f t="shared" si="1314"/>
        <v>5000</v>
      </c>
      <c r="J1251" s="8">
        <v>25000</v>
      </c>
      <c r="K1251" s="30">
        <f t="shared" si="1315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14.63</v>
      </c>
      <c r="O1251" s="9">
        <v>13.5</v>
      </c>
      <c r="P1251" s="9">
        <v>19.5</v>
      </c>
      <c r="Q1251" s="79">
        <f>VLOOKUP(VLOOKUP(DATEVALUE(TEXT(A1251,"m/d/yyyy")),FY24_Temp[],5,FALSE)&amp;TEXT(A1251,"-h"),Table6[],4,FALSE)</f>
        <v>2.774571418762207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VLOOKUP(TEXT(A1251,"yy-mm")&amp;"-"&amp;IF(AND(WEEKDAY(A1251)&gt;1,WEEKDAY(A1251)&lt;7),"Wkd",TEXT(A1251,"Ddd"))&amp;"-"&amp;TEXT(A1251,"hh"),LoadTable[],5,FALSE)*0.92</f>
        <v>297.2244</v>
      </c>
      <c r="U1251" s="104">
        <f>VLOOKUP(TEXT(A1251,"yy-mm")&amp;"-"&amp;IF(AND(WEEKDAY(A1251)&gt;1,WEEKDAY(A1251)&lt;7),"Wkd",TEXT(A1251,"Ddd"))&amp;"-"&amp;TEXT(A1251,"hh"),LoadTable[],6,FALSE)*T1251</f>
        <v>17505.031038000001</v>
      </c>
      <c r="V1251">
        <f t="shared" ref="V1251:W1251" si="1323">V1227</f>
        <v>3</v>
      </c>
      <c r="W1251">
        <f t="shared" si="1323"/>
        <v>3.2</v>
      </c>
      <c r="X1251" s="9">
        <v>-36.529040266666399</v>
      </c>
    </row>
    <row r="1252" spans="1:24">
      <c r="A1252" s="29">
        <f t="shared" si="1288"/>
        <v>45888.041666663637</v>
      </c>
      <c r="B1252" s="30">
        <f t="shared" si="1312"/>
        <v>5000</v>
      </c>
      <c r="C1252" s="8">
        <v>25000</v>
      </c>
      <c r="D1252" s="8">
        <v>0</v>
      </c>
      <c r="E1252" s="8">
        <v>700</v>
      </c>
      <c r="F1252" s="8">
        <v>15000</v>
      </c>
      <c r="G1252" s="30">
        <f t="shared" si="1313"/>
        <v>2400</v>
      </c>
      <c r="H1252" s="8">
        <v>25000</v>
      </c>
      <c r="I1252" s="30">
        <f t="shared" si="1314"/>
        <v>5000</v>
      </c>
      <c r="J1252" s="8">
        <v>25000</v>
      </c>
      <c r="K1252" s="30">
        <f t="shared" si="1315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14.63</v>
      </c>
      <c r="O1252" s="9">
        <v>13.5</v>
      </c>
      <c r="P1252" s="9">
        <v>19.5</v>
      </c>
      <c r="Q1252" s="79">
        <f>VLOOKUP(VLOOKUP(DATEVALUE(TEXT(A1252,"m/d/yyyy")),FY24_Temp[],5,FALSE)&amp;TEXT(A1252,"-h"),Table6[],4,FALSE)</f>
        <v>2.6695714337485179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VLOOKUP(TEXT(A1252,"yy-mm")&amp;"-"&amp;IF(AND(WEEKDAY(A1252)&gt;1,WEEKDAY(A1252)&lt;7),"Wkd",TEXT(A1252,"Ddd"))&amp;"-"&amp;TEXT(A1252,"hh"),LoadTable[],5,FALSE)*0.92</f>
        <v>295.12680000000006</v>
      </c>
      <c r="U1252" s="104">
        <f>VLOOKUP(TEXT(A1252,"yy-mm")&amp;"-"&amp;IF(AND(WEEKDAY(A1252)&gt;1,WEEKDAY(A1252)&lt;7),"Wkd",TEXT(A1252,"Ddd"))&amp;"-"&amp;TEXT(A1252,"hh"),LoadTable[],6,FALSE)*T1252</f>
        <v>17131.225359600001</v>
      </c>
      <c r="V1252">
        <f t="shared" ref="V1252:W1252" si="1324">V1228</f>
        <v>2.6</v>
      </c>
      <c r="W1252">
        <f t="shared" si="1324"/>
        <v>3.2</v>
      </c>
      <c r="X1252" s="9">
        <v>-36.606834816666399</v>
      </c>
    </row>
    <row r="1253" spans="1:24">
      <c r="A1253" s="29">
        <f t="shared" si="1288"/>
        <v>45888.083333330302</v>
      </c>
      <c r="B1253" s="30">
        <f t="shared" si="1312"/>
        <v>5000</v>
      </c>
      <c r="C1253" s="8">
        <v>25000</v>
      </c>
      <c r="D1253" s="8">
        <v>0</v>
      </c>
      <c r="E1253" s="8">
        <v>700</v>
      </c>
      <c r="F1253" s="8">
        <v>15000</v>
      </c>
      <c r="G1253" s="30">
        <f t="shared" si="1313"/>
        <v>2400</v>
      </c>
      <c r="H1253" s="8">
        <v>25000</v>
      </c>
      <c r="I1253" s="30">
        <f t="shared" si="1314"/>
        <v>5000</v>
      </c>
      <c r="J1253" s="8">
        <v>25000</v>
      </c>
      <c r="K1253" s="30">
        <f t="shared" si="1315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14.63</v>
      </c>
      <c r="O1253" s="9">
        <v>13.5</v>
      </c>
      <c r="P1253" s="9">
        <v>19.5</v>
      </c>
      <c r="Q1253" s="79">
        <f>VLOOKUP(VLOOKUP(DATEVALUE(TEXT(A1253,"m/d/yyyy")),FY24_Temp[],5,FALSE)&amp;TEXT(A1253,"-h"),Table6[],4,FALSE)</f>
        <v>2.576000009264265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VLOOKUP(TEXT(A1253,"yy-mm")&amp;"-"&amp;IF(AND(WEEKDAY(A1253)&gt;1,WEEKDAY(A1253)&lt;7),"Wkd",TEXT(A1253,"Ddd"))&amp;"-"&amp;TEXT(A1253,"hh"),LoadTable[],5,FALSE)*0.92</f>
        <v>295.12680000000006</v>
      </c>
      <c r="U1253" s="104">
        <f>VLOOKUP(TEXT(A1253,"yy-mm")&amp;"-"&amp;IF(AND(WEEKDAY(A1253)&gt;1,WEEKDAY(A1253)&lt;7),"Wkd",TEXT(A1253,"Ddd"))&amp;"-"&amp;TEXT(A1253,"hh"),LoadTable[],6,FALSE)*T1253</f>
        <v>16459.811889600001</v>
      </c>
      <c r="V1253">
        <f t="shared" ref="V1253:W1253" si="1325">V1229</f>
        <v>2.8</v>
      </c>
      <c r="W1253">
        <f t="shared" si="1325"/>
        <v>3.2</v>
      </c>
      <c r="X1253" s="9">
        <v>-36.6846293666664</v>
      </c>
    </row>
    <row r="1254" spans="1:24">
      <c r="A1254" s="29">
        <f t="shared" si="1288"/>
        <v>45888.124999996966</v>
      </c>
      <c r="B1254" s="30">
        <f t="shared" si="1312"/>
        <v>5000</v>
      </c>
      <c r="C1254" s="8">
        <v>25000</v>
      </c>
      <c r="D1254" s="8">
        <v>0</v>
      </c>
      <c r="E1254" s="8">
        <v>700</v>
      </c>
      <c r="F1254" s="8">
        <v>15000</v>
      </c>
      <c r="G1254" s="30">
        <f t="shared" si="1313"/>
        <v>2400</v>
      </c>
      <c r="H1254" s="8">
        <v>25000</v>
      </c>
      <c r="I1254" s="30">
        <f t="shared" si="1314"/>
        <v>5000</v>
      </c>
      <c r="J1254" s="8">
        <v>25000</v>
      </c>
      <c r="K1254" s="30">
        <f t="shared" si="1315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14.63</v>
      </c>
      <c r="O1254" s="9">
        <v>13.5</v>
      </c>
      <c r="P1254" s="9">
        <v>19.5</v>
      </c>
      <c r="Q1254" s="79">
        <f>VLOOKUP(VLOOKUP(DATEVALUE(TEXT(A1254,"m/d/yyyy")),FY24_Temp[],5,FALSE)&amp;TEXT(A1254,"-h"),Table6[],4,FALSE)</f>
        <v>2.4292857306344167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VLOOKUP(TEXT(A1254,"yy-mm")&amp;"-"&amp;IF(AND(WEEKDAY(A1254)&gt;1,WEEKDAY(A1254)&lt;7),"Wkd",TEXT(A1254,"Ddd"))&amp;"-"&amp;TEXT(A1254,"hh"),LoadTable[],5,FALSE)*0.92</f>
        <v>295.12680000000006</v>
      </c>
      <c r="U1254" s="104">
        <f>VLOOKUP(TEXT(A1254,"yy-mm")&amp;"-"&amp;IF(AND(WEEKDAY(A1254)&gt;1,WEEKDAY(A1254)&lt;7),"Wkd",TEXT(A1254,"Ddd"))&amp;"-"&amp;TEXT(A1254,"hh"),LoadTable[],6,FALSE)*T1254</f>
        <v>16610.326557600001</v>
      </c>
      <c r="V1254">
        <f t="shared" ref="V1254:W1254" si="1326">V1230</f>
        <v>2.7</v>
      </c>
      <c r="W1254">
        <f t="shared" si="1326"/>
        <v>3.2</v>
      </c>
      <c r="X1254" s="9">
        <v>-36.7624239166664</v>
      </c>
    </row>
    <row r="1255" spans="1:24">
      <c r="A1255" s="29">
        <f t="shared" si="1288"/>
        <v>45888.16666666363</v>
      </c>
      <c r="B1255" s="30">
        <f t="shared" si="1312"/>
        <v>5000</v>
      </c>
      <c r="C1255" s="8">
        <v>25000</v>
      </c>
      <c r="D1255" s="8">
        <v>0</v>
      </c>
      <c r="E1255" s="8">
        <v>700</v>
      </c>
      <c r="F1255" s="8">
        <v>15000</v>
      </c>
      <c r="G1255" s="30">
        <f t="shared" si="1313"/>
        <v>2400</v>
      </c>
      <c r="H1255" s="8">
        <v>25000</v>
      </c>
      <c r="I1255" s="30">
        <f t="shared" si="1314"/>
        <v>5000</v>
      </c>
      <c r="J1255" s="8">
        <v>25000</v>
      </c>
      <c r="K1255" s="30">
        <f t="shared" si="1315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14.63</v>
      </c>
      <c r="O1255" s="9">
        <v>13.5</v>
      </c>
      <c r="P1255" s="9">
        <v>19.5</v>
      </c>
      <c r="Q1255" s="79">
        <f>VLOOKUP(VLOOKUP(DATEVALUE(TEXT(A1255,"m/d/yyyy")),FY24_Temp[],5,FALSE)&amp;TEXT(A1255,"-h"),Table6[],4,FALSE)</f>
        <v>2.264857155936105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VLOOKUP(TEXT(A1255,"yy-mm")&amp;"-"&amp;IF(AND(WEEKDAY(A1255)&gt;1,WEEKDAY(A1255)&lt;7),"Wkd",TEXT(A1255,"Ddd"))&amp;"-"&amp;TEXT(A1255,"hh"),LoadTable[],5,FALSE)*0.92</f>
        <v>295.12680000000006</v>
      </c>
      <c r="U1255" s="104">
        <f>VLOOKUP(TEXT(A1255,"yy-mm")&amp;"-"&amp;IF(AND(WEEKDAY(A1255)&gt;1,WEEKDAY(A1255)&lt;7),"Wkd",TEXT(A1255,"Ddd"))&amp;"-"&amp;TEXT(A1255,"hh"),LoadTable[],6,FALSE)*T1255</f>
        <v>16544.513281200001</v>
      </c>
      <c r="V1255">
        <f t="shared" ref="V1255:W1255" si="1327">V1231</f>
        <v>3</v>
      </c>
      <c r="W1255">
        <f t="shared" si="1327"/>
        <v>3.1</v>
      </c>
      <c r="X1255" s="9">
        <v>-36.8402184666664</v>
      </c>
    </row>
    <row r="1256" spans="1:24">
      <c r="A1256" s="29">
        <f t="shared" si="1288"/>
        <v>45888.208333330294</v>
      </c>
      <c r="B1256" s="30">
        <f t="shared" si="1312"/>
        <v>5000</v>
      </c>
      <c r="C1256" s="8">
        <v>25000</v>
      </c>
      <c r="D1256" s="8">
        <v>0</v>
      </c>
      <c r="E1256" s="8">
        <v>700</v>
      </c>
      <c r="F1256" s="8">
        <v>15000</v>
      </c>
      <c r="G1256" s="30">
        <f t="shared" si="1313"/>
        <v>2400</v>
      </c>
      <c r="H1256" s="8">
        <v>25000</v>
      </c>
      <c r="I1256" s="30">
        <f t="shared" si="1314"/>
        <v>5000</v>
      </c>
      <c r="J1256" s="8">
        <v>25000</v>
      </c>
      <c r="K1256" s="30">
        <f t="shared" si="1315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14.63</v>
      </c>
      <c r="O1256" s="9">
        <v>13.5</v>
      </c>
      <c r="P1256" s="9">
        <v>19.5</v>
      </c>
      <c r="Q1256" s="79">
        <f>VLOOKUP(VLOOKUP(DATEVALUE(TEXT(A1256,"m/d/yyyy")),FY24_Temp[],5,FALSE)&amp;TEXT(A1256,"-h"),Table6[],4,FALSE)</f>
        <v>2.1067142827170238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VLOOKUP(TEXT(A1256,"yy-mm")&amp;"-"&amp;IF(AND(WEEKDAY(A1256)&gt;1,WEEKDAY(A1256)&lt;7),"Wkd",TEXT(A1256,"Ddd"))&amp;"-"&amp;TEXT(A1256,"hh"),LoadTable[],5,FALSE)*0.92</f>
        <v>295.12680000000006</v>
      </c>
      <c r="U1256" s="104">
        <f>VLOOKUP(TEXT(A1256,"yy-mm")&amp;"-"&amp;IF(AND(WEEKDAY(A1256)&gt;1,WEEKDAY(A1256)&lt;7),"Wkd",TEXT(A1256,"Ddd"))&amp;"-"&amp;TEXT(A1256,"hh"),LoadTable[],6,FALSE)*T1256</f>
        <v>17128.569218400004</v>
      </c>
      <c r="V1256">
        <f t="shared" ref="V1256:W1256" si="1328">V1232</f>
        <v>2.9</v>
      </c>
      <c r="W1256">
        <f t="shared" si="1328"/>
        <v>3.1</v>
      </c>
      <c r="X1256" s="9">
        <v>-36.9180130166664</v>
      </c>
    </row>
    <row r="1257" spans="1:24">
      <c r="A1257" s="29">
        <f t="shared" si="1288"/>
        <v>45888.249999996959</v>
      </c>
      <c r="B1257" s="30">
        <f t="shared" si="1312"/>
        <v>8000</v>
      </c>
      <c r="C1257" s="8">
        <v>25000</v>
      </c>
      <c r="D1257" s="8">
        <v>0</v>
      </c>
      <c r="E1257" s="8">
        <v>700</v>
      </c>
      <c r="F1257" s="8">
        <v>15000</v>
      </c>
      <c r="G1257" s="30">
        <f t="shared" si="1313"/>
        <v>2400</v>
      </c>
      <c r="H1257" s="8">
        <v>25000</v>
      </c>
      <c r="I1257" s="30">
        <f t="shared" si="1314"/>
        <v>8000</v>
      </c>
      <c r="J1257" s="8">
        <v>25000</v>
      </c>
      <c r="K1257" s="30">
        <f t="shared" si="1315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14.63</v>
      </c>
      <c r="O1257" s="9">
        <v>13.5</v>
      </c>
      <c r="P1257" s="9">
        <v>19.5</v>
      </c>
      <c r="Q1257" s="79">
        <f>VLOOKUP(VLOOKUP(DATEVALUE(TEXT(A1257,"m/d/yyyy")),FY24_Temp[],5,FALSE)&amp;TEXT(A1257,"-h"),Table6[],4,FALSE)</f>
        <v>1.992142847606114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VLOOKUP(TEXT(A1257,"yy-mm")&amp;"-"&amp;IF(AND(WEEKDAY(A1257)&gt;1,WEEKDAY(A1257)&lt;7),"Wkd",TEXT(A1257,"Ddd"))&amp;"-"&amp;TEXT(A1257,"hh"),LoadTable[],5,FALSE)*0.92</f>
        <v>295.12680000000006</v>
      </c>
      <c r="U1257" s="104">
        <f>VLOOKUP(TEXT(A1257,"yy-mm")&amp;"-"&amp;IF(AND(WEEKDAY(A1257)&gt;1,WEEKDAY(A1257)&lt;7),"Wkd",TEXT(A1257,"Ddd"))&amp;"-"&amp;TEXT(A1257,"hh"),LoadTable[],6,FALSE)*T1257</f>
        <v>20766.892408800006</v>
      </c>
      <c r="V1257">
        <f t="shared" ref="V1257:W1257" si="1329">V1233</f>
        <v>2.5</v>
      </c>
      <c r="W1257">
        <f t="shared" si="1329"/>
        <v>3.1</v>
      </c>
      <c r="X1257" s="9">
        <v>-36.9958075666664</v>
      </c>
    </row>
    <row r="1258" spans="1:24">
      <c r="A1258" s="29">
        <f t="shared" si="1288"/>
        <v>45888.291666663623</v>
      </c>
      <c r="B1258" s="30">
        <f t="shared" si="1312"/>
        <v>8000</v>
      </c>
      <c r="C1258" s="8">
        <v>25000</v>
      </c>
      <c r="D1258" s="8">
        <v>0</v>
      </c>
      <c r="E1258" s="8">
        <v>700</v>
      </c>
      <c r="F1258" s="8">
        <v>15000</v>
      </c>
      <c r="G1258" s="30">
        <f t="shared" si="1313"/>
        <v>2400</v>
      </c>
      <c r="H1258" s="8">
        <v>25000</v>
      </c>
      <c r="I1258" s="30">
        <f t="shared" si="1314"/>
        <v>8000</v>
      </c>
      <c r="J1258" s="8">
        <v>25000</v>
      </c>
      <c r="K1258" s="30">
        <f t="shared" si="1315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14.63</v>
      </c>
      <c r="O1258" s="9">
        <v>13.5</v>
      </c>
      <c r="P1258" s="9">
        <v>19.5</v>
      </c>
      <c r="Q1258" s="79">
        <f>VLOOKUP(VLOOKUP(DATEVALUE(TEXT(A1258,"m/d/yyyy")),FY24_Temp[],5,FALSE)&amp;TEXT(A1258,"-h"),Table6[],4,FALSE)</f>
        <v>1.9098571368626185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VLOOKUP(TEXT(A1258,"yy-mm")&amp;"-"&amp;IF(AND(WEEKDAY(A1258)&gt;1,WEEKDAY(A1258)&lt;7),"Wkd",TEXT(A1258,"Ddd"))&amp;"-"&amp;TEXT(A1258,"hh"),LoadTable[],5,FALSE)*0.92</f>
        <v>295.12680000000006</v>
      </c>
      <c r="U1258" s="104">
        <f>VLOOKUP(TEXT(A1258,"yy-mm")&amp;"-"&amp;IF(AND(WEEKDAY(A1258)&gt;1,WEEKDAY(A1258)&lt;7),"Wkd",TEXT(A1258,"Ddd"))&amp;"-"&amp;TEXT(A1258,"hh"),LoadTable[],6,FALSE)*T1258</f>
        <v>19169.666167200001</v>
      </c>
      <c r="V1258">
        <f t="shared" ref="V1258:W1258" si="1330">V1234</f>
        <v>2.5</v>
      </c>
      <c r="W1258">
        <f t="shared" si="1330"/>
        <v>3.1</v>
      </c>
      <c r="X1258" s="9">
        <v>-37.0736021166664</v>
      </c>
    </row>
    <row r="1259" spans="1:24">
      <c r="A1259" s="29">
        <f t="shared" si="1288"/>
        <v>45888.333333330287</v>
      </c>
      <c r="B1259" s="30">
        <f t="shared" si="1312"/>
        <v>8000</v>
      </c>
      <c r="C1259" s="8">
        <v>25000</v>
      </c>
      <c r="D1259" s="8">
        <v>0</v>
      </c>
      <c r="E1259" s="8">
        <v>700</v>
      </c>
      <c r="F1259" s="8">
        <v>15000</v>
      </c>
      <c r="G1259" s="30">
        <f t="shared" si="1313"/>
        <v>2400</v>
      </c>
      <c r="H1259" s="8">
        <v>25000</v>
      </c>
      <c r="I1259" s="30">
        <f t="shared" si="1314"/>
        <v>8000</v>
      </c>
      <c r="J1259" s="8">
        <v>25000</v>
      </c>
      <c r="K1259" s="30">
        <f t="shared" si="1315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14.63</v>
      </c>
      <c r="O1259" s="9">
        <v>13.5</v>
      </c>
      <c r="P1259" s="9">
        <v>19.5</v>
      </c>
      <c r="Q1259" s="79">
        <f>VLOOKUP(VLOOKUP(DATEVALUE(TEXT(A1259,"m/d/yyyy")),FY24_Temp[],5,FALSE)&amp;TEXT(A1259,"-h"),Table6[],4,FALSE)</f>
        <v>1.8045714242117745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VLOOKUP(TEXT(A1259,"yy-mm")&amp;"-"&amp;IF(AND(WEEKDAY(A1259)&gt;1,WEEKDAY(A1259)&lt;7),"Wkd",TEXT(A1259,"Ddd"))&amp;"-"&amp;TEXT(A1259,"hh"),LoadTable[],5,FALSE)*0.92</f>
        <v>295.12680000000006</v>
      </c>
      <c r="U1259" s="104">
        <f>VLOOKUP(TEXT(A1259,"yy-mm")&amp;"-"&amp;IF(AND(WEEKDAY(A1259)&gt;1,WEEKDAY(A1259)&lt;7),"Wkd",TEXT(A1259,"Ddd"))&amp;"-"&amp;TEXT(A1259,"hh"),LoadTable[],6,FALSE)*T1259</f>
        <v>15860.999612400004</v>
      </c>
      <c r="V1259">
        <f t="shared" ref="V1259:W1259" si="1331">V1235</f>
        <v>3.2</v>
      </c>
      <c r="W1259">
        <f t="shared" si="1331"/>
        <v>3</v>
      </c>
      <c r="X1259" s="9">
        <v>-37.1513966666664</v>
      </c>
    </row>
    <row r="1260" spans="1:24">
      <c r="A1260" s="29">
        <f t="shared" si="1288"/>
        <v>45888.374999996951</v>
      </c>
      <c r="B1260" s="30">
        <f t="shared" si="1312"/>
        <v>8000</v>
      </c>
      <c r="C1260" s="8">
        <v>25000</v>
      </c>
      <c r="D1260" s="8">
        <v>0</v>
      </c>
      <c r="E1260" s="8">
        <v>700</v>
      </c>
      <c r="F1260" s="8">
        <v>15000</v>
      </c>
      <c r="G1260" s="30">
        <f t="shared" si="1313"/>
        <v>2400</v>
      </c>
      <c r="H1260" s="8">
        <v>25000</v>
      </c>
      <c r="I1260" s="30">
        <f t="shared" si="1314"/>
        <v>8000</v>
      </c>
      <c r="J1260" s="8">
        <v>25000</v>
      </c>
      <c r="K1260" s="30">
        <f t="shared" si="1315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14.63</v>
      </c>
      <c r="O1260" s="9">
        <v>13.5</v>
      </c>
      <c r="P1260" s="9">
        <v>19.5</v>
      </c>
      <c r="Q1260" s="79">
        <f>VLOOKUP(VLOOKUP(DATEVALUE(TEXT(A1260,"m/d/yyyy")),FY24_Temp[],5,FALSE)&amp;TEXT(A1260,"-h"),Table6[],4,FALSE)</f>
        <v>1.7064285789217268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VLOOKUP(TEXT(A1260,"yy-mm")&amp;"-"&amp;IF(AND(WEEKDAY(A1260)&gt;1,WEEKDAY(A1260)&lt;7),"Wkd",TEXT(A1260,"Ddd"))&amp;"-"&amp;TEXT(A1260,"hh"),LoadTable[],5,FALSE)*0.92</f>
        <v>295.12680000000006</v>
      </c>
      <c r="U1260" s="104">
        <f>VLOOKUP(TEXT(A1260,"yy-mm")&amp;"-"&amp;IF(AND(WEEKDAY(A1260)&gt;1,WEEKDAY(A1260)&lt;7),"Wkd",TEXT(A1260,"Ddd"))&amp;"-"&amp;TEXT(A1260,"hh"),LoadTable[],6,FALSE)*T1260</f>
        <v>15713.436212400004</v>
      </c>
      <c r="V1260">
        <f t="shared" ref="V1260:W1260" si="1332">V1236</f>
        <v>2.9</v>
      </c>
      <c r="W1260">
        <f t="shared" si="1332"/>
        <v>3</v>
      </c>
      <c r="X1260" s="9">
        <v>-37.229191216666401</v>
      </c>
    </row>
    <row r="1261" spans="1:24">
      <c r="A1261" s="29">
        <f t="shared" si="1288"/>
        <v>45888.416666663616</v>
      </c>
      <c r="B1261" s="30">
        <f t="shared" si="1312"/>
        <v>8000</v>
      </c>
      <c r="C1261" s="8">
        <v>25000</v>
      </c>
      <c r="D1261" s="8">
        <v>0</v>
      </c>
      <c r="E1261" s="8">
        <v>700</v>
      </c>
      <c r="F1261" s="8">
        <v>15000</v>
      </c>
      <c r="G1261" s="30">
        <f t="shared" si="1313"/>
        <v>2400</v>
      </c>
      <c r="H1261" s="8">
        <v>25000</v>
      </c>
      <c r="I1261" s="30">
        <f t="shared" si="1314"/>
        <v>8000</v>
      </c>
      <c r="J1261" s="8">
        <v>25000</v>
      </c>
      <c r="K1261" s="30">
        <f t="shared" si="1315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14.63</v>
      </c>
      <c r="O1261" s="9">
        <v>13.5</v>
      </c>
      <c r="P1261" s="9">
        <v>19.5</v>
      </c>
      <c r="Q1261" s="79">
        <f>VLOOKUP(VLOOKUP(DATEVALUE(TEXT(A1261,"m/d/yyyy")),FY24_Temp[],5,FALSE)&amp;TEXT(A1261,"-h"),Table6[],4,FALSE)</f>
        <v>1.6218571492603846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VLOOKUP(TEXT(A1261,"yy-mm")&amp;"-"&amp;IF(AND(WEEKDAY(A1261)&gt;1,WEEKDAY(A1261)&lt;7),"Wkd",TEXT(A1261,"Ddd"))&amp;"-"&amp;TEXT(A1261,"hh"),LoadTable[],5,FALSE)*0.92</f>
        <v>295.12680000000006</v>
      </c>
      <c r="U1261" s="104">
        <f>VLOOKUP(TEXT(A1261,"yy-mm")&amp;"-"&amp;IF(AND(WEEKDAY(A1261)&gt;1,WEEKDAY(A1261)&lt;7),"Wkd",TEXT(A1261,"Ddd"))&amp;"-"&amp;TEXT(A1261,"hh"),LoadTable[],6,FALSE)*T1261</f>
        <v>14369.723892000002</v>
      </c>
      <c r="V1261">
        <f t="shared" ref="V1261:W1261" si="1333">V1237</f>
        <v>2.9</v>
      </c>
      <c r="W1261">
        <f t="shared" si="1333"/>
        <v>3</v>
      </c>
      <c r="X1261" s="9">
        <v>-37.306985766666401</v>
      </c>
    </row>
    <row r="1262" spans="1:24">
      <c r="A1262" s="29">
        <f t="shared" si="1288"/>
        <v>45888.45833333028</v>
      </c>
      <c r="B1262" s="30">
        <f t="shared" si="1312"/>
        <v>8000</v>
      </c>
      <c r="C1262" s="8">
        <v>25000</v>
      </c>
      <c r="D1262" s="8">
        <v>0</v>
      </c>
      <c r="E1262" s="8">
        <v>700</v>
      </c>
      <c r="F1262" s="8">
        <v>15000</v>
      </c>
      <c r="G1262" s="30">
        <f t="shared" si="1313"/>
        <v>2400</v>
      </c>
      <c r="H1262" s="8">
        <v>25000</v>
      </c>
      <c r="I1262" s="30">
        <f t="shared" si="1314"/>
        <v>8000</v>
      </c>
      <c r="J1262" s="8">
        <v>25000</v>
      </c>
      <c r="K1262" s="30">
        <f t="shared" si="1315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14.63</v>
      </c>
      <c r="O1262" s="9">
        <v>13.5</v>
      </c>
      <c r="P1262" s="9">
        <v>19.5</v>
      </c>
      <c r="Q1262" s="79">
        <f>VLOOKUP(VLOOKUP(DATEVALUE(TEXT(A1262,"m/d/yyyy")),FY24_Temp[],5,FALSE)&amp;TEXT(A1262,"-h"),Table6[],4,FALSE)</f>
        <v>1.5159999813352312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VLOOKUP(TEXT(A1262,"yy-mm")&amp;"-"&amp;IF(AND(WEEKDAY(A1262)&gt;1,WEEKDAY(A1262)&lt;7),"Wkd",TEXT(A1262,"Ddd"))&amp;"-"&amp;TEXT(A1262,"hh"),LoadTable[],5,FALSE)*0.92</f>
        <v>295.12680000000006</v>
      </c>
      <c r="U1262" s="104">
        <f>VLOOKUP(TEXT(A1262,"yy-mm")&amp;"-"&amp;IF(AND(WEEKDAY(A1262)&gt;1,WEEKDAY(A1262)&lt;7),"Wkd",TEXT(A1262,"Ddd"))&amp;"-"&amp;TEXT(A1262,"hh"),LoadTable[],6,FALSE)*T1262</f>
        <v>14137.459100400003</v>
      </c>
      <c r="V1262">
        <f t="shared" ref="V1262:W1262" si="1334">V1238</f>
        <v>3.4</v>
      </c>
      <c r="W1262">
        <f t="shared" si="1334"/>
        <v>3</v>
      </c>
      <c r="X1262" s="9">
        <v>-37.384780316666401</v>
      </c>
    </row>
    <row r="1263" spans="1:24">
      <c r="A1263" s="29">
        <f t="shared" si="1288"/>
        <v>45888.499999996944</v>
      </c>
      <c r="B1263" s="30">
        <f t="shared" si="1312"/>
        <v>8000</v>
      </c>
      <c r="C1263" s="8">
        <v>25000</v>
      </c>
      <c r="D1263" s="8">
        <v>0</v>
      </c>
      <c r="E1263" s="8">
        <v>700</v>
      </c>
      <c r="F1263" s="8">
        <v>15000</v>
      </c>
      <c r="G1263" s="30">
        <f t="shared" si="1313"/>
        <v>2400</v>
      </c>
      <c r="H1263" s="8">
        <v>25000</v>
      </c>
      <c r="I1263" s="30">
        <f t="shared" si="1314"/>
        <v>8000</v>
      </c>
      <c r="J1263" s="8">
        <v>25000</v>
      </c>
      <c r="K1263" s="30">
        <f t="shared" si="1315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14.63</v>
      </c>
      <c r="O1263" s="9">
        <v>13.5</v>
      </c>
      <c r="P1263" s="9">
        <v>19.5</v>
      </c>
      <c r="Q1263" s="79">
        <f>VLOOKUP(VLOOKUP(DATEVALUE(TEXT(A1263,"m/d/yyyy")),FY24_Temp[],5,FALSE)&amp;TEXT(A1263,"-h"),Table6[],4,FALSE)</f>
        <v>1.3808571270533971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VLOOKUP(TEXT(A1263,"yy-mm")&amp;"-"&amp;IF(AND(WEEKDAY(A1263)&gt;1,WEEKDAY(A1263)&lt;7),"Wkd",TEXT(A1263,"Ddd"))&amp;"-"&amp;TEXT(A1263,"hh"),LoadTable[],5,FALSE)*0.92</f>
        <v>295.12680000000006</v>
      </c>
      <c r="U1263" s="104">
        <f>VLOOKUP(TEXT(A1263,"yy-mm")&amp;"-"&amp;IF(AND(WEEKDAY(A1263)&gt;1,WEEKDAY(A1263)&lt;7),"Wkd",TEXT(A1263,"Ddd"))&amp;"-"&amp;TEXT(A1263,"hh"),LoadTable[],6,FALSE)*T1263</f>
        <v>14242.819368000002</v>
      </c>
      <c r="V1263">
        <f t="shared" ref="V1263:W1263" si="1335">V1239</f>
        <v>3.1</v>
      </c>
      <c r="W1263">
        <f t="shared" si="1335"/>
        <v>2.9</v>
      </c>
      <c r="X1263" s="9">
        <v>-37.462574866666401</v>
      </c>
    </row>
    <row r="1264" spans="1:24">
      <c r="A1264" s="29">
        <f t="shared" si="1288"/>
        <v>45888.541666663608</v>
      </c>
      <c r="B1264" s="30">
        <f t="shared" si="1312"/>
        <v>8000</v>
      </c>
      <c r="C1264" s="8">
        <v>25000</v>
      </c>
      <c r="D1264" s="8">
        <v>0</v>
      </c>
      <c r="E1264" s="8">
        <v>700</v>
      </c>
      <c r="F1264" s="8">
        <v>15000</v>
      </c>
      <c r="G1264" s="30">
        <f t="shared" si="1313"/>
        <v>2400</v>
      </c>
      <c r="H1264" s="8">
        <v>25000</v>
      </c>
      <c r="I1264" s="30">
        <f t="shared" si="1314"/>
        <v>8000</v>
      </c>
      <c r="J1264" s="8">
        <v>25000</v>
      </c>
      <c r="K1264" s="30">
        <f t="shared" si="1315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14.63</v>
      </c>
      <c r="O1264" s="9">
        <v>13.5</v>
      </c>
      <c r="P1264" s="9">
        <v>19.5</v>
      </c>
      <c r="Q1264" s="79">
        <f>VLOOKUP(VLOOKUP(DATEVALUE(TEXT(A1264,"m/d/yyyy")),FY24_Temp[],5,FALSE)&amp;TEXT(A1264,"-h"),Table6[],4,FALSE)</f>
        <v>1.2139999866485596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VLOOKUP(TEXT(A1264,"yy-mm")&amp;"-"&amp;IF(AND(WEEKDAY(A1264)&gt;1,WEEKDAY(A1264)&lt;7),"Wkd",TEXT(A1264,"Ddd"))&amp;"-"&amp;TEXT(A1264,"hh"),LoadTable[],5,FALSE)*0.92</f>
        <v>295.12680000000006</v>
      </c>
      <c r="U1264" s="104">
        <f>VLOOKUP(TEXT(A1264,"yy-mm")&amp;"-"&amp;IF(AND(WEEKDAY(A1264)&gt;1,WEEKDAY(A1264)&lt;7),"Wkd",TEXT(A1264,"Ddd"))&amp;"-"&amp;TEXT(A1264,"hh"),LoadTable[],6,FALSE)*T1264</f>
        <v>16280.669922000003</v>
      </c>
      <c r="V1264">
        <f t="shared" ref="V1264:W1264" si="1336">V1240</f>
        <v>3.2</v>
      </c>
      <c r="W1264">
        <f t="shared" si="1336"/>
        <v>2.9</v>
      </c>
      <c r="X1264" s="9">
        <v>-37.540369416666401</v>
      </c>
    </row>
    <row r="1265" spans="1:24">
      <c r="A1265" s="29">
        <f t="shared" si="1288"/>
        <v>45888.583333330273</v>
      </c>
      <c r="B1265" s="30">
        <f t="shared" si="1312"/>
        <v>8000</v>
      </c>
      <c r="C1265" s="8">
        <v>25000</v>
      </c>
      <c r="D1265" s="8">
        <v>0</v>
      </c>
      <c r="E1265" s="8">
        <v>700</v>
      </c>
      <c r="F1265" s="8">
        <v>15000</v>
      </c>
      <c r="G1265" s="30">
        <f t="shared" si="1313"/>
        <v>2400</v>
      </c>
      <c r="H1265" s="8">
        <v>25000</v>
      </c>
      <c r="I1265" s="30">
        <f t="shared" si="1314"/>
        <v>8000</v>
      </c>
      <c r="J1265" s="8">
        <v>25000</v>
      </c>
      <c r="K1265" s="30">
        <f t="shared" si="1315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14.63</v>
      </c>
      <c r="O1265" s="9">
        <v>13.5</v>
      </c>
      <c r="P1265" s="9">
        <v>19.5</v>
      </c>
      <c r="Q1265" s="79">
        <f>VLOOKUP(VLOOKUP(DATEVALUE(TEXT(A1265,"m/d/yyyy")),FY24_Temp[],5,FALSE)&amp;TEXT(A1265,"-h"),Table6[],4,FALSE)</f>
        <v>1.0331428476742335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VLOOKUP(TEXT(A1265,"yy-mm")&amp;"-"&amp;IF(AND(WEEKDAY(A1265)&gt;1,WEEKDAY(A1265)&lt;7),"Wkd",TEXT(A1265,"Ddd"))&amp;"-"&amp;TEXT(A1265,"hh"),LoadTable[],5,FALSE)*0.92</f>
        <v>402.08416</v>
      </c>
      <c r="U1265" s="104">
        <f>VLOOKUP(TEXT(A1265,"yy-mm")&amp;"-"&amp;IF(AND(WEEKDAY(A1265)&gt;1,WEEKDAY(A1265)&lt;7),"Wkd",TEXT(A1265,"Ddd"))&amp;"-"&amp;TEXT(A1265,"hh"),LoadTable[],6,FALSE)*T1265</f>
        <v>27023.674309440001</v>
      </c>
      <c r="V1265">
        <f t="shared" ref="V1265:W1265" si="1337">V1241</f>
        <v>3.5</v>
      </c>
      <c r="W1265">
        <f t="shared" si="1337"/>
        <v>2.9</v>
      </c>
      <c r="X1265" s="9">
        <v>-37.618163966666401</v>
      </c>
    </row>
    <row r="1266" spans="1:24">
      <c r="A1266" s="29">
        <f t="shared" si="1288"/>
        <v>45888.624999996937</v>
      </c>
      <c r="B1266" s="30">
        <f t="shared" si="1312"/>
        <v>8000</v>
      </c>
      <c r="C1266" s="8">
        <v>25000</v>
      </c>
      <c r="D1266" s="8">
        <v>0</v>
      </c>
      <c r="E1266" s="8">
        <v>700</v>
      </c>
      <c r="F1266" s="8">
        <v>15000</v>
      </c>
      <c r="G1266" s="30">
        <f t="shared" si="1313"/>
        <v>2400</v>
      </c>
      <c r="H1266" s="8">
        <v>25000</v>
      </c>
      <c r="I1266" s="30">
        <f t="shared" si="1314"/>
        <v>8000</v>
      </c>
      <c r="J1266" s="8">
        <v>25000</v>
      </c>
      <c r="K1266" s="30">
        <f t="shared" si="1315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14.63</v>
      </c>
      <c r="O1266" s="9">
        <v>13.5</v>
      </c>
      <c r="P1266" s="9">
        <v>19.5</v>
      </c>
      <c r="Q1266" s="79">
        <f>VLOOKUP(VLOOKUP(DATEVALUE(TEXT(A1266,"m/d/yyyy")),FY24_Temp[],5,FALSE)&amp;TEXT(A1266,"-h"),Table6[],4,FALSE)</f>
        <v>0.8692857112203326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VLOOKUP(TEXT(A1266,"yy-mm")&amp;"-"&amp;IF(AND(WEEKDAY(A1266)&gt;1,WEEKDAY(A1266)&lt;7),"Wkd",TEXT(A1266,"Ddd"))&amp;"-"&amp;TEXT(A1266,"hh"),LoadTable[],5,FALSE)*0.92</f>
        <v>521.92427999999995</v>
      </c>
      <c r="U1266" s="104">
        <f>VLOOKUP(TEXT(A1266,"yy-mm")&amp;"-"&amp;IF(AND(WEEKDAY(A1266)&gt;1,WEEKDAY(A1266)&lt;7),"Wkd",TEXT(A1266,"Ddd"))&amp;"-"&amp;TEXT(A1266,"hh"),LoadTable[],6,FALSE)*T1266</f>
        <v>38276.36092236</v>
      </c>
      <c r="V1266">
        <f t="shared" ref="V1266:W1266" si="1338">V1242</f>
        <v>3.2</v>
      </c>
      <c r="W1266">
        <f t="shared" si="1338"/>
        <v>2.9</v>
      </c>
      <c r="X1266" s="9">
        <v>-37.695958516666401</v>
      </c>
    </row>
    <row r="1267" spans="1:24">
      <c r="A1267" s="29">
        <f t="shared" si="1288"/>
        <v>45888.666666663601</v>
      </c>
      <c r="B1267" s="30">
        <f t="shared" si="1312"/>
        <v>8000</v>
      </c>
      <c r="C1267" s="8">
        <v>25000</v>
      </c>
      <c r="D1267" s="8">
        <v>0</v>
      </c>
      <c r="E1267" s="8">
        <v>700</v>
      </c>
      <c r="F1267" s="8">
        <v>15000</v>
      </c>
      <c r="G1267" s="30">
        <f t="shared" si="1313"/>
        <v>2400</v>
      </c>
      <c r="H1267" s="8">
        <v>25000</v>
      </c>
      <c r="I1267" s="30">
        <f t="shared" si="1314"/>
        <v>8000</v>
      </c>
      <c r="J1267" s="8">
        <v>25000</v>
      </c>
      <c r="K1267" s="30">
        <f t="shared" si="1315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14.63</v>
      </c>
      <c r="O1267" s="9">
        <v>13.5</v>
      </c>
      <c r="P1267" s="9">
        <v>19.5</v>
      </c>
      <c r="Q1267" s="79">
        <f>VLOOKUP(VLOOKUP(DATEVALUE(TEXT(A1267,"m/d/yyyy")),FY24_Temp[],5,FALSE)&amp;TEXT(A1267,"-h"),Table6[],4,FALSE)</f>
        <v>0.78099999257496422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VLOOKUP(TEXT(A1267,"yy-mm")&amp;"-"&amp;IF(AND(WEEKDAY(A1267)&gt;1,WEEKDAY(A1267)&lt;7),"Wkd",TEXT(A1267,"Ddd"))&amp;"-"&amp;TEXT(A1267,"hh"),LoadTable[],5,FALSE)*0.92</f>
        <v>521.92427999999995</v>
      </c>
      <c r="U1267" s="104">
        <f>VLOOKUP(TEXT(A1267,"yy-mm")&amp;"-"&amp;IF(AND(WEEKDAY(A1267)&gt;1,WEEKDAY(A1267)&lt;7),"Wkd",TEXT(A1267,"Ddd"))&amp;"-"&amp;TEXT(A1267,"hh"),LoadTable[],6,FALSE)*T1267</f>
        <v>45879.753833399998</v>
      </c>
      <c r="V1267">
        <f t="shared" ref="V1267:W1267" si="1339">V1243</f>
        <v>3.5</v>
      </c>
      <c r="W1267">
        <f t="shared" si="1339"/>
        <v>3</v>
      </c>
      <c r="X1267" s="9">
        <v>-37.773753066666401</v>
      </c>
    </row>
    <row r="1268" spans="1:24">
      <c r="A1268" s="29">
        <f t="shared" si="1288"/>
        <v>45888.708333330265</v>
      </c>
      <c r="B1268" s="30">
        <f t="shared" si="1312"/>
        <v>8000</v>
      </c>
      <c r="C1268" s="8">
        <v>25000</v>
      </c>
      <c r="D1268" s="8">
        <v>0</v>
      </c>
      <c r="E1268" s="8">
        <v>700</v>
      </c>
      <c r="F1268" s="8">
        <v>15000</v>
      </c>
      <c r="G1268" s="30">
        <f t="shared" si="1313"/>
        <v>2400</v>
      </c>
      <c r="H1268" s="8">
        <v>25000</v>
      </c>
      <c r="I1268" s="30">
        <f t="shared" si="1314"/>
        <v>8000</v>
      </c>
      <c r="J1268" s="8">
        <v>25000</v>
      </c>
      <c r="K1268" s="30">
        <f t="shared" si="1315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14.63</v>
      </c>
      <c r="O1268" s="9">
        <v>13.5</v>
      </c>
      <c r="P1268" s="9">
        <v>19.5</v>
      </c>
      <c r="Q1268" s="79">
        <f>VLOOKUP(VLOOKUP(DATEVALUE(TEXT(A1268,"m/d/yyyy")),FY24_Temp[],5,FALSE)&amp;TEXT(A1268,"-h"),Table6[],4,FALSE)</f>
        <v>0.92514285019465858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VLOOKUP(TEXT(A1268,"yy-mm")&amp;"-"&amp;IF(AND(WEEKDAY(A1268)&gt;1,WEEKDAY(A1268)&lt;7),"Wkd",TEXT(A1268,"Ddd"))&amp;"-"&amp;TEXT(A1268,"hh"),LoadTable[],5,FALSE)*0.92</f>
        <v>521.92427999999995</v>
      </c>
      <c r="U1268" s="104">
        <f>VLOOKUP(TEXT(A1268,"yy-mm")&amp;"-"&amp;IF(AND(WEEKDAY(A1268)&gt;1,WEEKDAY(A1268)&lt;7),"Wkd",TEXT(A1268,"Ddd"))&amp;"-"&amp;TEXT(A1268,"hh"),LoadTable[],6,FALSE)*T1268</f>
        <v>57850.609119479988</v>
      </c>
      <c r="V1268">
        <f t="shared" ref="V1268:W1268" si="1340">V1244</f>
        <v>3.6</v>
      </c>
      <c r="W1268">
        <f t="shared" si="1340"/>
        <v>3</v>
      </c>
      <c r="X1268" s="9">
        <v>-37.851547616666402</v>
      </c>
    </row>
    <row r="1269" spans="1:24">
      <c r="A1269" s="29">
        <f t="shared" si="1288"/>
        <v>45888.74999999693</v>
      </c>
      <c r="B1269" s="30">
        <f t="shared" si="1312"/>
        <v>5000</v>
      </c>
      <c r="C1269" s="8">
        <v>25000</v>
      </c>
      <c r="D1269" s="8">
        <v>0</v>
      </c>
      <c r="E1269" s="8">
        <v>700</v>
      </c>
      <c r="F1269" s="8">
        <v>15000</v>
      </c>
      <c r="G1269" s="30">
        <f t="shared" si="1313"/>
        <v>2400</v>
      </c>
      <c r="H1269" s="8">
        <v>25000</v>
      </c>
      <c r="I1269" s="30">
        <f t="shared" si="1314"/>
        <v>5000</v>
      </c>
      <c r="J1269" s="8">
        <v>25000</v>
      </c>
      <c r="K1269" s="30">
        <f t="shared" si="1315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14.63</v>
      </c>
      <c r="O1269" s="9">
        <v>13.5</v>
      </c>
      <c r="P1269" s="9">
        <v>19.5</v>
      </c>
      <c r="Q1269" s="79">
        <f>VLOOKUP(VLOOKUP(DATEVALUE(TEXT(A1269,"m/d/yyyy")),FY24_Temp[],5,FALSE)&amp;TEXT(A1269,"-h"),Table6[],4,FALSE)</f>
        <v>1.2939999955041068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VLOOKUP(TEXT(A1269,"yy-mm")&amp;"-"&amp;IF(AND(WEEKDAY(A1269)&gt;1,WEEKDAY(A1269)&lt;7),"Wkd",TEXT(A1269,"Ddd"))&amp;"-"&amp;TEXT(A1269,"hh"),LoadTable[],5,FALSE)*0.92</f>
        <v>521.92427999999995</v>
      </c>
      <c r="U1269" s="104">
        <f>VLOOKUP(TEXT(A1269,"yy-mm")&amp;"-"&amp;IF(AND(WEEKDAY(A1269)&gt;1,WEEKDAY(A1269)&lt;7),"Wkd",TEXT(A1269,"Ddd"))&amp;"-"&amp;TEXT(A1269,"hh"),LoadTable[],6,FALSE)*T1269</f>
        <v>71088.174633119997</v>
      </c>
      <c r="V1269">
        <f t="shared" ref="V1269:W1269" si="1341">V1245</f>
        <v>2.9</v>
      </c>
      <c r="W1269">
        <f t="shared" si="1341"/>
        <v>3</v>
      </c>
      <c r="X1269" s="9">
        <v>-37.929342166666402</v>
      </c>
    </row>
    <row r="1270" spans="1:24">
      <c r="A1270" s="29">
        <f t="shared" si="1288"/>
        <v>45888.791666663594</v>
      </c>
      <c r="B1270" s="30">
        <f t="shared" si="1312"/>
        <v>5000</v>
      </c>
      <c r="C1270" s="8">
        <v>25000</v>
      </c>
      <c r="D1270" s="8">
        <v>0</v>
      </c>
      <c r="E1270" s="8">
        <v>700</v>
      </c>
      <c r="F1270" s="8">
        <v>15000</v>
      </c>
      <c r="G1270" s="30">
        <f t="shared" si="1313"/>
        <v>2400</v>
      </c>
      <c r="H1270" s="8">
        <v>25000</v>
      </c>
      <c r="I1270" s="30">
        <f t="shared" si="1314"/>
        <v>5000</v>
      </c>
      <c r="J1270" s="8">
        <v>25000</v>
      </c>
      <c r="K1270" s="30">
        <f t="shared" si="1315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14.63</v>
      </c>
      <c r="O1270" s="9">
        <v>13.5</v>
      </c>
      <c r="P1270" s="9">
        <v>19.5</v>
      </c>
      <c r="Q1270" s="79">
        <f>VLOOKUP(VLOOKUP(DATEVALUE(TEXT(A1270,"m/d/yyyy")),FY24_Temp[],5,FALSE)&amp;TEXT(A1270,"-h"),Table6[],4,FALSE)</f>
        <v>2.0332857200077603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VLOOKUP(TEXT(A1270,"yy-mm")&amp;"-"&amp;IF(AND(WEEKDAY(A1270)&gt;1,WEEKDAY(A1270)&lt;7),"Wkd",TEXT(A1270,"Ddd"))&amp;"-"&amp;TEXT(A1270,"hh"),LoadTable[],5,FALSE)*0.92</f>
        <v>521.92427999999995</v>
      </c>
      <c r="U1270" s="104">
        <f>VLOOKUP(TEXT(A1270,"yy-mm")&amp;"-"&amp;IF(AND(WEEKDAY(A1270)&gt;1,WEEKDAY(A1270)&lt;7),"Wkd",TEXT(A1270,"Ddd"))&amp;"-"&amp;TEXT(A1270,"hh"),LoadTable[],6,FALSE)*T1270</f>
        <v>75540.188741520004</v>
      </c>
      <c r="V1270">
        <f t="shared" ref="V1270:W1270" si="1342">V1246</f>
        <v>3</v>
      </c>
      <c r="W1270">
        <f t="shared" si="1342"/>
        <v>3</v>
      </c>
      <c r="X1270" s="9">
        <v>-38.007136716666402</v>
      </c>
    </row>
    <row r="1271" spans="1:24">
      <c r="A1271" s="29">
        <f t="shared" si="1288"/>
        <v>45888.833333330258</v>
      </c>
      <c r="B1271" s="30">
        <f t="shared" si="1312"/>
        <v>5000</v>
      </c>
      <c r="C1271" s="8">
        <v>25000</v>
      </c>
      <c r="D1271" s="8">
        <v>0</v>
      </c>
      <c r="E1271" s="8">
        <v>700</v>
      </c>
      <c r="F1271" s="8">
        <v>15000</v>
      </c>
      <c r="G1271" s="30">
        <f t="shared" si="1313"/>
        <v>2400</v>
      </c>
      <c r="H1271" s="8">
        <v>25000</v>
      </c>
      <c r="I1271" s="30">
        <f t="shared" si="1314"/>
        <v>5000</v>
      </c>
      <c r="J1271" s="8">
        <v>25000</v>
      </c>
      <c r="K1271" s="30">
        <f t="shared" si="1315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14.63</v>
      </c>
      <c r="O1271" s="9">
        <v>13.5</v>
      </c>
      <c r="P1271" s="9">
        <v>19.5</v>
      </c>
      <c r="Q1271" s="79">
        <f>VLOOKUP(VLOOKUP(DATEVALUE(TEXT(A1271,"m/d/yyyy")),FY24_Temp[],5,FALSE)&amp;TEXT(A1271,"-h"),Table6[],4,FALSE)</f>
        <v>2.8272856644221713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VLOOKUP(TEXT(A1271,"yy-mm")&amp;"-"&amp;IF(AND(WEEKDAY(A1271)&gt;1,WEEKDAY(A1271)&lt;7),"Wkd",TEXT(A1271,"Ddd"))&amp;"-"&amp;TEXT(A1271,"hh"),LoadTable[],5,FALSE)*0.92</f>
        <v>521.92427999999995</v>
      </c>
      <c r="U1271" s="104">
        <f>VLOOKUP(TEXT(A1271,"yy-mm")&amp;"-"&amp;IF(AND(WEEKDAY(A1271)&gt;1,WEEKDAY(A1271)&lt;7),"Wkd",TEXT(A1271,"Ddd"))&amp;"-"&amp;TEXT(A1271,"hh"),LoadTable[],6,FALSE)*T1271</f>
        <v>69176.365995479995</v>
      </c>
      <c r="V1271">
        <f t="shared" ref="V1271:W1271" si="1343">V1247</f>
        <v>2.8</v>
      </c>
      <c r="W1271">
        <f t="shared" si="1343"/>
        <v>3.1</v>
      </c>
      <c r="X1271" s="9">
        <v>-38.084931266666402</v>
      </c>
    </row>
    <row r="1272" spans="1:24">
      <c r="A1272" s="29">
        <f t="shared" si="1288"/>
        <v>45888.874999996922</v>
      </c>
      <c r="B1272" s="30">
        <f t="shared" si="1312"/>
        <v>5000</v>
      </c>
      <c r="C1272" s="8">
        <v>25000</v>
      </c>
      <c r="D1272" s="8">
        <v>0</v>
      </c>
      <c r="E1272" s="8">
        <v>700</v>
      </c>
      <c r="F1272" s="8">
        <v>15000</v>
      </c>
      <c r="G1272" s="30">
        <f t="shared" si="1313"/>
        <v>2400</v>
      </c>
      <c r="H1272" s="8">
        <v>25000</v>
      </c>
      <c r="I1272" s="30">
        <f t="shared" si="1314"/>
        <v>5000</v>
      </c>
      <c r="J1272" s="8">
        <v>25000</v>
      </c>
      <c r="K1272" s="30">
        <f t="shared" si="1315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14.63</v>
      </c>
      <c r="O1272" s="9">
        <v>13.5</v>
      </c>
      <c r="P1272" s="9">
        <v>19.5</v>
      </c>
      <c r="Q1272" s="79">
        <f>VLOOKUP(VLOOKUP(DATEVALUE(TEXT(A1272,"m/d/yyyy")),FY24_Temp[],5,FALSE)&amp;TEXT(A1272,"-h"),Table6[],4,FALSE)</f>
        <v>3.0739999839237759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VLOOKUP(TEXT(A1272,"yy-mm")&amp;"-"&amp;IF(AND(WEEKDAY(A1272)&gt;1,WEEKDAY(A1272)&lt;7),"Wkd",TEXT(A1272,"Ddd"))&amp;"-"&amp;TEXT(A1272,"hh"),LoadTable[],5,FALSE)*0.92</f>
        <v>521.92427999999995</v>
      </c>
      <c r="U1272" s="104">
        <f>VLOOKUP(TEXT(A1272,"yy-mm")&amp;"-"&amp;IF(AND(WEEKDAY(A1272)&gt;1,WEEKDAY(A1272)&lt;7),"Wkd",TEXT(A1272,"Ddd"))&amp;"-"&amp;TEXT(A1272,"hh"),LoadTable[],6,FALSE)*T1272</f>
        <v>56417.405046599997</v>
      </c>
      <c r="V1272">
        <f t="shared" ref="V1272:W1272" si="1344">V1248</f>
        <v>3.5</v>
      </c>
      <c r="W1272">
        <f t="shared" si="1344"/>
        <v>3.1</v>
      </c>
      <c r="X1272" s="9">
        <v>-38.162725816666402</v>
      </c>
    </row>
    <row r="1273" spans="1:24">
      <c r="A1273" s="29">
        <f t="shared" si="1288"/>
        <v>45888.916666663587</v>
      </c>
      <c r="B1273" s="30">
        <f t="shared" si="1312"/>
        <v>5000</v>
      </c>
      <c r="C1273" s="8">
        <v>25000</v>
      </c>
      <c r="D1273" s="8">
        <v>0</v>
      </c>
      <c r="E1273" s="8">
        <v>700</v>
      </c>
      <c r="F1273" s="8">
        <v>15000</v>
      </c>
      <c r="G1273" s="30">
        <f t="shared" si="1313"/>
        <v>2400</v>
      </c>
      <c r="H1273" s="8">
        <v>25000</v>
      </c>
      <c r="I1273" s="30">
        <f t="shared" si="1314"/>
        <v>5000</v>
      </c>
      <c r="J1273" s="8">
        <v>25000</v>
      </c>
      <c r="K1273" s="30">
        <f t="shared" si="1315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14.63</v>
      </c>
      <c r="O1273" s="9">
        <v>13.5</v>
      </c>
      <c r="P1273" s="9">
        <v>19.5</v>
      </c>
      <c r="Q1273" s="79">
        <f>VLOOKUP(VLOOKUP(DATEVALUE(TEXT(A1273,"m/d/yyyy")),FY24_Temp[],5,FALSE)&amp;TEXT(A1273,"-h"),Table6[],4,FALSE)</f>
        <v>3.0308571543012346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VLOOKUP(TEXT(A1273,"yy-mm")&amp;"-"&amp;IF(AND(WEEKDAY(A1273)&gt;1,WEEKDAY(A1273)&lt;7),"Wkd",TEXT(A1273,"Ddd"))&amp;"-"&amp;TEXT(A1273,"hh"),LoadTable[],5,FALSE)*0.92</f>
        <v>447.02432000000005</v>
      </c>
      <c r="U1273" s="104">
        <f>VLOOKUP(TEXT(A1273,"yy-mm")&amp;"-"&amp;IF(AND(WEEKDAY(A1273)&gt;1,WEEKDAY(A1273)&lt;7),"Wkd",TEXT(A1273,"Ddd"))&amp;"-"&amp;TEXT(A1273,"hh"),LoadTable[],6,FALSE)*T1273</f>
        <v>29850.49599232</v>
      </c>
      <c r="V1273">
        <f t="shared" ref="V1273:W1273" si="1345">V1249</f>
        <v>2.9</v>
      </c>
      <c r="W1273">
        <f t="shared" si="1345"/>
        <v>3.1</v>
      </c>
      <c r="X1273" s="9">
        <v>-38.240520366666402</v>
      </c>
    </row>
    <row r="1274" spans="1:24">
      <c r="A1274" s="29">
        <f t="shared" si="1288"/>
        <v>45888.958333330251</v>
      </c>
      <c r="B1274" s="30">
        <f t="shared" si="1312"/>
        <v>5000</v>
      </c>
      <c r="C1274" s="8">
        <v>25000</v>
      </c>
      <c r="D1274" s="8">
        <v>0</v>
      </c>
      <c r="E1274" s="8">
        <v>700</v>
      </c>
      <c r="F1274" s="8">
        <v>15000</v>
      </c>
      <c r="G1274" s="30">
        <f t="shared" si="1313"/>
        <v>2400</v>
      </c>
      <c r="H1274" s="8">
        <v>25000</v>
      </c>
      <c r="I1274" s="30">
        <f t="shared" si="1314"/>
        <v>5000</v>
      </c>
      <c r="J1274" s="8">
        <v>25000</v>
      </c>
      <c r="K1274" s="30">
        <f t="shared" si="1315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14.63</v>
      </c>
      <c r="O1274" s="9">
        <v>13.5</v>
      </c>
      <c r="P1274" s="9">
        <v>19.5</v>
      </c>
      <c r="Q1274" s="79">
        <f>VLOOKUP(VLOOKUP(DATEVALUE(TEXT(A1274,"m/d/yyyy")),FY24_Temp[],5,FALSE)&amp;TEXT(A1274,"-h"),Table6[],4,FALSE)</f>
        <v>2.9022857121058871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VLOOKUP(TEXT(A1274,"yy-mm")&amp;"-"&amp;IF(AND(WEEKDAY(A1274)&gt;1,WEEKDAY(A1274)&lt;7),"Wkd",TEXT(A1274,"Ddd"))&amp;"-"&amp;TEXT(A1274,"hh"),LoadTable[],5,FALSE)*0.92</f>
        <v>372.12436000000002</v>
      </c>
      <c r="U1274" s="104">
        <f>VLOOKUP(TEXT(A1274,"yy-mm")&amp;"-"&amp;IF(AND(WEEKDAY(A1274)&gt;1,WEEKDAY(A1274)&lt;7),"Wkd",TEXT(A1274,"Ddd"))&amp;"-"&amp;TEXT(A1274,"hh"),LoadTable[],6,FALSE)*T1274</f>
        <v>22421.236938720001</v>
      </c>
      <c r="V1274">
        <f t="shared" ref="V1274:W1274" si="1346">V1250</f>
        <v>3.6</v>
      </c>
      <c r="W1274">
        <f t="shared" si="1346"/>
        <v>3.1</v>
      </c>
      <c r="X1274" s="9">
        <v>-38.318314916666402</v>
      </c>
    </row>
    <row r="1275" spans="1:24">
      <c r="A1275" s="29">
        <f t="shared" si="1288"/>
        <v>45888.999999996915</v>
      </c>
      <c r="B1275" s="30">
        <f t="shared" si="1312"/>
        <v>5000</v>
      </c>
      <c r="C1275" s="8">
        <v>25000</v>
      </c>
      <c r="D1275" s="8">
        <v>0</v>
      </c>
      <c r="E1275" s="8">
        <v>700</v>
      </c>
      <c r="F1275" s="8">
        <v>15000</v>
      </c>
      <c r="G1275" s="30">
        <f t="shared" si="1313"/>
        <v>2400</v>
      </c>
      <c r="H1275" s="8">
        <v>25000</v>
      </c>
      <c r="I1275" s="30">
        <f t="shared" si="1314"/>
        <v>5000</v>
      </c>
      <c r="J1275" s="8">
        <v>25000</v>
      </c>
      <c r="K1275" s="30">
        <f t="shared" si="1315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14.63</v>
      </c>
      <c r="O1275" s="9">
        <v>13.5</v>
      </c>
      <c r="P1275" s="9">
        <v>19.5</v>
      </c>
      <c r="Q1275" s="79">
        <f>VLOOKUP(VLOOKUP(DATEVALUE(TEXT(A1275,"m/d/yyyy")),FY24_Temp[],5,FALSE)&amp;TEXT(A1275,"-h"),Table6[],4,FALSE)</f>
        <v>2.774571418762207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VLOOKUP(TEXT(A1275,"yy-mm")&amp;"-"&amp;IF(AND(WEEKDAY(A1275)&gt;1,WEEKDAY(A1275)&lt;7),"Wkd",TEXT(A1275,"Ddd"))&amp;"-"&amp;TEXT(A1275,"hh"),LoadTable[],5,FALSE)*0.92</f>
        <v>297.2244</v>
      </c>
      <c r="U1275" s="104">
        <f>VLOOKUP(TEXT(A1275,"yy-mm")&amp;"-"&amp;IF(AND(WEEKDAY(A1275)&gt;1,WEEKDAY(A1275)&lt;7),"Wkd",TEXT(A1275,"Ddd"))&amp;"-"&amp;TEXT(A1275,"hh"),LoadTable[],6,FALSE)*T1275</f>
        <v>17505.031038000001</v>
      </c>
      <c r="V1275">
        <f t="shared" ref="V1275:W1275" si="1347">V1251</f>
        <v>3</v>
      </c>
      <c r="W1275">
        <f t="shared" si="1347"/>
        <v>3.2</v>
      </c>
      <c r="X1275" s="9">
        <v>-38.396109466666402</v>
      </c>
    </row>
    <row r="1276" spans="1:24">
      <c r="A1276" s="29">
        <f t="shared" si="1288"/>
        <v>45889.041666663579</v>
      </c>
      <c r="B1276" s="30">
        <f t="shared" si="1312"/>
        <v>5000</v>
      </c>
      <c r="C1276" s="8">
        <v>25000</v>
      </c>
      <c r="D1276" s="8">
        <v>0</v>
      </c>
      <c r="E1276" s="8">
        <v>700</v>
      </c>
      <c r="F1276" s="8">
        <v>15000</v>
      </c>
      <c r="G1276" s="30">
        <f t="shared" si="1313"/>
        <v>2400</v>
      </c>
      <c r="H1276" s="8">
        <v>25000</v>
      </c>
      <c r="I1276" s="30">
        <f t="shared" si="1314"/>
        <v>5000</v>
      </c>
      <c r="J1276" s="8">
        <v>25000</v>
      </c>
      <c r="K1276" s="30">
        <f t="shared" si="1315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14.63</v>
      </c>
      <c r="O1276" s="9">
        <v>13.5</v>
      </c>
      <c r="P1276" s="9">
        <v>19.5</v>
      </c>
      <c r="Q1276" s="79">
        <f>VLOOKUP(VLOOKUP(DATEVALUE(TEXT(A1276,"m/d/yyyy")),FY24_Temp[],5,FALSE)&amp;TEXT(A1276,"-h"),Table6[],4,FALSE)</f>
        <v>2.6695714337485179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VLOOKUP(TEXT(A1276,"yy-mm")&amp;"-"&amp;IF(AND(WEEKDAY(A1276)&gt;1,WEEKDAY(A1276)&lt;7),"Wkd",TEXT(A1276,"Ddd"))&amp;"-"&amp;TEXT(A1276,"hh"),LoadTable[],5,FALSE)*0.92</f>
        <v>295.12680000000006</v>
      </c>
      <c r="U1276" s="104">
        <f>VLOOKUP(TEXT(A1276,"yy-mm")&amp;"-"&amp;IF(AND(WEEKDAY(A1276)&gt;1,WEEKDAY(A1276)&lt;7),"Wkd",TEXT(A1276,"Ddd"))&amp;"-"&amp;TEXT(A1276,"hh"),LoadTable[],6,FALSE)*T1276</f>
        <v>17131.225359600001</v>
      </c>
      <c r="V1276">
        <f t="shared" ref="V1276:W1276" si="1348">V1252</f>
        <v>2.6</v>
      </c>
      <c r="W1276">
        <f t="shared" si="1348"/>
        <v>3.2</v>
      </c>
      <c r="X1276" s="9">
        <v>-38.473904016666403</v>
      </c>
    </row>
    <row r="1277" spans="1:24">
      <c r="A1277" s="29">
        <f t="shared" si="1288"/>
        <v>45889.083333330243</v>
      </c>
      <c r="B1277" s="30">
        <f t="shared" si="1312"/>
        <v>5000</v>
      </c>
      <c r="C1277" s="8">
        <v>25000</v>
      </c>
      <c r="D1277" s="8">
        <v>0</v>
      </c>
      <c r="E1277" s="8">
        <v>700</v>
      </c>
      <c r="F1277" s="8">
        <v>15000</v>
      </c>
      <c r="G1277" s="30">
        <f t="shared" si="1313"/>
        <v>2400</v>
      </c>
      <c r="H1277" s="8">
        <v>25000</v>
      </c>
      <c r="I1277" s="30">
        <f t="shared" si="1314"/>
        <v>5000</v>
      </c>
      <c r="J1277" s="8">
        <v>25000</v>
      </c>
      <c r="K1277" s="30">
        <f t="shared" si="1315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14.63</v>
      </c>
      <c r="O1277" s="9">
        <v>13.5</v>
      </c>
      <c r="P1277" s="9">
        <v>19.5</v>
      </c>
      <c r="Q1277" s="79">
        <f>VLOOKUP(VLOOKUP(DATEVALUE(TEXT(A1277,"m/d/yyyy")),FY24_Temp[],5,FALSE)&amp;TEXT(A1277,"-h"),Table6[],4,FALSE)</f>
        <v>2.576000009264265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VLOOKUP(TEXT(A1277,"yy-mm")&amp;"-"&amp;IF(AND(WEEKDAY(A1277)&gt;1,WEEKDAY(A1277)&lt;7),"Wkd",TEXT(A1277,"Ddd"))&amp;"-"&amp;TEXT(A1277,"hh"),LoadTable[],5,FALSE)*0.92</f>
        <v>295.12680000000006</v>
      </c>
      <c r="U1277" s="104">
        <f>VLOOKUP(TEXT(A1277,"yy-mm")&amp;"-"&amp;IF(AND(WEEKDAY(A1277)&gt;1,WEEKDAY(A1277)&lt;7),"Wkd",TEXT(A1277,"Ddd"))&amp;"-"&amp;TEXT(A1277,"hh"),LoadTable[],6,FALSE)*T1277</f>
        <v>16459.811889600001</v>
      </c>
      <c r="V1277">
        <f t="shared" ref="V1277:W1277" si="1349">V1253</f>
        <v>2.8</v>
      </c>
      <c r="W1277">
        <f t="shared" si="1349"/>
        <v>3.2</v>
      </c>
      <c r="X1277" s="9">
        <v>-38.551698566666403</v>
      </c>
    </row>
    <row r="1278" spans="1:24">
      <c r="A1278" s="29">
        <f t="shared" si="1288"/>
        <v>45889.124999996908</v>
      </c>
      <c r="B1278" s="30">
        <f t="shared" si="1312"/>
        <v>5000</v>
      </c>
      <c r="C1278" s="8">
        <v>25000</v>
      </c>
      <c r="D1278" s="8">
        <v>0</v>
      </c>
      <c r="E1278" s="8">
        <v>700</v>
      </c>
      <c r="F1278" s="8">
        <v>15000</v>
      </c>
      <c r="G1278" s="30">
        <f t="shared" si="1313"/>
        <v>2400</v>
      </c>
      <c r="H1278" s="8">
        <v>25000</v>
      </c>
      <c r="I1278" s="30">
        <f t="shared" si="1314"/>
        <v>5000</v>
      </c>
      <c r="J1278" s="8">
        <v>25000</v>
      </c>
      <c r="K1278" s="30">
        <f t="shared" si="1315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14.63</v>
      </c>
      <c r="O1278" s="9">
        <v>13.5</v>
      </c>
      <c r="P1278" s="9">
        <v>19.5</v>
      </c>
      <c r="Q1278" s="79">
        <f>VLOOKUP(VLOOKUP(DATEVALUE(TEXT(A1278,"m/d/yyyy")),FY24_Temp[],5,FALSE)&amp;TEXT(A1278,"-h"),Table6[],4,FALSE)</f>
        <v>2.4292857306344167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VLOOKUP(TEXT(A1278,"yy-mm")&amp;"-"&amp;IF(AND(WEEKDAY(A1278)&gt;1,WEEKDAY(A1278)&lt;7),"Wkd",TEXT(A1278,"Ddd"))&amp;"-"&amp;TEXT(A1278,"hh"),LoadTable[],5,FALSE)*0.92</f>
        <v>295.12680000000006</v>
      </c>
      <c r="U1278" s="104">
        <f>VLOOKUP(TEXT(A1278,"yy-mm")&amp;"-"&amp;IF(AND(WEEKDAY(A1278)&gt;1,WEEKDAY(A1278)&lt;7),"Wkd",TEXT(A1278,"Ddd"))&amp;"-"&amp;TEXT(A1278,"hh"),LoadTable[],6,FALSE)*T1278</f>
        <v>16610.326557600001</v>
      </c>
      <c r="V1278">
        <f t="shared" ref="V1278:W1278" si="1350">V1254</f>
        <v>2.7</v>
      </c>
      <c r="W1278">
        <f t="shared" si="1350"/>
        <v>3.2</v>
      </c>
      <c r="X1278" s="9">
        <v>-38.629493116666403</v>
      </c>
    </row>
    <row r="1279" spans="1:24">
      <c r="A1279" s="29">
        <f t="shared" si="1288"/>
        <v>45889.166666663572</v>
      </c>
      <c r="B1279" s="30">
        <f t="shared" si="1312"/>
        <v>5000</v>
      </c>
      <c r="C1279" s="8">
        <v>25000</v>
      </c>
      <c r="D1279" s="8">
        <v>0</v>
      </c>
      <c r="E1279" s="8">
        <v>700</v>
      </c>
      <c r="F1279" s="8">
        <v>15000</v>
      </c>
      <c r="G1279" s="30">
        <f t="shared" si="1313"/>
        <v>2400</v>
      </c>
      <c r="H1279" s="8">
        <v>25000</v>
      </c>
      <c r="I1279" s="30">
        <f t="shared" si="1314"/>
        <v>5000</v>
      </c>
      <c r="J1279" s="8">
        <v>25000</v>
      </c>
      <c r="K1279" s="30">
        <f t="shared" si="1315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14.63</v>
      </c>
      <c r="O1279" s="9">
        <v>13.5</v>
      </c>
      <c r="P1279" s="9">
        <v>19.5</v>
      </c>
      <c r="Q1279" s="79">
        <f>VLOOKUP(VLOOKUP(DATEVALUE(TEXT(A1279,"m/d/yyyy")),FY24_Temp[],5,FALSE)&amp;TEXT(A1279,"-h"),Table6[],4,FALSE)</f>
        <v>2.264857155936105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VLOOKUP(TEXT(A1279,"yy-mm")&amp;"-"&amp;IF(AND(WEEKDAY(A1279)&gt;1,WEEKDAY(A1279)&lt;7),"Wkd",TEXT(A1279,"Ddd"))&amp;"-"&amp;TEXT(A1279,"hh"),LoadTable[],5,FALSE)*0.92</f>
        <v>295.12680000000006</v>
      </c>
      <c r="U1279" s="104">
        <f>VLOOKUP(TEXT(A1279,"yy-mm")&amp;"-"&amp;IF(AND(WEEKDAY(A1279)&gt;1,WEEKDAY(A1279)&lt;7),"Wkd",TEXT(A1279,"Ddd"))&amp;"-"&amp;TEXT(A1279,"hh"),LoadTable[],6,FALSE)*T1279</f>
        <v>16544.513281200001</v>
      </c>
      <c r="V1279">
        <f t="shared" ref="V1279:W1279" si="1351">V1255</f>
        <v>3</v>
      </c>
      <c r="W1279">
        <f t="shared" si="1351"/>
        <v>3.1</v>
      </c>
      <c r="X1279" s="9">
        <v>-38.707287666666403</v>
      </c>
    </row>
    <row r="1280" spans="1:24">
      <c r="A1280" s="29">
        <f t="shared" si="1288"/>
        <v>45889.208333330236</v>
      </c>
      <c r="B1280" s="30">
        <f t="shared" si="1312"/>
        <v>5000</v>
      </c>
      <c r="C1280" s="8">
        <v>25000</v>
      </c>
      <c r="D1280" s="8">
        <v>0</v>
      </c>
      <c r="E1280" s="8">
        <v>700</v>
      </c>
      <c r="F1280" s="8">
        <v>15000</v>
      </c>
      <c r="G1280" s="30">
        <f t="shared" si="1313"/>
        <v>2400</v>
      </c>
      <c r="H1280" s="8">
        <v>25000</v>
      </c>
      <c r="I1280" s="30">
        <f t="shared" si="1314"/>
        <v>5000</v>
      </c>
      <c r="J1280" s="8">
        <v>25000</v>
      </c>
      <c r="K1280" s="30">
        <f t="shared" si="1315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14.63</v>
      </c>
      <c r="O1280" s="9">
        <v>13.5</v>
      </c>
      <c r="P1280" s="9">
        <v>19.5</v>
      </c>
      <c r="Q1280" s="79">
        <f>VLOOKUP(VLOOKUP(DATEVALUE(TEXT(A1280,"m/d/yyyy")),FY24_Temp[],5,FALSE)&amp;TEXT(A1280,"-h"),Table6[],4,FALSE)</f>
        <v>2.1067142827170238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VLOOKUP(TEXT(A1280,"yy-mm")&amp;"-"&amp;IF(AND(WEEKDAY(A1280)&gt;1,WEEKDAY(A1280)&lt;7),"Wkd",TEXT(A1280,"Ddd"))&amp;"-"&amp;TEXT(A1280,"hh"),LoadTable[],5,FALSE)*0.92</f>
        <v>295.12680000000006</v>
      </c>
      <c r="U1280" s="104">
        <f>VLOOKUP(TEXT(A1280,"yy-mm")&amp;"-"&amp;IF(AND(WEEKDAY(A1280)&gt;1,WEEKDAY(A1280)&lt;7),"Wkd",TEXT(A1280,"Ddd"))&amp;"-"&amp;TEXT(A1280,"hh"),LoadTable[],6,FALSE)*T1280</f>
        <v>17128.569218400004</v>
      </c>
      <c r="V1280">
        <f t="shared" ref="V1280:W1280" si="1352">V1256</f>
        <v>2.9</v>
      </c>
      <c r="W1280">
        <f t="shared" si="1352"/>
        <v>3.1</v>
      </c>
      <c r="X1280" s="9">
        <v>-38.785082216666403</v>
      </c>
    </row>
    <row r="1281" spans="1:24">
      <c r="A1281" s="29">
        <f t="shared" si="1288"/>
        <v>45889.2499999969</v>
      </c>
      <c r="B1281" s="30">
        <f t="shared" si="1312"/>
        <v>8000</v>
      </c>
      <c r="C1281" s="8">
        <v>25000</v>
      </c>
      <c r="D1281" s="8">
        <v>0</v>
      </c>
      <c r="E1281" s="8">
        <v>700</v>
      </c>
      <c r="F1281" s="8">
        <v>15000</v>
      </c>
      <c r="G1281" s="30">
        <f t="shared" si="1313"/>
        <v>2400</v>
      </c>
      <c r="H1281" s="8">
        <v>25000</v>
      </c>
      <c r="I1281" s="30">
        <f t="shared" si="1314"/>
        <v>8000</v>
      </c>
      <c r="J1281" s="8">
        <v>25000</v>
      </c>
      <c r="K1281" s="30">
        <f t="shared" si="1315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14.63</v>
      </c>
      <c r="O1281" s="9">
        <v>13.5</v>
      </c>
      <c r="P1281" s="9">
        <v>19.5</v>
      </c>
      <c r="Q1281" s="79">
        <f>VLOOKUP(VLOOKUP(DATEVALUE(TEXT(A1281,"m/d/yyyy")),FY24_Temp[],5,FALSE)&amp;TEXT(A1281,"-h"),Table6[],4,FALSE)</f>
        <v>1.992142847606114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VLOOKUP(TEXT(A1281,"yy-mm")&amp;"-"&amp;IF(AND(WEEKDAY(A1281)&gt;1,WEEKDAY(A1281)&lt;7),"Wkd",TEXT(A1281,"Ddd"))&amp;"-"&amp;TEXT(A1281,"hh"),LoadTable[],5,FALSE)*0.92</f>
        <v>295.12680000000006</v>
      </c>
      <c r="U1281" s="104">
        <f>VLOOKUP(TEXT(A1281,"yy-mm")&amp;"-"&amp;IF(AND(WEEKDAY(A1281)&gt;1,WEEKDAY(A1281)&lt;7),"Wkd",TEXT(A1281,"Ddd"))&amp;"-"&amp;TEXT(A1281,"hh"),LoadTable[],6,FALSE)*T1281</f>
        <v>20766.892408800006</v>
      </c>
      <c r="V1281">
        <f t="shared" ref="V1281:W1281" si="1353">V1257</f>
        <v>2.5</v>
      </c>
      <c r="W1281">
        <f t="shared" si="1353"/>
        <v>3.1</v>
      </c>
      <c r="X1281" s="9">
        <v>-38.862876766666403</v>
      </c>
    </row>
    <row r="1282" spans="1:24">
      <c r="A1282" s="29">
        <f t="shared" si="1288"/>
        <v>45889.291666663565</v>
      </c>
      <c r="B1282" s="30">
        <f t="shared" si="1312"/>
        <v>8000</v>
      </c>
      <c r="C1282" s="8">
        <v>25000</v>
      </c>
      <c r="D1282" s="8">
        <v>0</v>
      </c>
      <c r="E1282" s="8">
        <v>700</v>
      </c>
      <c r="F1282" s="8">
        <v>15000</v>
      </c>
      <c r="G1282" s="30">
        <f t="shared" si="1313"/>
        <v>2400</v>
      </c>
      <c r="H1282" s="8">
        <v>25000</v>
      </c>
      <c r="I1282" s="30">
        <f t="shared" si="1314"/>
        <v>8000</v>
      </c>
      <c r="J1282" s="8">
        <v>25000</v>
      </c>
      <c r="K1282" s="30">
        <f t="shared" si="1315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14.63</v>
      </c>
      <c r="O1282" s="9">
        <v>13.5</v>
      </c>
      <c r="P1282" s="9">
        <v>19.5</v>
      </c>
      <c r="Q1282" s="79">
        <f>VLOOKUP(VLOOKUP(DATEVALUE(TEXT(A1282,"m/d/yyyy")),FY24_Temp[],5,FALSE)&amp;TEXT(A1282,"-h"),Table6[],4,FALSE)</f>
        <v>1.9098571368626185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VLOOKUP(TEXT(A1282,"yy-mm")&amp;"-"&amp;IF(AND(WEEKDAY(A1282)&gt;1,WEEKDAY(A1282)&lt;7),"Wkd",TEXT(A1282,"Ddd"))&amp;"-"&amp;TEXT(A1282,"hh"),LoadTable[],5,FALSE)*0.92</f>
        <v>295.12680000000006</v>
      </c>
      <c r="U1282" s="104">
        <f>VLOOKUP(TEXT(A1282,"yy-mm")&amp;"-"&amp;IF(AND(WEEKDAY(A1282)&gt;1,WEEKDAY(A1282)&lt;7),"Wkd",TEXT(A1282,"Ddd"))&amp;"-"&amp;TEXT(A1282,"hh"),LoadTable[],6,FALSE)*T1282</f>
        <v>19169.666167200001</v>
      </c>
      <c r="V1282">
        <f t="shared" ref="V1282:W1282" si="1354">V1258</f>
        <v>2.5</v>
      </c>
      <c r="W1282">
        <f t="shared" si="1354"/>
        <v>3.1</v>
      </c>
      <c r="X1282" s="9">
        <v>-38.940671316666403</v>
      </c>
    </row>
    <row r="1283" spans="1:24">
      <c r="A1283" s="29">
        <f t="shared" si="1288"/>
        <v>45889.333333330229</v>
      </c>
      <c r="B1283" s="30">
        <f t="shared" si="1312"/>
        <v>8000</v>
      </c>
      <c r="C1283" s="8">
        <v>25000</v>
      </c>
      <c r="D1283" s="8">
        <v>0</v>
      </c>
      <c r="E1283" s="8">
        <v>700</v>
      </c>
      <c r="F1283" s="8">
        <v>15000</v>
      </c>
      <c r="G1283" s="30">
        <f t="shared" si="1313"/>
        <v>2400</v>
      </c>
      <c r="H1283" s="8">
        <v>25000</v>
      </c>
      <c r="I1283" s="30">
        <f t="shared" si="1314"/>
        <v>8000</v>
      </c>
      <c r="J1283" s="8">
        <v>25000</v>
      </c>
      <c r="K1283" s="30">
        <f t="shared" si="1315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14.63</v>
      </c>
      <c r="O1283" s="9">
        <v>13.5</v>
      </c>
      <c r="P1283" s="9">
        <v>19.5</v>
      </c>
      <c r="Q1283" s="79">
        <f>VLOOKUP(VLOOKUP(DATEVALUE(TEXT(A1283,"m/d/yyyy")),FY24_Temp[],5,FALSE)&amp;TEXT(A1283,"-h"),Table6[],4,FALSE)</f>
        <v>1.8045714242117745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VLOOKUP(TEXT(A1283,"yy-mm")&amp;"-"&amp;IF(AND(WEEKDAY(A1283)&gt;1,WEEKDAY(A1283)&lt;7),"Wkd",TEXT(A1283,"Ddd"))&amp;"-"&amp;TEXT(A1283,"hh"),LoadTable[],5,FALSE)*0.92</f>
        <v>295.12680000000006</v>
      </c>
      <c r="U1283" s="104">
        <f>VLOOKUP(TEXT(A1283,"yy-mm")&amp;"-"&amp;IF(AND(WEEKDAY(A1283)&gt;1,WEEKDAY(A1283)&lt;7),"Wkd",TEXT(A1283,"Ddd"))&amp;"-"&amp;TEXT(A1283,"hh"),LoadTable[],6,FALSE)*T1283</f>
        <v>15860.999612400004</v>
      </c>
      <c r="V1283">
        <f t="shared" ref="V1283:W1283" si="1355">V1259</f>
        <v>3.2</v>
      </c>
      <c r="W1283">
        <f t="shared" si="1355"/>
        <v>3</v>
      </c>
      <c r="X1283" s="9">
        <v>-39.018465866666403</v>
      </c>
    </row>
    <row r="1284" spans="1:24">
      <c r="A1284" s="29">
        <f t="shared" si="1288"/>
        <v>45889.374999996893</v>
      </c>
      <c r="B1284" s="30">
        <f t="shared" si="1312"/>
        <v>8000</v>
      </c>
      <c r="C1284" s="8">
        <v>25000</v>
      </c>
      <c r="D1284" s="8">
        <v>0</v>
      </c>
      <c r="E1284" s="8">
        <v>700</v>
      </c>
      <c r="F1284" s="8">
        <v>15000</v>
      </c>
      <c r="G1284" s="30">
        <f t="shared" si="1313"/>
        <v>2400</v>
      </c>
      <c r="H1284" s="8">
        <v>25000</v>
      </c>
      <c r="I1284" s="30">
        <f t="shared" si="1314"/>
        <v>8000</v>
      </c>
      <c r="J1284" s="8">
        <v>25000</v>
      </c>
      <c r="K1284" s="30">
        <f t="shared" si="1315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14.63</v>
      </c>
      <c r="O1284" s="9">
        <v>13.5</v>
      </c>
      <c r="P1284" s="9">
        <v>19.5</v>
      </c>
      <c r="Q1284" s="79">
        <f>VLOOKUP(VLOOKUP(DATEVALUE(TEXT(A1284,"m/d/yyyy")),FY24_Temp[],5,FALSE)&amp;TEXT(A1284,"-h"),Table6[],4,FALSE)</f>
        <v>1.7064285789217268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VLOOKUP(TEXT(A1284,"yy-mm")&amp;"-"&amp;IF(AND(WEEKDAY(A1284)&gt;1,WEEKDAY(A1284)&lt;7),"Wkd",TEXT(A1284,"Ddd"))&amp;"-"&amp;TEXT(A1284,"hh"),LoadTable[],5,FALSE)*0.92</f>
        <v>295.12680000000006</v>
      </c>
      <c r="U1284" s="104">
        <f>VLOOKUP(TEXT(A1284,"yy-mm")&amp;"-"&amp;IF(AND(WEEKDAY(A1284)&gt;1,WEEKDAY(A1284)&lt;7),"Wkd",TEXT(A1284,"Ddd"))&amp;"-"&amp;TEXT(A1284,"hh"),LoadTable[],6,FALSE)*T1284</f>
        <v>15713.436212400004</v>
      </c>
      <c r="V1284">
        <f t="shared" ref="V1284:W1284" si="1356">V1260</f>
        <v>2.9</v>
      </c>
      <c r="W1284">
        <f t="shared" si="1356"/>
        <v>3</v>
      </c>
      <c r="X1284" s="9">
        <v>-39.096260416666397</v>
      </c>
    </row>
    <row r="1285" spans="1:24">
      <c r="A1285" s="29">
        <f t="shared" ref="A1285:A1348" si="1357">A1284+TIME(1,0,0)</f>
        <v>45889.416666663557</v>
      </c>
      <c r="B1285" s="30">
        <f t="shared" si="1312"/>
        <v>8000</v>
      </c>
      <c r="C1285" s="8">
        <v>25000</v>
      </c>
      <c r="D1285" s="8">
        <v>0</v>
      </c>
      <c r="E1285" s="8">
        <v>700</v>
      </c>
      <c r="F1285" s="8">
        <v>15000</v>
      </c>
      <c r="G1285" s="30">
        <f t="shared" si="1313"/>
        <v>2400</v>
      </c>
      <c r="H1285" s="8">
        <v>25000</v>
      </c>
      <c r="I1285" s="30">
        <f t="shared" si="1314"/>
        <v>8000</v>
      </c>
      <c r="J1285" s="8">
        <v>25000</v>
      </c>
      <c r="K1285" s="30">
        <f t="shared" si="1315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14.63</v>
      </c>
      <c r="O1285" s="9">
        <v>13.5</v>
      </c>
      <c r="P1285" s="9">
        <v>19.5</v>
      </c>
      <c r="Q1285" s="79">
        <f>VLOOKUP(VLOOKUP(DATEVALUE(TEXT(A1285,"m/d/yyyy")),FY24_Temp[],5,FALSE)&amp;TEXT(A1285,"-h"),Table6[],4,FALSE)</f>
        <v>1.6218571492603846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VLOOKUP(TEXT(A1285,"yy-mm")&amp;"-"&amp;IF(AND(WEEKDAY(A1285)&gt;1,WEEKDAY(A1285)&lt;7),"Wkd",TEXT(A1285,"Ddd"))&amp;"-"&amp;TEXT(A1285,"hh"),LoadTable[],5,FALSE)*0.92</f>
        <v>295.12680000000006</v>
      </c>
      <c r="U1285" s="104">
        <f>VLOOKUP(TEXT(A1285,"yy-mm")&amp;"-"&amp;IF(AND(WEEKDAY(A1285)&gt;1,WEEKDAY(A1285)&lt;7),"Wkd",TEXT(A1285,"Ddd"))&amp;"-"&amp;TEXT(A1285,"hh"),LoadTable[],6,FALSE)*T1285</f>
        <v>14369.723892000002</v>
      </c>
      <c r="V1285">
        <f t="shared" ref="V1285:W1285" si="1358">V1261</f>
        <v>2.9</v>
      </c>
      <c r="W1285">
        <f t="shared" si="1358"/>
        <v>3</v>
      </c>
      <c r="X1285" s="9">
        <v>-39.174054966666397</v>
      </c>
    </row>
    <row r="1286" spans="1:24">
      <c r="A1286" s="29">
        <f t="shared" si="1357"/>
        <v>45889.458333330222</v>
      </c>
      <c r="B1286" s="30">
        <f t="shared" si="1312"/>
        <v>8000</v>
      </c>
      <c r="C1286" s="8">
        <v>25000</v>
      </c>
      <c r="D1286" s="8">
        <v>0</v>
      </c>
      <c r="E1286" s="8">
        <v>700</v>
      </c>
      <c r="F1286" s="8">
        <v>15000</v>
      </c>
      <c r="G1286" s="30">
        <f t="shared" si="1313"/>
        <v>2400</v>
      </c>
      <c r="H1286" s="8">
        <v>25000</v>
      </c>
      <c r="I1286" s="30">
        <f t="shared" si="1314"/>
        <v>8000</v>
      </c>
      <c r="J1286" s="8">
        <v>25000</v>
      </c>
      <c r="K1286" s="30">
        <f t="shared" si="1315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14.63</v>
      </c>
      <c r="O1286" s="9">
        <v>13.5</v>
      </c>
      <c r="P1286" s="9">
        <v>19.5</v>
      </c>
      <c r="Q1286" s="79">
        <f>VLOOKUP(VLOOKUP(DATEVALUE(TEXT(A1286,"m/d/yyyy")),FY24_Temp[],5,FALSE)&amp;TEXT(A1286,"-h"),Table6[],4,FALSE)</f>
        <v>1.5159999813352312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VLOOKUP(TEXT(A1286,"yy-mm")&amp;"-"&amp;IF(AND(WEEKDAY(A1286)&gt;1,WEEKDAY(A1286)&lt;7),"Wkd",TEXT(A1286,"Ddd"))&amp;"-"&amp;TEXT(A1286,"hh"),LoadTable[],5,FALSE)*0.92</f>
        <v>295.12680000000006</v>
      </c>
      <c r="U1286" s="104">
        <f>VLOOKUP(TEXT(A1286,"yy-mm")&amp;"-"&amp;IF(AND(WEEKDAY(A1286)&gt;1,WEEKDAY(A1286)&lt;7),"Wkd",TEXT(A1286,"Ddd"))&amp;"-"&amp;TEXT(A1286,"hh"),LoadTable[],6,FALSE)*T1286</f>
        <v>14137.459100400003</v>
      </c>
      <c r="V1286">
        <f t="shared" ref="V1286:W1286" si="1359">V1262</f>
        <v>3.4</v>
      </c>
      <c r="W1286">
        <f t="shared" si="1359"/>
        <v>3</v>
      </c>
      <c r="X1286" s="9">
        <v>-39.251849516666397</v>
      </c>
    </row>
    <row r="1287" spans="1:24">
      <c r="A1287" s="29">
        <f t="shared" si="1357"/>
        <v>45889.499999996886</v>
      </c>
      <c r="B1287" s="30">
        <f t="shared" si="1312"/>
        <v>8000</v>
      </c>
      <c r="C1287" s="8">
        <v>25000</v>
      </c>
      <c r="D1287" s="8">
        <v>0</v>
      </c>
      <c r="E1287" s="8">
        <v>700</v>
      </c>
      <c r="F1287" s="8">
        <v>15000</v>
      </c>
      <c r="G1287" s="30">
        <f t="shared" si="1313"/>
        <v>2400</v>
      </c>
      <c r="H1287" s="8">
        <v>25000</v>
      </c>
      <c r="I1287" s="30">
        <f t="shared" si="1314"/>
        <v>8000</v>
      </c>
      <c r="J1287" s="8">
        <v>25000</v>
      </c>
      <c r="K1287" s="30">
        <f t="shared" si="1315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14.63</v>
      </c>
      <c r="O1287" s="9">
        <v>13.5</v>
      </c>
      <c r="P1287" s="9">
        <v>19.5</v>
      </c>
      <c r="Q1287" s="79">
        <f>VLOOKUP(VLOOKUP(DATEVALUE(TEXT(A1287,"m/d/yyyy")),FY24_Temp[],5,FALSE)&amp;TEXT(A1287,"-h"),Table6[],4,FALSE)</f>
        <v>1.3808571270533971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VLOOKUP(TEXT(A1287,"yy-mm")&amp;"-"&amp;IF(AND(WEEKDAY(A1287)&gt;1,WEEKDAY(A1287)&lt;7),"Wkd",TEXT(A1287,"Ddd"))&amp;"-"&amp;TEXT(A1287,"hh"),LoadTable[],5,FALSE)*0.92</f>
        <v>295.12680000000006</v>
      </c>
      <c r="U1287" s="104">
        <f>VLOOKUP(TEXT(A1287,"yy-mm")&amp;"-"&amp;IF(AND(WEEKDAY(A1287)&gt;1,WEEKDAY(A1287)&lt;7),"Wkd",TEXT(A1287,"Ddd"))&amp;"-"&amp;TEXT(A1287,"hh"),LoadTable[],6,FALSE)*T1287</f>
        <v>14242.819368000002</v>
      </c>
      <c r="V1287">
        <f t="shared" ref="V1287:W1287" si="1360">V1263</f>
        <v>3.1</v>
      </c>
      <c r="W1287">
        <f t="shared" si="1360"/>
        <v>2.9</v>
      </c>
      <c r="X1287" s="9">
        <v>-39.329644066666397</v>
      </c>
    </row>
    <row r="1288" spans="1:24">
      <c r="A1288" s="29">
        <f t="shared" si="1357"/>
        <v>45889.54166666355</v>
      </c>
      <c r="B1288" s="30">
        <f t="shared" si="1312"/>
        <v>8000</v>
      </c>
      <c r="C1288" s="8">
        <v>25000</v>
      </c>
      <c r="D1288" s="8">
        <v>0</v>
      </c>
      <c r="E1288" s="8">
        <v>700</v>
      </c>
      <c r="F1288" s="8">
        <v>15000</v>
      </c>
      <c r="G1288" s="30">
        <f t="shared" si="1313"/>
        <v>2400</v>
      </c>
      <c r="H1288" s="8">
        <v>25000</v>
      </c>
      <c r="I1288" s="30">
        <f t="shared" si="1314"/>
        <v>8000</v>
      </c>
      <c r="J1288" s="8">
        <v>25000</v>
      </c>
      <c r="K1288" s="30">
        <f t="shared" si="1315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14.63</v>
      </c>
      <c r="O1288" s="9">
        <v>13.5</v>
      </c>
      <c r="P1288" s="9">
        <v>19.5</v>
      </c>
      <c r="Q1288" s="79">
        <f>VLOOKUP(VLOOKUP(DATEVALUE(TEXT(A1288,"m/d/yyyy")),FY24_Temp[],5,FALSE)&amp;TEXT(A1288,"-h"),Table6[],4,FALSE)</f>
        <v>1.2139999866485596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VLOOKUP(TEXT(A1288,"yy-mm")&amp;"-"&amp;IF(AND(WEEKDAY(A1288)&gt;1,WEEKDAY(A1288)&lt;7),"Wkd",TEXT(A1288,"Ddd"))&amp;"-"&amp;TEXT(A1288,"hh"),LoadTable[],5,FALSE)*0.92</f>
        <v>295.12680000000006</v>
      </c>
      <c r="U1288" s="104">
        <f>VLOOKUP(TEXT(A1288,"yy-mm")&amp;"-"&amp;IF(AND(WEEKDAY(A1288)&gt;1,WEEKDAY(A1288)&lt;7),"Wkd",TEXT(A1288,"Ddd"))&amp;"-"&amp;TEXT(A1288,"hh"),LoadTable[],6,FALSE)*T1288</f>
        <v>16280.669922000003</v>
      </c>
      <c r="V1288">
        <f t="shared" ref="V1288:W1288" si="1361">V1264</f>
        <v>3.2</v>
      </c>
      <c r="W1288">
        <f t="shared" si="1361"/>
        <v>2.9</v>
      </c>
      <c r="X1288" s="9">
        <v>-39.407438616666397</v>
      </c>
    </row>
    <row r="1289" spans="1:24">
      <c r="A1289" s="29">
        <f t="shared" si="1357"/>
        <v>45889.583333330214</v>
      </c>
      <c r="B1289" s="30">
        <f t="shared" si="1312"/>
        <v>8000</v>
      </c>
      <c r="C1289" s="8">
        <v>25000</v>
      </c>
      <c r="D1289" s="8">
        <v>0</v>
      </c>
      <c r="E1289" s="8">
        <v>700</v>
      </c>
      <c r="F1289" s="8">
        <v>15000</v>
      </c>
      <c r="G1289" s="30">
        <f t="shared" si="1313"/>
        <v>2400</v>
      </c>
      <c r="H1289" s="8">
        <v>25000</v>
      </c>
      <c r="I1289" s="30">
        <f t="shared" si="1314"/>
        <v>8000</v>
      </c>
      <c r="J1289" s="8">
        <v>25000</v>
      </c>
      <c r="K1289" s="30">
        <f t="shared" si="1315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14.63</v>
      </c>
      <c r="O1289" s="9">
        <v>13.5</v>
      </c>
      <c r="P1289" s="9">
        <v>19.5</v>
      </c>
      <c r="Q1289" s="79">
        <f>VLOOKUP(VLOOKUP(DATEVALUE(TEXT(A1289,"m/d/yyyy")),FY24_Temp[],5,FALSE)&amp;TEXT(A1289,"-h"),Table6[],4,FALSE)</f>
        <v>1.0331428476742335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VLOOKUP(TEXT(A1289,"yy-mm")&amp;"-"&amp;IF(AND(WEEKDAY(A1289)&gt;1,WEEKDAY(A1289)&lt;7),"Wkd",TEXT(A1289,"Ddd"))&amp;"-"&amp;TEXT(A1289,"hh"),LoadTable[],5,FALSE)*0.92</f>
        <v>402.08416</v>
      </c>
      <c r="U1289" s="104">
        <f>VLOOKUP(TEXT(A1289,"yy-mm")&amp;"-"&amp;IF(AND(WEEKDAY(A1289)&gt;1,WEEKDAY(A1289)&lt;7),"Wkd",TEXT(A1289,"Ddd"))&amp;"-"&amp;TEXT(A1289,"hh"),LoadTable[],6,FALSE)*T1289</f>
        <v>27023.674309440001</v>
      </c>
      <c r="V1289">
        <f t="shared" ref="V1289:W1289" si="1362">V1265</f>
        <v>3.5</v>
      </c>
      <c r="W1289">
        <f t="shared" si="1362"/>
        <v>2.9</v>
      </c>
      <c r="X1289" s="9">
        <v>-39.485233166666397</v>
      </c>
    </row>
    <row r="1290" spans="1:24">
      <c r="A1290" s="29">
        <f t="shared" si="1357"/>
        <v>45889.624999996879</v>
      </c>
      <c r="B1290" s="30">
        <f t="shared" si="1312"/>
        <v>8000</v>
      </c>
      <c r="C1290" s="8">
        <v>25000</v>
      </c>
      <c r="D1290" s="8">
        <v>0</v>
      </c>
      <c r="E1290" s="8">
        <v>700</v>
      </c>
      <c r="F1290" s="8">
        <v>15000</v>
      </c>
      <c r="G1290" s="30">
        <f t="shared" si="1313"/>
        <v>2400</v>
      </c>
      <c r="H1290" s="8">
        <v>25000</v>
      </c>
      <c r="I1290" s="30">
        <f t="shared" si="1314"/>
        <v>8000</v>
      </c>
      <c r="J1290" s="8">
        <v>25000</v>
      </c>
      <c r="K1290" s="30">
        <f t="shared" si="1315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14.63</v>
      </c>
      <c r="O1290" s="9">
        <v>13.5</v>
      </c>
      <c r="P1290" s="9">
        <v>19.5</v>
      </c>
      <c r="Q1290" s="79">
        <f>VLOOKUP(VLOOKUP(DATEVALUE(TEXT(A1290,"m/d/yyyy")),FY24_Temp[],5,FALSE)&amp;TEXT(A1290,"-h"),Table6[],4,FALSE)</f>
        <v>0.8692857112203326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VLOOKUP(TEXT(A1290,"yy-mm")&amp;"-"&amp;IF(AND(WEEKDAY(A1290)&gt;1,WEEKDAY(A1290)&lt;7),"Wkd",TEXT(A1290,"Ddd"))&amp;"-"&amp;TEXT(A1290,"hh"),LoadTable[],5,FALSE)*0.92</f>
        <v>521.92427999999995</v>
      </c>
      <c r="U1290" s="104">
        <f>VLOOKUP(TEXT(A1290,"yy-mm")&amp;"-"&amp;IF(AND(WEEKDAY(A1290)&gt;1,WEEKDAY(A1290)&lt;7),"Wkd",TEXT(A1290,"Ddd"))&amp;"-"&amp;TEXT(A1290,"hh"),LoadTable[],6,FALSE)*T1290</f>
        <v>38276.36092236</v>
      </c>
      <c r="V1290">
        <f t="shared" ref="V1290:W1290" si="1363">V1266</f>
        <v>3.2</v>
      </c>
      <c r="W1290">
        <f t="shared" si="1363"/>
        <v>2.9</v>
      </c>
      <c r="X1290" s="9">
        <v>-39.563027716666397</v>
      </c>
    </row>
    <row r="1291" spans="1:24">
      <c r="A1291" s="29">
        <f t="shared" si="1357"/>
        <v>45889.666666663543</v>
      </c>
      <c r="B1291" s="30">
        <f t="shared" si="1312"/>
        <v>8000</v>
      </c>
      <c r="C1291" s="8">
        <v>25000</v>
      </c>
      <c r="D1291" s="8">
        <v>0</v>
      </c>
      <c r="E1291" s="8">
        <v>700</v>
      </c>
      <c r="F1291" s="8">
        <v>15000</v>
      </c>
      <c r="G1291" s="30">
        <f t="shared" si="1313"/>
        <v>2400</v>
      </c>
      <c r="H1291" s="8">
        <v>25000</v>
      </c>
      <c r="I1291" s="30">
        <f t="shared" si="1314"/>
        <v>8000</v>
      </c>
      <c r="J1291" s="8">
        <v>25000</v>
      </c>
      <c r="K1291" s="30">
        <f t="shared" si="1315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14.63</v>
      </c>
      <c r="O1291" s="9">
        <v>13.5</v>
      </c>
      <c r="P1291" s="9">
        <v>19.5</v>
      </c>
      <c r="Q1291" s="79">
        <f>VLOOKUP(VLOOKUP(DATEVALUE(TEXT(A1291,"m/d/yyyy")),FY24_Temp[],5,FALSE)&amp;TEXT(A1291,"-h"),Table6[],4,FALSE)</f>
        <v>0.78099999257496422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VLOOKUP(TEXT(A1291,"yy-mm")&amp;"-"&amp;IF(AND(WEEKDAY(A1291)&gt;1,WEEKDAY(A1291)&lt;7),"Wkd",TEXT(A1291,"Ddd"))&amp;"-"&amp;TEXT(A1291,"hh"),LoadTable[],5,FALSE)*0.92</f>
        <v>521.92427999999995</v>
      </c>
      <c r="U1291" s="104">
        <f>VLOOKUP(TEXT(A1291,"yy-mm")&amp;"-"&amp;IF(AND(WEEKDAY(A1291)&gt;1,WEEKDAY(A1291)&lt;7),"Wkd",TEXT(A1291,"Ddd"))&amp;"-"&amp;TEXT(A1291,"hh"),LoadTable[],6,FALSE)*T1291</f>
        <v>45879.753833399998</v>
      </c>
      <c r="V1291">
        <f t="shared" ref="V1291:W1291" si="1364">V1267</f>
        <v>3.5</v>
      </c>
      <c r="W1291">
        <f t="shared" si="1364"/>
        <v>3</v>
      </c>
      <c r="X1291" s="9">
        <v>-39.640822266666397</v>
      </c>
    </row>
    <row r="1292" spans="1:24">
      <c r="A1292" s="29">
        <f t="shared" si="1357"/>
        <v>45889.708333330207</v>
      </c>
      <c r="B1292" s="30">
        <f t="shared" si="1312"/>
        <v>8000</v>
      </c>
      <c r="C1292" s="8">
        <v>25000</v>
      </c>
      <c r="D1292" s="8">
        <v>0</v>
      </c>
      <c r="E1292" s="8">
        <v>700</v>
      </c>
      <c r="F1292" s="8">
        <v>15000</v>
      </c>
      <c r="G1292" s="30">
        <f t="shared" si="1313"/>
        <v>2400</v>
      </c>
      <c r="H1292" s="8">
        <v>25000</v>
      </c>
      <c r="I1292" s="30">
        <f t="shared" si="1314"/>
        <v>8000</v>
      </c>
      <c r="J1292" s="8">
        <v>25000</v>
      </c>
      <c r="K1292" s="30">
        <f t="shared" si="1315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14.63</v>
      </c>
      <c r="O1292" s="9">
        <v>13.5</v>
      </c>
      <c r="P1292" s="9">
        <v>19.5</v>
      </c>
      <c r="Q1292" s="79">
        <f>VLOOKUP(VLOOKUP(DATEVALUE(TEXT(A1292,"m/d/yyyy")),FY24_Temp[],5,FALSE)&amp;TEXT(A1292,"-h"),Table6[],4,FALSE)</f>
        <v>0.92514285019465858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VLOOKUP(TEXT(A1292,"yy-mm")&amp;"-"&amp;IF(AND(WEEKDAY(A1292)&gt;1,WEEKDAY(A1292)&lt;7),"Wkd",TEXT(A1292,"Ddd"))&amp;"-"&amp;TEXT(A1292,"hh"),LoadTable[],5,FALSE)*0.92</f>
        <v>521.92427999999995</v>
      </c>
      <c r="U1292" s="104">
        <f>VLOOKUP(TEXT(A1292,"yy-mm")&amp;"-"&amp;IF(AND(WEEKDAY(A1292)&gt;1,WEEKDAY(A1292)&lt;7),"Wkd",TEXT(A1292,"Ddd"))&amp;"-"&amp;TEXT(A1292,"hh"),LoadTable[],6,FALSE)*T1292</f>
        <v>57850.609119479988</v>
      </c>
      <c r="V1292">
        <f t="shared" ref="V1292:W1292" si="1365">V1268</f>
        <v>3.6</v>
      </c>
      <c r="W1292">
        <f t="shared" si="1365"/>
        <v>3</v>
      </c>
      <c r="X1292" s="9">
        <v>-39.718616816666398</v>
      </c>
    </row>
    <row r="1293" spans="1:24">
      <c r="A1293" s="29">
        <f t="shared" si="1357"/>
        <v>45889.749999996871</v>
      </c>
      <c r="B1293" s="30">
        <f t="shared" si="1312"/>
        <v>5000</v>
      </c>
      <c r="C1293" s="8">
        <v>25000</v>
      </c>
      <c r="D1293" s="8">
        <v>0</v>
      </c>
      <c r="E1293" s="8">
        <v>700</v>
      </c>
      <c r="F1293" s="8">
        <v>15000</v>
      </c>
      <c r="G1293" s="30">
        <f t="shared" si="1313"/>
        <v>2400</v>
      </c>
      <c r="H1293" s="8">
        <v>25000</v>
      </c>
      <c r="I1293" s="30">
        <f t="shared" si="1314"/>
        <v>5000</v>
      </c>
      <c r="J1293" s="8">
        <v>25000</v>
      </c>
      <c r="K1293" s="30">
        <f t="shared" si="1315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14.63</v>
      </c>
      <c r="O1293" s="9">
        <v>13.5</v>
      </c>
      <c r="P1293" s="9">
        <v>19.5</v>
      </c>
      <c r="Q1293" s="79">
        <f>VLOOKUP(VLOOKUP(DATEVALUE(TEXT(A1293,"m/d/yyyy")),FY24_Temp[],5,FALSE)&amp;TEXT(A1293,"-h"),Table6[],4,FALSE)</f>
        <v>1.2939999955041068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VLOOKUP(TEXT(A1293,"yy-mm")&amp;"-"&amp;IF(AND(WEEKDAY(A1293)&gt;1,WEEKDAY(A1293)&lt;7),"Wkd",TEXT(A1293,"Ddd"))&amp;"-"&amp;TEXT(A1293,"hh"),LoadTable[],5,FALSE)*0.92</f>
        <v>521.92427999999995</v>
      </c>
      <c r="U1293" s="104">
        <f>VLOOKUP(TEXT(A1293,"yy-mm")&amp;"-"&amp;IF(AND(WEEKDAY(A1293)&gt;1,WEEKDAY(A1293)&lt;7),"Wkd",TEXT(A1293,"Ddd"))&amp;"-"&amp;TEXT(A1293,"hh"),LoadTable[],6,FALSE)*T1293</f>
        <v>71088.174633119997</v>
      </c>
      <c r="V1293">
        <f t="shared" ref="V1293:W1293" si="1366">V1269</f>
        <v>2.9</v>
      </c>
      <c r="W1293">
        <f t="shared" si="1366"/>
        <v>3</v>
      </c>
      <c r="X1293" s="9">
        <v>-39.796411366666398</v>
      </c>
    </row>
    <row r="1294" spans="1:24">
      <c r="A1294" s="29">
        <f t="shared" si="1357"/>
        <v>45889.791666663536</v>
      </c>
      <c r="B1294" s="30">
        <f t="shared" si="1312"/>
        <v>5000</v>
      </c>
      <c r="C1294" s="8">
        <v>25000</v>
      </c>
      <c r="D1294" s="8">
        <v>0</v>
      </c>
      <c r="E1294" s="8">
        <v>700</v>
      </c>
      <c r="F1294" s="8">
        <v>15000</v>
      </c>
      <c r="G1294" s="30">
        <f t="shared" si="1313"/>
        <v>2400</v>
      </c>
      <c r="H1294" s="8">
        <v>25000</v>
      </c>
      <c r="I1294" s="30">
        <f t="shared" si="1314"/>
        <v>5000</v>
      </c>
      <c r="J1294" s="8">
        <v>25000</v>
      </c>
      <c r="K1294" s="30">
        <f t="shared" si="1315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14.63</v>
      </c>
      <c r="O1294" s="9">
        <v>13.5</v>
      </c>
      <c r="P1294" s="9">
        <v>19.5</v>
      </c>
      <c r="Q1294" s="79">
        <f>VLOOKUP(VLOOKUP(DATEVALUE(TEXT(A1294,"m/d/yyyy")),FY24_Temp[],5,FALSE)&amp;TEXT(A1294,"-h"),Table6[],4,FALSE)</f>
        <v>2.0332857200077603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VLOOKUP(TEXT(A1294,"yy-mm")&amp;"-"&amp;IF(AND(WEEKDAY(A1294)&gt;1,WEEKDAY(A1294)&lt;7),"Wkd",TEXT(A1294,"Ddd"))&amp;"-"&amp;TEXT(A1294,"hh"),LoadTable[],5,FALSE)*0.92</f>
        <v>521.92427999999995</v>
      </c>
      <c r="U1294" s="104">
        <f>VLOOKUP(TEXT(A1294,"yy-mm")&amp;"-"&amp;IF(AND(WEEKDAY(A1294)&gt;1,WEEKDAY(A1294)&lt;7),"Wkd",TEXT(A1294,"Ddd"))&amp;"-"&amp;TEXT(A1294,"hh"),LoadTable[],6,FALSE)*T1294</f>
        <v>75540.188741520004</v>
      </c>
      <c r="V1294">
        <f t="shared" ref="V1294:W1294" si="1367">V1270</f>
        <v>3</v>
      </c>
      <c r="W1294">
        <f t="shared" si="1367"/>
        <v>3</v>
      </c>
      <c r="X1294" s="9">
        <v>-39.874205916666398</v>
      </c>
    </row>
    <row r="1295" spans="1:24">
      <c r="A1295" s="29">
        <f t="shared" si="1357"/>
        <v>45889.8333333302</v>
      </c>
      <c r="B1295" s="30">
        <f t="shared" si="1312"/>
        <v>5000</v>
      </c>
      <c r="C1295" s="8">
        <v>25000</v>
      </c>
      <c r="D1295" s="8">
        <v>0</v>
      </c>
      <c r="E1295" s="8">
        <v>700</v>
      </c>
      <c r="F1295" s="8">
        <v>15000</v>
      </c>
      <c r="G1295" s="30">
        <f t="shared" si="1313"/>
        <v>2400</v>
      </c>
      <c r="H1295" s="8">
        <v>25000</v>
      </c>
      <c r="I1295" s="30">
        <f t="shared" si="1314"/>
        <v>5000</v>
      </c>
      <c r="J1295" s="8">
        <v>25000</v>
      </c>
      <c r="K1295" s="30">
        <f t="shared" si="1315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14.63</v>
      </c>
      <c r="O1295" s="9">
        <v>13.5</v>
      </c>
      <c r="P1295" s="9">
        <v>19.5</v>
      </c>
      <c r="Q1295" s="79">
        <f>VLOOKUP(VLOOKUP(DATEVALUE(TEXT(A1295,"m/d/yyyy")),FY24_Temp[],5,FALSE)&amp;TEXT(A1295,"-h"),Table6[],4,FALSE)</f>
        <v>2.8272856644221713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VLOOKUP(TEXT(A1295,"yy-mm")&amp;"-"&amp;IF(AND(WEEKDAY(A1295)&gt;1,WEEKDAY(A1295)&lt;7),"Wkd",TEXT(A1295,"Ddd"))&amp;"-"&amp;TEXT(A1295,"hh"),LoadTable[],5,FALSE)*0.92</f>
        <v>521.92427999999995</v>
      </c>
      <c r="U1295" s="104">
        <f>VLOOKUP(TEXT(A1295,"yy-mm")&amp;"-"&amp;IF(AND(WEEKDAY(A1295)&gt;1,WEEKDAY(A1295)&lt;7),"Wkd",TEXT(A1295,"Ddd"))&amp;"-"&amp;TEXT(A1295,"hh"),LoadTable[],6,FALSE)*T1295</f>
        <v>69176.365995479995</v>
      </c>
      <c r="V1295">
        <f t="shared" ref="V1295:W1295" si="1368">V1271</f>
        <v>2.8</v>
      </c>
      <c r="W1295">
        <f t="shared" si="1368"/>
        <v>3.1</v>
      </c>
      <c r="X1295" s="9">
        <v>-39.952000466666398</v>
      </c>
    </row>
    <row r="1296" spans="1:24">
      <c r="A1296" s="29">
        <f t="shared" si="1357"/>
        <v>45889.874999996864</v>
      </c>
      <c r="B1296" s="30">
        <f t="shared" si="1312"/>
        <v>5000</v>
      </c>
      <c r="C1296" s="8">
        <v>25000</v>
      </c>
      <c r="D1296" s="8">
        <v>0</v>
      </c>
      <c r="E1296" s="8">
        <v>700</v>
      </c>
      <c r="F1296" s="8">
        <v>15000</v>
      </c>
      <c r="G1296" s="30">
        <f t="shared" si="1313"/>
        <v>2400</v>
      </c>
      <c r="H1296" s="8">
        <v>25000</v>
      </c>
      <c r="I1296" s="30">
        <f t="shared" si="1314"/>
        <v>5000</v>
      </c>
      <c r="J1296" s="8">
        <v>25000</v>
      </c>
      <c r="K1296" s="30">
        <f t="shared" si="1315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14.63</v>
      </c>
      <c r="O1296" s="9">
        <v>13.5</v>
      </c>
      <c r="P1296" s="9">
        <v>19.5</v>
      </c>
      <c r="Q1296" s="79">
        <f>VLOOKUP(VLOOKUP(DATEVALUE(TEXT(A1296,"m/d/yyyy")),FY24_Temp[],5,FALSE)&amp;TEXT(A1296,"-h"),Table6[],4,FALSE)</f>
        <v>3.0739999839237759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VLOOKUP(TEXT(A1296,"yy-mm")&amp;"-"&amp;IF(AND(WEEKDAY(A1296)&gt;1,WEEKDAY(A1296)&lt;7),"Wkd",TEXT(A1296,"Ddd"))&amp;"-"&amp;TEXT(A1296,"hh"),LoadTable[],5,FALSE)*0.92</f>
        <v>521.92427999999995</v>
      </c>
      <c r="U1296" s="104">
        <f>VLOOKUP(TEXT(A1296,"yy-mm")&amp;"-"&amp;IF(AND(WEEKDAY(A1296)&gt;1,WEEKDAY(A1296)&lt;7),"Wkd",TEXT(A1296,"Ddd"))&amp;"-"&amp;TEXT(A1296,"hh"),LoadTable[],6,FALSE)*T1296</f>
        <v>56417.405046599997</v>
      </c>
      <c r="V1296">
        <f t="shared" ref="V1296:W1296" si="1369">V1272</f>
        <v>3.5</v>
      </c>
      <c r="W1296">
        <f t="shared" si="1369"/>
        <v>3.1</v>
      </c>
      <c r="X1296" s="9">
        <v>-40.029795016666398</v>
      </c>
    </row>
    <row r="1297" spans="1:24">
      <c r="A1297" s="29">
        <f t="shared" si="1357"/>
        <v>45889.916666663528</v>
      </c>
      <c r="B1297" s="30">
        <f t="shared" si="1312"/>
        <v>5000</v>
      </c>
      <c r="C1297" s="8">
        <v>25000</v>
      </c>
      <c r="D1297" s="8">
        <v>0</v>
      </c>
      <c r="E1297" s="8">
        <v>700</v>
      </c>
      <c r="F1297" s="8">
        <v>15000</v>
      </c>
      <c r="G1297" s="30">
        <f t="shared" si="1313"/>
        <v>2400</v>
      </c>
      <c r="H1297" s="8">
        <v>25000</v>
      </c>
      <c r="I1297" s="30">
        <f t="shared" si="1314"/>
        <v>5000</v>
      </c>
      <c r="J1297" s="8">
        <v>25000</v>
      </c>
      <c r="K1297" s="30">
        <f t="shared" si="1315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14.63</v>
      </c>
      <c r="O1297" s="9">
        <v>13.5</v>
      </c>
      <c r="P1297" s="9">
        <v>19.5</v>
      </c>
      <c r="Q1297" s="79">
        <f>VLOOKUP(VLOOKUP(DATEVALUE(TEXT(A1297,"m/d/yyyy")),FY24_Temp[],5,FALSE)&amp;TEXT(A1297,"-h"),Table6[],4,FALSE)</f>
        <v>3.0308571543012346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VLOOKUP(TEXT(A1297,"yy-mm")&amp;"-"&amp;IF(AND(WEEKDAY(A1297)&gt;1,WEEKDAY(A1297)&lt;7),"Wkd",TEXT(A1297,"Ddd"))&amp;"-"&amp;TEXT(A1297,"hh"),LoadTable[],5,FALSE)*0.92</f>
        <v>447.02432000000005</v>
      </c>
      <c r="U1297" s="104">
        <f>VLOOKUP(TEXT(A1297,"yy-mm")&amp;"-"&amp;IF(AND(WEEKDAY(A1297)&gt;1,WEEKDAY(A1297)&lt;7),"Wkd",TEXT(A1297,"Ddd"))&amp;"-"&amp;TEXT(A1297,"hh"),LoadTable[],6,FALSE)*T1297</f>
        <v>29850.49599232</v>
      </c>
      <c r="V1297">
        <f t="shared" ref="V1297:W1297" si="1370">V1273</f>
        <v>2.9</v>
      </c>
      <c r="W1297">
        <f t="shared" si="1370"/>
        <v>3.1</v>
      </c>
      <c r="X1297" s="9">
        <v>-40.107589566666398</v>
      </c>
    </row>
    <row r="1298" spans="1:24">
      <c r="A1298" s="29">
        <f t="shared" si="1357"/>
        <v>45889.958333330193</v>
      </c>
      <c r="B1298" s="30">
        <f t="shared" si="1312"/>
        <v>5000</v>
      </c>
      <c r="C1298" s="8">
        <v>25000</v>
      </c>
      <c r="D1298" s="8">
        <v>0</v>
      </c>
      <c r="E1298" s="8">
        <v>700</v>
      </c>
      <c r="F1298" s="8">
        <v>15000</v>
      </c>
      <c r="G1298" s="30">
        <f t="shared" si="1313"/>
        <v>2400</v>
      </c>
      <c r="H1298" s="8">
        <v>25000</v>
      </c>
      <c r="I1298" s="30">
        <f t="shared" si="1314"/>
        <v>5000</v>
      </c>
      <c r="J1298" s="8">
        <v>25000</v>
      </c>
      <c r="K1298" s="30">
        <f t="shared" si="1315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14.63</v>
      </c>
      <c r="O1298" s="9">
        <v>13.5</v>
      </c>
      <c r="P1298" s="9">
        <v>19.5</v>
      </c>
      <c r="Q1298" s="79">
        <f>VLOOKUP(VLOOKUP(DATEVALUE(TEXT(A1298,"m/d/yyyy")),FY24_Temp[],5,FALSE)&amp;TEXT(A1298,"-h"),Table6[],4,FALSE)</f>
        <v>2.9022857121058871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VLOOKUP(TEXT(A1298,"yy-mm")&amp;"-"&amp;IF(AND(WEEKDAY(A1298)&gt;1,WEEKDAY(A1298)&lt;7),"Wkd",TEXT(A1298,"Ddd"))&amp;"-"&amp;TEXT(A1298,"hh"),LoadTable[],5,FALSE)*0.92</f>
        <v>372.12436000000002</v>
      </c>
      <c r="U1298" s="104">
        <f>VLOOKUP(TEXT(A1298,"yy-mm")&amp;"-"&amp;IF(AND(WEEKDAY(A1298)&gt;1,WEEKDAY(A1298)&lt;7),"Wkd",TEXT(A1298,"Ddd"))&amp;"-"&amp;TEXT(A1298,"hh"),LoadTable[],6,FALSE)*T1298</f>
        <v>22421.236938720001</v>
      </c>
      <c r="V1298">
        <f t="shared" ref="V1298:W1298" si="1371">V1274</f>
        <v>3.6</v>
      </c>
      <c r="W1298">
        <f t="shared" si="1371"/>
        <v>3.1</v>
      </c>
      <c r="X1298" s="9">
        <v>-40.185384116666398</v>
      </c>
    </row>
    <row r="1299" spans="1:24">
      <c r="A1299" s="29">
        <f t="shared" si="1357"/>
        <v>45889.999999996857</v>
      </c>
      <c r="B1299" s="30">
        <f t="shared" si="1312"/>
        <v>5000</v>
      </c>
      <c r="C1299" s="8">
        <v>25000</v>
      </c>
      <c r="D1299" s="8">
        <v>0</v>
      </c>
      <c r="E1299" s="8">
        <v>700</v>
      </c>
      <c r="F1299" s="8">
        <v>15000</v>
      </c>
      <c r="G1299" s="30">
        <f t="shared" si="1313"/>
        <v>2400</v>
      </c>
      <c r="H1299" s="8">
        <v>25000</v>
      </c>
      <c r="I1299" s="30">
        <f t="shared" si="1314"/>
        <v>5000</v>
      </c>
      <c r="J1299" s="8">
        <v>25000</v>
      </c>
      <c r="K1299" s="30">
        <f t="shared" si="1315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14.63</v>
      </c>
      <c r="O1299" s="9">
        <v>13.5</v>
      </c>
      <c r="P1299" s="9">
        <v>19.5</v>
      </c>
      <c r="Q1299" s="79">
        <f>VLOOKUP(VLOOKUP(DATEVALUE(TEXT(A1299,"m/d/yyyy")),FY24_Temp[],5,FALSE)&amp;TEXT(A1299,"-h"),Table6[],4,FALSE)</f>
        <v>2.774571418762207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VLOOKUP(TEXT(A1299,"yy-mm")&amp;"-"&amp;IF(AND(WEEKDAY(A1299)&gt;1,WEEKDAY(A1299)&lt;7),"Wkd",TEXT(A1299,"Ddd"))&amp;"-"&amp;TEXT(A1299,"hh"),LoadTable[],5,FALSE)*0.92</f>
        <v>297.2244</v>
      </c>
      <c r="U1299" s="104">
        <f>VLOOKUP(TEXT(A1299,"yy-mm")&amp;"-"&amp;IF(AND(WEEKDAY(A1299)&gt;1,WEEKDAY(A1299)&lt;7),"Wkd",TEXT(A1299,"Ddd"))&amp;"-"&amp;TEXT(A1299,"hh"),LoadTable[],6,FALSE)*T1299</f>
        <v>17505.031038000001</v>
      </c>
      <c r="V1299">
        <f t="shared" ref="V1299:W1299" si="1372">V1275</f>
        <v>3</v>
      </c>
      <c r="W1299">
        <f t="shared" si="1372"/>
        <v>3.2</v>
      </c>
      <c r="X1299" s="9">
        <v>-40.263178666666398</v>
      </c>
    </row>
    <row r="1300" spans="1:24">
      <c r="A1300" s="29">
        <f t="shared" si="1357"/>
        <v>45890.041666663521</v>
      </c>
      <c r="B1300" s="30">
        <f t="shared" si="1312"/>
        <v>5000</v>
      </c>
      <c r="C1300" s="8">
        <v>25000</v>
      </c>
      <c r="D1300" s="8">
        <v>0</v>
      </c>
      <c r="E1300" s="8">
        <v>700</v>
      </c>
      <c r="F1300" s="8">
        <v>15000</v>
      </c>
      <c r="G1300" s="30">
        <f t="shared" si="1313"/>
        <v>2400</v>
      </c>
      <c r="H1300" s="8">
        <v>25000</v>
      </c>
      <c r="I1300" s="30">
        <f t="shared" si="1314"/>
        <v>5000</v>
      </c>
      <c r="J1300" s="8">
        <v>25000</v>
      </c>
      <c r="K1300" s="30">
        <f t="shared" si="1315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14.63</v>
      </c>
      <c r="O1300" s="9">
        <v>13.5</v>
      </c>
      <c r="P1300" s="9">
        <v>19.5</v>
      </c>
      <c r="Q1300" s="79">
        <f>VLOOKUP(VLOOKUP(DATEVALUE(TEXT(A1300,"m/d/yyyy")),FY24_Temp[],5,FALSE)&amp;TEXT(A1300,"-h"),Table6[],4,FALSE)</f>
        <v>2.6695714337485179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VLOOKUP(TEXT(A1300,"yy-mm")&amp;"-"&amp;IF(AND(WEEKDAY(A1300)&gt;1,WEEKDAY(A1300)&lt;7),"Wkd",TEXT(A1300,"Ddd"))&amp;"-"&amp;TEXT(A1300,"hh"),LoadTable[],5,FALSE)*0.92</f>
        <v>295.12680000000006</v>
      </c>
      <c r="U1300" s="104">
        <f>VLOOKUP(TEXT(A1300,"yy-mm")&amp;"-"&amp;IF(AND(WEEKDAY(A1300)&gt;1,WEEKDAY(A1300)&lt;7),"Wkd",TEXT(A1300,"Ddd"))&amp;"-"&amp;TEXT(A1300,"hh"),LoadTable[],6,FALSE)*T1300</f>
        <v>17131.225359600001</v>
      </c>
      <c r="V1300">
        <f t="shared" ref="V1300:W1300" si="1373">V1276</f>
        <v>2.6</v>
      </c>
      <c r="W1300">
        <f t="shared" si="1373"/>
        <v>3.2</v>
      </c>
      <c r="X1300" s="9">
        <v>-40.340973216666399</v>
      </c>
    </row>
    <row r="1301" spans="1:24">
      <c r="A1301" s="29">
        <f t="shared" si="1357"/>
        <v>45890.083333330185</v>
      </c>
      <c r="B1301" s="30">
        <f t="shared" si="1312"/>
        <v>5000</v>
      </c>
      <c r="C1301" s="8">
        <v>25000</v>
      </c>
      <c r="D1301" s="8">
        <v>0</v>
      </c>
      <c r="E1301" s="8">
        <v>700</v>
      </c>
      <c r="F1301" s="8">
        <v>15000</v>
      </c>
      <c r="G1301" s="30">
        <f t="shared" si="1313"/>
        <v>2400</v>
      </c>
      <c r="H1301" s="8">
        <v>25000</v>
      </c>
      <c r="I1301" s="30">
        <f t="shared" si="1314"/>
        <v>5000</v>
      </c>
      <c r="J1301" s="8">
        <v>25000</v>
      </c>
      <c r="K1301" s="30">
        <f t="shared" si="1315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14.63</v>
      </c>
      <c r="O1301" s="9">
        <v>13.5</v>
      </c>
      <c r="P1301" s="9">
        <v>19.5</v>
      </c>
      <c r="Q1301" s="79">
        <f>VLOOKUP(VLOOKUP(DATEVALUE(TEXT(A1301,"m/d/yyyy")),FY24_Temp[],5,FALSE)&amp;TEXT(A1301,"-h"),Table6[],4,FALSE)</f>
        <v>2.576000009264265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VLOOKUP(TEXT(A1301,"yy-mm")&amp;"-"&amp;IF(AND(WEEKDAY(A1301)&gt;1,WEEKDAY(A1301)&lt;7),"Wkd",TEXT(A1301,"Ddd"))&amp;"-"&amp;TEXT(A1301,"hh"),LoadTable[],5,FALSE)*0.92</f>
        <v>295.12680000000006</v>
      </c>
      <c r="U1301" s="104">
        <f>VLOOKUP(TEXT(A1301,"yy-mm")&amp;"-"&amp;IF(AND(WEEKDAY(A1301)&gt;1,WEEKDAY(A1301)&lt;7),"Wkd",TEXT(A1301,"Ddd"))&amp;"-"&amp;TEXT(A1301,"hh"),LoadTable[],6,FALSE)*T1301</f>
        <v>16459.811889600001</v>
      </c>
      <c r="V1301">
        <f t="shared" ref="V1301:W1301" si="1374">V1277</f>
        <v>2.8</v>
      </c>
      <c r="W1301">
        <f t="shared" si="1374"/>
        <v>3.2</v>
      </c>
      <c r="X1301" s="9">
        <v>-40.418767766666399</v>
      </c>
    </row>
    <row r="1302" spans="1:24">
      <c r="A1302" s="29">
        <f t="shared" si="1357"/>
        <v>45890.12499999685</v>
      </c>
      <c r="B1302" s="30">
        <f t="shared" si="1312"/>
        <v>5000</v>
      </c>
      <c r="C1302" s="8">
        <v>25000</v>
      </c>
      <c r="D1302" s="8">
        <v>0</v>
      </c>
      <c r="E1302" s="8">
        <v>700</v>
      </c>
      <c r="F1302" s="8">
        <v>15000</v>
      </c>
      <c r="G1302" s="30">
        <f t="shared" si="1313"/>
        <v>2400</v>
      </c>
      <c r="H1302" s="8">
        <v>25000</v>
      </c>
      <c r="I1302" s="30">
        <f t="shared" si="1314"/>
        <v>5000</v>
      </c>
      <c r="J1302" s="8">
        <v>25000</v>
      </c>
      <c r="K1302" s="30">
        <f t="shared" si="1315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14.63</v>
      </c>
      <c r="O1302" s="9">
        <v>13.5</v>
      </c>
      <c r="P1302" s="9">
        <v>19.5</v>
      </c>
      <c r="Q1302" s="79">
        <f>VLOOKUP(VLOOKUP(DATEVALUE(TEXT(A1302,"m/d/yyyy")),FY24_Temp[],5,FALSE)&amp;TEXT(A1302,"-h"),Table6[],4,FALSE)</f>
        <v>2.4292857306344167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VLOOKUP(TEXT(A1302,"yy-mm")&amp;"-"&amp;IF(AND(WEEKDAY(A1302)&gt;1,WEEKDAY(A1302)&lt;7),"Wkd",TEXT(A1302,"Ddd"))&amp;"-"&amp;TEXT(A1302,"hh"),LoadTable[],5,FALSE)*0.92</f>
        <v>295.12680000000006</v>
      </c>
      <c r="U1302" s="104">
        <f>VLOOKUP(TEXT(A1302,"yy-mm")&amp;"-"&amp;IF(AND(WEEKDAY(A1302)&gt;1,WEEKDAY(A1302)&lt;7),"Wkd",TEXT(A1302,"Ddd"))&amp;"-"&amp;TEXT(A1302,"hh"),LoadTable[],6,FALSE)*T1302</f>
        <v>16610.326557600001</v>
      </c>
      <c r="V1302">
        <f t="shared" ref="V1302:W1302" si="1375">V1278</f>
        <v>2.7</v>
      </c>
      <c r="W1302">
        <f t="shared" si="1375"/>
        <v>3.2</v>
      </c>
      <c r="X1302" s="9">
        <v>-40.496562316666399</v>
      </c>
    </row>
    <row r="1303" spans="1:24">
      <c r="A1303" s="29">
        <f t="shared" si="1357"/>
        <v>45890.166666663514</v>
      </c>
      <c r="B1303" s="30">
        <f t="shared" si="1312"/>
        <v>5000</v>
      </c>
      <c r="C1303" s="8">
        <v>25000</v>
      </c>
      <c r="D1303" s="8">
        <v>0</v>
      </c>
      <c r="E1303" s="8">
        <v>700</v>
      </c>
      <c r="F1303" s="8">
        <v>15000</v>
      </c>
      <c r="G1303" s="30">
        <f t="shared" si="1313"/>
        <v>2400</v>
      </c>
      <c r="H1303" s="8">
        <v>25000</v>
      </c>
      <c r="I1303" s="30">
        <f t="shared" si="1314"/>
        <v>5000</v>
      </c>
      <c r="J1303" s="8">
        <v>25000</v>
      </c>
      <c r="K1303" s="30">
        <f t="shared" si="1315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14.63</v>
      </c>
      <c r="O1303" s="9">
        <v>13.5</v>
      </c>
      <c r="P1303" s="9">
        <v>19.5</v>
      </c>
      <c r="Q1303" s="79">
        <f>VLOOKUP(VLOOKUP(DATEVALUE(TEXT(A1303,"m/d/yyyy")),FY24_Temp[],5,FALSE)&amp;TEXT(A1303,"-h"),Table6[],4,FALSE)</f>
        <v>2.264857155936105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VLOOKUP(TEXT(A1303,"yy-mm")&amp;"-"&amp;IF(AND(WEEKDAY(A1303)&gt;1,WEEKDAY(A1303)&lt;7),"Wkd",TEXT(A1303,"Ddd"))&amp;"-"&amp;TEXT(A1303,"hh"),LoadTable[],5,FALSE)*0.92</f>
        <v>295.12680000000006</v>
      </c>
      <c r="U1303" s="104">
        <f>VLOOKUP(TEXT(A1303,"yy-mm")&amp;"-"&amp;IF(AND(WEEKDAY(A1303)&gt;1,WEEKDAY(A1303)&lt;7),"Wkd",TEXT(A1303,"Ddd"))&amp;"-"&amp;TEXT(A1303,"hh"),LoadTable[],6,FALSE)*T1303</f>
        <v>16544.513281200001</v>
      </c>
      <c r="V1303">
        <f t="shared" ref="V1303:W1303" si="1376">V1279</f>
        <v>3</v>
      </c>
      <c r="W1303">
        <f t="shared" si="1376"/>
        <v>3.1</v>
      </c>
      <c r="X1303" s="9">
        <v>-40.574356866666399</v>
      </c>
    </row>
    <row r="1304" spans="1:24">
      <c r="A1304" s="29">
        <f t="shared" si="1357"/>
        <v>45890.208333330178</v>
      </c>
      <c r="B1304" s="30">
        <f t="shared" si="1312"/>
        <v>5000</v>
      </c>
      <c r="C1304" s="8">
        <v>25000</v>
      </c>
      <c r="D1304" s="8">
        <v>0</v>
      </c>
      <c r="E1304" s="8">
        <v>700</v>
      </c>
      <c r="F1304" s="8">
        <v>15000</v>
      </c>
      <c r="G1304" s="30">
        <f t="shared" si="1313"/>
        <v>2400</v>
      </c>
      <c r="H1304" s="8">
        <v>25000</v>
      </c>
      <c r="I1304" s="30">
        <f t="shared" si="1314"/>
        <v>5000</v>
      </c>
      <c r="J1304" s="8">
        <v>25000</v>
      </c>
      <c r="K1304" s="30">
        <f t="shared" si="1315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14.63</v>
      </c>
      <c r="O1304" s="9">
        <v>13.5</v>
      </c>
      <c r="P1304" s="9">
        <v>19.5</v>
      </c>
      <c r="Q1304" s="79">
        <f>VLOOKUP(VLOOKUP(DATEVALUE(TEXT(A1304,"m/d/yyyy")),FY24_Temp[],5,FALSE)&amp;TEXT(A1304,"-h"),Table6[],4,FALSE)</f>
        <v>2.1067142827170238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VLOOKUP(TEXT(A1304,"yy-mm")&amp;"-"&amp;IF(AND(WEEKDAY(A1304)&gt;1,WEEKDAY(A1304)&lt;7),"Wkd",TEXT(A1304,"Ddd"))&amp;"-"&amp;TEXT(A1304,"hh"),LoadTable[],5,FALSE)*0.92</f>
        <v>295.12680000000006</v>
      </c>
      <c r="U1304" s="104">
        <f>VLOOKUP(TEXT(A1304,"yy-mm")&amp;"-"&amp;IF(AND(WEEKDAY(A1304)&gt;1,WEEKDAY(A1304)&lt;7),"Wkd",TEXT(A1304,"Ddd"))&amp;"-"&amp;TEXT(A1304,"hh"),LoadTable[],6,FALSE)*T1304</f>
        <v>17128.569218400004</v>
      </c>
      <c r="V1304">
        <f t="shared" ref="V1304:W1304" si="1377">V1280</f>
        <v>2.9</v>
      </c>
      <c r="W1304">
        <f t="shared" si="1377"/>
        <v>3.1</v>
      </c>
      <c r="X1304" s="9">
        <v>-40.652151416666399</v>
      </c>
    </row>
    <row r="1305" spans="1:24">
      <c r="A1305" s="29">
        <f t="shared" si="1357"/>
        <v>45890.249999996842</v>
      </c>
      <c r="B1305" s="30">
        <f t="shared" si="1312"/>
        <v>8000</v>
      </c>
      <c r="C1305" s="8">
        <v>25000</v>
      </c>
      <c r="D1305" s="8">
        <v>0</v>
      </c>
      <c r="E1305" s="8">
        <v>700</v>
      </c>
      <c r="F1305" s="8">
        <v>15000</v>
      </c>
      <c r="G1305" s="30">
        <f t="shared" si="1313"/>
        <v>2400</v>
      </c>
      <c r="H1305" s="8">
        <v>25000</v>
      </c>
      <c r="I1305" s="30">
        <f t="shared" si="1314"/>
        <v>8000</v>
      </c>
      <c r="J1305" s="8">
        <v>25000</v>
      </c>
      <c r="K1305" s="30">
        <f t="shared" si="1315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14.63</v>
      </c>
      <c r="O1305" s="9">
        <v>13.5</v>
      </c>
      <c r="P1305" s="9">
        <v>19.5</v>
      </c>
      <c r="Q1305" s="79">
        <f>VLOOKUP(VLOOKUP(DATEVALUE(TEXT(A1305,"m/d/yyyy")),FY24_Temp[],5,FALSE)&amp;TEXT(A1305,"-h"),Table6[],4,FALSE)</f>
        <v>1.992142847606114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VLOOKUP(TEXT(A1305,"yy-mm")&amp;"-"&amp;IF(AND(WEEKDAY(A1305)&gt;1,WEEKDAY(A1305)&lt;7),"Wkd",TEXT(A1305,"Ddd"))&amp;"-"&amp;TEXT(A1305,"hh"),LoadTable[],5,FALSE)*0.92</f>
        <v>295.12680000000006</v>
      </c>
      <c r="U1305" s="104">
        <f>VLOOKUP(TEXT(A1305,"yy-mm")&amp;"-"&amp;IF(AND(WEEKDAY(A1305)&gt;1,WEEKDAY(A1305)&lt;7),"Wkd",TEXT(A1305,"Ddd"))&amp;"-"&amp;TEXT(A1305,"hh"),LoadTable[],6,FALSE)*T1305</f>
        <v>20766.892408800006</v>
      </c>
      <c r="V1305">
        <f t="shared" ref="V1305:W1305" si="1378">V1281</f>
        <v>2.5</v>
      </c>
      <c r="W1305">
        <f t="shared" si="1378"/>
        <v>3.1</v>
      </c>
      <c r="X1305" s="9">
        <v>-40.729945966666399</v>
      </c>
    </row>
    <row r="1306" spans="1:24">
      <c r="A1306" s="29">
        <f t="shared" si="1357"/>
        <v>45890.291666663506</v>
      </c>
      <c r="B1306" s="30">
        <f t="shared" si="1312"/>
        <v>8000</v>
      </c>
      <c r="C1306" s="8">
        <v>25000</v>
      </c>
      <c r="D1306" s="8">
        <v>0</v>
      </c>
      <c r="E1306" s="8">
        <v>700</v>
      </c>
      <c r="F1306" s="8">
        <v>15000</v>
      </c>
      <c r="G1306" s="30">
        <f t="shared" si="1313"/>
        <v>2400</v>
      </c>
      <c r="H1306" s="8">
        <v>25000</v>
      </c>
      <c r="I1306" s="30">
        <f t="shared" si="1314"/>
        <v>8000</v>
      </c>
      <c r="J1306" s="8">
        <v>25000</v>
      </c>
      <c r="K1306" s="30">
        <f t="shared" si="1315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14.63</v>
      </c>
      <c r="O1306" s="9">
        <v>13.5</v>
      </c>
      <c r="P1306" s="9">
        <v>19.5</v>
      </c>
      <c r="Q1306" s="79">
        <f>VLOOKUP(VLOOKUP(DATEVALUE(TEXT(A1306,"m/d/yyyy")),FY24_Temp[],5,FALSE)&amp;TEXT(A1306,"-h"),Table6[],4,FALSE)</f>
        <v>1.9098571368626185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VLOOKUP(TEXT(A1306,"yy-mm")&amp;"-"&amp;IF(AND(WEEKDAY(A1306)&gt;1,WEEKDAY(A1306)&lt;7),"Wkd",TEXT(A1306,"Ddd"))&amp;"-"&amp;TEXT(A1306,"hh"),LoadTable[],5,FALSE)*0.92</f>
        <v>295.12680000000006</v>
      </c>
      <c r="U1306" s="104">
        <f>VLOOKUP(TEXT(A1306,"yy-mm")&amp;"-"&amp;IF(AND(WEEKDAY(A1306)&gt;1,WEEKDAY(A1306)&lt;7),"Wkd",TEXT(A1306,"Ddd"))&amp;"-"&amp;TEXT(A1306,"hh"),LoadTable[],6,FALSE)*T1306</f>
        <v>19169.666167200001</v>
      </c>
      <c r="V1306">
        <f t="shared" ref="V1306:W1306" si="1379">V1282</f>
        <v>2.5</v>
      </c>
      <c r="W1306">
        <f t="shared" si="1379"/>
        <v>3.1</v>
      </c>
      <c r="X1306" s="9">
        <v>-40.807740516666399</v>
      </c>
    </row>
    <row r="1307" spans="1:24">
      <c r="A1307" s="29">
        <f t="shared" si="1357"/>
        <v>45890.333333330171</v>
      </c>
      <c r="B1307" s="30">
        <f t="shared" si="1312"/>
        <v>8000</v>
      </c>
      <c r="C1307" s="8">
        <v>25000</v>
      </c>
      <c r="D1307" s="8">
        <v>0</v>
      </c>
      <c r="E1307" s="8">
        <v>700</v>
      </c>
      <c r="F1307" s="8">
        <v>15000</v>
      </c>
      <c r="G1307" s="30">
        <f t="shared" si="1313"/>
        <v>2400</v>
      </c>
      <c r="H1307" s="8">
        <v>25000</v>
      </c>
      <c r="I1307" s="30">
        <f t="shared" si="1314"/>
        <v>8000</v>
      </c>
      <c r="J1307" s="8">
        <v>25000</v>
      </c>
      <c r="K1307" s="30">
        <f t="shared" si="1315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14.63</v>
      </c>
      <c r="O1307" s="9">
        <v>13.5</v>
      </c>
      <c r="P1307" s="9">
        <v>19.5</v>
      </c>
      <c r="Q1307" s="79">
        <f>VLOOKUP(VLOOKUP(DATEVALUE(TEXT(A1307,"m/d/yyyy")),FY24_Temp[],5,FALSE)&amp;TEXT(A1307,"-h"),Table6[],4,FALSE)</f>
        <v>1.8045714242117745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VLOOKUP(TEXT(A1307,"yy-mm")&amp;"-"&amp;IF(AND(WEEKDAY(A1307)&gt;1,WEEKDAY(A1307)&lt;7),"Wkd",TEXT(A1307,"Ddd"))&amp;"-"&amp;TEXT(A1307,"hh"),LoadTable[],5,FALSE)*0.92</f>
        <v>295.12680000000006</v>
      </c>
      <c r="U1307" s="104">
        <f>VLOOKUP(TEXT(A1307,"yy-mm")&amp;"-"&amp;IF(AND(WEEKDAY(A1307)&gt;1,WEEKDAY(A1307)&lt;7),"Wkd",TEXT(A1307,"Ddd"))&amp;"-"&amp;TEXT(A1307,"hh"),LoadTable[],6,FALSE)*T1307</f>
        <v>15860.999612400004</v>
      </c>
      <c r="V1307">
        <f t="shared" ref="V1307:W1307" si="1380">V1283</f>
        <v>3.2</v>
      </c>
      <c r="W1307">
        <f t="shared" si="1380"/>
        <v>3</v>
      </c>
      <c r="X1307" s="9">
        <v>-40.885535066666399</v>
      </c>
    </row>
    <row r="1308" spans="1:24">
      <c r="A1308" s="29">
        <f t="shared" si="1357"/>
        <v>45890.374999996835</v>
      </c>
      <c r="B1308" s="30">
        <f t="shared" ref="B1308:B1371" si="1381">B1284</f>
        <v>8000</v>
      </c>
      <c r="C1308" s="8">
        <v>25000</v>
      </c>
      <c r="D1308" s="8">
        <v>0</v>
      </c>
      <c r="E1308" s="8">
        <v>700</v>
      </c>
      <c r="F1308" s="8">
        <v>15000</v>
      </c>
      <c r="G1308" s="30">
        <f t="shared" ref="G1308:G1371" si="1382">G1284</f>
        <v>2400</v>
      </c>
      <c r="H1308" s="8">
        <v>25000</v>
      </c>
      <c r="I1308" s="30">
        <f t="shared" ref="I1308:I1371" si="1383">I1284</f>
        <v>8000</v>
      </c>
      <c r="J1308" s="8">
        <v>25000</v>
      </c>
      <c r="K1308" s="30">
        <f t="shared" ref="K1308:K1371" si="1384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14.63</v>
      </c>
      <c r="O1308" s="9">
        <v>13.5</v>
      </c>
      <c r="P1308" s="9">
        <v>19.5</v>
      </c>
      <c r="Q1308" s="79">
        <f>VLOOKUP(VLOOKUP(DATEVALUE(TEXT(A1308,"m/d/yyyy")),FY24_Temp[],5,FALSE)&amp;TEXT(A1308,"-h"),Table6[],4,FALSE)</f>
        <v>1.7064285789217268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VLOOKUP(TEXT(A1308,"yy-mm")&amp;"-"&amp;IF(AND(WEEKDAY(A1308)&gt;1,WEEKDAY(A1308)&lt;7),"Wkd",TEXT(A1308,"Ddd"))&amp;"-"&amp;TEXT(A1308,"hh"),LoadTable[],5,FALSE)*0.92</f>
        <v>295.12680000000006</v>
      </c>
      <c r="U1308" s="104">
        <f>VLOOKUP(TEXT(A1308,"yy-mm")&amp;"-"&amp;IF(AND(WEEKDAY(A1308)&gt;1,WEEKDAY(A1308)&lt;7),"Wkd",TEXT(A1308,"Ddd"))&amp;"-"&amp;TEXT(A1308,"hh"),LoadTable[],6,FALSE)*T1308</f>
        <v>15713.436212400004</v>
      </c>
      <c r="V1308">
        <f t="shared" ref="V1308:W1308" si="1385">V1284</f>
        <v>2.9</v>
      </c>
      <c r="W1308">
        <f t="shared" si="1385"/>
        <v>3</v>
      </c>
      <c r="X1308" s="9">
        <v>-40.9633296166664</v>
      </c>
    </row>
    <row r="1309" spans="1:24">
      <c r="A1309" s="29">
        <f t="shared" si="1357"/>
        <v>45890.416666663499</v>
      </c>
      <c r="B1309" s="30">
        <f t="shared" si="1381"/>
        <v>8000</v>
      </c>
      <c r="C1309" s="8">
        <v>25000</v>
      </c>
      <c r="D1309" s="8">
        <v>0</v>
      </c>
      <c r="E1309" s="8">
        <v>700</v>
      </c>
      <c r="F1309" s="8">
        <v>15000</v>
      </c>
      <c r="G1309" s="30">
        <f t="shared" si="1382"/>
        <v>2400</v>
      </c>
      <c r="H1309" s="8">
        <v>25000</v>
      </c>
      <c r="I1309" s="30">
        <f t="shared" si="1383"/>
        <v>8000</v>
      </c>
      <c r="J1309" s="8">
        <v>25000</v>
      </c>
      <c r="K1309" s="30">
        <f t="shared" si="1384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14.63</v>
      </c>
      <c r="O1309" s="9">
        <v>13.5</v>
      </c>
      <c r="P1309" s="9">
        <v>19.5</v>
      </c>
      <c r="Q1309" s="79">
        <f>VLOOKUP(VLOOKUP(DATEVALUE(TEXT(A1309,"m/d/yyyy")),FY24_Temp[],5,FALSE)&amp;TEXT(A1309,"-h"),Table6[],4,FALSE)</f>
        <v>1.6218571492603846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VLOOKUP(TEXT(A1309,"yy-mm")&amp;"-"&amp;IF(AND(WEEKDAY(A1309)&gt;1,WEEKDAY(A1309)&lt;7),"Wkd",TEXT(A1309,"Ddd"))&amp;"-"&amp;TEXT(A1309,"hh"),LoadTable[],5,FALSE)*0.92</f>
        <v>295.12680000000006</v>
      </c>
      <c r="U1309" s="104">
        <f>VLOOKUP(TEXT(A1309,"yy-mm")&amp;"-"&amp;IF(AND(WEEKDAY(A1309)&gt;1,WEEKDAY(A1309)&lt;7),"Wkd",TEXT(A1309,"Ddd"))&amp;"-"&amp;TEXT(A1309,"hh"),LoadTable[],6,FALSE)*T1309</f>
        <v>14369.723892000002</v>
      </c>
      <c r="V1309">
        <f t="shared" ref="V1309:W1309" si="1386">V1285</f>
        <v>2.9</v>
      </c>
      <c r="W1309">
        <f t="shared" si="1386"/>
        <v>3</v>
      </c>
      <c r="X1309" s="9">
        <v>-41.0411241666664</v>
      </c>
    </row>
    <row r="1310" spans="1:24">
      <c r="A1310" s="29">
        <f t="shared" si="1357"/>
        <v>45890.458333330163</v>
      </c>
      <c r="B1310" s="30">
        <f t="shared" si="1381"/>
        <v>8000</v>
      </c>
      <c r="C1310" s="8">
        <v>25000</v>
      </c>
      <c r="D1310" s="8">
        <v>0</v>
      </c>
      <c r="E1310" s="8">
        <v>700</v>
      </c>
      <c r="F1310" s="8">
        <v>15000</v>
      </c>
      <c r="G1310" s="30">
        <f t="shared" si="1382"/>
        <v>2400</v>
      </c>
      <c r="H1310" s="8">
        <v>25000</v>
      </c>
      <c r="I1310" s="30">
        <f t="shared" si="1383"/>
        <v>8000</v>
      </c>
      <c r="J1310" s="8">
        <v>25000</v>
      </c>
      <c r="K1310" s="30">
        <f t="shared" si="1384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14.63</v>
      </c>
      <c r="O1310" s="9">
        <v>13.5</v>
      </c>
      <c r="P1310" s="9">
        <v>19.5</v>
      </c>
      <c r="Q1310" s="79">
        <f>VLOOKUP(VLOOKUP(DATEVALUE(TEXT(A1310,"m/d/yyyy")),FY24_Temp[],5,FALSE)&amp;TEXT(A1310,"-h"),Table6[],4,FALSE)</f>
        <v>1.5159999813352312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VLOOKUP(TEXT(A1310,"yy-mm")&amp;"-"&amp;IF(AND(WEEKDAY(A1310)&gt;1,WEEKDAY(A1310)&lt;7),"Wkd",TEXT(A1310,"Ddd"))&amp;"-"&amp;TEXT(A1310,"hh"),LoadTable[],5,FALSE)*0.92</f>
        <v>295.12680000000006</v>
      </c>
      <c r="U1310" s="104">
        <f>VLOOKUP(TEXT(A1310,"yy-mm")&amp;"-"&amp;IF(AND(WEEKDAY(A1310)&gt;1,WEEKDAY(A1310)&lt;7),"Wkd",TEXT(A1310,"Ddd"))&amp;"-"&amp;TEXT(A1310,"hh"),LoadTable[],6,FALSE)*T1310</f>
        <v>14137.459100400003</v>
      </c>
      <c r="V1310">
        <f t="shared" ref="V1310:W1310" si="1387">V1286</f>
        <v>3.4</v>
      </c>
      <c r="W1310">
        <f t="shared" si="1387"/>
        <v>3</v>
      </c>
      <c r="X1310" s="9">
        <v>-41.1189187166664</v>
      </c>
    </row>
    <row r="1311" spans="1:24">
      <c r="A1311" s="29">
        <f t="shared" si="1357"/>
        <v>45890.499999996828</v>
      </c>
      <c r="B1311" s="30">
        <f t="shared" si="1381"/>
        <v>8000</v>
      </c>
      <c r="C1311" s="8">
        <v>25000</v>
      </c>
      <c r="D1311" s="8">
        <v>0</v>
      </c>
      <c r="E1311" s="8">
        <v>700</v>
      </c>
      <c r="F1311" s="8">
        <v>15000</v>
      </c>
      <c r="G1311" s="30">
        <f t="shared" si="1382"/>
        <v>2400</v>
      </c>
      <c r="H1311" s="8">
        <v>25000</v>
      </c>
      <c r="I1311" s="30">
        <f t="shared" si="1383"/>
        <v>8000</v>
      </c>
      <c r="J1311" s="8">
        <v>25000</v>
      </c>
      <c r="K1311" s="30">
        <f t="shared" si="1384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14.63</v>
      </c>
      <c r="O1311" s="9">
        <v>13.5</v>
      </c>
      <c r="P1311" s="9">
        <v>19.5</v>
      </c>
      <c r="Q1311" s="79">
        <f>VLOOKUP(VLOOKUP(DATEVALUE(TEXT(A1311,"m/d/yyyy")),FY24_Temp[],5,FALSE)&amp;TEXT(A1311,"-h"),Table6[],4,FALSE)</f>
        <v>1.3808571270533971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VLOOKUP(TEXT(A1311,"yy-mm")&amp;"-"&amp;IF(AND(WEEKDAY(A1311)&gt;1,WEEKDAY(A1311)&lt;7),"Wkd",TEXT(A1311,"Ddd"))&amp;"-"&amp;TEXT(A1311,"hh"),LoadTable[],5,FALSE)*0.92</f>
        <v>295.12680000000006</v>
      </c>
      <c r="U1311" s="104">
        <f>VLOOKUP(TEXT(A1311,"yy-mm")&amp;"-"&amp;IF(AND(WEEKDAY(A1311)&gt;1,WEEKDAY(A1311)&lt;7),"Wkd",TEXT(A1311,"Ddd"))&amp;"-"&amp;TEXT(A1311,"hh"),LoadTable[],6,FALSE)*T1311</f>
        <v>14242.819368000002</v>
      </c>
      <c r="V1311">
        <f t="shared" ref="V1311:W1311" si="1388">V1287</f>
        <v>3.1</v>
      </c>
      <c r="W1311">
        <f t="shared" si="1388"/>
        <v>2.9</v>
      </c>
      <c r="X1311" s="9">
        <v>-41.1967132666664</v>
      </c>
    </row>
    <row r="1312" spans="1:24">
      <c r="A1312" s="29">
        <f t="shared" si="1357"/>
        <v>45890.541666663492</v>
      </c>
      <c r="B1312" s="30">
        <f t="shared" si="1381"/>
        <v>8000</v>
      </c>
      <c r="C1312" s="8">
        <v>25000</v>
      </c>
      <c r="D1312" s="8">
        <v>0</v>
      </c>
      <c r="E1312" s="8">
        <v>700</v>
      </c>
      <c r="F1312" s="8">
        <v>15000</v>
      </c>
      <c r="G1312" s="30">
        <f t="shared" si="1382"/>
        <v>2400</v>
      </c>
      <c r="H1312" s="8">
        <v>25000</v>
      </c>
      <c r="I1312" s="30">
        <f t="shared" si="1383"/>
        <v>8000</v>
      </c>
      <c r="J1312" s="8">
        <v>25000</v>
      </c>
      <c r="K1312" s="30">
        <f t="shared" si="1384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14.63</v>
      </c>
      <c r="O1312" s="9">
        <v>13.5</v>
      </c>
      <c r="P1312" s="9">
        <v>19.5</v>
      </c>
      <c r="Q1312" s="79">
        <f>VLOOKUP(VLOOKUP(DATEVALUE(TEXT(A1312,"m/d/yyyy")),FY24_Temp[],5,FALSE)&amp;TEXT(A1312,"-h"),Table6[],4,FALSE)</f>
        <v>1.2139999866485596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VLOOKUP(TEXT(A1312,"yy-mm")&amp;"-"&amp;IF(AND(WEEKDAY(A1312)&gt;1,WEEKDAY(A1312)&lt;7),"Wkd",TEXT(A1312,"Ddd"))&amp;"-"&amp;TEXT(A1312,"hh"),LoadTable[],5,FALSE)*0.92</f>
        <v>295.12680000000006</v>
      </c>
      <c r="U1312" s="104">
        <f>VLOOKUP(TEXT(A1312,"yy-mm")&amp;"-"&amp;IF(AND(WEEKDAY(A1312)&gt;1,WEEKDAY(A1312)&lt;7),"Wkd",TEXT(A1312,"Ddd"))&amp;"-"&amp;TEXT(A1312,"hh"),LoadTable[],6,FALSE)*T1312</f>
        <v>16280.669922000003</v>
      </c>
      <c r="V1312">
        <f t="shared" ref="V1312:W1312" si="1389">V1288</f>
        <v>3.2</v>
      </c>
      <c r="W1312">
        <f t="shared" si="1389"/>
        <v>2.9</v>
      </c>
      <c r="X1312" s="9">
        <v>-41.2745078166664</v>
      </c>
    </row>
    <row r="1313" spans="1:24">
      <c r="A1313" s="29">
        <f t="shared" si="1357"/>
        <v>45890.583333330156</v>
      </c>
      <c r="B1313" s="30">
        <f t="shared" si="1381"/>
        <v>8000</v>
      </c>
      <c r="C1313" s="8">
        <v>25000</v>
      </c>
      <c r="D1313" s="8">
        <v>0</v>
      </c>
      <c r="E1313" s="8">
        <v>700</v>
      </c>
      <c r="F1313" s="8">
        <v>15000</v>
      </c>
      <c r="G1313" s="30">
        <f t="shared" si="1382"/>
        <v>2400</v>
      </c>
      <c r="H1313" s="8">
        <v>25000</v>
      </c>
      <c r="I1313" s="30">
        <f t="shared" si="1383"/>
        <v>8000</v>
      </c>
      <c r="J1313" s="8">
        <v>25000</v>
      </c>
      <c r="K1313" s="30">
        <f t="shared" si="1384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14.63</v>
      </c>
      <c r="O1313" s="9">
        <v>13.5</v>
      </c>
      <c r="P1313" s="9">
        <v>19.5</v>
      </c>
      <c r="Q1313" s="79">
        <f>VLOOKUP(VLOOKUP(DATEVALUE(TEXT(A1313,"m/d/yyyy")),FY24_Temp[],5,FALSE)&amp;TEXT(A1313,"-h"),Table6[],4,FALSE)</f>
        <v>1.0331428476742335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VLOOKUP(TEXT(A1313,"yy-mm")&amp;"-"&amp;IF(AND(WEEKDAY(A1313)&gt;1,WEEKDAY(A1313)&lt;7),"Wkd",TEXT(A1313,"Ddd"))&amp;"-"&amp;TEXT(A1313,"hh"),LoadTable[],5,FALSE)*0.92</f>
        <v>402.08416</v>
      </c>
      <c r="U1313" s="104">
        <f>VLOOKUP(TEXT(A1313,"yy-mm")&amp;"-"&amp;IF(AND(WEEKDAY(A1313)&gt;1,WEEKDAY(A1313)&lt;7),"Wkd",TEXT(A1313,"Ddd"))&amp;"-"&amp;TEXT(A1313,"hh"),LoadTable[],6,FALSE)*T1313</f>
        <v>27023.674309440001</v>
      </c>
      <c r="V1313">
        <f t="shared" ref="V1313:W1313" si="1390">V1289</f>
        <v>3.5</v>
      </c>
      <c r="W1313">
        <f t="shared" si="1390"/>
        <v>2.9</v>
      </c>
      <c r="X1313" s="9">
        <v>-41.3523023666664</v>
      </c>
    </row>
    <row r="1314" spans="1:24">
      <c r="A1314" s="29">
        <f t="shared" si="1357"/>
        <v>45890.62499999682</v>
      </c>
      <c r="B1314" s="30">
        <f t="shared" si="1381"/>
        <v>8000</v>
      </c>
      <c r="C1314" s="8">
        <v>25000</v>
      </c>
      <c r="D1314" s="8">
        <v>0</v>
      </c>
      <c r="E1314" s="8">
        <v>700</v>
      </c>
      <c r="F1314" s="8">
        <v>15000</v>
      </c>
      <c r="G1314" s="30">
        <f t="shared" si="1382"/>
        <v>2400</v>
      </c>
      <c r="H1314" s="8">
        <v>25000</v>
      </c>
      <c r="I1314" s="30">
        <f t="shared" si="1383"/>
        <v>8000</v>
      </c>
      <c r="J1314" s="8">
        <v>25000</v>
      </c>
      <c r="K1314" s="30">
        <f t="shared" si="1384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14.63</v>
      </c>
      <c r="O1314" s="9">
        <v>13.5</v>
      </c>
      <c r="P1314" s="9">
        <v>19.5</v>
      </c>
      <c r="Q1314" s="79">
        <f>VLOOKUP(VLOOKUP(DATEVALUE(TEXT(A1314,"m/d/yyyy")),FY24_Temp[],5,FALSE)&amp;TEXT(A1314,"-h"),Table6[],4,FALSE)</f>
        <v>0.8692857112203326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VLOOKUP(TEXT(A1314,"yy-mm")&amp;"-"&amp;IF(AND(WEEKDAY(A1314)&gt;1,WEEKDAY(A1314)&lt;7),"Wkd",TEXT(A1314,"Ddd"))&amp;"-"&amp;TEXT(A1314,"hh"),LoadTable[],5,FALSE)*0.92</f>
        <v>521.92427999999995</v>
      </c>
      <c r="U1314" s="104">
        <f>VLOOKUP(TEXT(A1314,"yy-mm")&amp;"-"&amp;IF(AND(WEEKDAY(A1314)&gt;1,WEEKDAY(A1314)&lt;7),"Wkd",TEXT(A1314,"Ddd"))&amp;"-"&amp;TEXT(A1314,"hh"),LoadTable[],6,FALSE)*T1314</f>
        <v>38276.36092236</v>
      </c>
      <c r="V1314">
        <f t="shared" ref="V1314:W1314" si="1391">V1290</f>
        <v>3.2</v>
      </c>
      <c r="W1314">
        <f t="shared" si="1391"/>
        <v>2.9</v>
      </c>
      <c r="X1314" s="9">
        <v>-41.4300969166664</v>
      </c>
    </row>
    <row r="1315" spans="1:24">
      <c r="A1315" s="29">
        <f t="shared" si="1357"/>
        <v>45890.666666663485</v>
      </c>
      <c r="B1315" s="30">
        <f t="shared" si="1381"/>
        <v>8000</v>
      </c>
      <c r="C1315" s="8">
        <v>25000</v>
      </c>
      <c r="D1315" s="8">
        <v>0</v>
      </c>
      <c r="E1315" s="8">
        <v>700</v>
      </c>
      <c r="F1315" s="8">
        <v>15000</v>
      </c>
      <c r="G1315" s="30">
        <f t="shared" si="1382"/>
        <v>2400</v>
      </c>
      <c r="H1315" s="8">
        <v>25000</v>
      </c>
      <c r="I1315" s="30">
        <f t="shared" si="1383"/>
        <v>8000</v>
      </c>
      <c r="J1315" s="8">
        <v>25000</v>
      </c>
      <c r="K1315" s="30">
        <f t="shared" si="1384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14.63</v>
      </c>
      <c r="O1315" s="9">
        <v>13.5</v>
      </c>
      <c r="P1315" s="9">
        <v>19.5</v>
      </c>
      <c r="Q1315" s="79">
        <f>VLOOKUP(VLOOKUP(DATEVALUE(TEXT(A1315,"m/d/yyyy")),FY24_Temp[],5,FALSE)&amp;TEXT(A1315,"-h"),Table6[],4,FALSE)</f>
        <v>0.78099999257496422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VLOOKUP(TEXT(A1315,"yy-mm")&amp;"-"&amp;IF(AND(WEEKDAY(A1315)&gt;1,WEEKDAY(A1315)&lt;7),"Wkd",TEXT(A1315,"Ddd"))&amp;"-"&amp;TEXT(A1315,"hh"),LoadTable[],5,FALSE)*0.92</f>
        <v>521.92427999999995</v>
      </c>
      <c r="U1315" s="104">
        <f>VLOOKUP(TEXT(A1315,"yy-mm")&amp;"-"&amp;IF(AND(WEEKDAY(A1315)&gt;1,WEEKDAY(A1315)&lt;7),"Wkd",TEXT(A1315,"Ddd"))&amp;"-"&amp;TEXT(A1315,"hh"),LoadTable[],6,FALSE)*T1315</f>
        <v>45879.753833399998</v>
      </c>
      <c r="V1315">
        <f t="shared" ref="V1315:W1315" si="1392">V1291</f>
        <v>3.5</v>
      </c>
      <c r="W1315">
        <f t="shared" si="1392"/>
        <v>3</v>
      </c>
      <c r="X1315" s="9">
        <v>-41.507891466666401</v>
      </c>
    </row>
    <row r="1316" spans="1:24">
      <c r="A1316" s="29">
        <f t="shared" si="1357"/>
        <v>45890.708333330149</v>
      </c>
      <c r="B1316" s="30">
        <f t="shared" si="1381"/>
        <v>8000</v>
      </c>
      <c r="C1316" s="8">
        <v>25000</v>
      </c>
      <c r="D1316" s="8">
        <v>0</v>
      </c>
      <c r="E1316" s="8">
        <v>700</v>
      </c>
      <c r="F1316" s="8">
        <v>15000</v>
      </c>
      <c r="G1316" s="30">
        <f t="shared" si="1382"/>
        <v>2400</v>
      </c>
      <c r="H1316" s="8">
        <v>25000</v>
      </c>
      <c r="I1316" s="30">
        <f t="shared" si="1383"/>
        <v>8000</v>
      </c>
      <c r="J1316" s="8">
        <v>25000</v>
      </c>
      <c r="K1316" s="30">
        <f t="shared" si="1384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14.63</v>
      </c>
      <c r="O1316" s="9">
        <v>13.5</v>
      </c>
      <c r="P1316" s="9">
        <v>19.5</v>
      </c>
      <c r="Q1316" s="79">
        <f>VLOOKUP(VLOOKUP(DATEVALUE(TEXT(A1316,"m/d/yyyy")),FY24_Temp[],5,FALSE)&amp;TEXT(A1316,"-h"),Table6[],4,FALSE)</f>
        <v>0.92514285019465858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VLOOKUP(TEXT(A1316,"yy-mm")&amp;"-"&amp;IF(AND(WEEKDAY(A1316)&gt;1,WEEKDAY(A1316)&lt;7),"Wkd",TEXT(A1316,"Ddd"))&amp;"-"&amp;TEXT(A1316,"hh"),LoadTable[],5,FALSE)*0.92</f>
        <v>521.92427999999995</v>
      </c>
      <c r="U1316" s="104">
        <f>VLOOKUP(TEXT(A1316,"yy-mm")&amp;"-"&amp;IF(AND(WEEKDAY(A1316)&gt;1,WEEKDAY(A1316)&lt;7),"Wkd",TEXT(A1316,"Ddd"))&amp;"-"&amp;TEXT(A1316,"hh"),LoadTable[],6,FALSE)*T1316</f>
        <v>57850.609119479988</v>
      </c>
      <c r="V1316">
        <f t="shared" ref="V1316:W1316" si="1393">V1292</f>
        <v>3.6</v>
      </c>
      <c r="W1316">
        <f t="shared" si="1393"/>
        <v>3</v>
      </c>
      <c r="X1316" s="9">
        <v>-41.585686016666401</v>
      </c>
    </row>
    <row r="1317" spans="1:24">
      <c r="A1317" s="29">
        <f t="shared" si="1357"/>
        <v>45890.749999996813</v>
      </c>
      <c r="B1317" s="30">
        <f t="shared" si="1381"/>
        <v>5000</v>
      </c>
      <c r="C1317" s="8">
        <v>25000</v>
      </c>
      <c r="D1317" s="8">
        <v>0</v>
      </c>
      <c r="E1317" s="8">
        <v>700</v>
      </c>
      <c r="F1317" s="8">
        <v>15000</v>
      </c>
      <c r="G1317" s="30">
        <f t="shared" si="1382"/>
        <v>2400</v>
      </c>
      <c r="H1317" s="8">
        <v>25000</v>
      </c>
      <c r="I1317" s="30">
        <f t="shared" si="1383"/>
        <v>5000</v>
      </c>
      <c r="J1317" s="8">
        <v>25000</v>
      </c>
      <c r="K1317" s="30">
        <f t="shared" si="1384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14.63</v>
      </c>
      <c r="O1317" s="9">
        <v>13.5</v>
      </c>
      <c r="P1317" s="9">
        <v>19.5</v>
      </c>
      <c r="Q1317" s="79">
        <f>VLOOKUP(VLOOKUP(DATEVALUE(TEXT(A1317,"m/d/yyyy")),FY24_Temp[],5,FALSE)&amp;TEXT(A1317,"-h"),Table6[],4,FALSE)</f>
        <v>1.2939999955041068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VLOOKUP(TEXT(A1317,"yy-mm")&amp;"-"&amp;IF(AND(WEEKDAY(A1317)&gt;1,WEEKDAY(A1317)&lt;7),"Wkd",TEXT(A1317,"Ddd"))&amp;"-"&amp;TEXT(A1317,"hh"),LoadTable[],5,FALSE)*0.92</f>
        <v>521.92427999999995</v>
      </c>
      <c r="U1317" s="104">
        <f>VLOOKUP(TEXT(A1317,"yy-mm")&amp;"-"&amp;IF(AND(WEEKDAY(A1317)&gt;1,WEEKDAY(A1317)&lt;7),"Wkd",TEXT(A1317,"Ddd"))&amp;"-"&amp;TEXT(A1317,"hh"),LoadTable[],6,FALSE)*T1317</f>
        <v>71088.174633119997</v>
      </c>
      <c r="V1317">
        <f t="shared" ref="V1317:W1317" si="1394">V1293</f>
        <v>2.9</v>
      </c>
      <c r="W1317">
        <f t="shared" si="1394"/>
        <v>3</v>
      </c>
      <c r="X1317" s="9">
        <v>-41.663480566666401</v>
      </c>
    </row>
    <row r="1318" spans="1:24">
      <c r="A1318" s="29">
        <f t="shared" si="1357"/>
        <v>45890.791666663477</v>
      </c>
      <c r="B1318" s="30">
        <f t="shared" si="1381"/>
        <v>5000</v>
      </c>
      <c r="C1318" s="8">
        <v>25000</v>
      </c>
      <c r="D1318" s="8">
        <v>0</v>
      </c>
      <c r="E1318" s="8">
        <v>700</v>
      </c>
      <c r="F1318" s="8">
        <v>15000</v>
      </c>
      <c r="G1318" s="30">
        <f t="shared" si="1382"/>
        <v>2400</v>
      </c>
      <c r="H1318" s="8">
        <v>25000</v>
      </c>
      <c r="I1318" s="30">
        <f t="shared" si="1383"/>
        <v>5000</v>
      </c>
      <c r="J1318" s="8">
        <v>25000</v>
      </c>
      <c r="K1318" s="30">
        <f t="shared" si="1384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14.63</v>
      </c>
      <c r="O1318" s="9">
        <v>13.5</v>
      </c>
      <c r="P1318" s="9">
        <v>19.5</v>
      </c>
      <c r="Q1318" s="79">
        <f>VLOOKUP(VLOOKUP(DATEVALUE(TEXT(A1318,"m/d/yyyy")),FY24_Temp[],5,FALSE)&amp;TEXT(A1318,"-h"),Table6[],4,FALSE)</f>
        <v>2.0332857200077603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VLOOKUP(TEXT(A1318,"yy-mm")&amp;"-"&amp;IF(AND(WEEKDAY(A1318)&gt;1,WEEKDAY(A1318)&lt;7),"Wkd",TEXT(A1318,"Ddd"))&amp;"-"&amp;TEXT(A1318,"hh"),LoadTable[],5,FALSE)*0.92</f>
        <v>521.92427999999995</v>
      </c>
      <c r="U1318" s="104">
        <f>VLOOKUP(TEXT(A1318,"yy-mm")&amp;"-"&amp;IF(AND(WEEKDAY(A1318)&gt;1,WEEKDAY(A1318)&lt;7),"Wkd",TEXT(A1318,"Ddd"))&amp;"-"&amp;TEXT(A1318,"hh"),LoadTable[],6,FALSE)*T1318</f>
        <v>75540.188741520004</v>
      </c>
      <c r="V1318">
        <f t="shared" ref="V1318:W1318" si="1395">V1294</f>
        <v>3</v>
      </c>
      <c r="W1318">
        <f t="shared" si="1395"/>
        <v>3</v>
      </c>
      <c r="X1318" s="9">
        <v>-41.741275116666401</v>
      </c>
    </row>
    <row r="1319" spans="1:24">
      <c r="A1319" s="29">
        <f t="shared" si="1357"/>
        <v>45890.833333330142</v>
      </c>
      <c r="B1319" s="30">
        <f t="shared" si="1381"/>
        <v>5000</v>
      </c>
      <c r="C1319" s="8">
        <v>25000</v>
      </c>
      <c r="D1319" s="8">
        <v>0</v>
      </c>
      <c r="E1319" s="8">
        <v>700</v>
      </c>
      <c r="F1319" s="8">
        <v>15000</v>
      </c>
      <c r="G1319" s="30">
        <f t="shared" si="1382"/>
        <v>2400</v>
      </c>
      <c r="H1319" s="8">
        <v>25000</v>
      </c>
      <c r="I1319" s="30">
        <f t="shared" si="1383"/>
        <v>5000</v>
      </c>
      <c r="J1319" s="8">
        <v>25000</v>
      </c>
      <c r="K1319" s="30">
        <f t="shared" si="1384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14.63</v>
      </c>
      <c r="O1319" s="9">
        <v>13.5</v>
      </c>
      <c r="P1319" s="9">
        <v>19.5</v>
      </c>
      <c r="Q1319" s="79">
        <f>VLOOKUP(VLOOKUP(DATEVALUE(TEXT(A1319,"m/d/yyyy")),FY24_Temp[],5,FALSE)&amp;TEXT(A1319,"-h"),Table6[],4,FALSE)</f>
        <v>2.8272856644221713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VLOOKUP(TEXT(A1319,"yy-mm")&amp;"-"&amp;IF(AND(WEEKDAY(A1319)&gt;1,WEEKDAY(A1319)&lt;7),"Wkd",TEXT(A1319,"Ddd"))&amp;"-"&amp;TEXT(A1319,"hh"),LoadTable[],5,FALSE)*0.92</f>
        <v>521.92427999999995</v>
      </c>
      <c r="U1319" s="104">
        <f>VLOOKUP(TEXT(A1319,"yy-mm")&amp;"-"&amp;IF(AND(WEEKDAY(A1319)&gt;1,WEEKDAY(A1319)&lt;7),"Wkd",TEXT(A1319,"Ddd"))&amp;"-"&amp;TEXT(A1319,"hh"),LoadTable[],6,FALSE)*T1319</f>
        <v>69176.365995479995</v>
      </c>
      <c r="V1319">
        <f t="shared" ref="V1319:W1319" si="1396">V1295</f>
        <v>2.8</v>
      </c>
      <c r="W1319">
        <f t="shared" si="1396"/>
        <v>3.1</v>
      </c>
      <c r="X1319" s="9">
        <v>-41.819069666666401</v>
      </c>
    </row>
    <row r="1320" spans="1:24">
      <c r="A1320" s="29">
        <f t="shared" si="1357"/>
        <v>45890.874999996806</v>
      </c>
      <c r="B1320" s="30">
        <f t="shared" si="1381"/>
        <v>5000</v>
      </c>
      <c r="C1320" s="8">
        <v>25000</v>
      </c>
      <c r="D1320" s="8">
        <v>0</v>
      </c>
      <c r="E1320" s="8">
        <v>700</v>
      </c>
      <c r="F1320" s="8">
        <v>15000</v>
      </c>
      <c r="G1320" s="30">
        <f t="shared" si="1382"/>
        <v>2400</v>
      </c>
      <c r="H1320" s="8">
        <v>25000</v>
      </c>
      <c r="I1320" s="30">
        <f t="shared" si="1383"/>
        <v>5000</v>
      </c>
      <c r="J1320" s="8">
        <v>25000</v>
      </c>
      <c r="K1320" s="30">
        <f t="shared" si="1384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14.63</v>
      </c>
      <c r="O1320" s="9">
        <v>13.5</v>
      </c>
      <c r="P1320" s="9">
        <v>19.5</v>
      </c>
      <c r="Q1320" s="79">
        <f>VLOOKUP(VLOOKUP(DATEVALUE(TEXT(A1320,"m/d/yyyy")),FY24_Temp[],5,FALSE)&amp;TEXT(A1320,"-h"),Table6[],4,FALSE)</f>
        <v>3.0739999839237759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VLOOKUP(TEXT(A1320,"yy-mm")&amp;"-"&amp;IF(AND(WEEKDAY(A1320)&gt;1,WEEKDAY(A1320)&lt;7),"Wkd",TEXT(A1320,"Ddd"))&amp;"-"&amp;TEXT(A1320,"hh"),LoadTable[],5,FALSE)*0.92</f>
        <v>521.92427999999995</v>
      </c>
      <c r="U1320" s="104">
        <f>VLOOKUP(TEXT(A1320,"yy-mm")&amp;"-"&amp;IF(AND(WEEKDAY(A1320)&gt;1,WEEKDAY(A1320)&lt;7),"Wkd",TEXT(A1320,"Ddd"))&amp;"-"&amp;TEXT(A1320,"hh"),LoadTable[],6,FALSE)*T1320</f>
        <v>56417.405046599997</v>
      </c>
      <c r="V1320">
        <f t="shared" ref="V1320:W1320" si="1397">V1296</f>
        <v>3.5</v>
      </c>
      <c r="W1320">
        <f t="shared" si="1397"/>
        <v>3.1</v>
      </c>
      <c r="X1320" s="9">
        <v>-41.896864216666401</v>
      </c>
    </row>
    <row r="1321" spans="1:24">
      <c r="A1321" s="29">
        <f t="shared" si="1357"/>
        <v>45890.91666666347</v>
      </c>
      <c r="B1321" s="30">
        <f t="shared" si="1381"/>
        <v>5000</v>
      </c>
      <c r="C1321" s="8">
        <v>25000</v>
      </c>
      <c r="D1321" s="8">
        <v>0</v>
      </c>
      <c r="E1321" s="8">
        <v>700</v>
      </c>
      <c r="F1321" s="8">
        <v>15000</v>
      </c>
      <c r="G1321" s="30">
        <f t="shared" si="1382"/>
        <v>2400</v>
      </c>
      <c r="H1321" s="8">
        <v>25000</v>
      </c>
      <c r="I1321" s="30">
        <f t="shared" si="1383"/>
        <v>5000</v>
      </c>
      <c r="J1321" s="8">
        <v>25000</v>
      </c>
      <c r="K1321" s="30">
        <f t="shared" si="1384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14.63</v>
      </c>
      <c r="O1321" s="9">
        <v>13.5</v>
      </c>
      <c r="P1321" s="9">
        <v>19.5</v>
      </c>
      <c r="Q1321" s="79">
        <f>VLOOKUP(VLOOKUP(DATEVALUE(TEXT(A1321,"m/d/yyyy")),FY24_Temp[],5,FALSE)&amp;TEXT(A1321,"-h"),Table6[],4,FALSE)</f>
        <v>3.0308571543012346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VLOOKUP(TEXT(A1321,"yy-mm")&amp;"-"&amp;IF(AND(WEEKDAY(A1321)&gt;1,WEEKDAY(A1321)&lt;7),"Wkd",TEXT(A1321,"Ddd"))&amp;"-"&amp;TEXT(A1321,"hh"),LoadTable[],5,FALSE)*0.92</f>
        <v>447.02432000000005</v>
      </c>
      <c r="U1321" s="104">
        <f>VLOOKUP(TEXT(A1321,"yy-mm")&amp;"-"&amp;IF(AND(WEEKDAY(A1321)&gt;1,WEEKDAY(A1321)&lt;7),"Wkd",TEXT(A1321,"Ddd"))&amp;"-"&amp;TEXT(A1321,"hh"),LoadTable[],6,FALSE)*T1321</f>
        <v>29850.49599232</v>
      </c>
      <c r="V1321">
        <f t="shared" ref="V1321:W1321" si="1398">V1297</f>
        <v>2.9</v>
      </c>
      <c r="W1321">
        <f t="shared" si="1398"/>
        <v>3.1</v>
      </c>
      <c r="X1321" s="9">
        <v>-41.974658766666401</v>
      </c>
    </row>
    <row r="1322" spans="1:24">
      <c r="A1322" s="29">
        <f t="shared" si="1357"/>
        <v>45890.958333330134</v>
      </c>
      <c r="B1322" s="30">
        <f t="shared" si="1381"/>
        <v>5000</v>
      </c>
      <c r="C1322" s="41">
        <v>25000</v>
      </c>
      <c r="D1322" s="41">
        <v>0</v>
      </c>
      <c r="E1322" s="41">
        <v>700</v>
      </c>
      <c r="F1322" s="41">
        <v>15000</v>
      </c>
      <c r="G1322" s="30">
        <f t="shared" si="1382"/>
        <v>2400</v>
      </c>
      <c r="H1322" s="41">
        <v>25000</v>
      </c>
      <c r="I1322" s="30">
        <f t="shared" si="1383"/>
        <v>5000</v>
      </c>
      <c r="J1322" s="41">
        <v>25000</v>
      </c>
      <c r="K1322" s="30">
        <f t="shared" si="1384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14.63</v>
      </c>
      <c r="O1322" s="84">
        <v>13.5</v>
      </c>
      <c r="P1322" s="84">
        <v>19.5</v>
      </c>
      <c r="Q1322" s="85">
        <f>VLOOKUP(VLOOKUP(DATEVALUE(TEXT(A1322,"m/d/yyyy")),FY24_Temp[],5,FALSE)&amp;TEXT(A1322,"-h"),Table6[],4,FALSE)</f>
        <v>2.9022857121058871</v>
      </c>
      <c r="R1322">
        <v>10</v>
      </c>
      <c r="S1322">
        <v>1000</v>
      </c>
      <c r="T1322" s="98">
        <f>VLOOKUP(TEXT(A1322,"yy-mm")&amp;"-"&amp;IF(AND(WEEKDAY(A1322)&gt;1,WEEKDAY(A1322)&lt;7),"Wkd",TEXT(A1322,"Ddd"))&amp;"-"&amp;TEXT(A1322,"hh"),LoadTable[],5,FALSE)*0.92</f>
        <v>372.12436000000002</v>
      </c>
      <c r="U1322" s="104">
        <f>VLOOKUP(TEXT(A1322,"yy-mm")&amp;"-"&amp;IF(AND(WEEKDAY(A1322)&gt;1,WEEKDAY(A1322)&lt;7),"Wkd",TEXT(A1322,"Ddd"))&amp;"-"&amp;TEXT(A1322,"hh"),LoadTable[],6,FALSE)*T1322</f>
        <v>22421.236938720001</v>
      </c>
      <c r="V1322">
        <f t="shared" ref="V1322:W1322" si="1399">V1298</f>
        <v>3.6</v>
      </c>
      <c r="W1322">
        <f t="shared" si="1399"/>
        <v>3.1</v>
      </c>
      <c r="X1322" s="84">
        <v>-42.052453316666401</v>
      </c>
    </row>
    <row r="1323" spans="1:24">
      <c r="A1323" s="29">
        <f t="shared" si="1357"/>
        <v>45890.999999996799</v>
      </c>
      <c r="B1323" s="30">
        <f t="shared" si="1381"/>
        <v>5000</v>
      </c>
      <c r="C1323" s="8">
        <v>25000</v>
      </c>
      <c r="D1323" s="8">
        <v>0</v>
      </c>
      <c r="E1323" s="8">
        <v>700</v>
      </c>
      <c r="F1323" s="8">
        <v>15000</v>
      </c>
      <c r="G1323" s="30">
        <f t="shared" si="1382"/>
        <v>2400</v>
      </c>
      <c r="H1323" s="8">
        <v>25000</v>
      </c>
      <c r="I1323" s="30">
        <f t="shared" si="1383"/>
        <v>5000</v>
      </c>
      <c r="J1323" s="8">
        <v>25000</v>
      </c>
      <c r="K1323" s="30">
        <f t="shared" si="1384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14.63</v>
      </c>
      <c r="O1323" s="9">
        <v>13.5</v>
      </c>
      <c r="P1323" s="9">
        <v>19.5</v>
      </c>
      <c r="Q1323" s="79">
        <f>VLOOKUP(VLOOKUP(DATEVALUE(TEXT(A1323,"m/d/yyyy")),FY24_Temp[],5,FALSE)&amp;TEXT(A1323,"-h"),Table6[],4,FALSE)</f>
        <v>2.774571418762207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VLOOKUP(TEXT(A1323,"yy-mm")&amp;"-"&amp;IF(AND(WEEKDAY(A1323)&gt;1,WEEKDAY(A1323)&lt;7),"Wkd",TEXT(A1323,"Ddd"))&amp;"-"&amp;TEXT(A1323,"hh"),LoadTable[],5,FALSE)*0.92</f>
        <v>297.2244</v>
      </c>
      <c r="U1323" s="104">
        <f>VLOOKUP(TEXT(A1323,"yy-mm")&amp;"-"&amp;IF(AND(WEEKDAY(A1323)&gt;1,WEEKDAY(A1323)&lt;7),"Wkd",TEXT(A1323,"Ddd"))&amp;"-"&amp;TEXT(A1323,"hh"),LoadTable[],6,FALSE)*T1323</f>
        <v>17505.031038000001</v>
      </c>
      <c r="V1323">
        <f t="shared" ref="V1323:W1323" si="1400">V1299</f>
        <v>3</v>
      </c>
      <c r="W1323">
        <f t="shared" si="1400"/>
        <v>3.2</v>
      </c>
      <c r="X1323" s="9">
        <v>-42.130247866666402</v>
      </c>
    </row>
    <row r="1324" spans="1:24">
      <c r="A1324" s="29">
        <f t="shared" si="1357"/>
        <v>45891.041666663463</v>
      </c>
      <c r="B1324" s="30">
        <f t="shared" si="1381"/>
        <v>5000</v>
      </c>
      <c r="C1324" s="42">
        <v>25000</v>
      </c>
      <c r="D1324" s="42">
        <v>0</v>
      </c>
      <c r="E1324" s="42">
        <v>700</v>
      </c>
      <c r="F1324" s="42">
        <v>15000</v>
      </c>
      <c r="G1324" s="30">
        <f t="shared" si="1382"/>
        <v>2400</v>
      </c>
      <c r="H1324" s="42">
        <v>25000</v>
      </c>
      <c r="I1324" s="30">
        <f t="shared" si="1383"/>
        <v>5000</v>
      </c>
      <c r="J1324" s="42">
        <v>25000</v>
      </c>
      <c r="K1324" s="30">
        <f t="shared" si="1384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14.63</v>
      </c>
      <c r="O1324" s="86">
        <v>13.5</v>
      </c>
      <c r="P1324" s="86">
        <v>19.5</v>
      </c>
      <c r="Q1324" s="87">
        <f>VLOOKUP(VLOOKUP(DATEVALUE(TEXT(A1324,"m/d/yyyy")),FY24_Temp[],5,FALSE)&amp;TEXT(A1324,"-h"),Table6[],4,FALSE)</f>
        <v>2.6695714337485179</v>
      </c>
      <c r="R1324">
        <v>10</v>
      </c>
      <c r="S1324">
        <v>1000</v>
      </c>
      <c r="T1324" s="99">
        <f>VLOOKUP(TEXT(A1324,"yy-mm")&amp;"-"&amp;IF(AND(WEEKDAY(A1324)&gt;1,WEEKDAY(A1324)&lt;7),"Wkd",TEXT(A1324,"Ddd"))&amp;"-"&amp;TEXT(A1324,"hh"),LoadTable[],5,FALSE)*0.92</f>
        <v>295.12680000000006</v>
      </c>
      <c r="U1324" s="104">
        <f>VLOOKUP(TEXT(A1324,"yy-mm")&amp;"-"&amp;IF(AND(WEEKDAY(A1324)&gt;1,WEEKDAY(A1324)&lt;7),"Wkd",TEXT(A1324,"Ddd"))&amp;"-"&amp;TEXT(A1324,"hh"),LoadTable[],6,FALSE)*T1324</f>
        <v>17131.225359600001</v>
      </c>
      <c r="V1324">
        <f t="shared" ref="V1324:W1324" si="1401">V1300</f>
        <v>2.6</v>
      </c>
      <c r="W1324">
        <f t="shared" si="1401"/>
        <v>3.2</v>
      </c>
      <c r="X1324" s="86">
        <v>-42.208042416666302</v>
      </c>
    </row>
    <row r="1325" spans="1:24">
      <c r="A1325" s="29">
        <f t="shared" si="1357"/>
        <v>45891.083333330127</v>
      </c>
      <c r="B1325" s="30">
        <f t="shared" si="1381"/>
        <v>5000</v>
      </c>
      <c r="C1325" s="8">
        <v>25000</v>
      </c>
      <c r="D1325" s="8">
        <v>0</v>
      </c>
      <c r="E1325" s="8">
        <v>700</v>
      </c>
      <c r="F1325" s="8">
        <v>15000</v>
      </c>
      <c r="G1325" s="30">
        <f t="shared" si="1382"/>
        <v>2400</v>
      </c>
      <c r="H1325" s="8">
        <v>25000</v>
      </c>
      <c r="I1325" s="30">
        <f t="shared" si="1383"/>
        <v>5000</v>
      </c>
      <c r="J1325" s="8">
        <v>25000</v>
      </c>
      <c r="K1325" s="30">
        <f t="shared" si="1384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14.63</v>
      </c>
      <c r="O1325" s="9">
        <v>13.5</v>
      </c>
      <c r="P1325" s="9">
        <v>19.5</v>
      </c>
      <c r="Q1325" s="79">
        <f>VLOOKUP(VLOOKUP(DATEVALUE(TEXT(A1325,"m/d/yyyy")),FY24_Temp[],5,FALSE)&amp;TEXT(A1325,"-h"),Table6[],4,FALSE)</f>
        <v>2.576000009264265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VLOOKUP(TEXT(A1325,"yy-mm")&amp;"-"&amp;IF(AND(WEEKDAY(A1325)&gt;1,WEEKDAY(A1325)&lt;7),"Wkd",TEXT(A1325,"Ddd"))&amp;"-"&amp;TEXT(A1325,"hh"),LoadTable[],5,FALSE)*0.92</f>
        <v>295.12680000000006</v>
      </c>
      <c r="U1325" s="104">
        <f>VLOOKUP(TEXT(A1325,"yy-mm")&amp;"-"&amp;IF(AND(WEEKDAY(A1325)&gt;1,WEEKDAY(A1325)&lt;7),"Wkd",TEXT(A1325,"Ddd"))&amp;"-"&amp;TEXT(A1325,"hh"),LoadTable[],6,FALSE)*T1325</f>
        <v>16459.811889600001</v>
      </c>
      <c r="V1325">
        <f t="shared" ref="V1325:W1325" si="1402">V1301</f>
        <v>2.8</v>
      </c>
      <c r="W1325">
        <f t="shared" si="1402"/>
        <v>3.2</v>
      </c>
      <c r="X1325" s="9">
        <v>-42.285836966666302</v>
      </c>
    </row>
    <row r="1326" spans="1:24">
      <c r="A1326" s="29">
        <f t="shared" si="1357"/>
        <v>45891.124999996791</v>
      </c>
      <c r="B1326" s="30">
        <f t="shared" si="1381"/>
        <v>5000</v>
      </c>
      <c r="C1326" s="8">
        <v>25000</v>
      </c>
      <c r="D1326" s="8">
        <v>0</v>
      </c>
      <c r="E1326" s="8">
        <v>700</v>
      </c>
      <c r="F1326" s="8">
        <v>15000</v>
      </c>
      <c r="G1326" s="30">
        <f t="shared" si="1382"/>
        <v>2400</v>
      </c>
      <c r="H1326" s="8">
        <v>25000</v>
      </c>
      <c r="I1326" s="30">
        <f t="shared" si="1383"/>
        <v>5000</v>
      </c>
      <c r="J1326" s="8">
        <v>25000</v>
      </c>
      <c r="K1326" s="30">
        <f t="shared" si="1384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14.63</v>
      </c>
      <c r="O1326" s="9">
        <v>13.5</v>
      </c>
      <c r="P1326" s="9">
        <v>19.5</v>
      </c>
      <c r="Q1326" s="79">
        <f>VLOOKUP(VLOOKUP(DATEVALUE(TEXT(A1326,"m/d/yyyy")),FY24_Temp[],5,FALSE)&amp;TEXT(A1326,"-h"),Table6[],4,FALSE)</f>
        <v>2.4292857306344167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VLOOKUP(TEXT(A1326,"yy-mm")&amp;"-"&amp;IF(AND(WEEKDAY(A1326)&gt;1,WEEKDAY(A1326)&lt;7),"Wkd",TEXT(A1326,"Ddd"))&amp;"-"&amp;TEXT(A1326,"hh"),LoadTable[],5,FALSE)*0.92</f>
        <v>295.12680000000006</v>
      </c>
      <c r="U1326" s="104">
        <f>VLOOKUP(TEXT(A1326,"yy-mm")&amp;"-"&amp;IF(AND(WEEKDAY(A1326)&gt;1,WEEKDAY(A1326)&lt;7),"Wkd",TEXT(A1326,"Ddd"))&amp;"-"&amp;TEXT(A1326,"hh"),LoadTable[],6,FALSE)*T1326</f>
        <v>16610.326557600001</v>
      </c>
      <c r="V1326">
        <f t="shared" ref="V1326:W1326" si="1403">V1302</f>
        <v>2.7</v>
      </c>
      <c r="W1326">
        <f t="shared" si="1403"/>
        <v>3.2</v>
      </c>
      <c r="X1326" s="9">
        <v>-42.363631516666302</v>
      </c>
    </row>
    <row r="1327" spans="1:24">
      <c r="A1327" s="29">
        <f t="shared" si="1357"/>
        <v>45891.166666663456</v>
      </c>
      <c r="B1327" s="30">
        <f t="shared" si="1381"/>
        <v>5000</v>
      </c>
      <c r="C1327" s="8">
        <v>25000</v>
      </c>
      <c r="D1327" s="8">
        <v>0</v>
      </c>
      <c r="E1327" s="8">
        <v>700</v>
      </c>
      <c r="F1327" s="8">
        <v>15000</v>
      </c>
      <c r="G1327" s="30">
        <f t="shared" si="1382"/>
        <v>2400</v>
      </c>
      <c r="H1327" s="8">
        <v>25000</v>
      </c>
      <c r="I1327" s="30">
        <f t="shared" si="1383"/>
        <v>5000</v>
      </c>
      <c r="J1327" s="8">
        <v>25000</v>
      </c>
      <c r="K1327" s="30">
        <f t="shared" si="1384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14.63</v>
      </c>
      <c r="O1327" s="9">
        <v>13.5</v>
      </c>
      <c r="P1327" s="9">
        <v>19.5</v>
      </c>
      <c r="Q1327" s="79">
        <f>VLOOKUP(VLOOKUP(DATEVALUE(TEXT(A1327,"m/d/yyyy")),FY24_Temp[],5,FALSE)&amp;TEXT(A1327,"-h"),Table6[],4,FALSE)</f>
        <v>2.264857155936105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VLOOKUP(TEXT(A1327,"yy-mm")&amp;"-"&amp;IF(AND(WEEKDAY(A1327)&gt;1,WEEKDAY(A1327)&lt;7),"Wkd",TEXT(A1327,"Ddd"))&amp;"-"&amp;TEXT(A1327,"hh"),LoadTable[],5,FALSE)*0.92</f>
        <v>295.12680000000006</v>
      </c>
      <c r="U1327" s="104">
        <f>VLOOKUP(TEXT(A1327,"yy-mm")&amp;"-"&amp;IF(AND(WEEKDAY(A1327)&gt;1,WEEKDAY(A1327)&lt;7),"Wkd",TEXT(A1327,"Ddd"))&amp;"-"&amp;TEXT(A1327,"hh"),LoadTable[],6,FALSE)*T1327</f>
        <v>16544.513281200001</v>
      </c>
      <c r="V1327">
        <f t="shared" ref="V1327:W1327" si="1404">V1303</f>
        <v>3</v>
      </c>
      <c r="W1327">
        <f t="shared" si="1404"/>
        <v>3.1</v>
      </c>
      <c r="X1327" s="9">
        <v>-42.441426066666303</v>
      </c>
    </row>
    <row r="1328" spans="1:24">
      <c r="A1328" s="29">
        <f t="shared" si="1357"/>
        <v>45891.20833333012</v>
      </c>
      <c r="B1328" s="30">
        <f t="shared" si="1381"/>
        <v>5000</v>
      </c>
      <c r="C1328" s="8">
        <v>25000</v>
      </c>
      <c r="D1328" s="8">
        <v>0</v>
      </c>
      <c r="E1328" s="8">
        <v>700</v>
      </c>
      <c r="F1328" s="8">
        <v>15000</v>
      </c>
      <c r="G1328" s="30">
        <f t="shared" si="1382"/>
        <v>2400</v>
      </c>
      <c r="H1328" s="8">
        <v>25000</v>
      </c>
      <c r="I1328" s="30">
        <f t="shared" si="1383"/>
        <v>5000</v>
      </c>
      <c r="J1328" s="8">
        <v>25000</v>
      </c>
      <c r="K1328" s="30">
        <f t="shared" si="1384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14.63</v>
      </c>
      <c r="O1328" s="9">
        <v>13.5</v>
      </c>
      <c r="P1328" s="9">
        <v>19.5</v>
      </c>
      <c r="Q1328" s="79">
        <f>VLOOKUP(VLOOKUP(DATEVALUE(TEXT(A1328,"m/d/yyyy")),FY24_Temp[],5,FALSE)&amp;TEXT(A1328,"-h"),Table6[],4,FALSE)</f>
        <v>2.1067142827170238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VLOOKUP(TEXT(A1328,"yy-mm")&amp;"-"&amp;IF(AND(WEEKDAY(A1328)&gt;1,WEEKDAY(A1328)&lt;7),"Wkd",TEXT(A1328,"Ddd"))&amp;"-"&amp;TEXT(A1328,"hh"),LoadTable[],5,FALSE)*0.92</f>
        <v>295.12680000000006</v>
      </c>
      <c r="U1328" s="104">
        <f>VLOOKUP(TEXT(A1328,"yy-mm")&amp;"-"&amp;IF(AND(WEEKDAY(A1328)&gt;1,WEEKDAY(A1328)&lt;7),"Wkd",TEXT(A1328,"Ddd"))&amp;"-"&amp;TEXT(A1328,"hh"),LoadTable[],6,FALSE)*T1328</f>
        <v>17128.569218400004</v>
      </c>
      <c r="V1328">
        <f t="shared" ref="V1328:W1328" si="1405">V1304</f>
        <v>2.9</v>
      </c>
      <c r="W1328">
        <f t="shared" si="1405"/>
        <v>3.1</v>
      </c>
      <c r="X1328" s="9">
        <v>-42.519220616666303</v>
      </c>
    </row>
    <row r="1329" spans="1:24">
      <c r="A1329" s="29">
        <f t="shared" si="1357"/>
        <v>45891.249999996784</v>
      </c>
      <c r="B1329" s="30">
        <f t="shared" si="1381"/>
        <v>8000</v>
      </c>
      <c r="C1329" s="8">
        <v>25000</v>
      </c>
      <c r="D1329" s="8">
        <v>0</v>
      </c>
      <c r="E1329" s="8">
        <v>700</v>
      </c>
      <c r="F1329" s="8">
        <v>15000</v>
      </c>
      <c r="G1329" s="30">
        <f t="shared" si="1382"/>
        <v>2400</v>
      </c>
      <c r="H1329" s="8">
        <v>25000</v>
      </c>
      <c r="I1329" s="30">
        <f t="shared" si="1383"/>
        <v>8000</v>
      </c>
      <c r="J1329" s="8">
        <v>25000</v>
      </c>
      <c r="K1329" s="30">
        <f t="shared" si="1384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14.63</v>
      </c>
      <c r="O1329" s="9">
        <v>13.5</v>
      </c>
      <c r="P1329" s="9">
        <v>19.5</v>
      </c>
      <c r="Q1329" s="79">
        <f>VLOOKUP(VLOOKUP(DATEVALUE(TEXT(A1329,"m/d/yyyy")),FY24_Temp[],5,FALSE)&amp;TEXT(A1329,"-h"),Table6[],4,FALSE)</f>
        <v>1.992142847606114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VLOOKUP(TEXT(A1329,"yy-mm")&amp;"-"&amp;IF(AND(WEEKDAY(A1329)&gt;1,WEEKDAY(A1329)&lt;7),"Wkd",TEXT(A1329,"Ddd"))&amp;"-"&amp;TEXT(A1329,"hh"),LoadTable[],5,FALSE)*0.92</f>
        <v>295.12680000000006</v>
      </c>
      <c r="U1329" s="104">
        <f>VLOOKUP(TEXT(A1329,"yy-mm")&amp;"-"&amp;IF(AND(WEEKDAY(A1329)&gt;1,WEEKDAY(A1329)&lt;7),"Wkd",TEXT(A1329,"Ddd"))&amp;"-"&amp;TEXT(A1329,"hh"),LoadTable[],6,FALSE)*T1329</f>
        <v>20766.892408800006</v>
      </c>
      <c r="V1329">
        <f t="shared" ref="V1329:W1329" si="1406">V1305</f>
        <v>2.5</v>
      </c>
      <c r="W1329">
        <f t="shared" si="1406"/>
        <v>3.1</v>
      </c>
      <c r="X1329" s="9">
        <v>-42.597015166666303</v>
      </c>
    </row>
    <row r="1330" spans="1:24">
      <c r="A1330" s="29">
        <f t="shared" si="1357"/>
        <v>45891.291666663448</v>
      </c>
      <c r="B1330" s="30">
        <f t="shared" si="1381"/>
        <v>8000</v>
      </c>
      <c r="C1330" s="8">
        <v>25000</v>
      </c>
      <c r="D1330" s="8">
        <v>0</v>
      </c>
      <c r="E1330" s="8">
        <v>700</v>
      </c>
      <c r="F1330" s="8">
        <v>15000</v>
      </c>
      <c r="G1330" s="30">
        <f t="shared" si="1382"/>
        <v>2400</v>
      </c>
      <c r="H1330" s="8">
        <v>25000</v>
      </c>
      <c r="I1330" s="30">
        <f t="shared" si="1383"/>
        <v>8000</v>
      </c>
      <c r="J1330" s="8">
        <v>25000</v>
      </c>
      <c r="K1330" s="30">
        <f t="shared" si="1384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14.63</v>
      </c>
      <c r="O1330" s="9">
        <v>13.5</v>
      </c>
      <c r="P1330" s="9">
        <v>19.5</v>
      </c>
      <c r="Q1330" s="79">
        <f>VLOOKUP(VLOOKUP(DATEVALUE(TEXT(A1330,"m/d/yyyy")),FY24_Temp[],5,FALSE)&amp;TEXT(A1330,"-h"),Table6[],4,FALSE)</f>
        <v>1.9098571368626185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VLOOKUP(TEXT(A1330,"yy-mm")&amp;"-"&amp;IF(AND(WEEKDAY(A1330)&gt;1,WEEKDAY(A1330)&lt;7),"Wkd",TEXT(A1330,"Ddd"))&amp;"-"&amp;TEXT(A1330,"hh"),LoadTable[],5,FALSE)*0.92</f>
        <v>295.12680000000006</v>
      </c>
      <c r="U1330" s="104">
        <f>VLOOKUP(TEXT(A1330,"yy-mm")&amp;"-"&amp;IF(AND(WEEKDAY(A1330)&gt;1,WEEKDAY(A1330)&lt;7),"Wkd",TEXT(A1330,"Ddd"))&amp;"-"&amp;TEXT(A1330,"hh"),LoadTable[],6,FALSE)*T1330</f>
        <v>19169.666167200001</v>
      </c>
      <c r="V1330">
        <f t="shared" ref="V1330:W1330" si="1407">V1306</f>
        <v>2.5</v>
      </c>
      <c r="W1330">
        <f t="shared" si="1407"/>
        <v>3.1</v>
      </c>
      <c r="X1330" s="9">
        <v>-42.674809716666303</v>
      </c>
    </row>
    <row r="1331" spans="1:24">
      <c r="A1331" s="29">
        <f t="shared" si="1357"/>
        <v>45891.333333330113</v>
      </c>
      <c r="B1331" s="30">
        <f t="shared" si="1381"/>
        <v>8000</v>
      </c>
      <c r="C1331" s="8">
        <v>25000</v>
      </c>
      <c r="D1331" s="8">
        <v>0</v>
      </c>
      <c r="E1331" s="8">
        <v>700</v>
      </c>
      <c r="F1331" s="8">
        <v>15000</v>
      </c>
      <c r="G1331" s="30">
        <f t="shared" si="1382"/>
        <v>2400</v>
      </c>
      <c r="H1331" s="8">
        <v>25000</v>
      </c>
      <c r="I1331" s="30">
        <f t="shared" si="1383"/>
        <v>8000</v>
      </c>
      <c r="J1331" s="8">
        <v>25000</v>
      </c>
      <c r="K1331" s="30">
        <f t="shared" si="1384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14.63</v>
      </c>
      <c r="O1331" s="9">
        <v>13.5</v>
      </c>
      <c r="P1331" s="9">
        <v>19.5</v>
      </c>
      <c r="Q1331" s="79">
        <f>VLOOKUP(VLOOKUP(DATEVALUE(TEXT(A1331,"m/d/yyyy")),FY24_Temp[],5,FALSE)&amp;TEXT(A1331,"-h"),Table6[],4,FALSE)</f>
        <v>1.8045714242117745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VLOOKUP(TEXT(A1331,"yy-mm")&amp;"-"&amp;IF(AND(WEEKDAY(A1331)&gt;1,WEEKDAY(A1331)&lt;7),"Wkd",TEXT(A1331,"Ddd"))&amp;"-"&amp;TEXT(A1331,"hh"),LoadTable[],5,FALSE)*0.92</f>
        <v>295.12680000000006</v>
      </c>
      <c r="U1331" s="104">
        <f>VLOOKUP(TEXT(A1331,"yy-mm")&amp;"-"&amp;IF(AND(WEEKDAY(A1331)&gt;1,WEEKDAY(A1331)&lt;7),"Wkd",TEXT(A1331,"Ddd"))&amp;"-"&amp;TEXT(A1331,"hh"),LoadTable[],6,FALSE)*T1331</f>
        <v>15860.999612400004</v>
      </c>
      <c r="V1331">
        <f t="shared" ref="V1331:W1331" si="1408">V1307</f>
        <v>3.2</v>
      </c>
      <c r="W1331">
        <f t="shared" si="1408"/>
        <v>3</v>
      </c>
      <c r="X1331" s="9">
        <v>-42.752604266666303</v>
      </c>
    </row>
    <row r="1332" spans="1:24">
      <c r="A1332" s="29">
        <f t="shared" si="1357"/>
        <v>45891.374999996777</v>
      </c>
      <c r="B1332" s="30">
        <f t="shared" si="1381"/>
        <v>8000</v>
      </c>
      <c r="C1332" s="8">
        <v>25000</v>
      </c>
      <c r="D1332" s="8">
        <v>0</v>
      </c>
      <c r="E1332" s="8">
        <v>700</v>
      </c>
      <c r="F1332" s="8">
        <v>15000</v>
      </c>
      <c r="G1332" s="30">
        <f t="shared" si="1382"/>
        <v>2400</v>
      </c>
      <c r="H1332" s="8">
        <v>25000</v>
      </c>
      <c r="I1332" s="30">
        <f t="shared" si="1383"/>
        <v>8000</v>
      </c>
      <c r="J1332" s="8">
        <v>25000</v>
      </c>
      <c r="K1332" s="30">
        <f t="shared" si="1384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14.63</v>
      </c>
      <c r="O1332" s="9">
        <v>13.5</v>
      </c>
      <c r="P1332" s="9">
        <v>19.5</v>
      </c>
      <c r="Q1332" s="79">
        <f>VLOOKUP(VLOOKUP(DATEVALUE(TEXT(A1332,"m/d/yyyy")),FY24_Temp[],5,FALSE)&amp;TEXT(A1332,"-h"),Table6[],4,FALSE)</f>
        <v>1.7064285789217268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VLOOKUP(TEXT(A1332,"yy-mm")&amp;"-"&amp;IF(AND(WEEKDAY(A1332)&gt;1,WEEKDAY(A1332)&lt;7),"Wkd",TEXT(A1332,"Ddd"))&amp;"-"&amp;TEXT(A1332,"hh"),LoadTable[],5,FALSE)*0.92</f>
        <v>295.12680000000006</v>
      </c>
      <c r="U1332" s="104">
        <f>VLOOKUP(TEXT(A1332,"yy-mm")&amp;"-"&amp;IF(AND(WEEKDAY(A1332)&gt;1,WEEKDAY(A1332)&lt;7),"Wkd",TEXT(A1332,"Ddd"))&amp;"-"&amp;TEXT(A1332,"hh"),LoadTable[],6,FALSE)*T1332</f>
        <v>15713.436212400004</v>
      </c>
      <c r="V1332">
        <f t="shared" ref="V1332:W1332" si="1409">V1308</f>
        <v>2.9</v>
      </c>
      <c r="W1332">
        <f t="shared" si="1409"/>
        <v>3</v>
      </c>
      <c r="X1332" s="9">
        <v>-42.830398816666303</v>
      </c>
    </row>
    <row r="1333" spans="1:24">
      <c r="A1333" s="29">
        <f t="shared" si="1357"/>
        <v>45891.416666663441</v>
      </c>
      <c r="B1333" s="30">
        <f t="shared" si="1381"/>
        <v>8000</v>
      </c>
      <c r="C1333" s="8">
        <v>25000</v>
      </c>
      <c r="D1333" s="8">
        <v>0</v>
      </c>
      <c r="E1333" s="8">
        <v>700</v>
      </c>
      <c r="F1333" s="8">
        <v>15000</v>
      </c>
      <c r="G1333" s="30">
        <f t="shared" si="1382"/>
        <v>2400</v>
      </c>
      <c r="H1333" s="8">
        <v>25000</v>
      </c>
      <c r="I1333" s="30">
        <f t="shared" si="1383"/>
        <v>8000</v>
      </c>
      <c r="J1333" s="8">
        <v>25000</v>
      </c>
      <c r="K1333" s="30">
        <f t="shared" si="1384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14.63</v>
      </c>
      <c r="O1333" s="9">
        <v>13.5</v>
      </c>
      <c r="P1333" s="9">
        <v>19.5</v>
      </c>
      <c r="Q1333" s="79">
        <f>VLOOKUP(VLOOKUP(DATEVALUE(TEXT(A1333,"m/d/yyyy")),FY24_Temp[],5,FALSE)&amp;TEXT(A1333,"-h"),Table6[],4,FALSE)</f>
        <v>1.6218571492603846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VLOOKUP(TEXT(A1333,"yy-mm")&amp;"-"&amp;IF(AND(WEEKDAY(A1333)&gt;1,WEEKDAY(A1333)&lt;7),"Wkd",TEXT(A1333,"Ddd"))&amp;"-"&amp;TEXT(A1333,"hh"),LoadTable[],5,FALSE)*0.92</f>
        <v>295.12680000000006</v>
      </c>
      <c r="U1333" s="104">
        <f>VLOOKUP(TEXT(A1333,"yy-mm")&amp;"-"&amp;IF(AND(WEEKDAY(A1333)&gt;1,WEEKDAY(A1333)&lt;7),"Wkd",TEXT(A1333,"Ddd"))&amp;"-"&amp;TEXT(A1333,"hh"),LoadTable[],6,FALSE)*T1333</f>
        <v>14369.723892000002</v>
      </c>
      <c r="V1333">
        <f t="shared" ref="V1333:W1333" si="1410">V1309</f>
        <v>2.9</v>
      </c>
      <c r="W1333">
        <f t="shared" si="1410"/>
        <v>3</v>
      </c>
      <c r="X1333" s="9">
        <v>-42.908193366666303</v>
      </c>
    </row>
    <row r="1334" spans="1:24">
      <c r="A1334" s="29">
        <f t="shared" si="1357"/>
        <v>45891.458333330105</v>
      </c>
      <c r="B1334" s="30">
        <f t="shared" si="1381"/>
        <v>8000</v>
      </c>
      <c r="C1334" s="8">
        <v>25000</v>
      </c>
      <c r="D1334" s="8">
        <v>0</v>
      </c>
      <c r="E1334" s="8">
        <v>700</v>
      </c>
      <c r="F1334" s="8">
        <v>15000</v>
      </c>
      <c r="G1334" s="30">
        <f t="shared" si="1382"/>
        <v>2400</v>
      </c>
      <c r="H1334" s="8">
        <v>25000</v>
      </c>
      <c r="I1334" s="30">
        <f t="shared" si="1383"/>
        <v>8000</v>
      </c>
      <c r="J1334" s="8">
        <v>25000</v>
      </c>
      <c r="K1334" s="30">
        <f t="shared" si="1384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14.63</v>
      </c>
      <c r="O1334" s="9">
        <v>13.5</v>
      </c>
      <c r="P1334" s="9">
        <v>19.5</v>
      </c>
      <c r="Q1334" s="79">
        <f>VLOOKUP(VLOOKUP(DATEVALUE(TEXT(A1334,"m/d/yyyy")),FY24_Temp[],5,FALSE)&amp;TEXT(A1334,"-h"),Table6[],4,FALSE)</f>
        <v>1.5159999813352312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VLOOKUP(TEXT(A1334,"yy-mm")&amp;"-"&amp;IF(AND(WEEKDAY(A1334)&gt;1,WEEKDAY(A1334)&lt;7),"Wkd",TEXT(A1334,"Ddd"))&amp;"-"&amp;TEXT(A1334,"hh"),LoadTable[],5,FALSE)*0.92</f>
        <v>295.12680000000006</v>
      </c>
      <c r="U1334" s="104">
        <f>VLOOKUP(TEXT(A1334,"yy-mm")&amp;"-"&amp;IF(AND(WEEKDAY(A1334)&gt;1,WEEKDAY(A1334)&lt;7),"Wkd",TEXT(A1334,"Ddd"))&amp;"-"&amp;TEXT(A1334,"hh"),LoadTable[],6,FALSE)*T1334</f>
        <v>14137.459100400003</v>
      </c>
      <c r="V1334">
        <f t="shared" ref="V1334:W1334" si="1411">V1310</f>
        <v>3.4</v>
      </c>
      <c r="W1334">
        <f t="shared" si="1411"/>
        <v>3</v>
      </c>
      <c r="X1334" s="9">
        <v>-42.985987916666303</v>
      </c>
    </row>
    <row r="1335" spans="1:24">
      <c r="A1335" s="29">
        <f t="shared" si="1357"/>
        <v>45891.499999996769</v>
      </c>
      <c r="B1335" s="30">
        <f t="shared" si="1381"/>
        <v>8000</v>
      </c>
      <c r="C1335" s="8">
        <v>25000</v>
      </c>
      <c r="D1335" s="8">
        <v>0</v>
      </c>
      <c r="E1335" s="8">
        <v>700</v>
      </c>
      <c r="F1335" s="8">
        <v>15000</v>
      </c>
      <c r="G1335" s="30">
        <f t="shared" si="1382"/>
        <v>2400</v>
      </c>
      <c r="H1335" s="8">
        <v>25000</v>
      </c>
      <c r="I1335" s="30">
        <f t="shared" si="1383"/>
        <v>8000</v>
      </c>
      <c r="J1335" s="8">
        <v>25000</v>
      </c>
      <c r="K1335" s="30">
        <f t="shared" si="1384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14.63</v>
      </c>
      <c r="O1335" s="9">
        <v>13.5</v>
      </c>
      <c r="P1335" s="9">
        <v>19.5</v>
      </c>
      <c r="Q1335" s="79">
        <f>VLOOKUP(VLOOKUP(DATEVALUE(TEXT(A1335,"m/d/yyyy")),FY24_Temp[],5,FALSE)&amp;TEXT(A1335,"-h"),Table6[],4,FALSE)</f>
        <v>1.3808571270533971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VLOOKUP(TEXT(A1335,"yy-mm")&amp;"-"&amp;IF(AND(WEEKDAY(A1335)&gt;1,WEEKDAY(A1335)&lt;7),"Wkd",TEXT(A1335,"Ddd"))&amp;"-"&amp;TEXT(A1335,"hh"),LoadTable[],5,FALSE)*0.92</f>
        <v>295.12680000000006</v>
      </c>
      <c r="U1335" s="104">
        <f>VLOOKUP(TEXT(A1335,"yy-mm")&amp;"-"&amp;IF(AND(WEEKDAY(A1335)&gt;1,WEEKDAY(A1335)&lt;7),"Wkd",TEXT(A1335,"Ddd"))&amp;"-"&amp;TEXT(A1335,"hh"),LoadTable[],6,FALSE)*T1335</f>
        <v>14242.819368000002</v>
      </c>
      <c r="V1335">
        <f t="shared" ref="V1335:W1335" si="1412">V1311</f>
        <v>3.1</v>
      </c>
      <c r="W1335">
        <f t="shared" si="1412"/>
        <v>2.9</v>
      </c>
      <c r="X1335" s="9">
        <v>-43.063782466666297</v>
      </c>
    </row>
    <row r="1336" spans="1:24">
      <c r="A1336" s="29">
        <f t="shared" si="1357"/>
        <v>45891.541666663434</v>
      </c>
      <c r="B1336" s="30">
        <f t="shared" si="1381"/>
        <v>8000</v>
      </c>
      <c r="C1336" s="8">
        <v>25000</v>
      </c>
      <c r="D1336" s="8">
        <v>0</v>
      </c>
      <c r="E1336" s="8">
        <v>700</v>
      </c>
      <c r="F1336" s="8">
        <v>15000</v>
      </c>
      <c r="G1336" s="30">
        <f t="shared" si="1382"/>
        <v>2400</v>
      </c>
      <c r="H1336" s="8">
        <v>25000</v>
      </c>
      <c r="I1336" s="30">
        <f t="shared" si="1383"/>
        <v>8000</v>
      </c>
      <c r="J1336" s="8">
        <v>25000</v>
      </c>
      <c r="K1336" s="30">
        <f t="shared" si="1384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14.63</v>
      </c>
      <c r="O1336" s="9">
        <v>13.5</v>
      </c>
      <c r="P1336" s="9">
        <v>19.5</v>
      </c>
      <c r="Q1336" s="79">
        <f>VLOOKUP(VLOOKUP(DATEVALUE(TEXT(A1336,"m/d/yyyy")),FY24_Temp[],5,FALSE)&amp;TEXT(A1336,"-h"),Table6[],4,FALSE)</f>
        <v>1.2139999866485596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VLOOKUP(TEXT(A1336,"yy-mm")&amp;"-"&amp;IF(AND(WEEKDAY(A1336)&gt;1,WEEKDAY(A1336)&lt;7),"Wkd",TEXT(A1336,"Ddd"))&amp;"-"&amp;TEXT(A1336,"hh"),LoadTable[],5,FALSE)*0.92</f>
        <v>295.12680000000006</v>
      </c>
      <c r="U1336" s="104">
        <f>VLOOKUP(TEXT(A1336,"yy-mm")&amp;"-"&amp;IF(AND(WEEKDAY(A1336)&gt;1,WEEKDAY(A1336)&lt;7),"Wkd",TEXT(A1336,"Ddd"))&amp;"-"&amp;TEXT(A1336,"hh"),LoadTable[],6,FALSE)*T1336</f>
        <v>16280.669922000003</v>
      </c>
      <c r="V1336">
        <f t="shared" ref="V1336:W1336" si="1413">V1312</f>
        <v>3.2</v>
      </c>
      <c r="W1336">
        <f t="shared" si="1413"/>
        <v>2.9</v>
      </c>
      <c r="X1336" s="9">
        <v>-43.141577016666297</v>
      </c>
    </row>
    <row r="1337" spans="1:24">
      <c r="A1337" s="29">
        <f t="shared" si="1357"/>
        <v>45891.583333330098</v>
      </c>
      <c r="B1337" s="30">
        <f t="shared" si="1381"/>
        <v>8000</v>
      </c>
      <c r="C1337" s="8">
        <v>25000</v>
      </c>
      <c r="D1337" s="8">
        <v>0</v>
      </c>
      <c r="E1337" s="8">
        <v>700</v>
      </c>
      <c r="F1337" s="8">
        <v>15000</v>
      </c>
      <c r="G1337" s="30">
        <f t="shared" si="1382"/>
        <v>2400</v>
      </c>
      <c r="H1337" s="8">
        <v>25000</v>
      </c>
      <c r="I1337" s="30">
        <f t="shared" si="1383"/>
        <v>8000</v>
      </c>
      <c r="J1337" s="8">
        <v>25000</v>
      </c>
      <c r="K1337" s="30">
        <f t="shared" si="1384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14.63</v>
      </c>
      <c r="O1337" s="9">
        <v>13.5</v>
      </c>
      <c r="P1337" s="9">
        <v>19.5</v>
      </c>
      <c r="Q1337" s="79">
        <f>VLOOKUP(VLOOKUP(DATEVALUE(TEXT(A1337,"m/d/yyyy")),FY24_Temp[],5,FALSE)&amp;TEXT(A1337,"-h"),Table6[],4,FALSE)</f>
        <v>1.0331428476742335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VLOOKUP(TEXT(A1337,"yy-mm")&amp;"-"&amp;IF(AND(WEEKDAY(A1337)&gt;1,WEEKDAY(A1337)&lt;7),"Wkd",TEXT(A1337,"Ddd"))&amp;"-"&amp;TEXT(A1337,"hh"),LoadTable[],5,FALSE)*0.92</f>
        <v>402.08416</v>
      </c>
      <c r="U1337" s="104">
        <f>VLOOKUP(TEXT(A1337,"yy-mm")&amp;"-"&amp;IF(AND(WEEKDAY(A1337)&gt;1,WEEKDAY(A1337)&lt;7),"Wkd",TEXT(A1337,"Ddd"))&amp;"-"&amp;TEXT(A1337,"hh"),LoadTable[],6,FALSE)*T1337</f>
        <v>27023.674309440001</v>
      </c>
      <c r="V1337">
        <f t="shared" ref="V1337:W1337" si="1414">V1313</f>
        <v>3.5</v>
      </c>
      <c r="W1337">
        <f t="shared" si="1414"/>
        <v>2.9</v>
      </c>
      <c r="X1337" s="9">
        <v>-43.219371566666297</v>
      </c>
    </row>
    <row r="1338" spans="1:24">
      <c r="A1338" s="29">
        <f t="shared" si="1357"/>
        <v>45891.624999996762</v>
      </c>
      <c r="B1338" s="30">
        <f t="shared" si="1381"/>
        <v>8000</v>
      </c>
      <c r="C1338" s="8">
        <v>25000</v>
      </c>
      <c r="D1338" s="8">
        <v>0</v>
      </c>
      <c r="E1338" s="8">
        <v>700</v>
      </c>
      <c r="F1338" s="8">
        <v>15000</v>
      </c>
      <c r="G1338" s="30">
        <f t="shared" si="1382"/>
        <v>2400</v>
      </c>
      <c r="H1338" s="8">
        <v>25000</v>
      </c>
      <c r="I1338" s="30">
        <f t="shared" si="1383"/>
        <v>8000</v>
      </c>
      <c r="J1338" s="8">
        <v>25000</v>
      </c>
      <c r="K1338" s="30">
        <f t="shared" si="1384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14.63</v>
      </c>
      <c r="O1338" s="9">
        <v>13.5</v>
      </c>
      <c r="P1338" s="9">
        <v>19.5</v>
      </c>
      <c r="Q1338" s="79">
        <f>VLOOKUP(VLOOKUP(DATEVALUE(TEXT(A1338,"m/d/yyyy")),FY24_Temp[],5,FALSE)&amp;TEXT(A1338,"-h"),Table6[],4,FALSE)</f>
        <v>0.8692857112203326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VLOOKUP(TEXT(A1338,"yy-mm")&amp;"-"&amp;IF(AND(WEEKDAY(A1338)&gt;1,WEEKDAY(A1338)&lt;7),"Wkd",TEXT(A1338,"Ddd"))&amp;"-"&amp;TEXT(A1338,"hh"),LoadTable[],5,FALSE)*0.92</f>
        <v>521.92427999999995</v>
      </c>
      <c r="U1338" s="104">
        <f>VLOOKUP(TEXT(A1338,"yy-mm")&amp;"-"&amp;IF(AND(WEEKDAY(A1338)&gt;1,WEEKDAY(A1338)&lt;7),"Wkd",TEXT(A1338,"Ddd"))&amp;"-"&amp;TEXT(A1338,"hh"),LoadTable[],6,FALSE)*T1338</f>
        <v>38276.36092236</v>
      </c>
      <c r="V1338">
        <f t="shared" ref="V1338:W1338" si="1415">V1314</f>
        <v>3.2</v>
      </c>
      <c r="W1338">
        <f t="shared" si="1415"/>
        <v>2.9</v>
      </c>
      <c r="X1338" s="9">
        <v>-43.297166116666297</v>
      </c>
    </row>
    <row r="1339" spans="1:24">
      <c r="A1339" s="29">
        <f t="shared" si="1357"/>
        <v>45891.666666663426</v>
      </c>
      <c r="B1339" s="30">
        <f t="shared" si="1381"/>
        <v>8000</v>
      </c>
      <c r="C1339" s="8">
        <v>25000</v>
      </c>
      <c r="D1339" s="8">
        <v>0</v>
      </c>
      <c r="E1339" s="8">
        <v>700</v>
      </c>
      <c r="F1339" s="8">
        <v>15000</v>
      </c>
      <c r="G1339" s="30">
        <f t="shared" si="1382"/>
        <v>2400</v>
      </c>
      <c r="H1339" s="8">
        <v>25000</v>
      </c>
      <c r="I1339" s="30">
        <f t="shared" si="1383"/>
        <v>8000</v>
      </c>
      <c r="J1339" s="8">
        <v>25000</v>
      </c>
      <c r="K1339" s="30">
        <f t="shared" si="1384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14.63</v>
      </c>
      <c r="O1339" s="9">
        <v>13.5</v>
      </c>
      <c r="P1339" s="9">
        <v>19.5</v>
      </c>
      <c r="Q1339" s="79">
        <f>VLOOKUP(VLOOKUP(DATEVALUE(TEXT(A1339,"m/d/yyyy")),FY24_Temp[],5,FALSE)&amp;TEXT(A1339,"-h"),Table6[],4,FALSE)</f>
        <v>0.78099999257496422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VLOOKUP(TEXT(A1339,"yy-mm")&amp;"-"&amp;IF(AND(WEEKDAY(A1339)&gt;1,WEEKDAY(A1339)&lt;7),"Wkd",TEXT(A1339,"Ddd"))&amp;"-"&amp;TEXT(A1339,"hh"),LoadTable[],5,FALSE)*0.92</f>
        <v>521.92427999999995</v>
      </c>
      <c r="U1339" s="104">
        <f>VLOOKUP(TEXT(A1339,"yy-mm")&amp;"-"&amp;IF(AND(WEEKDAY(A1339)&gt;1,WEEKDAY(A1339)&lt;7),"Wkd",TEXT(A1339,"Ddd"))&amp;"-"&amp;TEXT(A1339,"hh"),LoadTable[],6,FALSE)*T1339</f>
        <v>45879.753833399998</v>
      </c>
      <c r="V1339">
        <f t="shared" ref="V1339:W1339" si="1416">V1315</f>
        <v>3.5</v>
      </c>
      <c r="W1339">
        <f t="shared" si="1416"/>
        <v>3</v>
      </c>
      <c r="X1339" s="9">
        <v>-43.374960666666297</v>
      </c>
    </row>
    <row r="1340" spans="1:24">
      <c r="A1340" s="29">
        <f t="shared" si="1357"/>
        <v>45891.708333330091</v>
      </c>
      <c r="B1340" s="30">
        <f t="shared" si="1381"/>
        <v>8000</v>
      </c>
      <c r="C1340" s="8">
        <v>25000</v>
      </c>
      <c r="D1340" s="8">
        <v>0</v>
      </c>
      <c r="E1340" s="8">
        <v>700</v>
      </c>
      <c r="F1340" s="8">
        <v>15000</v>
      </c>
      <c r="G1340" s="30">
        <f t="shared" si="1382"/>
        <v>2400</v>
      </c>
      <c r="H1340" s="8">
        <v>25000</v>
      </c>
      <c r="I1340" s="30">
        <f t="shared" si="1383"/>
        <v>8000</v>
      </c>
      <c r="J1340" s="8">
        <v>25000</v>
      </c>
      <c r="K1340" s="30">
        <f t="shared" si="1384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14.63</v>
      </c>
      <c r="O1340" s="9">
        <v>13.5</v>
      </c>
      <c r="P1340" s="9">
        <v>19.5</v>
      </c>
      <c r="Q1340" s="79">
        <f>VLOOKUP(VLOOKUP(DATEVALUE(TEXT(A1340,"m/d/yyyy")),FY24_Temp[],5,FALSE)&amp;TEXT(A1340,"-h"),Table6[],4,FALSE)</f>
        <v>0.92514285019465858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VLOOKUP(TEXT(A1340,"yy-mm")&amp;"-"&amp;IF(AND(WEEKDAY(A1340)&gt;1,WEEKDAY(A1340)&lt;7),"Wkd",TEXT(A1340,"Ddd"))&amp;"-"&amp;TEXT(A1340,"hh"),LoadTable[],5,FALSE)*0.92</f>
        <v>521.92427999999995</v>
      </c>
      <c r="U1340" s="104">
        <f>VLOOKUP(TEXT(A1340,"yy-mm")&amp;"-"&amp;IF(AND(WEEKDAY(A1340)&gt;1,WEEKDAY(A1340)&lt;7),"Wkd",TEXT(A1340,"Ddd"))&amp;"-"&amp;TEXT(A1340,"hh"),LoadTable[],6,FALSE)*T1340</f>
        <v>57850.609119479988</v>
      </c>
      <c r="V1340">
        <f t="shared" ref="V1340:W1340" si="1417">V1316</f>
        <v>3.6</v>
      </c>
      <c r="W1340">
        <f t="shared" si="1417"/>
        <v>3</v>
      </c>
      <c r="X1340" s="9">
        <v>-43.452755216666297</v>
      </c>
    </row>
    <row r="1341" spans="1:24">
      <c r="A1341" s="29">
        <f t="shared" si="1357"/>
        <v>45891.749999996755</v>
      </c>
      <c r="B1341" s="30">
        <f t="shared" si="1381"/>
        <v>5000</v>
      </c>
      <c r="C1341" s="8">
        <v>25000</v>
      </c>
      <c r="D1341" s="8">
        <v>0</v>
      </c>
      <c r="E1341" s="8">
        <v>700</v>
      </c>
      <c r="F1341" s="8">
        <v>15000</v>
      </c>
      <c r="G1341" s="30">
        <f t="shared" si="1382"/>
        <v>2400</v>
      </c>
      <c r="H1341" s="8">
        <v>25000</v>
      </c>
      <c r="I1341" s="30">
        <f t="shared" si="1383"/>
        <v>5000</v>
      </c>
      <c r="J1341" s="8">
        <v>25000</v>
      </c>
      <c r="K1341" s="30">
        <f t="shared" si="1384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14.63</v>
      </c>
      <c r="O1341" s="9">
        <v>13.5</v>
      </c>
      <c r="P1341" s="9">
        <v>19.5</v>
      </c>
      <c r="Q1341" s="79">
        <f>VLOOKUP(VLOOKUP(DATEVALUE(TEXT(A1341,"m/d/yyyy")),FY24_Temp[],5,FALSE)&amp;TEXT(A1341,"-h"),Table6[],4,FALSE)</f>
        <v>1.2939999955041068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VLOOKUP(TEXT(A1341,"yy-mm")&amp;"-"&amp;IF(AND(WEEKDAY(A1341)&gt;1,WEEKDAY(A1341)&lt;7),"Wkd",TEXT(A1341,"Ddd"))&amp;"-"&amp;TEXT(A1341,"hh"),LoadTable[],5,FALSE)*0.92</f>
        <v>521.92427999999995</v>
      </c>
      <c r="U1341" s="104">
        <f>VLOOKUP(TEXT(A1341,"yy-mm")&amp;"-"&amp;IF(AND(WEEKDAY(A1341)&gt;1,WEEKDAY(A1341)&lt;7),"Wkd",TEXT(A1341,"Ddd"))&amp;"-"&amp;TEXT(A1341,"hh"),LoadTable[],6,FALSE)*T1341</f>
        <v>71088.174633119997</v>
      </c>
      <c r="V1341">
        <f t="shared" ref="V1341:W1341" si="1418">V1317</f>
        <v>2.9</v>
      </c>
      <c r="W1341">
        <f t="shared" si="1418"/>
        <v>3</v>
      </c>
      <c r="X1341" s="9">
        <v>-43.530549766666297</v>
      </c>
    </row>
    <row r="1342" spans="1:24">
      <c r="A1342" s="29">
        <f t="shared" si="1357"/>
        <v>45891.791666663419</v>
      </c>
      <c r="B1342" s="30">
        <f t="shared" si="1381"/>
        <v>5000</v>
      </c>
      <c r="C1342" s="8">
        <v>25000</v>
      </c>
      <c r="D1342" s="8">
        <v>0</v>
      </c>
      <c r="E1342" s="8">
        <v>700</v>
      </c>
      <c r="F1342" s="8">
        <v>15000</v>
      </c>
      <c r="G1342" s="30">
        <f t="shared" si="1382"/>
        <v>2400</v>
      </c>
      <c r="H1342" s="8">
        <v>25000</v>
      </c>
      <c r="I1342" s="30">
        <f t="shared" si="1383"/>
        <v>5000</v>
      </c>
      <c r="J1342" s="8">
        <v>25000</v>
      </c>
      <c r="K1342" s="30">
        <f t="shared" si="1384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14.63</v>
      </c>
      <c r="O1342" s="9">
        <v>13.5</v>
      </c>
      <c r="P1342" s="9">
        <v>19.5</v>
      </c>
      <c r="Q1342" s="79">
        <f>VLOOKUP(VLOOKUP(DATEVALUE(TEXT(A1342,"m/d/yyyy")),FY24_Temp[],5,FALSE)&amp;TEXT(A1342,"-h"),Table6[],4,FALSE)</f>
        <v>2.0332857200077603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VLOOKUP(TEXT(A1342,"yy-mm")&amp;"-"&amp;IF(AND(WEEKDAY(A1342)&gt;1,WEEKDAY(A1342)&lt;7),"Wkd",TEXT(A1342,"Ddd"))&amp;"-"&amp;TEXT(A1342,"hh"),LoadTable[],5,FALSE)*0.92</f>
        <v>521.92427999999995</v>
      </c>
      <c r="U1342" s="104">
        <f>VLOOKUP(TEXT(A1342,"yy-mm")&amp;"-"&amp;IF(AND(WEEKDAY(A1342)&gt;1,WEEKDAY(A1342)&lt;7),"Wkd",TEXT(A1342,"Ddd"))&amp;"-"&amp;TEXT(A1342,"hh"),LoadTable[],6,FALSE)*T1342</f>
        <v>75540.188741520004</v>
      </c>
      <c r="V1342">
        <f t="shared" ref="V1342:W1342" si="1419">V1318</f>
        <v>3</v>
      </c>
      <c r="W1342">
        <f t="shared" si="1419"/>
        <v>3</v>
      </c>
      <c r="X1342" s="9">
        <v>-43.608344316666297</v>
      </c>
    </row>
    <row r="1343" spans="1:24">
      <c r="A1343" s="29">
        <f t="shared" si="1357"/>
        <v>45891.833333330083</v>
      </c>
      <c r="B1343" s="30">
        <f t="shared" si="1381"/>
        <v>5000</v>
      </c>
      <c r="C1343" s="8">
        <v>25000</v>
      </c>
      <c r="D1343" s="8">
        <v>0</v>
      </c>
      <c r="E1343" s="8">
        <v>700</v>
      </c>
      <c r="F1343" s="8">
        <v>15000</v>
      </c>
      <c r="G1343" s="30">
        <f t="shared" si="1382"/>
        <v>2400</v>
      </c>
      <c r="H1343" s="8">
        <v>25000</v>
      </c>
      <c r="I1343" s="30">
        <f t="shared" si="1383"/>
        <v>5000</v>
      </c>
      <c r="J1343" s="8">
        <v>25000</v>
      </c>
      <c r="K1343" s="30">
        <f t="shared" si="1384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14.63</v>
      </c>
      <c r="O1343" s="9">
        <v>13.5</v>
      </c>
      <c r="P1343" s="9">
        <v>19.5</v>
      </c>
      <c r="Q1343" s="79">
        <f>VLOOKUP(VLOOKUP(DATEVALUE(TEXT(A1343,"m/d/yyyy")),FY24_Temp[],5,FALSE)&amp;TEXT(A1343,"-h"),Table6[],4,FALSE)</f>
        <v>2.8272856644221713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VLOOKUP(TEXT(A1343,"yy-mm")&amp;"-"&amp;IF(AND(WEEKDAY(A1343)&gt;1,WEEKDAY(A1343)&lt;7),"Wkd",TEXT(A1343,"Ddd"))&amp;"-"&amp;TEXT(A1343,"hh"),LoadTable[],5,FALSE)*0.92</f>
        <v>521.92427999999995</v>
      </c>
      <c r="U1343" s="104">
        <f>VLOOKUP(TEXT(A1343,"yy-mm")&amp;"-"&amp;IF(AND(WEEKDAY(A1343)&gt;1,WEEKDAY(A1343)&lt;7),"Wkd",TEXT(A1343,"Ddd"))&amp;"-"&amp;TEXT(A1343,"hh"),LoadTable[],6,FALSE)*T1343</f>
        <v>69176.365995479995</v>
      </c>
      <c r="V1343">
        <f t="shared" ref="V1343:W1343" si="1420">V1319</f>
        <v>2.8</v>
      </c>
      <c r="W1343">
        <f t="shared" si="1420"/>
        <v>3.1</v>
      </c>
      <c r="X1343" s="9">
        <v>-43.686138866666298</v>
      </c>
    </row>
    <row r="1344" spans="1:24">
      <c r="A1344" s="29">
        <f t="shared" si="1357"/>
        <v>45891.874999996748</v>
      </c>
      <c r="B1344" s="30">
        <f t="shared" si="1381"/>
        <v>5000</v>
      </c>
      <c r="C1344" s="8">
        <v>25000</v>
      </c>
      <c r="D1344" s="8">
        <v>0</v>
      </c>
      <c r="E1344" s="8">
        <v>700</v>
      </c>
      <c r="F1344" s="8">
        <v>15000</v>
      </c>
      <c r="G1344" s="30">
        <f t="shared" si="1382"/>
        <v>2400</v>
      </c>
      <c r="H1344" s="8">
        <v>25000</v>
      </c>
      <c r="I1344" s="30">
        <f t="shared" si="1383"/>
        <v>5000</v>
      </c>
      <c r="J1344" s="8">
        <v>25000</v>
      </c>
      <c r="K1344" s="30">
        <f t="shared" si="1384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14.63</v>
      </c>
      <c r="O1344" s="9">
        <v>13.5</v>
      </c>
      <c r="P1344" s="9">
        <v>19.5</v>
      </c>
      <c r="Q1344" s="79">
        <f>VLOOKUP(VLOOKUP(DATEVALUE(TEXT(A1344,"m/d/yyyy")),FY24_Temp[],5,FALSE)&amp;TEXT(A1344,"-h"),Table6[],4,FALSE)</f>
        <v>3.0739999839237759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VLOOKUP(TEXT(A1344,"yy-mm")&amp;"-"&amp;IF(AND(WEEKDAY(A1344)&gt;1,WEEKDAY(A1344)&lt;7),"Wkd",TEXT(A1344,"Ddd"))&amp;"-"&amp;TEXT(A1344,"hh"),LoadTable[],5,FALSE)*0.92</f>
        <v>521.92427999999995</v>
      </c>
      <c r="U1344" s="104">
        <f>VLOOKUP(TEXT(A1344,"yy-mm")&amp;"-"&amp;IF(AND(WEEKDAY(A1344)&gt;1,WEEKDAY(A1344)&lt;7),"Wkd",TEXT(A1344,"Ddd"))&amp;"-"&amp;TEXT(A1344,"hh"),LoadTable[],6,FALSE)*T1344</f>
        <v>56417.405046599997</v>
      </c>
      <c r="V1344">
        <f t="shared" ref="V1344:W1344" si="1421">V1320</f>
        <v>3.5</v>
      </c>
      <c r="W1344">
        <f t="shared" si="1421"/>
        <v>3.1</v>
      </c>
      <c r="X1344" s="9">
        <v>-43.763933416666298</v>
      </c>
    </row>
    <row r="1345" spans="1:24">
      <c r="A1345" s="29">
        <f t="shared" si="1357"/>
        <v>45891.916666663412</v>
      </c>
      <c r="B1345" s="30">
        <f t="shared" si="1381"/>
        <v>5000</v>
      </c>
      <c r="C1345" s="8">
        <v>25000</v>
      </c>
      <c r="D1345" s="8">
        <v>0</v>
      </c>
      <c r="E1345" s="8">
        <v>700</v>
      </c>
      <c r="F1345" s="8">
        <v>15000</v>
      </c>
      <c r="G1345" s="30">
        <f t="shared" si="1382"/>
        <v>2400</v>
      </c>
      <c r="H1345" s="8">
        <v>25000</v>
      </c>
      <c r="I1345" s="30">
        <f t="shared" si="1383"/>
        <v>5000</v>
      </c>
      <c r="J1345" s="8">
        <v>25000</v>
      </c>
      <c r="K1345" s="30">
        <f t="shared" si="1384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14.63</v>
      </c>
      <c r="O1345" s="9">
        <v>13.5</v>
      </c>
      <c r="P1345" s="9">
        <v>19.5</v>
      </c>
      <c r="Q1345" s="79">
        <f>VLOOKUP(VLOOKUP(DATEVALUE(TEXT(A1345,"m/d/yyyy")),FY24_Temp[],5,FALSE)&amp;TEXT(A1345,"-h"),Table6[],4,FALSE)</f>
        <v>3.0308571543012346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VLOOKUP(TEXT(A1345,"yy-mm")&amp;"-"&amp;IF(AND(WEEKDAY(A1345)&gt;1,WEEKDAY(A1345)&lt;7),"Wkd",TEXT(A1345,"Ddd"))&amp;"-"&amp;TEXT(A1345,"hh"),LoadTable[],5,FALSE)*0.92</f>
        <v>447.02432000000005</v>
      </c>
      <c r="U1345" s="104">
        <f>VLOOKUP(TEXT(A1345,"yy-mm")&amp;"-"&amp;IF(AND(WEEKDAY(A1345)&gt;1,WEEKDAY(A1345)&lt;7),"Wkd",TEXT(A1345,"Ddd"))&amp;"-"&amp;TEXT(A1345,"hh"),LoadTable[],6,FALSE)*T1345</f>
        <v>29850.49599232</v>
      </c>
      <c r="V1345">
        <f t="shared" ref="V1345:W1345" si="1422">V1321</f>
        <v>2.9</v>
      </c>
      <c r="W1345">
        <f t="shared" si="1422"/>
        <v>3.1</v>
      </c>
      <c r="X1345" s="9">
        <v>-43.841727966666298</v>
      </c>
    </row>
    <row r="1346" spans="1:24" ht="16" thickBot="1">
      <c r="A1346" s="29">
        <f t="shared" si="1357"/>
        <v>45891.958333330076</v>
      </c>
      <c r="B1346" s="30">
        <f t="shared" si="1381"/>
        <v>5000</v>
      </c>
      <c r="C1346" s="8">
        <v>25000</v>
      </c>
      <c r="D1346" s="8">
        <v>0</v>
      </c>
      <c r="E1346" s="8">
        <v>700</v>
      </c>
      <c r="F1346" s="8">
        <v>15000</v>
      </c>
      <c r="G1346" s="30">
        <f t="shared" si="1382"/>
        <v>2400</v>
      </c>
      <c r="H1346" s="8">
        <v>25000</v>
      </c>
      <c r="I1346" s="30">
        <f t="shared" si="1383"/>
        <v>5000</v>
      </c>
      <c r="J1346" s="8">
        <v>25000</v>
      </c>
      <c r="K1346" s="30">
        <f t="shared" si="1384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14.63</v>
      </c>
      <c r="O1346" s="9">
        <v>13.5</v>
      </c>
      <c r="P1346" s="9">
        <v>19.5</v>
      </c>
      <c r="Q1346" s="79">
        <f>VLOOKUP(VLOOKUP(DATEVALUE(TEXT(A1346,"m/d/yyyy")),FY24_Temp[],5,FALSE)&amp;TEXT(A1346,"-h"),Table6[],4,FALSE)</f>
        <v>2.9022857121058871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VLOOKUP(TEXT(A1346,"yy-mm")&amp;"-"&amp;IF(AND(WEEKDAY(A1346)&gt;1,WEEKDAY(A1346)&lt;7),"Wkd",TEXT(A1346,"Ddd"))&amp;"-"&amp;TEXT(A1346,"hh"),LoadTable[],5,FALSE)*0.92</f>
        <v>372.12436000000002</v>
      </c>
      <c r="U1346" s="104">
        <f>VLOOKUP(TEXT(A1346,"yy-mm")&amp;"-"&amp;IF(AND(WEEKDAY(A1346)&gt;1,WEEKDAY(A1346)&lt;7),"Wkd",TEXT(A1346,"Ddd"))&amp;"-"&amp;TEXT(A1346,"hh"),LoadTable[],6,FALSE)*T1346</f>
        <v>22421.236938720001</v>
      </c>
      <c r="V1346">
        <f t="shared" ref="V1346:W1346" si="1423">V1322</f>
        <v>3.6</v>
      </c>
      <c r="W1346">
        <f t="shared" si="1423"/>
        <v>3.1</v>
      </c>
      <c r="X1346" s="9">
        <v>-43.919522516666298</v>
      </c>
    </row>
    <row r="1347" spans="1:24" ht="16" thickBot="1">
      <c r="A1347" s="120">
        <f t="shared" si="1357"/>
        <v>45891.99999999674</v>
      </c>
      <c r="B1347" s="121">
        <f t="shared" si="1381"/>
        <v>5000</v>
      </c>
      <c r="C1347" s="114">
        <v>25000</v>
      </c>
      <c r="D1347" s="114">
        <v>0</v>
      </c>
      <c r="E1347" s="114">
        <v>700</v>
      </c>
      <c r="F1347" s="114">
        <v>15000</v>
      </c>
      <c r="G1347" s="114">
        <f t="shared" si="1382"/>
        <v>2400</v>
      </c>
      <c r="H1347" s="114">
        <v>25000</v>
      </c>
      <c r="I1347" s="114">
        <f t="shared" si="1383"/>
        <v>5000</v>
      </c>
      <c r="J1347" s="114">
        <v>25000</v>
      </c>
      <c r="K1347" s="114">
        <f t="shared" si="1384"/>
        <v>5000</v>
      </c>
      <c r="L1347" s="114">
        <v>25000</v>
      </c>
      <c r="M1347" s="115">
        <f>VLOOKUP(DATE(YEAR(A1347),MONTH(A1347),DAY(A1347)),FY24_Temp[],4,FALSE)</f>
        <v>8.5</v>
      </c>
      <c r="N1347" s="115">
        <f>VLOOKUP(DATE(YEAR(A1347),MONTH(A1347),DAY(A1347)),FY24_Temp[],3,FALSE)</f>
        <v>14.71</v>
      </c>
      <c r="O1347" s="115">
        <v>13.5</v>
      </c>
      <c r="P1347" s="115">
        <v>19.5</v>
      </c>
      <c r="Q1347" s="116">
        <f>VLOOKUP(VLOOKUP(DATEVALUE(TEXT(A1347,"m/d/yyyy")),FY24_Temp[],5,FALSE)&amp;TEXT(A1347,"-h"),Table6[],4,FALSE)</f>
        <v>2.707571404320853</v>
      </c>
      <c r="R1347" s="117">
        <v>10</v>
      </c>
      <c r="S1347" s="117">
        <v>1000</v>
      </c>
      <c r="T1347" s="100">
        <f>VLOOKUP(TEXT(A1347,"yy-mm")&amp;"-"&amp;IF(AND(WEEKDAY(A1347)&gt;1,WEEKDAY(A1347)&lt;7),"Wkd",TEXT(A1347,"Ddd"))&amp;"-"&amp;TEXT(A1347,"hh"),LoadTable[],5,FALSE)*0.92</f>
        <v>297.2244</v>
      </c>
      <c r="U1347" s="118">
        <f>VLOOKUP(TEXT(A1347,"yy-mm")&amp;"-"&amp;IF(AND(WEEKDAY(A1347)&gt;1,WEEKDAY(A1347)&lt;7),"Wkd",TEXT(A1347,"Ddd"))&amp;"-"&amp;TEXT(A1347,"hh"),LoadTable[],6,FALSE)*T1347</f>
        <v>16487.929141199998</v>
      </c>
      <c r="V1347" s="117">
        <f t="shared" ref="V1347:W1347" si="1424">V1323</f>
        <v>3</v>
      </c>
      <c r="W1347" s="117">
        <f t="shared" si="1424"/>
        <v>3.2</v>
      </c>
      <c r="X1347" s="119">
        <v>-43.997317066666298</v>
      </c>
    </row>
    <row r="1348" spans="1:24">
      <c r="A1348" s="29">
        <f t="shared" si="1357"/>
        <v>45892.041666663405</v>
      </c>
      <c r="B1348" s="30">
        <f t="shared" si="1381"/>
        <v>5000</v>
      </c>
      <c r="C1348" s="8">
        <v>25000</v>
      </c>
      <c r="D1348" s="8">
        <v>0</v>
      </c>
      <c r="E1348" s="8">
        <v>700</v>
      </c>
      <c r="F1348" s="8">
        <v>15000</v>
      </c>
      <c r="G1348" s="30">
        <f t="shared" si="1382"/>
        <v>2400</v>
      </c>
      <c r="H1348" s="8">
        <v>25000</v>
      </c>
      <c r="I1348" s="30">
        <f t="shared" si="1383"/>
        <v>5000</v>
      </c>
      <c r="J1348" s="8">
        <v>25000</v>
      </c>
      <c r="K1348" s="30">
        <f t="shared" si="1384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VLOOKUP(VLOOKUP(DATEVALUE(TEXT(A1348,"m/d/yyyy")),FY24_Temp[],5,FALSE)&amp;TEXT(A1348,"-h"),Table6[],4,FALSE)</f>
        <v>2.6045714105878557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VLOOKUP(TEXT(A1348,"yy-mm")&amp;"-"&amp;IF(AND(WEEKDAY(A1348)&gt;1,WEEKDAY(A1348)&lt;7),"Wkd",TEXT(A1348,"Ddd"))&amp;"-"&amp;TEXT(A1348,"hh"),LoadTable[],5,FALSE)*0.92</f>
        <v>295.12680000000006</v>
      </c>
      <c r="U1348" s="104">
        <f>VLOOKUP(TEXT(A1348,"yy-mm")&amp;"-"&amp;IF(AND(WEEKDAY(A1348)&gt;1,WEEKDAY(A1348)&lt;7),"Wkd",TEXT(A1348,"Ddd"))&amp;"-"&amp;TEXT(A1348,"hh"),LoadTable[],6,FALSE)*T1348</f>
        <v>15981.706473600003</v>
      </c>
      <c r="V1348">
        <f t="shared" ref="V1348:W1348" si="1425">V1324</f>
        <v>2.6</v>
      </c>
      <c r="W1348">
        <f t="shared" si="1425"/>
        <v>3.2</v>
      </c>
      <c r="X1348" s="9">
        <v>-44.075111616666298</v>
      </c>
    </row>
    <row r="1349" spans="1:24">
      <c r="A1349" s="29">
        <f t="shared" ref="A1349:A1412" si="1426">A1348+TIME(1,0,0)</f>
        <v>45892.083333330069</v>
      </c>
      <c r="B1349" s="30">
        <f t="shared" si="1381"/>
        <v>5000</v>
      </c>
      <c r="C1349" s="8">
        <v>25000</v>
      </c>
      <c r="D1349" s="8">
        <v>0</v>
      </c>
      <c r="E1349" s="8">
        <v>700</v>
      </c>
      <c r="F1349" s="8">
        <v>15000</v>
      </c>
      <c r="G1349" s="30">
        <f t="shared" si="1382"/>
        <v>2400</v>
      </c>
      <c r="H1349" s="8">
        <v>25000</v>
      </c>
      <c r="I1349" s="30">
        <f t="shared" si="1383"/>
        <v>5000</v>
      </c>
      <c r="J1349" s="8">
        <v>25000</v>
      </c>
      <c r="K1349" s="30">
        <f t="shared" si="1384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VLOOKUP(VLOOKUP(DATEVALUE(TEXT(A1349,"m/d/yyyy")),FY24_Temp[],5,FALSE)&amp;TEXT(A1349,"-h"),Table6[],4,FALSE)</f>
        <v>2.5119999476841519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VLOOKUP(TEXT(A1349,"yy-mm")&amp;"-"&amp;IF(AND(WEEKDAY(A1349)&gt;1,WEEKDAY(A1349)&lt;7),"Wkd",TEXT(A1349,"Ddd"))&amp;"-"&amp;TEXT(A1349,"hh"),LoadTable[],5,FALSE)*0.92</f>
        <v>295.12680000000006</v>
      </c>
      <c r="U1349" s="104">
        <f>VLOOKUP(TEXT(A1349,"yy-mm")&amp;"-"&amp;IF(AND(WEEKDAY(A1349)&gt;1,WEEKDAY(A1349)&lt;7),"Wkd",TEXT(A1349,"Ddd"))&amp;"-"&amp;TEXT(A1349,"hh"),LoadTable[],6,FALSE)*T1349</f>
        <v>15430.704738000002</v>
      </c>
      <c r="V1349">
        <f t="shared" ref="V1349:W1349" si="1427">V1325</f>
        <v>2.8</v>
      </c>
      <c r="W1349">
        <f t="shared" si="1427"/>
        <v>3.2</v>
      </c>
      <c r="X1349" s="9">
        <v>-44.152906166666298</v>
      </c>
    </row>
    <row r="1350" spans="1:24">
      <c r="A1350" s="29">
        <f t="shared" si="1426"/>
        <v>45892.124999996733</v>
      </c>
      <c r="B1350" s="30">
        <f t="shared" si="1381"/>
        <v>5000</v>
      </c>
      <c r="C1350" s="8">
        <v>25000</v>
      </c>
      <c r="D1350" s="8">
        <v>0</v>
      </c>
      <c r="E1350" s="8">
        <v>700</v>
      </c>
      <c r="F1350" s="8">
        <v>15000</v>
      </c>
      <c r="G1350" s="30">
        <f t="shared" si="1382"/>
        <v>2400</v>
      </c>
      <c r="H1350" s="8">
        <v>25000</v>
      </c>
      <c r="I1350" s="30">
        <f t="shared" si="1383"/>
        <v>5000</v>
      </c>
      <c r="J1350" s="8">
        <v>25000</v>
      </c>
      <c r="K1350" s="30">
        <f t="shared" si="1384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VLOOKUP(VLOOKUP(DATEVALUE(TEXT(A1350,"m/d/yyyy")),FY24_Temp[],5,FALSE)&amp;TEXT(A1350,"-h"),Table6[],4,FALSE)</f>
        <v>2.3667143072400774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VLOOKUP(TEXT(A1350,"yy-mm")&amp;"-"&amp;IF(AND(WEEKDAY(A1350)&gt;1,WEEKDAY(A1350)&lt;7),"Wkd",TEXT(A1350,"Ddd"))&amp;"-"&amp;TEXT(A1350,"hh"),LoadTable[],5,FALSE)*0.92</f>
        <v>295.12680000000006</v>
      </c>
      <c r="U1350" s="104">
        <f>VLOOKUP(TEXT(A1350,"yy-mm")&amp;"-"&amp;IF(AND(WEEKDAY(A1350)&gt;1,WEEKDAY(A1350)&lt;7),"Wkd",TEXT(A1350,"Ddd"))&amp;"-"&amp;TEXT(A1350,"hh"),LoadTable[],6,FALSE)*T1350</f>
        <v>15495.632634000003</v>
      </c>
      <c r="V1350">
        <f t="shared" ref="V1350:W1350" si="1428">V1326</f>
        <v>2.7</v>
      </c>
      <c r="W1350">
        <f t="shared" si="1428"/>
        <v>3.2</v>
      </c>
      <c r="X1350" s="9">
        <v>-44.230700716666298</v>
      </c>
    </row>
    <row r="1351" spans="1:24">
      <c r="A1351" s="29">
        <f t="shared" si="1426"/>
        <v>45892.166666663397</v>
      </c>
      <c r="B1351" s="30">
        <f t="shared" si="1381"/>
        <v>5000</v>
      </c>
      <c r="C1351" s="8">
        <v>25000</v>
      </c>
      <c r="D1351" s="8">
        <v>0</v>
      </c>
      <c r="E1351" s="8">
        <v>700</v>
      </c>
      <c r="F1351" s="8">
        <v>15000</v>
      </c>
      <c r="G1351" s="30">
        <f t="shared" si="1382"/>
        <v>2400</v>
      </c>
      <c r="H1351" s="8">
        <v>25000</v>
      </c>
      <c r="I1351" s="30">
        <f t="shared" si="1383"/>
        <v>5000</v>
      </c>
      <c r="J1351" s="8">
        <v>25000</v>
      </c>
      <c r="K1351" s="30">
        <f t="shared" si="1384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VLOOKUP(VLOOKUP(DATEVALUE(TEXT(A1351,"m/d/yyyy")),FY24_Temp[],5,FALSE)&amp;TEXT(A1351,"-h"),Table6[],4,FALSE)</f>
        <v>2.2025713920593262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VLOOKUP(TEXT(A1351,"yy-mm")&amp;"-"&amp;IF(AND(WEEKDAY(A1351)&gt;1,WEEKDAY(A1351)&lt;7),"Wkd",TEXT(A1351,"Ddd"))&amp;"-"&amp;TEXT(A1351,"hh"),LoadTable[],5,FALSE)*0.92</f>
        <v>295.12680000000006</v>
      </c>
      <c r="U1351" s="104">
        <f>VLOOKUP(TEXT(A1351,"yy-mm")&amp;"-"&amp;IF(AND(WEEKDAY(A1351)&gt;1,WEEKDAY(A1351)&lt;7),"Wkd",TEXT(A1351,"Ddd"))&amp;"-"&amp;TEXT(A1351,"hh"),LoadTable[],6,FALSE)*T1351</f>
        <v>15580.924279200002</v>
      </c>
      <c r="V1351">
        <f t="shared" ref="V1351:W1351" si="1429">V1327</f>
        <v>3</v>
      </c>
      <c r="W1351">
        <f t="shared" si="1429"/>
        <v>3.1</v>
      </c>
      <c r="X1351" s="9">
        <v>-44.308495266666299</v>
      </c>
    </row>
    <row r="1352" spans="1:24">
      <c r="A1352" s="29">
        <f t="shared" si="1426"/>
        <v>45892.208333330062</v>
      </c>
      <c r="B1352" s="30">
        <f t="shared" si="1381"/>
        <v>5000</v>
      </c>
      <c r="C1352" s="8">
        <v>25000</v>
      </c>
      <c r="D1352" s="8">
        <v>0</v>
      </c>
      <c r="E1352" s="8">
        <v>700</v>
      </c>
      <c r="F1352" s="8">
        <v>15000</v>
      </c>
      <c r="G1352" s="30">
        <f t="shared" si="1382"/>
        <v>2400</v>
      </c>
      <c r="H1352" s="8">
        <v>25000</v>
      </c>
      <c r="I1352" s="30">
        <f t="shared" si="1383"/>
        <v>5000</v>
      </c>
      <c r="J1352" s="8">
        <v>25000</v>
      </c>
      <c r="K1352" s="30">
        <f t="shared" si="1384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VLOOKUP(VLOOKUP(DATEVALUE(TEXT(A1352,"m/d/yyyy")),FY24_Temp[],5,FALSE)&amp;TEXT(A1352,"-h"),Table6[],4,FALSE)</f>
        <v>2.0452857358115062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VLOOKUP(TEXT(A1352,"yy-mm")&amp;"-"&amp;IF(AND(WEEKDAY(A1352)&gt;1,WEEKDAY(A1352)&lt;7),"Wkd",TEXT(A1352,"Ddd"))&amp;"-"&amp;TEXT(A1352,"hh"),LoadTable[],5,FALSE)*0.92</f>
        <v>295.12680000000006</v>
      </c>
      <c r="U1352" s="104">
        <f>VLOOKUP(TEXT(A1352,"yy-mm")&amp;"-"&amp;IF(AND(WEEKDAY(A1352)&gt;1,WEEKDAY(A1352)&lt;7),"Wkd",TEXT(A1352,"Ddd"))&amp;"-"&amp;TEXT(A1352,"hh"),LoadTable[],6,FALSE)*T1352</f>
        <v>15706.058042400004</v>
      </c>
      <c r="V1352">
        <f t="shared" ref="V1352:W1352" si="1430">V1328</f>
        <v>2.9</v>
      </c>
      <c r="W1352">
        <f t="shared" si="1430"/>
        <v>3.1</v>
      </c>
      <c r="X1352" s="9">
        <v>-44.386289816666299</v>
      </c>
    </row>
    <row r="1353" spans="1:24">
      <c r="A1353" s="29">
        <f t="shared" si="1426"/>
        <v>45892.249999996726</v>
      </c>
      <c r="B1353" s="30">
        <f t="shared" si="1381"/>
        <v>8000</v>
      </c>
      <c r="C1353" s="8">
        <v>25000</v>
      </c>
      <c r="D1353" s="8">
        <v>0</v>
      </c>
      <c r="E1353" s="8">
        <v>700</v>
      </c>
      <c r="F1353" s="8">
        <v>15000</v>
      </c>
      <c r="G1353" s="30">
        <f t="shared" si="1382"/>
        <v>2400</v>
      </c>
      <c r="H1353" s="8">
        <v>25000</v>
      </c>
      <c r="I1353" s="30">
        <f t="shared" si="1383"/>
        <v>8000</v>
      </c>
      <c r="J1353" s="8">
        <v>25000</v>
      </c>
      <c r="K1353" s="30">
        <f t="shared" si="1384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VLOOKUP(VLOOKUP(DATEVALUE(TEXT(A1353,"m/d/yyyy")),FY24_Temp[],5,FALSE)&amp;TEXT(A1353,"-h"),Table6[],4,FALSE)</f>
        <v>1.9314285516738892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VLOOKUP(TEXT(A1353,"yy-mm")&amp;"-"&amp;IF(AND(WEEKDAY(A1353)&gt;1,WEEKDAY(A1353)&lt;7),"Wkd",TEXT(A1353,"Ddd"))&amp;"-"&amp;TEXT(A1353,"hh"),LoadTable[],5,FALSE)*0.92</f>
        <v>295.12680000000006</v>
      </c>
      <c r="U1353" s="104">
        <f>VLOOKUP(TEXT(A1353,"yy-mm")&amp;"-"&amp;IF(AND(WEEKDAY(A1353)&gt;1,WEEKDAY(A1353)&lt;7),"Wkd",TEXT(A1353,"Ddd"))&amp;"-"&amp;TEXT(A1353,"hh"),LoadTable[],6,FALSE)*T1353</f>
        <v>19680.235531200004</v>
      </c>
      <c r="V1353">
        <f t="shared" ref="V1353:W1353" si="1431">V1329</f>
        <v>2.5</v>
      </c>
      <c r="W1353">
        <f t="shared" si="1431"/>
        <v>3.1</v>
      </c>
      <c r="X1353" s="9">
        <v>-44.464084366666299</v>
      </c>
    </row>
    <row r="1354" spans="1:24">
      <c r="A1354" s="29">
        <f t="shared" si="1426"/>
        <v>45892.29166666339</v>
      </c>
      <c r="B1354" s="30">
        <f t="shared" si="1381"/>
        <v>8000</v>
      </c>
      <c r="C1354" s="8">
        <v>25000</v>
      </c>
      <c r="D1354" s="8">
        <v>0</v>
      </c>
      <c r="E1354" s="8">
        <v>700</v>
      </c>
      <c r="F1354" s="8">
        <v>15000</v>
      </c>
      <c r="G1354" s="30">
        <f t="shared" si="1382"/>
        <v>2400</v>
      </c>
      <c r="H1354" s="8">
        <v>25000</v>
      </c>
      <c r="I1354" s="30">
        <f t="shared" si="1383"/>
        <v>8000</v>
      </c>
      <c r="J1354" s="8">
        <v>25000</v>
      </c>
      <c r="K1354" s="30">
        <f t="shared" si="1384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VLOOKUP(VLOOKUP(DATEVALUE(TEXT(A1354,"m/d/yyyy")),FY24_Temp[],5,FALSE)&amp;TEXT(A1354,"-h"),Table6[],4,FALSE)</f>
        <v>1.8508571556636266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VLOOKUP(TEXT(A1354,"yy-mm")&amp;"-"&amp;IF(AND(WEEKDAY(A1354)&gt;1,WEEKDAY(A1354)&lt;7),"Wkd",TEXT(A1354,"Ddd"))&amp;"-"&amp;TEXT(A1354,"hh"),LoadTable[],5,FALSE)*0.92</f>
        <v>295.12680000000006</v>
      </c>
      <c r="U1354" s="104">
        <f>VLOOKUP(TEXT(A1354,"yy-mm")&amp;"-"&amp;IF(AND(WEEKDAY(A1354)&gt;1,WEEKDAY(A1354)&lt;7),"Wkd",TEXT(A1354,"Ddd"))&amp;"-"&amp;TEXT(A1354,"hh"),LoadTable[],6,FALSE)*T1354</f>
        <v>18329.440167600005</v>
      </c>
      <c r="V1354">
        <f t="shared" ref="V1354:W1354" si="1432">V1330</f>
        <v>2.5</v>
      </c>
      <c r="W1354">
        <f t="shared" si="1432"/>
        <v>3.1</v>
      </c>
      <c r="X1354" s="9">
        <v>-44.541878916666299</v>
      </c>
    </row>
    <row r="1355" spans="1:24">
      <c r="A1355" s="29">
        <f t="shared" si="1426"/>
        <v>45892.333333330054</v>
      </c>
      <c r="B1355" s="30">
        <f t="shared" si="1381"/>
        <v>8000</v>
      </c>
      <c r="C1355" s="8">
        <v>25000</v>
      </c>
      <c r="D1355" s="8">
        <v>0</v>
      </c>
      <c r="E1355" s="8">
        <v>700</v>
      </c>
      <c r="F1355" s="8">
        <v>15000</v>
      </c>
      <c r="G1355" s="30">
        <f t="shared" si="1382"/>
        <v>2400</v>
      </c>
      <c r="H1355" s="8">
        <v>25000</v>
      </c>
      <c r="I1355" s="30">
        <f t="shared" si="1383"/>
        <v>8000</v>
      </c>
      <c r="J1355" s="8">
        <v>25000</v>
      </c>
      <c r="K1355" s="30">
        <f t="shared" si="1384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VLOOKUP(VLOOKUP(DATEVALUE(TEXT(A1355,"m/d/yyyy")),FY24_Temp[],5,FALSE)&amp;TEXT(A1355,"-h"),Table6[],4,FALSE)</f>
        <v>1.7464285748345512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VLOOKUP(TEXT(A1355,"yy-mm")&amp;"-"&amp;IF(AND(WEEKDAY(A1355)&gt;1,WEEKDAY(A1355)&lt;7),"Wkd",TEXT(A1355,"Ddd"))&amp;"-"&amp;TEXT(A1355,"hh"),LoadTable[],5,FALSE)*0.92</f>
        <v>295.12680000000006</v>
      </c>
      <c r="U1355" s="104">
        <f>VLOOKUP(TEXT(A1355,"yy-mm")&amp;"-"&amp;IF(AND(WEEKDAY(A1355)&gt;1,WEEKDAY(A1355)&lt;7),"Wkd",TEXT(A1355,"Ddd"))&amp;"-"&amp;TEXT(A1355,"hh"),LoadTable[],6,FALSE)*T1355</f>
        <v>15066.223140000002</v>
      </c>
      <c r="V1355">
        <f t="shared" ref="V1355:W1355" si="1433">V1331</f>
        <v>3.2</v>
      </c>
      <c r="W1355">
        <f t="shared" si="1433"/>
        <v>3</v>
      </c>
      <c r="X1355" s="9">
        <v>-44.619673466666299</v>
      </c>
    </row>
    <row r="1356" spans="1:24">
      <c r="A1356" s="29">
        <f t="shared" si="1426"/>
        <v>45892.374999996719</v>
      </c>
      <c r="B1356" s="30">
        <f t="shared" si="1381"/>
        <v>8000</v>
      </c>
      <c r="C1356" s="8">
        <v>25000</v>
      </c>
      <c r="D1356" s="8">
        <v>0</v>
      </c>
      <c r="E1356" s="8">
        <v>700</v>
      </c>
      <c r="F1356" s="8">
        <v>15000</v>
      </c>
      <c r="G1356" s="30">
        <f t="shared" si="1382"/>
        <v>2400</v>
      </c>
      <c r="H1356" s="8">
        <v>25000</v>
      </c>
      <c r="I1356" s="30">
        <f t="shared" si="1383"/>
        <v>8000</v>
      </c>
      <c r="J1356" s="8">
        <v>25000</v>
      </c>
      <c r="K1356" s="30">
        <f t="shared" si="1384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VLOOKUP(VLOOKUP(DATEVALUE(TEXT(A1356,"m/d/yyyy")),FY24_Temp[],5,FALSE)&amp;TEXT(A1356,"-h"),Table6[],4,FALSE)</f>
        <v>1.6497142996106828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VLOOKUP(TEXT(A1356,"yy-mm")&amp;"-"&amp;IF(AND(WEEKDAY(A1356)&gt;1,WEEKDAY(A1356)&lt;7),"Wkd",TEXT(A1356,"Ddd"))&amp;"-"&amp;TEXT(A1356,"hh"),LoadTable[],5,FALSE)*0.92</f>
        <v>295.12680000000006</v>
      </c>
      <c r="U1356" s="104">
        <f>VLOOKUP(TEXT(A1356,"yy-mm")&amp;"-"&amp;IF(AND(WEEKDAY(A1356)&gt;1,WEEKDAY(A1356)&lt;7),"Wkd",TEXT(A1356,"Ddd"))&amp;"-"&amp;TEXT(A1356,"hh"),LoadTable[],6,FALSE)*T1356</f>
        <v>13543.663978800003</v>
      </c>
      <c r="V1356">
        <f t="shared" ref="V1356:W1356" si="1434">V1332</f>
        <v>2.9</v>
      </c>
      <c r="W1356">
        <f t="shared" si="1434"/>
        <v>3</v>
      </c>
      <c r="X1356" s="9">
        <v>-44.697468016666299</v>
      </c>
    </row>
    <row r="1357" spans="1:24">
      <c r="A1357" s="29">
        <f t="shared" si="1426"/>
        <v>45892.416666663383</v>
      </c>
      <c r="B1357" s="30">
        <f t="shared" si="1381"/>
        <v>8000</v>
      </c>
      <c r="C1357" s="8">
        <v>25000</v>
      </c>
      <c r="D1357" s="8">
        <v>0</v>
      </c>
      <c r="E1357" s="8">
        <v>700</v>
      </c>
      <c r="F1357" s="8">
        <v>15000</v>
      </c>
      <c r="G1357" s="30">
        <f t="shared" si="1382"/>
        <v>2400</v>
      </c>
      <c r="H1357" s="8">
        <v>25000</v>
      </c>
      <c r="I1357" s="30">
        <f t="shared" si="1383"/>
        <v>8000</v>
      </c>
      <c r="J1357" s="8">
        <v>25000</v>
      </c>
      <c r="K1357" s="30">
        <f t="shared" si="1384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VLOOKUP(VLOOKUP(DATEVALUE(TEXT(A1357,"m/d/yyyy")),FY24_Temp[],5,FALSE)&amp;TEXT(A1357,"-h"),Table6[],4,FALSE)</f>
        <v>1.5668571165629797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VLOOKUP(TEXT(A1357,"yy-mm")&amp;"-"&amp;IF(AND(WEEKDAY(A1357)&gt;1,WEEKDAY(A1357)&lt;7),"Wkd",TEXT(A1357,"Ddd"))&amp;"-"&amp;TEXT(A1357,"hh"),LoadTable[],5,FALSE)*0.92</f>
        <v>295.12680000000006</v>
      </c>
      <c r="U1357" s="104">
        <f>VLOOKUP(TEXT(A1357,"yy-mm")&amp;"-"&amp;IF(AND(WEEKDAY(A1357)&gt;1,WEEKDAY(A1357)&lt;7),"Wkd",TEXT(A1357,"Ddd"))&amp;"-"&amp;TEXT(A1357,"hh"),LoadTable[],6,FALSE)*T1357</f>
        <v>13519.168454400002</v>
      </c>
      <c r="V1357">
        <f t="shared" ref="V1357:W1357" si="1435">V1333</f>
        <v>2.9</v>
      </c>
      <c r="W1357">
        <f t="shared" si="1435"/>
        <v>3</v>
      </c>
      <c r="X1357" s="9">
        <v>-44.775262566666299</v>
      </c>
    </row>
    <row r="1358" spans="1:24">
      <c r="A1358" s="29">
        <f t="shared" si="1426"/>
        <v>45892.458333330047</v>
      </c>
      <c r="B1358" s="30">
        <f t="shared" si="1381"/>
        <v>8000</v>
      </c>
      <c r="C1358" s="8">
        <v>25000</v>
      </c>
      <c r="D1358" s="8">
        <v>0</v>
      </c>
      <c r="E1358" s="8">
        <v>700</v>
      </c>
      <c r="F1358" s="8">
        <v>15000</v>
      </c>
      <c r="G1358" s="30">
        <f t="shared" si="1382"/>
        <v>2400</v>
      </c>
      <c r="H1358" s="8">
        <v>25000</v>
      </c>
      <c r="I1358" s="30">
        <f t="shared" si="1383"/>
        <v>8000</v>
      </c>
      <c r="J1358" s="8">
        <v>25000</v>
      </c>
      <c r="K1358" s="30">
        <f t="shared" si="1384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VLOOKUP(VLOOKUP(DATEVALUE(TEXT(A1358,"m/d/yyyy")),FY24_Temp[],5,FALSE)&amp;TEXT(A1358,"-h"),Table6[],4,FALSE)</f>
        <v>1.4631428718566895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VLOOKUP(TEXT(A1358,"yy-mm")&amp;"-"&amp;IF(AND(WEEKDAY(A1358)&gt;1,WEEKDAY(A1358)&lt;7),"Wkd",TEXT(A1358,"Ddd"))&amp;"-"&amp;TEXT(A1358,"hh"),LoadTable[],5,FALSE)*0.92</f>
        <v>295.12680000000006</v>
      </c>
      <c r="U1358" s="104">
        <f>VLOOKUP(TEXT(A1358,"yy-mm")&amp;"-"&amp;IF(AND(WEEKDAY(A1358)&gt;1,WEEKDAY(A1358)&lt;7),"Wkd",TEXT(A1358,"Ddd"))&amp;"-"&amp;TEXT(A1358,"hh"),LoadTable[],6,FALSE)*T1358</f>
        <v>13493.492422800002</v>
      </c>
      <c r="V1358">
        <f t="shared" ref="V1358:W1358" si="1436">V1334</f>
        <v>3.4</v>
      </c>
      <c r="W1358">
        <f t="shared" si="1436"/>
        <v>3</v>
      </c>
      <c r="X1358" s="9">
        <v>-44.853057116666299</v>
      </c>
    </row>
    <row r="1359" spans="1:24">
      <c r="A1359" s="29">
        <f t="shared" si="1426"/>
        <v>45892.499999996711</v>
      </c>
      <c r="B1359" s="30">
        <f t="shared" si="1381"/>
        <v>8000</v>
      </c>
      <c r="C1359" s="8">
        <v>25000</v>
      </c>
      <c r="D1359" s="8">
        <v>0</v>
      </c>
      <c r="E1359" s="8">
        <v>700</v>
      </c>
      <c r="F1359" s="8">
        <v>15000</v>
      </c>
      <c r="G1359" s="30">
        <f t="shared" si="1382"/>
        <v>2400</v>
      </c>
      <c r="H1359" s="8">
        <v>25000</v>
      </c>
      <c r="I1359" s="30">
        <f t="shared" si="1383"/>
        <v>8000</v>
      </c>
      <c r="J1359" s="8">
        <v>25000</v>
      </c>
      <c r="K1359" s="30">
        <f t="shared" si="1384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VLOOKUP(VLOOKUP(DATEVALUE(TEXT(A1359,"m/d/yyyy")),FY24_Temp[],5,FALSE)&amp;TEXT(A1359,"-h"),Table6[],4,FALSE)</f>
        <v>1.3304285662514823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VLOOKUP(TEXT(A1359,"yy-mm")&amp;"-"&amp;IF(AND(WEEKDAY(A1359)&gt;1,WEEKDAY(A1359)&lt;7),"Wkd",TEXT(A1359,"Ddd"))&amp;"-"&amp;TEXT(A1359,"hh"),LoadTable[],5,FALSE)*0.92</f>
        <v>295.12680000000006</v>
      </c>
      <c r="U1359" s="104">
        <f>VLOOKUP(TEXT(A1359,"yy-mm")&amp;"-"&amp;IF(AND(WEEKDAY(A1359)&gt;1,WEEKDAY(A1359)&lt;7),"Wkd",TEXT(A1359,"Ddd"))&amp;"-"&amp;TEXT(A1359,"hh"),LoadTable[],6,FALSE)*T1359</f>
        <v>13497.624198000003</v>
      </c>
      <c r="V1359">
        <f t="shared" ref="V1359:W1359" si="1437">V1335</f>
        <v>3.1</v>
      </c>
      <c r="W1359">
        <f t="shared" si="1437"/>
        <v>2.9</v>
      </c>
      <c r="X1359" s="9">
        <v>-44.9308516666663</v>
      </c>
    </row>
    <row r="1360" spans="1:24">
      <c r="A1360" s="29">
        <f t="shared" si="1426"/>
        <v>45892.541666663376</v>
      </c>
      <c r="B1360" s="30">
        <f t="shared" si="1381"/>
        <v>8000</v>
      </c>
      <c r="C1360" s="8">
        <v>25000</v>
      </c>
      <c r="D1360" s="8">
        <v>0</v>
      </c>
      <c r="E1360" s="8">
        <v>700</v>
      </c>
      <c r="F1360" s="8">
        <v>15000</v>
      </c>
      <c r="G1360" s="30">
        <f t="shared" si="1382"/>
        <v>2400</v>
      </c>
      <c r="H1360" s="8">
        <v>25000</v>
      </c>
      <c r="I1360" s="30">
        <f t="shared" si="1383"/>
        <v>8000</v>
      </c>
      <c r="J1360" s="8">
        <v>25000</v>
      </c>
      <c r="K1360" s="30">
        <f t="shared" si="1384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VLOOKUP(VLOOKUP(DATEVALUE(TEXT(A1360,"m/d/yyyy")),FY24_Temp[],5,FALSE)&amp;TEXT(A1360,"-h"),Table6[],4,FALSE)</f>
        <v>1.1667142765862601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VLOOKUP(TEXT(A1360,"yy-mm")&amp;"-"&amp;IF(AND(WEEKDAY(A1360)&gt;1,WEEKDAY(A1360)&lt;7),"Wkd",TEXT(A1360,"Ddd"))&amp;"-"&amp;TEXT(A1360,"hh"),LoadTable[],5,FALSE)*0.92</f>
        <v>295.12680000000006</v>
      </c>
      <c r="U1360" s="104">
        <f>VLOOKUP(TEXT(A1360,"yy-mm")&amp;"-"&amp;IF(AND(WEEKDAY(A1360)&gt;1,WEEKDAY(A1360)&lt;7),"Wkd",TEXT(A1360,"Ddd"))&amp;"-"&amp;TEXT(A1360,"hh"),LoadTable[],6,FALSE)*T1360</f>
        <v>13523.005102800002</v>
      </c>
      <c r="V1360">
        <f t="shared" ref="V1360:W1360" si="1438">V1336</f>
        <v>3.2</v>
      </c>
      <c r="W1360">
        <f t="shared" si="1438"/>
        <v>2.9</v>
      </c>
      <c r="X1360" s="9">
        <v>-45.0086462166663</v>
      </c>
    </row>
    <row r="1361" spans="1:24">
      <c r="A1361" s="29">
        <f t="shared" si="1426"/>
        <v>45892.58333333004</v>
      </c>
      <c r="B1361" s="30">
        <f t="shared" si="1381"/>
        <v>8000</v>
      </c>
      <c r="C1361" s="8">
        <v>25000</v>
      </c>
      <c r="D1361" s="8">
        <v>0</v>
      </c>
      <c r="E1361" s="8">
        <v>700</v>
      </c>
      <c r="F1361" s="8">
        <v>15000</v>
      </c>
      <c r="G1361" s="30">
        <f t="shared" si="1382"/>
        <v>2400</v>
      </c>
      <c r="H1361" s="8">
        <v>25000</v>
      </c>
      <c r="I1361" s="30">
        <f t="shared" si="1383"/>
        <v>8000</v>
      </c>
      <c r="J1361" s="8">
        <v>25000</v>
      </c>
      <c r="K1361" s="30">
        <f t="shared" si="1384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VLOOKUP(VLOOKUP(DATEVALUE(TEXT(A1361,"m/d/yyyy")),FY24_Temp[],5,FALSE)&amp;TEXT(A1361,"-h"),Table6[],4,FALSE)</f>
        <v>0.98814284801483154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VLOOKUP(TEXT(A1361,"yy-mm")&amp;"-"&amp;IF(AND(WEEKDAY(A1361)&gt;1,WEEKDAY(A1361)&lt;7),"Wkd",TEXT(A1361,"Ddd"))&amp;"-"&amp;TEXT(A1361,"hh"),LoadTable[],5,FALSE)*0.92</f>
        <v>295.12680000000006</v>
      </c>
      <c r="U1361" s="104">
        <f>VLOOKUP(TEXT(A1361,"yy-mm")&amp;"-"&amp;IF(AND(WEEKDAY(A1361)&gt;1,WEEKDAY(A1361)&lt;7),"Wkd",TEXT(A1361,"Ddd"))&amp;"-"&amp;TEXT(A1361,"hh"),LoadTable[],6,FALSE)*T1361</f>
        <v>13610.952889200003</v>
      </c>
      <c r="V1361">
        <f t="shared" ref="V1361:W1361" si="1439">V1337</f>
        <v>3.5</v>
      </c>
      <c r="W1361">
        <f t="shared" si="1439"/>
        <v>2.9</v>
      </c>
      <c r="X1361" s="9">
        <v>-45.0864407666663</v>
      </c>
    </row>
    <row r="1362" spans="1:24">
      <c r="A1362" s="29">
        <f t="shared" si="1426"/>
        <v>45892.624999996704</v>
      </c>
      <c r="B1362" s="30">
        <f t="shared" si="1381"/>
        <v>8000</v>
      </c>
      <c r="C1362" s="8">
        <v>25000</v>
      </c>
      <c r="D1362" s="8">
        <v>0</v>
      </c>
      <c r="E1362" s="8">
        <v>700</v>
      </c>
      <c r="F1362" s="8">
        <v>15000</v>
      </c>
      <c r="G1362" s="30">
        <f t="shared" si="1382"/>
        <v>2400</v>
      </c>
      <c r="H1362" s="8">
        <v>25000</v>
      </c>
      <c r="I1362" s="30">
        <f t="shared" si="1383"/>
        <v>8000</v>
      </c>
      <c r="J1362" s="8">
        <v>25000</v>
      </c>
      <c r="K1362" s="30">
        <f t="shared" si="1384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VLOOKUP(VLOOKUP(DATEVALUE(TEXT(A1362,"m/d/yyyy")),FY24_Temp[],5,FALSE)&amp;TEXT(A1362,"-h"),Table6[],4,FALSE)</f>
        <v>0.82557142632348202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VLOOKUP(TEXT(A1362,"yy-mm")&amp;"-"&amp;IF(AND(WEEKDAY(A1362)&gt;1,WEEKDAY(A1362)&lt;7),"Wkd",TEXT(A1362,"Ddd"))&amp;"-"&amp;TEXT(A1362,"hh"),LoadTable[],5,FALSE)*0.92</f>
        <v>347.07460000000003</v>
      </c>
      <c r="U1362" s="104">
        <f>VLOOKUP(TEXT(A1362,"yy-mm")&amp;"-"&amp;IF(AND(WEEKDAY(A1362)&gt;1,WEEKDAY(A1362)&lt;7),"Wkd",TEXT(A1362,"Ddd"))&amp;"-"&amp;TEXT(A1362,"hh"),LoadTable[],6,FALSE)*T1362</f>
        <v>17934.732880400003</v>
      </c>
      <c r="V1362">
        <f t="shared" ref="V1362:W1362" si="1440">V1338</f>
        <v>3.2</v>
      </c>
      <c r="W1362">
        <f t="shared" si="1440"/>
        <v>2.9</v>
      </c>
      <c r="X1362" s="9">
        <v>-45.1642353166663</v>
      </c>
    </row>
    <row r="1363" spans="1:24">
      <c r="A1363" s="29">
        <f t="shared" si="1426"/>
        <v>45892.666666663368</v>
      </c>
      <c r="B1363" s="30">
        <f t="shared" si="1381"/>
        <v>8000</v>
      </c>
      <c r="C1363" s="8">
        <v>25000</v>
      </c>
      <c r="D1363" s="8">
        <v>0</v>
      </c>
      <c r="E1363" s="8">
        <v>700</v>
      </c>
      <c r="F1363" s="8">
        <v>15000</v>
      </c>
      <c r="G1363" s="30">
        <f t="shared" si="1382"/>
        <v>2400</v>
      </c>
      <c r="H1363" s="8">
        <v>25000</v>
      </c>
      <c r="I1363" s="30">
        <f t="shared" si="1383"/>
        <v>8000</v>
      </c>
      <c r="J1363" s="8">
        <v>25000</v>
      </c>
      <c r="K1363" s="30">
        <f t="shared" si="1384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VLOOKUP(VLOOKUP(DATEVALUE(TEXT(A1363,"m/d/yyyy")),FY24_Temp[],5,FALSE)&amp;TEXT(A1363,"-h"),Table6[],4,FALSE)</f>
        <v>0.73714286088943481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VLOOKUP(TEXT(A1363,"yy-mm")&amp;"-"&amp;IF(AND(WEEKDAY(A1363)&gt;1,WEEKDAY(A1363)&lt;7),"Wkd",TEXT(A1363,"Ddd"))&amp;"-"&amp;TEXT(A1363,"hh"),LoadTable[],5,FALSE)*0.92</f>
        <v>406.27384000000001</v>
      </c>
      <c r="U1363" s="104">
        <f>VLOOKUP(TEXT(A1363,"yy-mm")&amp;"-"&amp;IF(AND(WEEKDAY(A1363)&gt;1,WEEKDAY(A1363)&lt;7),"Wkd",TEXT(A1363,"Ddd"))&amp;"-"&amp;TEXT(A1363,"hh"),LoadTable[],6,FALSE)*T1363</f>
        <v>24574.692033920001</v>
      </c>
      <c r="V1363">
        <f t="shared" ref="V1363:W1363" si="1441">V1339</f>
        <v>3.5</v>
      </c>
      <c r="W1363">
        <f t="shared" si="1441"/>
        <v>3</v>
      </c>
      <c r="X1363" s="9">
        <v>-45.2420298666663</v>
      </c>
    </row>
    <row r="1364" spans="1:24">
      <c r="A1364" s="29">
        <f t="shared" si="1426"/>
        <v>45892.708333330032</v>
      </c>
      <c r="B1364" s="30">
        <f t="shared" si="1381"/>
        <v>8000</v>
      </c>
      <c r="C1364" s="8">
        <v>25000</v>
      </c>
      <c r="D1364" s="8">
        <v>0</v>
      </c>
      <c r="E1364" s="8">
        <v>700</v>
      </c>
      <c r="F1364" s="8">
        <v>15000</v>
      </c>
      <c r="G1364" s="30">
        <f t="shared" si="1382"/>
        <v>2400</v>
      </c>
      <c r="H1364" s="8">
        <v>25000</v>
      </c>
      <c r="I1364" s="30">
        <f t="shared" si="1383"/>
        <v>8000</v>
      </c>
      <c r="J1364" s="8">
        <v>25000</v>
      </c>
      <c r="K1364" s="30">
        <f t="shared" si="1384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VLOOKUP(VLOOKUP(DATEVALUE(TEXT(A1364,"m/d/yyyy")),FY24_Temp[],5,FALSE)&amp;TEXT(A1364,"-h"),Table6[],4,FALSE)</f>
        <v>0.86971428564616615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VLOOKUP(TEXT(A1364,"yy-mm")&amp;"-"&amp;IF(AND(WEEKDAY(A1364)&gt;1,WEEKDAY(A1364)&lt;7),"Wkd",TEXT(A1364,"Ddd"))&amp;"-"&amp;TEXT(A1364,"hh"),LoadTable[],5,FALSE)*0.92</f>
        <v>521.92427999999995</v>
      </c>
      <c r="U1364" s="104">
        <f>VLOOKUP(TEXT(A1364,"yy-mm")&amp;"-"&amp;IF(AND(WEEKDAY(A1364)&gt;1,WEEKDAY(A1364)&lt;7),"Wkd",TEXT(A1364,"Ddd"))&amp;"-"&amp;TEXT(A1364,"hh"),LoadTable[],6,FALSE)*T1364</f>
        <v>43053.011932919995</v>
      </c>
      <c r="V1364">
        <f t="shared" ref="V1364:W1364" si="1442">V1340</f>
        <v>3.6</v>
      </c>
      <c r="W1364">
        <f t="shared" si="1442"/>
        <v>3</v>
      </c>
      <c r="X1364" s="9">
        <v>-45.3198244166663</v>
      </c>
    </row>
    <row r="1365" spans="1:24">
      <c r="A1365" s="29">
        <f t="shared" si="1426"/>
        <v>45892.749999996697</v>
      </c>
      <c r="B1365" s="30">
        <f t="shared" si="1381"/>
        <v>5000</v>
      </c>
      <c r="C1365" s="8">
        <v>25000</v>
      </c>
      <c r="D1365" s="8">
        <v>0</v>
      </c>
      <c r="E1365" s="8">
        <v>700</v>
      </c>
      <c r="F1365" s="8">
        <v>15000</v>
      </c>
      <c r="G1365" s="30">
        <f t="shared" si="1382"/>
        <v>2400</v>
      </c>
      <c r="H1365" s="8">
        <v>25000</v>
      </c>
      <c r="I1365" s="30">
        <f t="shared" si="1383"/>
        <v>5000</v>
      </c>
      <c r="J1365" s="8">
        <v>25000</v>
      </c>
      <c r="K1365" s="30">
        <f t="shared" si="1384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VLOOKUP(VLOOKUP(DATEVALUE(TEXT(A1365,"m/d/yyyy")),FY24_Temp[],5,FALSE)&amp;TEXT(A1365,"-h"),Table6[],4,FALSE)</f>
        <v>1.2285714319774084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VLOOKUP(TEXT(A1365,"yy-mm")&amp;"-"&amp;IF(AND(WEEKDAY(A1365)&gt;1,WEEKDAY(A1365)&lt;7),"Wkd",TEXT(A1365,"Ddd"))&amp;"-"&amp;TEXT(A1365,"hh"),LoadTable[],5,FALSE)*0.92</f>
        <v>521.92427999999995</v>
      </c>
      <c r="U1365" s="104">
        <f>VLOOKUP(TEXT(A1365,"yy-mm")&amp;"-"&amp;IF(AND(WEEKDAY(A1365)&gt;1,WEEKDAY(A1365)&lt;7),"Wkd",TEXT(A1365,"Ddd"))&amp;"-"&amp;TEXT(A1365,"hh"),LoadTable[],6,FALSE)*T1365</f>
        <v>63421.628884199992</v>
      </c>
      <c r="V1365">
        <f t="shared" ref="V1365:W1365" si="1443">V1341</f>
        <v>2.9</v>
      </c>
      <c r="W1365">
        <f t="shared" si="1443"/>
        <v>3</v>
      </c>
      <c r="X1365" s="9">
        <v>-45.3976189666663</v>
      </c>
    </row>
    <row r="1366" spans="1:24">
      <c r="A1366" s="29">
        <f t="shared" si="1426"/>
        <v>45892.791666663361</v>
      </c>
      <c r="B1366" s="30">
        <f t="shared" si="1381"/>
        <v>5000</v>
      </c>
      <c r="C1366" s="8">
        <v>25000</v>
      </c>
      <c r="D1366" s="8">
        <v>0</v>
      </c>
      <c r="E1366" s="8">
        <v>700</v>
      </c>
      <c r="F1366" s="8">
        <v>15000</v>
      </c>
      <c r="G1366" s="30">
        <f t="shared" si="1382"/>
        <v>2400</v>
      </c>
      <c r="H1366" s="8">
        <v>25000</v>
      </c>
      <c r="I1366" s="30">
        <f t="shared" si="1383"/>
        <v>5000</v>
      </c>
      <c r="J1366" s="8">
        <v>25000</v>
      </c>
      <c r="K1366" s="30">
        <f t="shared" si="1384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VLOOKUP(VLOOKUP(DATEVALUE(TEXT(A1366,"m/d/yyyy")),FY24_Temp[],5,FALSE)&amp;TEXT(A1366,"-h"),Table6[],4,FALSE)</f>
        <v>1.949428609439305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VLOOKUP(TEXT(A1366,"yy-mm")&amp;"-"&amp;IF(AND(WEEKDAY(A1366)&gt;1,WEEKDAY(A1366)&lt;7),"Wkd",TEXT(A1366,"Ddd"))&amp;"-"&amp;TEXT(A1366,"hh"),LoadTable[],5,FALSE)*0.92</f>
        <v>521.92427999999995</v>
      </c>
      <c r="U1366" s="104">
        <f>VLOOKUP(TEXT(A1366,"yy-mm")&amp;"-"&amp;IF(AND(WEEKDAY(A1366)&gt;1,WEEKDAY(A1366)&lt;7),"Wkd",TEXT(A1366,"Ddd"))&amp;"-"&amp;TEXT(A1366,"hh"),LoadTable[],6,FALSE)*T1366</f>
        <v>68432.101972200006</v>
      </c>
      <c r="V1366">
        <f t="shared" ref="V1366:W1366" si="1444">V1342</f>
        <v>3</v>
      </c>
      <c r="W1366">
        <f t="shared" si="1444"/>
        <v>3</v>
      </c>
      <c r="X1366" s="9">
        <v>-45.4754135166663</v>
      </c>
    </row>
    <row r="1367" spans="1:24">
      <c r="A1367" s="29">
        <f t="shared" si="1426"/>
        <v>45892.833333330025</v>
      </c>
      <c r="B1367" s="30">
        <f t="shared" si="1381"/>
        <v>5000</v>
      </c>
      <c r="C1367" s="8">
        <v>25000</v>
      </c>
      <c r="D1367" s="8">
        <v>0</v>
      </c>
      <c r="E1367" s="8">
        <v>700</v>
      </c>
      <c r="F1367" s="8">
        <v>15000</v>
      </c>
      <c r="G1367" s="30">
        <f t="shared" si="1382"/>
        <v>2400</v>
      </c>
      <c r="H1367" s="8">
        <v>25000</v>
      </c>
      <c r="I1367" s="30">
        <f t="shared" si="1383"/>
        <v>5000</v>
      </c>
      <c r="J1367" s="8">
        <v>25000</v>
      </c>
      <c r="K1367" s="30">
        <f t="shared" si="1384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VLOOKUP(VLOOKUP(DATEVALUE(TEXT(A1367,"m/d/yyyy")),FY24_Temp[],5,FALSE)&amp;TEXT(A1367,"-h"),Table6[],4,FALSE)</f>
        <v>2.732428584780012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VLOOKUP(TEXT(A1367,"yy-mm")&amp;"-"&amp;IF(AND(WEEKDAY(A1367)&gt;1,WEEKDAY(A1367)&lt;7),"Wkd",TEXT(A1367,"Ddd"))&amp;"-"&amp;TEXT(A1367,"hh"),LoadTable[],5,FALSE)*0.92</f>
        <v>521.92427999999995</v>
      </c>
      <c r="U1367" s="104">
        <f>VLOOKUP(TEXT(A1367,"yy-mm")&amp;"-"&amp;IF(AND(WEEKDAY(A1367)&gt;1,WEEKDAY(A1367)&lt;7),"Wkd",TEXT(A1367,"Ddd"))&amp;"-"&amp;TEXT(A1367,"hh"),LoadTable[],6,FALSE)*T1367</f>
        <v>60683.092187039998</v>
      </c>
      <c r="V1367">
        <f t="shared" ref="V1367:W1367" si="1445">V1343</f>
        <v>2.8</v>
      </c>
      <c r="W1367">
        <f t="shared" si="1445"/>
        <v>3.1</v>
      </c>
      <c r="X1367" s="9">
        <v>-45.553208066666301</v>
      </c>
    </row>
    <row r="1368" spans="1:24">
      <c r="A1368" s="29">
        <f t="shared" si="1426"/>
        <v>45892.874999996689</v>
      </c>
      <c r="B1368" s="30">
        <f t="shared" si="1381"/>
        <v>5000</v>
      </c>
      <c r="C1368" s="8">
        <v>25000</v>
      </c>
      <c r="D1368" s="8">
        <v>0</v>
      </c>
      <c r="E1368" s="8">
        <v>700</v>
      </c>
      <c r="F1368" s="8">
        <v>15000</v>
      </c>
      <c r="G1368" s="30">
        <f t="shared" si="1382"/>
        <v>2400</v>
      </c>
      <c r="H1368" s="8">
        <v>25000</v>
      </c>
      <c r="I1368" s="30">
        <f t="shared" si="1383"/>
        <v>5000</v>
      </c>
      <c r="J1368" s="8">
        <v>25000</v>
      </c>
      <c r="K1368" s="30">
        <f t="shared" si="1384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VLOOKUP(VLOOKUP(DATEVALUE(TEXT(A1368,"m/d/yyyy")),FY24_Temp[],5,FALSE)&amp;TEXT(A1368,"-h"),Table6[],4,FALSE)</f>
        <v>2.9708571093423024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VLOOKUP(TEXT(A1368,"yy-mm")&amp;"-"&amp;IF(AND(WEEKDAY(A1368)&gt;1,WEEKDAY(A1368)&lt;7),"Wkd",TEXT(A1368,"Ddd"))&amp;"-"&amp;TEXT(A1368,"hh"),LoadTable[],5,FALSE)*0.92</f>
        <v>521.92427999999995</v>
      </c>
      <c r="U1368" s="104">
        <f>VLOOKUP(TEXT(A1368,"yy-mm")&amp;"-"&amp;IF(AND(WEEKDAY(A1368)&gt;1,WEEKDAY(A1368)&lt;7),"Wkd",TEXT(A1368,"Ddd"))&amp;"-"&amp;TEXT(A1368,"hh"),LoadTable[],6,FALSE)*T1368</f>
        <v>49717.463064239993</v>
      </c>
      <c r="V1368">
        <f t="shared" ref="V1368:W1368" si="1446">V1344</f>
        <v>3.5</v>
      </c>
      <c r="W1368">
        <f t="shared" si="1446"/>
        <v>3.1</v>
      </c>
      <c r="X1368" s="9">
        <v>-45.631002616666301</v>
      </c>
    </row>
    <row r="1369" spans="1:24">
      <c r="A1369" s="29">
        <f t="shared" si="1426"/>
        <v>45892.916666663354</v>
      </c>
      <c r="B1369" s="30">
        <f t="shared" si="1381"/>
        <v>5000</v>
      </c>
      <c r="C1369" s="8">
        <v>25000</v>
      </c>
      <c r="D1369" s="8">
        <v>0</v>
      </c>
      <c r="E1369" s="8">
        <v>700</v>
      </c>
      <c r="F1369" s="8">
        <v>15000</v>
      </c>
      <c r="G1369" s="30">
        <f t="shared" si="1382"/>
        <v>2400</v>
      </c>
      <c r="H1369" s="8">
        <v>25000</v>
      </c>
      <c r="I1369" s="30">
        <f t="shared" si="1383"/>
        <v>5000</v>
      </c>
      <c r="J1369" s="8">
        <v>25000</v>
      </c>
      <c r="K1369" s="30">
        <f t="shared" si="1384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VLOOKUP(VLOOKUP(DATEVALUE(TEXT(A1369,"m/d/yyyy")),FY24_Temp[],5,FALSE)&amp;TEXT(A1369,"-h"),Table6[],4,FALSE)</f>
        <v>2.9297142710004533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VLOOKUP(TEXT(A1369,"yy-mm")&amp;"-"&amp;IF(AND(WEEKDAY(A1369)&gt;1,WEEKDAY(A1369)&lt;7),"Wkd",TEXT(A1369,"Ddd"))&amp;"-"&amp;TEXT(A1369,"hh"),LoadTable[],5,FALSE)*0.92</f>
        <v>447.02432000000005</v>
      </c>
      <c r="U1369" s="104">
        <f>VLOOKUP(TEXT(A1369,"yy-mm")&amp;"-"&amp;IF(AND(WEEKDAY(A1369)&gt;1,WEEKDAY(A1369)&lt;7),"Wkd",TEXT(A1369,"Ddd"))&amp;"-"&amp;TEXT(A1369,"hh"),LoadTable[],6,FALSE)*T1369</f>
        <v>27025.302289920004</v>
      </c>
      <c r="V1369">
        <f t="shared" ref="V1369:W1369" si="1447">V1345</f>
        <v>2.9</v>
      </c>
      <c r="W1369">
        <f t="shared" si="1447"/>
        <v>3.1</v>
      </c>
      <c r="X1369" s="9">
        <v>-45.708797166666301</v>
      </c>
    </row>
    <row r="1370" spans="1:24">
      <c r="A1370" s="29">
        <f t="shared" si="1426"/>
        <v>45892.958333330018</v>
      </c>
      <c r="B1370" s="30">
        <f t="shared" si="1381"/>
        <v>5000</v>
      </c>
      <c r="C1370" s="8">
        <v>25000</v>
      </c>
      <c r="D1370" s="8">
        <v>0</v>
      </c>
      <c r="E1370" s="8">
        <v>700</v>
      </c>
      <c r="F1370" s="8">
        <v>15000</v>
      </c>
      <c r="G1370" s="30">
        <f t="shared" si="1382"/>
        <v>2400</v>
      </c>
      <c r="H1370" s="8">
        <v>25000</v>
      </c>
      <c r="I1370" s="30">
        <f t="shared" si="1383"/>
        <v>5000</v>
      </c>
      <c r="J1370" s="8">
        <v>25000</v>
      </c>
      <c r="K1370" s="30">
        <f t="shared" si="1384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VLOOKUP(VLOOKUP(DATEVALUE(TEXT(A1370,"m/d/yyyy")),FY24_Temp[],5,FALSE)&amp;TEXT(A1370,"-h"),Table6[],4,FALSE)</f>
        <v>2.8045714242117747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VLOOKUP(TEXT(A1370,"yy-mm")&amp;"-"&amp;IF(AND(WEEKDAY(A1370)&gt;1,WEEKDAY(A1370)&lt;7),"Wkd",TEXT(A1370,"Ddd"))&amp;"-"&amp;TEXT(A1370,"hh"),LoadTable[],5,FALSE)*0.92</f>
        <v>372.12436000000002</v>
      </c>
      <c r="U1370" s="104">
        <f>VLOOKUP(TEXT(A1370,"yy-mm")&amp;"-"&amp;IF(AND(WEEKDAY(A1370)&gt;1,WEEKDAY(A1370)&lt;7),"Wkd",TEXT(A1370,"Ddd"))&amp;"-"&amp;TEXT(A1370,"hh"),LoadTable[],6,FALSE)*T1370</f>
        <v>20353.341870200002</v>
      </c>
      <c r="V1370">
        <f t="shared" ref="V1370:W1370" si="1448">V1346</f>
        <v>3.6</v>
      </c>
      <c r="W1370">
        <f t="shared" si="1448"/>
        <v>3.1</v>
      </c>
      <c r="X1370" s="9">
        <v>-45.786591716666301</v>
      </c>
    </row>
    <row r="1371" spans="1:24">
      <c r="A1371" s="29">
        <f t="shared" si="1426"/>
        <v>45892.999999996682</v>
      </c>
      <c r="B1371" s="30">
        <f t="shared" si="1381"/>
        <v>5000</v>
      </c>
      <c r="C1371" s="8">
        <v>25000</v>
      </c>
      <c r="D1371" s="8">
        <v>0</v>
      </c>
      <c r="E1371" s="8">
        <v>700</v>
      </c>
      <c r="F1371" s="8">
        <v>15000</v>
      </c>
      <c r="G1371" s="30">
        <f t="shared" si="1382"/>
        <v>2400</v>
      </c>
      <c r="H1371" s="8">
        <v>25000</v>
      </c>
      <c r="I1371" s="30">
        <f t="shared" si="1383"/>
        <v>5000</v>
      </c>
      <c r="J1371" s="8">
        <v>25000</v>
      </c>
      <c r="K1371" s="30">
        <f t="shared" si="1384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VLOOKUP(VLOOKUP(DATEVALUE(TEXT(A1371,"m/d/yyyy")),FY24_Temp[],5,FALSE)&amp;TEXT(A1371,"-h"),Table6[],4,FALSE)</f>
        <v>2.707571404320853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VLOOKUP(TEXT(A1371,"yy-mm")&amp;"-"&amp;IF(AND(WEEKDAY(A1371)&gt;1,WEEKDAY(A1371)&lt;7),"Wkd",TEXT(A1371,"Ddd"))&amp;"-"&amp;TEXT(A1371,"hh"),LoadTable[],5,FALSE)*0.92</f>
        <v>297.2244</v>
      </c>
      <c r="U1371" s="104">
        <f>VLOOKUP(TEXT(A1371,"yy-mm")&amp;"-"&amp;IF(AND(WEEKDAY(A1371)&gt;1,WEEKDAY(A1371)&lt;7),"Wkd",TEXT(A1371,"Ddd"))&amp;"-"&amp;TEXT(A1371,"hh"),LoadTable[],6,FALSE)*T1371</f>
        <v>16465.042862400001</v>
      </c>
      <c r="V1371">
        <f t="shared" ref="V1371:W1371" si="1449">V1347</f>
        <v>3</v>
      </c>
      <c r="W1371">
        <f t="shared" si="1449"/>
        <v>3.2</v>
      </c>
      <c r="X1371" s="9">
        <v>-45.864386266666301</v>
      </c>
    </row>
    <row r="1372" spans="1:24">
      <c r="A1372" s="29">
        <f t="shared" si="1426"/>
        <v>45893.041666663346</v>
      </c>
      <c r="B1372" s="30">
        <f t="shared" ref="B1372:B1435" si="1450">B1348</f>
        <v>5000</v>
      </c>
      <c r="C1372" s="8">
        <v>25000</v>
      </c>
      <c r="D1372" s="8">
        <v>0</v>
      </c>
      <c r="E1372" s="8">
        <v>700</v>
      </c>
      <c r="F1372" s="8">
        <v>15000</v>
      </c>
      <c r="G1372" s="30">
        <f t="shared" ref="G1372:G1435" si="1451">G1348</f>
        <v>2400</v>
      </c>
      <c r="H1372" s="8">
        <v>25000</v>
      </c>
      <c r="I1372" s="30">
        <f t="shared" ref="I1372:I1435" si="1452">I1348</f>
        <v>5000</v>
      </c>
      <c r="J1372" s="8">
        <v>25000</v>
      </c>
      <c r="K1372" s="30">
        <f t="shared" ref="K1372:K1435" si="1453">K1348</f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VLOOKUP(VLOOKUP(DATEVALUE(TEXT(A1372,"m/d/yyyy")),FY24_Temp[],5,FALSE)&amp;TEXT(A1372,"-h"),Table6[],4,FALSE)</f>
        <v>2.6045714105878557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VLOOKUP(TEXT(A1372,"yy-mm")&amp;"-"&amp;IF(AND(WEEKDAY(A1372)&gt;1,WEEKDAY(A1372)&lt;7),"Wkd",TEXT(A1372,"Ddd"))&amp;"-"&amp;TEXT(A1372,"hh"),LoadTable[],5,FALSE)*0.92</f>
        <v>295.12680000000006</v>
      </c>
      <c r="U1372" s="104">
        <f>VLOOKUP(TEXT(A1372,"yy-mm")&amp;"-"&amp;IF(AND(WEEKDAY(A1372)&gt;1,WEEKDAY(A1372)&lt;7),"Wkd",TEXT(A1372,"Ddd"))&amp;"-"&amp;TEXT(A1372,"hh"),LoadTable[],6,FALSE)*T1372</f>
        <v>15879.592600800002</v>
      </c>
      <c r="V1372">
        <f t="shared" ref="V1372:W1372" si="1454">V1348</f>
        <v>2.6</v>
      </c>
      <c r="W1372">
        <f t="shared" si="1454"/>
        <v>3.2</v>
      </c>
      <c r="X1372" s="9">
        <v>-45.942180816666301</v>
      </c>
    </row>
    <row r="1373" spans="1:24">
      <c r="A1373" s="29">
        <f t="shared" si="1426"/>
        <v>45893.083333330011</v>
      </c>
      <c r="B1373" s="30">
        <f t="shared" si="1450"/>
        <v>5000</v>
      </c>
      <c r="C1373" s="8">
        <v>25000</v>
      </c>
      <c r="D1373" s="8">
        <v>0</v>
      </c>
      <c r="E1373" s="8">
        <v>700</v>
      </c>
      <c r="F1373" s="8">
        <v>15000</v>
      </c>
      <c r="G1373" s="30">
        <f t="shared" si="1451"/>
        <v>2400</v>
      </c>
      <c r="H1373" s="8">
        <v>25000</v>
      </c>
      <c r="I1373" s="30">
        <f t="shared" si="1452"/>
        <v>5000</v>
      </c>
      <c r="J1373" s="8">
        <v>25000</v>
      </c>
      <c r="K1373" s="30">
        <f t="shared" si="1453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VLOOKUP(VLOOKUP(DATEVALUE(TEXT(A1373,"m/d/yyyy")),FY24_Temp[],5,FALSE)&amp;TEXT(A1373,"-h"),Table6[],4,FALSE)</f>
        <v>2.5119999476841519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VLOOKUP(TEXT(A1373,"yy-mm")&amp;"-"&amp;IF(AND(WEEKDAY(A1373)&gt;1,WEEKDAY(A1373)&lt;7),"Wkd",TEXT(A1373,"Ddd"))&amp;"-"&amp;TEXT(A1373,"hh"),LoadTable[],5,FALSE)*0.92</f>
        <v>295.12680000000006</v>
      </c>
      <c r="U1373" s="104">
        <f>VLOOKUP(TEXT(A1373,"yy-mm")&amp;"-"&amp;IF(AND(WEEKDAY(A1373)&gt;1,WEEKDAY(A1373)&lt;7),"Wkd",TEXT(A1373,"Ddd"))&amp;"-"&amp;TEXT(A1373,"hh"),LoadTable[],6,FALSE)*T1373</f>
        <v>15515.701256400003</v>
      </c>
      <c r="V1373">
        <f t="shared" ref="V1373:W1373" si="1455">V1349</f>
        <v>2.8</v>
      </c>
      <c r="W1373">
        <f t="shared" si="1455"/>
        <v>3.2</v>
      </c>
      <c r="X1373" s="9">
        <v>-46.019975366666301</v>
      </c>
    </row>
    <row r="1374" spans="1:24">
      <c r="A1374" s="29">
        <f t="shared" si="1426"/>
        <v>45893.124999996675</v>
      </c>
      <c r="B1374" s="30">
        <f t="shared" si="1450"/>
        <v>5000</v>
      </c>
      <c r="C1374" s="8">
        <v>25000</v>
      </c>
      <c r="D1374" s="8">
        <v>0</v>
      </c>
      <c r="E1374" s="8">
        <v>700</v>
      </c>
      <c r="F1374" s="8">
        <v>15000</v>
      </c>
      <c r="G1374" s="30">
        <f t="shared" si="1451"/>
        <v>2400</v>
      </c>
      <c r="H1374" s="8">
        <v>25000</v>
      </c>
      <c r="I1374" s="30">
        <f t="shared" si="1452"/>
        <v>5000</v>
      </c>
      <c r="J1374" s="8">
        <v>25000</v>
      </c>
      <c r="K1374" s="30">
        <f t="shared" si="1453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VLOOKUP(VLOOKUP(DATEVALUE(TEXT(A1374,"m/d/yyyy")),FY24_Temp[],5,FALSE)&amp;TEXT(A1374,"-h"),Table6[],4,FALSE)</f>
        <v>2.3667143072400774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VLOOKUP(TEXT(A1374,"yy-mm")&amp;"-"&amp;IF(AND(WEEKDAY(A1374)&gt;1,WEEKDAY(A1374)&lt;7),"Wkd",TEXT(A1374,"Ddd"))&amp;"-"&amp;TEXT(A1374,"hh"),LoadTable[],5,FALSE)*0.92</f>
        <v>295.12680000000006</v>
      </c>
      <c r="U1374" s="104">
        <f>VLOOKUP(TEXT(A1374,"yy-mm")&amp;"-"&amp;IF(AND(WEEKDAY(A1374)&gt;1,WEEKDAY(A1374)&lt;7),"Wkd",TEXT(A1374,"Ddd"))&amp;"-"&amp;TEXT(A1374,"hh"),LoadTable[],6,FALSE)*T1374</f>
        <v>15142.956108000004</v>
      </c>
      <c r="V1374">
        <f t="shared" ref="V1374:W1374" si="1456">V1350</f>
        <v>2.7</v>
      </c>
      <c r="W1374">
        <f t="shared" si="1456"/>
        <v>3.2</v>
      </c>
      <c r="X1374" s="9">
        <v>-46.097769916666302</v>
      </c>
    </row>
    <row r="1375" spans="1:24">
      <c r="A1375" s="29">
        <f t="shared" si="1426"/>
        <v>45893.166666663339</v>
      </c>
      <c r="B1375" s="30">
        <f t="shared" si="1450"/>
        <v>5000</v>
      </c>
      <c r="C1375" s="8">
        <v>25000</v>
      </c>
      <c r="D1375" s="8">
        <v>0</v>
      </c>
      <c r="E1375" s="8">
        <v>700</v>
      </c>
      <c r="F1375" s="8">
        <v>15000</v>
      </c>
      <c r="G1375" s="30">
        <f t="shared" si="1451"/>
        <v>2400</v>
      </c>
      <c r="H1375" s="8">
        <v>25000</v>
      </c>
      <c r="I1375" s="30">
        <f t="shared" si="1452"/>
        <v>5000</v>
      </c>
      <c r="J1375" s="8">
        <v>25000</v>
      </c>
      <c r="K1375" s="30">
        <f t="shared" si="1453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VLOOKUP(VLOOKUP(DATEVALUE(TEXT(A1375,"m/d/yyyy")),FY24_Temp[],5,FALSE)&amp;TEXT(A1375,"-h"),Table6[],4,FALSE)</f>
        <v>2.2025713920593262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VLOOKUP(TEXT(A1375,"yy-mm")&amp;"-"&amp;IF(AND(WEEKDAY(A1375)&gt;1,WEEKDAY(A1375)&lt;7),"Wkd",TEXT(A1375,"Ddd"))&amp;"-"&amp;TEXT(A1375,"hh"),LoadTable[],5,FALSE)*0.92</f>
        <v>295.12680000000006</v>
      </c>
      <c r="U1375" s="104">
        <f>VLOOKUP(TEXT(A1375,"yy-mm")&amp;"-"&amp;IF(AND(WEEKDAY(A1375)&gt;1,WEEKDAY(A1375)&lt;7),"Wkd",TEXT(A1375,"Ddd"))&amp;"-"&amp;TEXT(A1375,"hh"),LoadTable[],6,FALSE)*T1375</f>
        <v>15692.777336400004</v>
      </c>
      <c r="V1375">
        <f t="shared" ref="V1375:W1375" si="1457">V1351</f>
        <v>3</v>
      </c>
      <c r="W1375">
        <f t="shared" si="1457"/>
        <v>3.1</v>
      </c>
      <c r="X1375" s="9">
        <v>-46.175564466666302</v>
      </c>
    </row>
    <row r="1376" spans="1:24">
      <c r="A1376" s="29">
        <f t="shared" si="1426"/>
        <v>45893.208333330003</v>
      </c>
      <c r="B1376" s="30">
        <f t="shared" si="1450"/>
        <v>5000</v>
      </c>
      <c r="C1376" s="8">
        <v>25000</v>
      </c>
      <c r="D1376" s="8">
        <v>0</v>
      </c>
      <c r="E1376" s="8">
        <v>700</v>
      </c>
      <c r="F1376" s="8">
        <v>15000</v>
      </c>
      <c r="G1376" s="30">
        <f t="shared" si="1451"/>
        <v>2400</v>
      </c>
      <c r="H1376" s="8">
        <v>25000</v>
      </c>
      <c r="I1376" s="30">
        <f t="shared" si="1452"/>
        <v>5000</v>
      </c>
      <c r="J1376" s="8">
        <v>25000</v>
      </c>
      <c r="K1376" s="30">
        <f t="shared" si="1453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VLOOKUP(VLOOKUP(DATEVALUE(TEXT(A1376,"m/d/yyyy")),FY24_Temp[],5,FALSE)&amp;TEXT(A1376,"-h"),Table6[],4,FALSE)</f>
        <v>2.0452857358115062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VLOOKUP(TEXT(A1376,"yy-mm")&amp;"-"&amp;IF(AND(WEEKDAY(A1376)&gt;1,WEEKDAY(A1376)&lt;7),"Wkd",TEXT(A1376,"Ddd"))&amp;"-"&amp;TEXT(A1376,"hh"),LoadTable[],5,FALSE)*0.92</f>
        <v>295.12680000000006</v>
      </c>
      <c r="U1376" s="104">
        <f>VLOOKUP(TEXT(A1376,"yy-mm")&amp;"-"&amp;IF(AND(WEEKDAY(A1376)&gt;1,WEEKDAY(A1376)&lt;7),"Wkd",TEXT(A1376,"Ddd"))&amp;"-"&amp;TEXT(A1376,"hh"),LoadTable[],6,FALSE)*T1376</f>
        <v>16038.961072800003</v>
      </c>
      <c r="V1376">
        <f t="shared" ref="V1376:W1376" si="1458">V1352</f>
        <v>2.9</v>
      </c>
      <c r="W1376">
        <f t="shared" si="1458"/>
        <v>3.1</v>
      </c>
      <c r="X1376" s="9">
        <v>-46.253359016666302</v>
      </c>
    </row>
    <row r="1377" spans="1:24">
      <c r="A1377" s="29">
        <f t="shared" si="1426"/>
        <v>45893.249999996668</v>
      </c>
      <c r="B1377" s="30">
        <f t="shared" si="1450"/>
        <v>8000</v>
      </c>
      <c r="C1377" s="8">
        <v>25000</v>
      </c>
      <c r="D1377" s="8">
        <v>0</v>
      </c>
      <c r="E1377" s="8">
        <v>700</v>
      </c>
      <c r="F1377" s="8">
        <v>15000</v>
      </c>
      <c r="G1377" s="30">
        <f t="shared" si="1451"/>
        <v>2400</v>
      </c>
      <c r="H1377" s="8">
        <v>25000</v>
      </c>
      <c r="I1377" s="30">
        <f t="shared" si="1452"/>
        <v>8000</v>
      </c>
      <c r="J1377" s="8">
        <v>25000</v>
      </c>
      <c r="K1377" s="30">
        <f t="shared" si="1453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VLOOKUP(VLOOKUP(DATEVALUE(TEXT(A1377,"m/d/yyyy")),FY24_Temp[],5,FALSE)&amp;TEXT(A1377,"-h"),Table6[],4,FALSE)</f>
        <v>1.9314285516738892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VLOOKUP(TEXT(A1377,"yy-mm")&amp;"-"&amp;IF(AND(WEEKDAY(A1377)&gt;1,WEEKDAY(A1377)&lt;7),"Wkd",TEXT(A1377,"Ddd"))&amp;"-"&amp;TEXT(A1377,"hh"),LoadTable[],5,FALSE)*0.92</f>
        <v>295.12680000000006</v>
      </c>
      <c r="U1377" s="104">
        <f>VLOOKUP(TEXT(A1377,"yy-mm")&amp;"-"&amp;IF(AND(WEEKDAY(A1377)&gt;1,WEEKDAY(A1377)&lt;7),"Wkd",TEXT(A1377,"Ddd"))&amp;"-"&amp;TEXT(A1377,"hh"),LoadTable[],6,FALSE)*T1377</f>
        <v>20378.800666800005</v>
      </c>
      <c r="V1377">
        <f t="shared" ref="V1377:W1377" si="1459">V1353</f>
        <v>2.5</v>
      </c>
      <c r="W1377">
        <f t="shared" si="1459"/>
        <v>3.1</v>
      </c>
      <c r="X1377" s="9">
        <v>-46.331153566666302</v>
      </c>
    </row>
    <row r="1378" spans="1:24">
      <c r="A1378" s="29">
        <f t="shared" si="1426"/>
        <v>45893.291666663332</v>
      </c>
      <c r="B1378" s="30">
        <f t="shared" si="1450"/>
        <v>8000</v>
      </c>
      <c r="C1378" s="8">
        <v>25000</v>
      </c>
      <c r="D1378" s="8">
        <v>0</v>
      </c>
      <c r="E1378" s="8">
        <v>700</v>
      </c>
      <c r="F1378" s="8">
        <v>15000</v>
      </c>
      <c r="G1378" s="30">
        <f t="shared" si="1451"/>
        <v>2400</v>
      </c>
      <c r="H1378" s="8">
        <v>25000</v>
      </c>
      <c r="I1378" s="30">
        <f t="shared" si="1452"/>
        <v>8000</v>
      </c>
      <c r="J1378" s="8">
        <v>25000</v>
      </c>
      <c r="K1378" s="30">
        <f t="shared" si="1453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VLOOKUP(VLOOKUP(DATEVALUE(TEXT(A1378,"m/d/yyyy")),FY24_Temp[],5,FALSE)&amp;TEXT(A1378,"-h"),Table6[],4,FALSE)</f>
        <v>1.8508571556636266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VLOOKUP(TEXT(A1378,"yy-mm")&amp;"-"&amp;IF(AND(WEEKDAY(A1378)&gt;1,WEEKDAY(A1378)&lt;7),"Wkd",TEXT(A1378,"Ddd"))&amp;"-"&amp;TEXT(A1378,"hh"),LoadTable[],5,FALSE)*0.92</f>
        <v>295.12680000000006</v>
      </c>
      <c r="U1378" s="104">
        <f>VLOOKUP(TEXT(A1378,"yy-mm")&amp;"-"&amp;IF(AND(WEEKDAY(A1378)&gt;1,WEEKDAY(A1378)&lt;7),"Wkd",TEXT(A1378,"Ddd"))&amp;"-"&amp;TEXT(A1378,"hh"),LoadTable[],6,FALSE)*T1378</f>
        <v>17926.592085600001</v>
      </c>
      <c r="V1378">
        <f t="shared" ref="V1378:W1378" si="1460">V1354</f>
        <v>2.5</v>
      </c>
      <c r="W1378">
        <f t="shared" si="1460"/>
        <v>3.1</v>
      </c>
      <c r="X1378" s="9">
        <v>-46.408948116666302</v>
      </c>
    </row>
    <row r="1379" spans="1:24">
      <c r="A1379" s="29">
        <f t="shared" si="1426"/>
        <v>45893.333333329996</v>
      </c>
      <c r="B1379" s="30">
        <f t="shared" si="1450"/>
        <v>8000</v>
      </c>
      <c r="C1379" s="8">
        <v>25000</v>
      </c>
      <c r="D1379" s="8">
        <v>0</v>
      </c>
      <c r="E1379" s="8">
        <v>700</v>
      </c>
      <c r="F1379" s="8">
        <v>15000</v>
      </c>
      <c r="G1379" s="30">
        <f t="shared" si="1451"/>
        <v>2400</v>
      </c>
      <c r="H1379" s="8">
        <v>25000</v>
      </c>
      <c r="I1379" s="30">
        <f t="shared" si="1452"/>
        <v>8000</v>
      </c>
      <c r="J1379" s="8">
        <v>25000</v>
      </c>
      <c r="K1379" s="30">
        <f t="shared" si="1453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VLOOKUP(VLOOKUP(DATEVALUE(TEXT(A1379,"m/d/yyyy")),FY24_Temp[],5,FALSE)&amp;TEXT(A1379,"-h"),Table6[],4,FALSE)</f>
        <v>1.7464285748345512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VLOOKUP(TEXT(A1379,"yy-mm")&amp;"-"&amp;IF(AND(WEEKDAY(A1379)&gt;1,WEEKDAY(A1379)&lt;7),"Wkd",TEXT(A1379,"Ddd"))&amp;"-"&amp;TEXT(A1379,"hh"),LoadTable[],5,FALSE)*0.92</f>
        <v>295.12680000000006</v>
      </c>
      <c r="U1379" s="104">
        <f>VLOOKUP(TEXT(A1379,"yy-mm")&amp;"-"&amp;IF(AND(WEEKDAY(A1379)&gt;1,WEEKDAY(A1379)&lt;7),"Wkd",TEXT(A1379,"Ddd"))&amp;"-"&amp;TEXT(A1379,"hh"),LoadTable[],6,FALSE)*T1379</f>
        <v>15446.641585200003</v>
      </c>
      <c r="V1379">
        <f t="shared" ref="V1379:W1379" si="1461">V1355</f>
        <v>3.2</v>
      </c>
      <c r="W1379">
        <f t="shared" si="1461"/>
        <v>3</v>
      </c>
      <c r="X1379" s="9">
        <v>-46.486742666666302</v>
      </c>
    </row>
    <row r="1380" spans="1:24">
      <c r="A1380" s="29">
        <f t="shared" si="1426"/>
        <v>45893.37499999666</v>
      </c>
      <c r="B1380" s="30">
        <f t="shared" si="1450"/>
        <v>8000</v>
      </c>
      <c r="C1380" s="8">
        <v>25000</v>
      </c>
      <c r="D1380" s="8">
        <v>0</v>
      </c>
      <c r="E1380" s="8">
        <v>700</v>
      </c>
      <c r="F1380" s="8">
        <v>15000</v>
      </c>
      <c r="G1380" s="30">
        <f t="shared" si="1451"/>
        <v>2400</v>
      </c>
      <c r="H1380" s="8">
        <v>25000</v>
      </c>
      <c r="I1380" s="30">
        <f t="shared" si="1452"/>
        <v>8000</v>
      </c>
      <c r="J1380" s="8">
        <v>25000</v>
      </c>
      <c r="K1380" s="30">
        <f t="shared" si="1453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VLOOKUP(VLOOKUP(DATEVALUE(TEXT(A1380,"m/d/yyyy")),FY24_Temp[],5,FALSE)&amp;TEXT(A1380,"-h"),Table6[],4,FALSE)</f>
        <v>1.6497142996106828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VLOOKUP(TEXT(A1380,"yy-mm")&amp;"-"&amp;IF(AND(WEEKDAY(A1380)&gt;1,WEEKDAY(A1380)&lt;7),"Wkd",TEXT(A1380,"Ddd"))&amp;"-"&amp;TEXT(A1380,"hh"),LoadTable[],5,FALSE)*0.92</f>
        <v>295.12680000000006</v>
      </c>
      <c r="U1380" s="104">
        <f>VLOOKUP(TEXT(A1380,"yy-mm")&amp;"-"&amp;IF(AND(WEEKDAY(A1380)&gt;1,WEEKDAY(A1380)&lt;7),"Wkd",TEXT(A1380,"Ddd"))&amp;"-"&amp;TEXT(A1380,"hh"),LoadTable[],6,FALSE)*T1380</f>
        <v>13546.615246800004</v>
      </c>
      <c r="V1380">
        <f t="shared" ref="V1380:W1380" si="1462">V1356</f>
        <v>2.9</v>
      </c>
      <c r="W1380">
        <f t="shared" si="1462"/>
        <v>3</v>
      </c>
      <c r="X1380" s="9">
        <v>-46.564537216666302</v>
      </c>
    </row>
    <row r="1381" spans="1:24">
      <c r="A1381" s="29">
        <f t="shared" si="1426"/>
        <v>45893.416666663325</v>
      </c>
      <c r="B1381" s="30">
        <f t="shared" si="1450"/>
        <v>8000</v>
      </c>
      <c r="C1381" s="8">
        <v>25000</v>
      </c>
      <c r="D1381" s="8">
        <v>0</v>
      </c>
      <c r="E1381" s="8">
        <v>700</v>
      </c>
      <c r="F1381" s="8">
        <v>15000</v>
      </c>
      <c r="G1381" s="30">
        <f t="shared" si="1451"/>
        <v>2400</v>
      </c>
      <c r="H1381" s="8">
        <v>25000</v>
      </c>
      <c r="I1381" s="30">
        <f t="shared" si="1452"/>
        <v>8000</v>
      </c>
      <c r="J1381" s="8">
        <v>25000</v>
      </c>
      <c r="K1381" s="30">
        <f t="shared" si="1453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VLOOKUP(VLOOKUP(DATEVALUE(TEXT(A1381,"m/d/yyyy")),FY24_Temp[],5,FALSE)&amp;TEXT(A1381,"-h"),Table6[],4,FALSE)</f>
        <v>1.5668571165629797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VLOOKUP(TEXT(A1381,"yy-mm")&amp;"-"&amp;IF(AND(WEEKDAY(A1381)&gt;1,WEEKDAY(A1381)&lt;7),"Wkd",TEXT(A1381,"Ddd"))&amp;"-"&amp;TEXT(A1381,"hh"),LoadTable[],5,FALSE)*0.92</f>
        <v>295.12680000000006</v>
      </c>
      <c r="U1381" s="104">
        <f>VLOOKUP(TEXT(A1381,"yy-mm")&amp;"-"&amp;IF(AND(WEEKDAY(A1381)&gt;1,WEEKDAY(A1381)&lt;7),"Wkd",TEXT(A1381,"Ddd"))&amp;"-"&amp;TEXT(A1381,"hh"),LoadTable[],6,FALSE)*T1381</f>
        <v>13514.151298800001</v>
      </c>
      <c r="V1381">
        <f t="shared" ref="V1381:W1381" si="1463">V1357</f>
        <v>2.9</v>
      </c>
      <c r="W1381">
        <f t="shared" si="1463"/>
        <v>3</v>
      </c>
      <c r="X1381" s="9">
        <v>-46.642331766666302</v>
      </c>
    </row>
    <row r="1382" spans="1:24">
      <c r="A1382" s="29">
        <f t="shared" si="1426"/>
        <v>45893.458333329989</v>
      </c>
      <c r="B1382" s="30">
        <f t="shared" si="1450"/>
        <v>8000</v>
      </c>
      <c r="C1382" s="8">
        <v>25000</v>
      </c>
      <c r="D1382" s="8">
        <v>0</v>
      </c>
      <c r="E1382" s="8">
        <v>700</v>
      </c>
      <c r="F1382" s="8">
        <v>15000</v>
      </c>
      <c r="G1382" s="30">
        <f t="shared" si="1451"/>
        <v>2400</v>
      </c>
      <c r="H1382" s="8">
        <v>25000</v>
      </c>
      <c r="I1382" s="30">
        <f t="shared" si="1452"/>
        <v>8000</v>
      </c>
      <c r="J1382" s="8">
        <v>25000</v>
      </c>
      <c r="K1382" s="30">
        <f t="shared" si="1453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VLOOKUP(VLOOKUP(DATEVALUE(TEXT(A1382,"m/d/yyyy")),FY24_Temp[],5,FALSE)&amp;TEXT(A1382,"-h"),Table6[],4,FALSE)</f>
        <v>1.4631428718566895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VLOOKUP(TEXT(A1382,"yy-mm")&amp;"-"&amp;IF(AND(WEEKDAY(A1382)&gt;1,WEEKDAY(A1382)&lt;7),"Wkd",TEXT(A1382,"Ddd"))&amp;"-"&amp;TEXT(A1382,"hh"),LoadTable[],5,FALSE)*0.92</f>
        <v>295.12680000000006</v>
      </c>
      <c r="U1382" s="104">
        <f>VLOOKUP(TEXT(A1382,"yy-mm")&amp;"-"&amp;IF(AND(WEEKDAY(A1382)&gt;1,WEEKDAY(A1382)&lt;7),"Wkd",TEXT(A1382,"Ddd"))&amp;"-"&amp;TEXT(A1382,"hh"),LoadTable[],6,FALSE)*T1382</f>
        <v>13498.509578400002</v>
      </c>
      <c r="V1382">
        <f t="shared" ref="V1382:W1382" si="1464">V1358</f>
        <v>3.4</v>
      </c>
      <c r="W1382">
        <f t="shared" si="1464"/>
        <v>3</v>
      </c>
      <c r="X1382" s="9">
        <v>-46.720126316666303</v>
      </c>
    </row>
    <row r="1383" spans="1:24">
      <c r="A1383" s="29">
        <f t="shared" si="1426"/>
        <v>45893.499999996653</v>
      </c>
      <c r="B1383" s="30">
        <f t="shared" si="1450"/>
        <v>8000</v>
      </c>
      <c r="C1383" s="8">
        <v>25000</v>
      </c>
      <c r="D1383" s="8">
        <v>0</v>
      </c>
      <c r="E1383" s="8">
        <v>700</v>
      </c>
      <c r="F1383" s="8">
        <v>15000</v>
      </c>
      <c r="G1383" s="30">
        <f t="shared" si="1451"/>
        <v>2400</v>
      </c>
      <c r="H1383" s="8">
        <v>25000</v>
      </c>
      <c r="I1383" s="30">
        <f t="shared" si="1452"/>
        <v>8000</v>
      </c>
      <c r="J1383" s="8">
        <v>25000</v>
      </c>
      <c r="K1383" s="30">
        <f t="shared" si="1453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VLOOKUP(VLOOKUP(DATEVALUE(TEXT(A1383,"m/d/yyyy")),FY24_Temp[],5,FALSE)&amp;TEXT(A1383,"-h"),Table6[],4,FALSE)</f>
        <v>1.3304285662514823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VLOOKUP(TEXT(A1383,"yy-mm")&amp;"-"&amp;IF(AND(WEEKDAY(A1383)&gt;1,WEEKDAY(A1383)&lt;7),"Wkd",TEXT(A1383,"Ddd"))&amp;"-"&amp;TEXT(A1383,"hh"),LoadTable[],5,FALSE)*0.92</f>
        <v>295.12680000000006</v>
      </c>
      <c r="U1383" s="104">
        <f>VLOOKUP(TEXT(A1383,"yy-mm")&amp;"-"&amp;IF(AND(WEEKDAY(A1383)&gt;1,WEEKDAY(A1383)&lt;7),"Wkd",TEXT(A1383,"Ddd"))&amp;"-"&amp;TEXT(A1383,"hh"),LoadTable[],6,FALSE)*T1383</f>
        <v>13497.919324800001</v>
      </c>
      <c r="V1383">
        <f t="shared" ref="V1383:W1383" si="1465">V1359</f>
        <v>3.1</v>
      </c>
      <c r="W1383">
        <f t="shared" si="1465"/>
        <v>2.9</v>
      </c>
      <c r="X1383" s="9">
        <v>-46.797920866666303</v>
      </c>
    </row>
    <row r="1384" spans="1:24">
      <c r="A1384" s="29">
        <f t="shared" si="1426"/>
        <v>45893.541666663317</v>
      </c>
      <c r="B1384" s="30">
        <f t="shared" si="1450"/>
        <v>8000</v>
      </c>
      <c r="C1384" s="8">
        <v>25000</v>
      </c>
      <c r="D1384" s="8">
        <v>0</v>
      </c>
      <c r="E1384" s="8">
        <v>700</v>
      </c>
      <c r="F1384" s="8">
        <v>15000</v>
      </c>
      <c r="G1384" s="30">
        <f t="shared" si="1451"/>
        <v>2400</v>
      </c>
      <c r="H1384" s="8">
        <v>25000</v>
      </c>
      <c r="I1384" s="30">
        <f t="shared" si="1452"/>
        <v>8000</v>
      </c>
      <c r="J1384" s="8">
        <v>25000</v>
      </c>
      <c r="K1384" s="30">
        <f t="shared" si="1453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VLOOKUP(VLOOKUP(DATEVALUE(TEXT(A1384,"m/d/yyyy")),FY24_Temp[],5,FALSE)&amp;TEXT(A1384,"-h"),Table6[],4,FALSE)</f>
        <v>1.1667142765862601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VLOOKUP(TEXT(A1384,"yy-mm")&amp;"-"&amp;IF(AND(WEEKDAY(A1384)&gt;1,WEEKDAY(A1384)&lt;7),"Wkd",TEXT(A1384,"Ddd"))&amp;"-"&amp;TEXT(A1384,"hh"),LoadTable[],5,FALSE)*0.92</f>
        <v>295.12680000000006</v>
      </c>
      <c r="U1384" s="104">
        <f>VLOOKUP(TEXT(A1384,"yy-mm")&amp;"-"&amp;IF(AND(WEEKDAY(A1384)&gt;1,WEEKDAY(A1384)&lt;7),"Wkd",TEXT(A1384,"Ddd"))&amp;"-"&amp;TEXT(A1384,"hh"),LoadTable[],6,FALSE)*T1384</f>
        <v>13525.366117200003</v>
      </c>
      <c r="V1384">
        <f t="shared" ref="V1384:W1384" si="1466">V1360</f>
        <v>3.2</v>
      </c>
      <c r="W1384">
        <f t="shared" si="1466"/>
        <v>2.9</v>
      </c>
      <c r="X1384" s="9">
        <v>-46.875715416666303</v>
      </c>
    </row>
    <row r="1385" spans="1:24">
      <c r="A1385" s="29">
        <f t="shared" si="1426"/>
        <v>45893.583333329982</v>
      </c>
      <c r="B1385" s="30">
        <f t="shared" si="1450"/>
        <v>8000</v>
      </c>
      <c r="C1385" s="8">
        <v>25000</v>
      </c>
      <c r="D1385" s="8">
        <v>0</v>
      </c>
      <c r="E1385" s="8">
        <v>700</v>
      </c>
      <c r="F1385" s="8">
        <v>15000</v>
      </c>
      <c r="G1385" s="30">
        <f t="shared" si="1451"/>
        <v>2400</v>
      </c>
      <c r="H1385" s="8">
        <v>25000</v>
      </c>
      <c r="I1385" s="30">
        <f t="shared" si="1452"/>
        <v>8000</v>
      </c>
      <c r="J1385" s="8">
        <v>25000</v>
      </c>
      <c r="K1385" s="30">
        <f t="shared" si="1453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VLOOKUP(VLOOKUP(DATEVALUE(TEXT(A1385,"m/d/yyyy")),FY24_Temp[],5,FALSE)&amp;TEXT(A1385,"-h"),Table6[],4,FALSE)</f>
        <v>0.98814284801483154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VLOOKUP(TEXT(A1385,"yy-mm")&amp;"-"&amp;IF(AND(WEEKDAY(A1385)&gt;1,WEEKDAY(A1385)&lt;7),"Wkd",TEXT(A1385,"Ddd"))&amp;"-"&amp;TEXT(A1385,"hh"),LoadTable[],5,FALSE)*0.92</f>
        <v>295.12680000000006</v>
      </c>
      <c r="U1385" s="104">
        <f>VLOOKUP(TEXT(A1385,"yy-mm")&amp;"-"&amp;IF(AND(WEEKDAY(A1385)&gt;1,WEEKDAY(A1385)&lt;7),"Wkd",TEXT(A1385,"Ddd"))&amp;"-"&amp;TEXT(A1385,"hh"),LoadTable[],6,FALSE)*T1385</f>
        <v>14151.034933200002</v>
      </c>
      <c r="V1385">
        <f t="shared" ref="V1385:W1385" si="1467">V1361</f>
        <v>3.5</v>
      </c>
      <c r="W1385">
        <f t="shared" si="1467"/>
        <v>2.9</v>
      </c>
      <c r="X1385" s="9">
        <v>-46.953509966666303</v>
      </c>
    </row>
    <row r="1386" spans="1:24">
      <c r="A1386" s="29">
        <f t="shared" si="1426"/>
        <v>45893.624999996646</v>
      </c>
      <c r="B1386" s="30">
        <f t="shared" si="1450"/>
        <v>8000</v>
      </c>
      <c r="C1386" s="8">
        <v>25000</v>
      </c>
      <c r="D1386" s="8">
        <v>0</v>
      </c>
      <c r="E1386" s="8">
        <v>700</v>
      </c>
      <c r="F1386" s="8">
        <v>15000</v>
      </c>
      <c r="G1386" s="30">
        <f t="shared" si="1451"/>
        <v>2400</v>
      </c>
      <c r="H1386" s="8">
        <v>25000</v>
      </c>
      <c r="I1386" s="30">
        <f t="shared" si="1452"/>
        <v>8000</v>
      </c>
      <c r="J1386" s="8">
        <v>25000</v>
      </c>
      <c r="K1386" s="30">
        <f t="shared" si="1453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VLOOKUP(VLOOKUP(DATEVALUE(TEXT(A1386,"m/d/yyyy")),FY24_Temp[],5,FALSE)&amp;TEXT(A1386,"-h"),Table6[],4,FALSE)</f>
        <v>0.82557142632348202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VLOOKUP(TEXT(A1386,"yy-mm")&amp;"-"&amp;IF(AND(WEEKDAY(A1386)&gt;1,WEEKDAY(A1386)&lt;7),"Wkd",TEXT(A1386,"Ddd"))&amp;"-"&amp;TEXT(A1386,"hh"),LoadTable[],5,FALSE)*0.92</f>
        <v>384.35300000000001</v>
      </c>
      <c r="U1386" s="104">
        <f>VLOOKUP(TEXT(A1386,"yy-mm")&amp;"-"&amp;IF(AND(WEEKDAY(A1386)&gt;1,WEEKDAY(A1386)&lt;7),"Wkd",TEXT(A1386,"Ddd"))&amp;"-"&amp;TEXT(A1386,"hh"),LoadTable[],6,FALSE)*T1386</f>
        <v>20589.021504</v>
      </c>
      <c r="V1386">
        <f t="shared" ref="V1386:W1386" si="1468">V1362</f>
        <v>3.2</v>
      </c>
      <c r="W1386">
        <f t="shared" si="1468"/>
        <v>2.9</v>
      </c>
      <c r="X1386" s="9">
        <v>-47.031304516666303</v>
      </c>
    </row>
    <row r="1387" spans="1:24">
      <c r="A1387" s="29">
        <f t="shared" si="1426"/>
        <v>45893.66666666331</v>
      </c>
      <c r="B1387" s="30">
        <f t="shared" si="1450"/>
        <v>8000</v>
      </c>
      <c r="C1387" s="8">
        <v>25000</v>
      </c>
      <c r="D1387" s="8">
        <v>0</v>
      </c>
      <c r="E1387" s="8">
        <v>700</v>
      </c>
      <c r="F1387" s="8">
        <v>15000</v>
      </c>
      <c r="G1387" s="30">
        <f t="shared" si="1451"/>
        <v>2400</v>
      </c>
      <c r="H1387" s="8">
        <v>25000</v>
      </c>
      <c r="I1387" s="30">
        <f t="shared" si="1452"/>
        <v>8000</v>
      </c>
      <c r="J1387" s="8">
        <v>25000</v>
      </c>
      <c r="K1387" s="30">
        <f t="shared" si="1453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VLOOKUP(VLOOKUP(DATEVALUE(TEXT(A1387,"m/d/yyyy")),FY24_Temp[],5,FALSE)&amp;TEXT(A1387,"-h"),Table6[],4,FALSE)</f>
        <v>0.73714286088943481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VLOOKUP(TEXT(A1387,"yy-mm")&amp;"-"&amp;IF(AND(WEEKDAY(A1387)&gt;1,WEEKDAY(A1387)&lt;7),"Wkd",TEXT(A1387,"Ddd"))&amp;"-"&amp;TEXT(A1387,"hh"),LoadTable[],5,FALSE)*0.92</f>
        <v>475.29131999999998</v>
      </c>
      <c r="U1387" s="104">
        <f>VLOOKUP(TEXT(A1387,"yy-mm")&amp;"-"&amp;IF(AND(WEEKDAY(A1387)&gt;1,WEEKDAY(A1387)&lt;7),"Wkd",TEXT(A1387,"Ddd"))&amp;"-"&amp;TEXT(A1387,"hh"),LoadTable[],6,FALSE)*T1387</f>
        <v>31854.974849040002</v>
      </c>
      <c r="V1387">
        <f t="shared" ref="V1387:W1387" si="1469">V1363</f>
        <v>3.5</v>
      </c>
      <c r="W1387">
        <f t="shared" si="1469"/>
        <v>3</v>
      </c>
      <c r="X1387" s="9">
        <v>-47.109099066666303</v>
      </c>
    </row>
    <row r="1388" spans="1:24">
      <c r="A1388" s="29">
        <f t="shared" si="1426"/>
        <v>45893.708333329974</v>
      </c>
      <c r="B1388" s="30">
        <f t="shared" si="1450"/>
        <v>8000</v>
      </c>
      <c r="C1388" s="8">
        <v>25000</v>
      </c>
      <c r="D1388" s="8">
        <v>0</v>
      </c>
      <c r="E1388" s="8">
        <v>700</v>
      </c>
      <c r="F1388" s="8">
        <v>15000</v>
      </c>
      <c r="G1388" s="30">
        <f t="shared" si="1451"/>
        <v>2400</v>
      </c>
      <c r="H1388" s="8">
        <v>25000</v>
      </c>
      <c r="I1388" s="30">
        <f t="shared" si="1452"/>
        <v>8000</v>
      </c>
      <c r="J1388" s="8">
        <v>25000</v>
      </c>
      <c r="K1388" s="30">
        <f t="shared" si="1453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VLOOKUP(VLOOKUP(DATEVALUE(TEXT(A1388,"m/d/yyyy")),FY24_Temp[],5,FALSE)&amp;TEXT(A1388,"-h"),Table6[],4,FALSE)</f>
        <v>0.86971428564616615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VLOOKUP(TEXT(A1388,"yy-mm")&amp;"-"&amp;IF(AND(WEEKDAY(A1388)&gt;1,WEEKDAY(A1388)&lt;7),"Wkd",TEXT(A1388,"Ddd"))&amp;"-"&amp;TEXT(A1388,"hh"),LoadTable[],5,FALSE)*0.92</f>
        <v>475.29131999999998</v>
      </c>
      <c r="U1388" s="104">
        <f>VLOOKUP(TEXT(A1388,"yy-mm")&amp;"-"&amp;IF(AND(WEEKDAY(A1388)&gt;1,WEEKDAY(A1388)&lt;7),"Wkd",TEXT(A1388,"Ddd"))&amp;"-"&amp;TEXT(A1388,"hh"),LoadTable[],6,FALSE)*T1388</f>
        <v>41441.125482119998</v>
      </c>
      <c r="V1388">
        <f t="shared" ref="V1388:W1388" si="1470">V1364</f>
        <v>3.6</v>
      </c>
      <c r="W1388">
        <f t="shared" si="1470"/>
        <v>3</v>
      </c>
      <c r="X1388" s="9">
        <v>-47.186893616666303</v>
      </c>
    </row>
    <row r="1389" spans="1:24">
      <c r="A1389" s="29">
        <f t="shared" si="1426"/>
        <v>45893.749999996639</v>
      </c>
      <c r="B1389" s="30">
        <f t="shared" si="1450"/>
        <v>5000</v>
      </c>
      <c r="C1389" s="8">
        <v>25000</v>
      </c>
      <c r="D1389" s="8">
        <v>0</v>
      </c>
      <c r="E1389" s="8">
        <v>700</v>
      </c>
      <c r="F1389" s="8">
        <v>15000</v>
      </c>
      <c r="G1389" s="30">
        <f t="shared" si="1451"/>
        <v>2400</v>
      </c>
      <c r="H1389" s="8">
        <v>25000</v>
      </c>
      <c r="I1389" s="30">
        <f t="shared" si="1452"/>
        <v>5000</v>
      </c>
      <c r="J1389" s="8">
        <v>25000</v>
      </c>
      <c r="K1389" s="30">
        <f t="shared" si="1453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VLOOKUP(VLOOKUP(DATEVALUE(TEXT(A1389,"m/d/yyyy")),FY24_Temp[],5,FALSE)&amp;TEXT(A1389,"-h"),Table6[],4,FALSE)</f>
        <v>1.2285714319774084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VLOOKUP(TEXT(A1389,"yy-mm")&amp;"-"&amp;IF(AND(WEEKDAY(A1389)&gt;1,WEEKDAY(A1389)&lt;7),"Wkd",TEXT(A1389,"Ddd"))&amp;"-"&amp;TEXT(A1389,"hh"),LoadTable[],5,FALSE)*0.92</f>
        <v>521.92427999999995</v>
      </c>
      <c r="U1389" s="104">
        <f>VLOOKUP(TEXT(A1389,"yy-mm")&amp;"-"&amp;IF(AND(WEEKDAY(A1389)&gt;1,WEEKDAY(A1389)&lt;7),"Wkd",TEXT(A1389,"Ddd"))&amp;"-"&amp;TEXT(A1389,"hh"),LoadTable[],6,FALSE)*T1389</f>
        <v>56599.034696039991</v>
      </c>
      <c r="V1389">
        <f t="shared" ref="V1389:W1389" si="1471">V1365</f>
        <v>2.9</v>
      </c>
      <c r="W1389">
        <f t="shared" si="1471"/>
        <v>3</v>
      </c>
      <c r="X1389" s="9">
        <v>-47.264688166666303</v>
      </c>
    </row>
    <row r="1390" spans="1:24">
      <c r="A1390" s="29">
        <f t="shared" si="1426"/>
        <v>45893.791666663303</v>
      </c>
      <c r="B1390" s="30">
        <f t="shared" si="1450"/>
        <v>5000</v>
      </c>
      <c r="C1390" s="8">
        <v>25000</v>
      </c>
      <c r="D1390" s="8">
        <v>0</v>
      </c>
      <c r="E1390" s="8">
        <v>700</v>
      </c>
      <c r="F1390" s="8">
        <v>15000</v>
      </c>
      <c r="G1390" s="30">
        <f t="shared" si="1451"/>
        <v>2400</v>
      </c>
      <c r="H1390" s="8">
        <v>25000</v>
      </c>
      <c r="I1390" s="30">
        <f t="shared" si="1452"/>
        <v>5000</v>
      </c>
      <c r="J1390" s="8">
        <v>25000</v>
      </c>
      <c r="K1390" s="30">
        <f t="shared" si="1453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VLOOKUP(VLOOKUP(DATEVALUE(TEXT(A1390,"m/d/yyyy")),FY24_Temp[],5,FALSE)&amp;TEXT(A1390,"-h"),Table6[],4,FALSE)</f>
        <v>1.949428609439305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VLOOKUP(TEXT(A1390,"yy-mm")&amp;"-"&amp;IF(AND(WEEKDAY(A1390)&gt;1,WEEKDAY(A1390)&lt;7),"Wkd",TEXT(A1390,"Ddd"))&amp;"-"&amp;TEXT(A1390,"hh"),LoadTable[],5,FALSE)*0.92</f>
        <v>521.92427999999995</v>
      </c>
      <c r="U1390" s="104">
        <f>VLOOKUP(TEXT(A1390,"yy-mm")&amp;"-"&amp;IF(AND(WEEKDAY(A1390)&gt;1,WEEKDAY(A1390)&lt;7),"Wkd",TEXT(A1390,"Ddd"))&amp;"-"&amp;TEXT(A1390,"hh"),LoadTable[],6,FALSE)*T1390</f>
        <v>64978.007087159996</v>
      </c>
      <c r="V1390">
        <f t="shared" ref="V1390:W1390" si="1472">V1366</f>
        <v>3</v>
      </c>
      <c r="W1390">
        <f t="shared" si="1472"/>
        <v>3</v>
      </c>
      <c r="X1390" s="9">
        <v>-47.342482716666296</v>
      </c>
    </row>
    <row r="1391" spans="1:24">
      <c r="A1391" s="29">
        <f t="shared" si="1426"/>
        <v>45893.833333329967</v>
      </c>
      <c r="B1391" s="30">
        <f t="shared" si="1450"/>
        <v>5000</v>
      </c>
      <c r="C1391" s="8">
        <v>25000</v>
      </c>
      <c r="D1391" s="8">
        <v>0</v>
      </c>
      <c r="E1391" s="8">
        <v>700</v>
      </c>
      <c r="F1391" s="8">
        <v>15000</v>
      </c>
      <c r="G1391" s="30">
        <f t="shared" si="1451"/>
        <v>2400</v>
      </c>
      <c r="H1391" s="8">
        <v>25000</v>
      </c>
      <c r="I1391" s="30">
        <f t="shared" si="1452"/>
        <v>5000</v>
      </c>
      <c r="J1391" s="8">
        <v>25000</v>
      </c>
      <c r="K1391" s="30">
        <f t="shared" si="1453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VLOOKUP(VLOOKUP(DATEVALUE(TEXT(A1391,"m/d/yyyy")),FY24_Temp[],5,FALSE)&amp;TEXT(A1391,"-h"),Table6[],4,FALSE)</f>
        <v>2.732428584780012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VLOOKUP(TEXT(A1391,"yy-mm")&amp;"-"&amp;IF(AND(WEEKDAY(A1391)&gt;1,WEEKDAY(A1391)&lt;7),"Wkd",TEXT(A1391,"Ddd"))&amp;"-"&amp;TEXT(A1391,"hh"),LoadTable[],5,FALSE)*0.92</f>
        <v>519.82668000000001</v>
      </c>
      <c r="U1391" s="104">
        <f>VLOOKUP(TEXT(A1391,"yy-mm")&amp;"-"&amp;IF(AND(WEEKDAY(A1391)&gt;1,WEEKDAY(A1391)&lt;7),"Wkd",TEXT(A1391,"Ddd"))&amp;"-"&amp;TEXT(A1391,"hh"),LoadTable[],6,FALSE)*T1391</f>
        <v>61197.635556360001</v>
      </c>
      <c r="V1391">
        <f t="shared" ref="V1391:W1391" si="1473">V1367</f>
        <v>2.8</v>
      </c>
      <c r="W1391">
        <f t="shared" si="1473"/>
        <v>3.1</v>
      </c>
      <c r="X1391" s="9">
        <v>-47.420277266666297</v>
      </c>
    </row>
    <row r="1392" spans="1:24">
      <c r="A1392" s="29">
        <f t="shared" si="1426"/>
        <v>45893.874999996631</v>
      </c>
      <c r="B1392" s="30">
        <f t="shared" si="1450"/>
        <v>5000</v>
      </c>
      <c r="C1392" s="8">
        <v>25000</v>
      </c>
      <c r="D1392" s="8">
        <v>0</v>
      </c>
      <c r="E1392" s="8">
        <v>700</v>
      </c>
      <c r="F1392" s="8">
        <v>15000</v>
      </c>
      <c r="G1392" s="30">
        <f t="shared" si="1451"/>
        <v>2400</v>
      </c>
      <c r="H1392" s="8">
        <v>25000</v>
      </c>
      <c r="I1392" s="30">
        <f t="shared" si="1452"/>
        <v>5000</v>
      </c>
      <c r="J1392" s="8">
        <v>25000</v>
      </c>
      <c r="K1392" s="30">
        <f t="shared" si="1453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VLOOKUP(VLOOKUP(DATEVALUE(TEXT(A1392,"m/d/yyyy")),FY24_Temp[],5,FALSE)&amp;TEXT(A1392,"-h"),Table6[],4,FALSE)</f>
        <v>2.9708571093423024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VLOOKUP(TEXT(A1392,"yy-mm")&amp;"-"&amp;IF(AND(WEEKDAY(A1392)&gt;1,WEEKDAY(A1392)&lt;7),"Wkd",TEXT(A1392,"Ddd"))&amp;"-"&amp;TEXT(A1392,"hh"),LoadTable[],5,FALSE)*0.92</f>
        <v>444.92671999999999</v>
      </c>
      <c r="U1392" s="104">
        <f>VLOOKUP(TEXT(A1392,"yy-mm")&amp;"-"&amp;IF(AND(WEEKDAY(A1392)&gt;1,WEEKDAY(A1392)&lt;7),"Wkd",TEXT(A1392,"Ddd"))&amp;"-"&amp;TEXT(A1392,"hh"),LoadTable[],6,FALSE)*T1392</f>
        <v>45470.176003840003</v>
      </c>
      <c r="V1392">
        <f t="shared" ref="V1392:W1392" si="1474">V1368</f>
        <v>3.5</v>
      </c>
      <c r="W1392">
        <f t="shared" si="1474"/>
        <v>3.1</v>
      </c>
      <c r="X1392" s="9">
        <v>-47.498071816666297</v>
      </c>
    </row>
    <row r="1393" spans="1:24">
      <c r="A1393" s="29">
        <f t="shared" si="1426"/>
        <v>45893.916666663295</v>
      </c>
      <c r="B1393" s="30">
        <f t="shared" si="1450"/>
        <v>5000</v>
      </c>
      <c r="C1393" s="8">
        <v>25000</v>
      </c>
      <c r="D1393" s="8">
        <v>0</v>
      </c>
      <c r="E1393" s="8">
        <v>700</v>
      </c>
      <c r="F1393" s="8">
        <v>15000</v>
      </c>
      <c r="G1393" s="30">
        <f t="shared" si="1451"/>
        <v>2400</v>
      </c>
      <c r="H1393" s="8">
        <v>25000</v>
      </c>
      <c r="I1393" s="30">
        <f t="shared" si="1452"/>
        <v>5000</v>
      </c>
      <c r="J1393" s="8">
        <v>25000</v>
      </c>
      <c r="K1393" s="30">
        <f t="shared" si="1453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VLOOKUP(VLOOKUP(DATEVALUE(TEXT(A1393,"m/d/yyyy")),FY24_Temp[],5,FALSE)&amp;TEXT(A1393,"-h"),Table6[],4,FALSE)</f>
        <v>2.9297142710004533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VLOOKUP(TEXT(A1393,"yy-mm")&amp;"-"&amp;IF(AND(WEEKDAY(A1393)&gt;1,WEEKDAY(A1393)&lt;7),"Wkd",TEXT(A1393,"Ddd"))&amp;"-"&amp;TEXT(A1393,"hh"),LoadTable[],5,FALSE)*0.92</f>
        <v>370.02675999999997</v>
      </c>
      <c r="U1393" s="104">
        <f>VLOOKUP(TEXT(A1393,"yy-mm")&amp;"-"&amp;IF(AND(WEEKDAY(A1393)&gt;1,WEEKDAY(A1393)&lt;7),"Wkd",TEXT(A1393,"Ddd"))&amp;"-"&amp;TEXT(A1393,"hh"),LoadTable[],6,FALSE)*T1393</f>
        <v>24705.206658160001</v>
      </c>
      <c r="V1393">
        <f t="shared" ref="V1393:W1393" si="1475">V1369</f>
        <v>2.9</v>
      </c>
      <c r="W1393">
        <f t="shared" si="1475"/>
        <v>3.1</v>
      </c>
      <c r="X1393" s="9">
        <v>-47.575866366666297</v>
      </c>
    </row>
    <row r="1394" spans="1:24">
      <c r="A1394" s="29">
        <f t="shared" si="1426"/>
        <v>45893.95833332996</v>
      </c>
      <c r="B1394" s="30">
        <f t="shared" si="1450"/>
        <v>5000</v>
      </c>
      <c r="C1394" s="8">
        <v>25000</v>
      </c>
      <c r="D1394" s="8">
        <v>0</v>
      </c>
      <c r="E1394" s="8">
        <v>700</v>
      </c>
      <c r="F1394" s="8">
        <v>15000</v>
      </c>
      <c r="G1394" s="30">
        <f t="shared" si="1451"/>
        <v>2400</v>
      </c>
      <c r="H1394" s="8">
        <v>25000</v>
      </c>
      <c r="I1394" s="30">
        <f t="shared" si="1452"/>
        <v>5000</v>
      </c>
      <c r="J1394" s="8">
        <v>25000</v>
      </c>
      <c r="K1394" s="30">
        <f t="shared" si="1453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VLOOKUP(VLOOKUP(DATEVALUE(TEXT(A1394,"m/d/yyyy")),FY24_Temp[],5,FALSE)&amp;TEXT(A1394,"-h"),Table6[],4,FALSE)</f>
        <v>2.8045714242117747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VLOOKUP(TEXT(A1394,"yy-mm")&amp;"-"&amp;IF(AND(WEEKDAY(A1394)&gt;1,WEEKDAY(A1394)&lt;7),"Wkd",TEXT(A1394,"Ddd"))&amp;"-"&amp;TEXT(A1394,"hh"),LoadTable[],5,FALSE)*0.92</f>
        <v>295.12680000000006</v>
      </c>
      <c r="U1394" s="104">
        <f>VLOOKUP(TEXT(A1394,"yy-mm")&amp;"-"&amp;IF(AND(WEEKDAY(A1394)&gt;1,WEEKDAY(A1394)&lt;7),"Wkd",TEXT(A1394,"Ddd"))&amp;"-"&amp;TEXT(A1394,"hh"),LoadTable[],6,FALSE)*T1394</f>
        <v>18122.851407600003</v>
      </c>
      <c r="V1394">
        <f t="shared" ref="V1394:W1394" si="1476">V1370</f>
        <v>3.6</v>
      </c>
      <c r="W1394">
        <f t="shared" si="1476"/>
        <v>3.1</v>
      </c>
      <c r="X1394" s="9">
        <v>-47.653660916666297</v>
      </c>
    </row>
    <row r="1395" spans="1:24">
      <c r="A1395" s="29">
        <f t="shared" si="1426"/>
        <v>45893.999999996624</v>
      </c>
      <c r="B1395" s="30">
        <f t="shared" si="1450"/>
        <v>5000</v>
      </c>
      <c r="C1395" s="8">
        <v>25000</v>
      </c>
      <c r="D1395" s="8">
        <v>0</v>
      </c>
      <c r="E1395" s="8">
        <v>700</v>
      </c>
      <c r="F1395" s="8">
        <v>15000</v>
      </c>
      <c r="G1395" s="30">
        <f t="shared" si="1451"/>
        <v>2400</v>
      </c>
      <c r="H1395" s="8">
        <v>25000</v>
      </c>
      <c r="I1395" s="30">
        <f t="shared" si="1452"/>
        <v>5000</v>
      </c>
      <c r="J1395" s="8">
        <v>25000</v>
      </c>
      <c r="K1395" s="30">
        <f t="shared" si="1453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VLOOKUP(VLOOKUP(DATEVALUE(TEXT(A1395,"m/d/yyyy")),FY24_Temp[],5,FALSE)&amp;TEXT(A1395,"-h"),Table6[],4,FALSE)</f>
        <v>2.707571404320853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VLOOKUP(TEXT(A1395,"yy-mm")&amp;"-"&amp;IF(AND(WEEKDAY(A1395)&gt;1,WEEKDAY(A1395)&lt;7),"Wkd",TEXT(A1395,"Ddd"))&amp;"-"&amp;TEXT(A1395,"hh"),LoadTable[],5,FALSE)*0.92</f>
        <v>297.2244</v>
      </c>
      <c r="U1395" s="104">
        <f>VLOOKUP(TEXT(A1395,"yy-mm")&amp;"-"&amp;IF(AND(WEEKDAY(A1395)&gt;1,WEEKDAY(A1395)&lt;7),"Wkd",TEXT(A1395,"Ddd"))&amp;"-"&amp;TEXT(A1395,"hh"),LoadTable[],6,FALSE)*T1395</f>
        <v>17505.031038000001</v>
      </c>
      <c r="V1395">
        <f t="shared" ref="V1395:W1395" si="1477">V1371</f>
        <v>3</v>
      </c>
      <c r="W1395">
        <f t="shared" si="1477"/>
        <v>3.2</v>
      </c>
      <c r="X1395" s="9">
        <v>-47.731455466666297</v>
      </c>
    </row>
    <row r="1396" spans="1:24">
      <c r="A1396" s="29">
        <f t="shared" si="1426"/>
        <v>45894.041666663288</v>
      </c>
      <c r="B1396" s="30">
        <f t="shared" si="1450"/>
        <v>5000</v>
      </c>
      <c r="C1396" s="8">
        <v>25000</v>
      </c>
      <c r="D1396" s="8">
        <v>0</v>
      </c>
      <c r="E1396" s="8">
        <v>700</v>
      </c>
      <c r="F1396" s="8">
        <v>15000</v>
      </c>
      <c r="G1396" s="30">
        <f t="shared" si="1451"/>
        <v>2400</v>
      </c>
      <c r="H1396" s="8">
        <v>25000</v>
      </c>
      <c r="I1396" s="30">
        <f t="shared" si="1452"/>
        <v>5000</v>
      </c>
      <c r="J1396" s="8">
        <v>25000</v>
      </c>
      <c r="K1396" s="30">
        <f t="shared" si="1453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VLOOKUP(VLOOKUP(DATEVALUE(TEXT(A1396,"m/d/yyyy")),FY24_Temp[],5,FALSE)&amp;TEXT(A1396,"-h"),Table6[],4,FALSE)</f>
        <v>2.6045714105878557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VLOOKUP(TEXT(A1396,"yy-mm")&amp;"-"&amp;IF(AND(WEEKDAY(A1396)&gt;1,WEEKDAY(A1396)&lt;7),"Wkd",TEXT(A1396,"Ddd"))&amp;"-"&amp;TEXT(A1396,"hh"),LoadTable[],5,FALSE)*0.92</f>
        <v>295.12680000000006</v>
      </c>
      <c r="U1396" s="104">
        <f>VLOOKUP(TEXT(A1396,"yy-mm")&amp;"-"&amp;IF(AND(WEEKDAY(A1396)&gt;1,WEEKDAY(A1396)&lt;7),"Wkd",TEXT(A1396,"Ddd"))&amp;"-"&amp;TEXT(A1396,"hh"),LoadTable[],6,FALSE)*T1396</f>
        <v>17131.225359600001</v>
      </c>
      <c r="V1396">
        <f t="shared" ref="V1396:W1396" si="1478">V1372</f>
        <v>2.6</v>
      </c>
      <c r="W1396">
        <f t="shared" si="1478"/>
        <v>3.2</v>
      </c>
      <c r="X1396" s="9">
        <v>-47.809250016666297</v>
      </c>
    </row>
    <row r="1397" spans="1:24">
      <c r="A1397" s="29">
        <f t="shared" si="1426"/>
        <v>45894.083333329952</v>
      </c>
      <c r="B1397" s="30">
        <f t="shared" si="1450"/>
        <v>5000</v>
      </c>
      <c r="C1397" s="8">
        <v>25000</v>
      </c>
      <c r="D1397" s="8">
        <v>0</v>
      </c>
      <c r="E1397" s="8">
        <v>700</v>
      </c>
      <c r="F1397" s="8">
        <v>15000</v>
      </c>
      <c r="G1397" s="30">
        <f t="shared" si="1451"/>
        <v>2400</v>
      </c>
      <c r="H1397" s="8">
        <v>25000</v>
      </c>
      <c r="I1397" s="30">
        <f t="shared" si="1452"/>
        <v>5000</v>
      </c>
      <c r="J1397" s="8">
        <v>25000</v>
      </c>
      <c r="K1397" s="30">
        <f t="shared" si="1453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VLOOKUP(VLOOKUP(DATEVALUE(TEXT(A1397,"m/d/yyyy")),FY24_Temp[],5,FALSE)&amp;TEXT(A1397,"-h"),Table6[],4,FALSE)</f>
        <v>2.5119999476841519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VLOOKUP(TEXT(A1397,"yy-mm")&amp;"-"&amp;IF(AND(WEEKDAY(A1397)&gt;1,WEEKDAY(A1397)&lt;7),"Wkd",TEXT(A1397,"Ddd"))&amp;"-"&amp;TEXT(A1397,"hh"),LoadTable[],5,FALSE)*0.92</f>
        <v>295.12680000000006</v>
      </c>
      <c r="U1397" s="104">
        <f>VLOOKUP(TEXT(A1397,"yy-mm")&amp;"-"&amp;IF(AND(WEEKDAY(A1397)&gt;1,WEEKDAY(A1397)&lt;7),"Wkd",TEXT(A1397,"Ddd"))&amp;"-"&amp;TEXT(A1397,"hh"),LoadTable[],6,FALSE)*T1397</f>
        <v>16459.811889600001</v>
      </c>
      <c r="V1397">
        <f t="shared" ref="V1397:W1397" si="1479">V1373</f>
        <v>2.8</v>
      </c>
      <c r="W1397">
        <f t="shared" si="1479"/>
        <v>3.2</v>
      </c>
      <c r="X1397" s="9">
        <v>-47.887044566666297</v>
      </c>
    </row>
    <row r="1398" spans="1:24">
      <c r="A1398" s="29">
        <f t="shared" si="1426"/>
        <v>45894.124999996617</v>
      </c>
      <c r="B1398" s="30">
        <f t="shared" si="1450"/>
        <v>5000</v>
      </c>
      <c r="C1398" s="8">
        <v>25000</v>
      </c>
      <c r="D1398" s="8">
        <v>0</v>
      </c>
      <c r="E1398" s="8">
        <v>700</v>
      </c>
      <c r="F1398" s="8">
        <v>15000</v>
      </c>
      <c r="G1398" s="30">
        <f t="shared" si="1451"/>
        <v>2400</v>
      </c>
      <c r="H1398" s="8">
        <v>25000</v>
      </c>
      <c r="I1398" s="30">
        <f t="shared" si="1452"/>
        <v>5000</v>
      </c>
      <c r="J1398" s="8">
        <v>25000</v>
      </c>
      <c r="K1398" s="30">
        <f t="shared" si="1453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VLOOKUP(VLOOKUP(DATEVALUE(TEXT(A1398,"m/d/yyyy")),FY24_Temp[],5,FALSE)&amp;TEXT(A1398,"-h"),Table6[],4,FALSE)</f>
        <v>2.3667143072400774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VLOOKUP(TEXT(A1398,"yy-mm")&amp;"-"&amp;IF(AND(WEEKDAY(A1398)&gt;1,WEEKDAY(A1398)&lt;7),"Wkd",TEXT(A1398,"Ddd"))&amp;"-"&amp;TEXT(A1398,"hh"),LoadTable[],5,FALSE)*0.92</f>
        <v>295.12680000000006</v>
      </c>
      <c r="U1398" s="104">
        <f>VLOOKUP(TEXT(A1398,"yy-mm")&amp;"-"&amp;IF(AND(WEEKDAY(A1398)&gt;1,WEEKDAY(A1398)&lt;7),"Wkd",TEXT(A1398,"Ddd"))&amp;"-"&amp;TEXT(A1398,"hh"),LoadTable[],6,FALSE)*T1398</f>
        <v>16610.326557600001</v>
      </c>
      <c r="V1398">
        <f t="shared" ref="V1398:W1398" si="1480">V1374</f>
        <v>2.7</v>
      </c>
      <c r="W1398">
        <f t="shared" si="1480"/>
        <v>3.2</v>
      </c>
      <c r="X1398" s="9">
        <v>-47.964839116666298</v>
      </c>
    </row>
    <row r="1399" spans="1:24">
      <c r="A1399" s="29">
        <f t="shared" si="1426"/>
        <v>45894.166666663281</v>
      </c>
      <c r="B1399" s="30">
        <f t="shared" si="1450"/>
        <v>5000</v>
      </c>
      <c r="C1399" s="8">
        <v>25000</v>
      </c>
      <c r="D1399" s="8">
        <v>0</v>
      </c>
      <c r="E1399" s="8">
        <v>700</v>
      </c>
      <c r="F1399" s="8">
        <v>15000</v>
      </c>
      <c r="G1399" s="30">
        <f t="shared" si="1451"/>
        <v>2400</v>
      </c>
      <c r="H1399" s="8">
        <v>25000</v>
      </c>
      <c r="I1399" s="30">
        <f t="shared" si="1452"/>
        <v>5000</v>
      </c>
      <c r="J1399" s="8">
        <v>25000</v>
      </c>
      <c r="K1399" s="30">
        <f t="shared" si="1453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VLOOKUP(VLOOKUP(DATEVALUE(TEXT(A1399,"m/d/yyyy")),FY24_Temp[],5,FALSE)&amp;TEXT(A1399,"-h"),Table6[],4,FALSE)</f>
        <v>2.2025713920593262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VLOOKUP(TEXT(A1399,"yy-mm")&amp;"-"&amp;IF(AND(WEEKDAY(A1399)&gt;1,WEEKDAY(A1399)&lt;7),"Wkd",TEXT(A1399,"Ddd"))&amp;"-"&amp;TEXT(A1399,"hh"),LoadTable[],5,FALSE)*0.92</f>
        <v>295.12680000000006</v>
      </c>
      <c r="U1399" s="104">
        <f>VLOOKUP(TEXT(A1399,"yy-mm")&amp;"-"&amp;IF(AND(WEEKDAY(A1399)&gt;1,WEEKDAY(A1399)&lt;7),"Wkd",TEXT(A1399,"Ddd"))&amp;"-"&amp;TEXT(A1399,"hh"),LoadTable[],6,FALSE)*T1399</f>
        <v>16544.513281200001</v>
      </c>
      <c r="V1399">
        <f t="shared" ref="V1399:W1399" si="1481">V1375</f>
        <v>3</v>
      </c>
      <c r="W1399">
        <f t="shared" si="1481"/>
        <v>3.1</v>
      </c>
      <c r="X1399" s="9">
        <v>-48.042633666666298</v>
      </c>
    </row>
    <row r="1400" spans="1:24">
      <c r="A1400" s="29">
        <f t="shared" si="1426"/>
        <v>45894.208333329945</v>
      </c>
      <c r="B1400" s="30">
        <f t="shared" si="1450"/>
        <v>5000</v>
      </c>
      <c r="C1400" s="8">
        <v>25000</v>
      </c>
      <c r="D1400" s="8">
        <v>0</v>
      </c>
      <c r="E1400" s="8">
        <v>700</v>
      </c>
      <c r="F1400" s="8">
        <v>15000</v>
      </c>
      <c r="G1400" s="30">
        <f t="shared" si="1451"/>
        <v>2400</v>
      </c>
      <c r="H1400" s="8">
        <v>25000</v>
      </c>
      <c r="I1400" s="30">
        <f t="shared" si="1452"/>
        <v>5000</v>
      </c>
      <c r="J1400" s="8">
        <v>25000</v>
      </c>
      <c r="K1400" s="30">
        <f t="shared" si="1453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VLOOKUP(VLOOKUP(DATEVALUE(TEXT(A1400,"m/d/yyyy")),FY24_Temp[],5,FALSE)&amp;TEXT(A1400,"-h"),Table6[],4,FALSE)</f>
        <v>2.0452857358115062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VLOOKUP(TEXT(A1400,"yy-mm")&amp;"-"&amp;IF(AND(WEEKDAY(A1400)&gt;1,WEEKDAY(A1400)&lt;7),"Wkd",TEXT(A1400,"Ddd"))&amp;"-"&amp;TEXT(A1400,"hh"),LoadTable[],5,FALSE)*0.92</f>
        <v>295.12680000000006</v>
      </c>
      <c r="U1400" s="104">
        <f>VLOOKUP(TEXT(A1400,"yy-mm")&amp;"-"&amp;IF(AND(WEEKDAY(A1400)&gt;1,WEEKDAY(A1400)&lt;7),"Wkd",TEXT(A1400,"Ddd"))&amp;"-"&amp;TEXT(A1400,"hh"),LoadTable[],6,FALSE)*T1400</f>
        <v>17128.569218400004</v>
      </c>
      <c r="V1400">
        <f t="shared" ref="V1400:W1400" si="1482">V1376</f>
        <v>2.9</v>
      </c>
      <c r="W1400">
        <f t="shared" si="1482"/>
        <v>3.1</v>
      </c>
      <c r="X1400" s="9">
        <v>-48.120428216666298</v>
      </c>
    </row>
    <row r="1401" spans="1:24">
      <c r="A1401" s="29">
        <f t="shared" si="1426"/>
        <v>45894.249999996609</v>
      </c>
      <c r="B1401" s="30">
        <f t="shared" si="1450"/>
        <v>8000</v>
      </c>
      <c r="C1401" s="8">
        <v>25000</v>
      </c>
      <c r="D1401" s="8">
        <v>0</v>
      </c>
      <c r="E1401" s="8">
        <v>700</v>
      </c>
      <c r="F1401" s="8">
        <v>15000</v>
      </c>
      <c r="G1401" s="30">
        <f t="shared" si="1451"/>
        <v>2400</v>
      </c>
      <c r="H1401" s="8">
        <v>25000</v>
      </c>
      <c r="I1401" s="30">
        <f t="shared" si="1452"/>
        <v>8000</v>
      </c>
      <c r="J1401" s="8">
        <v>25000</v>
      </c>
      <c r="K1401" s="30">
        <f t="shared" si="1453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VLOOKUP(VLOOKUP(DATEVALUE(TEXT(A1401,"m/d/yyyy")),FY24_Temp[],5,FALSE)&amp;TEXT(A1401,"-h"),Table6[],4,FALSE)</f>
        <v>1.9314285516738892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VLOOKUP(TEXT(A1401,"yy-mm")&amp;"-"&amp;IF(AND(WEEKDAY(A1401)&gt;1,WEEKDAY(A1401)&lt;7),"Wkd",TEXT(A1401,"Ddd"))&amp;"-"&amp;TEXT(A1401,"hh"),LoadTable[],5,FALSE)*0.92</f>
        <v>295.12680000000006</v>
      </c>
      <c r="U1401" s="104">
        <f>VLOOKUP(TEXT(A1401,"yy-mm")&amp;"-"&amp;IF(AND(WEEKDAY(A1401)&gt;1,WEEKDAY(A1401)&lt;7),"Wkd",TEXT(A1401,"Ddd"))&amp;"-"&amp;TEXT(A1401,"hh"),LoadTable[],6,FALSE)*T1401</f>
        <v>20766.892408800006</v>
      </c>
      <c r="V1401">
        <f t="shared" ref="V1401:W1401" si="1483">V1377</f>
        <v>2.5</v>
      </c>
      <c r="W1401">
        <f t="shared" si="1483"/>
        <v>3.1</v>
      </c>
      <c r="X1401" s="9">
        <v>-48.198222766666298</v>
      </c>
    </row>
    <row r="1402" spans="1:24">
      <c r="A1402" s="29">
        <f t="shared" si="1426"/>
        <v>45894.291666663274</v>
      </c>
      <c r="B1402" s="30">
        <f t="shared" si="1450"/>
        <v>8000</v>
      </c>
      <c r="C1402" s="8">
        <v>25000</v>
      </c>
      <c r="D1402" s="8">
        <v>0</v>
      </c>
      <c r="E1402" s="8">
        <v>700</v>
      </c>
      <c r="F1402" s="8">
        <v>15000</v>
      </c>
      <c r="G1402" s="30">
        <f t="shared" si="1451"/>
        <v>2400</v>
      </c>
      <c r="H1402" s="8">
        <v>25000</v>
      </c>
      <c r="I1402" s="30">
        <f t="shared" si="1452"/>
        <v>8000</v>
      </c>
      <c r="J1402" s="8">
        <v>25000</v>
      </c>
      <c r="K1402" s="30">
        <f t="shared" si="1453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VLOOKUP(VLOOKUP(DATEVALUE(TEXT(A1402,"m/d/yyyy")),FY24_Temp[],5,FALSE)&amp;TEXT(A1402,"-h"),Table6[],4,FALSE)</f>
        <v>1.8508571556636266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VLOOKUP(TEXT(A1402,"yy-mm")&amp;"-"&amp;IF(AND(WEEKDAY(A1402)&gt;1,WEEKDAY(A1402)&lt;7),"Wkd",TEXT(A1402,"Ddd"))&amp;"-"&amp;TEXT(A1402,"hh"),LoadTable[],5,FALSE)*0.92</f>
        <v>295.12680000000006</v>
      </c>
      <c r="U1402" s="104">
        <f>VLOOKUP(TEXT(A1402,"yy-mm")&amp;"-"&amp;IF(AND(WEEKDAY(A1402)&gt;1,WEEKDAY(A1402)&lt;7),"Wkd",TEXT(A1402,"Ddd"))&amp;"-"&amp;TEXT(A1402,"hh"),LoadTable[],6,FALSE)*T1402</f>
        <v>19169.666167200001</v>
      </c>
      <c r="V1402">
        <f t="shared" ref="V1402:W1402" si="1484">V1378</f>
        <v>2.5</v>
      </c>
      <c r="W1402">
        <f t="shared" si="1484"/>
        <v>3.1</v>
      </c>
      <c r="X1402" s="9">
        <v>-48.276017316666298</v>
      </c>
    </row>
    <row r="1403" spans="1:24">
      <c r="A1403" s="29">
        <f t="shared" si="1426"/>
        <v>45894.333333329938</v>
      </c>
      <c r="B1403" s="30">
        <f t="shared" si="1450"/>
        <v>8000</v>
      </c>
      <c r="C1403" s="8">
        <v>25000</v>
      </c>
      <c r="D1403" s="8">
        <v>0</v>
      </c>
      <c r="E1403" s="8">
        <v>700</v>
      </c>
      <c r="F1403" s="8">
        <v>15000</v>
      </c>
      <c r="G1403" s="30">
        <f t="shared" si="1451"/>
        <v>2400</v>
      </c>
      <c r="H1403" s="8">
        <v>25000</v>
      </c>
      <c r="I1403" s="30">
        <f t="shared" si="1452"/>
        <v>8000</v>
      </c>
      <c r="J1403" s="8">
        <v>25000</v>
      </c>
      <c r="K1403" s="30">
        <f t="shared" si="1453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VLOOKUP(VLOOKUP(DATEVALUE(TEXT(A1403,"m/d/yyyy")),FY24_Temp[],5,FALSE)&amp;TEXT(A1403,"-h"),Table6[],4,FALSE)</f>
        <v>1.7464285748345512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VLOOKUP(TEXT(A1403,"yy-mm")&amp;"-"&amp;IF(AND(WEEKDAY(A1403)&gt;1,WEEKDAY(A1403)&lt;7),"Wkd",TEXT(A1403,"Ddd"))&amp;"-"&amp;TEXT(A1403,"hh"),LoadTable[],5,FALSE)*0.92</f>
        <v>295.12680000000006</v>
      </c>
      <c r="U1403" s="104">
        <f>VLOOKUP(TEXT(A1403,"yy-mm")&amp;"-"&amp;IF(AND(WEEKDAY(A1403)&gt;1,WEEKDAY(A1403)&lt;7),"Wkd",TEXT(A1403,"Ddd"))&amp;"-"&amp;TEXT(A1403,"hh"),LoadTable[],6,FALSE)*T1403</f>
        <v>15860.999612400004</v>
      </c>
      <c r="V1403">
        <f t="shared" ref="V1403:W1403" si="1485">V1379</f>
        <v>3.2</v>
      </c>
      <c r="W1403">
        <f t="shared" si="1485"/>
        <v>3</v>
      </c>
      <c r="X1403" s="9">
        <v>-48.353811866666298</v>
      </c>
    </row>
    <row r="1404" spans="1:24">
      <c r="A1404" s="29">
        <f t="shared" si="1426"/>
        <v>45894.374999996602</v>
      </c>
      <c r="B1404" s="30">
        <f t="shared" si="1450"/>
        <v>8000</v>
      </c>
      <c r="C1404" s="8">
        <v>25000</v>
      </c>
      <c r="D1404" s="8">
        <v>0</v>
      </c>
      <c r="E1404" s="8">
        <v>700</v>
      </c>
      <c r="F1404" s="8">
        <v>15000</v>
      </c>
      <c r="G1404" s="30">
        <f t="shared" si="1451"/>
        <v>2400</v>
      </c>
      <c r="H1404" s="8">
        <v>25000</v>
      </c>
      <c r="I1404" s="30">
        <f t="shared" si="1452"/>
        <v>8000</v>
      </c>
      <c r="J1404" s="8">
        <v>25000</v>
      </c>
      <c r="K1404" s="30">
        <f t="shared" si="1453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VLOOKUP(VLOOKUP(DATEVALUE(TEXT(A1404,"m/d/yyyy")),FY24_Temp[],5,FALSE)&amp;TEXT(A1404,"-h"),Table6[],4,FALSE)</f>
        <v>1.6497142996106828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VLOOKUP(TEXT(A1404,"yy-mm")&amp;"-"&amp;IF(AND(WEEKDAY(A1404)&gt;1,WEEKDAY(A1404)&lt;7),"Wkd",TEXT(A1404,"Ddd"))&amp;"-"&amp;TEXT(A1404,"hh"),LoadTable[],5,FALSE)*0.92</f>
        <v>295.12680000000006</v>
      </c>
      <c r="U1404" s="104">
        <f>VLOOKUP(TEXT(A1404,"yy-mm")&amp;"-"&amp;IF(AND(WEEKDAY(A1404)&gt;1,WEEKDAY(A1404)&lt;7),"Wkd",TEXT(A1404,"Ddd"))&amp;"-"&amp;TEXT(A1404,"hh"),LoadTable[],6,FALSE)*T1404</f>
        <v>15713.436212400004</v>
      </c>
      <c r="V1404">
        <f t="shared" ref="V1404:W1404" si="1486">V1380</f>
        <v>2.9</v>
      </c>
      <c r="W1404">
        <f t="shared" si="1486"/>
        <v>3</v>
      </c>
      <c r="X1404" s="9">
        <v>-48.431606416666298</v>
      </c>
    </row>
    <row r="1405" spans="1:24">
      <c r="A1405" s="29">
        <f t="shared" si="1426"/>
        <v>45894.416666663266</v>
      </c>
      <c r="B1405" s="30">
        <f t="shared" si="1450"/>
        <v>8000</v>
      </c>
      <c r="C1405" s="8">
        <v>25000</v>
      </c>
      <c r="D1405" s="8">
        <v>0</v>
      </c>
      <c r="E1405" s="8">
        <v>700</v>
      </c>
      <c r="F1405" s="8">
        <v>15000</v>
      </c>
      <c r="G1405" s="30">
        <f t="shared" si="1451"/>
        <v>2400</v>
      </c>
      <c r="H1405" s="8">
        <v>25000</v>
      </c>
      <c r="I1405" s="30">
        <f t="shared" si="1452"/>
        <v>8000</v>
      </c>
      <c r="J1405" s="8">
        <v>25000</v>
      </c>
      <c r="K1405" s="30">
        <f t="shared" si="1453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VLOOKUP(VLOOKUP(DATEVALUE(TEXT(A1405,"m/d/yyyy")),FY24_Temp[],5,FALSE)&amp;TEXT(A1405,"-h"),Table6[],4,FALSE)</f>
        <v>1.5668571165629797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VLOOKUP(TEXT(A1405,"yy-mm")&amp;"-"&amp;IF(AND(WEEKDAY(A1405)&gt;1,WEEKDAY(A1405)&lt;7),"Wkd",TEXT(A1405,"Ddd"))&amp;"-"&amp;TEXT(A1405,"hh"),LoadTable[],5,FALSE)*0.92</f>
        <v>295.12680000000006</v>
      </c>
      <c r="U1405" s="104">
        <f>VLOOKUP(TEXT(A1405,"yy-mm")&amp;"-"&amp;IF(AND(WEEKDAY(A1405)&gt;1,WEEKDAY(A1405)&lt;7),"Wkd",TEXT(A1405,"Ddd"))&amp;"-"&amp;TEXT(A1405,"hh"),LoadTable[],6,FALSE)*T1405</f>
        <v>14369.723892000002</v>
      </c>
      <c r="V1405">
        <f t="shared" ref="V1405:W1405" si="1487">V1381</f>
        <v>2.9</v>
      </c>
      <c r="W1405">
        <f t="shared" si="1487"/>
        <v>3</v>
      </c>
      <c r="X1405" s="9">
        <v>-48.509400966666298</v>
      </c>
    </row>
    <row r="1406" spans="1:24">
      <c r="A1406" s="29">
        <f t="shared" si="1426"/>
        <v>45894.458333329931</v>
      </c>
      <c r="B1406" s="30">
        <f t="shared" si="1450"/>
        <v>8000</v>
      </c>
      <c r="C1406" s="8">
        <v>25000</v>
      </c>
      <c r="D1406" s="8">
        <v>0</v>
      </c>
      <c r="E1406" s="8">
        <v>700</v>
      </c>
      <c r="F1406" s="8">
        <v>15000</v>
      </c>
      <c r="G1406" s="30">
        <f t="shared" si="1451"/>
        <v>2400</v>
      </c>
      <c r="H1406" s="8">
        <v>25000</v>
      </c>
      <c r="I1406" s="30">
        <f t="shared" si="1452"/>
        <v>8000</v>
      </c>
      <c r="J1406" s="8">
        <v>25000</v>
      </c>
      <c r="K1406" s="30">
        <f t="shared" si="1453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VLOOKUP(VLOOKUP(DATEVALUE(TEXT(A1406,"m/d/yyyy")),FY24_Temp[],5,FALSE)&amp;TEXT(A1406,"-h"),Table6[],4,FALSE)</f>
        <v>1.4631428718566895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VLOOKUP(TEXT(A1406,"yy-mm")&amp;"-"&amp;IF(AND(WEEKDAY(A1406)&gt;1,WEEKDAY(A1406)&lt;7),"Wkd",TEXT(A1406,"Ddd"))&amp;"-"&amp;TEXT(A1406,"hh"),LoadTable[],5,FALSE)*0.92</f>
        <v>295.12680000000006</v>
      </c>
      <c r="U1406" s="104">
        <f>VLOOKUP(TEXT(A1406,"yy-mm")&amp;"-"&amp;IF(AND(WEEKDAY(A1406)&gt;1,WEEKDAY(A1406)&lt;7),"Wkd",TEXT(A1406,"Ddd"))&amp;"-"&amp;TEXT(A1406,"hh"),LoadTable[],6,FALSE)*T1406</f>
        <v>14137.459100400003</v>
      </c>
      <c r="V1406">
        <f t="shared" ref="V1406:W1406" si="1488">V1382</f>
        <v>3.4</v>
      </c>
      <c r="W1406">
        <f t="shared" si="1488"/>
        <v>3</v>
      </c>
      <c r="X1406" s="9">
        <v>-48.587195516666299</v>
      </c>
    </row>
    <row r="1407" spans="1:24">
      <c r="A1407" s="29">
        <f t="shared" si="1426"/>
        <v>45894.499999996595</v>
      </c>
      <c r="B1407" s="30">
        <f t="shared" si="1450"/>
        <v>8000</v>
      </c>
      <c r="C1407" s="8">
        <v>25000</v>
      </c>
      <c r="D1407" s="8">
        <v>0</v>
      </c>
      <c r="E1407" s="8">
        <v>700</v>
      </c>
      <c r="F1407" s="8">
        <v>15000</v>
      </c>
      <c r="G1407" s="30">
        <f t="shared" si="1451"/>
        <v>2400</v>
      </c>
      <c r="H1407" s="8">
        <v>25000</v>
      </c>
      <c r="I1407" s="30">
        <f t="shared" si="1452"/>
        <v>8000</v>
      </c>
      <c r="J1407" s="8">
        <v>25000</v>
      </c>
      <c r="K1407" s="30">
        <f t="shared" si="1453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VLOOKUP(VLOOKUP(DATEVALUE(TEXT(A1407,"m/d/yyyy")),FY24_Temp[],5,FALSE)&amp;TEXT(A1407,"-h"),Table6[],4,FALSE)</f>
        <v>1.3304285662514823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VLOOKUP(TEXT(A1407,"yy-mm")&amp;"-"&amp;IF(AND(WEEKDAY(A1407)&gt;1,WEEKDAY(A1407)&lt;7),"Wkd",TEXT(A1407,"Ddd"))&amp;"-"&amp;TEXT(A1407,"hh"),LoadTable[],5,FALSE)*0.92</f>
        <v>295.12680000000006</v>
      </c>
      <c r="U1407" s="104">
        <f>VLOOKUP(TEXT(A1407,"yy-mm")&amp;"-"&amp;IF(AND(WEEKDAY(A1407)&gt;1,WEEKDAY(A1407)&lt;7),"Wkd",TEXT(A1407,"Ddd"))&amp;"-"&amp;TEXT(A1407,"hh"),LoadTable[],6,FALSE)*T1407</f>
        <v>14242.819368000002</v>
      </c>
      <c r="V1407">
        <f t="shared" ref="V1407:W1407" si="1489">V1383</f>
        <v>3.1</v>
      </c>
      <c r="W1407">
        <f t="shared" si="1489"/>
        <v>2.9</v>
      </c>
      <c r="X1407" s="9">
        <v>-48.664990066666299</v>
      </c>
    </row>
    <row r="1408" spans="1:24">
      <c r="A1408" s="29">
        <f t="shared" si="1426"/>
        <v>45894.541666663259</v>
      </c>
      <c r="B1408" s="30">
        <f t="shared" si="1450"/>
        <v>8000</v>
      </c>
      <c r="C1408" s="8">
        <v>25000</v>
      </c>
      <c r="D1408" s="8">
        <v>0</v>
      </c>
      <c r="E1408" s="8">
        <v>700</v>
      </c>
      <c r="F1408" s="8">
        <v>15000</v>
      </c>
      <c r="G1408" s="30">
        <f t="shared" si="1451"/>
        <v>2400</v>
      </c>
      <c r="H1408" s="8">
        <v>25000</v>
      </c>
      <c r="I1408" s="30">
        <f t="shared" si="1452"/>
        <v>8000</v>
      </c>
      <c r="J1408" s="8">
        <v>25000</v>
      </c>
      <c r="K1408" s="30">
        <f t="shared" si="1453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VLOOKUP(VLOOKUP(DATEVALUE(TEXT(A1408,"m/d/yyyy")),FY24_Temp[],5,FALSE)&amp;TEXT(A1408,"-h"),Table6[],4,FALSE)</f>
        <v>1.1667142765862601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VLOOKUP(TEXT(A1408,"yy-mm")&amp;"-"&amp;IF(AND(WEEKDAY(A1408)&gt;1,WEEKDAY(A1408)&lt;7),"Wkd",TEXT(A1408,"Ddd"))&amp;"-"&amp;TEXT(A1408,"hh"),LoadTable[],5,FALSE)*0.92</f>
        <v>295.12680000000006</v>
      </c>
      <c r="U1408" s="104">
        <f>VLOOKUP(TEXT(A1408,"yy-mm")&amp;"-"&amp;IF(AND(WEEKDAY(A1408)&gt;1,WEEKDAY(A1408)&lt;7),"Wkd",TEXT(A1408,"Ddd"))&amp;"-"&amp;TEXT(A1408,"hh"),LoadTable[],6,FALSE)*T1408</f>
        <v>16280.669922000003</v>
      </c>
      <c r="V1408">
        <f t="shared" ref="V1408:W1408" si="1490">V1384</f>
        <v>3.2</v>
      </c>
      <c r="W1408">
        <f t="shared" si="1490"/>
        <v>2.9</v>
      </c>
      <c r="X1408" s="9">
        <v>-48.742784616666299</v>
      </c>
    </row>
    <row r="1409" spans="1:24">
      <c r="A1409" s="29">
        <f t="shared" si="1426"/>
        <v>45894.583333329923</v>
      </c>
      <c r="B1409" s="30">
        <f t="shared" si="1450"/>
        <v>8000</v>
      </c>
      <c r="C1409" s="8">
        <v>25000</v>
      </c>
      <c r="D1409" s="8">
        <v>0</v>
      </c>
      <c r="E1409" s="8">
        <v>700</v>
      </c>
      <c r="F1409" s="8">
        <v>15000</v>
      </c>
      <c r="G1409" s="30">
        <f t="shared" si="1451"/>
        <v>2400</v>
      </c>
      <c r="H1409" s="8">
        <v>25000</v>
      </c>
      <c r="I1409" s="30">
        <f t="shared" si="1452"/>
        <v>8000</v>
      </c>
      <c r="J1409" s="8">
        <v>25000</v>
      </c>
      <c r="K1409" s="30">
        <f t="shared" si="1453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VLOOKUP(VLOOKUP(DATEVALUE(TEXT(A1409,"m/d/yyyy")),FY24_Temp[],5,FALSE)&amp;TEXT(A1409,"-h"),Table6[],4,FALSE)</f>
        <v>0.98814284801483154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VLOOKUP(TEXT(A1409,"yy-mm")&amp;"-"&amp;IF(AND(WEEKDAY(A1409)&gt;1,WEEKDAY(A1409)&lt;7),"Wkd",TEXT(A1409,"Ddd"))&amp;"-"&amp;TEXT(A1409,"hh"),LoadTable[],5,FALSE)*0.92</f>
        <v>402.08416</v>
      </c>
      <c r="U1409" s="104">
        <f>VLOOKUP(TEXT(A1409,"yy-mm")&amp;"-"&amp;IF(AND(WEEKDAY(A1409)&gt;1,WEEKDAY(A1409)&lt;7),"Wkd",TEXT(A1409,"Ddd"))&amp;"-"&amp;TEXT(A1409,"hh"),LoadTable[],6,FALSE)*T1409</f>
        <v>27023.674309440001</v>
      </c>
      <c r="V1409">
        <f t="shared" ref="V1409:W1409" si="1491">V1385</f>
        <v>3.5</v>
      </c>
      <c r="W1409">
        <f t="shared" si="1491"/>
        <v>2.9</v>
      </c>
      <c r="X1409" s="9">
        <v>-48.820579166666299</v>
      </c>
    </row>
    <row r="1410" spans="1:24">
      <c r="A1410" s="29">
        <f t="shared" si="1426"/>
        <v>45894.624999996588</v>
      </c>
      <c r="B1410" s="30">
        <f t="shared" si="1450"/>
        <v>8000</v>
      </c>
      <c r="C1410" s="8">
        <v>25000</v>
      </c>
      <c r="D1410" s="8">
        <v>0</v>
      </c>
      <c r="E1410" s="8">
        <v>700</v>
      </c>
      <c r="F1410" s="8">
        <v>15000</v>
      </c>
      <c r="G1410" s="30">
        <f t="shared" si="1451"/>
        <v>2400</v>
      </c>
      <c r="H1410" s="8">
        <v>25000</v>
      </c>
      <c r="I1410" s="30">
        <f t="shared" si="1452"/>
        <v>8000</v>
      </c>
      <c r="J1410" s="8">
        <v>25000</v>
      </c>
      <c r="K1410" s="30">
        <f t="shared" si="1453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VLOOKUP(VLOOKUP(DATEVALUE(TEXT(A1410,"m/d/yyyy")),FY24_Temp[],5,FALSE)&amp;TEXT(A1410,"-h"),Table6[],4,FALSE)</f>
        <v>0.82557142632348202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VLOOKUP(TEXT(A1410,"yy-mm")&amp;"-"&amp;IF(AND(WEEKDAY(A1410)&gt;1,WEEKDAY(A1410)&lt;7),"Wkd",TEXT(A1410,"Ddd"))&amp;"-"&amp;TEXT(A1410,"hh"),LoadTable[],5,FALSE)*0.92</f>
        <v>521.92427999999995</v>
      </c>
      <c r="U1410" s="104">
        <f>VLOOKUP(TEXT(A1410,"yy-mm")&amp;"-"&amp;IF(AND(WEEKDAY(A1410)&gt;1,WEEKDAY(A1410)&lt;7),"Wkd",TEXT(A1410,"Ddd"))&amp;"-"&amp;TEXT(A1410,"hh"),LoadTable[],6,FALSE)*T1410</f>
        <v>38276.36092236</v>
      </c>
      <c r="V1410">
        <f t="shared" ref="V1410:W1410" si="1492">V1386</f>
        <v>3.2</v>
      </c>
      <c r="W1410">
        <f t="shared" si="1492"/>
        <v>2.9</v>
      </c>
      <c r="X1410" s="9">
        <v>-48.898373716666299</v>
      </c>
    </row>
    <row r="1411" spans="1:24">
      <c r="A1411" s="29">
        <f t="shared" si="1426"/>
        <v>45894.666666663252</v>
      </c>
      <c r="B1411" s="30">
        <f t="shared" si="1450"/>
        <v>8000</v>
      </c>
      <c r="C1411" s="8">
        <v>25000</v>
      </c>
      <c r="D1411" s="8">
        <v>0</v>
      </c>
      <c r="E1411" s="8">
        <v>700</v>
      </c>
      <c r="F1411" s="8">
        <v>15000</v>
      </c>
      <c r="G1411" s="30">
        <f t="shared" si="1451"/>
        <v>2400</v>
      </c>
      <c r="H1411" s="8">
        <v>25000</v>
      </c>
      <c r="I1411" s="30">
        <f t="shared" si="1452"/>
        <v>8000</v>
      </c>
      <c r="J1411" s="8">
        <v>25000</v>
      </c>
      <c r="K1411" s="30">
        <f t="shared" si="1453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VLOOKUP(VLOOKUP(DATEVALUE(TEXT(A1411,"m/d/yyyy")),FY24_Temp[],5,FALSE)&amp;TEXT(A1411,"-h"),Table6[],4,FALSE)</f>
        <v>0.73714286088943481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VLOOKUP(TEXT(A1411,"yy-mm")&amp;"-"&amp;IF(AND(WEEKDAY(A1411)&gt;1,WEEKDAY(A1411)&lt;7),"Wkd",TEXT(A1411,"Ddd"))&amp;"-"&amp;TEXT(A1411,"hh"),LoadTable[],5,FALSE)*0.92</f>
        <v>521.92427999999995</v>
      </c>
      <c r="U1411" s="104">
        <f>VLOOKUP(TEXT(A1411,"yy-mm")&amp;"-"&amp;IF(AND(WEEKDAY(A1411)&gt;1,WEEKDAY(A1411)&lt;7),"Wkd",TEXT(A1411,"Ddd"))&amp;"-"&amp;TEXT(A1411,"hh"),LoadTable[],6,FALSE)*T1411</f>
        <v>45879.753833399998</v>
      </c>
      <c r="V1411">
        <f t="shared" ref="V1411:W1411" si="1493">V1387</f>
        <v>3.5</v>
      </c>
      <c r="W1411">
        <f t="shared" si="1493"/>
        <v>3</v>
      </c>
      <c r="X1411" s="9">
        <v>-48.976168266666299</v>
      </c>
    </row>
    <row r="1412" spans="1:24">
      <c r="A1412" s="29">
        <f t="shared" si="1426"/>
        <v>45894.708333329916</v>
      </c>
      <c r="B1412" s="30">
        <f t="shared" si="1450"/>
        <v>8000</v>
      </c>
      <c r="C1412" s="8">
        <v>25000</v>
      </c>
      <c r="D1412" s="8">
        <v>0</v>
      </c>
      <c r="E1412" s="8">
        <v>700</v>
      </c>
      <c r="F1412" s="8">
        <v>15000</v>
      </c>
      <c r="G1412" s="30">
        <f t="shared" si="1451"/>
        <v>2400</v>
      </c>
      <c r="H1412" s="8">
        <v>25000</v>
      </c>
      <c r="I1412" s="30">
        <f t="shared" si="1452"/>
        <v>8000</v>
      </c>
      <c r="J1412" s="8">
        <v>25000</v>
      </c>
      <c r="K1412" s="30">
        <f t="shared" si="1453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VLOOKUP(VLOOKUP(DATEVALUE(TEXT(A1412,"m/d/yyyy")),FY24_Temp[],5,FALSE)&amp;TEXT(A1412,"-h"),Table6[],4,FALSE)</f>
        <v>0.86971428564616615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VLOOKUP(TEXT(A1412,"yy-mm")&amp;"-"&amp;IF(AND(WEEKDAY(A1412)&gt;1,WEEKDAY(A1412)&lt;7),"Wkd",TEXT(A1412,"Ddd"))&amp;"-"&amp;TEXT(A1412,"hh"),LoadTable[],5,FALSE)*0.92</f>
        <v>521.92427999999995</v>
      </c>
      <c r="U1412" s="104">
        <f>VLOOKUP(TEXT(A1412,"yy-mm")&amp;"-"&amp;IF(AND(WEEKDAY(A1412)&gt;1,WEEKDAY(A1412)&lt;7),"Wkd",TEXT(A1412,"Ddd"))&amp;"-"&amp;TEXT(A1412,"hh"),LoadTable[],6,FALSE)*T1412</f>
        <v>57850.609119479988</v>
      </c>
      <c r="V1412">
        <f t="shared" ref="V1412:W1412" si="1494">V1388</f>
        <v>3.6</v>
      </c>
      <c r="W1412">
        <f t="shared" si="1494"/>
        <v>3</v>
      </c>
      <c r="X1412" s="9">
        <v>-49.053962816666299</v>
      </c>
    </row>
    <row r="1413" spans="1:24">
      <c r="A1413" s="29">
        <f t="shared" ref="A1413:A1476" si="1495">A1412+TIME(1,0,0)</f>
        <v>45894.74999999658</v>
      </c>
      <c r="B1413" s="30">
        <f t="shared" si="1450"/>
        <v>5000</v>
      </c>
      <c r="C1413" s="8">
        <v>25000</v>
      </c>
      <c r="D1413" s="8">
        <v>0</v>
      </c>
      <c r="E1413" s="8">
        <v>700</v>
      </c>
      <c r="F1413" s="8">
        <v>15000</v>
      </c>
      <c r="G1413" s="30">
        <f t="shared" si="1451"/>
        <v>2400</v>
      </c>
      <c r="H1413" s="8">
        <v>25000</v>
      </c>
      <c r="I1413" s="30">
        <f t="shared" si="1452"/>
        <v>5000</v>
      </c>
      <c r="J1413" s="8">
        <v>25000</v>
      </c>
      <c r="K1413" s="30">
        <f t="shared" si="1453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VLOOKUP(VLOOKUP(DATEVALUE(TEXT(A1413,"m/d/yyyy")),FY24_Temp[],5,FALSE)&amp;TEXT(A1413,"-h"),Table6[],4,FALSE)</f>
        <v>1.2285714319774084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VLOOKUP(TEXT(A1413,"yy-mm")&amp;"-"&amp;IF(AND(WEEKDAY(A1413)&gt;1,WEEKDAY(A1413)&lt;7),"Wkd",TEXT(A1413,"Ddd"))&amp;"-"&amp;TEXT(A1413,"hh"),LoadTable[],5,FALSE)*0.92</f>
        <v>521.92427999999995</v>
      </c>
      <c r="U1413" s="104">
        <f>VLOOKUP(TEXT(A1413,"yy-mm")&amp;"-"&amp;IF(AND(WEEKDAY(A1413)&gt;1,WEEKDAY(A1413)&lt;7),"Wkd",TEXT(A1413,"Ddd"))&amp;"-"&amp;TEXT(A1413,"hh"),LoadTable[],6,FALSE)*T1413</f>
        <v>71088.174633119997</v>
      </c>
      <c r="V1413">
        <f t="shared" ref="V1413:W1413" si="1496">V1389</f>
        <v>2.9</v>
      </c>
      <c r="W1413">
        <f t="shared" si="1496"/>
        <v>3</v>
      </c>
      <c r="X1413" s="9">
        <v>-49.131757366666299</v>
      </c>
    </row>
    <row r="1414" spans="1:24">
      <c r="A1414" s="29">
        <f t="shared" si="1495"/>
        <v>45894.791666663245</v>
      </c>
      <c r="B1414" s="30">
        <f t="shared" si="1450"/>
        <v>5000</v>
      </c>
      <c r="C1414" s="8">
        <v>25000</v>
      </c>
      <c r="D1414" s="8">
        <v>0</v>
      </c>
      <c r="E1414" s="8">
        <v>700</v>
      </c>
      <c r="F1414" s="8">
        <v>15000</v>
      </c>
      <c r="G1414" s="30">
        <f t="shared" si="1451"/>
        <v>2400</v>
      </c>
      <c r="H1414" s="8">
        <v>25000</v>
      </c>
      <c r="I1414" s="30">
        <f t="shared" si="1452"/>
        <v>5000</v>
      </c>
      <c r="J1414" s="8">
        <v>25000</v>
      </c>
      <c r="K1414" s="30">
        <f t="shared" si="1453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VLOOKUP(VLOOKUP(DATEVALUE(TEXT(A1414,"m/d/yyyy")),FY24_Temp[],5,FALSE)&amp;TEXT(A1414,"-h"),Table6[],4,FALSE)</f>
        <v>1.949428609439305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VLOOKUP(TEXT(A1414,"yy-mm")&amp;"-"&amp;IF(AND(WEEKDAY(A1414)&gt;1,WEEKDAY(A1414)&lt;7),"Wkd",TEXT(A1414,"Ddd"))&amp;"-"&amp;TEXT(A1414,"hh"),LoadTable[],5,FALSE)*0.92</f>
        <v>521.92427999999995</v>
      </c>
      <c r="U1414" s="104">
        <f>VLOOKUP(TEXT(A1414,"yy-mm")&amp;"-"&amp;IF(AND(WEEKDAY(A1414)&gt;1,WEEKDAY(A1414)&lt;7),"Wkd",TEXT(A1414,"Ddd"))&amp;"-"&amp;TEXT(A1414,"hh"),LoadTable[],6,FALSE)*T1414</f>
        <v>75540.188741520004</v>
      </c>
      <c r="V1414">
        <f t="shared" ref="V1414:W1414" si="1497">V1390</f>
        <v>3</v>
      </c>
      <c r="W1414">
        <f t="shared" si="1497"/>
        <v>3</v>
      </c>
      <c r="X1414" s="9">
        <v>-49.2095519166663</v>
      </c>
    </row>
    <row r="1415" spans="1:24">
      <c r="A1415" s="29">
        <f t="shared" si="1495"/>
        <v>45894.833333329909</v>
      </c>
      <c r="B1415" s="30">
        <f t="shared" si="1450"/>
        <v>5000</v>
      </c>
      <c r="C1415" s="8">
        <v>25000</v>
      </c>
      <c r="D1415" s="8">
        <v>0</v>
      </c>
      <c r="E1415" s="8">
        <v>700</v>
      </c>
      <c r="F1415" s="8">
        <v>15000</v>
      </c>
      <c r="G1415" s="30">
        <f t="shared" si="1451"/>
        <v>2400</v>
      </c>
      <c r="H1415" s="8">
        <v>25000</v>
      </c>
      <c r="I1415" s="30">
        <f t="shared" si="1452"/>
        <v>5000</v>
      </c>
      <c r="J1415" s="8">
        <v>25000</v>
      </c>
      <c r="K1415" s="30">
        <f t="shared" si="1453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VLOOKUP(VLOOKUP(DATEVALUE(TEXT(A1415,"m/d/yyyy")),FY24_Temp[],5,FALSE)&amp;TEXT(A1415,"-h"),Table6[],4,FALSE)</f>
        <v>2.732428584780012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VLOOKUP(TEXT(A1415,"yy-mm")&amp;"-"&amp;IF(AND(WEEKDAY(A1415)&gt;1,WEEKDAY(A1415)&lt;7),"Wkd",TEXT(A1415,"Ddd"))&amp;"-"&amp;TEXT(A1415,"hh"),LoadTable[],5,FALSE)*0.92</f>
        <v>521.92427999999995</v>
      </c>
      <c r="U1415" s="104">
        <f>VLOOKUP(TEXT(A1415,"yy-mm")&amp;"-"&amp;IF(AND(WEEKDAY(A1415)&gt;1,WEEKDAY(A1415)&lt;7),"Wkd",TEXT(A1415,"Ddd"))&amp;"-"&amp;TEXT(A1415,"hh"),LoadTable[],6,FALSE)*T1415</f>
        <v>69176.365995479995</v>
      </c>
      <c r="V1415">
        <f t="shared" ref="V1415:W1415" si="1498">V1391</f>
        <v>2.8</v>
      </c>
      <c r="W1415">
        <f t="shared" si="1498"/>
        <v>3.1</v>
      </c>
      <c r="X1415" s="9">
        <v>-49.2873464666663</v>
      </c>
    </row>
    <row r="1416" spans="1:24">
      <c r="A1416" s="29">
        <f t="shared" si="1495"/>
        <v>45894.874999996573</v>
      </c>
      <c r="B1416" s="30">
        <f t="shared" si="1450"/>
        <v>5000</v>
      </c>
      <c r="C1416" s="8">
        <v>25000</v>
      </c>
      <c r="D1416" s="8">
        <v>0</v>
      </c>
      <c r="E1416" s="8">
        <v>700</v>
      </c>
      <c r="F1416" s="8">
        <v>15000</v>
      </c>
      <c r="G1416" s="30">
        <f t="shared" si="1451"/>
        <v>2400</v>
      </c>
      <c r="H1416" s="8">
        <v>25000</v>
      </c>
      <c r="I1416" s="30">
        <f t="shared" si="1452"/>
        <v>5000</v>
      </c>
      <c r="J1416" s="8">
        <v>25000</v>
      </c>
      <c r="K1416" s="30">
        <f t="shared" si="1453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VLOOKUP(VLOOKUP(DATEVALUE(TEXT(A1416,"m/d/yyyy")),FY24_Temp[],5,FALSE)&amp;TEXT(A1416,"-h"),Table6[],4,FALSE)</f>
        <v>2.9708571093423024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VLOOKUP(TEXT(A1416,"yy-mm")&amp;"-"&amp;IF(AND(WEEKDAY(A1416)&gt;1,WEEKDAY(A1416)&lt;7),"Wkd",TEXT(A1416,"Ddd"))&amp;"-"&amp;TEXT(A1416,"hh"),LoadTable[],5,FALSE)*0.92</f>
        <v>521.92427999999995</v>
      </c>
      <c r="U1416" s="104">
        <f>VLOOKUP(TEXT(A1416,"yy-mm")&amp;"-"&amp;IF(AND(WEEKDAY(A1416)&gt;1,WEEKDAY(A1416)&lt;7),"Wkd",TEXT(A1416,"Ddd"))&amp;"-"&amp;TEXT(A1416,"hh"),LoadTable[],6,FALSE)*T1416</f>
        <v>56417.405046599997</v>
      </c>
      <c r="V1416">
        <f t="shared" ref="V1416:W1416" si="1499">V1392</f>
        <v>3.5</v>
      </c>
      <c r="W1416">
        <f t="shared" si="1499"/>
        <v>3.1</v>
      </c>
      <c r="X1416" s="9">
        <v>-49.3651410166663</v>
      </c>
    </row>
    <row r="1417" spans="1:24">
      <c r="A1417" s="29">
        <f t="shared" si="1495"/>
        <v>45894.916666663237</v>
      </c>
      <c r="B1417" s="30">
        <f t="shared" si="1450"/>
        <v>5000</v>
      </c>
      <c r="C1417" s="8">
        <v>25000</v>
      </c>
      <c r="D1417" s="8">
        <v>0</v>
      </c>
      <c r="E1417" s="8">
        <v>700</v>
      </c>
      <c r="F1417" s="8">
        <v>15000</v>
      </c>
      <c r="G1417" s="30">
        <f t="shared" si="1451"/>
        <v>2400</v>
      </c>
      <c r="H1417" s="8">
        <v>25000</v>
      </c>
      <c r="I1417" s="30">
        <f t="shared" si="1452"/>
        <v>5000</v>
      </c>
      <c r="J1417" s="8">
        <v>25000</v>
      </c>
      <c r="K1417" s="30">
        <f t="shared" si="1453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VLOOKUP(VLOOKUP(DATEVALUE(TEXT(A1417,"m/d/yyyy")),FY24_Temp[],5,FALSE)&amp;TEXT(A1417,"-h"),Table6[],4,FALSE)</f>
        <v>2.9297142710004533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VLOOKUP(TEXT(A1417,"yy-mm")&amp;"-"&amp;IF(AND(WEEKDAY(A1417)&gt;1,WEEKDAY(A1417)&lt;7),"Wkd",TEXT(A1417,"Ddd"))&amp;"-"&amp;TEXT(A1417,"hh"),LoadTable[],5,FALSE)*0.92</f>
        <v>447.02432000000005</v>
      </c>
      <c r="U1417" s="104">
        <f>VLOOKUP(TEXT(A1417,"yy-mm")&amp;"-"&amp;IF(AND(WEEKDAY(A1417)&gt;1,WEEKDAY(A1417)&lt;7),"Wkd",TEXT(A1417,"Ddd"))&amp;"-"&amp;TEXT(A1417,"hh"),LoadTable[],6,FALSE)*T1417</f>
        <v>29850.49599232</v>
      </c>
      <c r="V1417">
        <f t="shared" ref="V1417:W1417" si="1500">V1393</f>
        <v>2.9</v>
      </c>
      <c r="W1417">
        <f t="shared" si="1500"/>
        <v>3.1</v>
      </c>
      <c r="X1417" s="9">
        <v>-49.4429355666663</v>
      </c>
    </row>
    <row r="1418" spans="1:24">
      <c r="A1418" s="29">
        <f t="shared" si="1495"/>
        <v>45894.958333329902</v>
      </c>
      <c r="B1418" s="30">
        <f t="shared" si="1450"/>
        <v>5000</v>
      </c>
      <c r="C1418" s="8">
        <v>25000</v>
      </c>
      <c r="D1418" s="8">
        <v>0</v>
      </c>
      <c r="E1418" s="8">
        <v>700</v>
      </c>
      <c r="F1418" s="8">
        <v>15000</v>
      </c>
      <c r="G1418" s="30">
        <f t="shared" si="1451"/>
        <v>2400</v>
      </c>
      <c r="H1418" s="8">
        <v>25000</v>
      </c>
      <c r="I1418" s="30">
        <f t="shared" si="1452"/>
        <v>5000</v>
      </c>
      <c r="J1418" s="8">
        <v>25000</v>
      </c>
      <c r="K1418" s="30">
        <f t="shared" si="1453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VLOOKUP(VLOOKUP(DATEVALUE(TEXT(A1418,"m/d/yyyy")),FY24_Temp[],5,FALSE)&amp;TEXT(A1418,"-h"),Table6[],4,FALSE)</f>
        <v>2.8045714242117747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VLOOKUP(TEXT(A1418,"yy-mm")&amp;"-"&amp;IF(AND(WEEKDAY(A1418)&gt;1,WEEKDAY(A1418)&lt;7),"Wkd",TEXT(A1418,"Ddd"))&amp;"-"&amp;TEXT(A1418,"hh"),LoadTable[],5,FALSE)*0.92</f>
        <v>372.12436000000002</v>
      </c>
      <c r="U1418" s="104">
        <f>VLOOKUP(TEXT(A1418,"yy-mm")&amp;"-"&amp;IF(AND(WEEKDAY(A1418)&gt;1,WEEKDAY(A1418)&lt;7),"Wkd",TEXT(A1418,"Ddd"))&amp;"-"&amp;TEXT(A1418,"hh"),LoadTable[],6,FALSE)*T1418</f>
        <v>22421.236938720001</v>
      </c>
      <c r="V1418">
        <f t="shared" ref="V1418:W1418" si="1501">V1394</f>
        <v>3.6</v>
      </c>
      <c r="W1418">
        <f t="shared" si="1501"/>
        <v>3.1</v>
      </c>
      <c r="X1418" s="9">
        <v>-49.5207301166663</v>
      </c>
    </row>
    <row r="1419" spans="1:24">
      <c r="A1419" s="29">
        <f t="shared" si="1495"/>
        <v>45894.999999996566</v>
      </c>
      <c r="B1419" s="30">
        <f t="shared" si="1450"/>
        <v>5000</v>
      </c>
      <c r="C1419" s="8">
        <v>25000</v>
      </c>
      <c r="D1419" s="8">
        <v>0</v>
      </c>
      <c r="E1419" s="8">
        <v>700</v>
      </c>
      <c r="F1419" s="8">
        <v>15000</v>
      </c>
      <c r="G1419" s="30">
        <f t="shared" si="1451"/>
        <v>2400</v>
      </c>
      <c r="H1419" s="8">
        <v>25000</v>
      </c>
      <c r="I1419" s="30">
        <f t="shared" si="1452"/>
        <v>5000</v>
      </c>
      <c r="J1419" s="8">
        <v>25000</v>
      </c>
      <c r="K1419" s="30">
        <f t="shared" si="1453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VLOOKUP(VLOOKUP(DATEVALUE(TEXT(A1419,"m/d/yyyy")),FY24_Temp[],5,FALSE)&amp;TEXT(A1419,"-h"),Table6[],4,FALSE)</f>
        <v>2.707571404320853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VLOOKUP(TEXT(A1419,"yy-mm")&amp;"-"&amp;IF(AND(WEEKDAY(A1419)&gt;1,WEEKDAY(A1419)&lt;7),"Wkd",TEXT(A1419,"Ddd"))&amp;"-"&amp;TEXT(A1419,"hh"),LoadTable[],5,FALSE)*0.92</f>
        <v>297.2244</v>
      </c>
      <c r="U1419" s="104">
        <f>VLOOKUP(TEXT(A1419,"yy-mm")&amp;"-"&amp;IF(AND(WEEKDAY(A1419)&gt;1,WEEKDAY(A1419)&lt;7),"Wkd",TEXT(A1419,"Ddd"))&amp;"-"&amp;TEXT(A1419,"hh"),LoadTable[],6,FALSE)*T1419</f>
        <v>17505.031038000001</v>
      </c>
      <c r="V1419">
        <f t="shared" ref="V1419:W1419" si="1502">V1395</f>
        <v>3</v>
      </c>
      <c r="W1419">
        <f t="shared" si="1502"/>
        <v>3.2</v>
      </c>
      <c r="X1419" s="9">
        <v>-49.5985246666663</v>
      </c>
    </row>
    <row r="1420" spans="1:24">
      <c r="A1420" s="29">
        <f t="shared" si="1495"/>
        <v>45895.04166666323</v>
      </c>
      <c r="B1420" s="30">
        <f t="shared" si="1450"/>
        <v>5000</v>
      </c>
      <c r="C1420" s="8">
        <v>25000</v>
      </c>
      <c r="D1420" s="8">
        <v>0</v>
      </c>
      <c r="E1420" s="8">
        <v>700</v>
      </c>
      <c r="F1420" s="8">
        <v>15000</v>
      </c>
      <c r="G1420" s="30">
        <f t="shared" si="1451"/>
        <v>2400</v>
      </c>
      <c r="H1420" s="8">
        <v>25000</v>
      </c>
      <c r="I1420" s="30">
        <f t="shared" si="1452"/>
        <v>5000</v>
      </c>
      <c r="J1420" s="8">
        <v>25000</v>
      </c>
      <c r="K1420" s="30">
        <f t="shared" si="1453"/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VLOOKUP(VLOOKUP(DATEVALUE(TEXT(A1420,"m/d/yyyy")),FY24_Temp[],5,FALSE)&amp;TEXT(A1420,"-h"),Table6[],4,FALSE)</f>
        <v>2.6045714105878557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VLOOKUP(TEXT(A1420,"yy-mm")&amp;"-"&amp;IF(AND(WEEKDAY(A1420)&gt;1,WEEKDAY(A1420)&lt;7),"Wkd",TEXT(A1420,"Ddd"))&amp;"-"&amp;TEXT(A1420,"hh"),LoadTable[],5,FALSE)*0.92</f>
        <v>295.12680000000006</v>
      </c>
      <c r="U1420" s="104">
        <f>VLOOKUP(TEXT(A1420,"yy-mm")&amp;"-"&amp;IF(AND(WEEKDAY(A1420)&gt;1,WEEKDAY(A1420)&lt;7),"Wkd",TEXT(A1420,"Ddd"))&amp;"-"&amp;TEXT(A1420,"hh"),LoadTable[],6,FALSE)*T1420</f>
        <v>17131.225359600001</v>
      </c>
      <c r="V1420">
        <f t="shared" ref="V1420:W1420" si="1503">V1396</f>
        <v>2.6</v>
      </c>
      <c r="W1420">
        <f t="shared" si="1503"/>
        <v>3.2</v>
      </c>
      <c r="X1420" s="9">
        <v>-49.6763192166663</v>
      </c>
    </row>
    <row r="1421" spans="1:24">
      <c r="A1421" s="29">
        <f t="shared" si="1495"/>
        <v>45895.083333329894</v>
      </c>
      <c r="B1421" s="30">
        <f t="shared" si="1450"/>
        <v>5000</v>
      </c>
      <c r="C1421" s="8">
        <v>25000</v>
      </c>
      <c r="D1421" s="8">
        <v>0</v>
      </c>
      <c r="E1421" s="8">
        <v>700</v>
      </c>
      <c r="F1421" s="8">
        <v>15000</v>
      </c>
      <c r="G1421" s="30">
        <f t="shared" si="1451"/>
        <v>2400</v>
      </c>
      <c r="H1421" s="8">
        <v>25000</v>
      </c>
      <c r="I1421" s="30">
        <f t="shared" si="1452"/>
        <v>5000</v>
      </c>
      <c r="J1421" s="8">
        <v>25000</v>
      </c>
      <c r="K1421" s="30">
        <f t="shared" si="1453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VLOOKUP(VLOOKUP(DATEVALUE(TEXT(A1421,"m/d/yyyy")),FY24_Temp[],5,FALSE)&amp;TEXT(A1421,"-h"),Table6[],4,FALSE)</f>
        <v>2.5119999476841519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VLOOKUP(TEXT(A1421,"yy-mm")&amp;"-"&amp;IF(AND(WEEKDAY(A1421)&gt;1,WEEKDAY(A1421)&lt;7),"Wkd",TEXT(A1421,"Ddd"))&amp;"-"&amp;TEXT(A1421,"hh"),LoadTable[],5,FALSE)*0.92</f>
        <v>295.12680000000006</v>
      </c>
      <c r="U1421" s="104">
        <f>VLOOKUP(TEXT(A1421,"yy-mm")&amp;"-"&amp;IF(AND(WEEKDAY(A1421)&gt;1,WEEKDAY(A1421)&lt;7),"Wkd",TEXT(A1421,"Ddd"))&amp;"-"&amp;TEXT(A1421,"hh"),LoadTable[],6,FALSE)*T1421</f>
        <v>16459.811889600001</v>
      </c>
      <c r="V1421">
        <f t="shared" ref="V1421:W1421" si="1504">V1397</f>
        <v>2.8</v>
      </c>
      <c r="W1421">
        <f t="shared" si="1504"/>
        <v>3.2</v>
      </c>
      <c r="X1421" s="9">
        <v>-49.7541137666663</v>
      </c>
    </row>
    <row r="1422" spans="1:24">
      <c r="A1422" s="29">
        <f t="shared" si="1495"/>
        <v>45895.124999996558</v>
      </c>
      <c r="B1422" s="30">
        <f t="shared" si="1450"/>
        <v>5000</v>
      </c>
      <c r="C1422" s="8">
        <v>25000</v>
      </c>
      <c r="D1422" s="8">
        <v>0</v>
      </c>
      <c r="E1422" s="8">
        <v>700</v>
      </c>
      <c r="F1422" s="8">
        <v>15000</v>
      </c>
      <c r="G1422" s="30">
        <f t="shared" si="1451"/>
        <v>2400</v>
      </c>
      <c r="H1422" s="8">
        <v>25000</v>
      </c>
      <c r="I1422" s="30">
        <f t="shared" si="1452"/>
        <v>5000</v>
      </c>
      <c r="J1422" s="8">
        <v>25000</v>
      </c>
      <c r="K1422" s="30">
        <f t="shared" si="1453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VLOOKUP(VLOOKUP(DATEVALUE(TEXT(A1422,"m/d/yyyy")),FY24_Temp[],5,FALSE)&amp;TEXT(A1422,"-h"),Table6[],4,FALSE)</f>
        <v>2.3667143072400774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VLOOKUP(TEXT(A1422,"yy-mm")&amp;"-"&amp;IF(AND(WEEKDAY(A1422)&gt;1,WEEKDAY(A1422)&lt;7),"Wkd",TEXT(A1422,"Ddd"))&amp;"-"&amp;TEXT(A1422,"hh"),LoadTable[],5,FALSE)*0.92</f>
        <v>295.12680000000006</v>
      </c>
      <c r="U1422" s="104">
        <f>VLOOKUP(TEXT(A1422,"yy-mm")&amp;"-"&amp;IF(AND(WEEKDAY(A1422)&gt;1,WEEKDAY(A1422)&lt;7),"Wkd",TEXT(A1422,"Ddd"))&amp;"-"&amp;TEXT(A1422,"hh"),LoadTable[],6,FALSE)*T1422</f>
        <v>16610.326557600001</v>
      </c>
      <c r="V1422">
        <f t="shared" ref="V1422:W1422" si="1505">V1398</f>
        <v>2.7</v>
      </c>
      <c r="W1422">
        <f t="shared" si="1505"/>
        <v>3.2</v>
      </c>
      <c r="X1422" s="9">
        <v>-49.831908316666301</v>
      </c>
    </row>
    <row r="1423" spans="1:24">
      <c r="A1423" s="29">
        <f t="shared" si="1495"/>
        <v>45895.166666663223</v>
      </c>
      <c r="B1423" s="30">
        <f t="shared" si="1450"/>
        <v>5000</v>
      </c>
      <c r="C1423" s="8">
        <v>25000</v>
      </c>
      <c r="D1423" s="8">
        <v>0</v>
      </c>
      <c r="E1423" s="8">
        <v>700</v>
      </c>
      <c r="F1423" s="8">
        <v>15000</v>
      </c>
      <c r="G1423" s="30">
        <f t="shared" si="1451"/>
        <v>2400</v>
      </c>
      <c r="H1423" s="8">
        <v>25000</v>
      </c>
      <c r="I1423" s="30">
        <f t="shared" si="1452"/>
        <v>5000</v>
      </c>
      <c r="J1423" s="8">
        <v>25000</v>
      </c>
      <c r="K1423" s="30">
        <f t="shared" si="1453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VLOOKUP(VLOOKUP(DATEVALUE(TEXT(A1423,"m/d/yyyy")),FY24_Temp[],5,FALSE)&amp;TEXT(A1423,"-h"),Table6[],4,FALSE)</f>
        <v>2.2025713920593262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VLOOKUP(TEXT(A1423,"yy-mm")&amp;"-"&amp;IF(AND(WEEKDAY(A1423)&gt;1,WEEKDAY(A1423)&lt;7),"Wkd",TEXT(A1423,"Ddd"))&amp;"-"&amp;TEXT(A1423,"hh"),LoadTable[],5,FALSE)*0.92</f>
        <v>295.12680000000006</v>
      </c>
      <c r="U1423" s="104">
        <f>VLOOKUP(TEXT(A1423,"yy-mm")&amp;"-"&amp;IF(AND(WEEKDAY(A1423)&gt;1,WEEKDAY(A1423)&lt;7),"Wkd",TEXT(A1423,"Ddd"))&amp;"-"&amp;TEXT(A1423,"hh"),LoadTable[],6,FALSE)*T1423</f>
        <v>16544.513281200001</v>
      </c>
      <c r="V1423">
        <f t="shared" ref="V1423:W1423" si="1506">V1399</f>
        <v>3</v>
      </c>
      <c r="W1423">
        <f t="shared" si="1506"/>
        <v>3.1</v>
      </c>
      <c r="X1423" s="9">
        <v>-49.909702866666301</v>
      </c>
    </row>
    <row r="1424" spans="1:24">
      <c r="A1424" s="29">
        <f t="shared" si="1495"/>
        <v>45895.208333329887</v>
      </c>
      <c r="B1424" s="30">
        <f t="shared" si="1450"/>
        <v>5000</v>
      </c>
      <c r="C1424" s="8">
        <v>25000</v>
      </c>
      <c r="D1424" s="8">
        <v>0</v>
      </c>
      <c r="E1424" s="8">
        <v>700</v>
      </c>
      <c r="F1424" s="8">
        <v>15000</v>
      </c>
      <c r="G1424" s="30">
        <f t="shared" si="1451"/>
        <v>2400</v>
      </c>
      <c r="H1424" s="8">
        <v>25000</v>
      </c>
      <c r="I1424" s="30">
        <f t="shared" si="1452"/>
        <v>5000</v>
      </c>
      <c r="J1424" s="8">
        <v>25000</v>
      </c>
      <c r="K1424" s="30">
        <f t="shared" si="1453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VLOOKUP(VLOOKUP(DATEVALUE(TEXT(A1424,"m/d/yyyy")),FY24_Temp[],5,FALSE)&amp;TEXT(A1424,"-h"),Table6[],4,FALSE)</f>
        <v>2.0452857358115062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VLOOKUP(TEXT(A1424,"yy-mm")&amp;"-"&amp;IF(AND(WEEKDAY(A1424)&gt;1,WEEKDAY(A1424)&lt;7),"Wkd",TEXT(A1424,"Ddd"))&amp;"-"&amp;TEXT(A1424,"hh"),LoadTable[],5,FALSE)*0.92</f>
        <v>295.12680000000006</v>
      </c>
      <c r="U1424" s="104">
        <f>VLOOKUP(TEXT(A1424,"yy-mm")&amp;"-"&amp;IF(AND(WEEKDAY(A1424)&gt;1,WEEKDAY(A1424)&lt;7),"Wkd",TEXT(A1424,"Ddd"))&amp;"-"&amp;TEXT(A1424,"hh"),LoadTable[],6,FALSE)*T1424</f>
        <v>17128.569218400004</v>
      </c>
      <c r="V1424">
        <f t="shared" ref="V1424:W1424" si="1507">V1400</f>
        <v>2.9</v>
      </c>
      <c r="W1424">
        <f t="shared" si="1507"/>
        <v>3.1</v>
      </c>
      <c r="X1424" s="9">
        <v>-49.987497416666301</v>
      </c>
    </row>
    <row r="1425" spans="1:24">
      <c r="A1425" s="29">
        <f t="shared" si="1495"/>
        <v>45895.249999996551</v>
      </c>
      <c r="B1425" s="30">
        <f t="shared" si="1450"/>
        <v>8000</v>
      </c>
      <c r="C1425" s="8">
        <v>25000</v>
      </c>
      <c r="D1425" s="8">
        <v>0</v>
      </c>
      <c r="E1425" s="8">
        <v>700</v>
      </c>
      <c r="F1425" s="8">
        <v>15000</v>
      </c>
      <c r="G1425" s="30">
        <f t="shared" si="1451"/>
        <v>2400</v>
      </c>
      <c r="H1425" s="8">
        <v>25000</v>
      </c>
      <c r="I1425" s="30">
        <f t="shared" si="1452"/>
        <v>8000</v>
      </c>
      <c r="J1425" s="8">
        <v>25000</v>
      </c>
      <c r="K1425" s="30">
        <f t="shared" si="1453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VLOOKUP(VLOOKUP(DATEVALUE(TEXT(A1425,"m/d/yyyy")),FY24_Temp[],5,FALSE)&amp;TEXT(A1425,"-h"),Table6[],4,FALSE)</f>
        <v>1.9314285516738892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VLOOKUP(TEXT(A1425,"yy-mm")&amp;"-"&amp;IF(AND(WEEKDAY(A1425)&gt;1,WEEKDAY(A1425)&lt;7),"Wkd",TEXT(A1425,"Ddd"))&amp;"-"&amp;TEXT(A1425,"hh"),LoadTable[],5,FALSE)*0.92</f>
        <v>295.12680000000006</v>
      </c>
      <c r="U1425" s="104">
        <f>VLOOKUP(TEXT(A1425,"yy-mm")&amp;"-"&amp;IF(AND(WEEKDAY(A1425)&gt;1,WEEKDAY(A1425)&lt;7),"Wkd",TEXT(A1425,"Ddd"))&amp;"-"&amp;TEXT(A1425,"hh"),LoadTable[],6,FALSE)*T1425</f>
        <v>20766.892408800006</v>
      </c>
      <c r="V1425">
        <f t="shared" ref="V1425:W1425" si="1508">V1401</f>
        <v>2.5</v>
      </c>
      <c r="W1425">
        <f t="shared" si="1508"/>
        <v>3.1</v>
      </c>
      <c r="X1425" s="9">
        <v>-50.065291966666301</v>
      </c>
    </row>
    <row r="1426" spans="1:24">
      <c r="A1426" s="29">
        <f t="shared" si="1495"/>
        <v>45895.291666663215</v>
      </c>
      <c r="B1426" s="30">
        <f t="shared" si="1450"/>
        <v>8000</v>
      </c>
      <c r="C1426" s="8">
        <v>25000</v>
      </c>
      <c r="D1426" s="8">
        <v>0</v>
      </c>
      <c r="E1426" s="8">
        <v>700</v>
      </c>
      <c r="F1426" s="8">
        <v>15000</v>
      </c>
      <c r="G1426" s="30">
        <f t="shared" si="1451"/>
        <v>2400</v>
      </c>
      <c r="H1426" s="8">
        <v>25000</v>
      </c>
      <c r="I1426" s="30">
        <f t="shared" si="1452"/>
        <v>8000</v>
      </c>
      <c r="J1426" s="8">
        <v>25000</v>
      </c>
      <c r="K1426" s="30">
        <f t="shared" si="1453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VLOOKUP(VLOOKUP(DATEVALUE(TEXT(A1426,"m/d/yyyy")),FY24_Temp[],5,FALSE)&amp;TEXT(A1426,"-h"),Table6[],4,FALSE)</f>
        <v>1.8508571556636266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VLOOKUP(TEXT(A1426,"yy-mm")&amp;"-"&amp;IF(AND(WEEKDAY(A1426)&gt;1,WEEKDAY(A1426)&lt;7),"Wkd",TEXT(A1426,"Ddd"))&amp;"-"&amp;TEXT(A1426,"hh"),LoadTable[],5,FALSE)*0.92</f>
        <v>295.12680000000006</v>
      </c>
      <c r="U1426" s="104">
        <f>VLOOKUP(TEXT(A1426,"yy-mm")&amp;"-"&amp;IF(AND(WEEKDAY(A1426)&gt;1,WEEKDAY(A1426)&lt;7),"Wkd",TEXT(A1426,"Ddd"))&amp;"-"&amp;TEXT(A1426,"hh"),LoadTable[],6,FALSE)*T1426</f>
        <v>19169.666167200001</v>
      </c>
      <c r="V1426">
        <f t="shared" ref="V1426:W1426" si="1509">V1402</f>
        <v>2.5</v>
      </c>
      <c r="W1426">
        <f t="shared" si="1509"/>
        <v>3.1</v>
      </c>
      <c r="X1426" s="9">
        <v>-50.143086516666301</v>
      </c>
    </row>
    <row r="1427" spans="1:24">
      <c r="A1427" s="29">
        <f t="shared" si="1495"/>
        <v>45895.33333332988</v>
      </c>
      <c r="B1427" s="30">
        <f t="shared" si="1450"/>
        <v>8000</v>
      </c>
      <c r="C1427" s="8">
        <v>25000</v>
      </c>
      <c r="D1427" s="8">
        <v>0</v>
      </c>
      <c r="E1427" s="8">
        <v>700</v>
      </c>
      <c r="F1427" s="8">
        <v>15000</v>
      </c>
      <c r="G1427" s="30">
        <f t="shared" si="1451"/>
        <v>2400</v>
      </c>
      <c r="H1427" s="8">
        <v>25000</v>
      </c>
      <c r="I1427" s="30">
        <f t="shared" si="1452"/>
        <v>8000</v>
      </c>
      <c r="J1427" s="8">
        <v>25000</v>
      </c>
      <c r="K1427" s="30">
        <f t="shared" si="1453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VLOOKUP(VLOOKUP(DATEVALUE(TEXT(A1427,"m/d/yyyy")),FY24_Temp[],5,FALSE)&amp;TEXT(A1427,"-h"),Table6[],4,FALSE)</f>
        <v>1.7464285748345512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VLOOKUP(TEXT(A1427,"yy-mm")&amp;"-"&amp;IF(AND(WEEKDAY(A1427)&gt;1,WEEKDAY(A1427)&lt;7),"Wkd",TEXT(A1427,"Ddd"))&amp;"-"&amp;TEXT(A1427,"hh"),LoadTable[],5,FALSE)*0.92</f>
        <v>295.12680000000006</v>
      </c>
      <c r="U1427" s="104">
        <f>VLOOKUP(TEXT(A1427,"yy-mm")&amp;"-"&amp;IF(AND(WEEKDAY(A1427)&gt;1,WEEKDAY(A1427)&lt;7),"Wkd",TEXT(A1427,"Ddd"))&amp;"-"&amp;TEXT(A1427,"hh"),LoadTable[],6,FALSE)*T1427</f>
        <v>15860.999612400004</v>
      </c>
      <c r="V1427">
        <f t="shared" ref="V1427:W1427" si="1510">V1403</f>
        <v>3.2</v>
      </c>
      <c r="W1427">
        <f t="shared" si="1510"/>
        <v>3</v>
      </c>
      <c r="X1427" s="9">
        <v>-50.220881066666301</v>
      </c>
    </row>
    <row r="1428" spans="1:24">
      <c r="A1428" s="29">
        <f t="shared" si="1495"/>
        <v>45895.374999996544</v>
      </c>
      <c r="B1428" s="30">
        <f t="shared" si="1450"/>
        <v>8000</v>
      </c>
      <c r="C1428" s="8">
        <v>25000</v>
      </c>
      <c r="D1428" s="8">
        <v>0</v>
      </c>
      <c r="E1428" s="8">
        <v>700</v>
      </c>
      <c r="F1428" s="8">
        <v>15000</v>
      </c>
      <c r="G1428" s="30">
        <f t="shared" si="1451"/>
        <v>2400</v>
      </c>
      <c r="H1428" s="8">
        <v>25000</v>
      </c>
      <c r="I1428" s="30">
        <f t="shared" si="1452"/>
        <v>8000</v>
      </c>
      <c r="J1428" s="8">
        <v>25000</v>
      </c>
      <c r="K1428" s="30">
        <f t="shared" si="1453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VLOOKUP(VLOOKUP(DATEVALUE(TEXT(A1428,"m/d/yyyy")),FY24_Temp[],5,FALSE)&amp;TEXT(A1428,"-h"),Table6[],4,FALSE)</f>
        <v>1.6497142996106828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VLOOKUP(TEXT(A1428,"yy-mm")&amp;"-"&amp;IF(AND(WEEKDAY(A1428)&gt;1,WEEKDAY(A1428)&lt;7),"Wkd",TEXT(A1428,"Ddd"))&amp;"-"&amp;TEXT(A1428,"hh"),LoadTable[],5,FALSE)*0.92</f>
        <v>295.12680000000006</v>
      </c>
      <c r="U1428" s="104">
        <f>VLOOKUP(TEXT(A1428,"yy-mm")&amp;"-"&amp;IF(AND(WEEKDAY(A1428)&gt;1,WEEKDAY(A1428)&lt;7),"Wkd",TEXT(A1428,"Ddd"))&amp;"-"&amp;TEXT(A1428,"hh"),LoadTable[],6,FALSE)*T1428</f>
        <v>15713.436212400004</v>
      </c>
      <c r="V1428">
        <f t="shared" ref="V1428:W1428" si="1511">V1404</f>
        <v>2.9</v>
      </c>
      <c r="W1428">
        <f t="shared" si="1511"/>
        <v>3</v>
      </c>
      <c r="X1428" s="9">
        <v>-50.298675616666301</v>
      </c>
    </row>
    <row r="1429" spans="1:24">
      <c r="A1429" s="29">
        <f t="shared" si="1495"/>
        <v>45895.416666663208</v>
      </c>
      <c r="B1429" s="30">
        <f t="shared" si="1450"/>
        <v>8000</v>
      </c>
      <c r="C1429" s="8">
        <v>25000</v>
      </c>
      <c r="D1429" s="8">
        <v>0</v>
      </c>
      <c r="E1429" s="8">
        <v>700</v>
      </c>
      <c r="F1429" s="8">
        <v>15000</v>
      </c>
      <c r="G1429" s="30">
        <f t="shared" si="1451"/>
        <v>2400</v>
      </c>
      <c r="H1429" s="8">
        <v>25000</v>
      </c>
      <c r="I1429" s="30">
        <f t="shared" si="1452"/>
        <v>8000</v>
      </c>
      <c r="J1429" s="8">
        <v>25000</v>
      </c>
      <c r="K1429" s="30">
        <f t="shared" si="1453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VLOOKUP(VLOOKUP(DATEVALUE(TEXT(A1429,"m/d/yyyy")),FY24_Temp[],5,FALSE)&amp;TEXT(A1429,"-h"),Table6[],4,FALSE)</f>
        <v>1.5668571165629797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VLOOKUP(TEXT(A1429,"yy-mm")&amp;"-"&amp;IF(AND(WEEKDAY(A1429)&gt;1,WEEKDAY(A1429)&lt;7),"Wkd",TEXT(A1429,"Ddd"))&amp;"-"&amp;TEXT(A1429,"hh"),LoadTable[],5,FALSE)*0.92</f>
        <v>295.12680000000006</v>
      </c>
      <c r="U1429" s="104">
        <f>VLOOKUP(TEXT(A1429,"yy-mm")&amp;"-"&amp;IF(AND(WEEKDAY(A1429)&gt;1,WEEKDAY(A1429)&lt;7),"Wkd",TEXT(A1429,"Ddd"))&amp;"-"&amp;TEXT(A1429,"hh"),LoadTable[],6,FALSE)*T1429</f>
        <v>14369.723892000002</v>
      </c>
      <c r="V1429">
        <f t="shared" ref="V1429:W1429" si="1512">V1405</f>
        <v>2.9</v>
      </c>
      <c r="W1429">
        <f t="shared" si="1512"/>
        <v>3</v>
      </c>
      <c r="X1429" s="9">
        <v>-50.376470166666302</v>
      </c>
    </row>
    <row r="1430" spans="1:24">
      <c r="A1430" s="29">
        <f t="shared" si="1495"/>
        <v>45895.458333329872</v>
      </c>
      <c r="B1430" s="30">
        <f t="shared" si="1450"/>
        <v>8000</v>
      </c>
      <c r="C1430" s="8">
        <v>25000</v>
      </c>
      <c r="D1430" s="8">
        <v>0</v>
      </c>
      <c r="E1430" s="8">
        <v>700</v>
      </c>
      <c r="F1430" s="8">
        <v>15000</v>
      </c>
      <c r="G1430" s="30">
        <f t="shared" si="1451"/>
        <v>2400</v>
      </c>
      <c r="H1430" s="8">
        <v>25000</v>
      </c>
      <c r="I1430" s="30">
        <f t="shared" si="1452"/>
        <v>8000</v>
      </c>
      <c r="J1430" s="8">
        <v>25000</v>
      </c>
      <c r="K1430" s="30">
        <f t="shared" si="1453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VLOOKUP(VLOOKUP(DATEVALUE(TEXT(A1430,"m/d/yyyy")),FY24_Temp[],5,FALSE)&amp;TEXT(A1430,"-h"),Table6[],4,FALSE)</f>
        <v>1.4631428718566895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VLOOKUP(TEXT(A1430,"yy-mm")&amp;"-"&amp;IF(AND(WEEKDAY(A1430)&gt;1,WEEKDAY(A1430)&lt;7),"Wkd",TEXT(A1430,"Ddd"))&amp;"-"&amp;TEXT(A1430,"hh"),LoadTable[],5,FALSE)*0.92</f>
        <v>295.12680000000006</v>
      </c>
      <c r="U1430" s="104">
        <f>VLOOKUP(TEXT(A1430,"yy-mm")&amp;"-"&amp;IF(AND(WEEKDAY(A1430)&gt;1,WEEKDAY(A1430)&lt;7),"Wkd",TEXT(A1430,"Ddd"))&amp;"-"&amp;TEXT(A1430,"hh"),LoadTable[],6,FALSE)*T1430</f>
        <v>14137.459100400003</v>
      </c>
      <c r="V1430">
        <f t="shared" ref="V1430:W1430" si="1513">V1406</f>
        <v>3.4</v>
      </c>
      <c r="W1430">
        <f t="shared" si="1513"/>
        <v>3</v>
      </c>
      <c r="X1430" s="9">
        <v>-50.454264716666302</v>
      </c>
    </row>
    <row r="1431" spans="1:24">
      <c r="A1431" s="29">
        <f t="shared" si="1495"/>
        <v>45895.499999996537</v>
      </c>
      <c r="B1431" s="30">
        <f t="shared" si="1450"/>
        <v>8000</v>
      </c>
      <c r="C1431" s="8">
        <v>25000</v>
      </c>
      <c r="D1431" s="8">
        <v>0</v>
      </c>
      <c r="E1431" s="8">
        <v>700</v>
      </c>
      <c r="F1431" s="8">
        <v>15000</v>
      </c>
      <c r="G1431" s="30">
        <f t="shared" si="1451"/>
        <v>2400</v>
      </c>
      <c r="H1431" s="8">
        <v>25000</v>
      </c>
      <c r="I1431" s="30">
        <f t="shared" si="1452"/>
        <v>8000</v>
      </c>
      <c r="J1431" s="8">
        <v>25000</v>
      </c>
      <c r="K1431" s="30">
        <f t="shared" si="1453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VLOOKUP(VLOOKUP(DATEVALUE(TEXT(A1431,"m/d/yyyy")),FY24_Temp[],5,FALSE)&amp;TEXT(A1431,"-h"),Table6[],4,FALSE)</f>
        <v>1.3304285662514823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VLOOKUP(TEXT(A1431,"yy-mm")&amp;"-"&amp;IF(AND(WEEKDAY(A1431)&gt;1,WEEKDAY(A1431)&lt;7),"Wkd",TEXT(A1431,"Ddd"))&amp;"-"&amp;TEXT(A1431,"hh"),LoadTable[],5,FALSE)*0.92</f>
        <v>295.12680000000006</v>
      </c>
      <c r="U1431" s="104">
        <f>VLOOKUP(TEXT(A1431,"yy-mm")&amp;"-"&amp;IF(AND(WEEKDAY(A1431)&gt;1,WEEKDAY(A1431)&lt;7),"Wkd",TEXT(A1431,"Ddd"))&amp;"-"&amp;TEXT(A1431,"hh"),LoadTable[],6,FALSE)*T1431</f>
        <v>14242.819368000002</v>
      </c>
      <c r="V1431">
        <f t="shared" ref="V1431:W1431" si="1514">V1407</f>
        <v>3.1</v>
      </c>
      <c r="W1431">
        <f t="shared" si="1514"/>
        <v>2.9</v>
      </c>
      <c r="X1431" s="9">
        <v>-50.532059266666302</v>
      </c>
    </row>
    <row r="1432" spans="1:24">
      <c r="A1432" s="29">
        <f t="shared" si="1495"/>
        <v>45895.541666663201</v>
      </c>
      <c r="B1432" s="30">
        <f t="shared" si="1450"/>
        <v>8000</v>
      </c>
      <c r="C1432" s="8">
        <v>25000</v>
      </c>
      <c r="D1432" s="8">
        <v>0</v>
      </c>
      <c r="E1432" s="8">
        <v>700</v>
      </c>
      <c r="F1432" s="8">
        <v>15000</v>
      </c>
      <c r="G1432" s="30">
        <f t="shared" si="1451"/>
        <v>2400</v>
      </c>
      <c r="H1432" s="8">
        <v>25000</v>
      </c>
      <c r="I1432" s="30">
        <f t="shared" si="1452"/>
        <v>8000</v>
      </c>
      <c r="J1432" s="8">
        <v>25000</v>
      </c>
      <c r="K1432" s="30">
        <f t="shared" si="1453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VLOOKUP(VLOOKUP(DATEVALUE(TEXT(A1432,"m/d/yyyy")),FY24_Temp[],5,FALSE)&amp;TEXT(A1432,"-h"),Table6[],4,FALSE)</f>
        <v>1.1667142765862601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VLOOKUP(TEXT(A1432,"yy-mm")&amp;"-"&amp;IF(AND(WEEKDAY(A1432)&gt;1,WEEKDAY(A1432)&lt;7),"Wkd",TEXT(A1432,"Ddd"))&amp;"-"&amp;TEXT(A1432,"hh"),LoadTable[],5,FALSE)*0.92</f>
        <v>295.12680000000006</v>
      </c>
      <c r="U1432" s="104">
        <f>VLOOKUP(TEXT(A1432,"yy-mm")&amp;"-"&amp;IF(AND(WEEKDAY(A1432)&gt;1,WEEKDAY(A1432)&lt;7),"Wkd",TEXT(A1432,"Ddd"))&amp;"-"&amp;TEXT(A1432,"hh"),LoadTable[],6,FALSE)*T1432</f>
        <v>16280.669922000003</v>
      </c>
      <c r="V1432">
        <f t="shared" ref="V1432:W1432" si="1515">V1408</f>
        <v>3.2</v>
      </c>
      <c r="W1432">
        <f t="shared" si="1515"/>
        <v>2.9</v>
      </c>
      <c r="X1432" s="9">
        <v>-50.609853816666302</v>
      </c>
    </row>
    <row r="1433" spans="1:24">
      <c r="A1433" s="29">
        <f t="shared" si="1495"/>
        <v>45895.583333329865</v>
      </c>
      <c r="B1433" s="30">
        <f t="shared" si="1450"/>
        <v>8000</v>
      </c>
      <c r="C1433" s="8">
        <v>25000</v>
      </c>
      <c r="D1433" s="8">
        <v>0</v>
      </c>
      <c r="E1433" s="8">
        <v>700</v>
      </c>
      <c r="F1433" s="8">
        <v>15000</v>
      </c>
      <c r="G1433" s="30">
        <f t="shared" si="1451"/>
        <v>2400</v>
      </c>
      <c r="H1433" s="8">
        <v>25000</v>
      </c>
      <c r="I1433" s="30">
        <f t="shared" si="1452"/>
        <v>8000</v>
      </c>
      <c r="J1433" s="8">
        <v>25000</v>
      </c>
      <c r="K1433" s="30">
        <f t="shared" si="1453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VLOOKUP(VLOOKUP(DATEVALUE(TEXT(A1433,"m/d/yyyy")),FY24_Temp[],5,FALSE)&amp;TEXT(A1433,"-h"),Table6[],4,FALSE)</f>
        <v>0.98814284801483154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VLOOKUP(TEXT(A1433,"yy-mm")&amp;"-"&amp;IF(AND(WEEKDAY(A1433)&gt;1,WEEKDAY(A1433)&lt;7),"Wkd",TEXT(A1433,"Ddd"))&amp;"-"&amp;TEXT(A1433,"hh"),LoadTable[],5,FALSE)*0.92</f>
        <v>402.08416</v>
      </c>
      <c r="U1433" s="104">
        <f>VLOOKUP(TEXT(A1433,"yy-mm")&amp;"-"&amp;IF(AND(WEEKDAY(A1433)&gt;1,WEEKDAY(A1433)&lt;7),"Wkd",TEXT(A1433,"Ddd"))&amp;"-"&amp;TEXT(A1433,"hh"),LoadTable[],6,FALSE)*T1433</f>
        <v>27023.674309440001</v>
      </c>
      <c r="V1433">
        <f t="shared" ref="V1433:W1433" si="1516">V1409</f>
        <v>3.5</v>
      </c>
      <c r="W1433">
        <f t="shared" si="1516"/>
        <v>2.9</v>
      </c>
      <c r="X1433" s="9">
        <v>-50.687648366666302</v>
      </c>
    </row>
    <row r="1434" spans="1:24">
      <c r="A1434" s="29">
        <f t="shared" si="1495"/>
        <v>45895.624999996529</v>
      </c>
      <c r="B1434" s="30">
        <f t="shared" si="1450"/>
        <v>8000</v>
      </c>
      <c r="C1434" s="8">
        <v>25000</v>
      </c>
      <c r="D1434" s="8">
        <v>0</v>
      </c>
      <c r="E1434" s="8">
        <v>700</v>
      </c>
      <c r="F1434" s="8">
        <v>15000</v>
      </c>
      <c r="G1434" s="30">
        <f t="shared" si="1451"/>
        <v>2400</v>
      </c>
      <c r="H1434" s="8">
        <v>25000</v>
      </c>
      <c r="I1434" s="30">
        <f t="shared" si="1452"/>
        <v>8000</v>
      </c>
      <c r="J1434" s="8">
        <v>25000</v>
      </c>
      <c r="K1434" s="30">
        <f t="shared" si="1453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VLOOKUP(VLOOKUP(DATEVALUE(TEXT(A1434,"m/d/yyyy")),FY24_Temp[],5,FALSE)&amp;TEXT(A1434,"-h"),Table6[],4,FALSE)</f>
        <v>0.82557142632348202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VLOOKUP(TEXT(A1434,"yy-mm")&amp;"-"&amp;IF(AND(WEEKDAY(A1434)&gt;1,WEEKDAY(A1434)&lt;7),"Wkd",TEXT(A1434,"Ddd"))&amp;"-"&amp;TEXT(A1434,"hh"),LoadTable[],5,FALSE)*0.92</f>
        <v>521.92427999999995</v>
      </c>
      <c r="U1434" s="104">
        <f>VLOOKUP(TEXT(A1434,"yy-mm")&amp;"-"&amp;IF(AND(WEEKDAY(A1434)&gt;1,WEEKDAY(A1434)&lt;7),"Wkd",TEXT(A1434,"Ddd"))&amp;"-"&amp;TEXT(A1434,"hh"),LoadTable[],6,FALSE)*T1434</f>
        <v>38276.36092236</v>
      </c>
      <c r="V1434">
        <f t="shared" ref="V1434:W1434" si="1517">V1410</f>
        <v>3.2</v>
      </c>
      <c r="W1434">
        <f t="shared" si="1517"/>
        <v>2.9</v>
      </c>
      <c r="X1434" s="9">
        <v>-50.765442916666302</v>
      </c>
    </row>
    <row r="1435" spans="1:24">
      <c r="A1435" s="29">
        <f t="shared" si="1495"/>
        <v>45895.666666663194</v>
      </c>
      <c r="B1435" s="30">
        <f t="shared" si="1450"/>
        <v>8000</v>
      </c>
      <c r="C1435" s="8">
        <v>25000</v>
      </c>
      <c r="D1435" s="8">
        <v>0</v>
      </c>
      <c r="E1435" s="8">
        <v>700</v>
      </c>
      <c r="F1435" s="8">
        <v>15000</v>
      </c>
      <c r="G1435" s="30">
        <f t="shared" si="1451"/>
        <v>2400</v>
      </c>
      <c r="H1435" s="8">
        <v>25000</v>
      </c>
      <c r="I1435" s="30">
        <f t="shared" si="1452"/>
        <v>8000</v>
      </c>
      <c r="J1435" s="8">
        <v>25000</v>
      </c>
      <c r="K1435" s="30">
        <f t="shared" si="1453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VLOOKUP(VLOOKUP(DATEVALUE(TEXT(A1435,"m/d/yyyy")),FY24_Temp[],5,FALSE)&amp;TEXT(A1435,"-h"),Table6[],4,FALSE)</f>
        <v>0.73714286088943481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VLOOKUP(TEXT(A1435,"yy-mm")&amp;"-"&amp;IF(AND(WEEKDAY(A1435)&gt;1,WEEKDAY(A1435)&lt;7),"Wkd",TEXT(A1435,"Ddd"))&amp;"-"&amp;TEXT(A1435,"hh"),LoadTable[],5,FALSE)*0.92</f>
        <v>521.92427999999995</v>
      </c>
      <c r="U1435" s="104">
        <f>VLOOKUP(TEXT(A1435,"yy-mm")&amp;"-"&amp;IF(AND(WEEKDAY(A1435)&gt;1,WEEKDAY(A1435)&lt;7),"Wkd",TEXT(A1435,"Ddd"))&amp;"-"&amp;TEXT(A1435,"hh"),LoadTable[],6,FALSE)*T1435</f>
        <v>45879.753833399998</v>
      </c>
      <c r="V1435">
        <f t="shared" ref="V1435:W1435" si="1518">V1411</f>
        <v>3.5</v>
      </c>
      <c r="W1435">
        <f t="shared" si="1518"/>
        <v>3</v>
      </c>
      <c r="X1435" s="9">
        <v>-50.843237466666302</v>
      </c>
    </row>
    <row r="1436" spans="1:24">
      <c r="A1436" s="29">
        <f t="shared" si="1495"/>
        <v>45895.708333329858</v>
      </c>
      <c r="B1436" s="30">
        <f t="shared" ref="B1436:B1499" si="1519">B1412</f>
        <v>8000</v>
      </c>
      <c r="C1436" s="8">
        <v>25000</v>
      </c>
      <c r="D1436" s="8">
        <v>0</v>
      </c>
      <c r="E1436" s="8">
        <v>700</v>
      </c>
      <c r="F1436" s="8">
        <v>15000</v>
      </c>
      <c r="G1436" s="30">
        <f t="shared" ref="G1436:G1499" si="1520">G1412</f>
        <v>2400</v>
      </c>
      <c r="H1436" s="8">
        <v>25000</v>
      </c>
      <c r="I1436" s="30">
        <f t="shared" ref="I1436:I1499" si="1521">I1412</f>
        <v>8000</v>
      </c>
      <c r="J1436" s="8">
        <v>25000</v>
      </c>
      <c r="K1436" s="30">
        <f t="shared" ref="K1436:K1499" si="1522">K1412</f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VLOOKUP(VLOOKUP(DATEVALUE(TEXT(A1436,"m/d/yyyy")),FY24_Temp[],5,FALSE)&amp;TEXT(A1436,"-h"),Table6[],4,FALSE)</f>
        <v>0.86971428564616615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VLOOKUP(TEXT(A1436,"yy-mm")&amp;"-"&amp;IF(AND(WEEKDAY(A1436)&gt;1,WEEKDAY(A1436)&lt;7),"Wkd",TEXT(A1436,"Ddd"))&amp;"-"&amp;TEXT(A1436,"hh"),LoadTable[],5,FALSE)*0.92</f>
        <v>521.92427999999995</v>
      </c>
      <c r="U1436" s="104">
        <f>VLOOKUP(TEXT(A1436,"yy-mm")&amp;"-"&amp;IF(AND(WEEKDAY(A1436)&gt;1,WEEKDAY(A1436)&lt;7),"Wkd",TEXT(A1436,"Ddd"))&amp;"-"&amp;TEXT(A1436,"hh"),LoadTable[],6,FALSE)*T1436</f>
        <v>57850.609119479988</v>
      </c>
      <c r="V1436">
        <f t="shared" ref="V1436:W1436" si="1523">V1412</f>
        <v>3.6</v>
      </c>
      <c r="W1436">
        <f t="shared" si="1523"/>
        <v>3</v>
      </c>
      <c r="X1436" s="9">
        <v>-50.921032016666302</v>
      </c>
    </row>
    <row r="1437" spans="1:24">
      <c r="A1437" s="29">
        <f t="shared" si="1495"/>
        <v>45895.749999996522</v>
      </c>
      <c r="B1437" s="30">
        <f t="shared" si="1519"/>
        <v>5000</v>
      </c>
      <c r="C1437" s="8">
        <v>25000</v>
      </c>
      <c r="D1437" s="8">
        <v>0</v>
      </c>
      <c r="E1437" s="8">
        <v>700</v>
      </c>
      <c r="F1437" s="8">
        <v>15000</v>
      </c>
      <c r="G1437" s="30">
        <f t="shared" si="1520"/>
        <v>2400</v>
      </c>
      <c r="H1437" s="8">
        <v>25000</v>
      </c>
      <c r="I1437" s="30">
        <f t="shared" si="1521"/>
        <v>5000</v>
      </c>
      <c r="J1437" s="8">
        <v>25000</v>
      </c>
      <c r="K1437" s="30">
        <f t="shared" si="1522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VLOOKUP(VLOOKUP(DATEVALUE(TEXT(A1437,"m/d/yyyy")),FY24_Temp[],5,FALSE)&amp;TEXT(A1437,"-h"),Table6[],4,FALSE)</f>
        <v>1.2285714319774084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VLOOKUP(TEXT(A1437,"yy-mm")&amp;"-"&amp;IF(AND(WEEKDAY(A1437)&gt;1,WEEKDAY(A1437)&lt;7),"Wkd",TEXT(A1437,"Ddd"))&amp;"-"&amp;TEXT(A1437,"hh"),LoadTable[],5,FALSE)*0.92</f>
        <v>521.92427999999995</v>
      </c>
      <c r="U1437" s="104">
        <f>VLOOKUP(TEXT(A1437,"yy-mm")&amp;"-"&amp;IF(AND(WEEKDAY(A1437)&gt;1,WEEKDAY(A1437)&lt;7),"Wkd",TEXT(A1437,"Ddd"))&amp;"-"&amp;TEXT(A1437,"hh"),LoadTable[],6,FALSE)*T1437</f>
        <v>71088.174633119997</v>
      </c>
      <c r="V1437">
        <f t="shared" ref="V1437:W1437" si="1524">V1413</f>
        <v>2.9</v>
      </c>
      <c r="W1437">
        <f t="shared" si="1524"/>
        <v>3</v>
      </c>
      <c r="X1437" s="9">
        <v>-50.998826566666303</v>
      </c>
    </row>
    <row r="1438" spans="1:24">
      <c r="A1438" s="29">
        <f t="shared" si="1495"/>
        <v>45895.791666663186</v>
      </c>
      <c r="B1438" s="30">
        <f t="shared" si="1519"/>
        <v>5000</v>
      </c>
      <c r="C1438" s="8">
        <v>25000</v>
      </c>
      <c r="D1438" s="8">
        <v>0</v>
      </c>
      <c r="E1438" s="8">
        <v>700</v>
      </c>
      <c r="F1438" s="8">
        <v>15000</v>
      </c>
      <c r="G1438" s="30">
        <f t="shared" si="1520"/>
        <v>2400</v>
      </c>
      <c r="H1438" s="8">
        <v>25000</v>
      </c>
      <c r="I1438" s="30">
        <f t="shared" si="1521"/>
        <v>5000</v>
      </c>
      <c r="J1438" s="8">
        <v>25000</v>
      </c>
      <c r="K1438" s="30">
        <f t="shared" si="1522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VLOOKUP(VLOOKUP(DATEVALUE(TEXT(A1438,"m/d/yyyy")),FY24_Temp[],5,FALSE)&amp;TEXT(A1438,"-h"),Table6[],4,FALSE)</f>
        <v>1.949428609439305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VLOOKUP(TEXT(A1438,"yy-mm")&amp;"-"&amp;IF(AND(WEEKDAY(A1438)&gt;1,WEEKDAY(A1438)&lt;7),"Wkd",TEXT(A1438,"Ddd"))&amp;"-"&amp;TEXT(A1438,"hh"),LoadTable[],5,FALSE)*0.92</f>
        <v>521.92427999999995</v>
      </c>
      <c r="U1438" s="104">
        <f>VLOOKUP(TEXT(A1438,"yy-mm")&amp;"-"&amp;IF(AND(WEEKDAY(A1438)&gt;1,WEEKDAY(A1438)&lt;7),"Wkd",TEXT(A1438,"Ddd"))&amp;"-"&amp;TEXT(A1438,"hh"),LoadTable[],6,FALSE)*T1438</f>
        <v>75540.188741520004</v>
      </c>
      <c r="V1438">
        <f t="shared" ref="V1438:W1438" si="1525">V1414</f>
        <v>3</v>
      </c>
      <c r="W1438">
        <f t="shared" si="1525"/>
        <v>3</v>
      </c>
      <c r="X1438" s="9">
        <v>-51.076621116666303</v>
      </c>
    </row>
    <row r="1439" spans="1:24">
      <c r="A1439" s="29">
        <f t="shared" si="1495"/>
        <v>45895.833333329851</v>
      </c>
      <c r="B1439" s="30">
        <f t="shared" si="1519"/>
        <v>5000</v>
      </c>
      <c r="C1439" s="8">
        <v>25000</v>
      </c>
      <c r="D1439" s="8">
        <v>0</v>
      </c>
      <c r="E1439" s="8">
        <v>700</v>
      </c>
      <c r="F1439" s="8">
        <v>15000</v>
      </c>
      <c r="G1439" s="30">
        <f t="shared" si="1520"/>
        <v>2400</v>
      </c>
      <c r="H1439" s="8">
        <v>25000</v>
      </c>
      <c r="I1439" s="30">
        <f t="shared" si="1521"/>
        <v>5000</v>
      </c>
      <c r="J1439" s="8">
        <v>25000</v>
      </c>
      <c r="K1439" s="30">
        <f t="shared" si="1522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VLOOKUP(VLOOKUP(DATEVALUE(TEXT(A1439,"m/d/yyyy")),FY24_Temp[],5,FALSE)&amp;TEXT(A1439,"-h"),Table6[],4,FALSE)</f>
        <v>2.732428584780012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VLOOKUP(TEXT(A1439,"yy-mm")&amp;"-"&amp;IF(AND(WEEKDAY(A1439)&gt;1,WEEKDAY(A1439)&lt;7),"Wkd",TEXT(A1439,"Ddd"))&amp;"-"&amp;TEXT(A1439,"hh"),LoadTable[],5,FALSE)*0.92</f>
        <v>521.92427999999995</v>
      </c>
      <c r="U1439" s="104">
        <f>VLOOKUP(TEXT(A1439,"yy-mm")&amp;"-"&amp;IF(AND(WEEKDAY(A1439)&gt;1,WEEKDAY(A1439)&lt;7),"Wkd",TEXT(A1439,"Ddd"))&amp;"-"&amp;TEXT(A1439,"hh"),LoadTable[],6,FALSE)*T1439</f>
        <v>69176.365995479995</v>
      </c>
      <c r="V1439">
        <f t="shared" ref="V1439:W1439" si="1526">V1415</f>
        <v>2.8</v>
      </c>
      <c r="W1439">
        <f t="shared" si="1526"/>
        <v>3.1</v>
      </c>
      <c r="X1439" s="9">
        <v>-51.154415666666303</v>
      </c>
    </row>
    <row r="1440" spans="1:24">
      <c r="A1440" s="29">
        <f t="shared" si="1495"/>
        <v>45895.874999996515</v>
      </c>
      <c r="B1440" s="30">
        <f t="shared" si="1519"/>
        <v>5000</v>
      </c>
      <c r="C1440" s="8">
        <v>25000</v>
      </c>
      <c r="D1440" s="8">
        <v>0</v>
      </c>
      <c r="E1440" s="8">
        <v>700</v>
      </c>
      <c r="F1440" s="8">
        <v>15000</v>
      </c>
      <c r="G1440" s="30">
        <f t="shared" si="1520"/>
        <v>2400</v>
      </c>
      <c r="H1440" s="8">
        <v>25000</v>
      </c>
      <c r="I1440" s="30">
        <f t="shared" si="1521"/>
        <v>5000</v>
      </c>
      <c r="J1440" s="8">
        <v>25000</v>
      </c>
      <c r="K1440" s="30">
        <f t="shared" si="1522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VLOOKUP(VLOOKUP(DATEVALUE(TEXT(A1440,"m/d/yyyy")),FY24_Temp[],5,FALSE)&amp;TEXT(A1440,"-h"),Table6[],4,FALSE)</f>
        <v>2.9708571093423024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VLOOKUP(TEXT(A1440,"yy-mm")&amp;"-"&amp;IF(AND(WEEKDAY(A1440)&gt;1,WEEKDAY(A1440)&lt;7),"Wkd",TEXT(A1440,"Ddd"))&amp;"-"&amp;TEXT(A1440,"hh"),LoadTable[],5,FALSE)*0.92</f>
        <v>521.92427999999995</v>
      </c>
      <c r="U1440" s="104">
        <f>VLOOKUP(TEXT(A1440,"yy-mm")&amp;"-"&amp;IF(AND(WEEKDAY(A1440)&gt;1,WEEKDAY(A1440)&lt;7),"Wkd",TEXT(A1440,"Ddd"))&amp;"-"&amp;TEXT(A1440,"hh"),LoadTable[],6,FALSE)*T1440</f>
        <v>56417.405046599997</v>
      </c>
      <c r="V1440">
        <f t="shared" ref="V1440:W1440" si="1527">V1416</f>
        <v>3.5</v>
      </c>
      <c r="W1440">
        <f t="shared" si="1527"/>
        <v>3.1</v>
      </c>
      <c r="X1440" s="9">
        <v>-51.232210216666303</v>
      </c>
    </row>
    <row r="1441" spans="1:24">
      <c r="A1441" s="29">
        <f t="shared" si="1495"/>
        <v>45895.916666663179</v>
      </c>
      <c r="B1441" s="30">
        <f t="shared" si="1519"/>
        <v>5000</v>
      </c>
      <c r="C1441" s="8">
        <v>25000</v>
      </c>
      <c r="D1441" s="8">
        <v>0</v>
      </c>
      <c r="E1441" s="8">
        <v>700</v>
      </c>
      <c r="F1441" s="8">
        <v>15000</v>
      </c>
      <c r="G1441" s="30">
        <f t="shared" si="1520"/>
        <v>2400</v>
      </c>
      <c r="H1441" s="8">
        <v>25000</v>
      </c>
      <c r="I1441" s="30">
        <f t="shared" si="1521"/>
        <v>5000</v>
      </c>
      <c r="J1441" s="8">
        <v>25000</v>
      </c>
      <c r="K1441" s="30">
        <f t="shared" si="1522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VLOOKUP(VLOOKUP(DATEVALUE(TEXT(A1441,"m/d/yyyy")),FY24_Temp[],5,FALSE)&amp;TEXT(A1441,"-h"),Table6[],4,FALSE)</f>
        <v>2.9297142710004533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VLOOKUP(TEXT(A1441,"yy-mm")&amp;"-"&amp;IF(AND(WEEKDAY(A1441)&gt;1,WEEKDAY(A1441)&lt;7),"Wkd",TEXT(A1441,"Ddd"))&amp;"-"&amp;TEXT(A1441,"hh"),LoadTable[],5,FALSE)*0.92</f>
        <v>447.02432000000005</v>
      </c>
      <c r="U1441" s="104">
        <f>VLOOKUP(TEXT(A1441,"yy-mm")&amp;"-"&amp;IF(AND(WEEKDAY(A1441)&gt;1,WEEKDAY(A1441)&lt;7),"Wkd",TEXT(A1441,"Ddd"))&amp;"-"&amp;TEXT(A1441,"hh"),LoadTable[],6,FALSE)*T1441</f>
        <v>29850.49599232</v>
      </c>
      <c r="V1441">
        <f t="shared" ref="V1441:W1441" si="1528">V1417</f>
        <v>2.9</v>
      </c>
      <c r="W1441">
        <f t="shared" si="1528"/>
        <v>3.1</v>
      </c>
      <c r="X1441" s="9">
        <v>-51.310004766666303</v>
      </c>
    </row>
    <row r="1442" spans="1:24">
      <c r="A1442" s="29">
        <f t="shared" si="1495"/>
        <v>45895.958333329843</v>
      </c>
      <c r="B1442" s="30">
        <f t="shared" si="1519"/>
        <v>5000</v>
      </c>
      <c r="C1442" s="8">
        <v>25000</v>
      </c>
      <c r="D1442" s="8">
        <v>0</v>
      </c>
      <c r="E1442" s="8">
        <v>700</v>
      </c>
      <c r="F1442" s="8">
        <v>15000</v>
      </c>
      <c r="G1442" s="30">
        <f t="shared" si="1520"/>
        <v>2400</v>
      </c>
      <c r="H1442" s="8">
        <v>25000</v>
      </c>
      <c r="I1442" s="30">
        <f t="shared" si="1521"/>
        <v>5000</v>
      </c>
      <c r="J1442" s="8">
        <v>25000</v>
      </c>
      <c r="K1442" s="30">
        <f t="shared" si="1522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VLOOKUP(VLOOKUP(DATEVALUE(TEXT(A1442,"m/d/yyyy")),FY24_Temp[],5,FALSE)&amp;TEXT(A1442,"-h"),Table6[],4,FALSE)</f>
        <v>2.8045714242117747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VLOOKUP(TEXT(A1442,"yy-mm")&amp;"-"&amp;IF(AND(WEEKDAY(A1442)&gt;1,WEEKDAY(A1442)&lt;7),"Wkd",TEXT(A1442,"Ddd"))&amp;"-"&amp;TEXT(A1442,"hh"),LoadTable[],5,FALSE)*0.92</f>
        <v>372.12436000000002</v>
      </c>
      <c r="U1442" s="104">
        <f>VLOOKUP(TEXT(A1442,"yy-mm")&amp;"-"&amp;IF(AND(WEEKDAY(A1442)&gt;1,WEEKDAY(A1442)&lt;7),"Wkd",TEXT(A1442,"Ddd"))&amp;"-"&amp;TEXT(A1442,"hh"),LoadTable[],6,FALSE)*T1442</f>
        <v>22421.236938720001</v>
      </c>
      <c r="V1442">
        <f t="shared" ref="V1442:W1442" si="1529">V1418</f>
        <v>3.6</v>
      </c>
      <c r="W1442">
        <f t="shared" si="1529"/>
        <v>3.1</v>
      </c>
      <c r="X1442" s="9">
        <v>-51.387799316666303</v>
      </c>
    </row>
    <row r="1443" spans="1:24">
      <c r="A1443" s="29">
        <f t="shared" si="1495"/>
        <v>45895.999999996508</v>
      </c>
      <c r="B1443" s="30">
        <f t="shared" si="1519"/>
        <v>5000</v>
      </c>
      <c r="C1443" s="8">
        <v>25000</v>
      </c>
      <c r="D1443" s="8">
        <v>0</v>
      </c>
      <c r="E1443" s="8">
        <v>700</v>
      </c>
      <c r="F1443" s="8">
        <v>15000</v>
      </c>
      <c r="G1443" s="30">
        <f t="shared" si="1520"/>
        <v>2400</v>
      </c>
      <c r="H1443" s="8">
        <v>25000</v>
      </c>
      <c r="I1443" s="30">
        <f t="shared" si="1521"/>
        <v>5000</v>
      </c>
      <c r="J1443" s="8">
        <v>25000</v>
      </c>
      <c r="K1443" s="30">
        <f t="shared" si="1522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VLOOKUP(VLOOKUP(DATEVALUE(TEXT(A1443,"m/d/yyyy")),FY24_Temp[],5,FALSE)&amp;TEXT(A1443,"-h"),Table6[],4,FALSE)</f>
        <v>2.707571404320853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VLOOKUP(TEXT(A1443,"yy-mm")&amp;"-"&amp;IF(AND(WEEKDAY(A1443)&gt;1,WEEKDAY(A1443)&lt;7),"Wkd",TEXT(A1443,"Ddd"))&amp;"-"&amp;TEXT(A1443,"hh"),LoadTable[],5,FALSE)*0.92</f>
        <v>297.2244</v>
      </c>
      <c r="U1443" s="104">
        <f>VLOOKUP(TEXT(A1443,"yy-mm")&amp;"-"&amp;IF(AND(WEEKDAY(A1443)&gt;1,WEEKDAY(A1443)&lt;7),"Wkd",TEXT(A1443,"Ddd"))&amp;"-"&amp;TEXT(A1443,"hh"),LoadTable[],6,FALSE)*T1443</f>
        <v>17505.031038000001</v>
      </c>
      <c r="V1443">
        <f t="shared" ref="V1443:W1443" si="1530">V1419</f>
        <v>3</v>
      </c>
      <c r="W1443">
        <f t="shared" si="1530"/>
        <v>3.2</v>
      </c>
      <c r="X1443" s="9">
        <v>-51.465593866666303</v>
      </c>
    </row>
    <row r="1444" spans="1:24">
      <c r="A1444" s="29">
        <f t="shared" si="1495"/>
        <v>45896.041666663172</v>
      </c>
      <c r="B1444" s="30">
        <f t="shared" si="1519"/>
        <v>5000</v>
      </c>
      <c r="C1444" s="8">
        <v>25000</v>
      </c>
      <c r="D1444" s="8">
        <v>0</v>
      </c>
      <c r="E1444" s="8">
        <v>700</v>
      </c>
      <c r="F1444" s="8">
        <v>15000</v>
      </c>
      <c r="G1444" s="30">
        <f t="shared" si="1520"/>
        <v>2400</v>
      </c>
      <c r="H1444" s="8">
        <v>25000</v>
      </c>
      <c r="I1444" s="30">
        <f t="shared" si="1521"/>
        <v>5000</v>
      </c>
      <c r="J1444" s="8">
        <v>25000</v>
      </c>
      <c r="K1444" s="30">
        <f t="shared" si="1522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VLOOKUP(VLOOKUP(DATEVALUE(TEXT(A1444,"m/d/yyyy")),FY24_Temp[],5,FALSE)&amp;TEXT(A1444,"-h"),Table6[],4,FALSE)</f>
        <v>2.6045714105878557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VLOOKUP(TEXT(A1444,"yy-mm")&amp;"-"&amp;IF(AND(WEEKDAY(A1444)&gt;1,WEEKDAY(A1444)&lt;7),"Wkd",TEXT(A1444,"Ddd"))&amp;"-"&amp;TEXT(A1444,"hh"),LoadTable[],5,FALSE)*0.92</f>
        <v>295.12680000000006</v>
      </c>
      <c r="U1444" s="104">
        <f>VLOOKUP(TEXT(A1444,"yy-mm")&amp;"-"&amp;IF(AND(WEEKDAY(A1444)&gt;1,WEEKDAY(A1444)&lt;7),"Wkd",TEXT(A1444,"Ddd"))&amp;"-"&amp;TEXT(A1444,"hh"),LoadTable[],6,FALSE)*T1444</f>
        <v>17131.225359600001</v>
      </c>
      <c r="V1444">
        <f t="shared" ref="V1444:W1444" si="1531">V1420</f>
        <v>2.6</v>
      </c>
      <c r="W1444">
        <f t="shared" si="1531"/>
        <v>3.2</v>
      </c>
      <c r="X1444" s="9">
        <v>-51.543388416666303</v>
      </c>
    </row>
    <row r="1445" spans="1:24">
      <c r="A1445" s="29">
        <f t="shared" si="1495"/>
        <v>45896.083333329836</v>
      </c>
      <c r="B1445" s="30">
        <f t="shared" si="1519"/>
        <v>5000</v>
      </c>
      <c r="C1445" s="8">
        <v>25000</v>
      </c>
      <c r="D1445" s="8">
        <v>0</v>
      </c>
      <c r="E1445" s="8">
        <v>700</v>
      </c>
      <c r="F1445" s="8">
        <v>15000</v>
      </c>
      <c r="G1445" s="30">
        <f t="shared" si="1520"/>
        <v>2400</v>
      </c>
      <c r="H1445" s="8">
        <v>25000</v>
      </c>
      <c r="I1445" s="30">
        <f t="shared" si="1521"/>
        <v>5000</v>
      </c>
      <c r="J1445" s="8">
        <v>25000</v>
      </c>
      <c r="K1445" s="30">
        <f t="shared" si="1522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VLOOKUP(VLOOKUP(DATEVALUE(TEXT(A1445,"m/d/yyyy")),FY24_Temp[],5,FALSE)&amp;TEXT(A1445,"-h"),Table6[],4,FALSE)</f>
        <v>2.5119999476841519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VLOOKUP(TEXT(A1445,"yy-mm")&amp;"-"&amp;IF(AND(WEEKDAY(A1445)&gt;1,WEEKDAY(A1445)&lt;7),"Wkd",TEXT(A1445,"Ddd"))&amp;"-"&amp;TEXT(A1445,"hh"),LoadTable[],5,FALSE)*0.92</f>
        <v>295.12680000000006</v>
      </c>
      <c r="U1445" s="104">
        <f>VLOOKUP(TEXT(A1445,"yy-mm")&amp;"-"&amp;IF(AND(WEEKDAY(A1445)&gt;1,WEEKDAY(A1445)&lt;7),"Wkd",TEXT(A1445,"Ddd"))&amp;"-"&amp;TEXT(A1445,"hh"),LoadTable[],6,FALSE)*T1445</f>
        <v>16459.811889600001</v>
      </c>
      <c r="V1445">
        <f t="shared" ref="V1445:W1445" si="1532">V1421</f>
        <v>2.8</v>
      </c>
      <c r="W1445">
        <f t="shared" si="1532"/>
        <v>3.2</v>
      </c>
      <c r="X1445" s="9">
        <v>-51.621182966666296</v>
      </c>
    </row>
    <row r="1446" spans="1:24">
      <c r="A1446" s="29">
        <f t="shared" si="1495"/>
        <v>45896.1249999965</v>
      </c>
      <c r="B1446" s="30">
        <f t="shared" si="1519"/>
        <v>5000</v>
      </c>
      <c r="C1446" s="8">
        <v>25000</v>
      </c>
      <c r="D1446" s="8">
        <v>0</v>
      </c>
      <c r="E1446" s="8">
        <v>700</v>
      </c>
      <c r="F1446" s="8">
        <v>15000</v>
      </c>
      <c r="G1446" s="30">
        <f t="shared" si="1520"/>
        <v>2400</v>
      </c>
      <c r="H1446" s="8">
        <v>25000</v>
      </c>
      <c r="I1446" s="30">
        <f t="shared" si="1521"/>
        <v>5000</v>
      </c>
      <c r="J1446" s="8">
        <v>25000</v>
      </c>
      <c r="K1446" s="30">
        <f t="shared" si="1522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VLOOKUP(VLOOKUP(DATEVALUE(TEXT(A1446,"m/d/yyyy")),FY24_Temp[],5,FALSE)&amp;TEXT(A1446,"-h"),Table6[],4,FALSE)</f>
        <v>2.3667143072400774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VLOOKUP(TEXT(A1446,"yy-mm")&amp;"-"&amp;IF(AND(WEEKDAY(A1446)&gt;1,WEEKDAY(A1446)&lt;7),"Wkd",TEXT(A1446,"Ddd"))&amp;"-"&amp;TEXT(A1446,"hh"),LoadTable[],5,FALSE)*0.92</f>
        <v>295.12680000000006</v>
      </c>
      <c r="U1446" s="104">
        <f>VLOOKUP(TEXT(A1446,"yy-mm")&amp;"-"&amp;IF(AND(WEEKDAY(A1446)&gt;1,WEEKDAY(A1446)&lt;7),"Wkd",TEXT(A1446,"Ddd"))&amp;"-"&amp;TEXT(A1446,"hh"),LoadTable[],6,FALSE)*T1446</f>
        <v>16610.326557600001</v>
      </c>
      <c r="V1446">
        <f t="shared" ref="V1446:W1446" si="1533">V1422</f>
        <v>2.7</v>
      </c>
      <c r="W1446">
        <f t="shared" si="1533"/>
        <v>3.2</v>
      </c>
      <c r="X1446" s="9">
        <v>-51.698977516666297</v>
      </c>
    </row>
    <row r="1447" spans="1:24">
      <c r="A1447" s="29">
        <f t="shared" si="1495"/>
        <v>45896.166666663165</v>
      </c>
      <c r="B1447" s="30">
        <f t="shared" si="1519"/>
        <v>5000</v>
      </c>
      <c r="C1447" s="8">
        <v>25000</v>
      </c>
      <c r="D1447" s="8">
        <v>0</v>
      </c>
      <c r="E1447" s="8">
        <v>700</v>
      </c>
      <c r="F1447" s="8">
        <v>15000</v>
      </c>
      <c r="G1447" s="30">
        <f t="shared" si="1520"/>
        <v>2400</v>
      </c>
      <c r="H1447" s="8">
        <v>25000</v>
      </c>
      <c r="I1447" s="30">
        <f t="shared" si="1521"/>
        <v>5000</v>
      </c>
      <c r="J1447" s="8">
        <v>25000</v>
      </c>
      <c r="K1447" s="30">
        <f t="shared" si="1522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VLOOKUP(VLOOKUP(DATEVALUE(TEXT(A1447,"m/d/yyyy")),FY24_Temp[],5,FALSE)&amp;TEXT(A1447,"-h"),Table6[],4,FALSE)</f>
        <v>2.2025713920593262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VLOOKUP(TEXT(A1447,"yy-mm")&amp;"-"&amp;IF(AND(WEEKDAY(A1447)&gt;1,WEEKDAY(A1447)&lt;7),"Wkd",TEXT(A1447,"Ddd"))&amp;"-"&amp;TEXT(A1447,"hh"),LoadTable[],5,FALSE)*0.92</f>
        <v>295.12680000000006</v>
      </c>
      <c r="U1447" s="104">
        <f>VLOOKUP(TEXT(A1447,"yy-mm")&amp;"-"&amp;IF(AND(WEEKDAY(A1447)&gt;1,WEEKDAY(A1447)&lt;7),"Wkd",TEXT(A1447,"Ddd"))&amp;"-"&amp;TEXT(A1447,"hh"),LoadTable[],6,FALSE)*T1447</f>
        <v>16544.513281200001</v>
      </c>
      <c r="V1447">
        <f t="shared" ref="V1447:W1447" si="1534">V1423</f>
        <v>3</v>
      </c>
      <c r="W1447">
        <f t="shared" si="1534"/>
        <v>3.1</v>
      </c>
      <c r="X1447" s="9">
        <v>-51.776772066666297</v>
      </c>
    </row>
    <row r="1448" spans="1:24">
      <c r="A1448" s="29">
        <f t="shared" si="1495"/>
        <v>45896.208333329829</v>
      </c>
      <c r="B1448" s="30">
        <f t="shared" si="1519"/>
        <v>5000</v>
      </c>
      <c r="C1448" s="8">
        <v>25000</v>
      </c>
      <c r="D1448" s="8">
        <v>0</v>
      </c>
      <c r="E1448" s="8">
        <v>700</v>
      </c>
      <c r="F1448" s="8">
        <v>15000</v>
      </c>
      <c r="G1448" s="30">
        <f t="shared" si="1520"/>
        <v>2400</v>
      </c>
      <c r="H1448" s="8">
        <v>25000</v>
      </c>
      <c r="I1448" s="30">
        <f t="shared" si="1521"/>
        <v>5000</v>
      </c>
      <c r="J1448" s="8">
        <v>25000</v>
      </c>
      <c r="K1448" s="30">
        <f t="shared" si="1522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VLOOKUP(VLOOKUP(DATEVALUE(TEXT(A1448,"m/d/yyyy")),FY24_Temp[],5,FALSE)&amp;TEXT(A1448,"-h"),Table6[],4,FALSE)</f>
        <v>2.0452857358115062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VLOOKUP(TEXT(A1448,"yy-mm")&amp;"-"&amp;IF(AND(WEEKDAY(A1448)&gt;1,WEEKDAY(A1448)&lt;7),"Wkd",TEXT(A1448,"Ddd"))&amp;"-"&amp;TEXT(A1448,"hh"),LoadTable[],5,FALSE)*0.92</f>
        <v>295.12680000000006</v>
      </c>
      <c r="U1448" s="104">
        <f>VLOOKUP(TEXT(A1448,"yy-mm")&amp;"-"&amp;IF(AND(WEEKDAY(A1448)&gt;1,WEEKDAY(A1448)&lt;7),"Wkd",TEXT(A1448,"Ddd"))&amp;"-"&amp;TEXT(A1448,"hh"),LoadTable[],6,FALSE)*T1448</f>
        <v>17128.569218400004</v>
      </c>
      <c r="V1448">
        <f t="shared" ref="V1448:W1448" si="1535">V1424</f>
        <v>2.9</v>
      </c>
      <c r="W1448">
        <f t="shared" si="1535"/>
        <v>3.1</v>
      </c>
      <c r="X1448" s="9">
        <v>-51.854566616666297</v>
      </c>
    </row>
    <row r="1449" spans="1:24">
      <c r="A1449" s="29">
        <f t="shared" si="1495"/>
        <v>45896.249999996493</v>
      </c>
      <c r="B1449" s="30">
        <f t="shared" si="1519"/>
        <v>8000</v>
      </c>
      <c r="C1449" s="8">
        <v>25000</v>
      </c>
      <c r="D1449" s="8">
        <v>0</v>
      </c>
      <c r="E1449" s="8">
        <v>700</v>
      </c>
      <c r="F1449" s="8">
        <v>15000</v>
      </c>
      <c r="G1449" s="30">
        <f t="shared" si="1520"/>
        <v>2400</v>
      </c>
      <c r="H1449" s="8">
        <v>25000</v>
      </c>
      <c r="I1449" s="30">
        <f t="shared" si="1521"/>
        <v>8000</v>
      </c>
      <c r="J1449" s="8">
        <v>25000</v>
      </c>
      <c r="K1449" s="30">
        <f t="shared" si="1522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VLOOKUP(VLOOKUP(DATEVALUE(TEXT(A1449,"m/d/yyyy")),FY24_Temp[],5,FALSE)&amp;TEXT(A1449,"-h"),Table6[],4,FALSE)</f>
        <v>1.9314285516738892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VLOOKUP(TEXT(A1449,"yy-mm")&amp;"-"&amp;IF(AND(WEEKDAY(A1449)&gt;1,WEEKDAY(A1449)&lt;7),"Wkd",TEXT(A1449,"Ddd"))&amp;"-"&amp;TEXT(A1449,"hh"),LoadTable[],5,FALSE)*0.92</f>
        <v>295.12680000000006</v>
      </c>
      <c r="U1449" s="104">
        <f>VLOOKUP(TEXT(A1449,"yy-mm")&amp;"-"&amp;IF(AND(WEEKDAY(A1449)&gt;1,WEEKDAY(A1449)&lt;7),"Wkd",TEXT(A1449,"Ddd"))&amp;"-"&amp;TEXT(A1449,"hh"),LoadTable[],6,FALSE)*T1449</f>
        <v>20766.892408800006</v>
      </c>
      <c r="V1449">
        <f t="shared" ref="V1449:W1449" si="1536">V1425</f>
        <v>2.5</v>
      </c>
      <c r="W1449">
        <f t="shared" si="1536"/>
        <v>3.1</v>
      </c>
      <c r="X1449" s="9">
        <v>-51.932361166666297</v>
      </c>
    </row>
    <row r="1450" spans="1:24">
      <c r="A1450" s="29">
        <f t="shared" si="1495"/>
        <v>45896.291666663157</v>
      </c>
      <c r="B1450" s="30">
        <f t="shared" si="1519"/>
        <v>8000</v>
      </c>
      <c r="C1450" s="8">
        <v>25000</v>
      </c>
      <c r="D1450" s="8">
        <v>0</v>
      </c>
      <c r="E1450" s="8">
        <v>700</v>
      </c>
      <c r="F1450" s="8">
        <v>15000</v>
      </c>
      <c r="G1450" s="30">
        <f t="shared" si="1520"/>
        <v>2400</v>
      </c>
      <c r="H1450" s="8">
        <v>25000</v>
      </c>
      <c r="I1450" s="30">
        <f t="shared" si="1521"/>
        <v>8000</v>
      </c>
      <c r="J1450" s="8">
        <v>25000</v>
      </c>
      <c r="K1450" s="30">
        <f t="shared" si="1522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VLOOKUP(VLOOKUP(DATEVALUE(TEXT(A1450,"m/d/yyyy")),FY24_Temp[],5,FALSE)&amp;TEXT(A1450,"-h"),Table6[],4,FALSE)</f>
        <v>1.8508571556636266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VLOOKUP(TEXT(A1450,"yy-mm")&amp;"-"&amp;IF(AND(WEEKDAY(A1450)&gt;1,WEEKDAY(A1450)&lt;7),"Wkd",TEXT(A1450,"Ddd"))&amp;"-"&amp;TEXT(A1450,"hh"),LoadTable[],5,FALSE)*0.92</f>
        <v>295.12680000000006</v>
      </c>
      <c r="U1450" s="104">
        <f>VLOOKUP(TEXT(A1450,"yy-mm")&amp;"-"&amp;IF(AND(WEEKDAY(A1450)&gt;1,WEEKDAY(A1450)&lt;7),"Wkd",TEXT(A1450,"Ddd"))&amp;"-"&amp;TEXT(A1450,"hh"),LoadTable[],6,FALSE)*T1450</f>
        <v>19169.666167200001</v>
      </c>
      <c r="V1450">
        <f t="shared" ref="V1450:W1450" si="1537">V1426</f>
        <v>2.5</v>
      </c>
      <c r="W1450">
        <f t="shared" si="1537"/>
        <v>3.1</v>
      </c>
      <c r="X1450" s="9">
        <v>-52.010155716666297</v>
      </c>
    </row>
    <row r="1451" spans="1:24">
      <c r="A1451" s="29">
        <f t="shared" si="1495"/>
        <v>45896.333333329821</v>
      </c>
      <c r="B1451" s="30">
        <f t="shared" si="1519"/>
        <v>8000</v>
      </c>
      <c r="C1451" s="8">
        <v>25000</v>
      </c>
      <c r="D1451" s="8">
        <v>0</v>
      </c>
      <c r="E1451" s="8">
        <v>700</v>
      </c>
      <c r="F1451" s="8">
        <v>15000</v>
      </c>
      <c r="G1451" s="30">
        <f t="shared" si="1520"/>
        <v>2400</v>
      </c>
      <c r="H1451" s="8">
        <v>25000</v>
      </c>
      <c r="I1451" s="30">
        <f t="shared" si="1521"/>
        <v>8000</v>
      </c>
      <c r="J1451" s="8">
        <v>25000</v>
      </c>
      <c r="K1451" s="30">
        <f t="shared" si="1522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VLOOKUP(VLOOKUP(DATEVALUE(TEXT(A1451,"m/d/yyyy")),FY24_Temp[],5,FALSE)&amp;TEXT(A1451,"-h"),Table6[],4,FALSE)</f>
        <v>1.7464285748345512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VLOOKUP(TEXT(A1451,"yy-mm")&amp;"-"&amp;IF(AND(WEEKDAY(A1451)&gt;1,WEEKDAY(A1451)&lt;7),"Wkd",TEXT(A1451,"Ddd"))&amp;"-"&amp;TEXT(A1451,"hh"),LoadTable[],5,FALSE)*0.92</f>
        <v>295.12680000000006</v>
      </c>
      <c r="U1451" s="104">
        <f>VLOOKUP(TEXT(A1451,"yy-mm")&amp;"-"&amp;IF(AND(WEEKDAY(A1451)&gt;1,WEEKDAY(A1451)&lt;7),"Wkd",TEXT(A1451,"Ddd"))&amp;"-"&amp;TEXT(A1451,"hh"),LoadTable[],6,FALSE)*T1451</f>
        <v>15860.999612400004</v>
      </c>
      <c r="V1451">
        <f t="shared" ref="V1451:W1451" si="1538">V1427</f>
        <v>3.2</v>
      </c>
      <c r="W1451">
        <f t="shared" si="1538"/>
        <v>3</v>
      </c>
      <c r="X1451" s="9">
        <v>-52.087950266666297</v>
      </c>
    </row>
    <row r="1452" spans="1:24">
      <c r="A1452" s="29">
        <f t="shared" si="1495"/>
        <v>45896.374999996486</v>
      </c>
      <c r="B1452" s="30">
        <f t="shared" si="1519"/>
        <v>8000</v>
      </c>
      <c r="C1452" s="8">
        <v>25000</v>
      </c>
      <c r="D1452" s="8">
        <v>0</v>
      </c>
      <c r="E1452" s="8">
        <v>700</v>
      </c>
      <c r="F1452" s="8">
        <v>15000</v>
      </c>
      <c r="G1452" s="30">
        <f t="shared" si="1520"/>
        <v>2400</v>
      </c>
      <c r="H1452" s="8">
        <v>25000</v>
      </c>
      <c r="I1452" s="30">
        <f t="shared" si="1521"/>
        <v>8000</v>
      </c>
      <c r="J1452" s="8">
        <v>25000</v>
      </c>
      <c r="K1452" s="30">
        <f t="shared" si="1522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VLOOKUP(VLOOKUP(DATEVALUE(TEXT(A1452,"m/d/yyyy")),FY24_Temp[],5,FALSE)&amp;TEXT(A1452,"-h"),Table6[],4,FALSE)</f>
        <v>1.6497142996106828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VLOOKUP(TEXT(A1452,"yy-mm")&amp;"-"&amp;IF(AND(WEEKDAY(A1452)&gt;1,WEEKDAY(A1452)&lt;7),"Wkd",TEXT(A1452,"Ddd"))&amp;"-"&amp;TEXT(A1452,"hh"),LoadTable[],5,FALSE)*0.92</f>
        <v>295.12680000000006</v>
      </c>
      <c r="U1452" s="104">
        <f>VLOOKUP(TEXT(A1452,"yy-mm")&amp;"-"&amp;IF(AND(WEEKDAY(A1452)&gt;1,WEEKDAY(A1452)&lt;7),"Wkd",TEXT(A1452,"Ddd"))&amp;"-"&amp;TEXT(A1452,"hh"),LoadTable[],6,FALSE)*T1452</f>
        <v>15713.436212400004</v>
      </c>
      <c r="V1452">
        <f t="shared" ref="V1452:W1452" si="1539">V1428</f>
        <v>2.9</v>
      </c>
      <c r="W1452">
        <f t="shared" si="1539"/>
        <v>3</v>
      </c>
      <c r="X1452" s="9">
        <v>-52.165744816666198</v>
      </c>
    </row>
    <row r="1453" spans="1:24">
      <c r="A1453" s="29">
        <f t="shared" si="1495"/>
        <v>45896.41666666315</v>
      </c>
      <c r="B1453" s="30">
        <f t="shared" si="1519"/>
        <v>8000</v>
      </c>
      <c r="C1453" s="8">
        <v>25000</v>
      </c>
      <c r="D1453" s="8">
        <v>0</v>
      </c>
      <c r="E1453" s="8">
        <v>700</v>
      </c>
      <c r="F1453" s="8">
        <v>15000</v>
      </c>
      <c r="G1453" s="30">
        <f t="shared" si="1520"/>
        <v>2400</v>
      </c>
      <c r="H1453" s="8">
        <v>25000</v>
      </c>
      <c r="I1453" s="30">
        <f t="shared" si="1521"/>
        <v>8000</v>
      </c>
      <c r="J1453" s="8">
        <v>25000</v>
      </c>
      <c r="K1453" s="30">
        <f t="shared" si="1522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VLOOKUP(VLOOKUP(DATEVALUE(TEXT(A1453,"m/d/yyyy")),FY24_Temp[],5,FALSE)&amp;TEXT(A1453,"-h"),Table6[],4,FALSE)</f>
        <v>1.5668571165629797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VLOOKUP(TEXT(A1453,"yy-mm")&amp;"-"&amp;IF(AND(WEEKDAY(A1453)&gt;1,WEEKDAY(A1453)&lt;7),"Wkd",TEXT(A1453,"Ddd"))&amp;"-"&amp;TEXT(A1453,"hh"),LoadTable[],5,FALSE)*0.92</f>
        <v>295.12680000000006</v>
      </c>
      <c r="U1453" s="104">
        <f>VLOOKUP(TEXT(A1453,"yy-mm")&amp;"-"&amp;IF(AND(WEEKDAY(A1453)&gt;1,WEEKDAY(A1453)&lt;7),"Wkd",TEXT(A1453,"Ddd"))&amp;"-"&amp;TEXT(A1453,"hh"),LoadTable[],6,FALSE)*T1453</f>
        <v>14369.723892000002</v>
      </c>
      <c r="V1453">
        <f t="shared" ref="V1453:W1453" si="1540">V1429</f>
        <v>2.9</v>
      </c>
      <c r="W1453">
        <f t="shared" si="1540"/>
        <v>3</v>
      </c>
      <c r="X1453" s="9">
        <v>-52.243539366666297</v>
      </c>
    </row>
    <row r="1454" spans="1:24">
      <c r="A1454" s="29">
        <f t="shared" si="1495"/>
        <v>45896.458333329814</v>
      </c>
      <c r="B1454" s="30">
        <f t="shared" si="1519"/>
        <v>8000</v>
      </c>
      <c r="C1454" s="8">
        <v>25000</v>
      </c>
      <c r="D1454" s="8">
        <v>0</v>
      </c>
      <c r="E1454" s="8">
        <v>700</v>
      </c>
      <c r="F1454" s="8">
        <v>15000</v>
      </c>
      <c r="G1454" s="30">
        <f t="shared" si="1520"/>
        <v>2400</v>
      </c>
      <c r="H1454" s="8">
        <v>25000</v>
      </c>
      <c r="I1454" s="30">
        <f t="shared" si="1521"/>
        <v>8000</v>
      </c>
      <c r="J1454" s="8">
        <v>25000</v>
      </c>
      <c r="K1454" s="30">
        <f t="shared" si="1522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VLOOKUP(VLOOKUP(DATEVALUE(TEXT(A1454,"m/d/yyyy")),FY24_Temp[],5,FALSE)&amp;TEXT(A1454,"-h"),Table6[],4,FALSE)</f>
        <v>1.4631428718566895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VLOOKUP(TEXT(A1454,"yy-mm")&amp;"-"&amp;IF(AND(WEEKDAY(A1454)&gt;1,WEEKDAY(A1454)&lt;7),"Wkd",TEXT(A1454,"Ddd"))&amp;"-"&amp;TEXT(A1454,"hh"),LoadTable[],5,FALSE)*0.92</f>
        <v>295.12680000000006</v>
      </c>
      <c r="U1454" s="104">
        <f>VLOOKUP(TEXT(A1454,"yy-mm")&amp;"-"&amp;IF(AND(WEEKDAY(A1454)&gt;1,WEEKDAY(A1454)&lt;7),"Wkd",TEXT(A1454,"Ddd"))&amp;"-"&amp;TEXT(A1454,"hh"),LoadTable[],6,FALSE)*T1454</f>
        <v>14137.459100400003</v>
      </c>
      <c r="V1454">
        <f t="shared" ref="V1454:W1454" si="1541">V1430</f>
        <v>3.4</v>
      </c>
      <c r="W1454">
        <f t="shared" si="1541"/>
        <v>3</v>
      </c>
      <c r="X1454" s="9">
        <v>-52.321333916666298</v>
      </c>
    </row>
    <row r="1455" spans="1:24">
      <c r="A1455" s="29">
        <f t="shared" si="1495"/>
        <v>45896.499999996478</v>
      </c>
      <c r="B1455" s="30">
        <f t="shared" si="1519"/>
        <v>8000</v>
      </c>
      <c r="C1455" s="8">
        <v>25000</v>
      </c>
      <c r="D1455" s="8">
        <v>0</v>
      </c>
      <c r="E1455" s="8">
        <v>700</v>
      </c>
      <c r="F1455" s="8">
        <v>15000</v>
      </c>
      <c r="G1455" s="30">
        <f t="shared" si="1520"/>
        <v>2400</v>
      </c>
      <c r="H1455" s="8">
        <v>25000</v>
      </c>
      <c r="I1455" s="30">
        <f t="shared" si="1521"/>
        <v>8000</v>
      </c>
      <c r="J1455" s="8">
        <v>25000</v>
      </c>
      <c r="K1455" s="30">
        <f t="shared" si="1522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VLOOKUP(VLOOKUP(DATEVALUE(TEXT(A1455,"m/d/yyyy")),FY24_Temp[],5,FALSE)&amp;TEXT(A1455,"-h"),Table6[],4,FALSE)</f>
        <v>1.3304285662514823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VLOOKUP(TEXT(A1455,"yy-mm")&amp;"-"&amp;IF(AND(WEEKDAY(A1455)&gt;1,WEEKDAY(A1455)&lt;7),"Wkd",TEXT(A1455,"Ddd"))&amp;"-"&amp;TEXT(A1455,"hh"),LoadTable[],5,FALSE)*0.92</f>
        <v>295.12680000000006</v>
      </c>
      <c r="U1455" s="104">
        <f>VLOOKUP(TEXT(A1455,"yy-mm")&amp;"-"&amp;IF(AND(WEEKDAY(A1455)&gt;1,WEEKDAY(A1455)&lt;7),"Wkd",TEXT(A1455,"Ddd"))&amp;"-"&amp;TEXT(A1455,"hh"),LoadTable[],6,FALSE)*T1455</f>
        <v>14242.819368000002</v>
      </c>
      <c r="V1455">
        <f t="shared" ref="V1455:W1455" si="1542">V1431</f>
        <v>3.1</v>
      </c>
      <c r="W1455">
        <f t="shared" si="1542"/>
        <v>2.9</v>
      </c>
      <c r="X1455" s="9">
        <v>-52.399128466666298</v>
      </c>
    </row>
    <row r="1456" spans="1:24">
      <c r="A1456" s="29">
        <f t="shared" si="1495"/>
        <v>45896.541666663143</v>
      </c>
      <c r="B1456" s="30">
        <f t="shared" si="1519"/>
        <v>8000</v>
      </c>
      <c r="C1456" s="8">
        <v>25000</v>
      </c>
      <c r="D1456" s="8">
        <v>0</v>
      </c>
      <c r="E1456" s="8">
        <v>700</v>
      </c>
      <c r="F1456" s="8">
        <v>15000</v>
      </c>
      <c r="G1456" s="30">
        <f t="shared" si="1520"/>
        <v>2400</v>
      </c>
      <c r="H1456" s="8">
        <v>25000</v>
      </c>
      <c r="I1456" s="30">
        <f t="shared" si="1521"/>
        <v>8000</v>
      </c>
      <c r="J1456" s="8">
        <v>25000</v>
      </c>
      <c r="K1456" s="30">
        <f t="shared" si="1522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VLOOKUP(VLOOKUP(DATEVALUE(TEXT(A1456,"m/d/yyyy")),FY24_Temp[],5,FALSE)&amp;TEXT(A1456,"-h"),Table6[],4,FALSE)</f>
        <v>1.1667142765862601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VLOOKUP(TEXT(A1456,"yy-mm")&amp;"-"&amp;IF(AND(WEEKDAY(A1456)&gt;1,WEEKDAY(A1456)&lt;7),"Wkd",TEXT(A1456,"Ddd"))&amp;"-"&amp;TEXT(A1456,"hh"),LoadTable[],5,FALSE)*0.92</f>
        <v>295.12680000000006</v>
      </c>
      <c r="U1456" s="104">
        <f>VLOOKUP(TEXT(A1456,"yy-mm")&amp;"-"&amp;IF(AND(WEEKDAY(A1456)&gt;1,WEEKDAY(A1456)&lt;7),"Wkd",TEXT(A1456,"Ddd"))&amp;"-"&amp;TEXT(A1456,"hh"),LoadTable[],6,FALSE)*T1456</f>
        <v>16280.669922000003</v>
      </c>
      <c r="V1456">
        <f t="shared" ref="V1456:W1456" si="1543">V1432</f>
        <v>3.2</v>
      </c>
      <c r="W1456">
        <f t="shared" si="1543"/>
        <v>2.9</v>
      </c>
      <c r="X1456" s="9">
        <v>-52.476923016666298</v>
      </c>
    </row>
    <row r="1457" spans="1:24">
      <c r="A1457" s="29">
        <f t="shared" si="1495"/>
        <v>45896.583333329807</v>
      </c>
      <c r="B1457" s="30">
        <f t="shared" si="1519"/>
        <v>8000</v>
      </c>
      <c r="C1457" s="8">
        <v>25000</v>
      </c>
      <c r="D1457" s="8">
        <v>0</v>
      </c>
      <c r="E1457" s="8">
        <v>700</v>
      </c>
      <c r="F1457" s="8">
        <v>15000</v>
      </c>
      <c r="G1457" s="30">
        <f t="shared" si="1520"/>
        <v>2400</v>
      </c>
      <c r="H1457" s="8">
        <v>25000</v>
      </c>
      <c r="I1457" s="30">
        <f t="shared" si="1521"/>
        <v>8000</v>
      </c>
      <c r="J1457" s="8">
        <v>25000</v>
      </c>
      <c r="K1457" s="30">
        <f t="shared" si="1522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VLOOKUP(VLOOKUP(DATEVALUE(TEXT(A1457,"m/d/yyyy")),FY24_Temp[],5,FALSE)&amp;TEXT(A1457,"-h"),Table6[],4,FALSE)</f>
        <v>0.98814284801483154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VLOOKUP(TEXT(A1457,"yy-mm")&amp;"-"&amp;IF(AND(WEEKDAY(A1457)&gt;1,WEEKDAY(A1457)&lt;7),"Wkd",TEXT(A1457,"Ddd"))&amp;"-"&amp;TEXT(A1457,"hh"),LoadTable[],5,FALSE)*0.92</f>
        <v>402.08416</v>
      </c>
      <c r="U1457" s="104">
        <f>VLOOKUP(TEXT(A1457,"yy-mm")&amp;"-"&amp;IF(AND(WEEKDAY(A1457)&gt;1,WEEKDAY(A1457)&lt;7),"Wkd",TEXT(A1457,"Ddd"))&amp;"-"&amp;TEXT(A1457,"hh"),LoadTable[],6,FALSE)*T1457</f>
        <v>27023.674309440001</v>
      </c>
      <c r="V1457">
        <f t="shared" ref="V1457:W1457" si="1544">V1433</f>
        <v>3.5</v>
      </c>
      <c r="W1457">
        <f t="shared" si="1544"/>
        <v>2.9</v>
      </c>
      <c r="X1457" s="9">
        <v>-52.554717566666298</v>
      </c>
    </row>
    <row r="1458" spans="1:24">
      <c r="A1458" s="29">
        <f t="shared" si="1495"/>
        <v>45896.624999996471</v>
      </c>
      <c r="B1458" s="30">
        <f t="shared" si="1519"/>
        <v>8000</v>
      </c>
      <c r="C1458" s="8">
        <v>25000</v>
      </c>
      <c r="D1458" s="8">
        <v>0</v>
      </c>
      <c r="E1458" s="8">
        <v>700</v>
      </c>
      <c r="F1458" s="8">
        <v>15000</v>
      </c>
      <c r="G1458" s="30">
        <f t="shared" si="1520"/>
        <v>2400</v>
      </c>
      <c r="H1458" s="8">
        <v>25000</v>
      </c>
      <c r="I1458" s="30">
        <f t="shared" si="1521"/>
        <v>8000</v>
      </c>
      <c r="J1458" s="8">
        <v>25000</v>
      </c>
      <c r="K1458" s="30">
        <f t="shared" si="1522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VLOOKUP(VLOOKUP(DATEVALUE(TEXT(A1458,"m/d/yyyy")),FY24_Temp[],5,FALSE)&amp;TEXT(A1458,"-h"),Table6[],4,FALSE)</f>
        <v>0.82557142632348202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VLOOKUP(TEXT(A1458,"yy-mm")&amp;"-"&amp;IF(AND(WEEKDAY(A1458)&gt;1,WEEKDAY(A1458)&lt;7),"Wkd",TEXT(A1458,"Ddd"))&amp;"-"&amp;TEXT(A1458,"hh"),LoadTable[],5,FALSE)*0.92</f>
        <v>521.92427999999995</v>
      </c>
      <c r="U1458" s="104">
        <f>VLOOKUP(TEXT(A1458,"yy-mm")&amp;"-"&amp;IF(AND(WEEKDAY(A1458)&gt;1,WEEKDAY(A1458)&lt;7),"Wkd",TEXT(A1458,"Ddd"))&amp;"-"&amp;TEXT(A1458,"hh"),LoadTable[],6,FALSE)*T1458</f>
        <v>38276.36092236</v>
      </c>
      <c r="V1458">
        <f t="shared" ref="V1458:W1458" si="1545">V1434</f>
        <v>3.2</v>
      </c>
      <c r="W1458">
        <f t="shared" si="1545"/>
        <v>2.9</v>
      </c>
      <c r="X1458" s="9">
        <v>-52.632512116666298</v>
      </c>
    </row>
    <row r="1459" spans="1:24">
      <c r="A1459" s="29">
        <f t="shared" si="1495"/>
        <v>45896.666666663135</v>
      </c>
      <c r="B1459" s="30">
        <f t="shared" si="1519"/>
        <v>8000</v>
      </c>
      <c r="C1459" s="8">
        <v>25000</v>
      </c>
      <c r="D1459" s="8">
        <v>0</v>
      </c>
      <c r="E1459" s="8">
        <v>700</v>
      </c>
      <c r="F1459" s="8">
        <v>15000</v>
      </c>
      <c r="G1459" s="30">
        <f t="shared" si="1520"/>
        <v>2400</v>
      </c>
      <c r="H1459" s="8">
        <v>25000</v>
      </c>
      <c r="I1459" s="30">
        <f t="shared" si="1521"/>
        <v>8000</v>
      </c>
      <c r="J1459" s="8">
        <v>25000</v>
      </c>
      <c r="K1459" s="30">
        <f t="shared" si="1522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VLOOKUP(VLOOKUP(DATEVALUE(TEXT(A1459,"m/d/yyyy")),FY24_Temp[],5,FALSE)&amp;TEXT(A1459,"-h"),Table6[],4,FALSE)</f>
        <v>0.73714286088943481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VLOOKUP(TEXT(A1459,"yy-mm")&amp;"-"&amp;IF(AND(WEEKDAY(A1459)&gt;1,WEEKDAY(A1459)&lt;7),"Wkd",TEXT(A1459,"Ddd"))&amp;"-"&amp;TEXT(A1459,"hh"),LoadTable[],5,FALSE)*0.92</f>
        <v>521.92427999999995</v>
      </c>
      <c r="U1459" s="104">
        <f>VLOOKUP(TEXT(A1459,"yy-mm")&amp;"-"&amp;IF(AND(WEEKDAY(A1459)&gt;1,WEEKDAY(A1459)&lt;7),"Wkd",TEXT(A1459,"Ddd"))&amp;"-"&amp;TEXT(A1459,"hh"),LoadTable[],6,FALSE)*T1459</f>
        <v>45879.753833399998</v>
      </c>
      <c r="V1459">
        <f t="shared" ref="V1459:W1459" si="1546">V1435</f>
        <v>3.5</v>
      </c>
      <c r="W1459">
        <f t="shared" si="1546"/>
        <v>3</v>
      </c>
      <c r="X1459" s="9">
        <v>-52.710306666666298</v>
      </c>
    </row>
    <row r="1460" spans="1:24">
      <c r="A1460" s="29">
        <f t="shared" si="1495"/>
        <v>45896.7083333298</v>
      </c>
      <c r="B1460" s="30">
        <f t="shared" si="1519"/>
        <v>8000</v>
      </c>
      <c r="C1460" s="8">
        <v>25000</v>
      </c>
      <c r="D1460" s="8">
        <v>0</v>
      </c>
      <c r="E1460" s="8">
        <v>700</v>
      </c>
      <c r="F1460" s="8">
        <v>15000</v>
      </c>
      <c r="G1460" s="30">
        <f t="shared" si="1520"/>
        <v>2400</v>
      </c>
      <c r="H1460" s="8">
        <v>25000</v>
      </c>
      <c r="I1460" s="30">
        <f t="shared" si="1521"/>
        <v>8000</v>
      </c>
      <c r="J1460" s="8">
        <v>25000</v>
      </c>
      <c r="K1460" s="30">
        <f t="shared" si="1522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VLOOKUP(VLOOKUP(DATEVALUE(TEXT(A1460,"m/d/yyyy")),FY24_Temp[],5,FALSE)&amp;TEXT(A1460,"-h"),Table6[],4,FALSE)</f>
        <v>0.86971428564616615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VLOOKUP(TEXT(A1460,"yy-mm")&amp;"-"&amp;IF(AND(WEEKDAY(A1460)&gt;1,WEEKDAY(A1460)&lt;7),"Wkd",TEXT(A1460,"Ddd"))&amp;"-"&amp;TEXT(A1460,"hh"),LoadTable[],5,FALSE)*0.92</f>
        <v>521.92427999999995</v>
      </c>
      <c r="U1460" s="104">
        <f>VLOOKUP(TEXT(A1460,"yy-mm")&amp;"-"&amp;IF(AND(WEEKDAY(A1460)&gt;1,WEEKDAY(A1460)&lt;7),"Wkd",TEXT(A1460,"Ddd"))&amp;"-"&amp;TEXT(A1460,"hh"),LoadTable[],6,FALSE)*T1460</f>
        <v>57850.609119479988</v>
      </c>
      <c r="V1460">
        <f t="shared" ref="V1460:W1460" si="1547">V1436</f>
        <v>3.6</v>
      </c>
      <c r="W1460">
        <f t="shared" si="1547"/>
        <v>3</v>
      </c>
      <c r="X1460" s="9">
        <v>-52.788101216666298</v>
      </c>
    </row>
    <row r="1461" spans="1:24">
      <c r="A1461" s="29">
        <f t="shared" si="1495"/>
        <v>45896.749999996464</v>
      </c>
      <c r="B1461" s="30">
        <f t="shared" si="1519"/>
        <v>5000</v>
      </c>
      <c r="C1461" s="8">
        <v>25000</v>
      </c>
      <c r="D1461" s="8">
        <v>0</v>
      </c>
      <c r="E1461" s="8">
        <v>700</v>
      </c>
      <c r="F1461" s="8">
        <v>15000</v>
      </c>
      <c r="G1461" s="30">
        <f t="shared" si="1520"/>
        <v>2400</v>
      </c>
      <c r="H1461" s="8">
        <v>25000</v>
      </c>
      <c r="I1461" s="30">
        <f t="shared" si="1521"/>
        <v>5000</v>
      </c>
      <c r="J1461" s="8">
        <v>25000</v>
      </c>
      <c r="K1461" s="30">
        <f t="shared" si="1522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VLOOKUP(VLOOKUP(DATEVALUE(TEXT(A1461,"m/d/yyyy")),FY24_Temp[],5,FALSE)&amp;TEXT(A1461,"-h"),Table6[],4,FALSE)</f>
        <v>1.2285714319774084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VLOOKUP(TEXT(A1461,"yy-mm")&amp;"-"&amp;IF(AND(WEEKDAY(A1461)&gt;1,WEEKDAY(A1461)&lt;7),"Wkd",TEXT(A1461,"Ddd"))&amp;"-"&amp;TEXT(A1461,"hh"),LoadTable[],5,FALSE)*0.92</f>
        <v>521.92427999999995</v>
      </c>
      <c r="U1461" s="104">
        <f>VLOOKUP(TEXT(A1461,"yy-mm")&amp;"-"&amp;IF(AND(WEEKDAY(A1461)&gt;1,WEEKDAY(A1461)&lt;7),"Wkd",TEXT(A1461,"Ddd"))&amp;"-"&amp;TEXT(A1461,"hh"),LoadTable[],6,FALSE)*T1461</f>
        <v>71088.174633119997</v>
      </c>
      <c r="V1461">
        <f t="shared" ref="V1461:W1461" si="1548">V1437</f>
        <v>2.9</v>
      </c>
      <c r="W1461">
        <f t="shared" si="1548"/>
        <v>3</v>
      </c>
      <c r="X1461" s="9">
        <v>-52.865895766666199</v>
      </c>
    </row>
    <row r="1462" spans="1:24">
      <c r="A1462" s="29">
        <f t="shared" si="1495"/>
        <v>45896.791666663128</v>
      </c>
      <c r="B1462" s="30">
        <f t="shared" si="1519"/>
        <v>5000</v>
      </c>
      <c r="C1462" s="8">
        <v>25000</v>
      </c>
      <c r="D1462" s="8">
        <v>0</v>
      </c>
      <c r="E1462" s="8">
        <v>700</v>
      </c>
      <c r="F1462" s="8">
        <v>15000</v>
      </c>
      <c r="G1462" s="30">
        <f t="shared" si="1520"/>
        <v>2400</v>
      </c>
      <c r="H1462" s="8">
        <v>25000</v>
      </c>
      <c r="I1462" s="30">
        <f t="shared" si="1521"/>
        <v>5000</v>
      </c>
      <c r="J1462" s="8">
        <v>25000</v>
      </c>
      <c r="K1462" s="30">
        <f t="shared" si="1522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VLOOKUP(VLOOKUP(DATEVALUE(TEXT(A1462,"m/d/yyyy")),FY24_Temp[],5,FALSE)&amp;TEXT(A1462,"-h"),Table6[],4,FALSE)</f>
        <v>1.949428609439305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VLOOKUP(TEXT(A1462,"yy-mm")&amp;"-"&amp;IF(AND(WEEKDAY(A1462)&gt;1,WEEKDAY(A1462)&lt;7),"Wkd",TEXT(A1462,"Ddd"))&amp;"-"&amp;TEXT(A1462,"hh"),LoadTable[],5,FALSE)*0.92</f>
        <v>521.92427999999995</v>
      </c>
      <c r="U1462" s="104">
        <f>VLOOKUP(TEXT(A1462,"yy-mm")&amp;"-"&amp;IF(AND(WEEKDAY(A1462)&gt;1,WEEKDAY(A1462)&lt;7),"Wkd",TEXT(A1462,"Ddd"))&amp;"-"&amp;TEXT(A1462,"hh"),LoadTable[],6,FALSE)*T1462</f>
        <v>75540.188741520004</v>
      </c>
      <c r="V1462">
        <f t="shared" ref="V1462:W1462" si="1549">V1438</f>
        <v>3</v>
      </c>
      <c r="W1462">
        <f t="shared" si="1549"/>
        <v>3</v>
      </c>
      <c r="X1462" s="9">
        <v>-52.943690316666199</v>
      </c>
    </row>
    <row r="1463" spans="1:24">
      <c r="A1463" s="29">
        <f t="shared" si="1495"/>
        <v>45896.833333329792</v>
      </c>
      <c r="B1463" s="30">
        <f t="shared" si="1519"/>
        <v>5000</v>
      </c>
      <c r="C1463" s="8">
        <v>25000</v>
      </c>
      <c r="D1463" s="8">
        <v>0</v>
      </c>
      <c r="E1463" s="8">
        <v>700</v>
      </c>
      <c r="F1463" s="8">
        <v>15000</v>
      </c>
      <c r="G1463" s="30">
        <f t="shared" si="1520"/>
        <v>2400</v>
      </c>
      <c r="H1463" s="8">
        <v>25000</v>
      </c>
      <c r="I1463" s="30">
        <f t="shared" si="1521"/>
        <v>5000</v>
      </c>
      <c r="J1463" s="8">
        <v>25000</v>
      </c>
      <c r="K1463" s="30">
        <f t="shared" si="1522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VLOOKUP(VLOOKUP(DATEVALUE(TEXT(A1463,"m/d/yyyy")),FY24_Temp[],5,FALSE)&amp;TEXT(A1463,"-h"),Table6[],4,FALSE)</f>
        <v>2.732428584780012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VLOOKUP(TEXT(A1463,"yy-mm")&amp;"-"&amp;IF(AND(WEEKDAY(A1463)&gt;1,WEEKDAY(A1463)&lt;7),"Wkd",TEXT(A1463,"Ddd"))&amp;"-"&amp;TEXT(A1463,"hh"),LoadTable[],5,FALSE)*0.92</f>
        <v>521.92427999999995</v>
      </c>
      <c r="U1463" s="104">
        <f>VLOOKUP(TEXT(A1463,"yy-mm")&amp;"-"&amp;IF(AND(WEEKDAY(A1463)&gt;1,WEEKDAY(A1463)&lt;7),"Wkd",TEXT(A1463,"Ddd"))&amp;"-"&amp;TEXT(A1463,"hh"),LoadTable[],6,FALSE)*T1463</f>
        <v>69176.365995479995</v>
      </c>
      <c r="V1463">
        <f t="shared" ref="V1463:W1463" si="1550">V1439</f>
        <v>2.8</v>
      </c>
      <c r="W1463">
        <f t="shared" si="1550"/>
        <v>3.1</v>
      </c>
      <c r="X1463" s="9">
        <v>-53.021484866666199</v>
      </c>
    </row>
    <row r="1464" spans="1:24">
      <c r="A1464" s="29">
        <f t="shared" si="1495"/>
        <v>45896.874999996457</v>
      </c>
      <c r="B1464" s="30">
        <f t="shared" si="1519"/>
        <v>5000</v>
      </c>
      <c r="C1464" s="8">
        <v>25000</v>
      </c>
      <c r="D1464" s="8">
        <v>0</v>
      </c>
      <c r="E1464" s="8">
        <v>700</v>
      </c>
      <c r="F1464" s="8">
        <v>15000</v>
      </c>
      <c r="G1464" s="30">
        <f t="shared" si="1520"/>
        <v>2400</v>
      </c>
      <c r="H1464" s="8">
        <v>25000</v>
      </c>
      <c r="I1464" s="30">
        <f t="shared" si="1521"/>
        <v>5000</v>
      </c>
      <c r="J1464" s="8">
        <v>25000</v>
      </c>
      <c r="K1464" s="30">
        <f t="shared" si="1522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VLOOKUP(VLOOKUP(DATEVALUE(TEXT(A1464,"m/d/yyyy")),FY24_Temp[],5,FALSE)&amp;TEXT(A1464,"-h"),Table6[],4,FALSE)</f>
        <v>2.9708571093423024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VLOOKUP(TEXT(A1464,"yy-mm")&amp;"-"&amp;IF(AND(WEEKDAY(A1464)&gt;1,WEEKDAY(A1464)&lt;7),"Wkd",TEXT(A1464,"Ddd"))&amp;"-"&amp;TEXT(A1464,"hh"),LoadTable[],5,FALSE)*0.92</f>
        <v>521.92427999999995</v>
      </c>
      <c r="U1464" s="104">
        <f>VLOOKUP(TEXT(A1464,"yy-mm")&amp;"-"&amp;IF(AND(WEEKDAY(A1464)&gt;1,WEEKDAY(A1464)&lt;7),"Wkd",TEXT(A1464,"Ddd"))&amp;"-"&amp;TEXT(A1464,"hh"),LoadTable[],6,FALSE)*T1464</f>
        <v>56417.405046599997</v>
      </c>
      <c r="V1464">
        <f t="shared" ref="V1464:W1464" si="1551">V1440</f>
        <v>3.5</v>
      </c>
      <c r="W1464">
        <f t="shared" si="1551"/>
        <v>3.1</v>
      </c>
      <c r="X1464" s="9">
        <v>-53.099279416666199</v>
      </c>
    </row>
    <row r="1465" spans="1:24">
      <c r="A1465" s="29">
        <f t="shared" si="1495"/>
        <v>45896.916666663121</v>
      </c>
      <c r="B1465" s="30">
        <f t="shared" si="1519"/>
        <v>5000</v>
      </c>
      <c r="C1465" s="8">
        <v>25000</v>
      </c>
      <c r="D1465" s="8">
        <v>0</v>
      </c>
      <c r="E1465" s="8">
        <v>700</v>
      </c>
      <c r="F1465" s="8">
        <v>15000</v>
      </c>
      <c r="G1465" s="30">
        <f t="shared" si="1520"/>
        <v>2400</v>
      </c>
      <c r="H1465" s="8">
        <v>25000</v>
      </c>
      <c r="I1465" s="30">
        <f t="shared" si="1521"/>
        <v>5000</v>
      </c>
      <c r="J1465" s="8">
        <v>25000</v>
      </c>
      <c r="K1465" s="30">
        <f t="shared" si="1522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VLOOKUP(VLOOKUP(DATEVALUE(TEXT(A1465,"m/d/yyyy")),FY24_Temp[],5,FALSE)&amp;TEXT(A1465,"-h"),Table6[],4,FALSE)</f>
        <v>2.9297142710004533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VLOOKUP(TEXT(A1465,"yy-mm")&amp;"-"&amp;IF(AND(WEEKDAY(A1465)&gt;1,WEEKDAY(A1465)&lt;7),"Wkd",TEXT(A1465,"Ddd"))&amp;"-"&amp;TEXT(A1465,"hh"),LoadTable[],5,FALSE)*0.92</f>
        <v>447.02432000000005</v>
      </c>
      <c r="U1465" s="104">
        <f>VLOOKUP(TEXT(A1465,"yy-mm")&amp;"-"&amp;IF(AND(WEEKDAY(A1465)&gt;1,WEEKDAY(A1465)&lt;7),"Wkd",TEXT(A1465,"Ddd"))&amp;"-"&amp;TEXT(A1465,"hh"),LoadTable[],6,FALSE)*T1465</f>
        <v>29850.49599232</v>
      </c>
      <c r="V1465">
        <f t="shared" ref="V1465:W1465" si="1552">V1441</f>
        <v>2.9</v>
      </c>
      <c r="W1465">
        <f t="shared" si="1552"/>
        <v>3.1</v>
      </c>
      <c r="X1465" s="9">
        <v>-53.1770739666662</v>
      </c>
    </row>
    <row r="1466" spans="1:24">
      <c r="A1466" s="29">
        <f t="shared" si="1495"/>
        <v>45896.958333329785</v>
      </c>
      <c r="B1466" s="30">
        <f t="shared" si="1519"/>
        <v>5000</v>
      </c>
      <c r="C1466" s="8">
        <v>25000</v>
      </c>
      <c r="D1466" s="8">
        <v>0</v>
      </c>
      <c r="E1466" s="8">
        <v>700</v>
      </c>
      <c r="F1466" s="8">
        <v>15000</v>
      </c>
      <c r="G1466" s="30">
        <f t="shared" si="1520"/>
        <v>2400</v>
      </c>
      <c r="H1466" s="8">
        <v>25000</v>
      </c>
      <c r="I1466" s="30">
        <f t="shared" si="1521"/>
        <v>5000</v>
      </c>
      <c r="J1466" s="8">
        <v>25000</v>
      </c>
      <c r="K1466" s="30">
        <f t="shared" si="1522"/>
        <v>5000</v>
      </c>
      <c r="L1466" s="8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9">
        <v>13.5</v>
      </c>
      <c r="P1466" s="9">
        <v>19.5</v>
      </c>
      <c r="Q1466" s="79">
        <f>VLOOKUP(VLOOKUP(DATEVALUE(TEXT(A1466,"m/d/yyyy")),FY24_Temp[],5,FALSE)&amp;TEXT(A1466,"-h"),Table6[],4,FALSE)</f>
        <v>2.8045714242117747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VLOOKUP(TEXT(A1466,"yy-mm")&amp;"-"&amp;IF(AND(WEEKDAY(A1466)&gt;1,WEEKDAY(A1466)&lt;7),"Wkd",TEXT(A1466,"Ddd"))&amp;"-"&amp;TEXT(A1466,"hh"),LoadTable[],5,FALSE)*0.92</f>
        <v>372.12436000000002</v>
      </c>
      <c r="U1466" s="104">
        <f>VLOOKUP(TEXT(A1466,"yy-mm")&amp;"-"&amp;IF(AND(WEEKDAY(A1466)&gt;1,WEEKDAY(A1466)&lt;7),"Wkd",TEXT(A1466,"Ddd"))&amp;"-"&amp;TEXT(A1466,"hh"),LoadTable[],6,FALSE)*T1466</f>
        <v>22421.236938720001</v>
      </c>
      <c r="V1466">
        <f t="shared" ref="V1466:W1466" si="1553">V1442</f>
        <v>3.6</v>
      </c>
      <c r="W1466">
        <f t="shared" si="1553"/>
        <v>3.1</v>
      </c>
      <c r="X1466" s="9">
        <v>-53.2548685166662</v>
      </c>
    </row>
    <row r="1467" spans="1:24">
      <c r="A1467" s="29">
        <f t="shared" si="1495"/>
        <v>45896.999999996449</v>
      </c>
      <c r="B1467" s="30">
        <f t="shared" si="1519"/>
        <v>5000</v>
      </c>
      <c r="C1467" s="8">
        <v>25000</v>
      </c>
      <c r="D1467" s="8">
        <v>0</v>
      </c>
      <c r="E1467" s="8">
        <v>700</v>
      </c>
      <c r="F1467" s="8">
        <v>15000</v>
      </c>
      <c r="G1467" s="30">
        <f t="shared" si="1520"/>
        <v>2400</v>
      </c>
      <c r="H1467" s="8">
        <v>25000</v>
      </c>
      <c r="I1467" s="30">
        <f t="shared" si="1521"/>
        <v>5000</v>
      </c>
      <c r="J1467" s="8">
        <v>25000</v>
      </c>
      <c r="K1467" s="30">
        <f t="shared" si="1522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VLOOKUP(VLOOKUP(DATEVALUE(TEXT(A1467,"m/d/yyyy")),FY24_Temp[],5,FALSE)&amp;TEXT(A1467,"-h"),Table6[],4,FALSE)</f>
        <v>2.707571404320853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VLOOKUP(TEXT(A1467,"yy-mm")&amp;"-"&amp;IF(AND(WEEKDAY(A1467)&gt;1,WEEKDAY(A1467)&lt;7),"Wkd",TEXT(A1467,"Ddd"))&amp;"-"&amp;TEXT(A1467,"hh"),LoadTable[],5,FALSE)*0.92</f>
        <v>297.2244</v>
      </c>
      <c r="U1467" s="104">
        <f>VLOOKUP(TEXT(A1467,"yy-mm")&amp;"-"&amp;IF(AND(WEEKDAY(A1467)&gt;1,WEEKDAY(A1467)&lt;7),"Wkd",TEXT(A1467,"Ddd"))&amp;"-"&amp;TEXT(A1467,"hh"),LoadTable[],6,FALSE)*T1467</f>
        <v>17505.031038000001</v>
      </c>
      <c r="V1467">
        <f t="shared" ref="V1467:W1467" si="1554">V1443</f>
        <v>3</v>
      </c>
      <c r="W1467">
        <f t="shared" si="1554"/>
        <v>3.2</v>
      </c>
      <c r="X1467" s="9">
        <v>-53.3326630666662</v>
      </c>
    </row>
    <row r="1468" spans="1:24">
      <c r="A1468" s="29">
        <f t="shared" si="1495"/>
        <v>45897.041666663114</v>
      </c>
      <c r="B1468" s="30">
        <f t="shared" si="1519"/>
        <v>5000</v>
      </c>
      <c r="C1468" s="8">
        <v>25000</v>
      </c>
      <c r="D1468" s="8">
        <v>0</v>
      </c>
      <c r="E1468" s="8">
        <v>700</v>
      </c>
      <c r="F1468" s="8">
        <v>15000</v>
      </c>
      <c r="G1468" s="30">
        <f t="shared" si="1520"/>
        <v>2400</v>
      </c>
      <c r="H1468" s="8">
        <v>25000</v>
      </c>
      <c r="I1468" s="30">
        <f t="shared" si="1521"/>
        <v>5000</v>
      </c>
      <c r="J1468" s="8">
        <v>25000</v>
      </c>
      <c r="K1468" s="30">
        <f t="shared" si="1522"/>
        <v>5000</v>
      </c>
      <c r="L1468" s="8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9">
        <v>13.5</v>
      </c>
      <c r="P1468" s="9">
        <v>19.5</v>
      </c>
      <c r="Q1468" s="79">
        <f>VLOOKUP(VLOOKUP(DATEVALUE(TEXT(A1468,"m/d/yyyy")),FY24_Temp[],5,FALSE)&amp;TEXT(A1468,"-h"),Table6[],4,FALSE)</f>
        <v>2.6045714105878557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VLOOKUP(TEXT(A1468,"yy-mm")&amp;"-"&amp;IF(AND(WEEKDAY(A1468)&gt;1,WEEKDAY(A1468)&lt;7),"Wkd",TEXT(A1468,"Ddd"))&amp;"-"&amp;TEXT(A1468,"hh"),LoadTable[],5,FALSE)*0.92</f>
        <v>295.12680000000006</v>
      </c>
      <c r="U1468" s="104">
        <f>VLOOKUP(TEXT(A1468,"yy-mm")&amp;"-"&amp;IF(AND(WEEKDAY(A1468)&gt;1,WEEKDAY(A1468)&lt;7),"Wkd",TEXT(A1468,"Ddd"))&amp;"-"&amp;TEXT(A1468,"hh"),LoadTable[],6,FALSE)*T1468</f>
        <v>17131.225359600001</v>
      </c>
      <c r="V1468">
        <f t="shared" ref="V1468:W1468" si="1555">V1444</f>
        <v>2.6</v>
      </c>
      <c r="W1468">
        <f t="shared" si="1555"/>
        <v>3.2</v>
      </c>
      <c r="X1468" s="9">
        <v>-53.4104576166662</v>
      </c>
    </row>
    <row r="1469" spans="1:24">
      <c r="A1469" s="29">
        <f t="shared" si="1495"/>
        <v>45897.083333329778</v>
      </c>
      <c r="B1469" s="30">
        <f t="shared" si="1519"/>
        <v>5000</v>
      </c>
      <c r="C1469" s="8">
        <v>25000</v>
      </c>
      <c r="D1469" s="8">
        <v>0</v>
      </c>
      <c r="E1469" s="8">
        <v>700</v>
      </c>
      <c r="F1469" s="8">
        <v>15000</v>
      </c>
      <c r="G1469" s="30">
        <f t="shared" si="1520"/>
        <v>2400</v>
      </c>
      <c r="H1469" s="8">
        <v>25000</v>
      </c>
      <c r="I1469" s="30">
        <f t="shared" si="1521"/>
        <v>5000</v>
      </c>
      <c r="J1469" s="8">
        <v>25000</v>
      </c>
      <c r="K1469" s="30">
        <f t="shared" si="1522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VLOOKUP(VLOOKUP(DATEVALUE(TEXT(A1469,"m/d/yyyy")),FY24_Temp[],5,FALSE)&amp;TEXT(A1469,"-h"),Table6[],4,FALSE)</f>
        <v>2.5119999476841519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VLOOKUP(TEXT(A1469,"yy-mm")&amp;"-"&amp;IF(AND(WEEKDAY(A1469)&gt;1,WEEKDAY(A1469)&lt;7),"Wkd",TEXT(A1469,"Ddd"))&amp;"-"&amp;TEXT(A1469,"hh"),LoadTable[],5,FALSE)*0.92</f>
        <v>295.12680000000006</v>
      </c>
      <c r="U1469" s="104">
        <f>VLOOKUP(TEXT(A1469,"yy-mm")&amp;"-"&amp;IF(AND(WEEKDAY(A1469)&gt;1,WEEKDAY(A1469)&lt;7),"Wkd",TEXT(A1469,"Ddd"))&amp;"-"&amp;TEXT(A1469,"hh"),LoadTable[],6,FALSE)*T1469</f>
        <v>16459.811889600001</v>
      </c>
      <c r="V1469">
        <f t="shared" ref="V1469:W1469" si="1556">V1445</f>
        <v>2.8</v>
      </c>
      <c r="W1469">
        <f t="shared" si="1556"/>
        <v>3.2</v>
      </c>
      <c r="X1469" s="9">
        <v>-53.4882521666662</v>
      </c>
    </row>
    <row r="1470" spans="1:24">
      <c r="A1470" s="29">
        <f t="shared" si="1495"/>
        <v>45897.124999996442</v>
      </c>
      <c r="B1470" s="30">
        <f t="shared" si="1519"/>
        <v>5000</v>
      </c>
      <c r="C1470" s="8">
        <v>25000</v>
      </c>
      <c r="D1470" s="8">
        <v>0</v>
      </c>
      <c r="E1470" s="8">
        <v>700</v>
      </c>
      <c r="F1470" s="8">
        <v>15000</v>
      </c>
      <c r="G1470" s="30">
        <f t="shared" si="1520"/>
        <v>2400</v>
      </c>
      <c r="H1470" s="8">
        <v>25000</v>
      </c>
      <c r="I1470" s="30">
        <f t="shared" si="1521"/>
        <v>5000</v>
      </c>
      <c r="J1470" s="8">
        <v>25000</v>
      </c>
      <c r="K1470" s="30">
        <f t="shared" si="1522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VLOOKUP(VLOOKUP(DATEVALUE(TEXT(A1470,"m/d/yyyy")),FY24_Temp[],5,FALSE)&amp;TEXT(A1470,"-h"),Table6[],4,FALSE)</f>
        <v>2.3667143072400774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VLOOKUP(TEXT(A1470,"yy-mm")&amp;"-"&amp;IF(AND(WEEKDAY(A1470)&gt;1,WEEKDAY(A1470)&lt;7),"Wkd",TEXT(A1470,"Ddd"))&amp;"-"&amp;TEXT(A1470,"hh"),LoadTable[],5,FALSE)*0.92</f>
        <v>295.12680000000006</v>
      </c>
      <c r="U1470" s="104">
        <f>VLOOKUP(TEXT(A1470,"yy-mm")&amp;"-"&amp;IF(AND(WEEKDAY(A1470)&gt;1,WEEKDAY(A1470)&lt;7),"Wkd",TEXT(A1470,"Ddd"))&amp;"-"&amp;TEXT(A1470,"hh"),LoadTable[],6,FALSE)*T1470</f>
        <v>16610.326557600001</v>
      </c>
      <c r="V1470">
        <f t="shared" ref="V1470:W1470" si="1557">V1446</f>
        <v>2.7</v>
      </c>
      <c r="W1470">
        <f t="shared" si="1557"/>
        <v>3.2</v>
      </c>
      <c r="X1470" s="9">
        <v>-53.5660467166662</v>
      </c>
    </row>
    <row r="1471" spans="1:24">
      <c r="A1471" s="29">
        <f t="shared" si="1495"/>
        <v>45897.166666663106</v>
      </c>
      <c r="B1471" s="30">
        <f t="shared" si="1519"/>
        <v>5000</v>
      </c>
      <c r="C1471" s="8">
        <v>25000</v>
      </c>
      <c r="D1471" s="8">
        <v>0</v>
      </c>
      <c r="E1471" s="8">
        <v>700</v>
      </c>
      <c r="F1471" s="8">
        <v>15000</v>
      </c>
      <c r="G1471" s="30">
        <f t="shared" si="1520"/>
        <v>2400</v>
      </c>
      <c r="H1471" s="8">
        <v>25000</v>
      </c>
      <c r="I1471" s="30">
        <f t="shared" si="1521"/>
        <v>5000</v>
      </c>
      <c r="J1471" s="8">
        <v>25000</v>
      </c>
      <c r="K1471" s="30">
        <f t="shared" si="1522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VLOOKUP(VLOOKUP(DATEVALUE(TEXT(A1471,"m/d/yyyy")),FY24_Temp[],5,FALSE)&amp;TEXT(A1471,"-h"),Table6[],4,FALSE)</f>
        <v>2.2025713920593262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VLOOKUP(TEXT(A1471,"yy-mm")&amp;"-"&amp;IF(AND(WEEKDAY(A1471)&gt;1,WEEKDAY(A1471)&lt;7),"Wkd",TEXT(A1471,"Ddd"))&amp;"-"&amp;TEXT(A1471,"hh"),LoadTable[],5,FALSE)*0.92</f>
        <v>295.12680000000006</v>
      </c>
      <c r="U1471" s="104">
        <f>VLOOKUP(TEXT(A1471,"yy-mm")&amp;"-"&amp;IF(AND(WEEKDAY(A1471)&gt;1,WEEKDAY(A1471)&lt;7),"Wkd",TEXT(A1471,"Ddd"))&amp;"-"&amp;TEXT(A1471,"hh"),LoadTable[],6,FALSE)*T1471</f>
        <v>16544.513281200001</v>
      </c>
      <c r="V1471">
        <f t="shared" ref="V1471:W1471" si="1558">V1447</f>
        <v>3</v>
      </c>
      <c r="W1471">
        <f t="shared" si="1558"/>
        <v>3.1</v>
      </c>
      <c r="X1471" s="9">
        <v>-53.6438412666662</v>
      </c>
    </row>
    <row r="1472" spans="1:24">
      <c r="A1472" s="29">
        <f t="shared" si="1495"/>
        <v>45897.208333329771</v>
      </c>
      <c r="B1472" s="30">
        <f t="shared" si="1519"/>
        <v>5000</v>
      </c>
      <c r="C1472" s="8">
        <v>25000</v>
      </c>
      <c r="D1472" s="8">
        <v>0</v>
      </c>
      <c r="E1472" s="8">
        <v>700</v>
      </c>
      <c r="F1472" s="8">
        <v>15000</v>
      </c>
      <c r="G1472" s="30">
        <f t="shared" si="1520"/>
        <v>2400</v>
      </c>
      <c r="H1472" s="8">
        <v>25000</v>
      </c>
      <c r="I1472" s="30">
        <f t="shared" si="1521"/>
        <v>5000</v>
      </c>
      <c r="J1472" s="8">
        <v>25000</v>
      </c>
      <c r="K1472" s="30">
        <f t="shared" si="1522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VLOOKUP(VLOOKUP(DATEVALUE(TEXT(A1472,"m/d/yyyy")),FY24_Temp[],5,FALSE)&amp;TEXT(A1472,"-h"),Table6[],4,FALSE)</f>
        <v>2.0452857358115062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VLOOKUP(TEXT(A1472,"yy-mm")&amp;"-"&amp;IF(AND(WEEKDAY(A1472)&gt;1,WEEKDAY(A1472)&lt;7),"Wkd",TEXT(A1472,"Ddd"))&amp;"-"&amp;TEXT(A1472,"hh"),LoadTable[],5,FALSE)*0.92</f>
        <v>295.12680000000006</v>
      </c>
      <c r="U1472" s="104">
        <f>VLOOKUP(TEXT(A1472,"yy-mm")&amp;"-"&amp;IF(AND(WEEKDAY(A1472)&gt;1,WEEKDAY(A1472)&lt;7),"Wkd",TEXT(A1472,"Ddd"))&amp;"-"&amp;TEXT(A1472,"hh"),LoadTable[],6,FALSE)*T1472</f>
        <v>17128.569218400004</v>
      </c>
      <c r="V1472">
        <f t="shared" ref="V1472:W1472" si="1559">V1448</f>
        <v>2.9</v>
      </c>
      <c r="W1472">
        <f t="shared" si="1559"/>
        <v>3.1</v>
      </c>
      <c r="X1472" s="9">
        <v>-53.7216358166662</v>
      </c>
    </row>
    <row r="1473" spans="1:24">
      <c r="A1473" s="29">
        <f t="shared" si="1495"/>
        <v>45897.249999996435</v>
      </c>
      <c r="B1473" s="30">
        <f t="shared" si="1519"/>
        <v>8000</v>
      </c>
      <c r="C1473" s="8">
        <v>25000</v>
      </c>
      <c r="D1473" s="8">
        <v>0</v>
      </c>
      <c r="E1473" s="8">
        <v>700</v>
      </c>
      <c r="F1473" s="8">
        <v>15000</v>
      </c>
      <c r="G1473" s="30">
        <f t="shared" si="1520"/>
        <v>2400</v>
      </c>
      <c r="H1473" s="8">
        <v>25000</v>
      </c>
      <c r="I1473" s="30">
        <f t="shared" si="1521"/>
        <v>8000</v>
      </c>
      <c r="J1473" s="8">
        <v>25000</v>
      </c>
      <c r="K1473" s="30">
        <f t="shared" si="1522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VLOOKUP(VLOOKUP(DATEVALUE(TEXT(A1473,"m/d/yyyy")),FY24_Temp[],5,FALSE)&amp;TEXT(A1473,"-h"),Table6[],4,FALSE)</f>
        <v>1.9314285516738892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VLOOKUP(TEXT(A1473,"yy-mm")&amp;"-"&amp;IF(AND(WEEKDAY(A1473)&gt;1,WEEKDAY(A1473)&lt;7),"Wkd",TEXT(A1473,"Ddd"))&amp;"-"&amp;TEXT(A1473,"hh"),LoadTable[],5,FALSE)*0.92</f>
        <v>295.12680000000006</v>
      </c>
      <c r="U1473" s="104">
        <f>VLOOKUP(TEXT(A1473,"yy-mm")&amp;"-"&amp;IF(AND(WEEKDAY(A1473)&gt;1,WEEKDAY(A1473)&lt;7),"Wkd",TEXT(A1473,"Ddd"))&amp;"-"&amp;TEXT(A1473,"hh"),LoadTable[],6,FALSE)*T1473</f>
        <v>20766.892408800006</v>
      </c>
      <c r="V1473">
        <f t="shared" ref="V1473:W1473" si="1560">V1449</f>
        <v>2.5</v>
      </c>
      <c r="W1473">
        <f t="shared" si="1560"/>
        <v>3.1</v>
      </c>
      <c r="X1473" s="9">
        <v>-53.799430366666201</v>
      </c>
    </row>
    <row r="1474" spans="1:24">
      <c r="A1474" s="29">
        <f t="shared" si="1495"/>
        <v>45897.291666663099</v>
      </c>
      <c r="B1474" s="30">
        <f t="shared" si="1519"/>
        <v>8000</v>
      </c>
      <c r="C1474" s="8">
        <v>25000</v>
      </c>
      <c r="D1474" s="8">
        <v>0</v>
      </c>
      <c r="E1474" s="8">
        <v>700</v>
      </c>
      <c r="F1474" s="8">
        <v>15000</v>
      </c>
      <c r="G1474" s="30">
        <f t="shared" si="1520"/>
        <v>2400</v>
      </c>
      <c r="H1474" s="8">
        <v>25000</v>
      </c>
      <c r="I1474" s="30">
        <f t="shared" si="1521"/>
        <v>8000</v>
      </c>
      <c r="J1474" s="8">
        <v>25000</v>
      </c>
      <c r="K1474" s="30">
        <f t="shared" si="1522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VLOOKUP(VLOOKUP(DATEVALUE(TEXT(A1474,"m/d/yyyy")),FY24_Temp[],5,FALSE)&amp;TEXT(A1474,"-h"),Table6[],4,FALSE)</f>
        <v>1.8508571556636266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VLOOKUP(TEXT(A1474,"yy-mm")&amp;"-"&amp;IF(AND(WEEKDAY(A1474)&gt;1,WEEKDAY(A1474)&lt;7),"Wkd",TEXT(A1474,"Ddd"))&amp;"-"&amp;TEXT(A1474,"hh"),LoadTable[],5,FALSE)*0.92</f>
        <v>295.12680000000006</v>
      </c>
      <c r="U1474" s="104">
        <f>VLOOKUP(TEXT(A1474,"yy-mm")&amp;"-"&amp;IF(AND(WEEKDAY(A1474)&gt;1,WEEKDAY(A1474)&lt;7),"Wkd",TEXT(A1474,"Ddd"))&amp;"-"&amp;TEXT(A1474,"hh"),LoadTable[],6,FALSE)*T1474</f>
        <v>19169.666167200001</v>
      </c>
      <c r="V1474">
        <f t="shared" ref="V1474:W1474" si="1561">V1450</f>
        <v>2.5</v>
      </c>
      <c r="W1474">
        <f t="shared" si="1561"/>
        <v>3.1</v>
      </c>
      <c r="X1474" s="9">
        <v>-53.877224916666201</v>
      </c>
    </row>
    <row r="1475" spans="1:24">
      <c r="A1475" s="29">
        <f t="shared" si="1495"/>
        <v>45897.333333329763</v>
      </c>
      <c r="B1475" s="30">
        <f t="shared" si="1519"/>
        <v>8000</v>
      </c>
      <c r="C1475" s="8">
        <v>25000</v>
      </c>
      <c r="D1475" s="8">
        <v>0</v>
      </c>
      <c r="E1475" s="8">
        <v>700</v>
      </c>
      <c r="F1475" s="8">
        <v>15000</v>
      </c>
      <c r="G1475" s="30">
        <f t="shared" si="1520"/>
        <v>2400</v>
      </c>
      <c r="H1475" s="8">
        <v>25000</v>
      </c>
      <c r="I1475" s="30">
        <f t="shared" si="1521"/>
        <v>8000</v>
      </c>
      <c r="J1475" s="8">
        <v>25000</v>
      </c>
      <c r="K1475" s="30">
        <f t="shared" si="1522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VLOOKUP(VLOOKUP(DATEVALUE(TEXT(A1475,"m/d/yyyy")),FY24_Temp[],5,FALSE)&amp;TEXT(A1475,"-h"),Table6[],4,FALSE)</f>
        <v>1.7464285748345512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VLOOKUP(TEXT(A1475,"yy-mm")&amp;"-"&amp;IF(AND(WEEKDAY(A1475)&gt;1,WEEKDAY(A1475)&lt;7),"Wkd",TEXT(A1475,"Ddd"))&amp;"-"&amp;TEXT(A1475,"hh"),LoadTable[],5,FALSE)*0.92</f>
        <v>295.12680000000006</v>
      </c>
      <c r="U1475" s="104">
        <f>VLOOKUP(TEXT(A1475,"yy-mm")&amp;"-"&amp;IF(AND(WEEKDAY(A1475)&gt;1,WEEKDAY(A1475)&lt;7),"Wkd",TEXT(A1475,"Ddd"))&amp;"-"&amp;TEXT(A1475,"hh"),LoadTable[],6,FALSE)*T1475</f>
        <v>15860.999612400004</v>
      </c>
      <c r="V1475">
        <f t="shared" ref="V1475:W1475" si="1562">V1451</f>
        <v>3.2</v>
      </c>
      <c r="W1475">
        <f t="shared" si="1562"/>
        <v>3</v>
      </c>
      <c r="X1475" s="9">
        <v>-53.955019466666201</v>
      </c>
    </row>
    <row r="1476" spans="1:24">
      <c r="A1476" s="29">
        <f t="shared" si="1495"/>
        <v>45897.374999996428</v>
      </c>
      <c r="B1476" s="30">
        <f t="shared" si="1519"/>
        <v>8000</v>
      </c>
      <c r="C1476" s="8">
        <v>25000</v>
      </c>
      <c r="D1476" s="8">
        <v>0</v>
      </c>
      <c r="E1476" s="8">
        <v>700</v>
      </c>
      <c r="F1476" s="8">
        <v>15000</v>
      </c>
      <c r="G1476" s="30">
        <f t="shared" si="1520"/>
        <v>2400</v>
      </c>
      <c r="H1476" s="8">
        <v>25000</v>
      </c>
      <c r="I1476" s="30">
        <f t="shared" si="1521"/>
        <v>8000</v>
      </c>
      <c r="J1476" s="8">
        <v>25000</v>
      </c>
      <c r="K1476" s="30">
        <f t="shared" si="1522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VLOOKUP(VLOOKUP(DATEVALUE(TEXT(A1476,"m/d/yyyy")),FY24_Temp[],5,FALSE)&amp;TEXT(A1476,"-h"),Table6[],4,FALSE)</f>
        <v>1.6497142996106828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VLOOKUP(TEXT(A1476,"yy-mm")&amp;"-"&amp;IF(AND(WEEKDAY(A1476)&gt;1,WEEKDAY(A1476)&lt;7),"Wkd",TEXT(A1476,"Ddd"))&amp;"-"&amp;TEXT(A1476,"hh"),LoadTable[],5,FALSE)*0.92</f>
        <v>295.12680000000006</v>
      </c>
      <c r="U1476" s="104">
        <f>VLOOKUP(TEXT(A1476,"yy-mm")&amp;"-"&amp;IF(AND(WEEKDAY(A1476)&gt;1,WEEKDAY(A1476)&lt;7),"Wkd",TEXT(A1476,"Ddd"))&amp;"-"&amp;TEXT(A1476,"hh"),LoadTable[],6,FALSE)*T1476</f>
        <v>15713.436212400004</v>
      </c>
      <c r="V1476">
        <f t="shared" ref="V1476:W1476" si="1563">V1452</f>
        <v>2.9</v>
      </c>
      <c r="W1476">
        <f t="shared" si="1563"/>
        <v>3</v>
      </c>
      <c r="X1476" s="9">
        <v>-54.032814016666201</v>
      </c>
    </row>
    <row r="1477" spans="1:24">
      <c r="A1477" s="29">
        <f t="shared" ref="A1477:A1540" si="1564">A1476+TIME(1,0,0)</f>
        <v>45897.416666663092</v>
      </c>
      <c r="B1477" s="30">
        <f t="shared" si="1519"/>
        <v>8000</v>
      </c>
      <c r="C1477" s="8">
        <v>25000</v>
      </c>
      <c r="D1477" s="8">
        <v>0</v>
      </c>
      <c r="E1477" s="8">
        <v>700</v>
      </c>
      <c r="F1477" s="8">
        <v>15000</v>
      </c>
      <c r="G1477" s="30">
        <f t="shared" si="1520"/>
        <v>2400</v>
      </c>
      <c r="H1477" s="8">
        <v>25000</v>
      </c>
      <c r="I1477" s="30">
        <f t="shared" si="1521"/>
        <v>8000</v>
      </c>
      <c r="J1477" s="8">
        <v>25000</v>
      </c>
      <c r="K1477" s="30">
        <f t="shared" si="1522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VLOOKUP(VLOOKUP(DATEVALUE(TEXT(A1477,"m/d/yyyy")),FY24_Temp[],5,FALSE)&amp;TEXT(A1477,"-h"),Table6[],4,FALSE)</f>
        <v>1.5668571165629797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VLOOKUP(TEXT(A1477,"yy-mm")&amp;"-"&amp;IF(AND(WEEKDAY(A1477)&gt;1,WEEKDAY(A1477)&lt;7),"Wkd",TEXT(A1477,"Ddd"))&amp;"-"&amp;TEXT(A1477,"hh"),LoadTable[],5,FALSE)*0.92</f>
        <v>295.12680000000006</v>
      </c>
      <c r="U1477" s="104">
        <f>VLOOKUP(TEXT(A1477,"yy-mm")&amp;"-"&amp;IF(AND(WEEKDAY(A1477)&gt;1,WEEKDAY(A1477)&lt;7),"Wkd",TEXT(A1477,"Ddd"))&amp;"-"&amp;TEXT(A1477,"hh"),LoadTable[],6,FALSE)*T1477</f>
        <v>14369.723892000002</v>
      </c>
      <c r="V1477">
        <f t="shared" ref="V1477:W1477" si="1565">V1453</f>
        <v>2.9</v>
      </c>
      <c r="W1477">
        <f t="shared" si="1565"/>
        <v>3</v>
      </c>
      <c r="X1477" s="9">
        <v>-54.110608566666201</v>
      </c>
    </row>
    <row r="1478" spans="1:24">
      <c r="A1478" s="29">
        <f t="shared" si="1564"/>
        <v>45897.458333329756</v>
      </c>
      <c r="B1478" s="30">
        <f t="shared" si="1519"/>
        <v>8000</v>
      </c>
      <c r="C1478" s="8">
        <v>25000</v>
      </c>
      <c r="D1478" s="8">
        <v>0</v>
      </c>
      <c r="E1478" s="8">
        <v>700</v>
      </c>
      <c r="F1478" s="8">
        <v>15000</v>
      </c>
      <c r="G1478" s="30">
        <f t="shared" si="1520"/>
        <v>2400</v>
      </c>
      <c r="H1478" s="8">
        <v>25000</v>
      </c>
      <c r="I1478" s="30">
        <f t="shared" si="1521"/>
        <v>8000</v>
      </c>
      <c r="J1478" s="8">
        <v>25000</v>
      </c>
      <c r="K1478" s="30">
        <f t="shared" si="1522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VLOOKUP(VLOOKUP(DATEVALUE(TEXT(A1478,"m/d/yyyy")),FY24_Temp[],5,FALSE)&amp;TEXT(A1478,"-h"),Table6[],4,FALSE)</f>
        <v>1.4631428718566895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VLOOKUP(TEXT(A1478,"yy-mm")&amp;"-"&amp;IF(AND(WEEKDAY(A1478)&gt;1,WEEKDAY(A1478)&lt;7),"Wkd",TEXT(A1478,"Ddd"))&amp;"-"&amp;TEXT(A1478,"hh"),LoadTable[],5,FALSE)*0.92</f>
        <v>295.12680000000006</v>
      </c>
      <c r="U1478" s="104">
        <f>VLOOKUP(TEXT(A1478,"yy-mm")&amp;"-"&amp;IF(AND(WEEKDAY(A1478)&gt;1,WEEKDAY(A1478)&lt;7),"Wkd",TEXT(A1478,"Ddd"))&amp;"-"&amp;TEXT(A1478,"hh"),LoadTable[],6,FALSE)*T1478</f>
        <v>14137.459100400003</v>
      </c>
      <c r="V1478">
        <f t="shared" ref="V1478:W1478" si="1566">V1454</f>
        <v>3.4</v>
      </c>
      <c r="W1478">
        <f t="shared" si="1566"/>
        <v>3</v>
      </c>
      <c r="X1478" s="9">
        <v>-54.188403116666201</v>
      </c>
    </row>
    <row r="1479" spans="1:24">
      <c r="A1479" s="29">
        <f t="shared" si="1564"/>
        <v>45897.49999999642</v>
      </c>
      <c r="B1479" s="30">
        <f t="shared" si="1519"/>
        <v>8000</v>
      </c>
      <c r="C1479" s="8">
        <v>25000</v>
      </c>
      <c r="D1479" s="8">
        <v>0</v>
      </c>
      <c r="E1479" s="8">
        <v>700</v>
      </c>
      <c r="F1479" s="8">
        <v>15000</v>
      </c>
      <c r="G1479" s="30">
        <f t="shared" si="1520"/>
        <v>2400</v>
      </c>
      <c r="H1479" s="8">
        <v>25000</v>
      </c>
      <c r="I1479" s="30">
        <f t="shared" si="1521"/>
        <v>8000</v>
      </c>
      <c r="J1479" s="8">
        <v>25000</v>
      </c>
      <c r="K1479" s="30">
        <f t="shared" si="1522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VLOOKUP(VLOOKUP(DATEVALUE(TEXT(A1479,"m/d/yyyy")),FY24_Temp[],5,FALSE)&amp;TEXT(A1479,"-h"),Table6[],4,FALSE)</f>
        <v>1.3304285662514823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VLOOKUP(TEXT(A1479,"yy-mm")&amp;"-"&amp;IF(AND(WEEKDAY(A1479)&gt;1,WEEKDAY(A1479)&lt;7),"Wkd",TEXT(A1479,"Ddd"))&amp;"-"&amp;TEXT(A1479,"hh"),LoadTable[],5,FALSE)*0.92</f>
        <v>295.12680000000006</v>
      </c>
      <c r="U1479" s="104">
        <f>VLOOKUP(TEXT(A1479,"yy-mm")&amp;"-"&amp;IF(AND(WEEKDAY(A1479)&gt;1,WEEKDAY(A1479)&lt;7),"Wkd",TEXT(A1479,"Ddd"))&amp;"-"&amp;TEXT(A1479,"hh"),LoadTable[],6,FALSE)*T1479</f>
        <v>14242.819368000002</v>
      </c>
      <c r="V1479">
        <f t="shared" ref="V1479:W1479" si="1567">V1455</f>
        <v>3.1</v>
      </c>
      <c r="W1479">
        <f t="shared" si="1567"/>
        <v>2.9</v>
      </c>
      <c r="X1479" s="9">
        <v>-54.266197666666201</v>
      </c>
    </row>
    <row r="1480" spans="1:24">
      <c r="A1480" s="29">
        <f t="shared" si="1564"/>
        <v>45897.541666663084</v>
      </c>
      <c r="B1480" s="30">
        <f t="shared" si="1519"/>
        <v>8000</v>
      </c>
      <c r="C1480" s="8">
        <v>25000</v>
      </c>
      <c r="D1480" s="8">
        <v>0</v>
      </c>
      <c r="E1480" s="8">
        <v>700</v>
      </c>
      <c r="F1480" s="8">
        <v>15000</v>
      </c>
      <c r="G1480" s="30">
        <f t="shared" si="1520"/>
        <v>2400</v>
      </c>
      <c r="H1480" s="8">
        <v>25000</v>
      </c>
      <c r="I1480" s="30">
        <f t="shared" si="1521"/>
        <v>8000</v>
      </c>
      <c r="J1480" s="8">
        <v>25000</v>
      </c>
      <c r="K1480" s="30">
        <f t="shared" si="1522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VLOOKUP(VLOOKUP(DATEVALUE(TEXT(A1480,"m/d/yyyy")),FY24_Temp[],5,FALSE)&amp;TEXT(A1480,"-h"),Table6[],4,FALSE)</f>
        <v>1.1667142765862601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VLOOKUP(TEXT(A1480,"yy-mm")&amp;"-"&amp;IF(AND(WEEKDAY(A1480)&gt;1,WEEKDAY(A1480)&lt;7),"Wkd",TEXT(A1480,"Ddd"))&amp;"-"&amp;TEXT(A1480,"hh"),LoadTable[],5,FALSE)*0.92</f>
        <v>295.12680000000006</v>
      </c>
      <c r="U1480" s="104">
        <f>VLOOKUP(TEXT(A1480,"yy-mm")&amp;"-"&amp;IF(AND(WEEKDAY(A1480)&gt;1,WEEKDAY(A1480)&lt;7),"Wkd",TEXT(A1480,"Ddd"))&amp;"-"&amp;TEXT(A1480,"hh"),LoadTable[],6,FALSE)*T1480</f>
        <v>16280.669922000003</v>
      </c>
      <c r="V1480">
        <f t="shared" ref="V1480:W1480" si="1568">V1456</f>
        <v>3.2</v>
      </c>
      <c r="W1480">
        <f t="shared" si="1568"/>
        <v>2.9</v>
      </c>
      <c r="X1480" s="9">
        <v>-54.343992216666202</v>
      </c>
    </row>
    <row r="1481" spans="1:24">
      <c r="A1481" s="29">
        <f t="shared" si="1564"/>
        <v>45897.583333329749</v>
      </c>
      <c r="B1481" s="30">
        <f t="shared" si="1519"/>
        <v>8000</v>
      </c>
      <c r="C1481" s="8">
        <v>25000</v>
      </c>
      <c r="D1481" s="8">
        <v>0</v>
      </c>
      <c r="E1481" s="8">
        <v>700</v>
      </c>
      <c r="F1481" s="8">
        <v>15000</v>
      </c>
      <c r="G1481" s="30">
        <f t="shared" si="1520"/>
        <v>2400</v>
      </c>
      <c r="H1481" s="8">
        <v>25000</v>
      </c>
      <c r="I1481" s="30">
        <f t="shared" si="1521"/>
        <v>8000</v>
      </c>
      <c r="J1481" s="8">
        <v>25000</v>
      </c>
      <c r="K1481" s="30">
        <f t="shared" si="1522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VLOOKUP(VLOOKUP(DATEVALUE(TEXT(A1481,"m/d/yyyy")),FY24_Temp[],5,FALSE)&amp;TEXT(A1481,"-h"),Table6[],4,FALSE)</f>
        <v>0.98814284801483154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VLOOKUP(TEXT(A1481,"yy-mm")&amp;"-"&amp;IF(AND(WEEKDAY(A1481)&gt;1,WEEKDAY(A1481)&lt;7),"Wkd",TEXT(A1481,"Ddd"))&amp;"-"&amp;TEXT(A1481,"hh"),LoadTable[],5,FALSE)*0.92</f>
        <v>402.08416</v>
      </c>
      <c r="U1481" s="104">
        <f>VLOOKUP(TEXT(A1481,"yy-mm")&amp;"-"&amp;IF(AND(WEEKDAY(A1481)&gt;1,WEEKDAY(A1481)&lt;7),"Wkd",TEXT(A1481,"Ddd"))&amp;"-"&amp;TEXT(A1481,"hh"),LoadTable[],6,FALSE)*T1481</f>
        <v>27023.674309440001</v>
      </c>
      <c r="V1481">
        <f t="shared" ref="V1481:W1481" si="1569">V1457</f>
        <v>3.5</v>
      </c>
      <c r="W1481">
        <f t="shared" si="1569"/>
        <v>2.9</v>
      </c>
      <c r="X1481" s="9">
        <v>-54.421786766666202</v>
      </c>
    </row>
    <row r="1482" spans="1:24">
      <c r="A1482" s="29">
        <f t="shared" si="1564"/>
        <v>45897.624999996413</v>
      </c>
      <c r="B1482" s="30">
        <f t="shared" si="1519"/>
        <v>8000</v>
      </c>
      <c r="C1482" s="8">
        <v>25000</v>
      </c>
      <c r="D1482" s="8">
        <v>0</v>
      </c>
      <c r="E1482" s="8">
        <v>700</v>
      </c>
      <c r="F1482" s="8">
        <v>15000</v>
      </c>
      <c r="G1482" s="30">
        <f t="shared" si="1520"/>
        <v>2400</v>
      </c>
      <c r="H1482" s="8">
        <v>25000</v>
      </c>
      <c r="I1482" s="30">
        <f t="shared" si="1521"/>
        <v>8000</v>
      </c>
      <c r="J1482" s="8">
        <v>25000</v>
      </c>
      <c r="K1482" s="30">
        <f t="shared" si="1522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VLOOKUP(VLOOKUP(DATEVALUE(TEXT(A1482,"m/d/yyyy")),FY24_Temp[],5,FALSE)&amp;TEXT(A1482,"-h"),Table6[],4,FALSE)</f>
        <v>0.82557142632348202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VLOOKUP(TEXT(A1482,"yy-mm")&amp;"-"&amp;IF(AND(WEEKDAY(A1482)&gt;1,WEEKDAY(A1482)&lt;7),"Wkd",TEXT(A1482,"Ddd"))&amp;"-"&amp;TEXT(A1482,"hh"),LoadTable[],5,FALSE)*0.92</f>
        <v>521.92427999999995</v>
      </c>
      <c r="U1482" s="104">
        <f>VLOOKUP(TEXT(A1482,"yy-mm")&amp;"-"&amp;IF(AND(WEEKDAY(A1482)&gt;1,WEEKDAY(A1482)&lt;7),"Wkd",TEXT(A1482,"Ddd"))&amp;"-"&amp;TEXT(A1482,"hh"),LoadTable[],6,FALSE)*T1482</f>
        <v>38276.36092236</v>
      </c>
      <c r="V1482">
        <f t="shared" ref="V1482:W1482" si="1570">V1458</f>
        <v>3.2</v>
      </c>
      <c r="W1482">
        <f t="shared" si="1570"/>
        <v>2.9</v>
      </c>
      <c r="X1482" s="9">
        <v>-54.499581316666202</v>
      </c>
    </row>
    <row r="1483" spans="1:24">
      <c r="A1483" s="29">
        <f t="shared" si="1564"/>
        <v>45897.666666663077</v>
      </c>
      <c r="B1483" s="30">
        <f t="shared" si="1519"/>
        <v>8000</v>
      </c>
      <c r="C1483" s="8">
        <v>25000</v>
      </c>
      <c r="D1483" s="8">
        <v>0</v>
      </c>
      <c r="E1483" s="8">
        <v>700</v>
      </c>
      <c r="F1483" s="8">
        <v>15000</v>
      </c>
      <c r="G1483" s="30">
        <f t="shared" si="1520"/>
        <v>2400</v>
      </c>
      <c r="H1483" s="8">
        <v>25000</v>
      </c>
      <c r="I1483" s="30">
        <f t="shared" si="1521"/>
        <v>8000</v>
      </c>
      <c r="J1483" s="8">
        <v>25000</v>
      </c>
      <c r="K1483" s="30">
        <f t="shared" si="1522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VLOOKUP(VLOOKUP(DATEVALUE(TEXT(A1483,"m/d/yyyy")),FY24_Temp[],5,FALSE)&amp;TEXT(A1483,"-h"),Table6[],4,FALSE)</f>
        <v>0.73714286088943481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VLOOKUP(TEXT(A1483,"yy-mm")&amp;"-"&amp;IF(AND(WEEKDAY(A1483)&gt;1,WEEKDAY(A1483)&lt;7),"Wkd",TEXT(A1483,"Ddd"))&amp;"-"&amp;TEXT(A1483,"hh"),LoadTable[],5,FALSE)*0.92</f>
        <v>521.92427999999995</v>
      </c>
      <c r="U1483" s="104">
        <f>VLOOKUP(TEXT(A1483,"yy-mm")&amp;"-"&amp;IF(AND(WEEKDAY(A1483)&gt;1,WEEKDAY(A1483)&lt;7),"Wkd",TEXT(A1483,"Ddd"))&amp;"-"&amp;TEXT(A1483,"hh"),LoadTable[],6,FALSE)*T1483</f>
        <v>45879.753833399998</v>
      </c>
      <c r="V1483">
        <f t="shared" ref="V1483:W1483" si="1571">V1459</f>
        <v>3.5</v>
      </c>
      <c r="W1483">
        <f t="shared" si="1571"/>
        <v>3</v>
      </c>
      <c r="X1483" s="9">
        <v>-54.577375866666202</v>
      </c>
    </row>
    <row r="1484" spans="1:24">
      <c r="A1484" s="29">
        <f t="shared" si="1564"/>
        <v>45897.708333329741</v>
      </c>
      <c r="B1484" s="30">
        <f t="shared" si="1519"/>
        <v>8000</v>
      </c>
      <c r="C1484" s="8">
        <v>25000</v>
      </c>
      <c r="D1484" s="8">
        <v>0</v>
      </c>
      <c r="E1484" s="8">
        <v>700</v>
      </c>
      <c r="F1484" s="8">
        <v>15000</v>
      </c>
      <c r="G1484" s="30">
        <f t="shared" si="1520"/>
        <v>2400</v>
      </c>
      <c r="H1484" s="8">
        <v>25000</v>
      </c>
      <c r="I1484" s="30">
        <f t="shared" si="1521"/>
        <v>8000</v>
      </c>
      <c r="J1484" s="8">
        <v>25000</v>
      </c>
      <c r="K1484" s="30">
        <f t="shared" si="1522"/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VLOOKUP(VLOOKUP(DATEVALUE(TEXT(A1484,"m/d/yyyy")),FY24_Temp[],5,FALSE)&amp;TEXT(A1484,"-h"),Table6[],4,FALSE)</f>
        <v>0.86971428564616615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VLOOKUP(TEXT(A1484,"yy-mm")&amp;"-"&amp;IF(AND(WEEKDAY(A1484)&gt;1,WEEKDAY(A1484)&lt;7),"Wkd",TEXT(A1484,"Ddd"))&amp;"-"&amp;TEXT(A1484,"hh"),LoadTable[],5,FALSE)*0.92</f>
        <v>521.92427999999995</v>
      </c>
      <c r="U1484" s="104">
        <f>VLOOKUP(TEXT(A1484,"yy-mm")&amp;"-"&amp;IF(AND(WEEKDAY(A1484)&gt;1,WEEKDAY(A1484)&lt;7),"Wkd",TEXT(A1484,"Ddd"))&amp;"-"&amp;TEXT(A1484,"hh"),LoadTable[],6,FALSE)*T1484</f>
        <v>57850.609119479988</v>
      </c>
      <c r="V1484">
        <f t="shared" ref="V1484:W1484" si="1572">V1460</f>
        <v>3.6</v>
      </c>
      <c r="W1484">
        <f t="shared" si="1572"/>
        <v>3</v>
      </c>
      <c r="X1484" s="9">
        <v>-54.655170416666202</v>
      </c>
    </row>
    <row r="1485" spans="1:24">
      <c r="A1485" s="29">
        <f t="shared" si="1564"/>
        <v>45897.749999996406</v>
      </c>
      <c r="B1485" s="30">
        <f t="shared" si="1519"/>
        <v>5000</v>
      </c>
      <c r="C1485" s="8">
        <v>25000</v>
      </c>
      <c r="D1485" s="8">
        <v>0</v>
      </c>
      <c r="E1485" s="8">
        <v>700</v>
      </c>
      <c r="F1485" s="8">
        <v>15000</v>
      </c>
      <c r="G1485" s="30">
        <f t="shared" si="1520"/>
        <v>2400</v>
      </c>
      <c r="H1485" s="8">
        <v>25000</v>
      </c>
      <c r="I1485" s="30">
        <f t="shared" si="1521"/>
        <v>5000</v>
      </c>
      <c r="J1485" s="8">
        <v>25000</v>
      </c>
      <c r="K1485" s="30">
        <f t="shared" si="1522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VLOOKUP(VLOOKUP(DATEVALUE(TEXT(A1485,"m/d/yyyy")),FY24_Temp[],5,FALSE)&amp;TEXT(A1485,"-h"),Table6[],4,FALSE)</f>
        <v>1.2285714319774084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VLOOKUP(TEXT(A1485,"yy-mm")&amp;"-"&amp;IF(AND(WEEKDAY(A1485)&gt;1,WEEKDAY(A1485)&lt;7),"Wkd",TEXT(A1485,"Ddd"))&amp;"-"&amp;TEXT(A1485,"hh"),LoadTable[],5,FALSE)*0.92</f>
        <v>521.92427999999995</v>
      </c>
      <c r="U1485" s="104">
        <f>VLOOKUP(TEXT(A1485,"yy-mm")&amp;"-"&amp;IF(AND(WEEKDAY(A1485)&gt;1,WEEKDAY(A1485)&lt;7),"Wkd",TEXT(A1485,"Ddd"))&amp;"-"&amp;TEXT(A1485,"hh"),LoadTable[],6,FALSE)*T1485</f>
        <v>71088.174633119997</v>
      </c>
      <c r="V1485">
        <f t="shared" ref="V1485:W1485" si="1573">V1461</f>
        <v>2.9</v>
      </c>
      <c r="W1485">
        <f t="shared" si="1573"/>
        <v>3</v>
      </c>
      <c r="X1485" s="9">
        <v>-54.732964966666202</v>
      </c>
    </row>
    <row r="1486" spans="1:24">
      <c r="A1486" s="29">
        <f t="shared" si="1564"/>
        <v>45897.79166666307</v>
      </c>
      <c r="B1486" s="30">
        <f t="shared" si="1519"/>
        <v>5000</v>
      </c>
      <c r="C1486" s="8">
        <v>25000</v>
      </c>
      <c r="D1486" s="8">
        <v>0</v>
      </c>
      <c r="E1486" s="8">
        <v>700</v>
      </c>
      <c r="F1486" s="8">
        <v>15000</v>
      </c>
      <c r="G1486" s="30">
        <f t="shared" si="1520"/>
        <v>2400</v>
      </c>
      <c r="H1486" s="8">
        <v>25000</v>
      </c>
      <c r="I1486" s="30">
        <f t="shared" si="1521"/>
        <v>5000</v>
      </c>
      <c r="J1486" s="8">
        <v>25000</v>
      </c>
      <c r="K1486" s="30">
        <f t="shared" si="1522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VLOOKUP(VLOOKUP(DATEVALUE(TEXT(A1486,"m/d/yyyy")),FY24_Temp[],5,FALSE)&amp;TEXT(A1486,"-h"),Table6[],4,FALSE)</f>
        <v>1.949428609439305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VLOOKUP(TEXT(A1486,"yy-mm")&amp;"-"&amp;IF(AND(WEEKDAY(A1486)&gt;1,WEEKDAY(A1486)&lt;7),"Wkd",TEXT(A1486,"Ddd"))&amp;"-"&amp;TEXT(A1486,"hh"),LoadTable[],5,FALSE)*0.92</f>
        <v>521.92427999999995</v>
      </c>
      <c r="U1486" s="104">
        <f>VLOOKUP(TEXT(A1486,"yy-mm")&amp;"-"&amp;IF(AND(WEEKDAY(A1486)&gt;1,WEEKDAY(A1486)&lt;7),"Wkd",TEXT(A1486,"Ddd"))&amp;"-"&amp;TEXT(A1486,"hh"),LoadTable[],6,FALSE)*T1486</f>
        <v>75540.188741520004</v>
      </c>
      <c r="V1486">
        <f t="shared" ref="V1486:W1486" si="1574">V1462</f>
        <v>3</v>
      </c>
      <c r="W1486">
        <f t="shared" si="1574"/>
        <v>3</v>
      </c>
      <c r="X1486" s="9">
        <v>-54.810759516666202</v>
      </c>
    </row>
    <row r="1487" spans="1:24">
      <c r="A1487" s="29">
        <f t="shared" si="1564"/>
        <v>45897.833333329734</v>
      </c>
      <c r="B1487" s="30">
        <f t="shared" si="1519"/>
        <v>5000</v>
      </c>
      <c r="C1487" s="8">
        <v>25000</v>
      </c>
      <c r="D1487" s="8">
        <v>0</v>
      </c>
      <c r="E1487" s="8">
        <v>700</v>
      </c>
      <c r="F1487" s="8">
        <v>15000</v>
      </c>
      <c r="G1487" s="30">
        <f t="shared" si="1520"/>
        <v>2400</v>
      </c>
      <c r="H1487" s="8">
        <v>25000</v>
      </c>
      <c r="I1487" s="30">
        <f t="shared" si="1521"/>
        <v>5000</v>
      </c>
      <c r="J1487" s="8">
        <v>25000</v>
      </c>
      <c r="K1487" s="30">
        <f t="shared" si="1522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VLOOKUP(VLOOKUP(DATEVALUE(TEXT(A1487,"m/d/yyyy")),FY24_Temp[],5,FALSE)&amp;TEXT(A1487,"-h"),Table6[],4,FALSE)</f>
        <v>2.732428584780012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VLOOKUP(TEXT(A1487,"yy-mm")&amp;"-"&amp;IF(AND(WEEKDAY(A1487)&gt;1,WEEKDAY(A1487)&lt;7),"Wkd",TEXT(A1487,"Ddd"))&amp;"-"&amp;TEXT(A1487,"hh"),LoadTable[],5,FALSE)*0.92</f>
        <v>521.92427999999995</v>
      </c>
      <c r="U1487" s="104">
        <f>VLOOKUP(TEXT(A1487,"yy-mm")&amp;"-"&amp;IF(AND(WEEKDAY(A1487)&gt;1,WEEKDAY(A1487)&lt;7),"Wkd",TEXT(A1487,"Ddd"))&amp;"-"&amp;TEXT(A1487,"hh"),LoadTable[],6,FALSE)*T1487</f>
        <v>69176.365995479995</v>
      </c>
      <c r="V1487">
        <f t="shared" ref="V1487:W1487" si="1575">V1463</f>
        <v>2.8</v>
      </c>
      <c r="W1487">
        <f t="shared" si="1575"/>
        <v>3.1</v>
      </c>
      <c r="X1487" s="9">
        <v>-54.888554066666202</v>
      </c>
    </row>
    <row r="1488" spans="1:24">
      <c r="A1488" s="29">
        <f t="shared" si="1564"/>
        <v>45897.874999996398</v>
      </c>
      <c r="B1488" s="30">
        <f t="shared" si="1519"/>
        <v>5000</v>
      </c>
      <c r="C1488" s="8">
        <v>25000</v>
      </c>
      <c r="D1488" s="8">
        <v>0</v>
      </c>
      <c r="E1488" s="8">
        <v>700</v>
      </c>
      <c r="F1488" s="8">
        <v>15000</v>
      </c>
      <c r="G1488" s="30">
        <f t="shared" si="1520"/>
        <v>2400</v>
      </c>
      <c r="H1488" s="8">
        <v>25000</v>
      </c>
      <c r="I1488" s="30">
        <f t="shared" si="1521"/>
        <v>5000</v>
      </c>
      <c r="J1488" s="8">
        <v>25000</v>
      </c>
      <c r="K1488" s="30">
        <f t="shared" si="1522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VLOOKUP(VLOOKUP(DATEVALUE(TEXT(A1488,"m/d/yyyy")),FY24_Temp[],5,FALSE)&amp;TEXT(A1488,"-h"),Table6[],4,FALSE)</f>
        <v>2.9708571093423024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VLOOKUP(TEXT(A1488,"yy-mm")&amp;"-"&amp;IF(AND(WEEKDAY(A1488)&gt;1,WEEKDAY(A1488)&lt;7),"Wkd",TEXT(A1488,"Ddd"))&amp;"-"&amp;TEXT(A1488,"hh"),LoadTable[],5,FALSE)*0.92</f>
        <v>521.92427999999995</v>
      </c>
      <c r="U1488" s="104">
        <f>VLOOKUP(TEXT(A1488,"yy-mm")&amp;"-"&amp;IF(AND(WEEKDAY(A1488)&gt;1,WEEKDAY(A1488)&lt;7),"Wkd",TEXT(A1488,"Ddd"))&amp;"-"&amp;TEXT(A1488,"hh"),LoadTable[],6,FALSE)*T1488</f>
        <v>56417.405046599997</v>
      </c>
      <c r="V1488">
        <f t="shared" ref="V1488:W1488" si="1576">V1464</f>
        <v>3.5</v>
      </c>
      <c r="W1488">
        <f t="shared" si="1576"/>
        <v>3.1</v>
      </c>
      <c r="X1488" s="9">
        <v>-54.966348616666203</v>
      </c>
    </row>
    <row r="1489" spans="1:24">
      <c r="A1489" s="29">
        <f t="shared" si="1564"/>
        <v>45897.916666663063</v>
      </c>
      <c r="B1489" s="30">
        <f t="shared" si="1519"/>
        <v>5000</v>
      </c>
      <c r="C1489" s="8">
        <v>25000</v>
      </c>
      <c r="D1489" s="8">
        <v>0</v>
      </c>
      <c r="E1489" s="8">
        <v>700</v>
      </c>
      <c r="F1489" s="8">
        <v>15000</v>
      </c>
      <c r="G1489" s="30">
        <f t="shared" si="1520"/>
        <v>2400</v>
      </c>
      <c r="H1489" s="8">
        <v>25000</v>
      </c>
      <c r="I1489" s="30">
        <f t="shared" si="1521"/>
        <v>5000</v>
      </c>
      <c r="J1489" s="8">
        <v>25000</v>
      </c>
      <c r="K1489" s="30">
        <f t="shared" si="1522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VLOOKUP(VLOOKUP(DATEVALUE(TEXT(A1489,"m/d/yyyy")),FY24_Temp[],5,FALSE)&amp;TEXT(A1489,"-h"),Table6[],4,FALSE)</f>
        <v>2.9297142710004533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VLOOKUP(TEXT(A1489,"yy-mm")&amp;"-"&amp;IF(AND(WEEKDAY(A1489)&gt;1,WEEKDAY(A1489)&lt;7),"Wkd",TEXT(A1489,"Ddd"))&amp;"-"&amp;TEXT(A1489,"hh"),LoadTable[],5,FALSE)*0.92</f>
        <v>447.02432000000005</v>
      </c>
      <c r="U1489" s="104">
        <f>VLOOKUP(TEXT(A1489,"yy-mm")&amp;"-"&amp;IF(AND(WEEKDAY(A1489)&gt;1,WEEKDAY(A1489)&lt;7),"Wkd",TEXT(A1489,"Ddd"))&amp;"-"&amp;TEXT(A1489,"hh"),LoadTable[],6,FALSE)*T1489</f>
        <v>29850.49599232</v>
      </c>
      <c r="V1489">
        <f t="shared" ref="V1489:W1489" si="1577">V1465</f>
        <v>2.9</v>
      </c>
      <c r="W1489">
        <f t="shared" si="1577"/>
        <v>3.1</v>
      </c>
      <c r="X1489" s="9">
        <v>-55.044143166666203</v>
      </c>
    </row>
    <row r="1490" spans="1:24">
      <c r="A1490" s="29">
        <f t="shared" si="1564"/>
        <v>45897.958333329727</v>
      </c>
      <c r="B1490" s="30">
        <f t="shared" si="1519"/>
        <v>5000</v>
      </c>
      <c r="C1490" s="41">
        <v>25000</v>
      </c>
      <c r="D1490" s="41">
        <v>0</v>
      </c>
      <c r="E1490" s="41">
        <v>700</v>
      </c>
      <c r="F1490" s="41">
        <v>15000</v>
      </c>
      <c r="G1490" s="30">
        <f t="shared" si="1520"/>
        <v>2400</v>
      </c>
      <c r="H1490" s="41">
        <v>25000</v>
      </c>
      <c r="I1490" s="30">
        <f t="shared" si="1521"/>
        <v>5000</v>
      </c>
      <c r="J1490" s="41">
        <v>25000</v>
      </c>
      <c r="K1490" s="30">
        <f t="shared" si="1522"/>
        <v>5000</v>
      </c>
      <c r="L1490" s="41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84">
        <v>13.5</v>
      </c>
      <c r="P1490" s="84">
        <v>19.5</v>
      </c>
      <c r="Q1490" s="85">
        <f>VLOOKUP(VLOOKUP(DATEVALUE(TEXT(A1490,"m/d/yyyy")),FY24_Temp[],5,FALSE)&amp;TEXT(A1490,"-h"),Table6[],4,FALSE)</f>
        <v>2.8045714242117747</v>
      </c>
      <c r="R1490">
        <v>10</v>
      </c>
      <c r="S1490">
        <v>1000</v>
      </c>
      <c r="T1490" s="98">
        <f>VLOOKUP(TEXT(A1490,"yy-mm")&amp;"-"&amp;IF(AND(WEEKDAY(A1490)&gt;1,WEEKDAY(A1490)&lt;7),"Wkd",TEXT(A1490,"Ddd"))&amp;"-"&amp;TEXT(A1490,"hh"),LoadTable[],5,FALSE)*0.92</f>
        <v>372.12436000000002</v>
      </c>
      <c r="U1490" s="104">
        <f>VLOOKUP(TEXT(A1490,"yy-mm")&amp;"-"&amp;IF(AND(WEEKDAY(A1490)&gt;1,WEEKDAY(A1490)&lt;7),"Wkd",TEXT(A1490,"Ddd"))&amp;"-"&amp;TEXT(A1490,"hh"),LoadTable[],6,FALSE)*T1490</f>
        <v>22421.236938720001</v>
      </c>
      <c r="V1490">
        <f t="shared" ref="V1490:W1490" si="1578">V1466</f>
        <v>3.6</v>
      </c>
      <c r="W1490">
        <f t="shared" si="1578"/>
        <v>3.1</v>
      </c>
      <c r="X1490" s="84">
        <v>-55.121937716666203</v>
      </c>
    </row>
    <row r="1491" spans="1:24">
      <c r="A1491" s="29">
        <f t="shared" si="1564"/>
        <v>45897.999999996391</v>
      </c>
      <c r="B1491" s="30">
        <f t="shared" si="1519"/>
        <v>5000</v>
      </c>
      <c r="C1491" s="8">
        <v>25000</v>
      </c>
      <c r="D1491" s="8">
        <v>0</v>
      </c>
      <c r="E1491" s="8">
        <v>700</v>
      </c>
      <c r="F1491" s="8">
        <v>15000</v>
      </c>
      <c r="G1491" s="30">
        <f t="shared" si="1520"/>
        <v>2400</v>
      </c>
      <c r="H1491" s="8">
        <v>25000</v>
      </c>
      <c r="I1491" s="30">
        <f t="shared" si="1521"/>
        <v>5000</v>
      </c>
      <c r="J1491" s="8">
        <v>25000</v>
      </c>
      <c r="K1491" s="30">
        <f t="shared" si="1522"/>
        <v>5000</v>
      </c>
      <c r="L1491" s="8">
        <v>25000</v>
      </c>
      <c r="M1491" s="9">
        <f>VLOOKUP(DATE(YEAR(A1491),MONTH(A1491),DAY(A1491)),FY24_Temp[],4,FALSE)</f>
        <v>8.5</v>
      </c>
      <c r="N1491" s="9">
        <f>VLOOKUP(DATE(YEAR(A1491),MONTH(A1491),DAY(A1491)),FY24_Temp[],3,FALSE)</f>
        <v>14.71</v>
      </c>
      <c r="O1491" s="9">
        <v>13.5</v>
      </c>
      <c r="P1491" s="9">
        <v>19.5</v>
      </c>
      <c r="Q1491" s="79">
        <f>VLOOKUP(VLOOKUP(DATEVALUE(TEXT(A1491,"m/d/yyyy")),FY24_Temp[],5,FALSE)&amp;TEXT(A1491,"-h"),Table6[],4,FALSE)</f>
        <v>2.707571404320853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VLOOKUP(TEXT(A1491,"yy-mm")&amp;"-"&amp;IF(AND(WEEKDAY(A1491)&gt;1,WEEKDAY(A1491)&lt;7),"Wkd",TEXT(A1491,"Ddd"))&amp;"-"&amp;TEXT(A1491,"hh"),LoadTable[],5,FALSE)*0.92</f>
        <v>297.2244</v>
      </c>
      <c r="U1491" s="104">
        <f>VLOOKUP(TEXT(A1491,"yy-mm")&amp;"-"&amp;IF(AND(WEEKDAY(A1491)&gt;1,WEEKDAY(A1491)&lt;7),"Wkd",TEXT(A1491,"Ddd"))&amp;"-"&amp;TEXT(A1491,"hh"),LoadTable[],6,FALSE)*T1491</f>
        <v>17505.031038000001</v>
      </c>
      <c r="V1491">
        <f t="shared" ref="V1491:W1491" si="1579">V1467</f>
        <v>3</v>
      </c>
      <c r="W1491">
        <f t="shared" si="1579"/>
        <v>3.2</v>
      </c>
      <c r="X1491" s="9">
        <v>-55.199732266666203</v>
      </c>
    </row>
    <row r="1492" spans="1:24">
      <c r="A1492" s="29">
        <f t="shared" si="1564"/>
        <v>45898.041666663055</v>
      </c>
      <c r="B1492" s="30">
        <f t="shared" si="1519"/>
        <v>5000</v>
      </c>
      <c r="C1492" s="42">
        <v>25000</v>
      </c>
      <c r="D1492" s="42">
        <v>0</v>
      </c>
      <c r="E1492" s="42">
        <v>700</v>
      </c>
      <c r="F1492" s="42">
        <v>15000</v>
      </c>
      <c r="G1492" s="30">
        <f t="shared" si="1520"/>
        <v>2400</v>
      </c>
      <c r="H1492" s="42">
        <v>25000</v>
      </c>
      <c r="I1492" s="30">
        <f t="shared" si="1521"/>
        <v>5000</v>
      </c>
      <c r="J1492" s="42">
        <v>25000</v>
      </c>
      <c r="K1492" s="30">
        <f t="shared" si="1522"/>
        <v>5000</v>
      </c>
      <c r="L1492" s="42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86">
        <v>13.5</v>
      </c>
      <c r="P1492" s="86">
        <v>19.5</v>
      </c>
      <c r="Q1492" s="87">
        <f>VLOOKUP(VLOOKUP(DATEVALUE(TEXT(A1492,"m/d/yyyy")),FY24_Temp[],5,FALSE)&amp;TEXT(A1492,"-h"),Table6[],4,FALSE)</f>
        <v>2.6045714105878557</v>
      </c>
      <c r="R1492">
        <v>10</v>
      </c>
      <c r="S1492">
        <v>1000</v>
      </c>
      <c r="T1492" s="99">
        <f>VLOOKUP(TEXT(A1492,"yy-mm")&amp;"-"&amp;IF(AND(WEEKDAY(A1492)&gt;1,WEEKDAY(A1492)&lt;7),"Wkd",TEXT(A1492,"Ddd"))&amp;"-"&amp;TEXT(A1492,"hh"),LoadTable[],5,FALSE)*0.92</f>
        <v>295.12680000000006</v>
      </c>
      <c r="U1492" s="104">
        <f>VLOOKUP(TEXT(A1492,"yy-mm")&amp;"-"&amp;IF(AND(WEEKDAY(A1492)&gt;1,WEEKDAY(A1492)&lt;7),"Wkd",TEXT(A1492,"Ddd"))&amp;"-"&amp;TEXT(A1492,"hh"),LoadTable[],6,FALSE)*T1492</f>
        <v>17131.225359600001</v>
      </c>
      <c r="V1492">
        <f t="shared" ref="V1492:W1492" si="1580">V1468</f>
        <v>2.6</v>
      </c>
      <c r="W1492">
        <f t="shared" si="1580"/>
        <v>3.2</v>
      </c>
      <c r="X1492" s="86">
        <v>-55.277526816666203</v>
      </c>
    </row>
    <row r="1493" spans="1:24">
      <c r="A1493" s="29">
        <f t="shared" si="1564"/>
        <v>45898.08333332972</v>
      </c>
      <c r="B1493" s="30">
        <f t="shared" si="1519"/>
        <v>5000</v>
      </c>
      <c r="C1493" s="8">
        <v>25000</v>
      </c>
      <c r="D1493" s="8">
        <v>0</v>
      </c>
      <c r="E1493" s="8">
        <v>700</v>
      </c>
      <c r="F1493" s="8">
        <v>15000</v>
      </c>
      <c r="G1493" s="30">
        <f t="shared" si="1520"/>
        <v>2400</v>
      </c>
      <c r="H1493" s="8">
        <v>25000</v>
      </c>
      <c r="I1493" s="30">
        <f t="shared" si="1521"/>
        <v>5000</v>
      </c>
      <c r="J1493" s="8">
        <v>25000</v>
      </c>
      <c r="K1493" s="30">
        <f t="shared" si="1522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VLOOKUP(VLOOKUP(DATEVALUE(TEXT(A1493,"m/d/yyyy")),FY24_Temp[],5,FALSE)&amp;TEXT(A1493,"-h"),Table6[],4,FALSE)</f>
        <v>2.5119999476841519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VLOOKUP(TEXT(A1493,"yy-mm")&amp;"-"&amp;IF(AND(WEEKDAY(A1493)&gt;1,WEEKDAY(A1493)&lt;7),"Wkd",TEXT(A1493,"Ddd"))&amp;"-"&amp;TEXT(A1493,"hh"),LoadTable[],5,FALSE)*0.92</f>
        <v>295.12680000000006</v>
      </c>
      <c r="U1493" s="104">
        <f>VLOOKUP(TEXT(A1493,"yy-mm")&amp;"-"&amp;IF(AND(WEEKDAY(A1493)&gt;1,WEEKDAY(A1493)&lt;7),"Wkd",TEXT(A1493,"Ddd"))&amp;"-"&amp;TEXT(A1493,"hh"),LoadTable[],6,FALSE)*T1493</f>
        <v>16459.811889600001</v>
      </c>
      <c r="V1493">
        <f t="shared" ref="V1493:W1493" si="1581">V1469</f>
        <v>2.8</v>
      </c>
      <c r="W1493">
        <f t="shared" si="1581"/>
        <v>3.2</v>
      </c>
      <c r="X1493" s="9">
        <v>-55.355321366666203</v>
      </c>
    </row>
    <row r="1494" spans="1:24">
      <c r="A1494" s="29">
        <f t="shared" si="1564"/>
        <v>45898.124999996384</v>
      </c>
      <c r="B1494" s="30">
        <f t="shared" si="1519"/>
        <v>5000</v>
      </c>
      <c r="C1494" s="8">
        <v>25000</v>
      </c>
      <c r="D1494" s="8">
        <v>0</v>
      </c>
      <c r="E1494" s="8">
        <v>700</v>
      </c>
      <c r="F1494" s="8">
        <v>15000</v>
      </c>
      <c r="G1494" s="30">
        <f t="shared" si="1520"/>
        <v>2400</v>
      </c>
      <c r="H1494" s="8">
        <v>25000</v>
      </c>
      <c r="I1494" s="30">
        <f t="shared" si="1521"/>
        <v>5000</v>
      </c>
      <c r="J1494" s="8">
        <v>25000</v>
      </c>
      <c r="K1494" s="30">
        <f t="shared" si="1522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VLOOKUP(VLOOKUP(DATEVALUE(TEXT(A1494,"m/d/yyyy")),FY24_Temp[],5,FALSE)&amp;TEXT(A1494,"-h"),Table6[],4,FALSE)</f>
        <v>2.3667143072400774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VLOOKUP(TEXT(A1494,"yy-mm")&amp;"-"&amp;IF(AND(WEEKDAY(A1494)&gt;1,WEEKDAY(A1494)&lt;7),"Wkd",TEXT(A1494,"Ddd"))&amp;"-"&amp;TEXT(A1494,"hh"),LoadTable[],5,FALSE)*0.92</f>
        <v>295.12680000000006</v>
      </c>
      <c r="U1494" s="104">
        <f>VLOOKUP(TEXT(A1494,"yy-mm")&amp;"-"&amp;IF(AND(WEEKDAY(A1494)&gt;1,WEEKDAY(A1494)&lt;7),"Wkd",TEXT(A1494,"Ddd"))&amp;"-"&amp;TEXT(A1494,"hh"),LoadTable[],6,FALSE)*T1494</f>
        <v>16610.326557600001</v>
      </c>
      <c r="V1494">
        <f t="shared" ref="V1494:W1494" si="1582">V1470</f>
        <v>2.7</v>
      </c>
      <c r="W1494">
        <f t="shared" si="1582"/>
        <v>3.2</v>
      </c>
      <c r="X1494" s="9">
        <v>-55.433115916666203</v>
      </c>
    </row>
    <row r="1495" spans="1:24">
      <c r="A1495" s="29">
        <f t="shared" si="1564"/>
        <v>45898.166666663048</v>
      </c>
      <c r="B1495" s="30">
        <f t="shared" si="1519"/>
        <v>5000</v>
      </c>
      <c r="C1495" s="8">
        <v>25000</v>
      </c>
      <c r="D1495" s="8">
        <v>0</v>
      </c>
      <c r="E1495" s="8">
        <v>700</v>
      </c>
      <c r="F1495" s="8">
        <v>15000</v>
      </c>
      <c r="G1495" s="30">
        <f t="shared" si="1520"/>
        <v>2400</v>
      </c>
      <c r="H1495" s="8">
        <v>25000</v>
      </c>
      <c r="I1495" s="30">
        <f t="shared" si="1521"/>
        <v>5000</v>
      </c>
      <c r="J1495" s="8">
        <v>25000</v>
      </c>
      <c r="K1495" s="30">
        <f t="shared" si="1522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VLOOKUP(VLOOKUP(DATEVALUE(TEXT(A1495,"m/d/yyyy")),FY24_Temp[],5,FALSE)&amp;TEXT(A1495,"-h"),Table6[],4,FALSE)</f>
        <v>2.2025713920593262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VLOOKUP(TEXT(A1495,"yy-mm")&amp;"-"&amp;IF(AND(WEEKDAY(A1495)&gt;1,WEEKDAY(A1495)&lt;7),"Wkd",TEXT(A1495,"Ddd"))&amp;"-"&amp;TEXT(A1495,"hh"),LoadTable[],5,FALSE)*0.92</f>
        <v>295.12680000000006</v>
      </c>
      <c r="U1495" s="104">
        <f>VLOOKUP(TEXT(A1495,"yy-mm")&amp;"-"&amp;IF(AND(WEEKDAY(A1495)&gt;1,WEEKDAY(A1495)&lt;7),"Wkd",TEXT(A1495,"Ddd"))&amp;"-"&amp;TEXT(A1495,"hh"),LoadTable[],6,FALSE)*T1495</f>
        <v>16544.513281200001</v>
      </c>
      <c r="V1495">
        <f t="shared" ref="V1495:W1495" si="1583">V1471</f>
        <v>3</v>
      </c>
      <c r="W1495">
        <f t="shared" si="1583"/>
        <v>3.1</v>
      </c>
      <c r="X1495" s="9">
        <v>-55.510910466666203</v>
      </c>
    </row>
    <row r="1496" spans="1:24">
      <c r="A1496" s="29">
        <f t="shared" si="1564"/>
        <v>45898.208333329712</v>
      </c>
      <c r="B1496" s="30">
        <f t="shared" si="1519"/>
        <v>5000</v>
      </c>
      <c r="C1496" s="8">
        <v>25000</v>
      </c>
      <c r="D1496" s="8">
        <v>0</v>
      </c>
      <c r="E1496" s="8">
        <v>700</v>
      </c>
      <c r="F1496" s="8">
        <v>15000</v>
      </c>
      <c r="G1496" s="30">
        <f t="shared" si="1520"/>
        <v>2400</v>
      </c>
      <c r="H1496" s="8">
        <v>25000</v>
      </c>
      <c r="I1496" s="30">
        <f t="shared" si="1521"/>
        <v>5000</v>
      </c>
      <c r="J1496" s="8">
        <v>25000</v>
      </c>
      <c r="K1496" s="30">
        <f t="shared" si="1522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VLOOKUP(VLOOKUP(DATEVALUE(TEXT(A1496,"m/d/yyyy")),FY24_Temp[],5,FALSE)&amp;TEXT(A1496,"-h"),Table6[],4,FALSE)</f>
        <v>2.0452857358115062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VLOOKUP(TEXT(A1496,"yy-mm")&amp;"-"&amp;IF(AND(WEEKDAY(A1496)&gt;1,WEEKDAY(A1496)&lt;7),"Wkd",TEXT(A1496,"Ddd"))&amp;"-"&amp;TEXT(A1496,"hh"),LoadTable[],5,FALSE)*0.92</f>
        <v>295.12680000000006</v>
      </c>
      <c r="U1496" s="104">
        <f>VLOOKUP(TEXT(A1496,"yy-mm")&amp;"-"&amp;IF(AND(WEEKDAY(A1496)&gt;1,WEEKDAY(A1496)&lt;7),"Wkd",TEXT(A1496,"Ddd"))&amp;"-"&amp;TEXT(A1496,"hh"),LoadTable[],6,FALSE)*T1496</f>
        <v>17128.569218400004</v>
      </c>
      <c r="V1496">
        <f t="shared" ref="V1496:W1496" si="1584">V1472</f>
        <v>2.9</v>
      </c>
      <c r="W1496">
        <f t="shared" si="1584"/>
        <v>3.1</v>
      </c>
      <c r="X1496" s="9">
        <v>-55.588705016666196</v>
      </c>
    </row>
    <row r="1497" spans="1:24">
      <c r="A1497" s="29">
        <f t="shared" si="1564"/>
        <v>45898.249999996377</v>
      </c>
      <c r="B1497" s="30">
        <f t="shared" si="1519"/>
        <v>8000</v>
      </c>
      <c r="C1497" s="8">
        <v>25000</v>
      </c>
      <c r="D1497" s="8">
        <v>0</v>
      </c>
      <c r="E1497" s="8">
        <v>700</v>
      </c>
      <c r="F1497" s="8">
        <v>15000</v>
      </c>
      <c r="G1497" s="30">
        <f t="shared" si="1520"/>
        <v>2400</v>
      </c>
      <c r="H1497" s="8">
        <v>25000</v>
      </c>
      <c r="I1497" s="30">
        <f t="shared" si="1521"/>
        <v>8000</v>
      </c>
      <c r="J1497" s="8">
        <v>25000</v>
      </c>
      <c r="K1497" s="30">
        <f t="shared" si="1522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VLOOKUP(VLOOKUP(DATEVALUE(TEXT(A1497,"m/d/yyyy")),FY24_Temp[],5,FALSE)&amp;TEXT(A1497,"-h"),Table6[],4,FALSE)</f>
        <v>1.9314285516738892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VLOOKUP(TEXT(A1497,"yy-mm")&amp;"-"&amp;IF(AND(WEEKDAY(A1497)&gt;1,WEEKDAY(A1497)&lt;7),"Wkd",TEXT(A1497,"Ddd"))&amp;"-"&amp;TEXT(A1497,"hh"),LoadTable[],5,FALSE)*0.92</f>
        <v>295.12680000000006</v>
      </c>
      <c r="U1497" s="104">
        <f>VLOOKUP(TEXT(A1497,"yy-mm")&amp;"-"&amp;IF(AND(WEEKDAY(A1497)&gt;1,WEEKDAY(A1497)&lt;7),"Wkd",TEXT(A1497,"Ddd"))&amp;"-"&amp;TEXT(A1497,"hh"),LoadTable[],6,FALSE)*T1497</f>
        <v>20766.892408800006</v>
      </c>
      <c r="V1497">
        <f t="shared" ref="V1497:W1497" si="1585">V1473</f>
        <v>2.5</v>
      </c>
      <c r="W1497">
        <f t="shared" si="1585"/>
        <v>3.1</v>
      </c>
      <c r="X1497" s="9">
        <v>-55.666499566666197</v>
      </c>
    </row>
    <row r="1498" spans="1:24">
      <c r="A1498" s="29">
        <f t="shared" si="1564"/>
        <v>45898.291666663041</v>
      </c>
      <c r="B1498" s="30">
        <f t="shared" si="1519"/>
        <v>8000</v>
      </c>
      <c r="C1498" s="8">
        <v>25000</v>
      </c>
      <c r="D1498" s="8">
        <v>0</v>
      </c>
      <c r="E1498" s="8">
        <v>700</v>
      </c>
      <c r="F1498" s="8">
        <v>15000</v>
      </c>
      <c r="G1498" s="30">
        <f t="shared" si="1520"/>
        <v>2400</v>
      </c>
      <c r="H1498" s="8">
        <v>25000</v>
      </c>
      <c r="I1498" s="30">
        <f t="shared" si="1521"/>
        <v>8000</v>
      </c>
      <c r="J1498" s="8">
        <v>25000</v>
      </c>
      <c r="K1498" s="30">
        <f t="shared" si="1522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VLOOKUP(VLOOKUP(DATEVALUE(TEXT(A1498,"m/d/yyyy")),FY24_Temp[],5,FALSE)&amp;TEXT(A1498,"-h"),Table6[],4,FALSE)</f>
        <v>1.8508571556636266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VLOOKUP(TEXT(A1498,"yy-mm")&amp;"-"&amp;IF(AND(WEEKDAY(A1498)&gt;1,WEEKDAY(A1498)&lt;7),"Wkd",TEXT(A1498,"Ddd"))&amp;"-"&amp;TEXT(A1498,"hh"),LoadTable[],5,FALSE)*0.92</f>
        <v>295.12680000000006</v>
      </c>
      <c r="U1498" s="104">
        <f>VLOOKUP(TEXT(A1498,"yy-mm")&amp;"-"&amp;IF(AND(WEEKDAY(A1498)&gt;1,WEEKDAY(A1498)&lt;7),"Wkd",TEXT(A1498,"Ddd"))&amp;"-"&amp;TEXT(A1498,"hh"),LoadTable[],6,FALSE)*T1498</f>
        <v>19169.666167200001</v>
      </c>
      <c r="V1498">
        <f t="shared" ref="V1498:W1498" si="1586">V1474</f>
        <v>2.5</v>
      </c>
      <c r="W1498">
        <f t="shared" si="1586"/>
        <v>3.1</v>
      </c>
      <c r="X1498" s="9">
        <v>-55.744294116666197</v>
      </c>
    </row>
    <row r="1499" spans="1:24">
      <c r="A1499" s="29">
        <f t="shared" si="1564"/>
        <v>45898.333333329705</v>
      </c>
      <c r="B1499" s="30">
        <f t="shared" si="1519"/>
        <v>8000</v>
      </c>
      <c r="C1499" s="8">
        <v>25000</v>
      </c>
      <c r="D1499" s="8">
        <v>0</v>
      </c>
      <c r="E1499" s="8">
        <v>700</v>
      </c>
      <c r="F1499" s="8">
        <v>15000</v>
      </c>
      <c r="G1499" s="30">
        <f t="shared" si="1520"/>
        <v>2400</v>
      </c>
      <c r="H1499" s="8">
        <v>25000</v>
      </c>
      <c r="I1499" s="30">
        <f t="shared" si="1521"/>
        <v>8000</v>
      </c>
      <c r="J1499" s="8">
        <v>25000</v>
      </c>
      <c r="K1499" s="30">
        <f t="shared" si="1522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VLOOKUP(VLOOKUP(DATEVALUE(TEXT(A1499,"m/d/yyyy")),FY24_Temp[],5,FALSE)&amp;TEXT(A1499,"-h"),Table6[],4,FALSE)</f>
        <v>1.7464285748345512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VLOOKUP(TEXT(A1499,"yy-mm")&amp;"-"&amp;IF(AND(WEEKDAY(A1499)&gt;1,WEEKDAY(A1499)&lt;7),"Wkd",TEXT(A1499,"Ddd"))&amp;"-"&amp;TEXT(A1499,"hh"),LoadTable[],5,FALSE)*0.92</f>
        <v>295.12680000000006</v>
      </c>
      <c r="U1499" s="104">
        <f>VLOOKUP(TEXT(A1499,"yy-mm")&amp;"-"&amp;IF(AND(WEEKDAY(A1499)&gt;1,WEEKDAY(A1499)&lt;7),"Wkd",TEXT(A1499,"Ddd"))&amp;"-"&amp;TEXT(A1499,"hh"),LoadTable[],6,FALSE)*T1499</f>
        <v>15860.999612400004</v>
      </c>
      <c r="V1499">
        <f t="shared" ref="V1499:W1499" si="1587">V1475</f>
        <v>3.2</v>
      </c>
      <c r="W1499">
        <f t="shared" si="1587"/>
        <v>3</v>
      </c>
      <c r="X1499" s="9">
        <v>-55.822088666666197</v>
      </c>
    </row>
    <row r="1500" spans="1:24">
      <c r="A1500" s="29">
        <f t="shared" si="1564"/>
        <v>45898.374999996369</v>
      </c>
      <c r="B1500" s="30">
        <f t="shared" ref="B1500:B1563" si="1588">B1476</f>
        <v>8000</v>
      </c>
      <c r="C1500" s="8">
        <v>25000</v>
      </c>
      <c r="D1500" s="8">
        <v>0</v>
      </c>
      <c r="E1500" s="8">
        <v>700</v>
      </c>
      <c r="F1500" s="8">
        <v>15000</v>
      </c>
      <c r="G1500" s="30">
        <f t="shared" ref="G1500:G1563" si="1589">G1476</f>
        <v>2400</v>
      </c>
      <c r="H1500" s="8">
        <v>25000</v>
      </c>
      <c r="I1500" s="30">
        <f t="shared" ref="I1500:I1563" si="1590">I1476</f>
        <v>8000</v>
      </c>
      <c r="J1500" s="8">
        <v>25000</v>
      </c>
      <c r="K1500" s="30">
        <f t="shared" ref="K1500:K1563" si="1591">K1476</f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VLOOKUP(VLOOKUP(DATEVALUE(TEXT(A1500,"m/d/yyyy")),FY24_Temp[],5,FALSE)&amp;TEXT(A1500,"-h"),Table6[],4,FALSE)</f>
        <v>1.6497142996106828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VLOOKUP(TEXT(A1500,"yy-mm")&amp;"-"&amp;IF(AND(WEEKDAY(A1500)&gt;1,WEEKDAY(A1500)&lt;7),"Wkd",TEXT(A1500,"Ddd"))&amp;"-"&amp;TEXT(A1500,"hh"),LoadTable[],5,FALSE)*0.92</f>
        <v>295.12680000000006</v>
      </c>
      <c r="U1500" s="104">
        <f>VLOOKUP(TEXT(A1500,"yy-mm")&amp;"-"&amp;IF(AND(WEEKDAY(A1500)&gt;1,WEEKDAY(A1500)&lt;7),"Wkd",TEXT(A1500,"Ddd"))&amp;"-"&amp;TEXT(A1500,"hh"),LoadTable[],6,FALSE)*T1500</f>
        <v>15713.436212400004</v>
      </c>
      <c r="V1500">
        <f t="shared" ref="V1500:W1500" si="1592">V1476</f>
        <v>2.9</v>
      </c>
      <c r="W1500">
        <f t="shared" si="1592"/>
        <v>3</v>
      </c>
      <c r="X1500" s="9">
        <v>-55.899883216666197</v>
      </c>
    </row>
    <row r="1501" spans="1:24">
      <c r="A1501" s="29">
        <f t="shared" si="1564"/>
        <v>45898.416666663034</v>
      </c>
      <c r="B1501" s="30">
        <f t="shared" si="1588"/>
        <v>8000</v>
      </c>
      <c r="C1501" s="8">
        <v>25000</v>
      </c>
      <c r="D1501" s="8">
        <v>0</v>
      </c>
      <c r="E1501" s="8">
        <v>700</v>
      </c>
      <c r="F1501" s="8">
        <v>15000</v>
      </c>
      <c r="G1501" s="30">
        <f t="shared" si="1589"/>
        <v>2400</v>
      </c>
      <c r="H1501" s="8">
        <v>25000</v>
      </c>
      <c r="I1501" s="30">
        <f t="shared" si="1590"/>
        <v>8000</v>
      </c>
      <c r="J1501" s="8">
        <v>25000</v>
      </c>
      <c r="K1501" s="30">
        <f t="shared" si="159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VLOOKUP(VLOOKUP(DATEVALUE(TEXT(A1501,"m/d/yyyy")),FY24_Temp[],5,FALSE)&amp;TEXT(A1501,"-h"),Table6[],4,FALSE)</f>
        <v>1.5668571165629797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VLOOKUP(TEXT(A1501,"yy-mm")&amp;"-"&amp;IF(AND(WEEKDAY(A1501)&gt;1,WEEKDAY(A1501)&lt;7),"Wkd",TEXT(A1501,"Ddd"))&amp;"-"&amp;TEXT(A1501,"hh"),LoadTable[],5,FALSE)*0.92</f>
        <v>295.12680000000006</v>
      </c>
      <c r="U1501" s="104">
        <f>VLOOKUP(TEXT(A1501,"yy-mm")&amp;"-"&amp;IF(AND(WEEKDAY(A1501)&gt;1,WEEKDAY(A1501)&lt;7),"Wkd",TEXT(A1501,"Ddd"))&amp;"-"&amp;TEXT(A1501,"hh"),LoadTable[],6,FALSE)*T1501</f>
        <v>14369.723892000002</v>
      </c>
      <c r="V1501">
        <f t="shared" ref="V1501:W1501" si="1593">V1477</f>
        <v>2.9</v>
      </c>
      <c r="W1501">
        <f t="shared" si="1593"/>
        <v>3</v>
      </c>
      <c r="X1501" s="9">
        <v>-55.977677766666197</v>
      </c>
    </row>
    <row r="1502" spans="1:24">
      <c r="A1502" s="29">
        <f t="shared" si="1564"/>
        <v>45898.458333329698</v>
      </c>
      <c r="B1502" s="30">
        <f t="shared" si="1588"/>
        <v>8000</v>
      </c>
      <c r="C1502" s="8">
        <v>25000</v>
      </c>
      <c r="D1502" s="8">
        <v>0</v>
      </c>
      <c r="E1502" s="8">
        <v>700</v>
      </c>
      <c r="F1502" s="8">
        <v>15000</v>
      </c>
      <c r="G1502" s="30">
        <f t="shared" si="1589"/>
        <v>2400</v>
      </c>
      <c r="H1502" s="8">
        <v>25000</v>
      </c>
      <c r="I1502" s="30">
        <f t="shared" si="1590"/>
        <v>8000</v>
      </c>
      <c r="J1502" s="8">
        <v>25000</v>
      </c>
      <c r="K1502" s="30">
        <f t="shared" si="159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VLOOKUP(VLOOKUP(DATEVALUE(TEXT(A1502,"m/d/yyyy")),FY24_Temp[],5,FALSE)&amp;TEXT(A1502,"-h"),Table6[],4,FALSE)</f>
        <v>1.4631428718566895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VLOOKUP(TEXT(A1502,"yy-mm")&amp;"-"&amp;IF(AND(WEEKDAY(A1502)&gt;1,WEEKDAY(A1502)&lt;7),"Wkd",TEXT(A1502,"Ddd"))&amp;"-"&amp;TEXT(A1502,"hh"),LoadTable[],5,FALSE)*0.92</f>
        <v>295.12680000000006</v>
      </c>
      <c r="U1502" s="104">
        <f>VLOOKUP(TEXT(A1502,"yy-mm")&amp;"-"&amp;IF(AND(WEEKDAY(A1502)&gt;1,WEEKDAY(A1502)&lt;7),"Wkd",TEXT(A1502,"Ddd"))&amp;"-"&amp;TEXT(A1502,"hh"),LoadTable[],6,FALSE)*T1502</f>
        <v>14137.459100400003</v>
      </c>
      <c r="V1502">
        <f t="shared" ref="V1502:W1502" si="1594">V1478</f>
        <v>3.4</v>
      </c>
      <c r="W1502">
        <f t="shared" si="1594"/>
        <v>3</v>
      </c>
      <c r="X1502" s="9">
        <v>-56.055472316666197</v>
      </c>
    </row>
    <row r="1503" spans="1:24">
      <c r="A1503" s="29">
        <f t="shared" si="1564"/>
        <v>45898.499999996362</v>
      </c>
      <c r="B1503" s="30">
        <f t="shared" si="1588"/>
        <v>8000</v>
      </c>
      <c r="C1503" s="8">
        <v>25000</v>
      </c>
      <c r="D1503" s="8">
        <v>0</v>
      </c>
      <c r="E1503" s="8">
        <v>700</v>
      </c>
      <c r="F1503" s="8">
        <v>15000</v>
      </c>
      <c r="G1503" s="30">
        <f t="shared" si="1589"/>
        <v>2400</v>
      </c>
      <c r="H1503" s="8">
        <v>25000</v>
      </c>
      <c r="I1503" s="30">
        <f t="shared" si="1590"/>
        <v>8000</v>
      </c>
      <c r="J1503" s="8">
        <v>25000</v>
      </c>
      <c r="K1503" s="30">
        <f t="shared" si="159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VLOOKUP(VLOOKUP(DATEVALUE(TEXT(A1503,"m/d/yyyy")),FY24_Temp[],5,FALSE)&amp;TEXT(A1503,"-h"),Table6[],4,FALSE)</f>
        <v>1.3304285662514823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VLOOKUP(TEXT(A1503,"yy-mm")&amp;"-"&amp;IF(AND(WEEKDAY(A1503)&gt;1,WEEKDAY(A1503)&lt;7),"Wkd",TEXT(A1503,"Ddd"))&amp;"-"&amp;TEXT(A1503,"hh"),LoadTable[],5,FALSE)*0.92</f>
        <v>295.12680000000006</v>
      </c>
      <c r="U1503" s="104">
        <f>VLOOKUP(TEXT(A1503,"yy-mm")&amp;"-"&amp;IF(AND(WEEKDAY(A1503)&gt;1,WEEKDAY(A1503)&lt;7),"Wkd",TEXT(A1503,"Ddd"))&amp;"-"&amp;TEXT(A1503,"hh"),LoadTable[],6,FALSE)*T1503</f>
        <v>14242.819368000002</v>
      </c>
      <c r="V1503">
        <f t="shared" ref="V1503:W1503" si="1595">V1479</f>
        <v>3.1</v>
      </c>
      <c r="W1503">
        <f t="shared" si="1595"/>
        <v>2.9</v>
      </c>
      <c r="X1503" s="9">
        <v>-56.133266866666197</v>
      </c>
    </row>
    <row r="1504" spans="1:24">
      <c r="A1504" s="29">
        <f t="shared" si="1564"/>
        <v>45898.541666663026</v>
      </c>
      <c r="B1504" s="30">
        <f t="shared" si="1588"/>
        <v>8000</v>
      </c>
      <c r="C1504" s="8">
        <v>25000</v>
      </c>
      <c r="D1504" s="8">
        <v>0</v>
      </c>
      <c r="E1504" s="8">
        <v>700</v>
      </c>
      <c r="F1504" s="8">
        <v>15000</v>
      </c>
      <c r="G1504" s="30">
        <f t="shared" si="1589"/>
        <v>2400</v>
      </c>
      <c r="H1504" s="8">
        <v>25000</v>
      </c>
      <c r="I1504" s="30">
        <f t="shared" si="1590"/>
        <v>8000</v>
      </c>
      <c r="J1504" s="8">
        <v>25000</v>
      </c>
      <c r="K1504" s="30">
        <f t="shared" si="159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VLOOKUP(VLOOKUP(DATEVALUE(TEXT(A1504,"m/d/yyyy")),FY24_Temp[],5,FALSE)&amp;TEXT(A1504,"-h"),Table6[],4,FALSE)</f>
        <v>1.1667142765862601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VLOOKUP(TEXT(A1504,"yy-mm")&amp;"-"&amp;IF(AND(WEEKDAY(A1504)&gt;1,WEEKDAY(A1504)&lt;7),"Wkd",TEXT(A1504,"Ddd"))&amp;"-"&amp;TEXT(A1504,"hh"),LoadTable[],5,FALSE)*0.92</f>
        <v>295.12680000000006</v>
      </c>
      <c r="U1504" s="104">
        <f>VLOOKUP(TEXT(A1504,"yy-mm")&amp;"-"&amp;IF(AND(WEEKDAY(A1504)&gt;1,WEEKDAY(A1504)&lt;7),"Wkd",TEXT(A1504,"Ddd"))&amp;"-"&amp;TEXT(A1504,"hh"),LoadTable[],6,FALSE)*T1504</f>
        <v>16280.669922000003</v>
      </c>
      <c r="V1504">
        <f t="shared" ref="V1504:W1504" si="1596">V1480</f>
        <v>3.2</v>
      </c>
      <c r="W1504">
        <f t="shared" si="1596"/>
        <v>2.9</v>
      </c>
      <c r="X1504" s="9">
        <v>-56.211061416666197</v>
      </c>
    </row>
    <row r="1505" spans="1:24">
      <c r="A1505" s="29">
        <f t="shared" si="1564"/>
        <v>45898.583333329691</v>
      </c>
      <c r="B1505" s="30">
        <f t="shared" si="1588"/>
        <v>8000</v>
      </c>
      <c r="C1505" s="8">
        <v>25000</v>
      </c>
      <c r="D1505" s="8">
        <v>0</v>
      </c>
      <c r="E1505" s="8">
        <v>700</v>
      </c>
      <c r="F1505" s="8">
        <v>15000</v>
      </c>
      <c r="G1505" s="30">
        <f t="shared" si="1589"/>
        <v>2400</v>
      </c>
      <c r="H1505" s="8">
        <v>25000</v>
      </c>
      <c r="I1505" s="30">
        <f t="shared" si="1590"/>
        <v>8000</v>
      </c>
      <c r="J1505" s="8">
        <v>25000</v>
      </c>
      <c r="K1505" s="30">
        <f t="shared" si="159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VLOOKUP(VLOOKUP(DATEVALUE(TEXT(A1505,"m/d/yyyy")),FY24_Temp[],5,FALSE)&amp;TEXT(A1505,"-h"),Table6[],4,FALSE)</f>
        <v>0.98814284801483154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VLOOKUP(TEXT(A1505,"yy-mm")&amp;"-"&amp;IF(AND(WEEKDAY(A1505)&gt;1,WEEKDAY(A1505)&lt;7),"Wkd",TEXT(A1505,"Ddd"))&amp;"-"&amp;TEXT(A1505,"hh"),LoadTable[],5,FALSE)*0.92</f>
        <v>402.08416</v>
      </c>
      <c r="U1505" s="104">
        <f>VLOOKUP(TEXT(A1505,"yy-mm")&amp;"-"&amp;IF(AND(WEEKDAY(A1505)&gt;1,WEEKDAY(A1505)&lt;7),"Wkd",TEXT(A1505,"Ddd"))&amp;"-"&amp;TEXT(A1505,"hh"),LoadTable[],6,FALSE)*T1505</f>
        <v>27023.674309440001</v>
      </c>
      <c r="V1505">
        <f t="shared" ref="V1505:W1505" si="1597">V1481</f>
        <v>3.5</v>
      </c>
      <c r="W1505">
        <f t="shared" si="1597"/>
        <v>2.9</v>
      </c>
      <c r="X1505" s="9">
        <v>-56.288855966666198</v>
      </c>
    </row>
    <row r="1506" spans="1:24">
      <c r="A1506" s="29">
        <f t="shared" si="1564"/>
        <v>45898.624999996355</v>
      </c>
      <c r="B1506" s="30">
        <f t="shared" si="1588"/>
        <v>8000</v>
      </c>
      <c r="C1506" s="8">
        <v>25000</v>
      </c>
      <c r="D1506" s="8">
        <v>0</v>
      </c>
      <c r="E1506" s="8">
        <v>700</v>
      </c>
      <c r="F1506" s="8">
        <v>15000</v>
      </c>
      <c r="G1506" s="30">
        <f t="shared" si="1589"/>
        <v>2400</v>
      </c>
      <c r="H1506" s="8">
        <v>25000</v>
      </c>
      <c r="I1506" s="30">
        <f t="shared" si="1590"/>
        <v>8000</v>
      </c>
      <c r="J1506" s="8">
        <v>25000</v>
      </c>
      <c r="K1506" s="30">
        <f t="shared" si="159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VLOOKUP(VLOOKUP(DATEVALUE(TEXT(A1506,"m/d/yyyy")),FY24_Temp[],5,FALSE)&amp;TEXT(A1506,"-h"),Table6[],4,FALSE)</f>
        <v>0.82557142632348202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VLOOKUP(TEXT(A1506,"yy-mm")&amp;"-"&amp;IF(AND(WEEKDAY(A1506)&gt;1,WEEKDAY(A1506)&lt;7),"Wkd",TEXT(A1506,"Ddd"))&amp;"-"&amp;TEXT(A1506,"hh"),LoadTable[],5,FALSE)*0.92</f>
        <v>521.92427999999995</v>
      </c>
      <c r="U1506" s="104">
        <f>VLOOKUP(TEXT(A1506,"yy-mm")&amp;"-"&amp;IF(AND(WEEKDAY(A1506)&gt;1,WEEKDAY(A1506)&lt;7),"Wkd",TEXT(A1506,"Ddd"))&amp;"-"&amp;TEXT(A1506,"hh"),LoadTable[],6,FALSE)*T1506</f>
        <v>38276.36092236</v>
      </c>
      <c r="V1506">
        <f t="shared" ref="V1506:W1506" si="1598">V1482</f>
        <v>3.2</v>
      </c>
      <c r="W1506">
        <f t="shared" si="1598"/>
        <v>2.9</v>
      </c>
      <c r="X1506" s="9">
        <v>-56.366650516666198</v>
      </c>
    </row>
    <row r="1507" spans="1:24">
      <c r="A1507" s="29">
        <f t="shared" si="1564"/>
        <v>45898.666666663019</v>
      </c>
      <c r="B1507" s="30">
        <f t="shared" si="1588"/>
        <v>8000</v>
      </c>
      <c r="C1507" s="8">
        <v>25000</v>
      </c>
      <c r="D1507" s="8">
        <v>0</v>
      </c>
      <c r="E1507" s="8">
        <v>700</v>
      </c>
      <c r="F1507" s="8">
        <v>15000</v>
      </c>
      <c r="G1507" s="30">
        <f t="shared" si="1589"/>
        <v>2400</v>
      </c>
      <c r="H1507" s="8">
        <v>25000</v>
      </c>
      <c r="I1507" s="30">
        <f t="shared" si="1590"/>
        <v>8000</v>
      </c>
      <c r="J1507" s="8">
        <v>25000</v>
      </c>
      <c r="K1507" s="30">
        <f t="shared" si="159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VLOOKUP(VLOOKUP(DATEVALUE(TEXT(A1507,"m/d/yyyy")),FY24_Temp[],5,FALSE)&amp;TEXT(A1507,"-h"),Table6[],4,FALSE)</f>
        <v>0.73714286088943481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VLOOKUP(TEXT(A1507,"yy-mm")&amp;"-"&amp;IF(AND(WEEKDAY(A1507)&gt;1,WEEKDAY(A1507)&lt;7),"Wkd",TEXT(A1507,"Ddd"))&amp;"-"&amp;TEXT(A1507,"hh"),LoadTable[],5,FALSE)*0.92</f>
        <v>521.92427999999995</v>
      </c>
      <c r="U1507" s="104">
        <f>VLOOKUP(TEXT(A1507,"yy-mm")&amp;"-"&amp;IF(AND(WEEKDAY(A1507)&gt;1,WEEKDAY(A1507)&lt;7),"Wkd",TEXT(A1507,"Ddd"))&amp;"-"&amp;TEXT(A1507,"hh"),LoadTable[],6,FALSE)*T1507</f>
        <v>45879.753833399998</v>
      </c>
      <c r="V1507">
        <f t="shared" ref="V1507:W1507" si="1599">V1483</f>
        <v>3.5</v>
      </c>
      <c r="W1507">
        <f t="shared" si="1599"/>
        <v>3</v>
      </c>
      <c r="X1507" s="9">
        <v>-56.444445066666198</v>
      </c>
    </row>
    <row r="1508" spans="1:24">
      <c r="A1508" s="29">
        <f t="shared" si="1564"/>
        <v>45898.708333329683</v>
      </c>
      <c r="B1508" s="30">
        <f t="shared" si="1588"/>
        <v>8000</v>
      </c>
      <c r="C1508" s="8">
        <v>25000</v>
      </c>
      <c r="D1508" s="8">
        <v>0</v>
      </c>
      <c r="E1508" s="8">
        <v>700</v>
      </c>
      <c r="F1508" s="8">
        <v>15000</v>
      </c>
      <c r="G1508" s="30">
        <f t="shared" si="1589"/>
        <v>2400</v>
      </c>
      <c r="H1508" s="8">
        <v>25000</v>
      </c>
      <c r="I1508" s="30">
        <f t="shared" si="1590"/>
        <v>8000</v>
      </c>
      <c r="J1508" s="8">
        <v>25000</v>
      </c>
      <c r="K1508" s="30">
        <f t="shared" si="159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VLOOKUP(VLOOKUP(DATEVALUE(TEXT(A1508,"m/d/yyyy")),FY24_Temp[],5,FALSE)&amp;TEXT(A1508,"-h"),Table6[],4,FALSE)</f>
        <v>0.86971428564616615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VLOOKUP(TEXT(A1508,"yy-mm")&amp;"-"&amp;IF(AND(WEEKDAY(A1508)&gt;1,WEEKDAY(A1508)&lt;7),"Wkd",TEXT(A1508,"Ddd"))&amp;"-"&amp;TEXT(A1508,"hh"),LoadTable[],5,FALSE)*0.92</f>
        <v>521.92427999999995</v>
      </c>
      <c r="U1508" s="104">
        <f>VLOOKUP(TEXT(A1508,"yy-mm")&amp;"-"&amp;IF(AND(WEEKDAY(A1508)&gt;1,WEEKDAY(A1508)&lt;7),"Wkd",TEXT(A1508,"Ddd"))&amp;"-"&amp;TEXT(A1508,"hh"),LoadTable[],6,FALSE)*T1508</f>
        <v>57850.609119479988</v>
      </c>
      <c r="V1508">
        <f t="shared" ref="V1508:W1508" si="1600">V1484</f>
        <v>3.6</v>
      </c>
      <c r="W1508">
        <f t="shared" si="1600"/>
        <v>3</v>
      </c>
      <c r="X1508" s="9">
        <v>-56.522239616666198</v>
      </c>
    </row>
    <row r="1509" spans="1:24">
      <c r="A1509" s="29">
        <f t="shared" si="1564"/>
        <v>45898.749999996347</v>
      </c>
      <c r="B1509" s="30">
        <f t="shared" si="1588"/>
        <v>5000</v>
      </c>
      <c r="C1509" s="8">
        <v>25000</v>
      </c>
      <c r="D1509" s="8">
        <v>0</v>
      </c>
      <c r="E1509" s="8">
        <v>700</v>
      </c>
      <c r="F1509" s="8">
        <v>15000</v>
      </c>
      <c r="G1509" s="30">
        <f t="shared" si="1589"/>
        <v>2400</v>
      </c>
      <c r="H1509" s="8">
        <v>25000</v>
      </c>
      <c r="I1509" s="30">
        <f t="shared" si="1590"/>
        <v>5000</v>
      </c>
      <c r="J1509" s="8">
        <v>25000</v>
      </c>
      <c r="K1509" s="30">
        <f t="shared" si="159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VLOOKUP(VLOOKUP(DATEVALUE(TEXT(A1509,"m/d/yyyy")),FY24_Temp[],5,FALSE)&amp;TEXT(A1509,"-h"),Table6[],4,FALSE)</f>
        <v>1.2285714319774084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VLOOKUP(TEXT(A1509,"yy-mm")&amp;"-"&amp;IF(AND(WEEKDAY(A1509)&gt;1,WEEKDAY(A1509)&lt;7),"Wkd",TEXT(A1509,"Ddd"))&amp;"-"&amp;TEXT(A1509,"hh"),LoadTable[],5,FALSE)*0.92</f>
        <v>521.92427999999995</v>
      </c>
      <c r="U1509" s="104">
        <f>VLOOKUP(TEXT(A1509,"yy-mm")&amp;"-"&amp;IF(AND(WEEKDAY(A1509)&gt;1,WEEKDAY(A1509)&lt;7),"Wkd",TEXT(A1509,"Ddd"))&amp;"-"&amp;TEXT(A1509,"hh"),LoadTable[],6,FALSE)*T1509</f>
        <v>71088.174633119997</v>
      </c>
      <c r="V1509">
        <f t="shared" ref="V1509:W1509" si="1601">V1485</f>
        <v>2.9</v>
      </c>
      <c r="W1509">
        <f t="shared" si="1601"/>
        <v>3</v>
      </c>
      <c r="X1509" s="9">
        <v>-56.600034166666198</v>
      </c>
    </row>
    <row r="1510" spans="1:24">
      <c r="A1510" s="29">
        <f t="shared" si="1564"/>
        <v>45898.791666663012</v>
      </c>
      <c r="B1510" s="30">
        <f t="shared" si="1588"/>
        <v>5000</v>
      </c>
      <c r="C1510" s="8">
        <v>25000</v>
      </c>
      <c r="D1510" s="8">
        <v>0</v>
      </c>
      <c r="E1510" s="8">
        <v>700</v>
      </c>
      <c r="F1510" s="8">
        <v>15000</v>
      </c>
      <c r="G1510" s="30">
        <f t="shared" si="1589"/>
        <v>2400</v>
      </c>
      <c r="H1510" s="8">
        <v>25000</v>
      </c>
      <c r="I1510" s="30">
        <f t="shared" si="1590"/>
        <v>5000</v>
      </c>
      <c r="J1510" s="8">
        <v>25000</v>
      </c>
      <c r="K1510" s="30">
        <f t="shared" si="159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VLOOKUP(VLOOKUP(DATEVALUE(TEXT(A1510,"m/d/yyyy")),FY24_Temp[],5,FALSE)&amp;TEXT(A1510,"-h"),Table6[],4,FALSE)</f>
        <v>1.949428609439305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VLOOKUP(TEXT(A1510,"yy-mm")&amp;"-"&amp;IF(AND(WEEKDAY(A1510)&gt;1,WEEKDAY(A1510)&lt;7),"Wkd",TEXT(A1510,"Ddd"))&amp;"-"&amp;TEXT(A1510,"hh"),LoadTable[],5,FALSE)*0.92</f>
        <v>521.92427999999995</v>
      </c>
      <c r="U1510" s="104">
        <f>VLOOKUP(TEXT(A1510,"yy-mm")&amp;"-"&amp;IF(AND(WEEKDAY(A1510)&gt;1,WEEKDAY(A1510)&lt;7),"Wkd",TEXT(A1510,"Ddd"))&amp;"-"&amp;TEXT(A1510,"hh"),LoadTable[],6,FALSE)*T1510</f>
        <v>75540.188741520004</v>
      </c>
      <c r="V1510">
        <f t="shared" ref="V1510:W1510" si="1602">V1486</f>
        <v>3</v>
      </c>
      <c r="W1510">
        <f t="shared" si="1602"/>
        <v>3</v>
      </c>
      <c r="X1510" s="9">
        <v>-56.677828716666198</v>
      </c>
    </row>
    <row r="1511" spans="1:24">
      <c r="A1511" s="29">
        <f t="shared" si="1564"/>
        <v>45898.833333329676</v>
      </c>
      <c r="B1511" s="30">
        <f t="shared" si="1588"/>
        <v>5000</v>
      </c>
      <c r="C1511" s="8">
        <v>25000</v>
      </c>
      <c r="D1511" s="8">
        <v>0</v>
      </c>
      <c r="E1511" s="8">
        <v>700</v>
      </c>
      <c r="F1511" s="8">
        <v>15000</v>
      </c>
      <c r="G1511" s="30">
        <f t="shared" si="1589"/>
        <v>2400</v>
      </c>
      <c r="H1511" s="8">
        <v>25000</v>
      </c>
      <c r="I1511" s="30">
        <f t="shared" si="1590"/>
        <v>5000</v>
      </c>
      <c r="J1511" s="8">
        <v>25000</v>
      </c>
      <c r="K1511" s="30">
        <f t="shared" si="159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VLOOKUP(VLOOKUP(DATEVALUE(TEXT(A1511,"m/d/yyyy")),FY24_Temp[],5,FALSE)&amp;TEXT(A1511,"-h"),Table6[],4,FALSE)</f>
        <v>2.732428584780012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VLOOKUP(TEXT(A1511,"yy-mm")&amp;"-"&amp;IF(AND(WEEKDAY(A1511)&gt;1,WEEKDAY(A1511)&lt;7),"Wkd",TEXT(A1511,"Ddd"))&amp;"-"&amp;TEXT(A1511,"hh"),LoadTable[],5,FALSE)*0.92</f>
        <v>521.92427999999995</v>
      </c>
      <c r="U1511" s="104">
        <f>VLOOKUP(TEXT(A1511,"yy-mm")&amp;"-"&amp;IF(AND(WEEKDAY(A1511)&gt;1,WEEKDAY(A1511)&lt;7),"Wkd",TEXT(A1511,"Ddd"))&amp;"-"&amp;TEXT(A1511,"hh"),LoadTable[],6,FALSE)*T1511</f>
        <v>69176.365995479995</v>
      </c>
      <c r="V1511">
        <f t="shared" ref="V1511:W1511" si="1603">V1487</f>
        <v>2.8</v>
      </c>
      <c r="W1511">
        <f t="shared" si="1603"/>
        <v>3.1</v>
      </c>
      <c r="X1511" s="9">
        <v>-56.755623266666198</v>
      </c>
    </row>
    <row r="1512" spans="1:24">
      <c r="A1512" s="29">
        <f t="shared" si="1564"/>
        <v>45898.87499999634</v>
      </c>
      <c r="B1512" s="30">
        <f t="shared" si="1588"/>
        <v>5000</v>
      </c>
      <c r="C1512" s="8">
        <v>25000</v>
      </c>
      <c r="D1512" s="8">
        <v>0</v>
      </c>
      <c r="E1512" s="8">
        <v>700</v>
      </c>
      <c r="F1512" s="8">
        <v>15000</v>
      </c>
      <c r="G1512" s="30">
        <f t="shared" si="1589"/>
        <v>2400</v>
      </c>
      <c r="H1512" s="8">
        <v>25000</v>
      </c>
      <c r="I1512" s="30">
        <f t="shared" si="1590"/>
        <v>5000</v>
      </c>
      <c r="J1512" s="8">
        <v>25000</v>
      </c>
      <c r="K1512" s="30">
        <f t="shared" si="159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VLOOKUP(VLOOKUP(DATEVALUE(TEXT(A1512,"m/d/yyyy")),FY24_Temp[],5,FALSE)&amp;TEXT(A1512,"-h"),Table6[],4,FALSE)</f>
        <v>2.9708571093423024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VLOOKUP(TEXT(A1512,"yy-mm")&amp;"-"&amp;IF(AND(WEEKDAY(A1512)&gt;1,WEEKDAY(A1512)&lt;7),"Wkd",TEXT(A1512,"Ddd"))&amp;"-"&amp;TEXT(A1512,"hh"),LoadTable[],5,FALSE)*0.92</f>
        <v>521.92427999999995</v>
      </c>
      <c r="U1512" s="104">
        <f>VLOOKUP(TEXT(A1512,"yy-mm")&amp;"-"&amp;IF(AND(WEEKDAY(A1512)&gt;1,WEEKDAY(A1512)&lt;7),"Wkd",TEXT(A1512,"Ddd"))&amp;"-"&amp;TEXT(A1512,"hh"),LoadTable[],6,FALSE)*T1512</f>
        <v>56417.405046599997</v>
      </c>
      <c r="V1512">
        <f t="shared" ref="V1512:W1512" si="1604">V1488</f>
        <v>3.5</v>
      </c>
      <c r="W1512">
        <f t="shared" si="1604"/>
        <v>3.1</v>
      </c>
      <c r="X1512" s="9">
        <v>-56.833417816666199</v>
      </c>
    </row>
    <row r="1513" spans="1:24">
      <c r="A1513" s="29">
        <f t="shared" si="1564"/>
        <v>45898.916666663004</v>
      </c>
      <c r="B1513" s="30">
        <f t="shared" si="1588"/>
        <v>5000</v>
      </c>
      <c r="C1513" s="8">
        <v>25000</v>
      </c>
      <c r="D1513" s="8">
        <v>0</v>
      </c>
      <c r="E1513" s="8">
        <v>700</v>
      </c>
      <c r="F1513" s="8">
        <v>15000</v>
      </c>
      <c r="G1513" s="30">
        <f t="shared" si="1589"/>
        <v>2400</v>
      </c>
      <c r="H1513" s="8">
        <v>25000</v>
      </c>
      <c r="I1513" s="30">
        <f t="shared" si="1590"/>
        <v>5000</v>
      </c>
      <c r="J1513" s="8">
        <v>25000</v>
      </c>
      <c r="K1513" s="30">
        <f t="shared" si="159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VLOOKUP(VLOOKUP(DATEVALUE(TEXT(A1513,"m/d/yyyy")),FY24_Temp[],5,FALSE)&amp;TEXT(A1513,"-h"),Table6[],4,FALSE)</f>
        <v>2.9297142710004533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VLOOKUP(TEXT(A1513,"yy-mm")&amp;"-"&amp;IF(AND(WEEKDAY(A1513)&gt;1,WEEKDAY(A1513)&lt;7),"Wkd",TEXT(A1513,"Ddd"))&amp;"-"&amp;TEXT(A1513,"hh"),LoadTable[],5,FALSE)*0.92</f>
        <v>447.02432000000005</v>
      </c>
      <c r="U1513" s="104">
        <f>VLOOKUP(TEXT(A1513,"yy-mm")&amp;"-"&amp;IF(AND(WEEKDAY(A1513)&gt;1,WEEKDAY(A1513)&lt;7),"Wkd",TEXT(A1513,"Ddd"))&amp;"-"&amp;TEXT(A1513,"hh"),LoadTable[],6,FALSE)*T1513</f>
        <v>29850.49599232</v>
      </c>
      <c r="V1513">
        <f t="shared" ref="V1513:W1513" si="1605">V1489</f>
        <v>2.9</v>
      </c>
      <c r="W1513">
        <f t="shared" si="1605"/>
        <v>3.1</v>
      </c>
      <c r="X1513" s="9">
        <v>-56.911212366666199</v>
      </c>
    </row>
    <row r="1514" spans="1:24" ht="16" thickBot="1">
      <c r="A1514" s="29">
        <f t="shared" si="1564"/>
        <v>45898.958333329669</v>
      </c>
      <c r="B1514" s="30">
        <f t="shared" si="1588"/>
        <v>5000</v>
      </c>
      <c r="C1514" s="8">
        <v>25000</v>
      </c>
      <c r="D1514" s="8">
        <v>0</v>
      </c>
      <c r="E1514" s="8">
        <v>700</v>
      </c>
      <c r="F1514" s="8">
        <v>15000</v>
      </c>
      <c r="G1514" s="30">
        <f t="shared" si="1589"/>
        <v>2400</v>
      </c>
      <c r="H1514" s="8">
        <v>25000</v>
      </c>
      <c r="I1514" s="30">
        <f t="shared" si="1590"/>
        <v>5000</v>
      </c>
      <c r="J1514" s="8">
        <v>25000</v>
      </c>
      <c r="K1514" s="30">
        <f t="shared" si="159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VLOOKUP(VLOOKUP(DATEVALUE(TEXT(A1514,"m/d/yyyy")),FY24_Temp[],5,FALSE)&amp;TEXT(A1514,"-h"),Table6[],4,FALSE)</f>
        <v>2.8045714242117747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VLOOKUP(TEXT(A1514,"yy-mm")&amp;"-"&amp;IF(AND(WEEKDAY(A1514)&gt;1,WEEKDAY(A1514)&lt;7),"Wkd",TEXT(A1514,"Ddd"))&amp;"-"&amp;TEXT(A1514,"hh"),LoadTable[],5,FALSE)*0.92</f>
        <v>372.12436000000002</v>
      </c>
      <c r="U1514" s="104">
        <f>VLOOKUP(TEXT(A1514,"yy-mm")&amp;"-"&amp;IF(AND(WEEKDAY(A1514)&gt;1,WEEKDAY(A1514)&lt;7),"Wkd",TEXT(A1514,"Ddd"))&amp;"-"&amp;TEXT(A1514,"hh"),LoadTable[],6,FALSE)*T1514</f>
        <v>22421.236938720001</v>
      </c>
      <c r="V1514">
        <f t="shared" ref="V1514:W1514" si="1606">V1490</f>
        <v>3.6</v>
      </c>
      <c r="W1514">
        <f t="shared" si="1606"/>
        <v>3.1</v>
      </c>
      <c r="X1514" s="9">
        <v>-56.989006916666199</v>
      </c>
    </row>
    <row r="1515" spans="1:24" ht="16" thickBot="1">
      <c r="A1515" s="120">
        <f t="shared" si="1564"/>
        <v>45898.999999996333</v>
      </c>
      <c r="B1515" s="121">
        <f t="shared" si="1588"/>
        <v>5000</v>
      </c>
      <c r="C1515" s="114">
        <v>25000</v>
      </c>
      <c r="D1515" s="114">
        <v>0</v>
      </c>
      <c r="E1515" s="114">
        <v>700</v>
      </c>
      <c r="F1515" s="114">
        <v>15000</v>
      </c>
      <c r="G1515" s="114">
        <f t="shared" si="1589"/>
        <v>2400</v>
      </c>
      <c r="H1515" s="114">
        <v>25000</v>
      </c>
      <c r="I1515" s="114">
        <f t="shared" si="1590"/>
        <v>5000</v>
      </c>
      <c r="J1515" s="114">
        <v>25000</v>
      </c>
      <c r="K1515" s="114">
        <f t="shared" si="1591"/>
        <v>5000</v>
      </c>
      <c r="L1515" s="114">
        <v>25000</v>
      </c>
      <c r="M1515" s="115">
        <f>VLOOKUP(DATE(YEAR(A1515),MONTH(A1515),DAY(A1515)),FY24_Temp[],4,FALSE)</f>
        <v>8.5</v>
      </c>
      <c r="N1515" s="115">
        <f>VLOOKUP(DATE(YEAR(A1515),MONTH(A1515),DAY(A1515)),FY24_Temp[],3,FALSE)</f>
        <v>15.03</v>
      </c>
      <c r="O1515" s="115">
        <v>13.5</v>
      </c>
      <c r="P1515" s="115">
        <v>19.5</v>
      </c>
      <c r="Q1515" s="116">
        <f>VLOOKUP(VLOOKUP(DATEVALUE(TEXT(A1515,"m/d/yyyy")),FY24_Temp[],5,FALSE)&amp;TEXT(A1515,"-h"),Table6[],4,FALSE)</f>
        <v>2.6008571216038296</v>
      </c>
      <c r="R1515" s="117">
        <v>10</v>
      </c>
      <c r="S1515" s="117">
        <v>1000</v>
      </c>
      <c r="T1515" s="100">
        <f>VLOOKUP(TEXT(A1515,"yy-mm")&amp;"-"&amp;IF(AND(WEEKDAY(A1515)&gt;1,WEEKDAY(A1515)&lt;7),"Wkd",TEXT(A1515,"Ddd"))&amp;"-"&amp;TEXT(A1515,"hh"),LoadTable[],5,FALSE)*0.92</f>
        <v>297.2244</v>
      </c>
      <c r="U1515" s="118">
        <f>VLOOKUP(TEXT(A1515,"yy-mm")&amp;"-"&amp;IF(AND(WEEKDAY(A1515)&gt;1,WEEKDAY(A1515)&lt;7),"Wkd",TEXT(A1515,"Ddd"))&amp;"-"&amp;TEXT(A1515,"hh"),LoadTable[],6,FALSE)*T1515</f>
        <v>16487.929141199998</v>
      </c>
      <c r="V1515" s="117">
        <f t="shared" ref="V1515:W1515" si="1607">V1491</f>
        <v>3</v>
      </c>
      <c r="W1515" s="117">
        <f t="shared" si="1607"/>
        <v>3.2</v>
      </c>
      <c r="X1515" s="119">
        <v>-57.066801466666199</v>
      </c>
    </row>
    <row r="1516" spans="1:24">
      <c r="A1516" s="29">
        <f t="shared" si="1564"/>
        <v>45899.041666662997</v>
      </c>
      <c r="B1516" s="30">
        <f t="shared" si="1588"/>
        <v>5000</v>
      </c>
      <c r="C1516" s="8">
        <v>25000</v>
      </c>
      <c r="D1516" s="8">
        <v>0</v>
      </c>
      <c r="E1516" s="8">
        <v>700</v>
      </c>
      <c r="F1516" s="8">
        <v>15000</v>
      </c>
      <c r="G1516" s="30">
        <f t="shared" si="1589"/>
        <v>2400</v>
      </c>
      <c r="H1516" s="8">
        <v>25000</v>
      </c>
      <c r="I1516" s="30">
        <f t="shared" si="1590"/>
        <v>5000</v>
      </c>
      <c r="J1516" s="8">
        <v>25000</v>
      </c>
      <c r="K1516" s="30">
        <f t="shared" si="159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15.03</v>
      </c>
      <c r="O1516" s="9">
        <v>13.5</v>
      </c>
      <c r="P1516" s="9">
        <v>19.5</v>
      </c>
      <c r="Q1516" s="79">
        <f>VLOOKUP(VLOOKUP(DATEVALUE(TEXT(A1516,"m/d/yyyy")),FY24_Temp[],5,FALSE)&amp;TEXT(A1516,"-h"),Table6[],4,FALSE)</f>
        <v>2.5028571741921559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VLOOKUP(TEXT(A1516,"yy-mm")&amp;"-"&amp;IF(AND(WEEKDAY(A1516)&gt;1,WEEKDAY(A1516)&lt;7),"Wkd",TEXT(A1516,"Ddd"))&amp;"-"&amp;TEXT(A1516,"hh"),LoadTable[],5,FALSE)*0.92</f>
        <v>295.12680000000006</v>
      </c>
      <c r="U1516" s="104">
        <f>VLOOKUP(TEXT(A1516,"yy-mm")&amp;"-"&amp;IF(AND(WEEKDAY(A1516)&gt;1,WEEKDAY(A1516)&lt;7),"Wkd",TEXT(A1516,"Ddd"))&amp;"-"&amp;TEXT(A1516,"hh"),LoadTable[],6,FALSE)*T1516</f>
        <v>15981.706473600003</v>
      </c>
      <c r="V1516">
        <f t="shared" ref="V1516:W1516" si="1608">V1492</f>
        <v>2.6</v>
      </c>
      <c r="W1516">
        <f t="shared" si="1608"/>
        <v>3.2</v>
      </c>
      <c r="X1516" s="9">
        <v>-57.144596016666199</v>
      </c>
    </row>
    <row r="1517" spans="1:24">
      <c r="A1517" s="29">
        <f t="shared" si="1564"/>
        <v>45899.083333329661</v>
      </c>
      <c r="B1517" s="30">
        <f t="shared" si="1588"/>
        <v>5000</v>
      </c>
      <c r="C1517" s="8">
        <v>25000</v>
      </c>
      <c r="D1517" s="8">
        <v>0</v>
      </c>
      <c r="E1517" s="8">
        <v>700</v>
      </c>
      <c r="F1517" s="8">
        <v>15000</v>
      </c>
      <c r="G1517" s="30">
        <f t="shared" si="1589"/>
        <v>2400</v>
      </c>
      <c r="H1517" s="8">
        <v>25000</v>
      </c>
      <c r="I1517" s="30">
        <f t="shared" si="1590"/>
        <v>5000</v>
      </c>
      <c r="J1517" s="8">
        <v>25000</v>
      </c>
      <c r="K1517" s="30">
        <f t="shared" si="159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15.03</v>
      </c>
      <c r="O1517" s="9">
        <v>13.5</v>
      </c>
      <c r="P1517" s="9">
        <v>19.5</v>
      </c>
      <c r="Q1517" s="79">
        <f>VLOOKUP(VLOOKUP(DATEVALUE(TEXT(A1517,"m/d/yyyy")),FY24_Temp[],5,FALSE)&amp;TEXT(A1517,"-h"),Table6[],4,FALSE)</f>
        <v>2.4148571491241455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VLOOKUP(TEXT(A1517,"yy-mm")&amp;"-"&amp;IF(AND(WEEKDAY(A1517)&gt;1,WEEKDAY(A1517)&lt;7),"Wkd",TEXT(A1517,"Ddd"))&amp;"-"&amp;TEXT(A1517,"hh"),LoadTable[],5,FALSE)*0.92</f>
        <v>295.12680000000006</v>
      </c>
      <c r="U1517" s="104">
        <f>VLOOKUP(TEXT(A1517,"yy-mm")&amp;"-"&amp;IF(AND(WEEKDAY(A1517)&gt;1,WEEKDAY(A1517)&lt;7),"Wkd",TEXT(A1517,"Ddd"))&amp;"-"&amp;TEXT(A1517,"hh"),LoadTable[],6,FALSE)*T1517</f>
        <v>15430.704738000002</v>
      </c>
      <c r="V1517">
        <f t="shared" ref="V1517:W1517" si="1609">V1493</f>
        <v>2.8</v>
      </c>
      <c r="W1517">
        <f t="shared" si="1609"/>
        <v>3.2</v>
      </c>
      <c r="X1517" s="9">
        <v>-57.222390566666199</v>
      </c>
    </row>
    <row r="1518" spans="1:24">
      <c r="A1518" s="29">
        <f t="shared" si="1564"/>
        <v>45899.124999996326</v>
      </c>
      <c r="B1518" s="30">
        <f t="shared" si="1588"/>
        <v>5000</v>
      </c>
      <c r="C1518" s="8">
        <v>25000</v>
      </c>
      <c r="D1518" s="8">
        <v>0</v>
      </c>
      <c r="E1518" s="8">
        <v>700</v>
      </c>
      <c r="F1518" s="8">
        <v>15000</v>
      </c>
      <c r="G1518" s="30">
        <f t="shared" si="1589"/>
        <v>2400</v>
      </c>
      <c r="H1518" s="8">
        <v>25000</v>
      </c>
      <c r="I1518" s="30">
        <f t="shared" si="1590"/>
        <v>5000</v>
      </c>
      <c r="J1518" s="8">
        <v>25000</v>
      </c>
      <c r="K1518" s="30">
        <f t="shared" si="159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15.03</v>
      </c>
      <c r="O1518" s="9">
        <v>13.5</v>
      </c>
      <c r="P1518" s="9">
        <v>19.5</v>
      </c>
      <c r="Q1518" s="79">
        <f>VLOOKUP(VLOOKUP(DATEVALUE(TEXT(A1518,"m/d/yyyy")),FY24_Temp[],5,FALSE)&amp;TEXT(A1518,"-h"),Table6[],4,FALSE)</f>
        <v>2.2705714702606201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VLOOKUP(TEXT(A1518,"yy-mm")&amp;"-"&amp;IF(AND(WEEKDAY(A1518)&gt;1,WEEKDAY(A1518)&lt;7),"Wkd",TEXT(A1518,"Ddd"))&amp;"-"&amp;TEXT(A1518,"hh"),LoadTable[],5,FALSE)*0.92</f>
        <v>295.12680000000006</v>
      </c>
      <c r="U1518" s="104">
        <f>VLOOKUP(TEXT(A1518,"yy-mm")&amp;"-"&amp;IF(AND(WEEKDAY(A1518)&gt;1,WEEKDAY(A1518)&lt;7),"Wkd",TEXT(A1518,"Ddd"))&amp;"-"&amp;TEXT(A1518,"hh"),LoadTable[],6,FALSE)*T1518</f>
        <v>15495.632634000003</v>
      </c>
      <c r="V1518">
        <f t="shared" ref="V1518:W1518" si="1610">V1494</f>
        <v>2.7</v>
      </c>
      <c r="W1518">
        <f t="shared" si="1610"/>
        <v>3.2</v>
      </c>
      <c r="X1518" s="9">
        <v>-57.300185116666199</v>
      </c>
    </row>
    <row r="1519" spans="1:24">
      <c r="A1519" s="29">
        <f t="shared" si="1564"/>
        <v>45899.16666666299</v>
      </c>
      <c r="B1519" s="30">
        <f t="shared" si="1588"/>
        <v>5000</v>
      </c>
      <c r="C1519" s="8">
        <v>25000</v>
      </c>
      <c r="D1519" s="8">
        <v>0</v>
      </c>
      <c r="E1519" s="8">
        <v>700</v>
      </c>
      <c r="F1519" s="8">
        <v>15000</v>
      </c>
      <c r="G1519" s="30">
        <f t="shared" si="1589"/>
        <v>2400</v>
      </c>
      <c r="H1519" s="8">
        <v>25000</v>
      </c>
      <c r="I1519" s="30">
        <f t="shared" si="1590"/>
        <v>5000</v>
      </c>
      <c r="J1519" s="8">
        <v>25000</v>
      </c>
      <c r="K1519" s="30">
        <f t="shared" si="159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15.03</v>
      </c>
      <c r="O1519" s="9">
        <v>13.5</v>
      </c>
      <c r="P1519" s="9">
        <v>19.5</v>
      </c>
      <c r="Q1519" s="79">
        <f>VLOOKUP(VLOOKUP(DATEVALUE(TEXT(A1519,"m/d/yyyy")),FY24_Temp[],5,FALSE)&amp;TEXT(A1519,"-h"),Table6[],4,FALSE)</f>
        <v>2.1080000059945241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VLOOKUP(TEXT(A1519,"yy-mm")&amp;"-"&amp;IF(AND(WEEKDAY(A1519)&gt;1,WEEKDAY(A1519)&lt;7),"Wkd",TEXT(A1519,"Ddd"))&amp;"-"&amp;TEXT(A1519,"hh"),LoadTable[],5,FALSE)*0.92</f>
        <v>295.12680000000006</v>
      </c>
      <c r="U1519" s="104">
        <f>VLOOKUP(TEXT(A1519,"yy-mm")&amp;"-"&amp;IF(AND(WEEKDAY(A1519)&gt;1,WEEKDAY(A1519)&lt;7),"Wkd",TEXT(A1519,"Ddd"))&amp;"-"&amp;TEXT(A1519,"hh"),LoadTable[],6,FALSE)*T1519</f>
        <v>15580.924279200002</v>
      </c>
      <c r="V1519">
        <f t="shared" ref="V1519:W1519" si="1611">V1495</f>
        <v>3</v>
      </c>
      <c r="W1519">
        <f t="shared" si="1611"/>
        <v>3.1</v>
      </c>
      <c r="X1519" s="9">
        <v>-57.377979666666199</v>
      </c>
    </row>
    <row r="1520" spans="1:24">
      <c r="A1520" s="29">
        <f t="shared" si="1564"/>
        <v>45899.208333329654</v>
      </c>
      <c r="B1520" s="30">
        <f t="shared" si="1588"/>
        <v>5000</v>
      </c>
      <c r="C1520" s="8">
        <v>25000</v>
      </c>
      <c r="D1520" s="8">
        <v>0</v>
      </c>
      <c r="E1520" s="8">
        <v>700</v>
      </c>
      <c r="F1520" s="8">
        <v>15000</v>
      </c>
      <c r="G1520" s="30">
        <f t="shared" si="1589"/>
        <v>2400</v>
      </c>
      <c r="H1520" s="8">
        <v>25000</v>
      </c>
      <c r="I1520" s="30">
        <f t="shared" si="1590"/>
        <v>5000</v>
      </c>
      <c r="J1520" s="8">
        <v>25000</v>
      </c>
      <c r="K1520" s="30">
        <f t="shared" si="159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15.03</v>
      </c>
      <c r="O1520" s="9">
        <v>13.5</v>
      </c>
      <c r="P1520" s="9">
        <v>19.5</v>
      </c>
      <c r="Q1520" s="79">
        <f>VLOOKUP(VLOOKUP(DATEVALUE(TEXT(A1520,"m/d/yyyy")),FY24_Temp[],5,FALSE)&amp;TEXT(A1520,"-h"),Table6[],4,FALSE)</f>
        <v>1.9515714134488786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VLOOKUP(TEXT(A1520,"yy-mm")&amp;"-"&amp;IF(AND(WEEKDAY(A1520)&gt;1,WEEKDAY(A1520)&lt;7),"Wkd",TEXT(A1520,"Ddd"))&amp;"-"&amp;TEXT(A1520,"hh"),LoadTable[],5,FALSE)*0.92</f>
        <v>295.12680000000006</v>
      </c>
      <c r="U1520" s="104">
        <f>VLOOKUP(TEXT(A1520,"yy-mm")&amp;"-"&amp;IF(AND(WEEKDAY(A1520)&gt;1,WEEKDAY(A1520)&lt;7),"Wkd",TEXT(A1520,"Ddd"))&amp;"-"&amp;TEXT(A1520,"hh"),LoadTable[],6,FALSE)*T1520</f>
        <v>15706.058042400004</v>
      </c>
      <c r="V1520">
        <f t="shared" ref="V1520:W1520" si="1612">V1496</f>
        <v>2.9</v>
      </c>
      <c r="W1520">
        <f t="shared" si="1612"/>
        <v>3.1</v>
      </c>
      <c r="X1520" s="9">
        <v>-57.4557742166662</v>
      </c>
    </row>
    <row r="1521" spans="1:24">
      <c r="A1521" s="29">
        <f t="shared" si="1564"/>
        <v>45899.249999996318</v>
      </c>
      <c r="B1521" s="30">
        <f t="shared" si="1588"/>
        <v>8000</v>
      </c>
      <c r="C1521" s="8">
        <v>25000</v>
      </c>
      <c r="D1521" s="8">
        <v>0</v>
      </c>
      <c r="E1521" s="8">
        <v>700</v>
      </c>
      <c r="F1521" s="8">
        <v>15000</v>
      </c>
      <c r="G1521" s="30">
        <f t="shared" si="1589"/>
        <v>2400</v>
      </c>
      <c r="H1521" s="8">
        <v>25000</v>
      </c>
      <c r="I1521" s="30">
        <f t="shared" si="1590"/>
        <v>8000</v>
      </c>
      <c r="J1521" s="8">
        <v>25000</v>
      </c>
      <c r="K1521" s="30">
        <f t="shared" si="159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15.03</v>
      </c>
      <c r="O1521" s="9">
        <v>13.5</v>
      </c>
      <c r="P1521" s="9">
        <v>19.5</v>
      </c>
      <c r="Q1521" s="79">
        <f>VLOOKUP(VLOOKUP(DATEVALUE(TEXT(A1521,"m/d/yyyy")),FY24_Temp[],5,FALSE)&amp;TEXT(A1521,"-h"),Table6[],4,FALSE)</f>
        <v>1.8388571568897791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VLOOKUP(TEXT(A1521,"yy-mm")&amp;"-"&amp;IF(AND(WEEKDAY(A1521)&gt;1,WEEKDAY(A1521)&lt;7),"Wkd",TEXT(A1521,"Ddd"))&amp;"-"&amp;TEXT(A1521,"hh"),LoadTable[],5,FALSE)*0.92</f>
        <v>295.12680000000006</v>
      </c>
      <c r="U1521" s="104">
        <f>VLOOKUP(TEXT(A1521,"yy-mm")&amp;"-"&amp;IF(AND(WEEKDAY(A1521)&gt;1,WEEKDAY(A1521)&lt;7),"Wkd",TEXT(A1521,"Ddd"))&amp;"-"&amp;TEXT(A1521,"hh"),LoadTable[],6,FALSE)*T1521</f>
        <v>19680.235531200004</v>
      </c>
      <c r="V1521">
        <f t="shared" ref="V1521:W1521" si="1613">V1497</f>
        <v>2.5</v>
      </c>
      <c r="W1521">
        <f t="shared" si="1613"/>
        <v>3.1</v>
      </c>
      <c r="X1521" s="9">
        <v>-57.5335687666662</v>
      </c>
    </row>
    <row r="1522" spans="1:24">
      <c r="A1522" s="29">
        <f t="shared" si="1564"/>
        <v>45899.291666662983</v>
      </c>
      <c r="B1522" s="30">
        <f t="shared" si="1588"/>
        <v>8000</v>
      </c>
      <c r="C1522" s="8">
        <v>25000</v>
      </c>
      <c r="D1522" s="8">
        <v>0</v>
      </c>
      <c r="E1522" s="8">
        <v>700</v>
      </c>
      <c r="F1522" s="8">
        <v>15000</v>
      </c>
      <c r="G1522" s="30">
        <f t="shared" si="1589"/>
        <v>2400</v>
      </c>
      <c r="H1522" s="8">
        <v>25000</v>
      </c>
      <c r="I1522" s="30">
        <f t="shared" si="1590"/>
        <v>8000</v>
      </c>
      <c r="J1522" s="8">
        <v>25000</v>
      </c>
      <c r="K1522" s="30">
        <f t="shared" si="159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15.03</v>
      </c>
      <c r="O1522" s="9">
        <v>13.5</v>
      </c>
      <c r="P1522" s="9">
        <v>19.5</v>
      </c>
      <c r="Q1522" s="79">
        <f>VLOOKUP(VLOOKUP(DATEVALUE(TEXT(A1522,"m/d/yyyy")),FY24_Temp[],5,FALSE)&amp;TEXT(A1522,"-h"),Table6[],4,FALSE)</f>
        <v>1.7592856884002686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VLOOKUP(TEXT(A1522,"yy-mm")&amp;"-"&amp;IF(AND(WEEKDAY(A1522)&gt;1,WEEKDAY(A1522)&lt;7),"Wkd",TEXT(A1522,"Ddd"))&amp;"-"&amp;TEXT(A1522,"hh"),LoadTable[],5,FALSE)*0.92</f>
        <v>295.12680000000006</v>
      </c>
      <c r="U1522" s="104">
        <f>VLOOKUP(TEXT(A1522,"yy-mm")&amp;"-"&amp;IF(AND(WEEKDAY(A1522)&gt;1,WEEKDAY(A1522)&lt;7),"Wkd",TEXT(A1522,"Ddd"))&amp;"-"&amp;TEXT(A1522,"hh"),LoadTable[],6,FALSE)*T1522</f>
        <v>18329.440167600005</v>
      </c>
      <c r="V1522">
        <f t="shared" ref="V1522:W1522" si="1614">V1498</f>
        <v>2.5</v>
      </c>
      <c r="W1522">
        <f t="shared" si="1614"/>
        <v>3.1</v>
      </c>
      <c r="X1522" s="9">
        <v>-57.6113633166662</v>
      </c>
    </row>
    <row r="1523" spans="1:24">
      <c r="A1523" s="29">
        <f t="shared" si="1564"/>
        <v>45899.333333329647</v>
      </c>
      <c r="B1523" s="30">
        <f t="shared" si="1588"/>
        <v>8000</v>
      </c>
      <c r="C1523" s="8">
        <v>25000</v>
      </c>
      <c r="D1523" s="8">
        <v>0</v>
      </c>
      <c r="E1523" s="8">
        <v>700</v>
      </c>
      <c r="F1523" s="8">
        <v>15000</v>
      </c>
      <c r="G1523" s="30">
        <f t="shared" si="1589"/>
        <v>2400</v>
      </c>
      <c r="H1523" s="8">
        <v>25000</v>
      </c>
      <c r="I1523" s="30">
        <f t="shared" si="1590"/>
        <v>8000</v>
      </c>
      <c r="J1523" s="8">
        <v>25000</v>
      </c>
      <c r="K1523" s="30">
        <f t="shared" si="159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15.03</v>
      </c>
      <c r="O1523" s="9">
        <v>13.5</v>
      </c>
      <c r="P1523" s="9">
        <v>19.5</v>
      </c>
      <c r="Q1523" s="79">
        <f>VLOOKUP(VLOOKUP(DATEVALUE(TEXT(A1523,"m/d/yyyy")),FY24_Temp[],5,FALSE)&amp;TEXT(A1523,"-h"),Table6[],4,FALSE)</f>
        <v>1.6568571329116821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VLOOKUP(TEXT(A1523,"yy-mm")&amp;"-"&amp;IF(AND(WEEKDAY(A1523)&gt;1,WEEKDAY(A1523)&lt;7),"Wkd",TEXT(A1523,"Ddd"))&amp;"-"&amp;TEXT(A1523,"hh"),LoadTable[],5,FALSE)*0.92</f>
        <v>295.12680000000006</v>
      </c>
      <c r="U1523" s="104">
        <f>VLOOKUP(TEXT(A1523,"yy-mm")&amp;"-"&amp;IF(AND(WEEKDAY(A1523)&gt;1,WEEKDAY(A1523)&lt;7),"Wkd",TEXT(A1523,"Ddd"))&amp;"-"&amp;TEXT(A1523,"hh"),LoadTable[],6,FALSE)*T1523</f>
        <v>15066.223140000002</v>
      </c>
      <c r="V1523">
        <f t="shared" ref="V1523:W1523" si="1615">V1499</f>
        <v>3.2</v>
      </c>
      <c r="W1523">
        <f t="shared" si="1615"/>
        <v>3</v>
      </c>
      <c r="X1523" s="9">
        <v>-57.6891578666662</v>
      </c>
    </row>
    <row r="1524" spans="1:24">
      <c r="A1524" s="29">
        <f t="shared" si="1564"/>
        <v>45899.374999996311</v>
      </c>
      <c r="B1524" s="30">
        <f t="shared" si="1588"/>
        <v>8000</v>
      </c>
      <c r="C1524" s="8">
        <v>25000</v>
      </c>
      <c r="D1524" s="8">
        <v>0</v>
      </c>
      <c r="E1524" s="8">
        <v>700</v>
      </c>
      <c r="F1524" s="8">
        <v>15000</v>
      </c>
      <c r="G1524" s="30">
        <f t="shared" si="1589"/>
        <v>2400</v>
      </c>
      <c r="H1524" s="8">
        <v>25000</v>
      </c>
      <c r="I1524" s="30">
        <f t="shared" si="1590"/>
        <v>8000</v>
      </c>
      <c r="J1524" s="8">
        <v>25000</v>
      </c>
      <c r="K1524" s="30">
        <f t="shared" si="159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15.03</v>
      </c>
      <c r="O1524" s="9">
        <v>13.5</v>
      </c>
      <c r="P1524" s="9">
        <v>19.5</v>
      </c>
      <c r="Q1524" s="79">
        <f>VLOOKUP(VLOOKUP(DATEVALUE(TEXT(A1524,"m/d/yyyy")),FY24_Temp[],5,FALSE)&amp;TEXT(A1524,"-h"),Table6[],4,FALSE)</f>
        <v>1.5618571383612496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VLOOKUP(TEXT(A1524,"yy-mm")&amp;"-"&amp;IF(AND(WEEKDAY(A1524)&gt;1,WEEKDAY(A1524)&lt;7),"Wkd",TEXT(A1524,"Ddd"))&amp;"-"&amp;TEXT(A1524,"hh"),LoadTable[],5,FALSE)*0.92</f>
        <v>295.12680000000006</v>
      </c>
      <c r="U1524" s="104">
        <f>VLOOKUP(TEXT(A1524,"yy-mm")&amp;"-"&amp;IF(AND(WEEKDAY(A1524)&gt;1,WEEKDAY(A1524)&lt;7),"Wkd",TEXT(A1524,"Ddd"))&amp;"-"&amp;TEXT(A1524,"hh"),LoadTable[],6,FALSE)*T1524</f>
        <v>13543.663978800003</v>
      </c>
      <c r="V1524">
        <f t="shared" ref="V1524:W1524" si="1616">V1500</f>
        <v>2.9</v>
      </c>
      <c r="W1524">
        <f t="shared" si="1616"/>
        <v>3</v>
      </c>
      <c r="X1524" s="9">
        <v>-57.7669524166662</v>
      </c>
    </row>
    <row r="1525" spans="1:24">
      <c r="A1525" s="29">
        <f t="shared" si="1564"/>
        <v>45899.416666662975</v>
      </c>
      <c r="B1525" s="30">
        <f t="shared" si="1588"/>
        <v>8000</v>
      </c>
      <c r="C1525" s="8">
        <v>25000</v>
      </c>
      <c r="D1525" s="8">
        <v>0</v>
      </c>
      <c r="E1525" s="8">
        <v>700</v>
      </c>
      <c r="F1525" s="8">
        <v>15000</v>
      </c>
      <c r="G1525" s="30">
        <f t="shared" si="1589"/>
        <v>2400</v>
      </c>
      <c r="H1525" s="8">
        <v>25000</v>
      </c>
      <c r="I1525" s="30">
        <f t="shared" si="1590"/>
        <v>8000</v>
      </c>
      <c r="J1525" s="8">
        <v>25000</v>
      </c>
      <c r="K1525" s="30">
        <f t="shared" si="159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15.03</v>
      </c>
      <c r="O1525" s="9">
        <v>13.5</v>
      </c>
      <c r="P1525" s="9">
        <v>19.5</v>
      </c>
      <c r="Q1525" s="79">
        <f>VLOOKUP(VLOOKUP(DATEVALUE(TEXT(A1525,"m/d/yyyy")),FY24_Temp[],5,FALSE)&amp;TEXT(A1525,"-h"),Table6[],4,FALSE)</f>
        <v>1.4821428230830602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VLOOKUP(TEXT(A1525,"yy-mm")&amp;"-"&amp;IF(AND(WEEKDAY(A1525)&gt;1,WEEKDAY(A1525)&lt;7),"Wkd",TEXT(A1525,"Ddd"))&amp;"-"&amp;TEXT(A1525,"hh"),LoadTable[],5,FALSE)*0.92</f>
        <v>295.12680000000006</v>
      </c>
      <c r="U1525" s="104">
        <f>VLOOKUP(TEXT(A1525,"yy-mm")&amp;"-"&amp;IF(AND(WEEKDAY(A1525)&gt;1,WEEKDAY(A1525)&lt;7),"Wkd",TEXT(A1525,"Ddd"))&amp;"-"&amp;TEXT(A1525,"hh"),LoadTable[],6,FALSE)*T1525</f>
        <v>13519.168454400002</v>
      </c>
      <c r="V1525">
        <f t="shared" ref="V1525:W1525" si="1617">V1501</f>
        <v>2.9</v>
      </c>
      <c r="W1525">
        <f t="shared" si="1617"/>
        <v>3</v>
      </c>
      <c r="X1525" s="9">
        <v>-57.8447469666662</v>
      </c>
    </row>
    <row r="1526" spans="1:24">
      <c r="A1526" s="29">
        <f t="shared" si="1564"/>
        <v>45899.45833332964</v>
      </c>
      <c r="B1526" s="30">
        <f t="shared" si="1588"/>
        <v>8000</v>
      </c>
      <c r="C1526" s="8">
        <v>25000</v>
      </c>
      <c r="D1526" s="8">
        <v>0</v>
      </c>
      <c r="E1526" s="8">
        <v>700</v>
      </c>
      <c r="F1526" s="8">
        <v>15000</v>
      </c>
      <c r="G1526" s="30">
        <f t="shared" si="1589"/>
        <v>2400</v>
      </c>
      <c r="H1526" s="8">
        <v>25000</v>
      </c>
      <c r="I1526" s="30">
        <f t="shared" si="1590"/>
        <v>8000</v>
      </c>
      <c r="J1526" s="8">
        <v>25000</v>
      </c>
      <c r="K1526" s="30">
        <f t="shared" si="159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15.03</v>
      </c>
      <c r="O1526" s="9">
        <v>13.5</v>
      </c>
      <c r="P1526" s="9">
        <v>19.5</v>
      </c>
      <c r="Q1526" s="79">
        <f>VLOOKUP(VLOOKUP(DATEVALUE(TEXT(A1526,"m/d/yyyy")),FY24_Temp[],5,FALSE)&amp;TEXT(A1526,"-h"),Table6[],4,FALSE)</f>
        <v>1.3825714247567313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VLOOKUP(TEXT(A1526,"yy-mm")&amp;"-"&amp;IF(AND(WEEKDAY(A1526)&gt;1,WEEKDAY(A1526)&lt;7),"Wkd",TEXT(A1526,"Ddd"))&amp;"-"&amp;TEXT(A1526,"hh"),LoadTable[],5,FALSE)*0.92</f>
        <v>295.12680000000006</v>
      </c>
      <c r="U1526" s="104">
        <f>VLOOKUP(TEXT(A1526,"yy-mm")&amp;"-"&amp;IF(AND(WEEKDAY(A1526)&gt;1,WEEKDAY(A1526)&lt;7),"Wkd",TEXT(A1526,"Ddd"))&amp;"-"&amp;TEXT(A1526,"hh"),LoadTable[],6,FALSE)*T1526</f>
        <v>13493.492422800002</v>
      </c>
      <c r="V1526">
        <f t="shared" ref="V1526:W1526" si="1618">V1502</f>
        <v>3.4</v>
      </c>
      <c r="W1526">
        <f t="shared" si="1618"/>
        <v>3</v>
      </c>
      <c r="X1526" s="9">
        <v>-57.9225415166662</v>
      </c>
    </row>
    <row r="1527" spans="1:24">
      <c r="A1527" s="29">
        <f t="shared" si="1564"/>
        <v>45899.499999996304</v>
      </c>
      <c r="B1527" s="30">
        <f t="shared" si="1588"/>
        <v>8000</v>
      </c>
      <c r="C1527" s="8">
        <v>25000</v>
      </c>
      <c r="D1527" s="8">
        <v>0</v>
      </c>
      <c r="E1527" s="8">
        <v>700</v>
      </c>
      <c r="F1527" s="8">
        <v>15000</v>
      </c>
      <c r="G1527" s="30">
        <f t="shared" si="1589"/>
        <v>2400</v>
      </c>
      <c r="H1527" s="8">
        <v>25000</v>
      </c>
      <c r="I1527" s="30">
        <f t="shared" si="1590"/>
        <v>8000</v>
      </c>
      <c r="J1527" s="8">
        <v>25000</v>
      </c>
      <c r="K1527" s="30">
        <f t="shared" si="159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15.03</v>
      </c>
      <c r="O1527" s="9">
        <v>13.5</v>
      </c>
      <c r="P1527" s="9">
        <v>19.5</v>
      </c>
      <c r="Q1527" s="79">
        <f>VLOOKUP(VLOOKUP(DATEVALUE(TEXT(A1527,"m/d/yyyy")),FY24_Temp[],5,FALSE)&amp;TEXT(A1527,"-h"),Table6[],4,FALSE)</f>
        <v>1.2544285740171159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VLOOKUP(TEXT(A1527,"yy-mm")&amp;"-"&amp;IF(AND(WEEKDAY(A1527)&gt;1,WEEKDAY(A1527)&lt;7),"Wkd",TEXT(A1527,"Ddd"))&amp;"-"&amp;TEXT(A1527,"hh"),LoadTable[],5,FALSE)*0.92</f>
        <v>295.12680000000006</v>
      </c>
      <c r="U1527" s="104">
        <f>VLOOKUP(TEXT(A1527,"yy-mm")&amp;"-"&amp;IF(AND(WEEKDAY(A1527)&gt;1,WEEKDAY(A1527)&lt;7),"Wkd",TEXT(A1527,"Ddd"))&amp;"-"&amp;TEXT(A1527,"hh"),LoadTable[],6,FALSE)*T1527</f>
        <v>13497.624198000003</v>
      </c>
      <c r="V1527">
        <f t="shared" ref="V1527:W1527" si="1619">V1503</f>
        <v>3.1</v>
      </c>
      <c r="W1527">
        <f t="shared" si="1619"/>
        <v>2.9</v>
      </c>
      <c r="X1527" s="9">
        <v>-58.0003360666662</v>
      </c>
    </row>
    <row r="1528" spans="1:24">
      <c r="A1528" s="29">
        <f t="shared" si="1564"/>
        <v>45899.541666662968</v>
      </c>
      <c r="B1528" s="30">
        <f t="shared" si="1588"/>
        <v>8000</v>
      </c>
      <c r="C1528" s="8">
        <v>25000</v>
      </c>
      <c r="D1528" s="8">
        <v>0</v>
      </c>
      <c r="E1528" s="8">
        <v>700</v>
      </c>
      <c r="F1528" s="8">
        <v>15000</v>
      </c>
      <c r="G1528" s="30">
        <f t="shared" si="1589"/>
        <v>2400</v>
      </c>
      <c r="H1528" s="8">
        <v>25000</v>
      </c>
      <c r="I1528" s="30">
        <f t="shared" si="1590"/>
        <v>8000</v>
      </c>
      <c r="J1528" s="8">
        <v>25000</v>
      </c>
      <c r="K1528" s="30">
        <f t="shared" si="159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15.03</v>
      </c>
      <c r="O1528" s="9">
        <v>13.5</v>
      </c>
      <c r="P1528" s="9">
        <v>19.5</v>
      </c>
      <c r="Q1528" s="79">
        <f>VLOOKUP(VLOOKUP(DATEVALUE(TEXT(A1528,"m/d/yyyy")),FY24_Temp[],5,FALSE)&amp;TEXT(A1528,"-h"),Table6[],4,FALSE)</f>
        <v>1.0944285563060216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VLOOKUP(TEXT(A1528,"yy-mm")&amp;"-"&amp;IF(AND(WEEKDAY(A1528)&gt;1,WEEKDAY(A1528)&lt;7),"Wkd",TEXT(A1528,"Ddd"))&amp;"-"&amp;TEXT(A1528,"hh"),LoadTable[],5,FALSE)*0.92</f>
        <v>295.12680000000006</v>
      </c>
      <c r="U1528" s="104">
        <f>VLOOKUP(TEXT(A1528,"yy-mm")&amp;"-"&amp;IF(AND(WEEKDAY(A1528)&gt;1,WEEKDAY(A1528)&lt;7),"Wkd",TEXT(A1528,"Ddd"))&amp;"-"&amp;TEXT(A1528,"hh"),LoadTable[],6,FALSE)*T1528</f>
        <v>13523.005102800002</v>
      </c>
      <c r="V1528">
        <f t="shared" ref="V1528:W1528" si="1620">V1504</f>
        <v>3.2</v>
      </c>
      <c r="W1528">
        <f t="shared" si="1620"/>
        <v>2.9</v>
      </c>
      <c r="X1528" s="9">
        <v>-58.078130616666201</v>
      </c>
    </row>
    <row r="1529" spans="1:24">
      <c r="A1529" s="29">
        <f t="shared" si="1564"/>
        <v>45899.583333329632</v>
      </c>
      <c r="B1529" s="30">
        <f t="shared" si="1588"/>
        <v>8000</v>
      </c>
      <c r="C1529" s="8">
        <v>25000</v>
      </c>
      <c r="D1529" s="8">
        <v>0</v>
      </c>
      <c r="E1529" s="8">
        <v>700</v>
      </c>
      <c r="F1529" s="8">
        <v>15000</v>
      </c>
      <c r="G1529" s="30">
        <f t="shared" si="1589"/>
        <v>2400</v>
      </c>
      <c r="H1529" s="8">
        <v>25000</v>
      </c>
      <c r="I1529" s="30">
        <f t="shared" si="1590"/>
        <v>8000</v>
      </c>
      <c r="J1529" s="8">
        <v>25000</v>
      </c>
      <c r="K1529" s="30">
        <f t="shared" si="159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15.03</v>
      </c>
      <c r="O1529" s="9">
        <v>13.5</v>
      </c>
      <c r="P1529" s="9">
        <v>19.5</v>
      </c>
      <c r="Q1529" s="79">
        <f>VLOOKUP(VLOOKUP(DATEVALUE(TEXT(A1529,"m/d/yyyy")),FY24_Temp[],5,FALSE)&amp;TEXT(A1529,"-h"),Table6[],4,FALSE)</f>
        <v>0.91900000401905602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VLOOKUP(TEXT(A1529,"yy-mm")&amp;"-"&amp;IF(AND(WEEKDAY(A1529)&gt;1,WEEKDAY(A1529)&lt;7),"Wkd",TEXT(A1529,"Ddd"))&amp;"-"&amp;TEXT(A1529,"hh"),LoadTable[],5,FALSE)*0.92</f>
        <v>295.12680000000006</v>
      </c>
      <c r="U1529" s="104">
        <f>VLOOKUP(TEXT(A1529,"yy-mm")&amp;"-"&amp;IF(AND(WEEKDAY(A1529)&gt;1,WEEKDAY(A1529)&lt;7),"Wkd",TEXT(A1529,"Ddd"))&amp;"-"&amp;TEXT(A1529,"hh"),LoadTable[],6,FALSE)*T1529</f>
        <v>13610.952889200003</v>
      </c>
      <c r="V1529">
        <f t="shared" ref="V1529:W1529" si="1621">V1505</f>
        <v>3.5</v>
      </c>
      <c r="W1529">
        <f t="shared" si="1621"/>
        <v>2.9</v>
      </c>
      <c r="X1529" s="9">
        <v>-58.155925166666201</v>
      </c>
    </row>
    <row r="1530" spans="1:24">
      <c r="A1530" s="29">
        <f t="shared" si="1564"/>
        <v>45899.624999996297</v>
      </c>
      <c r="B1530" s="30">
        <f t="shared" si="1588"/>
        <v>8000</v>
      </c>
      <c r="C1530" s="8">
        <v>25000</v>
      </c>
      <c r="D1530" s="8">
        <v>0</v>
      </c>
      <c r="E1530" s="8">
        <v>700</v>
      </c>
      <c r="F1530" s="8">
        <v>15000</v>
      </c>
      <c r="G1530" s="30">
        <f t="shared" si="1589"/>
        <v>2400</v>
      </c>
      <c r="H1530" s="8">
        <v>25000</v>
      </c>
      <c r="I1530" s="30">
        <f t="shared" si="1590"/>
        <v>8000</v>
      </c>
      <c r="J1530" s="8">
        <v>25000</v>
      </c>
      <c r="K1530" s="30">
        <f t="shared" si="159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15.03</v>
      </c>
      <c r="O1530" s="9">
        <v>13.5</v>
      </c>
      <c r="P1530" s="9">
        <v>19.5</v>
      </c>
      <c r="Q1530" s="79">
        <f>VLOOKUP(VLOOKUP(DATEVALUE(TEXT(A1530,"m/d/yyyy")),FY24_Temp[],5,FALSE)&amp;TEXT(A1530,"-h"),Table6[],4,FALSE)</f>
        <v>0.76014286279678345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VLOOKUP(TEXT(A1530,"yy-mm")&amp;"-"&amp;IF(AND(WEEKDAY(A1530)&gt;1,WEEKDAY(A1530)&lt;7),"Wkd",TEXT(A1530,"Ddd"))&amp;"-"&amp;TEXT(A1530,"hh"),LoadTable[],5,FALSE)*0.92</f>
        <v>347.07460000000003</v>
      </c>
      <c r="U1530" s="104">
        <f>VLOOKUP(TEXT(A1530,"yy-mm")&amp;"-"&amp;IF(AND(WEEKDAY(A1530)&gt;1,WEEKDAY(A1530)&lt;7),"Wkd",TEXT(A1530,"Ddd"))&amp;"-"&amp;TEXT(A1530,"hh"),LoadTable[],6,FALSE)*T1530</f>
        <v>17934.732880400003</v>
      </c>
      <c r="V1530">
        <f t="shared" ref="V1530:W1530" si="1622">V1506</f>
        <v>3.2</v>
      </c>
      <c r="W1530">
        <f t="shared" si="1622"/>
        <v>2.9</v>
      </c>
      <c r="X1530" s="9">
        <v>-58.233719716666201</v>
      </c>
    </row>
    <row r="1531" spans="1:24">
      <c r="A1531" s="29">
        <f t="shared" si="1564"/>
        <v>45899.666666662961</v>
      </c>
      <c r="B1531" s="30">
        <f t="shared" si="1588"/>
        <v>8000</v>
      </c>
      <c r="C1531" s="8">
        <v>25000</v>
      </c>
      <c r="D1531" s="8">
        <v>0</v>
      </c>
      <c r="E1531" s="8">
        <v>700</v>
      </c>
      <c r="F1531" s="8">
        <v>15000</v>
      </c>
      <c r="G1531" s="30">
        <f t="shared" si="1589"/>
        <v>2400</v>
      </c>
      <c r="H1531" s="8">
        <v>25000</v>
      </c>
      <c r="I1531" s="30">
        <f t="shared" si="1590"/>
        <v>8000</v>
      </c>
      <c r="J1531" s="8">
        <v>25000</v>
      </c>
      <c r="K1531" s="30">
        <f t="shared" si="159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15.03</v>
      </c>
      <c r="O1531" s="9">
        <v>13.5</v>
      </c>
      <c r="P1531" s="9">
        <v>19.5</v>
      </c>
      <c r="Q1531" s="79">
        <f>VLOOKUP(VLOOKUP(DATEVALUE(TEXT(A1531,"m/d/yyyy")),FY24_Temp[],5,FALSE)&amp;TEXT(A1531,"-h"),Table6[],4,FALSE)</f>
        <v>0.67185714415141518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VLOOKUP(TEXT(A1531,"yy-mm")&amp;"-"&amp;IF(AND(WEEKDAY(A1531)&gt;1,WEEKDAY(A1531)&lt;7),"Wkd",TEXT(A1531,"Ddd"))&amp;"-"&amp;TEXT(A1531,"hh"),LoadTable[],5,FALSE)*0.92</f>
        <v>406.27384000000001</v>
      </c>
      <c r="U1531" s="104">
        <f>VLOOKUP(TEXT(A1531,"yy-mm")&amp;"-"&amp;IF(AND(WEEKDAY(A1531)&gt;1,WEEKDAY(A1531)&lt;7),"Wkd",TEXT(A1531,"Ddd"))&amp;"-"&amp;TEXT(A1531,"hh"),LoadTable[],6,FALSE)*T1531</f>
        <v>24574.692033920001</v>
      </c>
      <c r="V1531">
        <f t="shared" ref="V1531:W1531" si="1623">V1507</f>
        <v>3.5</v>
      </c>
      <c r="W1531">
        <f t="shared" si="1623"/>
        <v>3</v>
      </c>
      <c r="X1531" s="9">
        <v>-58.311514266666201</v>
      </c>
    </row>
    <row r="1532" spans="1:24">
      <c r="A1532" s="29">
        <f t="shared" si="1564"/>
        <v>45899.708333329625</v>
      </c>
      <c r="B1532" s="30">
        <f t="shared" si="1588"/>
        <v>8000</v>
      </c>
      <c r="C1532" s="8">
        <v>25000</v>
      </c>
      <c r="D1532" s="8">
        <v>0</v>
      </c>
      <c r="E1532" s="8">
        <v>700</v>
      </c>
      <c r="F1532" s="8">
        <v>15000</v>
      </c>
      <c r="G1532" s="30">
        <f t="shared" si="1589"/>
        <v>2400</v>
      </c>
      <c r="H1532" s="8">
        <v>25000</v>
      </c>
      <c r="I1532" s="30">
        <f t="shared" si="1590"/>
        <v>8000</v>
      </c>
      <c r="J1532" s="8">
        <v>25000</v>
      </c>
      <c r="K1532" s="30">
        <f t="shared" si="159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15.03</v>
      </c>
      <c r="O1532" s="9">
        <v>13.5</v>
      </c>
      <c r="P1532" s="9">
        <v>19.5</v>
      </c>
      <c r="Q1532" s="79">
        <f>VLOOKUP(VLOOKUP(DATEVALUE(TEXT(A1532,"m/d/yyyy")),FY24_Temp[],5,FALSE)&amp;TEXT(A1532,"-h"),Table6[],4,FALSE)</f>
        <v>0.80171428407941547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VLOOKUP(TEXT(A1532,"yy-mm")&amp;"-"&amp;IF(AND(WEEKDAY(A1532)&gt;1,WEEKDAY(A1532)&lt;7),"Wkd",TEXT(A1532,"Ddd"))&amp;"-"&amp;TEXT(A1532,"hh"),LoadTable[],5,FALSE)*0.92</f>
        <v>521.92427999999995</v>
      </c>
      <c r="U1532" s="104">
        <f>VLOOKUP(TEXT(A1532,"yy-mm")&amp;"-"&amp;IF(AND(WEEKDAY(A1532)&gt;1,WEEKDAY(A1532)&lt;7),"Wkd",TEXT(A1532,"Ddd"))&amp;"-"&amp;TEXT(A1532,"hh"),LoadTable[],6,FALSE)*T1532</f>
        <v>43053.011932919995</v>
      </c>
      <c r="V1532">
        <f t="shared" ref="V1532:W1532" si="1624">V1508</f>
        <v>3.6</v>
      </c>
      <c r="W1532">
        <f t="shared" si="1624"/>
        <v>3</v>
      </c>
      <c r="X1532" s="9">
        <v>-58.389308816666201</v>
      </c>
    </row>
    <row r="1533" spans="1:24">
      <c r="A1533" s="29">
        <f t="shared" si="1564"/>
        <v>45899.749999996289</v>
      </c>
      <c r="B1533" s="30">
        <f t="shared" si="1588"/>
        <v>5000</v>
      </c>
      <c r="C1533" s="8">
        <v>25000</v>
      </c>
      <c r="D1533" s="8">
        <v>0</v>
      </c>
      <c r="E1533" s="8">
        <v>700</v>
      </c>
      <c r="F1533" s="8">
        <v>15000</v>
      </c>
      <c r="G1533" s="30">
        <f t="shared" si="1589"/>
        <v>2400</v>
      </c>
      <c r="H1533" s="8">
        <v>25000</v>
      </c>
      <c r="I1533" s="30">
        <f t="shared" si="1590"/>
        <v>5000</v>
      </c>
      <c r="J1533" s="8">
        <v>25000</v>
      </c>
      <c r="K1533" s="30">
        <f t="shared" si="159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15.03</v>
      </c>
      <c r="O1533" s="9">
        <v>13.5</v>
      </c>
      <c r="P1533" s="9">
        <v>19.5</v>
      </c>
      <c r="Q1533" s="79">
        <f>VLOOKUP(VLOOKUP(DATEVALUE(TEXT(A1533,"m/d/yyyy")),FY24_Temp[],5,FALSE)&amp;TEXT(A1533,"-h"),Table6[],4,FALSE)</f>
        <v>1.1738571269171578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VLOOKUP(TEXT(A1533,"yy-mm")&amp;"-"&amp;IF(AND(WEEKDAY(A1533)&gt;1,WEEKDAY(A1533)&lt;7),"Wkd",TEXT(A1533,"Ddd"))&amp;"-"&amp;TEXT(A1533,"hh"),LoadTable[],5,FALSE)*0.92</f>
        <v>521.92427999999995</v>
      </c>
      <c r="U1533" s="104">
        <f>VLOOKUP(TEXT(A1533,"yy-mm")&amp;"-"&amp;IF(AND(WEEKDAY(A1533)&gt;1,WEEKDAY(A1533)&lt;7),"Wkd",TEXT(A1533,"Ddd"))&amp;"-"&amp;TEXT(A1533,"hh"),LoadTable[],6,FALSE)*T1533</f>
        <v>63421.628884199992</v>
      </c>
      <c r="V1533">
        <f t="shared" ref="V1533:W1533" si="1625">V1509</f>
        <v>2.9</v>
      </c>
      <c r="W1533">
        <f t="shared" si="1625"/>
        <v>3</v>
      </c>
      <c r="X1533" s="9">
        <v>-58.467103366666201</v>
      </c>
    </row>
    <row r="1534" spans="1:24">
      <c r="A1534" s="29">
        <f t="shared" si="1564"/>
        <v>45899.791666662954</v>
      </c>
      <c r="B1534" s="30">
        <f t="shared" si="1588"/>
        <v>5000</v>
      </c>
      <c r="C1534" s="8">
        <v>25000</v>
      </c>
      <c r="D1534" s="8">
        <v>0</v>
      </c>
      <c r="E1534" s="8">
        <v>700</v>
      </c>
      <c r="F1534" s="8">
        <v>15000</v>
      </c>
      <c r="G1534" s="30">
        <f t="shared" si="1589"/>
        <v>2400</v>
      </c>
      <c r="H1534" s="8">
        <v>25000</v>
      </c>
      <c r="I1534" s="30">
        <f t="shared" si="1590"/>
        <v>5000</v>
      </c>
      <c r="J1534" s="8">
        <v>25000</v>
      </c>
      <c r="K1534" s="30">
        <f t="shared" si="159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15.03</v>
      </c>
      <c r="O1534" s="9">
        <v>13.5</v>
      </c>
      <c r="P1534" s="9">
        <v>19.5</v>
      </c>
      <c r="Q1534" s="79">
        <f>VLOOKUP(VLOOKUP(DATEVALUE(TEXT(A1534,"m/d/yyyy")),FY24_Temp[],5,FALSE)&amp;TEXT(A1534,"-h"),Table6[],4,FALSE)</f>
        <v>1.9135714258466447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VLOOKUP(TEXT(A1534,"yy-mm")&amp;"-"&amp;IF(AND(WEEKDAY(A1534)&gt;1,WEEKDAY(A1534)&lt;7),"Wkd",TEXT(A1534,"Ddd"))&amp;"-"&amp;TEXT(A1534,"hh"),LoadTable[],5,FALSE)*0.92</f>
        <v>521.92427999999995</v>
      </c>
      <c r="U1534" s="104">
        <f>VLOOKUP(TEXT(A1534,"yy-mm")&amp;"-"&amp;IF(AND(WEEKDAY(A1534)&gt;1,WEEKDAY(A1534)&lt;7),"Wkd",TEXT(A1534,"Ddd"))&amp;"-"&amp;TEXT(A1534,"hh"),LoadTable[],6,FALSE)*T1534</f>
        <v>68432.101972200006</v>
      </c>
      <c r="V1534">
        <f t="shared" ref="V1534:W1534" si="1626">V1510</f>
        <v>3</v>
      </c>
      <c r="W1534">
        <f t="shared" si="1626"/>
        <v>3</v>
      </c>
      <c r="X1534" s="9">
        <v>-58.544897916666201</v>
      </c>
    </row>
    <row r="1535" spans="1:24">
      <c r="A1535" s="29">
        <f t="shared" si="1564"/>
        <v>45899.833333329618</v>
      </c>
      <c r="B1535" s="30">
        <f t="shared" si="1588"/>
        <v>5000</v>
      </c>
      <c r="C1535" s="8">
        <v>25000</v>
      </c>
      <c r="D1535" s="8">
        <v>0</v>
      </c>
      <c r="E1535" s="8">
        <v>700</v>
      </c>
      <c r="F1535" s="8">
        <v>15000</v>
      </c>
      <c r="G1535" s="30">
        <f t="shared" si="1589"/>
        <v>2400</v>
      </c>
      <c r="H1535" s="8">
        <v>25000</v>
      </c>
      <c r="I1535" s="30">
        <f t="shared" si="1590"/>
        <v>5000</v>
      </c>
      <c r="J1535" s="8">
        <v>25000</v>
      </c>
      <c r="K1535" s="30">
        <f t="shared" si="159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15.03</v>
      </c>
      <c r="O1535" s="9">
        <v>13.5</v>
      </c>
      <c r="P1535" s="9">
        <v>19.5</v>
      </c>
      <c r="Q1535" s="79">
        <f>VLOOKUP(VLOOKUP(DATEVALUE(TEXT(A1535,"m/d/yyyy")),FY24_Temp[],5,FALSE)&amp;TEXT(A1535,"-h"),Table6[],4,FALSE)</f>
        <v>2.6564285755157471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VLOOKUP(TEXT(A1535,"yy-mm")&amp;"-"&amp;IF(AND(WEEKDAY(A1535)&gt;1,WEEKDAY(A1535)&lt;7),"Wkd",TEXT(A1535,"Ddd"))&amp;"-"&amp;TEXT(A1535,"hh"),LoadTable[],5,FALSE)*0.92</f>
        <v>521.92427999999995</v>
      </c>
      <c r="U1535" s="104">
        <f>VLOOKUP(TEXT(A1535,"yy-mm")&amp;"-"&amp;IF(AND(WEEKDAY(A1535)&gt;1,WEEKDAY(A1535)&lt;7),"Wkd",TEXT(A1535,"Ddd"))&amp;"-"&amp;TEXT(A1535,"hh"),LoadTable[],6,FALSE)*T1535</f>
        <v>60683.092187039998</v>
      </c>
      <c r="V1535">
        <f t="shared" ref="V1535:W1535" si="1627">V1511</f>
        <v>2.8</v>
      </c>
      <c r="W1535">
        <f t="shared" si="1627"/>
        <v>3.1</v>
      </c>
      <c r="X1535" s="9">
        <v>-58.622692466666201</v>
      </c>
    </row>
    <row r="1536" spans="1:24">
      <c r="A1536" s="29">
        <f t="shared" si="1564"/>
        <v>45899.874999996282</v>
      </c>
      <c r="B1536" s="30">
        <f t="shared" si="1588"/>
        <v>5000</v>
      </c>
      <c r="C1536" s="8">
        <v>25000</v>
      </c>
      <c r="D1536" s="8">
        <v>0</v>
      </c>
      <c r="E1536" s="8">
        <v>700</v>
      </c>
      <c r="F1536" s="8">
        <v>15000</v>
      </c>
      <c r="G1536" s="30">
        <f t="shared" si="1589"/>
        <v>2400</v>
      </c>
      <c r="H1536" s="8">
        <v>25000</v>
      </c>
      <c r="I1536" s="30">
        <f t="shared" si="1590"/>
        <v>5000</v>
      </c>
      <c r="J1536" s="8">
        <v>25000</v>
      </c>
      <c r="K1536" s="30">
        <f t="shared" si="159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15.03</v>
      </c>
      <c r="O1536" s="9">
        <v>13.5</v>
      </c>
      <c r="P1536" s="9">
        <v>19.5</v>
      </c>
      <c r="Q1536" s="79">
        <f>VLOOKUP(VLOOKUP(DATEVALUE(TEXT(A1536,"m/d/yyyy")),FY24_Temp[],5,FALSE)&amp;TEXT(A1536,"-h"),Table6[],4,FALSE)</f>
        <v>2.854142870221819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VLOOKUP(TEXT(A1536,"yy-mm")&amp;"-"&amp;IF(AND(WEEKDAY(A1536)&gt;1,WEEKDAY(A1536)&lt;7),"Wkd",TEXT(A1536,"Ddd"))&amp;"-"&amp;TEXT(A1536,"hh"),LoadTable[],5,FALSE)*0.92</f>
        <v>521.92427999999995</v>
      </c>
      <c r="U1536" s="104">
        <f>VLOOKUP(TEXT(A1536,"yy-mm")&amp;"-"&amp;IF(AND(WEEKDAY(A1536)&gt;1,WEEKDAY(A1536)&lt;7),"Wkd",TEXT(A1536,"Ddd"))&amp;"-"&amp;TEXT(A1536,"hh"),LoadTable[],6,FALSE)*T1536</f>
        <v>49717.463064239993</v>
      </c>
      <c r="V1536">
        <f t="shared" ref="V1536:W1536" si="1628">V1512</f>
        <v>3.5</v>
      </c>
      <c r="W1536">
        <f t="shared" si="1628"/>
        <v>3.1</v>
      </c>
      <c r="X1536" s="9">
        <v>-58.700487016666202</v>
      </c>
    </row>
    <row r="1537" spans="1:24">
      <c r="A1537" s="29">
        <f t="shared" si="1564"/>
        <v>45899.916666662946</v>
      </c>
      <c r="B1537" s="30">
        <f t="shared" si="1588"/>
        <v>5000</v>
      </c>
      <c r="C1537" s="8">
        <v>25000</v>
      </c>
      <c r="D1537" s="8">
        <v>0</v>
      </c>
      <c r="E1537" s="8">
        <v>700</v>
      </c>
      <c r="F1537" s="8">
        <v>15000</v>
      </c>
      <c r="G1537" s="30">
        <f t="shared" si="1589"/>
        <v>2400</v>
      </c>
      <c r="H1537" s="8">
        <v>25000</v>
      </c>
      <c r="I1537" s="30">
        <f t="shared" si="1590"/>
        <v>5000</v>
      </c>
      <c r="J1537" s="8">
        <v>25000</v>
      </c>
      <c r="K1537" s="30">
        <f t="shared" si="159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15.03</v>
      </c>
      <c r="O1537" s="9">
        <v>13.5</v>
      </c>
      <c r="P1537" s="9">
        <v>19.5</v>
      </c>
      <c r="Q1537" s="79">
        <f>VLOOKUP(VLOOKUP(DATEVALUE(TEXT(A1537,"m/d/yyyy")),FY24_Temp[],5,FALSE)&amp;TEXT(A1537,"-h"),Table6[],4,FALSE)</f>
        <v>2.8205713544573103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VLOOKUP(TEXT(A1537,"yy-mm")&amp;"-"&amp;IF(AND(WEEKDAY(A1537)&gt;1,WEEKDAY(A1537)&lt;7),"Wkd",TEXT(A1537,"Ddd"))&amp;"-"&amp;TEXT(A1537,"hh"),LoadTable[],5,FALSE)*0.92</f>
        <v>447.02432000000005</v>
      </c>
      <c r="U1537" s="104">
        <f>VLOOKUP(TEXT(A1537,"yy-mm")&amp;"-"&amp;IF(AND(WEEKDAY(A1537)&gt;1,WEEKDAY(A1537)&lt;7),"Wkd",TEXT(A1537,"Ddd"))&amp;"-"&amp;TEXT(A1537,"hh"),LoadTable[],6,FALSE)*T1537</f>
        <v>27025.302289920004</v>
      </c>
      <c r="V1537">
        <f t="shared" ref="V1537:W1537" si="1629">V1513</f>
        <v>2.9</v>
      </c>
      <c r="W1537">
        <f t="shared" si="1629"/>
        <v>3.1</v>
      </c>
      <c r="X1537" s="9">
        <v>-58.778281566666202</v>
      </c>
    </row>
    <row r="1538" spans="1:24">
      <c r="A1538" s="29">
        <f t="shared" si="1564"/>
        <v>45899.95833332961</v>
      </c>
      <c r="B1538" s="30">
        <f t="shared" si="1588"/>
        <v>5000</v>
      </c>
      <c r="C1538" s="8">
        <v>25000</v>
      </c>
      <c r="D1538" s="8">
        <v>0</v>
      </c>
      <c r="E1538" s="8">
        <v>700</v>
      </c>
      <c r="F1538" s="8">
        <v>15000</v>
      </c>
      <c r="G1538" s="30">
        <f t="shared" si="1589"/>
        <v>2400</v>
      </c>
      <c r="H1538" s="8">
        <v>25000</v>
      </c>
      <c r="I1538" s="30">
        <f t="shared" si="1590"/>
        <v>5000</v>
      </c>
      <c r="J1538" s="8">
        <v>25000</v>
      </c>
      <c r="K1538" s="30">
        <f t="shared" si="159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15.03</v>
      </c>
      <c r="O1538" s="9">
        <v>13.5</v>
      </c>
      <c r="P1538" s="9">
        <v>19.5</v>
      </c>
      <c r="Q1538" s="79">
        <f>VLOOKUP(VLOOKUP(DATEVALUE(TEXT(A1538,"m/d/yyyy")),FY24_Temp[],5,FALSE)&amp;TEXT(A1538,"-h"),Table6[],4,FALSE)</f>
        <v>2.7085714680807933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VLOOKUP(TEXT(A1538,"yy-mm")&amp;"-"&amp;IF(AND(WEEKDAY(A1538)&gt;1,WEEKDAY(A1538)&lt;7),"Wkd",TEXT(A1538,"Ddd"))&amp;"-"&amp;TEXT(A1538,"hh"),LoadTable[],5,FALSE)*0.92</f>
        <v>372.12436000000002</v>
      </c>
      <c r="U1538" s="104">
        <f>VLOOKUP(TEXT(A1538,"yy-mm")&amp;"-"&amp;IF(AND(WEEKDAY(A1538)&gt;1,WEEKDAY(A1538)&lt;7),"Wkd",TEXT(A1538,"Ddd"))&amp;"-"&amp;TEXT(A1538,"hh"),LoadTable[],6,FALSE)*T1538</f>
        <v>20353.341870200002</v>
      </c>
      <c r="V1538">
        <f t="shared" ref="V1538:W1538" si="1630">V1514</f>
        <v>3.6</v>
      </c>
      <c r="W1538">
        <f t="shared" si="1630"/>
        <v>3.1</v>
      </c>
      <c r="X1538" s="9">
        <v>-58.856076116666202</v>
      </c>
    </row>
    <row r="1539" spans="1:24">
      <c r="A1539" s="29">
        <f t="shared" si="1564"/>
        <v>45899.999999996275</v>
      </c>
      <c r="B1539" s="30">
        <f t="shared" si="1588"/>
        <v>5000</v>
      </c>
      <c r="C1539" s="8">
        <v>25000</v>
      </c>
      <c r="D1539" s="8">
        <v>0</v>
      </c>
      <c r="E1539" s="8">
        <v>700</v>
      </c>
      <c r="F1539" s="8">
        <v>15000</v>
      </c>
      <c r="G1539" s="30">
        <f t="shared" si="1589"/>
        <v>2400</v>
      </c>
      <c r="H1539" s="8">
        <v>25000</v>
      </c>
      <c r="I1539" s="30">
        <f t="shared" si="1590"/>
        <v>5000</v>
      </c>
      <c r="J1539" s="8">
        <v>25000</v>
      </c>
      <c r="K1539" s="30">
        <f t="shared" si="159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15.03</v>
      </c>
      <c r="O1539" s="9">
        <v>13.5</v>
      </c>
      <c r="P1539" s="9">
        <v>19.5</v>
      </c>
      <c r="Q1539" s="79">
        <f>VLOOKUP(VLOOKUP(DATEVALUE(TEXT(A1539,"m/d/yyyy")),FY24_Temp[],5,FALSE)&amp;TEXT(A1539,"-h"),Table6[],4,FALSE)</f>
        <v>2.6008571216038296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VLOOKUP(TEXT(A1539,"yy-mm")&amp;"-"&amp;IF(AND(WEEKDAY(A1539)&gt;1,WEEKDAY(A1539)&lt;7),"Wkd",TEXT(A1539,"Ddd"))&amp;"-"&amp;TEXT(A1539,"hh"),LoadTable[],5,FALSE)*0.92</f>
        <v>297.2244</v>
      </c>
      <c r="U1539" s="104">
        <f>VLOOKUP(TEXT(A1539,"yy-mm")&amp;"-"&amp;IF(AND(WEEKDAY(A1539)&gt;1,WEEKDAY(A1539)&lt;7),"Wkd",TEXT(A1539,"Ddd"))&amp;"-"&amp;TEXT(A1539,"hh"),LoadTable[],6,FALSE)*T1539</f>
        <v>16465.042862400001</v>
      </c>
      <c r="V1539">
        <f t="shared" ref="V1539:W1539" si="1631">V1515</f>
        <v>3</v>
      </c>
      <c r="W1539">
        <f t="shared" si="1631"/>
        <v>3.2</v>
      </c>
      <c r="X1539" s="9">
        <v>-58.933870666666202</v>
      </c>
    </row>
    <row r="1540" spans="1:24">
      <c r="A1540" s="29">
        <f t="shared" si="1564"/>
        <v>45900.041666662939</v>
      </c>
      <c r="B1540" s="30">
        <f t="shared" si="1588"/>
        <v>5000</v>
      </c>
      <c r="C1540" s="8">
        <v>25000</v>
      </c>
      <c r="D1540" s="8">
        <v>0</v>
      </c>
      <c r="E1540" s="8">
        <v>700</v>
      </c>
      <c r="F1540" s="8">
        <v>15000</v>
      </c>
      <c r="G1540" s="30">
        <f t="shared" si="1589"/>
        <v>2400</v>
      </c>
      <c r="H1540" s="8">
        <v>25000</v>
      </c>
      <c r="I1540" s="30">
        <f t="shared" si="1590"/>
        <v>5000</v>
      </c>
      <c r="J1540" s="8">
        <v>25000</v>
      </c>
      <c r="K1540" s="30">
        <f t="shared" si="159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15.03</v>
      </c>
      <c r="O1540" s="9">
        <v>13.5</v>
      </c>
      <c r="P1540" s="9">
        <v>19.5</v>
      </c>
      <c r="Q1540" s="79">
        <f>VLOOKUP(VLOOKUP(DATEVALUE(TEXT(A1540,"m/d/yyyy")),FY24_Temp[],5,FALSE)&amp;TEXT(A1540,"-h"),Table6[],4,FALSE)</f>
        <v>2.5028571741921559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VLOOKUP(TEXT(A1540,"yy-mm")&amp;"-"&amp;IF(AND(WEEKDAY(A1540)&gt;1,WEEKDAY(A1540)&lt;7),"Wkd",TEXT(A1540,"Ddd"))&amp;"-"&amp;TEXT(A1540,"hh"),LoadTable[],5,FALSE)*0.92</f>
        <v>295.12680000000006</v>
      </c>
      <c r="U1540" s="104">
        <f>VLOOKUP(TEXT(A1540,"yy-mm")&amp;"-"&amp;IF(AND(WEEKDAY(A1540)&gt;1,WEEKDAY(A1540)&lt;7),"Wkd",TEXT(A1540,"Ddd"))&amp;"-"&amp;TEXT(A1540,"hh"),LoadTable[],6,FALSE)*T1540</f>
        <v>15879.592600800002</v>
      </c>
      <c r="V1540">
        <f t="shared" ref="V1540:W1540" si="1632">V1516</f>
        <v>2.6</v>
      </c>
      <c r="W1540">
        <f t="shared" si="1632"/>
        <v>3.2</v>
      </c>
      <c r="X1540" s="9">
        <v>-59.011665216666202</v>
      </c>
    </row>
    <row r="1541" spans="1:24">
      <c r="A1541" s="29">
        <f t="shared" ref="A1541:A1604" si="1633">A1540+TIME(1,0,0)</f>
        <v>45900.083333329603</v>
      </c>
      <c r="B1541" s="30">
        <f t="shared" si="1588"/>
        <v>5000</v>
      </c>
      <c r="C1541" s="8">
        <v>25000</v>
      </c>
      <c r="D1541" s="8">
        <v>0</v>
      </c>
      <c r="E1541" s="8">
        <v>700</v>
      </c>
      <c r="F1541" s="8">
        <v>15000</v>
      </c>
      <c r="G1541" s="30">
        <f t="shared" si="1589"/>
        <v>2400</v>
      </c>
      <c r="H1541" s="8">
        <v>25000</v>
      </c>
      <c r="I1541" s="30">
        <f t="shared" si="1590"/>
        <v>5000</v>
      </c>
      <c r="J1541" s="8">
        <v>25000</v>
      </c>
      <c r="K1541" s="30">
        <f t="shared" si="159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15.03</v>
      </c>
      <c r="O1541" s="9">
        <v>13.5</v>
      </c>
      <c r="P1541" s="9">
        <v>19.5</v>
      </c>
      <c r="Q1541" s="79">
        <f>VLOOKUP(VLOOKUP(DATEVALUE(TEXT(A1541,"m/d/yyyy")),FY24_Temp[],5,FALSE)&amp;TEXT(A1541,"-h"),Table6[],4,FALSE)</f>
        <v>2.4148571491241455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VLOOKUP(TEXT(A1541,"yy-mm")&amp;"-"&amp;IF(AND(WEEKDAY(A1541)&gt;1,WEEKDAY(A1541)&lt;7),"Wkd",TEXT(A1541,"Ddd"))&amp;"-"&amp;TEXT(A1541,"hh"),LoadTable[],5,FALSE)*0.92</f>
        <v>295.12680000000006</v>
      </c>
      <c r="U1541" s="104">
        <f>VLOOKUP(TEXT(A1541,"yy-mm")&amp;"-"&amp;IF(AND(WEEKDAY(A1541)&gt;1,WEEKDAY(A1541)&lt;7),"Wkd",TEXT(A1541,"Ddd"))&amp;"-"&amp;TEXT(A1541,"hh"),LoadTable[],6,FALSE)*T1541</f>
        <v>15515.701256400003</v>
      </c>
      <c r="V1541">
        <f t="shared" ref="V1541:W1541" si="1634">V1517</f>
        <v>2.8</v>
      </c>
      <c r="W1541">
        <f t="shared" si="1634"/>
        <v>3.2</v>
      </c>
      <c r="X1541" s="9">
        <v>-59.089459766666202</v>
      </c>
    </row>
    <row r="1542" spans="1:24">
      <c r="A1542" s="29">
        <f t="shared" si="1633"/>
        <v>45900.124999996267</v>
      </c>
      <c r="B1542" s="30">
        <f t="shared" si="1588"/>
        <v>5000</v>
      </c>
      <c r="C1542" s="8">
        <v>25000</v>
      </c>
      <c r="D1542" s="8">
        <v>0</v>
      </c>
      <c r="E1542" s="8">
        <v>700</v>
      </c>
      <c r="F1542" s="8">
        <v>15000</v>
      </c>
      <c r="G1542" s="30">
        <f t="shared" si="1589"/>
        <v>2400</v>
      </c>
      <c r="H1542" s="8">
        <v>25000</v>
      </c>
      <c r="I1542" s="30">
        <f t="shared" si="1590"/>
        <v>5000</v>
      </c>
      <c r="J1542" s="8">
        <v>25000</v>
      </c>
      <c r="K1542" s="30">
        <f t="shared" si="159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15.03</v>
      </c>
      <c r="O1542" s="9">
        <v>13.5</v>
      </c>
      <c r="P1542" s="9">
        <v>19.5</v>
      </c>
      <c r="Q1542" s="79">
        <f>VLOOKUP(VLOOKUP(DATEVALUE(TEXT(A1542,"m/d/yyyy")),FY24_Temp[],5,FALSE)&amp;TEXT(A1542,"-h"),Table6[],4,FALSE)</f>
        <v>2.2705714702606201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VLOOKUP(TEXT(A1542,"yy-mm")&amp;"-"&amp;IF(AND(WEEKDAY(A1542)&gt;1,WEEKDAY(A1542)&lt;7),"Wkd",TEXT(A1542,"Ddd"))&amp;"-"&amp;TEXT(A1542,"hh"),LoadTable[],5,FALSE)*0.92</f>
        <v>295.12680000000006</v>
      </c>
      <c r="U1542" s="104">
        <f>VLOOKUP(TEXT(A1542,"yy-mm")&amp;"-"&amp;IF(AND(WEEKDAY(A1542)&gt;1,WEEKDAY(A1542)&lt;7),"Wkd",TEXT(A1542,"Ddd"))&amp;"-"&amp;TEXT(A1542,"hh"),LoadTable[],6,FALSE)*T1542</f>
        <v>15142.956108000004</v>
      </c>
      <c r="V1542">
        <f t="shared" ref="V1542:W1542" si="1635">V1518</f>
        <v>2.7</v>
      </c>
      <c r="W1542">
        <f t="shared" si="1635"/>
        <v>3.2</v>
      </c>
      <c r="X1542" s="9">
        <v>-59.167254316666202</v>
      </c>
    </row>
    <row r="1543" spans="1:24">
      <c r="A1543" s="29">
        <f t="shared" si="1633"/>
        <v>45900.166666662932</v>
      </c>
      <c r="B1543" s="30">
        <f t="shared" si="1588"/>
        <v>5000</v>
      </c>
      <c r="C1543" s="8">
        <v>25000</v>
      </c>
      <c r="D1543" s="8">
        <v>0</v>
      </c>
      <c r="E1543" s="8">
        <v>700</v>
      </c>
      <c r="F1543" s="8">
        <v>15000</v>
      </c>
      <c r="G1543" s="30">
        <f t="shared" si="1589"/>
        <v>2400</v>
      </c>
      <c r="H1543" s="8">
        <v>25000</v>
      </c>
      <c r="I1543" s="30">
        <f t="shared" si="1590"/>
        <v>5000</v>
      </c>
      <c r="J1543" s="8">
        <v>25000</v>
      </c>
      <c r="K1543" s="30">
        <f t="shared" si="159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15.03</v>
      </c>
      <c r="O1543" s="9">
        <v>13.5</v>
      </c>
      <c r="P1543" s="9">
        <v>19.5</v>
      </c>
      <c r="Q1543" s="79">
        <f>VLOOKUP(VLOOKUP(DATEVALUE(TEXT(A1543,"m/d/yyyy")),FY24_Temp[],5,FALSE)&amp;TEXT(A1543,"-h"),Table6[],4,FALSE)</f>
        <v>2.1080000059945241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VLOOKUP(TEXT(A1543,"yy-mm")&amp;"-"&amp;IF(AND(WEEKDAY(A1543)&gt;1,WEEKDAY(A1543)&lt;7),"Wkd",TEXT(A1543,"Ddd"))&amp;"-"&amp;TEXT(A1543,"hh"),LoadTable[],5,FALSE)*0.92</f>
        <v>295.12680000000006</v>
      </c>
      <c r="U1543" s="104">
        <f>VLOOKUP(TEXT(A1543,"yy-mm")&amp;"-"&amp;IF(AND(WEEKDAY(A1543)&gt;1,WEEKDAY(A1543)&lt;7),"Wkd",TEXT(A1543,"Ddd"))&amp;"-"&amp;TEXT(A1543,"hh"),LoadTable[],6,FALSE)*T1543</f>
        <v>15692.777336400004</v>
      </c>
      <c r="V1543">
        <f t="shared" ref="V1543:W1543" si="1636">V1519</f>
        <v>3</v>
      </c>
      <c r="W1543">
        <f t="shared" si="1636"/>
        <v>3.1</v>
      </c>
      <c r="X1543" s="9">
        <v>-59.245048866666203</v>
      </c>
    </row>
    <row r="1544" spans="1:24">
      <c r="A1544" s="29">
        <f t="shared" si="1633"/>
        <v>45900.208333329596</v>
      </c>
      <c r="B1544" s="30">
        <f t="shared" si="1588"/>
        <v>5000</v>
      </c>
      <c r="C1544" s="8">
        <v>25000</v>
      </c>
      <c r="D1544" s="8">
        <v>0</v>
      </c>
      <c r="E1544" s="8">
        <v>700</v>
      </c>
      <c r="F1544" s="8">
        <v>15000</v>
      </c>
      <c r="G1544" s="30">
        <f t="shared" si="1589"/>
        <v>2400</v>
      </c>
      <c r="H1544" s="8">
        <v>25000</v>
      </c>
      <c r="I1544" s="30">
        <f t="shared" si="1590"/>
        <v>5000</v>
      </c>
      <c r="J1544" s="8">
        <v>25000</v>
      </c>
      <c r="K1544" s="30">
        <f t="shared" si="159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15.03</v>
      </c>
      <c r="O1544" s="9">
        <v>13.5</v>
      </c>
      <c r="P1544" s="9">
        <v>19.5</v>
      </c>
      <c r="Q1544" s="79">
        <f>VLOOKUP(VLOOKUP(DATEVALUE(TEXT(A1544,"m/d/yyyy")),FY24_Temp[],5,FALSE)&amp;TEXT(A1544,"-h"),Table6[],4,FALSE)</f>
        <v>1.9515714134488786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VLOOKUP(TEXT(A1544,"yy-mm")&amp;"-"&amp;IF(AND(WEEKDAY(A1544)&gt;1,WEEKDAY(A1544)&lt;7),"Wkd",TEXT(A1544,"Ddd"))&amp;"-"&amp;TEXT(A1544,"hh"),LoadTable[],5,FALSE)*0.92</f>
        <v>295.12680000000006</v>
      </c>
      <c r="U1544" s="104">
        <f>VLOOKUP(TEXT(A1544,"yy-mm")&amp;"-"&amp;IF(AND(WEEKDAY(A1544)&gt;1,WEEKDAY(A1544)&lt;7),"Wkd",TEXT(A1544,"Ddd"))&amp;"-"&amp;TEXT(A1544,"hh"),LoadTable[],6,FALSE)*T1544</f>
        <v>16038.961072800003</v>
      </c>
      <c r="V1544">
        <f t="shared" ref="V1544:W1544" si="1637">V1520</f>
        <v>2.9</v>
      </c>
      <c r="W1544">
        <f t="shared" si="1637"/>
        <v>3.1</v>
      </c>
      <c r="X1544" s="9">
        <v>-59.322843416666203</v>
      </c>
    </row>
    <row r="1545" spans="1:24">
      <c r="A1545" s="29">
        <f t="shared" si="1633"/>
        <v>45900.24999999626</v>
      </c>
      <c r="B1545" s="30">
        <f t="shared" si="1588"/>
        <v>8000</v>
      </c>
      <c r="C1545" s="8">
        <v>25000</v>
      </c>
      <c r="D1545" s="8">
        <v>0</v>
      </c>
      <c r="E1545" s="8">
        <v>700</v>
      </c>
      <c r="F1545" s="8">
        <v>15000</v>
      </c>
      <c r="G1545" s="30">
        <f t="shared" si="1589"/>
        <v>2400</v>
      </c>
      <c r="H1545" s="8">
        <v>25000</v>
      </c>
      <c r="I1545" s="30">
        <f t="shared" si="1590"/>
        <v>8000</v>
      </c>
      <c r="J1545" s="8">
        <v>25000</v>
      </c>
      <c r="K1545" s="30">
        <f t="shared" si="159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15.03</v>
      </c>
      <c r="O1545" s="9">
        <v>13.5</v>
      </c>
      <c r="P1545" s="9">
        <v>19.5</v>
      </c>
      <c r="Q1545" s="79">
        <f>VLOOKUP(VLOOKUP(DATEVALUE(TEXT(A1545,"m/d/yyyy")),FY24_Temp[],5,FALSE)&amp;TEXT(A1545,"-h"),Table6[],4,FALSE)</f>
        <v>1.8388571568897791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VLOOKUP(TEXT(A1545,"yy-mm")&amp;"-"&amp;IF(AND(WEEKDAY(A1545)&gt;1,WEEKDAY(A1545)&lt;7),"Wkd",TEXT(A1545,"Ddd"))&amp;"-"&amp;TEXT(A1545,"hh"),LoadTable[],5,FALSE)*0.92</f>
        <v>295.12680000000006</v>
      </c>
      <c r="U1545" s="104">
        <f>VLOOKUP(TEXT(A1545,"yy-mm")&amp;"-"&amp;IF(AND(WEEKDAY(A1545)&gt;1,WEEKDAY(A1545)&lt;7),"Wkd",TEXT(A1545,"Ddd"))&amp;"-"&amp;TEXT(A1545,"hh"),LoadTable[],6,FALSE)*T1545</f>
        <v>20378.800666800005</v>
      </c>
      <c r="V1545">
        <f t="shared" ref="V1545:W1545" si="1638">V1521</f>
        <v>2.5</v>
      </c>
      <c r="W1545">
        <f t="shared" si="1638"/>
        <v>3.1</v>
      </c>
      <c r="X1545" s="9">
        <v>-59.400637966666203</v>
      </c>
    </row>
    <row r="1546" spans="1:24">
      <c r="A1546" s="29">
        <f t="shared" si="1633"/>
        <v>45900.291666662924</v>
      </c>
      <c r="B1546" s="30">
        <f t="shared" si="1588"/>
        <v>8000</v>
      </c>
      <c r="C1546" s="8">
        <v>25000</v>
      </c>
      <c r="D1546" s="8">
        <v>0</v>
      </c>
      <c r="E1546" s="8">
        <v>700</v>
      </c>
      <c r="F1546" s="8">
        <v>15000</v>
      </c>
      <c r="G1546" s="30">
        <f t="shared" si="1589"/>
        <v>2400</v>
      </c>
      <c r="H1546" s="8">
        <v>25000</v>
      </c>
      <c r="I1546" s="30">
        <f t="shared" si="1590"/>
        <v>8000</v>
      </c>
      <c r="J1546" s="8">
        <v>25000</v>
      </c>
      <c r="K1546" s="30">
        <f t="shared" si="159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15.03</v>
      </c>
      <c r="O1546" s="9">
        <v>13.5</v>
      </c>
      <c r="P1546" s="9">
        <v>19.5</v>
      </c>
      <c r="Q1546" s="79">
        <f>VLOOKUP(VLOOKUP(DATEVALUE(TEXT(A1546,"m/d/yyyy")),FY24_Temp[],5,FALSE)&amp;TEXT(A1546,"-h"),Table6[],4,FALSE)</f>
        <v>1.7592856884002686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VLOOKUP(TEXT(A1546,"yy-mm")&amp;"-"&amp;IF(AND(WEEKDAY(A1546)&gt;1,WEEKDAY(A1546)&lt;7),"Wkd",TEXT(A1546,"Ddd"))&amp;"-"&amp;TEXT(A1546,"hh"),LoadTable[],5,FALSE)*0.92</f>
        <v>295.12680000000006</v>
      </c>
      <c r="U1546" s="104">
        <f>VLOOKUP(TEXT(A1546,"yy-mm")&amp;"-"&amp;IF(AND(WEEKDAY(A1546)&gt;1,WEEKDAY(A1546)&lt;7),"Wkd",TEXT(A1546,"Ddd"))&amp;"-"&amp;TEXT(A1546,"hh"),LoadTable[],6,FALSE)*T1546</f>
        <v>17926.592085600001</v>
      </c>
      <c r="V1546">
        <f t="shared" ref="V1546:W1546" si="1639">V1522</f>
        <v>2.5</v>
      </c>
      <c r="W1546">
        <f t="shared" si="1639"/>
        <v>3.1</v>
      </c>
      <c r="X1546" s="9">
        <v>-59.478432516666203</v>
      </c>
    </row>
    <row r="1547" spans="1:24">
      <c r="A1547" s="29">
        <f t="shared" si="1633"/>
        <v>45900.333333329589</v>
      </c>
      <c r="B1547" s="30">
        <f t="shared" si="1588"/>
        <v>8000</v>
      </c>
      <c r="C1547" s="8">
        <v>25000</v>
      </c>
      <c r="D1547" s="8">
        <v>0</v>
      </c>
      <c r="E1547" s="8">
        <v>700</v>
      </c>
      <c r="F1547" s="8">
        <v>15000</v>
      </c>
      <c r="G1547" s="30">
        <f t="shared" si="1589"/>
        <v>2400</v>
      </c>
      <c r="H1547" s="8">
        <v>25000</v>
      </c>
      <c r="I1547" s="30">
        <f t="shared" si="1590"/>
        <v>8000</v>
      </c>
      <c r="J1547" s="8">
        <v>25000</v>
      </c>
      <c r="K1547" s="30">
        <f t="shared" si="159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15.03</v>
      </c>
      <c r="O1547" s="9">
        <v>13.5</v>
      </c>
      <c r="P1547" s="9">
        <v>19.5</v>
      </c>
      <c r="Q1547" s="79">
        <f>VLOOKUP(VLOOKUP(DATEVALUE(TEXT(A1547,"m/d/yyyy")),FY24_Temp[],5,FALSE)&amp;TEXT(A1547,"-h"),Table6[],4,FALSE)</f>
        <v>1.6568571329116821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VLOOKUP(TEXT(A1547,"yy-mm")&amp;"-"&amp;IF(AND(WEEKDAY(A1547)&gt;1,WEEKDAY(A1547)&lt;7),"Wkd",TEXT(A1547,"Ddd"))&amp;"-"&amp;TEXT(A1547,"hh"),LoadTable[],5,FALSE)*0.92</f>
        <v>295.12680000000006</v>
      </c>
      <c r="U1547" s="104">
        <f>VLOOKUP(TEXT(A1547,"yy-mm")&amp;"-"&amp;IF(AND(WEEKDAY(A1547)&gt;1,WEEKDAY(A1547)&lt;7),"Wkd",TEXT(A1547,"Ddd"))&amp;"-"&amp;TEXT(A1547,"hh"),LoadTable[],6,FALSE)*T1547</f>
        <v>15446.641585200003</v>
      </c>
      <c r="V1547">
        <f t="shared" ref="V1547:W1547" si="1640">V1523</f>
        <v>3.2</v>
      </c>
      <c r="W1547">
        <f t="shared" si="1640"/>
        <v>3</v>
      </c>
      <c r="X1547" s="9">
        <v>-59.556227066666203</v>
      </c>
    </row>
    <row r="1548" spans="1:24">
      <c r="A1548" s="29">
        <f t="shared" si="1633"/>
        <v>45900.374999996253</v>
      </c>
      <c r="B1548" s="30">
        <f t="shared" si="1588"/>
        <v>8000</v>
      </c>
      <c r="C1548" s="8">
        <v>25000</v>
      </c>
      <c r="D1548" s="8">
        <v>0</v>
      </c>
      <c r="E1548" s="8">
        <v>700</v>
      </c>
      <c r="F1548" s="8">
        <v>15000</v>
      </c>
      <c r="G1548" s="30">
        <f t="shared" si="1589"/>
        <v>2400</v>
      </c>
      <c r="H1548" s="8">
        <v>25000</v>
      </c>
      <c r="I1548" s="30">
        <f t="shared" si="1590"/>
        <v>8000</v>
      </c>
      <c r="J1548" s="8">
        <v>25000</v>
      </c>
      <c r="K1548" s="30">
        <f t="shared" si="1591"/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15.03</v>
      </c>
      <c r="O1548" s="9">
        <v>13.5</v>
      </c>
      <c r="P1548" s="9">
        <v>19.5</v>
      </c>
      <c r="Q1548" s="79">
        <f>VLOOKUP(VLOOKUP(DATEVALUE(TEXT(A1548,"m/d/yyyy")),FY24_Temp[],5,FALSE)&amp;TEXT(A1548,"-h"),Table6[],4,FALSE)</f>
        <v>1.5618571383612496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VLOOKUP(TEXT(A1548,"yy-mm")&amp;"-"&amp;IF(AND(WEEKDAY(A1548)&gt;1,WEEKDAY(A1548)&lt;7),"Wkd",TEXT(A1548,"Ddd"))&amp;"-"&amp;TEXT(A1548,"hh"),LoadTable[],5,FALSE)*0.92</f>
        <v>295.12680000000006</v>
      </c>
      <c r="U1548" s="104">
        <f>VLOOKUP(TEXT(A1548,"yy-mm")&amp;"-"&amp;IF(AND(WEEKDAY(A1548)&gt;1,WEEKDAY(A1548)&lt;7),"Wkd",TEXT(A1548,"Ddd"))&amp;"-"&amp;TEXT(A1548,"hh"),LoadTable[],6,FALSE)*T1548</f>
        <v>13546.615246800004</v>
      </c>
      <c r="V1548">
        <f t="shared" ref="V1548:W1548" si="1641">V1524</f>
        <v>2.9</v>
      </c>
      <c r="W1548">
        <f t="shared" si="1641"/>
        <v>3</v>
      </c>
      <c r="X1548" s="9">
        <v>-59.634021616666203</v>
      </c>
    </row>
    <row r="1549" spans="1:24">
      <c r="A1549" s="29">
        <f t="shared" si="1633"/>
        <v>45900.416666662917</v>
      </c>
      <c r="B1549" s="30">
        <f t="shared" si="1588"/>
        <v>8000</v>
      </c>
      <c r="C1549" s="8">
        <v>25000</v>
      </c>
      <c r="D1549" s="8">
        <v>0</v>
      </c>
      <c r="E1549" s="8">
        <v>700</v>
      </c>
      <c r="F1549" s="8">
        <v>15000</v>
      </c>
      <c r="G1549" s="30">
        <f t="shared" si="1589"/>
        <v>2400</v>
      </c>
      <c r="H1549" s="8">
        <v>25000</v>
      </c>
      <c r="I1549" s="30">
        <f t="shared" si="1590"/>
        <v>8000</v>
      </c>
      <c r="J1549" s="8">
        <v>25000</v>
      </c>
      <c r="K1549" s="30">
        <f t="shared" si="1591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15.03</v>
      </c>
      <c r="O1549" s="9">
        <v>13.5</v>
      </c>
      <c r="P1549" s="9">
        <v>19.5</v>
      </c>
      <c r="Q1549" s="79">
        <f>VLOOKUP(VLOOKUP(DATEVALUE(TEXT(A1549,"m/d/yyyy")),FY24_Temp[],5,FALSE)&amp;TEXT(A1549,"-h"),Table6[],4,FALSE)</f>
        <v>1.4821428230830602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VLOOKUP(TEXT(A1549,"yy-mm")&amp;"-"&amp;IF(AND(WEEKDAY(A1549)&gt;1,WEEKDAY(A1549)&lt;7),"Wkd",TEXT(A1549,"Ddd"))&amp;"-"&amp;TEXT(A1549,"hh"),LoadTable[],5,FALSE)*0.92</f>
        <v>295.12680000000006</v>
      </c>
      <c r="U1549" s="104">
        <f>VLOOKUP(TEXT(A1549,"yy-mm")&amp;"-"&amp;IF(AND(WEEKDAY(A1549)&gt;1,WEEKDAY(A1549)&lt;7),"Wkd",TEXT(A1549,"Ddd"))&amp;"-"&amp;TEXT(A1549,"hh"),LoadTable[],6,FALSE)*T1549</f>
        <v>13514.151298800001</v>
      </c>
      <c r="V1549">
        <f t="shared" ref="V1549:W1549" si="1642">V1525</f>
        <v>2.9</v>
      </c>
      <c r="W1549">
        <f t="shared" si="1642"/>
        <v>3</v>
      </c>
      <c r="X1549" s="9">
        <v>-59.711816166666203</v>
      </c>
    </row>
    <row r="1550" spans="1:24">
      <c r="A1550" s="29">
        <f t="shared" si="1633"/>
        <v>45900.458333329581</v>
      </c>
      <c r="B1550" s="30">
        <f t="shared" si="1588"/>
        <v>8000</v>
      </c>
      <c r="C1550" s="8">
        <v>25000</v>
      </c>
      <c r="D1550" s="8">
        <v>0</v>
      </c>
      <c r="E1550" s="8">
        <v>700</v>
      </c>
      <c r="F1550" s="8">
        <v>15000</v>
      </c>
      <c r="G1550" s="30">
        <f t="shared" si="1589"/>
        <v>2400</v>
      </c>
      <c r="H1550" s="8">
        <v>25000</v>
      </c>
      <c r="I1550" s="30">
        <f t="shared" si="1590"/>
        <v>8000</v>
      </c>
      <c r="J1550" s="8">
        <v>25000</v>
      </c>
      <c r="K1550" s="30">
        <f t="shared" si="1591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15.03</v>
      </c>
      <c r="O1550" s="9">
        <v>13.5</v>
      </c>
      <c r="P1550" s="9">
        <v>19.5</v>
      </c>
      <c r="Q1550" s="79">
        <f>VLOOKUP(VLOOKUP(DATEVALUE(TEXT(A1550,"m/d/yyyy")),FY24_Temp[],5,FALSE)&amp;TEXT(A1550,"-h"),Table6[],4,FALSE)</f>
        <v>1.3825714247567313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VLOOKUP(TEXT(A1550,"yy-mm")&amp;"-"&amp;IF(AND(WEEKDAY(A1550)&gt;1,WEEKDAY(A1550)&lt;7),"Wkd",TEXT(A1550,"Ddd"))&amp;"-"&amp;TEXT(A1550,"hh"),LoadTable[],5,FALSE)*0.92</f>
        <v>295.12680000000006</v>
      </c>
      <c r="U1550" s="104">
        <f>VLOOKUP(TEXT(A1550,"yy-mm")&amp;"-"&amp;IF(AND(WEEKDAY(A1550)&gt;1,WEEKDAY(A1550)&lt;7),"Wkd",TEXT(A1550,"Ddd"))&amp;"-"&amp;TEXT(A1550,"hh"),LoadTable[],6,FALSE)*T1550</f>
        <v>13498.509578400002</v>
      </c>
      <c r="V1550">
        <f t="shared" ref="V1550:W1550" si="1643">V1526</f>
        <v>3.4</v>
      </c>
      <c r="W1550">
        <f t="shared" si="1643"/>
        <v>3</v>
      </c>
      <c r="X1550" s="9">
        <v>-59.789610716666203</v>
      </c>
    </row>
    <row r="1551" spans="1:24">
      <c r="A1551" s="29">
        <f t="shared" si="1633"/>
        <v>45900.499999996246</v>
      </c>
      <c r="B1551" s="30">
        <f t="shared" si="1588"/>
        <v>8000</v>
      </c>
      <c r="C1551" s="8">
        <v>25000</v>
      </c>
      <c r="D1551" s="8">
        <v>0</v>
      </c>
      <c r="E1551" s="8">
        <v>700</v>
      </c>
      <c r="F1551" s="8">
        <v>15000</v>
      </c>
      <c r="G1551" s="30">
        <f t="shared" si="1589"/>
        <v>2400</v>
      </c>
      <c r="H1551" s="8">
        <v>25000</v>
      </c>
      <c r="I1551" s="30">
        <f t="shared" si="1590"/>
        <v>8000</v>
      </c>
      <c r="J1551" s="8">
        <v>25000</v>
      </c>
      <c r="K1551" s="30">
        <f t="shared" si="1591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15.03</v>
      </c>
      <c r="O1551" s="9">
        <v>13.5</v>
      </c>
      <c r="P1551" s="9">
        <v>19.5</v>
      </c>
      <c r="Q1551" s="79">
        <f>VLOOKUP(VLOOKUP(DATEVALUE(TEXT(A1551,"m/d/yyyy")),FY24_Temp[],5,FALSE)&amp;TEXT(A1551,"-h"),Table6[],4,FALSE)</f>
        <v>1.2544285740171159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VLOOKUP(TEXT(A1551,"yy-mm")&amp;"-"&amp;IF(AND(WEEKDAY(A1551)&gt;1,WEEKDAY(A1551)&lt;7),"Wkd",TEXT(A1551,"Ddd"))&amp;"-"&amp;TEXT(A1551,"hh"),LoadTable[],5,FALSE)*0.92</f>
        <v>295.12680000000006</v>
      </c>
      <c r="U1551" s="104">
        <f>VLOOKUP(TEXT(A1551,"yy-mm")&amp;"-"&amp;IF(AND(WEEKDAY(A1551)&gt;1,WEEKDAY(A1551)&lt;7),"Wkd",TEXT(A1551,"Ddd"))&amp;"-"&amp;TEXT(A1551,"hh"),LoadTable[],6,FALSE)*T1551</f>
        <v>13497.919324800001</v>
      </c>
      <c r="V1551">
        <f t="shared" ref="V1551:W1551" si="1644">V1527</f>
        <v>3.1</v>
      </c>
      <c r="W1551">
        <f t="shared" si="1644"/>
        <v>2.9</v>
      </c>
      <c r="X1551" s="9">
        <v>-59.867405266666204</v>
      </c>
    </row>
    <row r="1552" spans="1:24">
      <c r="A1552" s="29">
        <f t="shared" si="1633"/>
        <v>45900.54166666291</v>
      </c>
      <c r="B1552" s="30">
        <f t="shared" si="1588"/>
        <v>8000</v>
      </c>
      <c r="C1552" s="8">
        <v>25000</v>
      </c>
      <c r="D1552" s="8">
        <v>0</v>
      </c>
      <c r="E1552" s="8">
        <v>700</v>
      </c>
      <c r="F1552" s="8">
        <v>15000</v>
      </c>
      <c r="G1552" s="30">
        <f t="shared" si="1589"/>
        <v>2400</v>
      </c>
      <c r="H1552" s="8">
        <v>25000</v>
      </c>
      <c r="I1552" s="30">
        <f t="shared" si="1590"/>
        <v>8000</v>
      </c>
      <c r="J1552" s="8">
        <v>25000</v>
      </c>
      <c r="K1552" s="30">
        <f t="shared" si="1591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15.03</v>
      </c>
      <c r="O1552" s="9">
        <v>13.5</v>
      </c>
      <c r="P1552" s="9">
        <v>19.5</v>
      </c>
      <c r="Q1552" s="79">
        <f>VLOOKUP(VLOOKUP(DATEVALUE(TEXT(A1552,"m/d/yyyy")),FY24_Temp[],5,FALSE)&amp;TEXT(A1552,"-h"),Table6[],4,FALSE)</f>
        <v>1.0944285563060216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VLOOKUP(TEXT(A1552,"yy-mm")&amp;"-"&amp;IF(AND(WEEKDAY(A1552)&gt;1,WEEKDAY(A1552)&lt;7),"Wkd",TEXT(A1552,"Ddd"))&amp;"-"&amp;TEXT(A1552,"hh"),LoadTable[],5,FALSE)*0.92</f>
        <v>295.12680000000006</v>
      </c>
      <c r="U1552" s="104">
        <f>VLOOKUP(TEXT(A1552,"yy-mm")&amp;"-"&amp;IF(AND(WEEKDAY(A1552)&gt;1,WEEKDAY(A1552)&lt;7),"Wkd",TEXT(A1552,"Ddd"))&amp;"-"&amp;TEXT(A1552,"hh"),LoadTable[],6,FALSE)*T1552</f>
        <v>13525.366117200003</v>
      </c>
      <c r="V1552">
        <f t="shared" ref="V1552:W1552" si="1645">V1528</f>
        <v>3.2</v>
      </c>
      <c r="W1552">
        <f t="shared" si="1645"/>
        <v>2.9</v>
      </c>
      <c r="X1552" s="9">
        <v>-59.945199816666197</v>
      </c>
    </row>
    <row r="1553" spans="1:24">
      <c r="A1553" s="29">
        <f t="shared" si="1633"/>
        <v>45900.583333329574</v>
      </c>
      <c r="B1553" s="30">
        <f t="shared" si="1588"/>
        <v>8000</v>
      </c>
      <c r="C1553" s="8">
        <v>25000</v>
      </c>
      <c r="D1553" s="8">
        <v>0</v>
      </c>
      <c r="E1553" s="8">
        <v>700</v>
      </c>
      <c r="F1553" s="8">
        <v>15000</v>
      </c>
      <c r="G1553" s="30">
        <f t="shared" si="1589"/>
        <v>2400</v>
      </c>
      <c r="H1553" s="8">
        <v>25000</v>
      </c>
      <c r="I1553" s="30">
        <f t="shared" si="1590"/>
        <v>8000</v>
      </c>
      <c r="J1553" s="8">
        <v>25000</v>
      </c>
      <c r="K1553" s="30">
        <f t="shared" si="1591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15.03</v>
      </c>
      <c r="O1553" s="9">
        <v>13.5</v>
      </c>
      <c r="P1553" s="9">
        <v>19.5</v>
      </c>
      <c r="Q1553" s="79">
        <f>VLOOKUP(VLOOKUP(DATEVALUE(TEXT(A1553,"m/d/yyyy")),FY24_Temp[],5,FALSE)&amp;TEXT(A1553,"-h"),Table6[],4,FALSE)</f>
        <v>0.91900000401905602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VLOOKUP(TEXT(A1553,"yy-mm")&amp;"-"&amp;IF(AND(WEEKDAY(A1553)&gt;1,WEEKDAY(A1553)&lt;7),"Wkd",TEXT(A1553,"Ddd"))&amp;"-"&amp;TEXT(A1553,"hh"),LoadTable[],5,FALSE)*0.92</f>
        <v>295.12680000000006</v>
      </c>
      <c r="U1553" s="104">
        <f>VLOOKUP(TEXT(A1553,"yy-mm")&amp;"-"&amp;IF(AND(WEEKDAY(A1553)&gt;1,WEEKDAY(A1553)&lt;7),"Wkd",TEXT(A1553,"Ddd"))&amp;"-"&amp;TEXT(A1553,"hh"),LoadTable[],6,FALSE)*T1553</f>
        <v>14151.034933200002</v>
      </c>
      <c r="V1553">
        <f t="shared" ref="V1553:W1553" si="1646">V1529</f>
        <v>3.5</v>
      </c>
      <c r="W1553">
        <f t="shared" si="1646"/>
        <v>2.9</v>
      </c>
      <c r="X1553" s="9">
        <v>-60.022994366666197</v>
      </c>
    </row>
    <row r="1554" spans="1:24">
      <c r="A1554" s="29">
        <f t="shared" si="1633"/>
        <v>45900.624999996238</v>
      </c>
      <c r="B1554" s="30">
        <f t="shared" si="1588"/>
        <v>8000</v>
      </c>
      <c r="C1554" s="8">
        <v>25000</v>
      </c>
      <c r="D1554" s="8">
        <v>0</v>
      </c>
      <c r="E1554" s="8">
        <v>700</v>
      </c>
      <c r="F1554" s="8">
        <v>15000</v>
      </c>
      <c r="G1554" s="30">
        <f t="shared" si="1589"/>
        <v>2400</v>
      </c>
      <c r="H1554" s="8">
        <v>25000</v>
      </c>
      <c r="I1554" s="30">
        <f t="shared" si="1590"/>
        <v>8000</v>
      </c>
      <c r="J1554" s="8">
        <v>25000</v>
      </c>
      <c r="K1554" s="30">
        <f t="shared" si="1591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15.03</v>
      </c>
      <c r="O1554" s="9">
        <v>13.5</v>
      </c>
      <c r="P1554" s="9">
        <v>19.5</v>
      </c>
      <c r="Q1554" s="79">
        <f>VLOOKUP(VLOOKUP(DATEVALUE(TEXT(A1554,"m/d/yyyy")),FY24_Temp[],5,FALSE)&amp;TEXT(A1554,"-h"),Table6[],4,FALSE)</f>
        <v>0.76014286279678345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VLOOKUP(TEXT(A1554,"yy-mm")&amp;"-"&amp;IF(AND(WEEKDAY(A1554)&gt;1,WEEKDAY(A1554)&lt;7),"Wkd",TEXT(A1554,"Ddd"))&amp;"-"&amp;TEXT(A1554,"hh"),LoadTable[],5,FALSE)*0.92</f>
        <v>384.35300000000001</v>
      </c>
      <c r="U1554" s="104">
        <f>VLOOKUP(TEXT(A1554,"yy-mm")&amp;"-"&amp;IF(AND(WEEKDAY(A1554)&gt;1,WEEKDAY(A1554)&lt;7),"Wkd",TEXT(A1554,"Ddd"))&amp;"-"&amp;TEXT(A1554,"hh"),LoadTable[],6,FALSE)*T1554</f>
        <v>20589.021504</v>
      </c>
      <c r="V1554">
        <f t="shared" ref="V1554:W1554" si="1647">V1530</f>
        <v>3.2</v>
      </c>
      <c r="W1554">
        <f t="shared" si="1647"/>
        <v>2.9</v>
      </c>
      <c r="X1554" s="9">
        <v>-60.100788916666197</v>
      </c>
    </row>
    <row r="1555" spans="1:24">
      <c r="A1555" s="29">
        <f t="shared" si="1633"/>
        <v>45900.666666662903</v>
      </c>
      <c r="B1555" s="30">
        <f t="shared" si="1588"/>
        <v>8000</v>
      </c>
      <c r="C1555" s="8">
        <v>25000</v>
      </c>
      <c r="D1555" s="8">
        <v>0</v>
      </c>
      <c r="E1555" s="8">
        <v>700</v>
      </c>
      <c r="F1555" s="8">
        <v>15000</v>
      </c>
      <c r="G1555" s="30">
        <f t="shared" si="1589"/>
        <v>2400</v>
      </c>
      <c r="H1555" s="8">
        <v>25000</v>
      </c>
      <c r="I1555" s="30">
        <f t="shared" si="1590"/>
        <v>8000</v>
      </c>
      <c r="J1555" s="8">
        <v>25000</v>
      </c>
      <c r="K1555" s="30">
        <f t="shared" si="1591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15.03</v>
      </c>
      <c r="O1555" s="9">
        <v>13.5</v>
      </c>
      <c r="P1555" s="9">
        <v>19.5</v>
      </c>
      <c r="Q1555" s="79">
        <f>VLOOKUP(VLOOKUP(DATEVALUE(TEXT(A1555,"m/d/yyyy")),FY24_Temp[],5,FALSE)&amp;TEXT(A1555,"-h"),Table6[],4,FALSE)</f>
        <v>0.67185714415141518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VLOOKUP(TEXT(A1555,"yy-mm")&amp;"-"&amp;IF(AND(WEEKDAY(A1555)&gt;1,WEEKDAY(A1555)&lt;7),"Wkd",TEXT(A1555,"Ddd"))&amp;"-"&amp;TEXT(A1555,"hh"),LoadTable[],5,FALSE)*0.92</f>
        <v>475.29131999999998</v>
      </c>
      <c r="U1555" s="104">
        <f>VLOOKUP(TEXT(A1555,"yy-mm")&amp;"-"&amp;IF(AND(WEEKDAY(A1555)&gt;1,WEEKDAY(A1555)&lt;7),"Wkd",TEXT(A1555,"Ddd"))&amp;"-"&amp;TEXT(A1555,"hh"),LoadTable[],6,FALSE)*T1555</f>
        <v>31854.974849040002</v>
      </c>
      <c r="V1555">
        <f t="shared" ref="V1555:W1555" si="1648">V1531</f>
        <v>3.5</v>
      </c>
      <c r="W1555">
        <f t="shared" si="1648"/>
        <v>3</v>
      </c>
      <c r="X1555" s="9">
        <v>-60.178583466666197</v>
      </c>
    </row>
    <row r="1556" spans="1:24">
      <c r="A1556" s="29">
        <f t="shared" si="1633"/>
        <v>45900.708333329567</v>
      </c>
      <c r="B1556" s="30">
        <f t="shared" si="1588"/>
        <v>8000</v>
      </c>
      <c r="C1556" s="8">
        <v>25000</v>
      </c>
      <c r="D1556" s="8">
        <v>0</v>
      </c>
      <c r="E1556" s="8">
        <v>700</v>
      </c>
      <c r="F1556" s="8">
        <v>15000</v>
      </c>
      <c r="G1556" s="30">
        <f t="shared" si="1589"/>
        <v>2400</v>
      </c>
      <c r="H1556" s="8">
        <v>25000</v>
      </c>
      <c r="I1556" s="30">
        <f t="shared" si="1590"/>
        <v>8000</v>
      </c>
      <c r="J1556" s="8">
        <v>25000</v>
      </c>
      <c r="K1556" s="30">
        <f t="shared" si="1591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15.03</v>
      </c>
      <c r="O1556" s="9">
        <v>13.5</v>
      </c>
      <c r="P1556" s="9">
        <v>19.5</v>
      </c>
      <c r="Q1556" s="79">
        <f>VLOOKUP(VLOOKUP(DATEVALUE(TEXT(A1556,"m/d/yyyy")),FY24_Temp[],5,FALSE)&amp;TEXT(A1556,"-h"),Table6[],4,FALSE)</f>
        <v>0.80171428407941547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VLOOKUP(TEXT(A1556,"yy-mm")&amp;"-"&amp;IF(AND(WEEKDAY(A1556)&gt;1,WEEKDAY(A1556)&lt;7),"Wkd",TEXT(A1556,"Ddd"))&amp;"-"&amp;TEXT(A1556,"hh"),LoadTable[],5,FALSE)*0.92</f>
        <v>475.29131999999998</v>
      </c>
      <c r="U1556" s="104">
        <f>VLOOKUP(TEXT(A1556,"yy-mm")&amp;"-"&amp;IF(AND(WEEKDAY(A1556)&gt;1,WEEKDAY(A1556)&lt;7),"Wkd",TEXT(A1556,"Ddd"))&amp;"-"&amp;TEXT(A1556,"hh"),LoadTable[],6,FALSE)*T1556</f>
        <v>41441.125482119998</v>
      </c>
      <c r="V1556">
        <f t="shared" ref="V1556:W1556" si="1649">V1532</f>
        <v>3.6</v>
      </c>
      <c r="W1556">
        <f t="shared" si="1649"/>
        <v>3</v>
      </c>
      <c r="X1556" s="9">
        <v>-60.256378016666197</v>
      </c>
    </row>
    <row r="1557" spans="1:24">
      <c r="A1557" s="29">
        <f t="shared" si="1633"/>
        <v>45900.749999996231</v>
      </c>
      <c r="B1557" s="30">
        <f t="shared" si="1588"/>
        <v>5000</v>
      </c>
      <c r="C1557" s="8">
        <v>25000</v>
      </c>
      <c r="D1557" s="8">
        <v>0</v>
      </c>
      <c r="E1557" s="8">
        <v>700</v>
      </c>
      <c r="F1557" s="8">
        <v>15000</v>
      </c>
      <c r="G1557" s="30">
        <f t="shared" si="1589"/>
        <v>2400</v>
      </c>
      <c r="H1557" s="8">
        <v>25000</v>
      </c>
      <c r="I1557" s="30">
        <f t="shared" si="1590"/>
        <v>5000</v>
      </c>
      <c r="J1557" s="8">
        <v>25000</v>
      </c>
      <c r="K1557" s="30">
        <f t="shared" si="1591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15.03</v>
      </c>
      <c r="O1557" s="9">
        <v>13.5</v>
      </c>
      <c r="P1557" s="9">
        <v>19.5</v>
      </c>
      <c r="Q1557" s="79">
        <f>VLOOKUP(VLOOKUP(DATEVALUE(TEXT(A1557,"m/d/yyyy")),FY24_Temp[],5,FALSE)&amp;TEXT(A1557,"-h"),Table6[],4,FALSE)</f>
        <v>1.1738571269171578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VLOOKUP(TEXT(A1557,"yy-mm")&amp;"-"&amp;IF(AND(WEEKDAY(A1557)&gt;1,WEEKDAY(A1557)&lt;7),"Wkd",TEXT(A1557,"Ddd"))&amp;"-"&amp;TEXT(A1557,"hh"),LoadTable[],5,FALSE)*0.92</f>
        <v>521.92427999999995</v>
      </c>
      <c r="U1557" s="104">
        <f>VLOOKUP(TEXT(A1557,"yy-mm")&amp;"-"&amp;IF(AND(WEEKDAY(A1557)&gt;1,WEEKDAY(A1557)&lt;7),"Wkd",TEXT(A1557,"Ddd"))&amp;"-"&amp;TEXT(A1557,"hh"),LoadTable[],6,FALSE)*T1557</f>
        <v>56599.034696039991</v>
      </c>
      <c r="V1557">
        <f t="shared" ref="V1557:W1557" si="1650">V1533</f>
        <v>2.9</v>
      </c>
      <c r="W1557">
        <f t="shared" si="1650"/>
        <v>3</v>
      </c>
      <c r="X1557" s="9">
        <v>-60.334172566666197</v>
      </c>
    </row>
    <row r="1558" spans="1:24">
      <c r="A1558" s="29">
        <f t="shared" si="1633"/>
        <v>45900.791666662895</v>
      </c>
      <c r="B1558" s="30">
        <f t="shared" si="1588"/>
        <v>5000</v>
      </c>
      <c r="C1558" s="8">
        <v>25000</v>
      </c>
      <c r="D1558" s="8">
        <v>0</v>
      </c>
      <c r="E1558" s="8">
        <v>700</v>
      </c>
      <c r="F1558" s="8">
        <v>15000</v>
      </c>
      <c r="G1558" s="30">
        <f t="shared" si="1589"/>
        <v>2400</v>
      </c>
      <c r="H1558" s="8">
        <v>25000</v>
      </c>
      <c r="I1558" s="30">
        <f t="shared" si="1590"/>
        <v>5000</v>
      </c>
      <c r="J1558" s="8">
        <v>25000</v>
      </c>
      <c r="K1558" s="30">
        <f t="shared" si="1591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15.03</v>
      </c>
      <c r="O1558" s="9">
        <v>13.5</v>
      </c>
      <c r="P1558" s="9">
        <v>19.5</v>
      </c>
      <c r="Q1558" s="79">
        <f>VLOOKUP(VLOOKUP(DATEVALUE(TEXT(A1558,"m/d/yyyy")),FY24_Temp[],5,FALSE)&amp;TEXT(A1558,"-h"),Table6[],4,FALSE)</f>
        <v>1.9135714258466447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VLOOKUP(TEXT(A1558,"yy-mm")&amp;"-"&amp;IF(AND(WEEKDAY(A1558)&gt;1,WEEKDAY(A1558)&lt;7),"Wkd",TEXT(A1558,"Ddd"))&amp;"-"&amp;TEXT(A1558,"hh"),LoadTable[],5,FALSE)*0.92</f>
        <v>521.92427999999995</v>
      </c>
      <c r="U1558" s="104">
        <f>VLOOKUP(TEXT(A1558,"yy-mm")&amp;"-"&amp;IF(AND(WEEKDAY(A1558)&gt;1,WEEKDAY(A1558)&lt;7),"Wkd",TEXT(A1558,"Ddd"))&amp;"-"&amp;TEXT(A1558,"hh"),LoadTable[],6,FALSE)*T1558</f>
        <v>64978.007087159996</v>
      </c>
      <c r="V1558">
        <f t="shared" ref="V1558:W1558" si="1651">V1534</f>
        <v>3</v>
      </c>
      <c r="W1558">
        <f t="shared" si="1651"/>
        <v>3</v>
      </c>
      <c r="X1558" s="9">
        <v>-60.411967116666197</v>
      </c>
    </row>
    <row r="1559" spans="1:24">
      <c r="A1559" s="29">
        <f t="shared" si="1633"/>
        <v>45900.83333332956</v>
      </c>
      <c r="B1559" s="30">
        <f t="shared" si="1588"/>
        <v>5000</v>
      </c>
      <c r="C1559" s="8">
        <v>25000</v>
      </c>
      <c r="D1559" s="8">
        <v>0</v>
      </c>
      <c r="E1559" s="8">
        <v>700</v>
      </c>
      <c r="F1559" s="8">
        <v>15000</v>
      </c>
      <c r="G1559" s="30">
        <f t="shared" si="1589"/>
        <v>2400</v>
      </c>
      <c r="H1559" s="8">
        <v>25000</v>
      </c>
      <c r="I1559" s="30">
        <f t="shared" si="1590"/>
        <v>5000</v>
      </c>
      <c r="J1559" s="8">
        <v>25000</v>
      </c>
      <c r="K1559" s="30">
        <f t="shared" si="1591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15.03</v>
      </c>
      <c r="O1559" s="9">
        <v>13.5</v>
      </c>
      <c r="P1559" s="9">
        <v>19.5</v>
      </c>
      <c r="Q1559" s="79">
        <f>VLOOKUP(VLOOKUP(DATEVALUE(TEXT(A1559,"m/d/yyyy")),FY24_Temp[],5,FALSE)&amp;TEXT(A1559,"-h"),Table6[],4,FALSE)</f>
        <v>2.6564285755157471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VLOOKUP(TEXT(A1559,"yy-mm")&amp;"-"&amp;IF(AND(WEEKDAY(A1559)&gt;1,WEEKDAY(A1559)&lt;7),"Wkd",TEXT(A1559,"Ddd"))&amp;"-"&amp;TEXT(A1559,"hh"),LoadTable[],5,FALSE)*0.92</f>
        <v>519.82668000000001</v>
      </c>
      <c r="U1559" s="104">
        <f>VLOOKUP(TEXT(A1559,"yy-mm")&amp;"-"&amp;IF(AND(WEEKDAY(A1559)&gt;1,WEEKDAY(A1559)&lt;7),"Wkd",TEXT(A1559,"Ddd"))&amp;"-"&amp;TEXT(A1559,"hh"),LoadTable[],6,FALSE)*T1559</f>
        <v>61197.635556360001</v>
      </c>
      <c r="V1559">
        <f t="shared" ref="V1559:W1559" si="1652">V1535</f>
        <v>2.8</v>
      </c>
      <c r="W1559">
        <f t="shared" si="1652"/>
        <v>3.1</v>
      </c>
      <c r="X1559" s="9">
        <v>-60.489761666666197</v>
      </c>
    </row>
    <row r="1560" spans="1:24">
      <c r="A1560" s="29">
        <f t="shared" si="1633"/>
        <v>45900.874999996224</v>
      </c>
      <c r="B1560" s="30">
        <f t="shared" si="1588"/>
        <v>5000</v>
      </c>
      <c r="C1560" s="8">
        <v>25000</v>
      </c>
      <c r="D1560" s="8">
        <v>0</v>
      </c>
      <c r="E1560" s="8">
        <v>700</v>
      </c>
      <c r="F1560" s="8">
        <v>15000</v>
      </c>
      <c r="G1560" s="30">
        <f t="shared" si="1589"/>
        <v>2400</v>
      </c>
      <c r="H1560" s="8">
        <v>25000</v>
      </c>
      <c r="I1560" s="30">
        <f t="shared" si="1590"/>
        <v>5000</v>
      </c>
      <c r="J1560" s="8">
        <v>25000</v>
      </c>
      <c r="K1560" s="30">
        <f t="shared" si="1591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15.03</v>
      </c>
      <c r="O1560" s="9">
        <v>13.5</v>
      </c>
      <c r="P1560" s="9">
        <v>19.5</v>
      </c>
      <c r="Q1560" s="79">
        <f>VLOOKUP(VLOOKUP(DATEVALUE(TEXT(A1560,"m/d/yyyy")),FY24_Temp[],5,FALSE)&amp;TEXT(A1560,"-h"),Table6[],4,FALSE)</f>
        <v>2.854142870221819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VLOOKUP(TEXT(A1560,"yy-mm")&amp;"-"&amp;IF(AND(WEEKDAY(A1560)&gt;1,WEEKDAY(A1560)&lt;7),"Wkd",TEXT(A1560,"Ddd"))&amp;"-"&amp;TEXT(A1560,"hh"),LoadTable[],5,FALSE)*0.92</f>
        <v>444.92671999999999</v>
      </c>
      <c r="U1560" s="104">
        <f>VLOOKUP(TEXT(A1560,"yy-mm")&amp;"-"&amp;IF(AND(WEEKDAY(A1560)&gt;1,WEEKDAY(A1560)&lt;7),"Wkd",TEXT(A1560,"Ddd"))&amp;"-"&amp;TEXT(A1560,"hh"),LoadTable[],6,FALSE)*T1560</f>
        <v>45470.176003840003</v>
      </c>
      <c r="V1560">
        <f t="shared" ref="V1560:W1560" si="1653">V1536</f>
        <v>3.5</v>
      </c>
      <c r="W1560">
        <f t="shared" si="1653"/>
        <v>3.1</v>
      </c>
      <c r="X1560" s="9">
        <v>-60.567556216666198</v>
      </c>
    </row>
    <row r="1561" spans="1:24">
      <c r="A1561" s="29">
        <f t="shared" si="1633"/>
        <v>45900.916666662888</v>
      </c>
      <c r="B1561" s="30">
        <f t="shared" si="1588"/>
        <v>5000</v>
      </c>
      <c r="C1561" s="8">
        <v>25000</v>
      </c>
      <c r="D1561" s="8">
        <v>0</v>
      </c>
      <c r="E1561" s="8">
        <v>700</v>
      </c>
      <c r="F1561" s="8">
        <v>15000</v>
      </c>
      <c r="G1561" s="30">
        <f t="shared" si="1589"/>
        <v>2400</v>
      </c>
      <c r="H1561" s="8">
        <v>25000</v>
      </c>
      <c r="I1561" s="30">
        <f t="shared" si="1590"/>
        <v>5000</v>
      </c>
      <c r="J1561" s="8">
        <v>25000</v>
      </c>
      <c r="K1561" s="30">
        <f t="shared" si="1591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15.03</v>
      </c>
      <c r="O1561" s="9">
        <v>13.5</v>
      </c>
      <c r="P1561" s="9">
        <v>19.5</v>
      </c>
      <c r="Q1561" s="79">
        <f>VLOOKUP(VLOOKUP(DATEVALUE(TEXT(A1561,"m/d/yyyy")),FY24_Temp[],5,FALSE)&amp;TEXT(A1561,"-h"),Table6[],4,FALSE)</f>
        <v>2.8205713544573103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VLOOKUP(TEXT(A1561,"yy-mm")&amp;"-"&amp;IF(AND(WEEKDAY(A1561)&gt;1,WEEKDAY(A1561)&lt;7),"Wkd",TEXT(A1561,"Ddd"))&amp;"-"&amp;TEXT(A1561,"hh"),LoadTable[],5,FALSE)*0.92</f>
        <v>370.02675999999997</v>
      </c>
      <c r="U1561" s="104">
        <f>VLOOKUP(TEXT(A1561,"yy-mm")&amp;"-"&amp;IF(AND(WEEKDAY(A1561)&gt;1,WEEKDAY(A1561)&lt;7),"Wkd",TEXT(A1561,"Ddd"))&amp;"-"&amp;TEXT(A1561,"hh"),LoadTable[],6,FALSE)*T1561</f>
        <v>24705.206658160001</v>
      </c>
      <c r="V1561">
        <f t="shared" ref="V1561:W1561" si="1654">V1537</f>
        <v>2.9</v>
      </c>
      <c r="W1561">
        <f t="shared" si="1654"/>
        <v>3.1</v>
      </c>
      <c r="X1561" s="9">
        <v>-60.645350766666198</v>
      </c>
    </row>
    <row r="1562" spans="1:24">
      <c r="A1562" s="29">
        <f t="shared" si="1633"/>
        <v>45900.958333329552</v>
      </c>
      <c r="B1562" s="30">
        <f t="shared" si="1588"/>
        <v>5000</v>
      </c>
      <c r="C1562" s="8">
        <v>25000</v>
      </c>
      <c r="D1562" s="8">
        <v>0</v>
      </c>
      <c r="E1562" s="8">
        <v>700</v>
      </c>
      <c r="F1562" s="8">
        <v>15000</v>
      </c>
      <c r="G1562" s="30">
        <f t="shared" si="1589"/>
        <v>2400</v>
      </c>
      <c r="H1562" s="8">
        <v>25000</v>
      </c>
      <c r="I1562" s="30">
        <f t="shared" si="1590"/>
        <v>5000</v>
      </c>
      <c r="J1562" s="8">
        <v>25000</v>
      </c>
      <c r="K1562" s="30">
        <f t="shared" si="1591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15.03</v>
      </c>
      <c r="O1562" s="9">
        <v>13.5</v>
      </c>
      <c r="P1562" s="9">
        <v>19.5</v>
      </c>
      <c r="Q1562" s="79">
        <f>VLOOKUP(VLOOKUP(DATEVALUE(TEXT(A1562,"m/d/yyyy")),FY24_Temp[],5,FALSE)&amp;TEXT(A1562,"-h"),Table6[],4,FALSE)</f>
        <v>2.7085714680807933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VLOOKUP(TEXT(A1562,"yy-mm")&amp;"-"&amp;IF(AND(WEEKDAY(A1562)&gt;1,WEEKDAY(A1562)&lt;7),"Wkd",TEXT(A1562,"Ddd"))&amp;"-"&amp;TEXT(A1562,"hh"),LoadTable[],5,FALSE)*0.92</f>
        <v>295.12680000000006</v>
      </c>
      <c r="U1562" s="104">
        <f>VLOOKUP(TEXT(A1562,"yy-mm")&amp;"-"&amp;IF(AND(WEEKDAY(A1562)&gt;1,WEEKDAY(A1562)&lt;7),"Wkd",TEXT(A1562,"Ddd"))&amp;"-"&amp;TEXT(A1562,"hh"),LoadTable[],6,FALSE)*T1562</f>
        <v>18122.851407600003</v>
      </c>
      <c r="V1562">
        <f t="shared" ref="V1562:W1562" si="1655">V1538</f>
        <v>3.6</v>
      </c>
      <c r="W1562">
        <f t="shared" si="1655"/>
        <v>3.1</v>
      </c>
      <c r="X1562" s="9">
        <v>-60.723145316666198</v>
      </c>
    </row>
    <row r="1563" spans="1:24">
      <c r="A1563" s="29">
        <f t="shared" si="1633"/>
        <v>45900.999999996217</v>
      </c>
      <c r="B1563" s="30">
        <f t="shared" si="1588"/>
        <v>5000</v>
      </c>
      <c r="C1563" s="8">
        <v>25000</v>
      </c>
      <c r="D1563" s="8">
        <v>0</v>
      </c>
      <c r="E1563" s="8">
        <v>700</v>
      </c>
      <c r="F1563" s="8">
        <v>15000</v>
      </c>
      <c r="G1563" s="30">
        <f t="shared" si="1589"/>
        <v>2400</v>
      </c>
      <c r="H1563" s="8">
        <v>25000</v>
      </c>
      <c r="I1563" s="30">
        <f t="shared" si="1590"/>
        <v>5000</v>
      </c>
      <c r="J1563" s="8">
        <v>25000</v>
      </c>
      <c r="K1563" s="30">
        <f t="shared" si="1591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15.03</v>
      </c>
      <c r="O1563" s="9">
        <v>13.5</v>
      </c>
      <c r="P1563" s="9">
        <v>19.5</v>
      </c>
      <c r="Q1563" s="79">
        <f>VLOOKUP(VLOOKUP(DATEVALUE(TEXT(A1563,"m/d/yyyy")),FY24_Temp[],5,FALSE)&amp;TEXT(A1563,"-h"),Table6[],4,FALSE)</f>
        <v>2.6008571216038296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VLOOKUP(TEXT(A1563,"yy-mm")&amp;"-"&amp;IF(AND(WEEKDAY(A1563)&gt;1,WEEKDAY(A1563)&lt;7),"Wkd",TEXT(A1563,"Ddd"))&amp;"-"&amp;TEXT(A1563,"hh"),LoadTable[],5,FALSE)*0.92</f>
        <v>237.25788000000003</v>
      </c>
      <c r="U1563" s="104">
        <f>VLOOKUP(TEXT(A1563,"yy-mm")&amp;"-"&amp;IF(AND(WEEKDAY(A1563)&gt;1,WEEKDAY(A1563)&lt;7),"Wkd",TEXT(A1563,"Ddd"))&amp;"-"&amp;TEXT(A1563,"hh"),LoadTable[],6,FALSE)*T1563</f>
        <v>12215.696467560001</v>
      </c>
      <c r="V1563">
        <f t="shared" ref="V1563:W1563" si="1656">V1539</f>
        <v>3</v>
      </c>
      <c r="W1563">
        <f t="shared" si="1656"/>
        <v>3.2</v>
      </c>
      <c r="X1563" s="9">
        <v>-60.800939866666198</v>
      </c>
    </row>
    <row r="1564" spans="1:24">
      <c r="A1564" s="29">
        <f t="shared" si="1633"/>
        <v>45901.041666662881</v>
      </c>
      <c r="B1564" s="30">
        <f t="shared" ref="B1564:B1627" si="1657">B1540</f>
        <v>5000</v>
      </c>
      <c r="C1564" s="8">
        <v>25000</v>
      </c>
      <c r="D1564" s="8">
        <v>0</v>
      </c>
      <c r="E1564" s="8">
        <v>700</v>
      </c>
      <c r="F1564" s="8">
        <v>15000</v>
      </c>
      <c r="G1564" s="30">
        <f t="shared" ref="G1564:G1627" si="1658">G1540</f>
        <v>2400</v>
      </c>
      <c r="H1564" s="8">
        <v>25000</v>
      </c>
      <c r="I1564" s="30">
        <f t="shared" ref="I1564:I1627" si="1659">I1540</f>
        <v>5000</v>
      </c>
      <c r="J1564" s="8">
        <v>25000</v>
      </c>
      <c r="K1564" s="30">
        <f t="shared" ref="K1564:K1627" si="1660">K1540</f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15.03</v>
      </c>
      <c r="O1564" s="9">
        <v>13.5</v>
      </c>
      <c r="P1564" s="9">
        <v>19.5</v>
      </c>
      <c r="Q1564" s="79">
        <f>VLOOKUP(VLOOKUP(DATEVALUE(TEXT(A1564,"m/d/yyyy")),FY24_Temp[],5,FALSE)&amp;TEXT(A1564,"-h"),Table6[],4,FALSE)</f>
        <v>2.5028571741921559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VLOOKUP(TEXT(A1564,"yy-mm")&amp;"-"&amp;IF(AND(WEEKDAY(A1564)&gt;1,WEEKDAY(A1564)&lt;7),"Wkd",TEXT(A1564,"Ddd"))&amp;"-"&amp;TEXT(A1564,"hh"),LoadTable[],5,FALSE)*0.92</f>
        <v>237.25788000000003</v>
      </c>
      <c r="U1564" s="104">
        <f>VLOOKUP(TEXT(A1564,"yy-mm")&amp;"-"&amp;IF(AND(WEEKDAY(A1564)&gt;1,WEEKDAY(A1564)&lt;7),"Wkd",TEXT(A1564,"Ddd"))&amp;"-"&amp;TEXT(A1564,"hh"),LoadTable[],6,FALSE)*T1564</f>
        <v>11905.12590264</v>
      </c>
      <c r="V1564">
        <f t="shared" ref="V1564:W1564" si="1661">V1540</f>
        <v>2.6</v>
      </c>
      <c r="W1564">
        <f t="shared" si="1661"/>
        <v>3.2</v>
      </c>
      <c r="X1564" s="9">
        <v>-60.878734416666198</v>
      </c>
    </row>
    <row r="1565" spans="1:24">
      <c r="A1565" s="29">
        <f t="shared" si="1633"/>
        <v>45901.083333329545</v>
      </c>
      <c r="B1565" s="30">
        <f t="shared" si="1657"/>
        <v>5000</v>
      </c>
      <c r="C1565" s="8">
        <v>25000</v>
      </c>
      <c r="D1565" s="8">
        <v>0</v>
      </c>
      <c r="E1565" s="8">
        <v>700</v>
      </c>
      <c r="F1565" s="8">
        <v>15000</v>
      </c>
      <c r="G1565" s="30">
        <f t="shared" si="1658"/>
        <v>2400</v>
      </c>
      <c r="H1565" s="8">
        <v>25000</v>
      </c>
      <c r="I1565" s="30">
        <f t="shared" si="1659"/>
        <v>5000</v>
      </c>
      <c r="J1565" s="8">
        <v>25000</v>
      </c>
      <c r="K1565" s="30">
        <f t="shared" si="1660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15.03</v>
      </c>
      <c r="O1565" s="9">
        <v>13.5</v>
      </c>
      <c r="P1565" s="9">
        <v>19.5</v>
      </c>
      <c r="Q1565" s="79">
        <f>VLOOKUP(VLOOKUP(DATEVALUE(TEXT(A1565,"m/d/yyyy")),FY24_Temp[],5,FALSE)&amp;TEXT(A1565,"-h"),Table6[],4,FALSE)</f>
        <v>2.4148571491241455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VLOOKUP(TEXT(A1565,"yy-mm")&amp;"-"&amp;IF(AND(WEEKDAY(A1565)&gt;1,WEEKDAY(A1565)&lt;7),"Wkd",TEXT(A1565,"Ddd"))&amp;"-"&amp;TEXT(A1565,"hh"),LoadTable[],5,FALSE)*0.92</f>
        <v>237.25788000000003</v>
      </c>
      <c r="U1565" s="104">
        <f>VLOOKUP(TEXT(A1565,"yy-mm")&amp;"-"&amp;IF(AND(WEEKDAY(A1565)&gt;1,WEEKDAY(A1565)&lt;7),"Wkd",TEXT(A1565,"Ddd"))&amp;"-"&amp;TEXT(A1565,"hh"),LoadTable[],6,FALSE)*T1565</f>
        <v>11856.013521480001</v>
      </c>
      <c r="V1565">
        <f t="shared" ref="V1565:W1565" si="1662">V1541</f>
        <v>2.8</v>
      </c>
      <c r="W1565">
        <f t="shared" si="1662"/>
        <v>3.2</v>
      </c>
      <c r="X1565" s="9">
        <v>-60.956528966666198</v>
      </c>
    </row>
    <row r="1566" spans="1:24">
      <c r="A1566" s="29">
        <f t="shared" si="1633"/>
        <v>45901.124999996209</v>
      </c>
      <c r="B1566" s="30">
        <f t="shared" si="1657"/>
        <v>5000</v>
      </c>
      <c r="C1566" s="8">
        <v>25000</v>
      </c>
      <c r="D1566" s="8">
        <v>0</v>
      </c>
      <c r="E1566" s="8">
        <v>700</v>
      </c>
      <c r="F1566" s="8">
        <v>15000</v>
      </c>
      <c r="G1566" s="30">
        <f t="shared" si="1658"/>
        <v>2400</v>
      </c>
      <c r="H1566" s="8">
        <v>25000</v>
      </c>
      <c r="I1566" s="30">
        <f t="shared" si="1659"/>
        <v>5000</v>
      </c>
      <c r="J1566" s="8">
        <v>25000</v>
      </c>
      <c r="K1566" s="30">
        <f t="shared" si="1660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15.03</v>
      </c>
      <c r="O1566" s="9">
        <v>13.5</v>
      </c>
      <c r="P1566" s="9">
        <v>19.5</v>
      </c>
      <c r="Q1566" s="79">
        <f>VLOOKUP(VLOOKUP(DATEVALUE(TEXT(A1566,"m/d/yyyy")),FY24_Temp[],5,FALSE)&amp;TEXT(A1566,"-h"),Table6[],4,FALSE)</f>
        <v>2.2705714702606201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VLOOKUP(TEXT(A1566,"yy-mm")&amp;"-"&amp;IF(AND(WEEKDAY(A1566)&gt;1,WEEKDAY(A1566)&lt;7),"Wkd",TEXT(A1566,"Ddd"))&amp;"-"&amp;TEXT(A1566,"hh"),LoadTable[],5,FALSE)*0.92</f>
        <v>237.25788000000003</v>
      </c>
      <c r="U1566" s="104">
        <f>VLOOKUP(TEXT(A1566,"yy-mm")&amp;"-"&amp;IF(AND(WEEKDAY(A1566)&gt;1,WEEKDAY(A1566)&lt;7),"Wkd",TEXT(A1566,"Ddd"))&amp;"-"&amp;TEXT(A1566,"hh"),LoadTable[],6,FALSE)*T1566</f>
        <v>11893.025750760002</v>
      </c>
      <c r="V1566">
        <f t="shared" ref="V1566:W1566" si="1663">V1542</f>
        <v>2.7</v>
      </c>
      <c r="W1566">
        <f t="shared" si="1663"/>
        <v>3.2</v>
      </c>
      <c r="X1566" s="9">
        <v>-61.034323516666198</v>
      </c>
    </row>
    <row r="1567" spans="1:24">
      <c r="A1567" s="29">
        <f t="shared" si="1633"/>
        <v>45901.166666662873</v>
      </c>
      <c r="B1567" s="30">
        <f t="shared" si="1657"/>
        <v>5000</v>
      </c>
      <c r="C1567" s="8">
        <v>25000</v>
      </c>
      <c r="D1567" s="8">
        <v>0</v>
      </c>
      <c r="E1567" s="8">
        <v>700</v>
      </c>
      <c r="F1567" s="8">
        <v>15000</v>
      </c>
      <c r="G1567" s="30">
        <f t="shared" si="1658"/>
        <v>2400</v>
      </c>
      <c r="H1567" s="8">
        <v>25000</v>
      </c>
      <c r="I1567" s="30">
        <f t="shared" si="1659"/>
        <v>5000</v>
      </c>
      <c r="J1567" s="8">
        <v>25000</v>
      </c>
      <c r="K1567" s="30">
        <f t="shared" si="1660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15.03</v>
      </c>
      <c r="O1567" s="9">
        <v>13.5</v>
      </c>
      <c r="P1567" s="9">
        <v>19.5</v>
      </c>
      <c r="Q1567" s="79">
        <f>VLOOKUP(VLOOKUP(DATEVALUE(TEXT(A1567,"m/d/yyyy")),FY24_Temp[],5,FALSE)&amp;TEXT(A1567,"-h"),Table6[],4,FALSE)</f>
        <v>2.1080000059945241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VLOOKUP(TEXT(A1567,"yy-mm")&amp;"-"&amp;IF(AND(WEEKDAY(A1567)&gt;1,WEEKDAY(A1567)&lt;7),"Wkd",TEXT(A1567,"Ddd"))&amp;"-"&amp;TEXT(A1567,"hh"),LoadTable[],5,FALSE)*0.92</f>
        <v>237.25788000000003</v>
      </c>
      <c r="U1567" s="104">
        <f>VLOOKUP(TEXT(A1567,"yy-mm")&amp;"-"&amp;IF(AND(WEEKDAY(A1567)&gt;1,WEEKDAY(A1567)&lt;7),"Wkd",TEXT(A1567,"Ddd"))&amp;"-"&amp;TEXT(A1567,"hh"),LoadTable[],6,FALSE)*T1567</f>
        <v>12081.645765360001</v>
      </c>
      <c r="V1567">
        <f t="shared" ref="V1567:W1567" si="1664">V1543</f>
        <v>3</v>
      </c>
      <c r="W1567">
        <f t="shared" si="1664"/>
        <v>3.1</v>
      </c>
      <c r="X1567" s="9">
        <v>-61.112118066666199</v>
      </c>
    </row>
    <row r="1568" spans="1:24">
      <c r="A1568" s="29">
        <f t="shared" si="1633"/>
        <v>45901.208333329538</v>
      </c>
      <c r="B1568" s="30">
        <f t="shared" si="1657"/>
        <v>5000</v>
      </c>
      <c r="C1568" s="8">
        <v>25000</v>
      </c>
      <c r="D1568" s="8">
        <v>0</v>
      </c>
      <c r="E1568" s="8">
        <v>700</v>
      </c>
      <c r="F1568" s="8">
        <v>15000</v>
      </c>
      <c r="G1568" s="30">
        <f t="shared" si="1658"/>
        <v>2400</v>
      </c>
      <c r="H1568" s="8">
        <v>25000</v>
      </c>
      <c r="I1568" s="30">
        <f t="shared" si="1659"/>
        <v>5000</v>
      </c>
      <c r="J1568" s="8">
        <v>25000</v>
      </c>
      <c r="K1568" s="30">
        <f t="shared" si="1660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15.03</v>
      </c>
      <c r="O1568" s="9">
        <v>13.5</v>
      </c>
      <c r="P1568" s="9">
        <v>19.5</v>
      </c>
      <c r="Q1568" s="79">
        <f>VLOOKUP(VLOOKUP(DATEVALUE(TEXT(A1568,"m/d/yyyy")),FY24_Temp[],5,FALSE)&amp;TEXT(A1568,"-h"),Table6[],4,FALSE)</f>
        <v>1.9515714134488786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VLOOKUP(TEXT(A1568,"yy-mm")&amp;"-"&amp;IF(AND(WEEKDAY(A1568)&gt;1,WEEKDAY(A1568)&lt;7),"Wkd",TEXT(A1568,"Ddd"))&amp;"-"&amp;TEXT(A1568,"hh"),LoadTable[],5,FALSE)*0.92</f>
        <v>237.25788000000003</v>
      </c>
      <c r="U1568" s="104">
        <f>VLOOKUP(TEXT(A1568,"yy-mm")&amp;"-"&amp;IF(AND(WEEKDAY(A1568)&gt;1,WEEKDAY(A1568)&lt;7),"Wkd",TEXT(A1568,"Ddd"))&amp;"-"&amp;TEXT(A1568,"hh"),LoadTable[],6,FALSE)*T1568</f>
        <v>12065.037713760001</v>
      </c>
      <c r="V1568">
        <f t="shared" ref="V1568:W1568" si="1665">V1544</f>
        <v>2.9</v>
      </c>
      <c r="W1568">
        <f t="shared" si="1665"/>
        <v>3.1</v>
      </c>
      <c r="X1568" s="9">
        <v>-61.189912616666199</v>
      </c>
    </row>
    <row r="1569" spans="1:24">
      <c r="A1569" s="29">
        <f t="shared" si="1633"/>
        <v>45901.249999996202</v>
      </c>
      <c r="B1569" s="30">
        <f t="shared" si="1657"/>
        <v>8000</v>
      </c>
      <c r="C1569" s="8">
        <v>25000</v>
      </c>
      <c r="D1569" s="8">
        <v>0</v>
      </c>
      <c r="E1569" s="8">
        <v>700</v>
      </c>
      <c r="F1569" s="8">
        <v>15000</v>
      </c>
      <c r="G1569" s="30">
        <f t="shared" si="1658"/>
        <v>2400</v>
      </c>
      <c r="H1569" s="8">
        <v>25000</v>
      </c>
      <c r="I1569" s="30">
        <f t="shared" si="1659"/>
        <v>8000</v>
      </c>
      <c r="J1569" s="8">
        <v>25000</v>
      </c>
      <c r="K1569" s="30">
        <f t="shared" si="1660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15.03</v>
      </c>
      <c r="O1569" s="9">
        <v>13.5</v>
      </c>
      <c r="P1569" s="9">
        <v>19.5</v>
      </c>
      <c r="Q1569" s="79">
        <f>VLOOKUP(VLOOKUP(DATEVALUE(TEXT(A1569,"m/d/yyyy")),FY24_Temp[],5,FALSE)&amp;TEXT(A1569,"-h"),Table6[],4,FALSE)</f>
        <v>1.8388571568897791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VLOOKUP(TEXT(A1569,"yy-mm")&amp;"-"&amp;IF(AND(WEEKDAY(A1569)&gt;1,WEEKDAY(A1569)&lt;7),"Wkd",TEXT(A1569,"Ddd"))&amp;"-"&amp;TEXT(A1569,"hh"),LoadTable[],5,FALSE)*0.92</f>
        <v>237.25788000000003</v>
      </c>
      <c r="U1569" s="104">
        <f>VLOOKUP(TEXT(A1569,"yy-mm")&amp;"-"&amp;IF(AND(WEEKDAY(A1569)&gt;1,WEEKDAY(A1569)&lt;7),"Wkd",TEXT(A1569,"Ddd"))&amp;"-"&amp;TEXT(A1569,"hh"),LoadTable[],6,FALSE)*T1569</f>
        <v>18358.065722880005</v>
      </c>
      <c r="V1569">
        <f t="shared" ref="V1569:W1569" si="1666">V1545</f>
        <v>2.5</v>
      </c>
      <c r="W1569">
        <f t="shared" si="1666"/>
        <v>3.1</v>
      </c>
      <c r="X1569" s="9">
        <v>-61.267707166666199</v>
      </c>
    </row>
    <row r="1570" spans="1:24">
      <c r="A1570" s="29">
        <f t="shared" si="1633"/>
        <v>45901.291666662866</v>
      </c>
      <c r="B1570" s="30">
        <f t="shared" si="1657"/>
        <v>8000</v>
      </c>
      <c r="C1570" s="8">
        <v>25000</v>
      </c>
      <c r="D1570" s="8">
        <v>0</v>
      </c>
      <c r="E1570" s="8">
        <v>700</v>
      </c>
      <c r="F1570" s="8">
        <v>15000</v>
      </c>
      <c r="G1570" s="30">
        <f t="shared" si="1658"/>
        <v>2400</v>
      </c>
      <c r="H1570" s="8">
        <v>25000</v>
      </c>
      <c r="I1570" s="30">
        <f t="shared" si="1659"/>
        <v>8000</v>
      </c>
      <c r="J1570" s="8">
        <v>25000</v>
      </c>
      <c r="K1570" s="30">
        <f t="shared" si="1660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15.03</v>
      </c>
      <c r="O1570" s="9">
        <v>13.5</v>
      </c>
      <c r="P1570" s="9">
        <v>19.5</v>
      </c>
      <c r="Q1570" s="79">
        <f>VLOOKUP(VLOOKUP(DATEVALUE(TEXT(A1570,"m/d/yyyy")),FY24_Temp[],5,FALSE)&amp;TEXT(A1570,"-h"),Table6[],4,FALSE)</f>
        <v>1.7592856884002686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VLOOKUP(TEXT(A1570,"yy-mm")&amp;"-"&amp;IF(AND(WEEKDAY(A1570)&gt;1,WEEKDAY(A1570)&lt;7),"Wkd",TEXT(A1570,"Ddd"))&amp;"-"&amp;TEXT(A1570,"hh"),LoadTable[],5,FALSE)*0.92</f>
        <v>237.25788000000003</v>
      </c>
      <c r="U1570" s="104">
        <f>VLOOKUP(TEXT(A1570,"yy-mm")&amp;"-"&amp;IF(AND(WEEKDAY(A1570)&gt;1,WEEKDAY(A1570)&lt;7),"Wkd",TEXT(A1570,"Ddd"))&amp;"-"&amp;TEXT(A1570,"hh"),LoadTable[],6,FALSE)*T1570</f>
        <v>16249.08042756</v>
      </c>
      <c r="V1570">
        <f t="shared" ref="V1570:W1570" si="1667">V1546</f>
        <v>2.5</v>
      </c>
      <c r="W1570">
        <f t="shared" si="1667"/>
        <v>3.1</v>
      </c>
      <c r="X1570" s="9">
        <v>-61.345501716666199</v>
      </c>
    </row>
    <row r="1571" spans="1:24">
      <c r="A1571" s="29">
        <f t="shared" si="1633"/>
        <v>45901.33333332953</v>
      </c>
      <c r="B1571" s="30">
        <f t="shared" si="1657"/>
        <v>8000</v>
      </c>
      <c r="C1571" s="8">
        <v>25000</v>
      </c>
      <c r="D1571" s="8">
        <v>0</v>
      </c>
      <c r="E1571" s="8">
        <v>700</v>
      </c>
      <c r="F1571" s="8">
        <v>15000</v>
      </c>
      <c r="G1571" s="30">
        <f t="shared" si="1658"/>
        <v>2400</v>
      </c>
      <c r="H1571" s="8">
        <v>25000</v>
      </c>
      <c r="I1571" s="30">
        <f t="shared" si="1659"/>
        <v>8000</v>
      </c>
      <c r="J1571" s="8">
        <v>25000</v>
      </c>
      <c r="K1571" s="30">
        <f t="shared" si="1660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15.03</v>
      </c>
      <c r="O1571" s="9">
        <v>13.5</v>
      </c>
      <c r="P1571" s="9">
        <v>19.5</v>
      </c>
      <c r="Q1571" s="79">
        <f>VLOOKUP(VLOOKUP(DATEVALUE(TEXT(A1571,"m/d/yyyy")),FY24_Temp[],5,FALSE)&amp;TEXT(A1571,"-h"),Table6[],4,FALSE)</f>
        <v>1.6568571329116821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VLOOKUP(TEXT(A1571,"yy-mm")&amp;"-"&amp;IF(AND(WEEKDAY(A1571)&gt;1,WEEKDAY(A1571)&lt;7),"Wkd",TEXT(A1571,"Ddd"))&amp;"-"&amp;TEXT(A1571,"hh"),LoadTable[],5,FALSE)*0.92</f>
        <v>237.25788000000003</v>
      </c>
      <c r="U1571" s="104">
        <f>VLOOKUP(TEXT(A1571,"yy-mm")&amp;"-"&amp;IF(AND(WEEKDAY(A1571)&gt;1,WEEKDAY(A1571)&lt;7),"Wkd",TEXT(A1571,"Ddd"))&amp;"-"&amp;TEXT(A1571,"hh"),LoadTable[],6,FALSE)*T1571</f>
        <v>13068.164030400001</v>
      </c>
      <c r="V1571">
        <f t="shared" ref="V1571:W1571" si="1668">V1547</f>
        <v>3.2</v>
      </c>
      <c r="W1571">
        <f t="shared" si="1668"/>
        <v>3</v>
      </c>
      <c r="X1571" s="9">
        <v>-61.423296266666199</v>
      </c>
    </row>
    <row r="1572" spans="1:24">
      <c r="A1572" s="29">
        <f t="shared" si="1633"/>
        <v>45901.374999996195</v>
      </c>
      <c r="B1572" s="30">
        <f t="shared" si="1657"/>
        <v>8000</v>
      </c>
      <c r="C1572" s="8">
        <v>25000</v>
      </c>
      <c r="D1572" s="8">
        <v>0</v>
      </c>
      <c r="E1572" s="8">
        <v>700</v>
      </c>
      <c r="F1572" s="8">
        <v>15000</v>
      </c>
      <c r="G1572" s="30">
        <f t="shared" si="1658"/>
        <v>2400</v>
      </c>
      <c r="H1572" s="8">
        <v>25000</v>
      </c>
      <c r="I1572" s="30">
        <f t="shared" si="1659"/>
        <v>8000</v>
      </c>
      <c r="J1572" s="8">
        <v>25000</v>
      </c>
      <c r="K1572" s="30">
        <f t="shared" si="1660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15.03</v>
      </c>
      <c r="O1572" s="9">
        <v>13.5</v>
      </c>
      <c r="P1572" s="9">
        <v>19.5</v>
      </c>
      <c r="Q1572" s="79">
        <f>VLOOKUP(VLOOKUP(DATEVALUE(TEXT(A1572,"m/d/yyyy")),FY24_Temp[],5,FALSE)&amp;TEXT(A1572,"-h"),Table6[],4,FALSE)</f>
        <v>1.5618571383612496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VLOOKUP(TEXT(A1572,"yy-mm")&amp;"-"&amp;IF(AND(WEEKDAY(A1572)&gt;1,WEEKDAY(A1572)&lt;7),"Wkd",TEXT(A1572,"Ddd"))&amp;"-"&amp;TEXT(A1572,"hh"),LoadTable[],5,FALSE)*0.92</f>
        <v>237.25788000000003</v>
      </c>
      <c r="U1572" s="104">
        <f>VLOOKUP(TEXT(A1572,"yy-mm")&amp;"-"&amp;IF(AND(WEEKDAY(A1572)&gt;1,WEEKDAY(A1572)&lt;7),"Wkd",TEXT(A1572,"Ddd"))&amp;"-"&amp;TEXT(A1572,"hh"),LoadTable[],6,FALSE)*T1572</f>
        <v>11518.395558240001</v>
      </c>
      <c r="V1572">
        <f t="shared" ref="V1572:W1572" si="1669">V1548</f>
        <v>2.9</v>
      </c>
      <c r="W1572">
        <f t="shared" si="1669"/>
        <v>3</v>
      </c>
      <c r="X1572" s="9">
        <v>-61.501090816666199</v>
      </c>
    </row>
    <row r="1573" spans="1:24">
      <c r="A1573" s="29">
        <f t="shared" si="1633"/>
        <v>45901.416666662859</v>
      </c>
      <c r="B1573" s="30">
        <f t="shared" si="1657"/>
        <v>8000</v>
      </c>
      <c r="C1573" s="8">
        <v>25000</v>
      </c>
      <c r="D1573" s="8">
        <v>0</v>
      </c>
      <c r="E1573" s="8">
        <v>700</v>
      </c>
      <c r="F1573" s="8">
        <v>15000</v>
      </c>
      <c r="G1573" s="30">
        <f t="shared" si="1658"/>
        <v>2400</v>
      </c>
      <c r="H1573" s="8">
        <v>25000</v>
      </c>
      <c r="I1573" s="30">
        <f t="shared" si="1659"/>
        <v>8000</v>
      </c>
      <c r="J1573" s="8">
        <v>25000</v>
      </c>
      <c r="K1573" s="30">
        <f t="shared" si="1660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15.03</v>
      </c>
      <c r="O1573" s="9">
        <v>13.5</v>
      </c>
      <c r="P1573" s="9">
        <v>19.5</v>
      </c>
      <c r="Q1573" s="79">
        <f>VLOOKUP(VLOOKUP(DATEVALUE(TEXT(A1573,"m/d/yyyy")),FY24_Temp[],5,FALSE)&amp;TEXT(A1573,"-h"),Table6[],4,FALSE)</f>
        <v>1.4821428230830602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VLOOKUP(TEXT(A1573,"yy-mm")&amp;"-"&amp;IF(AND(WEEKDAY(A1573)&gt;1,WEEKDAY(A1573)&lt;7),"Wkd",TEXT(A1573,"Ddd"))&amp;"-"&amp;TEXT(A1573,"hh"),LoadTable[],5,FALSE)*0.92</f>
        <v>237.25788000000003</v>
      </c>
      <c r="U1573" s="104">
        <f>VLOOKUP(TEXT(A1573,"yy-mm")&amp;"-"&amp;IF(AND(WEEKDAY(A1573)&gt;1,WEEKDAY(A1573)&lt;7),"Wkd",TEXT(A1573,"Ddd"))&amp;"-"&amp;TEXT(A1573,"hh"),LoadTable[],6,FALSE)*T1573</f>
        <v>10982.667265200002</v>
      </c>
      <c r="V1573">
        <f t="shared" ref="V1573:W1573" si="1670">V1549</f>
        <v>2.9</v>
      </c>
      <c r="W1573">
        <f t="shared" si="1670"/>
        <v>3</v>
      </c>
      <c r="X1573" s="9">
        <v>-61.578885366666199</v>
      </c>
    </row>
    <row r="1574" spans="1:24">
      <c r="A1574" s="29">
        <f t="shared" si="1633"/>
        <v>45901.458333329523</v>
      </c>
      <c r="B1574" s="30">
        <f t="shared" si="1657"/>
        <v>8000</v>
      </c>
      <c r="C1574" s="8">
        <v>25000</v>
      </c>
      <c r="D1574" s="8">
        <v>0</v>
      </c>
      <c r="E1574" s="8">
        <v>700</v>
      </c>
      <c r="F1574" s="8">
        <v>15000</v>
      </c>
      <c r="G1574" s="30">
        <f t="shared" si="1658"/>
        <v>2400</v>
      </c>
      <c r="H1574" s="8">
        <v>25000</v>
      </c>
      <c r="I1574" s="30">
        <f t="shared" si="1659"/>
        <v>8000</v>
      </c>
      <c r="J1574" s="8">
        <v>25000</v>
      </c>
      <c r="K1574" s="30">
        <f t="shared" si="1660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15.03</v>
      </c>
      <c r="O1574" s="9">
        <v>13.5</v>
      </c>
      <c r="P1574" s="9">
        <v>19.5</v>
      </c>
      <c r="Q1574" s="79">
        <f>VLOOKUP(VLOOKUP(DATEVALUE(TEXT(A1574,"m/d/yyyy")),FY24_Temp[],5,FALSE)&amp;TEXT(A1574,"-h"),Table6[],4,FALSE)</f>
        <v>1.3825714247567313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VLOOKUP(TEXT(A1574,"yy-mm")&amp;"-"&amp;IF(AND(WEEKDAY(A1574)&gt;1,WEEKDAY(A1574)&lt;7),"Wkd",TEXT(A1574,"Ddd"))&amp;"-"&amp;TEXT(A1574,"hh"),LoadTable[],5,FALSE)*0.92</f>
        <v>237.25788000000003</v>
      </c>
      <c r="U1574" s="104">
        <f>VLOOKUP(TEXT(A1574,"yy-mm")&amp;"-"&amp;IF(AND(WEEKDAY(A1574)&gt;1,WEEKDAY(A1574)&lt;7),"Wkd",TEXT(A1574,"Ddd"))&amp;"-"&amp;TEXT(A1574,"hh"),LoadTable[],6,FALSE)*T1574</f>
        <v>10974.125981520001</v>
      </c>
      <c r="V1574">
        <f t="shared" ref="V1574:W1574" si="1671">V1550</f>
        <v>3.4</v>
      </c>
      <c r="W1574">
        <f t="shared" si="1671"/>
        <v>3</v>
      </c>
      <c r="X1574" s="9">
        <v>-61.656679916666199</v>
      </c>
    </row>
    <row r="1575" spans="1:24">
      <c r="A1575" s="29">
        <f t="shared" si="1633"/>
        <v>45901.499999996187</v>
      </c>
      <c r="B1575" s="30">
        <f t="shared" si="1657"/>
        <v>8000</v>
      </c>
      <c r="C1575" s="8">
        <v>25000</v>
      </c>
      <c r="D1575" s="8">
        <v>0</v>
      </c>
      <c r="E1575" s="8">
        <v>700</v>
      </c>
      <c r="F1575" s="8">
        <v>15000</v>
      </c>
      <c r="G1575" s="30">
        <f t="shared" si="1658"/>
        <v>2400</v>
      </c>
      <c r="H1575" s="8">
        <v>25000</v>
      </c>
      <c r="I1575" s="30">
        <f t="shared" si="1659"/>
        <v>8000</v>
      </c>
      <c r="J1575" s="8">
        <v>25000</v>
      </c>
      <c r="K1575" s="30">
        <f t="shared" si="1660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15.03</v>
      </c>
      <c r="O1575" s="9">
        <v>13.5</v>
      </c>
      <c r="P1575" s="9">
        <v>19.5</v>
      </c>
      <c r="Q1575" s="79">
        <f>VLOOKUP(VLOOKUP(DATEVALUE(TEXT(A1575,"m/d/yyyy")),FY24_Temp[],5,FALSE)&amp;TEXT(A1575,"-h"),Table6[],4,FALSE)</f>
        <v>1.2544285740171159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VLOOKUP(TEXT(A1575,"yy-mm")&amp;"-"&amp;IF(AND(WEEKDAY(A1575)&gt;1,WEEKDAY(A1575)&lt;7),"Wkd",TEXT(A1575,"Ddd"))&amp;"-"&amp;TEXT(A1575,"hh"),LoadTable[],5,FALSE)*0.92</f>
        <v>237.25788000000003</v>
      </c>
      <c r="U1575" s="104">
        <f>VLOOKUP(TEXT(A1575,"yy-mm")&amp;"-"&amp;IF(AND(WEEKDAY(A1575)&gt;1,WEEKDAY(A1575)&lt;7),"Wkd",TEXT(A1575,"Ddd"))&amp;"-"&amp;TEXT(A1575,"hh"),LoadTable[],6,FALSE)*T1575</f>
        <v>10962.974861160001</v>
      </c>
      <c r="V1575">
        <f t="shared" ref="V1575:W1575" si="1672">V1551</f>
        <v>3.1</v>
      </c>
      <c r="W1575">
        <f t="shared" si="1672"/>
        <v>2.9</v>
      </c>
      <c r="X1575" s="9">
        <v>-61.7344744666662</v>
      </c>
    </row>
    <row r="1576" spans="1:24">
      <c r="A1576" s="29">
        <f t="shared" si="1633"/>
        <v>45901.541666662852</v>
      </c>
      <c r="B1576" s="30">
        <f t="shared" si="1657"/>
        <v>8000</v>
      </c>
      <c r="C1576" s="8">
        <v>25000</v>
      </c>
      <c r="D1576" s="8">
        <v>0</v>
      </c>
      <c r="E1576" s="8">
        <v>700</v>
      </c>
      <c r="F1576" s="8">
        <v>15000</v>
      </c>
      <c r="G1576" s="30">
        <f t="shared" si="1658"/>
        <v>2400</v>
      </c>
      <c r="H1576" s="8">
        <v>25000</v>
      </c>
      <c r="I1576" s="30">
        <f t="shared" si="1659"/>
        <v>8000</v>
      </c>
      <c r="J1576" s="8">
        <v>25000</v>
      </c>
      <c r="K1576" s="30">
        <f t="shared" si="1660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15.03</v>
      </c>
      <c r="O1576" s="9">
        <v>13.5</v>
      </c>
      <c r="P1576" s="9">
        <v>19.5</v>
      </c>
      <c r="Q1576" s="79">
        <f>VLOOKUP(VLOOKUP(DATEVALUE(TEXT(A1576,"m/d/yyyy")),FY24_Temp[],5,FALSE)&amp;TEXT(A1576,"-h"),Table6[],4,FALSE)</f>
        <v>1.0944285563060216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VLOOKUP(TEXT(A1576,"yy-mm")&amp;"-"&amp;IF(AND(WEEKDAY(A1576)&gt;1,WEEKDAY(A1576)&lt;7),"Wkd",TEXT(A1576,"Ddd"))&amp;"-"&amp;TEXT(A1576,"hh"),LoadTable[],5,FALSE)*0.92</f>
        <v>237.25788000000003</v>
      </c>
      <c r="U1576" s="104">
        <f>VLOOKUP(TEXT(A1576,"yy-mm")&amp;"-"&amp;IF(AND(WEEKDAY(A1576)&gt;1,WEEKDAY(A1576)&lt;7),"Wkd",TEXT(A1576,"Ddd"))&amp;"-"&amp;TEXT(A1576,"hh"),LoadTable[],6,FALSE)*T1576</f>
        <v>10978.39662336</v>
      </c>
      <c r="V1576">
        <f t="shared" ref="V1576:W1576" si="1673">V1552</f>
        <v>3.2</v>
      </c>
      <c r="W1576">
        <f t="shared" si="1673"/>
        <v>2.9</v>
      </c>
      <c r="X1576" s="9">
        <v>-61.8122690166662</v>
      </c>
    </row>
    <row r="1577" spans="1:24">
      <c r="A1577" s="29">
        <f t="shared" si="1633"/>
        <v>45901.583333329516</v>
      </c>
      <c r="B1577" s="30">
        <f t="shared" si="1657"/>
        <v>8000</v>
      </c>
      <c r="C1577" s="8">
        <v>25000</v>
      </c>
      <c r="D1577" s="8">
        <v>0</v>
      </c>
      <c r="E1577" s="8">
        <v>700</v>
      </c>
      <c r="F1577" s="8">
        <v>15000</v>
      </c>
      <c r="G1577" s="30">
        <f t="shared" si="1658"/>
        <v>2400</v>
      </c>
      <c r="H1577" s="8">
        <v>25000</v>
      </c>
      <c r="I1577" s="30">
        <f t="shared" si="1659"/>
        <v>8000</v>
      </c>
      <c r="J1577" s="8">
        <v>25000</v>
      </c>
      <c r="K1577" s="30">
        <f t="shared" si="1660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15.03</v>
      </c>
      <c r="O1577" s="9">
        <v>13.5</v>
      </c>
      <c r="P1577" s="9">
        <v>19.5</v>
      </c>
      <c r="Q1577" s="79">
        <f>VLOOKUP(VLOOKUP(DATEVALUE(TEXT(A1577,"m/d/yyyy")),FY24_Temp[],5,FALSE)&amp;TEXT(A1577,"-h"),Table6[],4,FALSE)</f>
        <v>0.91900000401905602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VLOOKUP(TEXT(A1577,"yy-mm")&amp;"-"&amp;IF(AND(WEEKDAY(A1577)&gt;1,WEEKDAY(A1577)&lt;7),"Wkd",TEXT(A1577,"Ddd"))&amp;"-"&amp;TEXT(A1577,"hh"),LoadTable[],5,FALSE)*0.92</f>
        <v>269.75136000000003</v>
      </c>
      <c r="U1577" s="104">
        <f>VLOOKUP(TEXT(A1577,"yy-mm")&amp;"-"&amp;IF(AND(WEEKDAY(A1577)&gt;1,WEEKDAY(A1577)&lt;7),"Wkd",TEXT(A1577,"Ddd"))&amp;"-"&amp;TEXT(A1577,"hh"),LoadTable[],6,FALSE)*T1577</f>
        <v>12503.245287360001</v>
      </c>
      <c r="V1577">
        <f t="shared" ref="V1577:W1577" si="1674">V1553</f>
        <v>3.5</v>
      </c>
      <c r="W1577">
        <f t="shared" si="1674"/>
        <v>2.9</v>
      </c>
      <c r="X1577" s="9">
        <v>-61.8900635666662</v>
      </c>
    </row>
    <row r="1578" spans="1:24">
      <c r="A1578" s="29">
        <f t="shared" si="1633"/>
        <v>45901.62499999618</v>
      </c>
      <c r="B1578" s="30">
        <f t="shared" si="1657"/>
        <v>8000</v>
      </c>
      <c r="C1578" s="8">
        <v>25000</v>
      </c>
      <c r="D1578" s="8">
        <v>0</v>
      </c>
      <c r="E1578" s="8">
        <v>700</v>
      </c>
      <c r="F1578" s="8">
        <v>15000</v>
      </c>
      <c r="G1578" s="30">
        <f t="shared" si="1658"/>
        <v>2400</v>
      </c>
      <c r="H1578" s="8">
        <v>25000</v>
      </c>
      <c r="I1578" s="30">
        <f t="shared" si="1659"/>
        <v>8000</v>
      </c>
      <c r="J1578" s="8">
        <v>25000</v>
      </c>
      <c r="K1578" s="30">
        <f t="shared" si="1660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15.03</v>
      </c>
      <c r="O1578" s="9">
        <v>13.5</v>
      </c>
      <c r="P1578" s="9">
        <v>19.5</v>
      </c>
      <c r="Q1578" s="79">
        <f>VLOOKUP(VLOOKUP(DATEVALUE(TEXT(A1578,"m/d/yyyy")),FY24_Temp[],5,FALSE)&amp;TEXT(A1578,"-h"),Table6[],4,FALSE)</f>
        <v>0.76014286279678345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VLOOKUP(TEXT(A1578,"yy-mm")&amp;"-"&amp;IF(AND(WEEKDAY(A1578)&gt;1,WEEKDAY(A1578)&lt;7),"Wkd",TEXT(A1578,"Ddd"))&amp;"-"&amp;TEXT(A1578,"hh"),LoadTable[],5,FALSE)*0.92</f>
        <v>388.38076000000001</v>
      </c>
      <c r="U1578" s="104">
        <f>VLOOKUP(TEXT(A1578,"yy-mm")&amp;"-"&amp;IF(AND(WEEKDAY(A1578)&gt;1,WEEKDAY(A1578)&lt;7),"Wkd",TEXT(A1578,"Ddd"))&amp;"-"&amp;TEXT(A1578,"hh"),LoadTable[],6,FALSE)*T1578</f>
        <v>19705.663000880002</v>
      </c>
      <c r="V1578">
        <f t="shared" ref="V1578:W1578" si="1675">V1554</f>
        <v>3.2</v>
      </c>
      <c r="W1578">
        <f t="shared" si="1675"/>
        <v>2.9</v>
      </c>
      <c r="X1578" s="9">
        <v>-61.9678581166662</v>
      </c>
    </row>
    <row r="1579" spans="1:24">
      <c r="A1579" s="29">
        <f t="shared" si="1633"/>
        <v>45901.666666662844</v>
      </c>
      <c r="B1579" s="30">
        <f t="shared" si="1657"/>
        <v>8000</v>
      </c>
      <c r="C1579" s="8">
        <v>25000</v>
      </c>
      <c r="D1579" s="8">
        <v>0</v>
      </c>
      <c r="E1579" s="8">
        <v>700</v>
      </c>
      <c r="F1579" s="8">
        <v>15000</v>
      </c>
      <c r="G1579" s="30">
        <f t="shared" si="1658"/>
        <v>2400</v>
      </c>
      <c r="H1579" s="8">
        <v>25000</v>
      </c>
      <c r="I1579" s="30">
        <f t="shared" si="1659"/>
        <v>8000</v>
      </c>
      <c r="J1579" s="8">
        <v>25000</v>
      </c>
      <c r="K1579" s="30">
        <f t="shared" si="1660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15.03</v>
      </c>
      <c r="O1579" s="9">
        <v>13.5</v>
      </c>
      <c r="P1579" s="9">
        <v>19.5</v>
      </c>
      <c r="Q1579" s="79">
        <f>VLOOKUP(VLOOKUP(DATEVALUE(TEXT(A1579,"m/d/yyyy")),FY24_Temp[],5,FALSE)&amp;TEXT(A1579,"-h"),Table6[],4,FALSE)</f>
        <v>0.67185714415141518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VLOOKUP(TEXT(A1579,"yy-mm")&amp;"-"&amp;IF(AND(WEEKDAY(A1579)&gt;1,WEEKDAY(A1579)&lt;7),"Wkd",TEXT(A1579,"Ddd"))&amp;"-"&amp;TEXT(A1579,"hh"),LoadTable[],5,FALSE)*0.92</f>
        <v>388.38076000000001</v>
      </c>
      <c r="U1579" s="104">
        <f>VLOOKUP(TEXT(A1579,"yy-mm")&amp;"-"&amp;IF(AND(WEEKDAY(A1579)&gt;1,WEEKDAY(A1579)&lt;7),"Wkd",TEXT(A1579,"Ddd"))&amp;"-"&amp;TEXT(A1579,"hh"),LoadTable[],6,FALSE)*T1579</f>
        <v>23675.6911296</v>
      </c>
      <c r="V1579">
        <f t="shared" ref="V1579:W1579" si="1676">V1555</f>
        <v>3.5</v>
      </c>
      <c r="W1579">
        <f t="shared" si="1676"/>
        <v>3</v>
      </c>
      <c r="X1579" s="9">
        <v>-62.0456526666662</v>
      </c>
    </row>
    <row r="1580" spans="1:24">
      <c r="A1580" s="29">
        <f t="shared" si="1633"/>
        <v>45901.708333329509</v>
      </c>
      <c r="B1580" s="30">
        <f t="shared" si="1657"/>
        <v>8000</v>
      </c>
      <c r="C1580" s="8">
        <v>25000</v>
      </c>
      <c r="D1580" s="8">
        <v>0</v>
      </c>
      <c r="E1580" s="8">
        <v>700</v>
      </c>
      <c r="F1580" s="8">
        <v>15000</v>
      </c>
      <c r="G1580" s="30">
        <f t="shared" si="1658"/>
        <v>2400</v>
      </c>
      <c r="H1580" s="8">
        <v>25000</v>
      </c>
      <c r="I1580" s="30">
        <f t="shared" si="1659"/>
        <v>8000</v>
      </c>
      <c r="J1580" s="8">
        <v>25000</v>
      </c>
      <c r="K1580" s="30">
        <f t="shared" si="1660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15.03</v>
      </c>
      <c r="O1580" s="9">
        <v>13.5</v>
      </c>
      <c r="P1580" s="9">
        <v>19.5</v>
      </c>
      <c r="Q1580" s="79">
        <f>VLOOKUP(VLOOKUP(DATEVALUE(TEXT(A1580,"m/d/yyyy")),FY24_Temp[],5,FALSE)&amp;TEXT(A1580,"-h"),Table6[],4,FALSE)</f>
        <v>0.80171428407941547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VLOOKUP(TEXT(A1580,"yy-mm")&amp;"-"&amp;IF(AND(WEEKDAY(A1580)&gt;1,WEEKDAY(A1580)&lt;7),"Wkd",TEXT(A1580,"Ddd"))&amp;"-"&amp;TEXT(A1580,"hh"),LoadTable[],5,FALSE)*0.92</f>
        <v>388.38076000000001</v>
      </c>
      <c r="U1580" s="104">
        <f>VLOOKUP(TEXT(A1580,"yy-mm")&amp;"-"&amp;IF(AND(WEEKDAY(A1580)&gt;1,WEEKDAY(A1580)&lt;7),"Wkd",TEXT(A1580,"Ddd"))&amp;"-"&amp;TEXT(A1580,"hh"),LoadTable[],6,FALSE)*T1580</f>
        <v>31454.180990880002</v>
      </c>
      <c r="V1580">
        <f t="shared" ref="V1580:W1580" si="1677">V1556</f>
        <v>3.6</v>
      </c>
      <c r="W1580">
        <f t="shared" si="1677"/>
        <v>3</v>
      </c>
      <c r="X1580" s="9">
        <v>-62.1234472166662</v>
      </c>
    </row>
    <row r="1581" spans="1:24">
      <c r="A1581" s="29">
        <f t="shared" si="1633"/>
        <v>45901.749999996173</v>
      </c>
      <c r="B1581" s="30">
        <f t="shared" si="1657"/>
        <v>5000</v>
      </c>
      <c r="C1581" s="8">
        <v>25000</v>
      </c>
      <c r="D1581" s="8">
        <v>0</v>
      </c>
      <c r="E1581" s="8">
        <v>700</v>
      </c>
      <c r="F1581" s="8">
        <v>15000</v>
      </c>
      <c r="G1581" s="30">
        <f t="shared" si="1658"/>
        <v>2400</v>
      </c>
      <c r="H1581" s="8">
        <v>25000</v>
      </c>
      <c r="I1581" s="30">
        <f t="shared" si="1659"/>
        <v>5000</v>
      </c>
      <c r="J1581" s="8">
        <v>25000</v>
      </c>
      <c r="K1581" s="30">
        <f t="shared" si="1660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15.03</v>
      </c>
      <c r="O1581" s="9">
        <v>13.5</v>
      </c>
      <c r="P1581" s="9">
        <v>19.5</v>
      </c>
      <c r="Q1581" s="79">
        <f>VLOOKUP(VLOOKUP(DATEVALUE(TEXT(A1581,"m/d/yyyy")),FY24_Temp[],5,FALSE)&amp;TEXT(A1581,"-h"),Table6[],4,FALSE)</f>
        <v>1.1738571269171578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VLOOKUP(TEXT(A1581,"yy-mm")&amp;"-"&amp;IF(AND(WEEKDAY(A1581)&gt;1,WEEKDAY(A1581)&lt;7),"Wkd",TEXT(A1581,"Ddd"))&amp;"-"&amp;TEXT(A1581,"hh"),LoadTable[],5,FALSE)*0.92</f>
        <v>388.38076000000001</v>
      </c>
      <c r="U1581" s="104">
        <f>VLOOKUP(TEXT(A1581,"yy-mm")&amp;"-"&amp;IF(AND(WEEKDAY(A1581)&gt;1,WEEKDAY(A1581)&lt;7),"Wkd",TEXT(A1581,"Ddd"))&amp;"-"&amp;TEXT(A1581,"hh"),LoadTable[],6,FALSE)*T1581</f>
        <v>38316.869020080005</v>
      </c>
      <c r="V1581">
        <f t="shared" ref="V1581:W1581" si="1678">V1557</f>
        <v>2.9</v>
      </c>
      <c r="W1581">
        <f t="shared" si="1678"/>
        <v>3</v>
      </c>
      <c r="X1581" s="9">
        <v>-62.2012417666662</v>
      </c>
    </row>
    <row r="1582" spans="1:24">
      <c r="A1582" s="29">
        <f t="shared" si="1633"/>
        <v>45901.791666662837</v>
      </c>
      <c r="B1582" s="30">
        <f t="shared" si="1657"/>
        <v>5000</v>
      </c>
      <c r="C1582" s="8">
        <v>25000</v>
      </c>
      <c r="D1582" s="8">
        <v>0</v>
      </c>
      <c r="E1582" s="8">
        <v>700</v>
      </c>
      <c r="F1582" s="8">
        <v>15000</v>
      </c>
      <c r="G1582" s="30">
        <f t="shared" si="1658"/>
        <v>2400</v>
      </c>
      <c r="H1582" s="8">
        <v>25000</v>
      </c>
      <c r="I1582" s="30">
        <f t="shared" si="1659"/>
        <v>5000</v>
      </c>
      <c r="J1582" s="8">
        <v>25000</v>
      </c>
      <c r="K1582" s="30">
        <f t="shared" si="1660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15.03</v>
      </c>
      <c r="O1582" s="9">
        <v>13.5</v>
      </c>
      <c r="P1582" s="9">
        <v>19.5</v>
      </c>
      <c r="Q1582" s="79">
        <f>VLOOKUP(VLOOKUP(DATEVALUE(TEXT(A1582,"m/d/yyyy")),FY24_Temp[],5,FALSE)&amp;TEXT(A1582,"-h"),Table6[],4,FALSE)</f>
        <v>1.9135714258466447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VLOOKUP(TEXT(A1582,"yy-mm")&amp;"-"&amp;IF(AND(WEEKDAY(A1582)&gt;1,WEEKDAY(A1582)&lt;7),"Wkd",TEXT(A1582,"Ddd"))&amp;"-"&amp;TEXT(A1582,"hh"),LoadTable[],5,FALSE)*0.92</f>
        <v>388.38076000000001</v>
      </c>
      <c r="U1582" s="104">
        <f>VLOOKUP(TEXT(A1582,"yy-mm")&amp;"-"&amp;IF(AND(WEEKDAY(A1582)&gt;1,WEEKDAY(A1582)&lt;7),"Wkd",TEXT(A1582,"Ddd"))&amp;"-"&amp;TEXT(A1582,"hh"),LoadTable[],6,FALSE)*T1582</f>
        <v>41132.241149319998</v>
      </c>
      <c r="V1582">
        <f t="shared" ref="V1582:W1582" si="1679">V1558</f>
        <v>3</v>
      </c>
      <c r="W1582">
        <f t="shared" si="1679"/>
        <v>3</v>
      </c>
      <c r="X1582" s="9">
        <v>-62.2790363166662</v>
      </c>
    </row>
    <row r="1583" spans="1:24">
      <c r="A1583" s="29">
        <f t="shared" si="1633"/>
        <v>45901.833333329501</v>
      </c>
      <c r="B1583" s="30">
        <f t="shared" si="1657"/>
        <v>5000</v>
      </c>
      <c r="C1583" s="8">
        <v>25000</v>
      </c>
      <c r="D1583" s="8">
        <v>0</v>
      </c>
      <c r="E1583" s="8">
        <v>700</v>
      </c>
      <c r="F1583" s="8">
        <v>15000</v>
      </c>
      <c r="G1583" s="30">
        <f t="shared" si="1658"/>
        <v>2400</v>
      </c>
      <c r="H1583" s="8">
        <v>25000</v>
      </c>
      <c r="I1583" s="30">
        <f t="shared" si="1659"/>
        <v>5000</v>
      </c>
      <c r="J1583" s="8">
        <v>25000</v>
      </c>
      <c r="K1583" s="30">
        <f t="shared" si="1660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15.03</v>
      </c>
      <c r="O1583" s="9">
        <v>13.5</v>
      </c>
      <c r="P1583" s="9">
        <v>19.5</v>
      </c>
      <c r="Q1583" s="79">
        <f>VLOOKUP(VLOOKUP(DATEVALUE(TEXT(A1583,"m/d/yyyy")),FY24_Temp[],5,FALSE)&amp;TEXT(A1583,"-h"),Table6[],4,FALSE)</f>
        <v>2.6564285755157471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VLOOKUP(TEXT(A1583,"yy-mm")&amp;"-"&amp;IF(AND(WEEKDAY(A1583)&gt;1,WEEKDAY(A1583)&lt;7),"Wkd",TEXT(A1583,"Ddd"))&amp;"-"&amp;TEXT(A1583,"hh"),LoadTable[],5,FALSE)*0.92</f>
        <v>388.38076000000001</v>
      </c>
      <c r="U1583" s="104">
        <f>VLOOKUP(TEXT(A1583,"yy-mm")&amp;"-"&amp;IF(AND(WEEKDAY(A1583)&gt;1,WEEKDAY(A1583)&lt;7),"Wkd",TEXT(A1583,"Ddd"))&amp;"-"&amp;TEXT(A1583,"hh"),LoadTable[],6,FALSE)*T1583</f>
        <v>36274.762984000001</v>
      </c>
      <c r="V1583">
        <f t="shared" ref="V1583:W1583" si="1680">V1559</f>
        <v>2.8</v>
      </c>
      <c r="W1583">
        <f t="shared" si="1680"/>
        <v>3.1</v>
      </c>
      <c r="X1583" s="9">
        <v>-62.356830866666201</v>
      </c>
    </row>
    <row r="1584" spans="1:24">
      <c r="A1584" s="29">
        <f t="shared" si="1633"/>
        <v>45901.874999996166</v>
      </c>
      <c r="B1584" s="30">
        <f t="shared" si="1657"/>
        <v>5000</v>
      </c>
      <c r="C1584" s="8">
        <v>25000</v>
      </c>
      <c r="D1584" s="8">
        <v>0</v>
      </c>
      <c r="E1584" s="8">
        <v>700</v>
      </c>
      <c r="F1584" s="8">
        <v>15000</v>
      </c>
      <c r="G1584" s="30">
        <f t="shared" si="1658"/>
        <v>2400</v>
      </c>
      <c r="H1584" s="8">
        <v>25000</v>
      </c>
      <c r="I1584" s="30">
        <f t="shared" si="1659"/>
        <v>5000</v>
      </c>
      <c r="J1584" s="8">
        <v>25000</v>
      </c>
      <c r="K1584" s="30">
        <f t="shared" si="1660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15.03</v>
      </c>
      <c r="O1584" s="9">
        <v>13.5</v>
      </c>
      <c r="P1584" s="9">
        <v>19.5</v>
      </c>
      <c r="Q1584" s="79">
        <f>VLOOKUP(VLOOKUP(DATEVALUE(TEXT(A1584,"m/d/yyyy")),FY24_Temp[],5,FALSE)&amp;TEXT(A1584,"-h"),Table6[],4,FALSE)</f>
        <v>2.854142870221819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VLOOKUP(TEXT(A1584,"yy-mm")&amp;"-"&amp;IF(AND(WEEKDAY(A1584)&gt;1,WEEKDAY(A1584)&lt;7),"Wkd",TEXT(A1584,"Ddd"))&amp;"-"&amp;TEXT(A1584,"hh"),LoadTable[],5,FALSE)*0.92</f>
        <v>373.79416000000003</v>
      </c>
      <c r="U1584" s="104">
        <f>VLOOKUP(TEXT(A1584,"yy-mm")&amp;"-"&amp;IF(AND(WEEKDAY(A1584)&gt;1,WEEKDAY(A1584)&lt;7),"Wkd",TEXT(A1584,"Ddd"))&amp;"-"&amp;TEXT(A1584,"hh"),LoadTable[],6,FALSE)*T1584</f>
        <v>31749.328362080003</v>
      </c>
      <c r="V1584">
        <f t="shared" ref="V1584:W1584" si="1681">V1560</f>
        <v>3.5</v>
      </c>
      <c r="W1584">
        <f t="shared" si="1681"/>
        <v>3.1</v>
      </c>
      <c r="X1584" s="9">
        <v>-62.434625416666201</v>
      </c>
    </row>
    <row r="1585" spans="1:24">
      <c r="A1585" s="29">
        <f t="shared" si="1633"/>
        <v>45901.91666666283</v>
      </c>
      <c r="B1585" s="30">
        <f t="shared" si="1657"/>
        <v>5000</v>
      </c>
      <c r="C1585" s="8">
        <v>25000</v>
      </c>
      <c r="D1585" s="8">
        <v>0</v>
      </c>
      <c r="E1585" s="8">
        <v>700</v>
      </c>
      <c r="F1585" s="8">
        <v>15000</v>
      </c>
      <c r="G1585" s="30">
        <f t="shared" si="1658"/>
        <v>2400</v>
      </c>
      <c r="H1585" s="8">
        <v>25000</v>
      </c>
      <c r="I1585" s="30">
        <f t="shared" si="1659"/>
        <v>5000</v>
      </c>
      <c r="J1585" s="8">
        <v>25000</v>
      </c>
      <c r="K1585" s="30">
        <f t="shared" si="1660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15.03</v>
      </c>
      <c r="O1585" s="9">
        <v>13.5</v>
      </c>
      <c r="P1585" s="9">
        <v>19.5</v>
      </c>
      <c r="Q1585" s="79">
        <f>VLOOKUP(VLOOKUP(DATEVALUE(TEXT(A1585,"m/d/yyyy")),FY24_Temp[],5,FALSE)&amp;TEXT(A1585,"-h"),Table6[],4,FALSE)</f>
        <v>2.8205713544573103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VLOOKUP(TEXT(A1585,"yy-mm")&amp;"-"&amp;IF(AND(WEEKDAY(A1585)&gt;1,WEEKDAY(A1585)&lt;7),"Wkd",TEXT(A1585,"Ddd"))&amp;"-"&amp;TEXT(A1585,"hh"),LoadTable[],5,FALSE)*0.92</f>
        <v>299.65044</v>
      </c>
      <c r="U1585" s="104">
        <f>VLOOKUP(TEXT(A1585,"yy-mm")&amp;"-"&amp;IF(AND(WEEKDAY(A1585)&gt;1,WEEKDAY(A1585)&lt;7),"Wkd",TEXT(A1585,"Ddd"))&amp;"-"&amp;TEXT(A1585,"hh"),LoadTable[],6,FALSE)*T1585</f>
        <v>15023.87376072</v>
      </c>
      <c r="V1585">
        <f t="shared" ref="V1585:W1585" si="1682">V1561</f>
        <v>2.9</v>
      </c>
      <c r="W1585">
        <f t="shared" si="1682"/>
        <v>3.1</v>
      </c>
      <c r="X1585" s="9">
        <v>-62.512419966666201</v>
      </c>
    </row>
    <row r="1586" spans="1:24">
      <c r="A1586" s="29">
        <f t="shared" si="1633"/>
        <v>45901.958333329494</v>
      </c>
      <c r="B1586" s="30">
        <f t="shared" si="1657"/>
        <v>5000</v>
      </c>
      <c r="C1586" s="8">
        <v>25000</v>
      </c>
      <c r="D1586" s="8">
        <v>0</v>
      </c>
      <c r="E1586" s="8">
        <v>700</v>
      </c>
      <c r="F1586" s="8">
        <v>15000</v>
      </c>
      <c r="G1586" s="30">
        <f t="shared" si="1658"/>
        <v>2400</v>
      </c>
      <c r="H1586" s="8">
        <v>25000</v>
      </c>
      <c r="I1586" s="30">
        <f t="shared" si="1659"/>
        <v>5000</v>
      </c>
      <c r="J1586" s="8">
        <v>25000</v>
      </c>
      <c r="K1586" s="30">
        <f t="shared" si="1660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15.03</v>
      </c>
      <c r="O1586" s="9">
        <v>13.5</v>
      </c>
      <c r="P1586" s="9">
        <v>19.5</v>
      </c>
      <c r="Q1586" s="79">
        <f>VLOOKUP(VLOOKUP(DATEVALUE(TEXT(A1586,"m/d/yyyy")),FY24_Temp[],5,FALSE)&amp;TEXT(A1586,"-h"),Table6[],4,FALSE)</f>
        <v>2.7085714680807933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VLOOKUP(TEXT(A1586,"yy-mm")&amp;"-"&amp;IF(AND(WEEKDAY(A1586)&gt;1,WEEKDAY(A1586)&lt;7),"Wkd",TEXT(A1586,"Ddd"))&amp;"-"&amp;TEXT(A1586,"hh"),LoadTable[],5,FALSE)*0.92</f>
        <v>237.25788000000003</v>
      </c>
      <c r="U1586" s="104">
        <f>VLOOKUP(TEXT(A1586,"yy-mm")&amp;"-"&amp;IF(AND(WEEKDAY(A1586)&gt;1,WEEKDAY(A1586)&lt;7),"Wkd",TEXT(A1586,"Ddd"))&amp;"-"&amp;TEXT(A1586,"hh"),LoadTable[],6,FALSE)*T1586</f>
        <v>11687.323168800001</v>
      </c>
      <c r="V1586">
        <f t="shared" ref="V1586:W1586" si="1683">V1562</f>
        <v>3.6</v>
      </c>
      <c r="W1586">
        <f t="shared" si="1683"/>
        <v>3.1</v>
      </c>
      <c r="X1586" s="9">
        <v>-62.590214516666201</v>
      </c>
    </row>
    <row r="1587" spans="1:24">
      <c r="A1587" s="29">
        <f t="shared" si="1633"/>
        <v>45901.999999996158</v>
      </c>
      <c r="B1587" s="30">
        <f t="shared" si="1657"/>
        <v>5000</v>
      </c>
      <c r="C1587" s="8">
        <v>25000</v>
      </c>
      <c r="D1587" s="8">
        <v>0</v>
      </c>
      <c r="E1587" s="8">
        <v>700</v>
      </c>
      <c r="F1587" s="8">
        <v>15000</v>
      </c>
      <c r="G1587" s="30">
        <f t="shared" si="1658"/>
        <v>2400</v>
      </c>
      <c r="H1587" s="8">
        <v>25000</v>
      </c>
      <c r="I1587" s="30">
        <f t="shared" si="1659"/>
        <v>5000</v>
      </c>
      <c r="J1587" s="8">
        <v>25000</v>
      </c>
      <c r="K1587" s="30">
        <f t="shared" si="1660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15.03</v>
      </c>
      <c r="O1587" s="9">
        <v>13.5</v>
      </c>
      <c r="P1587" s="9">
        <v>19.5</v>
      </c>
      <c r="Q1587" s="79">
        <f>VLOOKUP(VLOOKUP(DATEVALUE(TEXT(A1587,"m/d/yyyy")),FY24_Temp[],5,FALSE)&amp;TEXT(A1587,"-h"),Table6[],4,FALSE)</f>
        <v>2.6008571216038296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VLOOKUP(TEXT(A1587,"yy-mm")&amp;"-"&amp;IF(AND(WEEKDAY(A1587)&gt;1,WEEKDAY(A1587)&lt;7),"Wkd",TEXT(A1587,"Ddd"))&amp;"-"&amp;TEXT(A1587,"hh"),LoadTable[],5,FALSE)*0.92</f>
        <v>237.25788000000003</v>
      </c>
      <c r="U1587" s="104">
        <f>VLOOKUP(TEXT(A1587,"yy-mm")&amp;"-"&amp;IF(AND(WEEKDAY(A1587)&gt;1,WEEKDAY(A1587)&lt;7),"Wkd",TEXT(A1587,"Ddd"))&amp;"-"&amp;TEXT(A1587,"hh"),LoadTable[],6,FALSE)*T1587</f>
        <v>12215.696467560001</v>
      </c>
      <c r="V1587">
        <f t="shared" ref="V1587:W1587" si="1684">V1563</f>
        <v>3</v>
      </c>
      <c r="W1587">
        <f t="shared" si="1684"/>
        <v>3.2</v>
      </c>
      <c r="X1587" s="9">
        <v>-62.668009066666201</v>
      </c>
    </row>
    <row r="1588" spans="1:24">
      <c r="A1588" s="29">
        <f t="shared" si="1633"/>
        <v>45902.041666662823</v>
      </c>
      <c r="B1588" s="30">
        <f t="shared" si="1657"/>
        <v>5000</v>
      </c>
      <c r="C1588" s="8">
        <v>25000</v>
      </c>
      <c r="D1588" s="8">
        <v>0</v>
      </c>
      <c r="E1588" s="8">
        <v>700</v>
      </c>
      <c r="F1588" s="8">
        <v>15000</v>
      </c>
      <c r="G1588" s="30">
        <f t="shared" si="1658"/>
        <v>2400</v>
      </c>
      <c r="H1588" s="8">
        <v>25000</v>
      </c>
      <c r="I1588" s="30">
        <f t="shared" si="1659"/>
        <v>5000</v>
      </c>
      <c r="J1588" s="8">
        <v>25000</v>
      </c>
      <c r="K1588" s="30">
        <f t="shared" si="1660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15.03</v>
      </c>
      <c r="O1588" s="9">
        <v>13.5</v>
      </c>
      <c r="P1588" s="9">
        <v>19.5</v>
      </c>
      <c r="Q1588" s="79">
        <f>VLOOKUP(VLOOKUP(DATEVALUE(TEXT(A1588,"m/d/yyyy")),FY24_Temp[],5,FALSE)&amp;TEXT(A1588,"-h"),Table6[],4,FALSE)</f>
        <v>2.5028571741921559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VLOOKUP(TEXT(A1588,"yy-mm")&amp;"-"&amp;IF(AND(WEEKDAY(A1588)&gt;1,WEEKDAY(A1588)&lt;7),"Wkd",TEXT(A1588,"Ddd"))&amp;"-"&amp;TEXT(A1588,"hh"),LoadTable[],5,FALSE)*0.92</f>
        <v>237.25788000000003</v>
      </c>
      <c r="U1588" s="104">
        <f>VLOOKUP(TEXT(A1588,"yy-mm")&amp;"-"&amp;IF(AND(WEEKDAY(A1588)&gt;1,WEEKDAY(A1588)&lt;7),"Wkd",TEXT(A1588,"Ddd"))&amp;"-"&amp;TEXT(A1588,"hh"),LoadTable[],6,FALSE)*T1588</f>
        <v>11905.12590264</v>
      </c>
      <c r="V1588">
        <f t="shared" ref="V1588:W1588" si="1685">V1564</f>
        <v>2.6</v>
      </c>
      <c r="W1588">
        <f t="shared" si="1685"/>
        <v>3.2</v>
      </c>
      <c r="X1588" s="9">
        <v>-62.745803616666201</v>
      </c>
    </row>
    <row r="1589" spans="1:24">
      <c r="A1589" s="29">
        <f t="shared" si="1633"/>
        <v>45902.083333329487</v>
      </c>
      <c r="B1589" s="30">
        <f t="shared" si="1657"/>
        <v>5000</v>
      </c>
      <c r="C1589" s="8">
        <v>25000</v>
      </c>
      <c r="D1589" s="8">
        <v>0</v>
      </c>
      <c r="E1589" s="8">
        <v>700</v>
      </c>
      <c r="F1589" s="8">
        <v>15000</v>
      </c>
      <c r="G1589" s="30">
        <f t="shared" si="1658"/>
        <v>2400</v>
      </c>
      <c r="H1589" s="8">
        <v>25000</v>
      </c>
      <c r="I1589" s="30">
        <f t="shared" si="1659"/>
        <v>5000</v>
      </c>
      <c r="J1589" s="8">
        <v>25000</v>
      </c>
      <c r="K1589" s="30">
        <f t="shared" si="1660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15.03</v>
      </c>
      <c r="O1589" s="9">
        <v>13.5</v>
      </c>
      <c r="P1589" s="9">
        <v>19.5</v>
      </c>
      <c r="Q1589" s="79">
        <f>VLOOKUP(VLOOKUP(DATEVALUE(TEXT(A1589,"m/d/yyyy")),FY24_Temp[],5,FALSE)&amp;TEXT(A1589,"-h"),Table6[],4,FALSE)</f>
        <v>2.4148571491241455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VLOOKUP(TEXT(A1589,"yy-mm")&amp;"-"&amp;IF(AND(WEEKDAY(A1589)&gt;1,WEEKDAY(A1589)&lt;7),"Wkd",TEXT(A1589,"Ddd"))&amp;"-"&amp;TEXT(A1589,"hh"),LoadTable[],5,FALSE)*0.92</f>
        <v>237.25788000000003</v>
      </c>
      <c r="U1589" s="104">
        <f>VLOOKUP(TEXT(A1589,"yy-mm")&amp;"-"&amp;IF(AND(WEEKDAY(A1589)&gt;1,WEEKDAY(A1589)&lt;7),"Wkd",TEXT(A1589,"Ddd"))&amp;"-"&amp;TEXT(A1589,"hh"),LoadTable[],6,FALSE)*T1589</f>
        <v>11856.013521480001</v>
      </c>
      <c r="V1589">
        <f t="shared" ref="V1589:W1589" si="1686">V1565</f>
        <v>2.8</v>
      </c>
      <c r="W1589">
        <f t="shared" si="1686"/>
        <v>3.2</v>
      </c>
      <c r="X1589" s="9">
        <v>-62.823598166666102</v>
      </c>
    </row>
    <row r="1590" spans="1:24">
      <c r="A1590" s="29">
        <f t="shared" si="1633"/>
        <v>45902.124999996151</v>
      </c>
      <c r="B1590" s="30">
        <f t="shared" si="1657"/>
        <v>5000</v>
      </c>
      <c r="C1590" s="8">
        <v>25000</v>
      </c>
      <c r="D1590" s="8">
        <v>0</v>
      </c>
      <c r="E1590" s="8">
        <v>700</v>
      </c>
      <c r="F1590" s="8">
        <v>15000</v>
      </c>
      <c r="G1590" s="30">
        <f t="shared" si="1658"/>
        <v>2400</v>
      </c>
      <c r="H1590" s="8">
        <v>25000</v>
      </c>
      <c r="I1590" s="30">
        <f t="shared" si="1659"/>
        <v>5000</v>
      </c>
      <c r="J1590" s="8">
        <v>25000</v>
      </c>
      <c r="K1590" s="30">
        <f t="shared" si="1660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15.03</v>
      </c>
      <c r="O1590" s="9">
        <v>13.5</v>
      </c>
      <c r="P1590" s="9">
        <v>19.5</v>
      </c>
      <c r="Q1590" s="79">
        <f>VLOOKUP(VLOOKUP(DATEVALUE(TEXT(A1590,"m/d/yyyy")),FY24_Temp[],5,FALSE)&amp;TEXT(A1590,"-h"),Table6[],4,FALSE)</f>
        <v>2.2705714702606201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VLOOKUP(TEXT(A1590,"yy-mm")&amp;"-"&amp;IF(AND(WEEKDAY(A1590)&gt;1,WEEKDAY(A1590)&lt;7),"Wkd",TEXT(A1590,"Ddd"))&amp;"-"&amp;TEXT(A1590,"hh"),LoadTable[],5,FALSE)*0.92</f>
        <v>237.25788000000003</v>
      </c>
      <c r="U1590" s="104">
        <f>VLOOKUP(TEXT(A1590,"yy-mm")&amp;"-"&amp;IF(AND(WEEKDAY(A1590)&gt;1,WEEKDAY(A1590)&lt;7),"Wkd",TEXT(A1590,"Ddd"))&amp;"-"&amp;TEXT(A1590,"hh"),LoadTable[],6,FALSE)*T1590</f>
        <v>11893.025750760002</v>
      </c>
      <c r="V1590">
        <f t="shared" ref="V1590:W1590" si="1687">V1566</f>
        <v>2.7</v>
      </c>
      <c r="W1590">
        <f t="shared" si="1687"/>
        <v>3.2</v>
      </c>
      <c r="X1590" s="9">
        <v>-62.901392716666102</v>
      </c>
    </row>
    <row r="1591" spans="1:24">
      <c r="A1591" s="29">
        <f t="shared" si="1633"/>
        <v>45902.166666662815</v>
      </c>
      <c r="B1591" s="30">
        <f t="shared" si="1657"/>
        <v>5000</v>
      </c>
      <c r="C1591" s="8">
        <v>25000</v>
      </c>
      <c r="D1591" s="8">
        <v>0</v>
      </c>
      <c r="E1591" s="8">
        <v>700</v>
      </c>
      <c r="F1591" s="8">
        <v>15000</v>
      </c>
      <c r="G1591" s="30">
        <f t="shared" si="1658"/>
        <v>2400</v>
      </c>
      <c r="H1591" s="8">
        <v>25000</v>
      </c>
      <c r="I1591" s="30">
        <f t="shared" si="1659"/>
        <v>5000</v>
      </c>
      <c r="J1591" s="8">
        <v>25000</v>
      </c>
      <c r="K1591" s="30">
        <f t="shared" si="1660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15.03</v>
      </c>
      <c r="O1591" s="9">
        <v>13.5</v>
      </c>
      <c r="P1591" s="9">
        <v>19.5</v>
      </c>
      <c r="Q1591" s="79">
        <f>VLOOKUP(VLOOKUP(DATEVALUE(TEXT(A1591,"m/d/yyyy")),FY24_Temp[],5,FALSE)&amp;TEXT(A1591,"-h"),Table6[],4,FALSE)</f>
        <v>2.1080000059945241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VLOOKUP(TEXT(A1591,"yy-mm")&amp;"-"&amp;IF(AND(WEEKDAY(A1591)&gt;1,WEEKDAY(A1591)&lt;7),"Wkd",TEXT(A1591,"Ddd"))&amp;"-"&amp;TEXT(A1591,"hh"),LoadTable[],5,FALSE)*0.92</f>
        <v>237.25788000000003</v>
      </c>
      <c r="U1591" s="104">
        <f>VLOOKUP(TEXT(A1591,"yy-mm")&amp;"-"&amp;IF(AND(WEEKDAY(A1591)&gt;1,WEEKDAY(A1591)&lt;7),"Wkd",TEXT(A1591,"Ddd"))&amp;"-"&amp;TEXT(A1591,"hh"),LoadTable[],6,FALSE)*T1591</f>
        <v>12081.645765360001</v>
      </c>
      <c r="V1591">
        <f t="shared" ref="V1591:W1591" si="1688">V1567</f>
        <v>3</v>
      </c>
      <c r="W1591">
        <f t="shared" si="1688"/>
        <v>3.1</v>
      </c>
      <c r="X1591" s="9">
        <v>-62.979187266666102</v>
      </c>
    </row>
    <row r="1592" spans="1:24">
      <c r="A1592" s="29">
        <f t="shared" si="1633"/>
        <v>45902.20833332948</v>
      </c>
      <c r="B1592" s="30">
        <f t="shared" si="1657"/>
        <v>5000</v>
      </c>
      <c r="C1592" s="8">
        <v>25000</v>
      </c>
      <c r="D1592" s="8">
        <v>0</v>
      </c>
      <c r="E1592" s="8">
        <v>700</v>
      </c>
      <c r="F1592" s="8">
        <v>15000</v>
      </c>
      <c r="G1592" s="30">
        <f t="shared" si="1658"/>
        <v>2400</v>
      </c>
      <c r="H1592" s="8">
        <v>25000</v>
      </c>
      <c r="I1592" s="30">
        <f t="shared" si="1659"/>
        <v>5000</v>
      </c>
      <c r="J1592" s="8">
        <v>25000</v>
      </c>
      <c r="K1592" s="30">
        <f t="shared" si="1660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15.03</v>
      </c>
      <c r="O1592" s="9">
        <v>13.5</v>
      </c>
      <c r="P1592" s="9">
        <v>19.5</v>
      </c>
      <c r="Q1592" s="79">
        <f>VLOOKUP(VLOOKUP(DATEVALUE(TEXT(A1592,"m/d/yyyy")),FY24_Temp[],5,FALSE)&amp;TEXT(A1592,"-h"),Table6[],4,FALSE)</f>
        <v>1.9515714134488786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VLOOKUP(TEXT(A1592,"yy-mm")&amp;"-"&amp;IF(AND(WEEKDAY(A1592)&gt;1,WEEKDAY(A1592)&lt;7),"Wkd",TEXT(A1592,"Ddd"))&amp;"-"&amp;TEXT(A1592,"hh"),LoadTable[],5,FALSE)*0.92</f>
        <v>237.25788000000003</v>
      </c>
      <c r="U1592" s="104">
        <f>VLOOKUP(TEXT(A1592,"yy-mm")&amp;"-"&amp;IF(AND(WEEKDAY(A1592)&gt;1,WEEKDAY(A1592)&lt;7),"Wkd",TEXT(A1592,"Ddd"))&amp;"-"&amp;TEXT(A1592,"hh"),LoadTable[],6,FALSE)*T1592</f>
        <v>12065.037713760001</v>
      </c>
      <c r="V1592">
        <f t="shared" ref="V1592:W1592" si="1689">V1568</f>
        <v>2.9</v>
      </c>
      <c r="W1592">
        <f t="shared" si="1689"/>
        <v>3.1</v>
      </c>
      <c r="X1592" s="9">
        <v>-63.056981816666102</v>
      </c>
    </row>
    <row r="1593" spans="1:24">
      <c r="A1593" s="29">
        <f t="shared" si="1633"/>
        <v>45902.249999996144</v>
      </c>
      <c r="B1593" s="30">
        <f t="shared" si="1657"/>
        <v>8000</v>
      </c>
      <c r="C1593" s="8">
        <v>25000</v>
      </c>
      <c r="D1593" s="8">
        <v>0</v>
      </c>
      <c r="E1593" s="8">
        <v>700</v>
      </c>
      <c r="F1593" s="8">
        <v>15000</v>
      </c>
      <c r="G1593" s="30">
        <f t="shared" si="1658"/>
        <v>2400</v>
      </c>
      <c r="H1593" s="8">
        <v>25000</v>
      </c>
      <c r="I1593" s="30">
        <f t="shared" si="1659"/>
        <v>8000</v>
      </c>
      <c r="J1593" s="8">
        <v>25000</v>
      </c>
      <c r="K1593" s="30">
        <f t="shared" si="1660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15.03</v>
      </c>
      <c r="O1593" s="9">
        <v>13.5</v>
      </c>
      <c r="P1593" s="9">
        <v>19.5</v>
      </c>
      <c r="Q1593" s="79">
        <f>VLOOKUP(VLOOKUP(DATEVALUE(TEXT(A1593,"m/d/yyyy")),FY24_Temp[],5,FALSE)&amp;TEXT(A1593,"-h"),Table6[],4,FALSE)</f>
        <v>1.8388571568897791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VLOOKUP(TEXT(A1593,"yy-mm")&amp;"-"&amp;IF(AND(WEEKDAY(A1593)&gt;1,WEEKDAY(A1593)&lt;7),"Wkd",TEXT(A1593,"Ddd"))&amp;"-"&amp;TEXT(A1593,"hh"),LoadTable[],5,FALSE)*0.92</f>
        <v>237.25788000000003</v>
      </c>
      <c r="U1593" s="104">
        <f>VLOOKUP(TEXT(A1593,"yy-mm")&amp;"-"&amp;IF(AND(WEEKDAY(A1593)&gt;1,WEEKDAY(A1593)&lt;7),"Wkd",TEXT(A1593,"Ddd"))&amp;"-"&amp;TEXT(A1593,"hh"),LoadTable[],6,FALSE)*T1593</f>
        <v>18358.065722880005</v>
      </c>
      <c r="V1593">
        <f t="shared" ref="V1593:W1593" si="1690">V1569</f>
        <v>2.5</v>
      </c>
      <c r="W1593">
        <f t="shared" si="1690"/>
        <v>3.1</v>
      </c>
      <c r="X1593" s="9">
        <v>-63.134776366666102</v>
      </c>
    </row>
    <row r="1594" spans="1:24">
      <c r="A1594" s="29">
        <f t="shared" si="1633"/>
        <v>45902.291666662808</v>
      </c>
      <c r="B1594" s="30">
        <f t="shared" si="1657"/>
        <v>8000</v>
      </c>
      <c r="C1594" s="8">
        <v>25000</v>
      </c>
      <c r="D1594" s="8">
        <v>0</v>
      </c>
      <c r="E1594" s="8">
        <v>700</v>
      </c>
      <c r="F1594" s="8">
        <v>15000</v>
      </c>
      <c r="G1594" s="30">
        <f t="shared" si="1658"/>
        <v>2400</v>
      </c>
      <c r="H1594" s="8">
        <v>25000</v>
      </c>
      <c r="I1594" s="30">
        <f t="shared" si="1659"/>
        <v>8000</v>
      </c>
      <c r="J1594" s="8">
        <v>25000</v>
      </c>
      <c r="K1594" s="30">
        <f t="shared" si="1660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15.03</v>
      </c>
      <c r="O1594" s="9">
        <v>13.5</v>
      </c>
      <c r="P1594" s="9">
        <v>19.5</v>
      </c>
      <c r="Q1594" s="79">
        <f>VLOOKUP(VLOOKUP(DATEVALUE(TEXT(A1594,"m/d/yyyy")),FY24_Temp[],5,FALSE)&amp;TEXT(A1594,"-h"),Table6[],4,FALSE)</f>
        <v>1.7592856884002686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VLOOKUP(TEXT(A1594,"yy-mm")&amp;"-"&amp;IF(AND(WEEKDAY(A1594)&gt;1,WEEKDAY(A1594)&lt;7),"Wkd",TEXT(A1594,"Ddd"))&amp;"-"&amp;TEXT(A1594,"hh"),LoadTable[],5,FALSE)*0.92</f>
        <v>237.25788000000003</v>
      </c>
      <c r="U1594" s="104">
        <f>VLOOKUP(TEXT(A1594,"yy-mm")&amp;"-"&amp;IF(AND(WEEKDAY(A1594)&gt;1,WEEKDAY(A1594)&lt;7),"Wkd",TEXT(A1594,"Ddd"))&amp;"-"&amp;TEXT(A1594,"hh"),LoadTable[],6,FALSE)*T1594</f>
        <v>16249.08042756</v>
      </c>
      <c r="V1594">
        <f t="shared" ref="V1594:W1594" si="1691">V1570</f>
        <v>2.5</v>
      </c>
      <c r="W1594">
        <f t="shared" si="1691"/>
        <v>3.1</v>
      </c>
      <c r="X1594" s="9">
        <v>-63.212570916666103</v>
      </c>
    </row>
    <row r="1595" spans="1:24">
      <c r="A1595" s="29">
        <f t="shared" si="1633"/>
        <v>45902.333333329472</v>
      </c>
      <c r="B1595" s="30">
        <f t="shared" si="1657"/>
        <v>8000</v>
      </c>
      <c r="C1595" s="8">
        <v>25000</v>
      </c>
      <c r="D1595" s="8">
        <v>0</v>
      </c>
      <c r="E1595" s="8">
        <v>700</v>
      </c>
      <c r="F1595" s="8">
        <v>15000</v>
      </c>
      <c r="G1595" s="30">
        <f t="shared" si="1658"/>
        <v>2400</v>
      </c>
      <c r="H1595" s="8">
        <v>25000</v>
      </c>
      <c r="I1595" s="30">
        <f t="shared" si="1659"/>
        <v>8000</v>
      </c>
      <c r="J1595" s="8">
        <v>25000</v>
      </c>
      <c r="K1595" s="30">
        <f t="shared" si="1660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15.03</v>
      </c>
      <c r="O1595" s="9">
        <v>13.5</v>
      </c>
      <c r="P1595" s="9">
        <v>19.5</v>
      </c>
      <c r="Q1595" s="79">
        <f>VLOOKUP(VLOOKUP(DATEVALUE(TEXT(A1595,"m/d/yyyy")),FY24_Temp[],5,FALSE)&amp;TEXT(A1595,"-h"),Table6[],4,FALSE)</f>
        <v>1.6568571329116821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VLOOKUP(TEXT(A1595,"yy-mm")&amp;"-"&amp;IF(AND(WEEKDAY(A1595)&gt;1,WEEKDAY(A1595)&lt;7),"Wkd",TEXT(A1595,"Ddd"))&amp;"-"&amp;TEXT(A1595,"hh"),LoadTable[],5,FALSE)*0.92</f>
        <v>237.25788000000003</v>
      </c>
      <c r="U1595" s="104">
        <f>VLOOKUP(TEXT(A1595,"yy-mm")&amp;"-"&amp;IF(AND(WEEKDAY(A1595)&gt;1,WEEKDAY(A1595)&lt;7),"Wkd",TEXT(A1595,"Ddd"))&amp;"-"&amp;TEXT(A1595,"hh"),LoadTable[],6,FALSE)*T1595</f>
        <v>13068.164030400001</v>
      </c>
      <c r="V1595">
        <f t="shared" ref="V1595:W1595" si="1692">V1571</f>
        <v>3.2</v>
      </c>
      <c r="W1595">
        <f t="shared" si="1692"/>
        <v>3</v>
      </c>
      <c r="X1595" s="9">
        <v>-63.290365466666103</v>
      </c>
    </row>
    <row r="1596" spans="1:24">
      <c r="A1596" s="29">
        <f t="shared" si="1633"/>
        <v>45902.374999996136</v>
      </c>
      <c r="B1596" s="30">
        <f t="shared" si="1657"/>
        <v>8000</v>
      </c>
      <c r="C1596" s="8">
        <v>25000</v>
      </c>
      <c r="D1596" s="8">
        <v>0</v>
      </c>
      <c r="E1596" s="8">
        <v>700</v>
      </c>
      <c r="F1596" s="8">
        <v>15000</v>
      </c>
      <c r="G1596" s="30">
        <f t="shared" si="1658"/>
        <v>2400</v>
      </c>
      <c r="H1596" s="8">
        <v>25000</v>
      </c>
      <c r="I1596" s="30">
        <f t="shared" si="1659"/>
        <v>8000</v>
      </c>
      <c r="J1596" s="8">
        <v>25000</v>
      </c>
      <c r="K1596" s="30">
        <f t="shared" si="1660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15.03</v>
      </c>
      <c r="O1596" s="9">
        <v>13.5</v>
      </c>
      <c r="P1596" s="9">
        <v>19.5</v>
      </c>
      <c r="Q1596" s="79">
        <f>VLOOKUP(VLOOKUP(DATEVALUE(TEXT(A1596,"m/d/yyyy")),FY24_Temp[],5,FALSE)&amp;TEXT(A1596,"-h"),Table6[],4,FALSE)</f>
        <v>1.5618571383612496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VLOOKUP(TEXT(A1596,"yy-mm")&amp;"-"&amp;IF(AND(WEEKDAY(A1596)&gt;1,WEEKDAY(A1596)&lt;7),"Wkd",TEXT(A1596,"Ddd"))&amp;"-"&amp;TEXT(A1596,"hh"),LoadTable[],5,FALSE)*0.92</f>
        <v>237.25788000000003</v>
      </c>
      <c r="U1596" s="104">
        <f>VLOOKUP(TEXT(A1596,"yy-mm")&amp;"-"&amp;IF(AND(WEEKDAY(A1596)&gt;1,WEEKDAY(A1596)&lt;7),"Wkd",TEXT(A1596,"Ddd"))&amp;"-"&amp;TEXT(A1596,"hh"),LoadTable[],6,FALSE)*T1596</f>
        <v>11518.395558240001</v>
      </c>
      <c r="V1596">
        <f t="shared" ref="V1596:W1596" si="1693">V1572</f>
        <v>2.9</v>
      </c>
      <c r="W1596">
        <f t="shared" si="1693"/>
        <v>3</v>
      </c>
      <c r="X1596" s="9">
        <v>-63.368160016666103</v>
      </c>
    </row>
    <row r="1597" spans="1:24">
      <c r="A1597" s="29">
        <f t="shared" si="1633"/>
        <v>45902.416666662801</v>
      </c>
      <c r="B1597" s="30">
        <f t="shared" si="1657"/>
        <v>8000</v>
      </c>
      <c r="C1597" s="8">
        <v>25000</v>
      </c>
      <c r="D1597" s="8">
        <v>0</v>
      </c>
      <c r="E1597" s="8">
        <v>700</v>
      </c>
      <c r="F1597" s="8">
        <v>15000</v>
      </c>
      <c r="G1597" s="30">
        <f t="shared" si="1658"/>
        <v>2400</v>
      </c>
      <c r="H1597" s="8">
        <v>25000</v>
      </c>
      <c r="I1597" s="30">
        <f t="shared" si="1659"/>
        <v>8000</v>
      </c>
      <c r="J1597" s="8">
        <v>25000</v>
      </c>
      <c r="K1597" s="30">
        <f t="shared" si="1660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15.03</v>
      </c>
      <c r="O1597" s="9">
        <v>13.5</v>
      </c>
      <c r="P1597" s="9">
        <v>19.5</v>
      </c>
      <c r="Q1597" s="79">
        <f>VLOOKUP(VLOOKUP(DATEVALUE(TEXT(A1597,"m/d/yyyy")),FY24_Temp[],5,FALSE)&amp;TEXT(A1597,"-h"),Table6[],4,FALSE)</f>
        <v>1.4821428230830602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VLOOKUP(TEXT(A1597,"yy-mm")&amp;"-"&amp;IF(AND(WEEKDAY(A1597)&gt;1,WEEKDAY(A1597)&lt;7),"Wkd",TEXT(A1597,"Ddd"))&amp;"-"&amp;TEXT(A1597,"hh"),LoadTable[],5,FALSE)*0.92</f>
        <v>237.25788000000003</v>
      </c>
      <c r="U1597" s="104">
        <f>VLOOKUP(TEXT(A1597,"yy-mm")&amp;"-"&amp;IF(AND(WEEKDAY(A1597)&gt;1,WEEKDAY(A1597)&lt;7),"Wkd",TEXT(A1597,"Ddd"))&amp;"-"&amp;TEXT(A1597,"hh"),LoadTable[],6,FALSE)*T1597</f>
        <v>10982.667265200002</v>
      </c>
      <c r="V1597">
        <f t="shared" ref="V1597:W1597" si="1694">V1573</f>
        <v>2.9</v>
      </c>
      <c r="W1597">
        <f t="shared" si="1694"/>
        <v>3</v>
      </c>
      <c r="X1597" s="9">
        <v>-63.445954566666103</v>
      </c>
    </row>
    <row r="1598" spans="1:24">
      <c r="A1598" s="29">
        <f t="shared" si="1633"/>
        <v>45902.458333329465</v>
      </c>
      <c r="B1598" s="30">
        <f t="shared" si="1657"/>
        <v>8000</v>
      </c>
      <c r="C1598" s="8">
        <v>25000</v>
      </c>
      <c r="D1598" s="8">
        <v>0</v>
      </c>
      <c r="E1598" s="8">
        <v>700</v>
      </c>
      <c r="F1598" s="8">
        <v>15000</v>
      </c>
      <c r="G1598" s="30">
        <f t="shared" si="1658"/>
        <v>2400</v>
      </c>
      <c r="H1598" s="8">
        <v>25000</v>
      </c>
      <c r="I1598" s="30">
        <f t="shared" si="1659"/>
        <v>8000</v>
      </c>
      <c r="J1598" s="8">
        <v>25000</v>
      </c>
      <c r="K1598" s="30">
        <f t="shared" si="1660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15.03</v>
      </c>
      <c r="O1598" s="9">
        <v>13.5</v>
      </c>
      <c r="P1598" s="9">
        <v>19.5</v>
      </c>
      <c r="Q1598" s="79">
        <f>VLOOKUP(VLOOKUP(DATEVALUE(TEXT(A1598,"m/d/yyyy")),FY24_Temp[],5,FALSE)&amp;TEXT(A1598,"-h"),Table6[],4,FALSE)</f>
        <v>1.3825714247567313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VLOOKUP(TEXT(A1598,"yy-mm")&amp;"-"&amp;IF(AND(WEEKDAY(A1598)&gt;1,WEEKDAY(A1598)&lt;7),"Wkd",TEXT(A1598,"Ddd"))&amp;"-"&amp;TEXT(A1598,"hh"),LoadTable[],5,FALSE)*0.92</f>
        <v>237.25788000000003</v>
      </c>
      <c r="U1598" s="104">
        <f>VLOOKUP(TEXT(A1598,"yy-mm")&amp;"-"&amp;IF(AND(WEEKDAY(A1598)&gt;1,WEEKDAY(A1598)&lt;7),"Wkd",TEXT(A1598,"Ddd"))&amp;"-"&amp;TEXT(A1598,"hh"),LoadTable[],6,FALSE)*T1598</f>
        <v>10974.125981520001</v>
      </c>
      <c r="V1598">
        <f t="shared" ref="V1598:W1598" si="1695">V1574</f>
        <v>3.4</v>
      </c>
      <c r="W1598">
        <f t="shared" si="1695"/>
        <v>3</v>
      </c>
      <c r="X1598" s="9">
        <v>-63.523749116666103</v>
      </c>
    </row>
    <row r="1599" spans="1:24">
      <c r="A1599" s="29">
        <f t="shared" si="1633"/>
        <v>45902.499999996129</v>
      </c>
      <c r="B1599" s="30">
        <f t="shared" si="1657"/>
        <v>8000</v>
      </c>
      <c r="C1599" s="8">
        <v>25000</v>
      </c>
      <c r="D1599" s="8">
        <v>0</v>
      </c>
      <c r="E1599" s="8">
        <v>700</v>
      </c>
      <c r="F1599" s="8">
        <v>15000</v>
      </c>
      <c r="G1599" s="30">
        <f t="shared" si="1658"/>
        <v>2400</v>
      </c>
      <c r="H1599" s="8">
        <v>25000</v>
      </c>
      <c r="I1599" s="30">
        <f t="shared" si="1659"/>
        <v>8000</v>
      </c>
      <c r="J1599" s="8">
        <v>25000</v>
      </c>
      <c r="K1599" s="30">
        <f t="shared" si="1660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15.03</v>
      </c>
      <c r="O1599" s="9">
        <v>13.5</v>
      </c>
      <c r="P1599" s="9">
        <v>19.5</v>
      </c>
      <c r="Q1599" s="79">
        <f>VLOOKUP(VLOOKUP(DATEVALUE(TEXT(A1599,"m/d/yyyy")),FY24_Temp[],5,FALSE)&amp;TEXT(A1599,"-h"),Table6[],4,FALSE)</f>
        <v>1.2544285740171159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VLOOKUP(TEXT(A1599,"yy-mm")&amp;"-"&amp;IF(AND(WEEKDAY(A1599)&gt;1,WEEKDAY(A1599)&lt;7),"Wkd",TEXT(A1599,"Ddd"))&amp;"-"&amp;TEXT(A1599,"hh"),LoadTable[],5,FALSE)*0.92</f>
        <v>237.25788000000003</v>
      </c>
      <c r="U1599" s="104">
        <f>VLOOKUP(TEXT(A1599,"yy-mm")&amp;"-"&amp;IF(AND(WEEKDAY(A1599)&gt;1,WEEKDAY(A1599)&lt;7),"Wkd",TEXT(A1599,"Ddd"))&amp;"-"&amp;TEXT(A1599,"hh"),LoadTable[],6,FALSE)*T1599</f>
        <v>10962.974861160001</v>
      </c>
      <c r="V1599">
        <f t="shared" ref="V1599:W1599" si="1696">V1575</f>
        <v>3.1</v>
      </c>
      <c r="W1599">
        <f t="shared" si="1696"/>
        <v>2.9</v>
      </c>
      <c r="X1599" s="9">
        <v>-63.601543666666103</v>
      </c>
    </row>
    <row r="1600" spans="1:24">
      <c r="A1600" s="29">
        <f t="shared" si="1633"/>
        <v>45902.541666662793</v>
      </c>
      <c r="B1600" s="30">
        <f t="shared" si="1657"/>
        <v>8000</v>
      </c>
      <c r="C1600" s="8">
        <v>25000</v>
      </c>
      <c r="D1600" s="8">
        <v>0</v>
      </c>
      <c r="E1600" s="8">
        <v>700</v>
      </c>
      <c r="F1600" s="8">
        <v>15000</v>
      </c>
      <c r="G1600" s="30">
        <f t="shared" si="1658"/>
        <v>2400</v>
      </c>
      <c r="H1600" s="8">
        <v>25000</v>
      </c>
      <c r="I1600" s="30">
        <f t="shared" si="1659"/>
        <v>8000</v>
      </c>
      <c r="J1600" s="8">
        <v>25000</v>
      </c>
      <c r="K1600" s="30">
        <f t="shared" si="1660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15.03</v>
      </c>
      <c r="O1600" s="9">
        <v>13.5</v>
      </c>
      <c r="P1600" s="9">
        <v>19.5</v>
      </c>
      <c r="Q1600" s="79">
        <f>VLOOKUP(VLOOKUP(DATEVALUE(TEXT(A1600,"m/d/yyyy")),FY24_Temp[],5,FALSE)&amp;TEXT(A1600,"-h"),Table6[],4,FALSE)</f>
        <v>1.0944285563060216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VLOOKUP(TEXT(A1600,"yy-mm")&amp;"-"&amp;IF(AND(WEEKDAY(A1600)&gt;1,WEEKDAY(A1600)&lt;7),"Wkd",TEXT(A1600,"Ddd"))&amp;"-"&amp;TEXT(A1600,"hh"),LoadTable[],5,FALSE)*0.92</f>
        <v>237.25788000000003</v>
      </c>
      <c r="U1600" s="104">
        <f>VLOOKUP(TEXT(A1600,"yy-mm")&amp;"-"&amp;IF(AND(WEEKDAY(A1600)&gt;1,WEEKDAY(A1600)&lt;7),"Wkd",TEXT(A1600,"Ddd"))&amp;"-"&amp;TEXT(A1600,"hh"),LoadTable[],6,FALSE)*T1600</f>
        <v>10978.39662336</v>
      </c>
      <c r="V1600">
        <f t="shared" ref="V1600:W1600" si="1697">V1576</f>
        <v>3.2</v>
      </c>
      <c r="W1600">
        <f t="shared" si="1697"/>
        <v>2.9</v>
      </c>
      <c r="X1600" s="9">
        <v>-63.679338216666103</v>
      </c>
    </row>
    <row r="1601" spans="1:24">
      <c r="A1601" s="29">
        <f t="shared" si="1633"/>
        <v>45902.583333329458</v>
      </c>
      <c r="B1601" s="30">
        <f t="shared" si="1657"/>
        <v>8000</v>
      </c>
      <c r="C1601" s="8">
        <v>25000</v>
      </c>
      <c r="D1601" s="8">
        <v>0</v>
      </c>
      <c r="E1601" s="8">
        <v>700</v>
      </c>
      <c r="F1601" s="8">
        <v>15000</v>
      </c>
      <c r="G1601" s="30">
        <f t="shared" si="1658"/>
        <v>2400</v>
      </c>
      <c r="H1601" s="8">
        <v>25000</v>
      </c>
      <c r="I1601" s="30">
        <f t="shared" si="1659"/>
        <v>8000</v>
      </c>
      <c r="J1601" s="8">
        <v>25000</v>
      </c>
      <c r="K1601" s="30">
        <f t="shared" si="1660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15.03</v>
      </c>
      <c r="O1601" s="9">
        <v>13.5</v>
      </c>
      <c r="P1601" s="9">
        <v>19.5</v>
      </c>
      <c r="Q1601" s="79">
        <f>VLOOKUP(VLOOKUP(DATEVALUE(TEXT(A1601,"m/d/yyyy")),FY24_Temp[],5,FALSE)&amp;TEXT(A1601,"-h"),Table6[],4,FALSE)</f>
        <v>0.91900000401905602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VLOOKUP(TEXT(A1601,"yy-mm")&amp;"-"&amp;IF(AND(WEEKDAY(A1601)&gt;1,WEEKDAY(A1601)&lt;7),"Wkd",TEXT(A1601,"Ddd"))&amp;"-"&amp;TEXT(A1601,"hh"),LoadTable[],5,FALSE)*0.92</f>
        <v>269.75136000000003</v>
      </c>
      <c r="U1601" s="104">
        <f>VLOOKUP(TEXT(A1601,"yy-mm")&amp;"-"&amp;IF(AND(WEEKDAY(A1601)&gt;1,WEEKDAY(A1601)&lt;7),"Wkd",TEXT(A1601,"Ddd"))&amp;"-"&amp;TEXT(A1601,"hh"),LoadTable[],6,FALSE)*T1601</f>
        <v>12503.245287360001</v>
      </c>
      <c r="V1601">
        <f t="shared" ref="V1601:W1601" si="1698">V1577</f>
        <v>3.5</v>
      </c>
      <c r="W1601">
        <f t="shared" si="1698"/>
        <v>2.9</v>
      </c>
      <c r="X1601" s="9">
        <v>-63.757132766666103</v>
      </c>
    </row>
    <row r="1602" spans="1:24">
      <c r="A1602" s="29">
        <f t="shared" si="1633"/>
        <v>45902.624999996122</v>
      </c>
      <c r="B1602" s="30">
        <f t="shared" si="1657"/>
        <v>8000</v>
      </c>
      <c r="C1602" s="8">
        <v>25000</v>
      </c>
      <c r="D1602" s="8">
        <v>0</v>
      </c>
      <c r="E1602" s="8">
        <v>700</v>
      </c>
      <c r="F1602" s="8">
        <v>15000</v>
      </c>
      <c r="G1602" s="30">
        <f t="shared" si="1658"/>
        <v>2400</v>
      </c>
      <c r="H1602" s="8">
        <v>25000</v>
      </c>
      <c r="I1602" s="30">
        <f t="shared" si="1659"/>
        <v>8000</v>
      </c>
      <c r="J1602" s="8">
        <v>25000</v>
      </c>
      <c r="K1602" s="30">
        <f t="shared" si="1660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15.03</v>
      </c>
      <c r="O1602" s="9">
        <v>13.5</v>
      </c>
      <c r="P1602" s="9">
        <v>19.5</v>
      </c>
      <c r="Q1602" s="79">
        <f>VLOOKUP(VLOOKUP(DATEVALUE(TEXT(A1602,"m/d/yyyy")),FY24_Temp[],5,FALSE)&amp;TEXT(A1602,"-h"),Table6[],4,FALSE)</f>
        <v>0.76014286279678345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VLOOKUP(TEXT(A1602,"yy-mm")&amp;"-"&amp;IF(AND(WEEKDAY(A1602)&gt;1,WEEKDAY(A1602)&lt;7),"Wkd",TEXT(A1602,"Ddd"))&amp;"-"&amp;TEXT(A1602,"hh"),LoadTable[],5,FALSE)*0.92</f>
        <v>388.38076000000001</v>
      </c>
      <c r="U1602" s="104">
        <f>VLOOKUP(TEXT(A1602,"yy-mm")&amp;"-"&amp;IF(AND(WEEKDAY(A1602)&gt;1,WEEKDAY(A1602)&lt;7),"Wkd",TEXT(A1602,"Ddd"))&amp;"-"&amp;TEXT(A1602,"hh"),LoadTable[],6,FALSE)*T1602</f>
        <v>19705.663000880002</v>
      </c>
      <c r="V1602">
        <f t="shared" ref="V1602:W1602" si="1699">V1578</f>
        <v>3.2</v>
      </c>
      <c r="W1602">
        <f t="shared" si="1699"/>
        <v>2.9</v>
      </c>
      <c r="X1602" s="9">
        <v>-63.834927316666104</v>
      </c>
    </row>
    <row r="1603" spans="1:24">
      <c r="A1603" s="29">
        <f t="shared" si="1633"/>
        <v>45902.666666662786</v>
      </c>
      <c r="B1603" s="30">
        <f t="shared" si="1657"/>
        <v>8000</v>
      </c>
      <c r="C1603" s="8">
        <v>25000</v>
      </c>
      <c r="D1603" s="8">
        <v>0</v>
      </c>
      <c r="E1603" s="8">
        <v>700</v>
      </c>
      <c r="F1603" s="8">
        <v>15000</v>
      </c>
      <c r="G1603" s="30">
        <f t="shared" si="1658"/>
        <v>2400</v>
      </c>
      <c r="H1603" s="8">
        <v>25000</v>
      </c>
      <c r="I1603" s="30">
        <f t="shared" si="1659"/>
        <v>8000</v>
      </c>
      <c r="J1603" s="8">
        <v>25000</v>
      </c>
      <c r="K1603" s="30">
        <f t="shared" si="1660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15.03</v>
      </c>
      <c r="O1603" s="9">
        <v>13.5</v>
      </c>
      <c r="P1603" s="9">
        <v>19.5</v>
      </c>
      <c r="Q1603" s="79">
        <f>VLOOKUP(VLOOKUP(DATEVALUE(TEXT(A1603,"m/d/yyyy")),FY24_Temp[],5,FALSE)&amp;TEXT(A1603,"-h"),Table6[],4,FALSE)</f>
        <v>0.67185714415141518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VLOOKUP(TEXT(A1603,"yy-mm")&amp;"-"&amp;IF(AND(WEEKDAY(A1603)&gt;1,WEEKDAY(A1603)&lt;7),"Wkd",TEXT(A1603,"Ddd"))&amp;"-"&amp;TEXT(A1603,"hh"),LoadTable[],5,FALSE)*0.92</f>
        <v>388.38076000000001</v>
      </c>
      <c r="U1603" s="104">
        <f>VLOOKUP(TEXT(A1603,"yy-mm")&amp;"-"&amp;IF(AND(WEEKDAY(A1603)&gt;1,WEEKDAY(A1603)&lt;7),"Wkd",TEXT(A1603,"Ddd"))&amp;"-"&amp;TEXT(A1603,"hh"),LoadTable[],6,FALSE)*T1603</f>
        <v>23675.6911296</v>
      </c>
      <c r="V1603">
        <f t="shared" ref="V1603:W1603" si="1700">V1579</f>
        <v>3.5</v>
      </c>
      <c r="W1603">
        <f t="shared" si="1700"/>
        <v>3</v>
      </c>
      <c r="X1603" s="9">
        <v>-63.912721866666097</v>
      </c>
    </row>
    <row r="1604" spans="1:24">
      <c r="A1604" s="29">
        <f t="shared" si="1633"/>
        <v>45902.70833332945</v>
      </c>
      <c r="B1604" s="30">
        <f t="shared" si="1657"/>
        <v>8000</v>
      </c>
      <c r="C1604" s="8">
        <v>25000</v>
      </c>
      <c r="D1604" s="8">
        <v>0</v>
      </c>
      <c r="E1604" s="8">
        <v>700</v>
      </c>
      <c r="F1604" s="8">
        <v>15000</v>
      </c>
      <c r="G1604" s="30">
        <f t="shared" si="1658"/>
        <v>2400</v>
      </c>
      <c r="H1604" s="8">
        <v>25000</v>
      </c>
      <c r="I1604" s="30">
        <f t="shared" si="1659"/>
        <v>8000</v>
      </c>
      <c r="J1604" s="8">
        <v>25000</v>
      </c>
      <c r="K1604" s="30">
        <f t="shared" si="1660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15.03</v>
      </c>
      <c r="O1604" s="9">
        <v>13.5</v>
      </c>
      <c r="P1604" s="9">
        <v>19.5</v>
      </c>
      <c r="Q1604" s="79">
        <f>VLOOKUP(VLOOKUP(DATEVALUE(TEXT(A1604,"m/d/yyyy")),FY24_Temp[],5,FALSE)&amp;TEXT(A1604,"-h"),Table6[],4,FALSE)</f>
        <v>0.80171428407941547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VLOOKUP(TEXT(A1604,"yy-mm")&amp;"-"&amp;IF(AND(WEEKDAY(A1604)&gt;1,WEEKDAY(A1604)&lt;7),"Wkd",TEXT(A1604,"Ddd"))&amp;"-"&amp;TEXT(A1604,"hh"),LoadTable[],5,FALSE)*0.92</f>
        <v>388.38076000000001</v>
      </c>
      <c r="U1604" s="104">
        <f>VLOOKUP(TEXT(A1604,"yy-mm")&amp;"-"&amp;IF(AND(WEEKDAY(A1604)&gt;1,WEEKDAY(A1604)&lt;7),"Wkd",TEXT(A1604,"Ddd"))&amp;"-"&amp;TEXT(A1604,"hh"),LoadTable[],6,FALSE)*T1604</f>
        <v>31454.180990880002</v>
      </c>
      <c r="V1604">
        <f t="shared" ref="V1604:W1604" si="1701">V1580</f>
        <v>3.6</v>
      </c>
      <c r="W1604">
        <f t="shared" si="1701"/>
        <v>3</v>
      </c>
      <c r="X1604" s="9">
        <v>-63.990516416666097</v>
      </c>
    </row>
    <row r="1605" spans="1:24">
      <c r="A1605" s="29">
        <f t="shared" ref="A1605:A1668" si="1702">A1604+TIME(1,0,0)</f>
        <v>45902.749999996115</v>
      </c>
      <c r="B1605" s="30">
        <f t="shared" si="1657"/>
        <v>5000</v>
      </c>
      <c r="C1605" s="8">
        <v>25000</v>
      </c>
      <c r="D1605" s="8">
        <v>0</v>
      </c>
      <c r="E1605" s="8">
        <v>700</v>
      </c>
      <c r="F1605" s="8">
        <v>15000</v>
      </c>
      <c r="G1605" s="30">
        <f t="shared" si="1658"/>
        <v>2400</v>
      </c>
      <c r="H1605" s="8">
        <v>25000</v>
      </c>
      <c r="I1605" s="30">
        <f t="shared" si="1659"/>
        <v>5000</v>
      </c>
      <c r="J1605" s="8">
        <v>25000</v>
      </c>
      <c r="K1605" s="30">
        <f t="shared" si="1660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15.03</v>
      </c>
      <c r="O1605" s="9">
        <v>13.5</v>
      </c>
      <c r="P1605" s="9">
        <v>19.5</v>
      </c>
      <c r="Q1605" s="79">
        <f>VLOOKUP(VLOOKUP(DATEVALUE(TEXT(A1605,"m/d/yyyy")),FY24_Temp[],5,FALSE)&amp;TEXT(A1605,"-h"),Table6[],4,FALSE)</f>
        <v>1.1738571269171578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VLOOKUP(TEXT(A1605,"yy-mm")&amp;"-"&amp;IF(AND(WEEKDAY(A1605)&gt;1,WEEKDAY(A1605)&lt;7),"Wkd",TEXT(A1605,"Ddd"))&amp;"-"&amp;TEXT(A1605,"hh"),LoadTable[],5,FALSE)*0.92</f>
        <v>388.38076000000001</v>
      </c>
      <c r="U1605" s="104">
        <f>VLOOKUP(TEXT(A1605,"yy-mm")&amp;"-"&amp;IF(AND(WEEKDAY(A1605)&gt;1,WEEKDAY(A1605)&lt;7),"Wkd",TEXT(A1605,"Ddd"))&amp;"-"&amp;TEXT(A1605,"hh"),LoadTable[],6,FALSE)*T1605</f>
        <v>38316.869020080005</v>
      </c>
      <c r="V1605">
        <f t="shared" ref="V1605:W1605" si="1703">V1581</f>
        <v>2.9</v>
      </c>
      <c r="W1605">
        <f t="shared" si="1703"/>
        <v>3</v>
      </c>
      <c r="X1605" s="9">
        <v>-64.068310966666104</v>
      </c>
    </row>
    <row r="1606" spans="1:24">
      <c r="A1606" s="29">
        <f t="shared" si="1702"/>
        <v>45902.791666662779</v>
      </c>
      <c r="B1606" s="30">
        <f t="shared" si="1657"/>
        <v>5000</v>
      </c>
      <c r="C1606" s="8">
        <v>25000</v>
      </c>
      <c r="D1606" s="8">
        <v>0</v>
      </c>
      <c r="E1606" s="8">
        <v>700</v>
      </c>
      <c r="F1606" s="8">
        <v>15000</v>
      </c>
      <c r="G1606" s="30">
        <f t="shared" si="1658"/>
        <v>2400</v>
      </c>
      <c r="H1606" s="8">
        <v>25000</v>
      </c>
      <c r="I1606" s="30">
        <f t="shared" si="1659"/>
        <v>5000</v>
      </c>
      <c r="J1606" s="8">
        <v>25000</v>
      </c>
      <c r="K1606" s="30">
        <f t="shared" si="1660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15.03</v>
      </c>
      <c r="O1606" s="9">
        <v>13.5</v>
      </c>
      <c r="P1606" s="9">
        <v>19.5</v>
      </c>
      <c r="Q1606" s="79">
        <f>VLOOKUP(VLOOKUP(DATEVALUE(TEXT(A1606,"m/d/yyyy")),FY24_Temp[],5,FALSE)&amp;TEXT(A1606,"-h"),Table6[],4,FALSE)</f>
        <v>1.9135714258466447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VLOOKUP(TEXT(A1606,"yy-mm")&amp;"-"&amp;IF(AND(WEEKDAY(A1606)&gt;1,WEEKDAY(A1606)&lt;7),"Wkd",TEXT(A1606,"Ddd"))&amp;"-"&amp;TEXT(A1606,"hh"),LoadTable[],5,FALSE)*0.92</f>
        <v>388.38076000000001</v>
      </c>
      <c r="U1606" s="104">
        <f>VLOOKUP(TEXT(A1606,"yy-mm")&amp;"-"&amp;IF(AND(WEEKDAY(A1606)&gt;1,WEEKDAY(A1606)&lt;7),"Wkd",TEXT(A1606,"Ddd"))&amp;"-"&amp;TEXT(A1606,"hh"),LoadTable[],6,FALSE)*T1606</f>
        <v>41132.241149319998</v>
      </c>
      <c r="V1606">
        <f t="shared" ref="V1606:W1606" si="1704">V1582</f>
        <v>3</v>
      </c>
      <c r="W1606">
        <f t="shared" si="1704"/>
        <v>3</v>
      </c>
      <c r="X1606" s="9">
        <v>-64.146105516666097</v>
      </c>
    </row>
    <row r="1607" spans="1:24">
      <c r="A1607" s="29">
        <f t="shared" si="1702"/>
        <v>45902.833333329443</v>
      </c>
      <c r="B1607" s="30">
        <f t="shared" si="1657"/>
        <v>5000</v>
      </c>
      <c r="C1607" s="8">
        <v>25000</v>
      </c>
      <c r="D1607" s="8">
        <v>0</v>
      </c>
      <c r="E1607" s="8">
        <v>700</v>
      </c>
      <c r="F1607" s="8">
        <v>15000</v>
      </c>
      <c r="G1607" s="30">
        <f t="shared" si="1658"/>
        <v>2400</v>
      </c>
      <c r="H1607" s="8">
        <v>25000</v>
      </c>
      <c r="I1607" s="30">
        <f t="shared" si="1659"/>
        <v>5000</v>
      </c>
      <c r="J1607" s="8">
        <v>25000</v>
      </c>
      <c r="K1607" s="30">
        <f t="shared" si="1660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15.03</v>
      </c>
      <c r="O1607" s="9">
        <v>13.5</v>
      </c>
      <c r="P1607" s="9">
        <v>19.5</v>
      </c>
      <c r="Q1607" s="79">
        <f>VLOOKUP(VLOOKUP(DATEVALUE(TEXT(A1607,"m/d/yyyy")),FY24_Temp[],5,FALSE)&amp;TEXT(A1607,"-h"),Table6[],4,FALSE)</f>
        <v>2.6564285755157471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VLOOKUP(TEXT(A1607,"yy-mm")&amp;"-"&amp;IF(AND(WEEKDAY(A1607)&gt;1,WEEKDAY(A1607)&lt;7),"Wkd",TEXT(A1607,"Ddd"))&amp;"-"&amp;TEXT(A1607,"hh"),LoadTable[],5,FALSE)*0.92</f>
        <v>388.38076000000001</v>
      </c>
      <c r="U1607" s="104">
        <f>VLOOKUP(TEXT(A1607,"yy-mm")&amp;"-"&amp;IF(AND(WEEKDAY(A1607)&gt;1,WEEKDAY(A1607)&lt;7),"Wkd",TEXT(A1607,"Ddd"))&amp;"-"&amp;TEXT(A1607,"hh"),LoadTable[],6,FALSE)*T1607</f>
        <v>36274.762984000001</v>
      </c>
      <c r="V1607">
        <f t="shared" ref="V1607:W1607" si="1705">V1583</f>
        <v>2.8</v>
      </c>
      <c r="W1607">
        <f t="shared" si="1705"/>
        <v>3.1</v>
      </c>
      <c r="X1607" s="9">
        <v>-64.223900066666104</v>
      </c>
    </row>
    <row r="1608" spans="1:24">
      <c r="A1608" s="29">
        <f t="shared" si="1702"/>
        <v>45902.874999996107</v>
      </c>
      <c r="B1608" s="30">
        <f t="shared" si="1657"/>
        <v>5000</v>
      </c>
      <c r="C1608" s="8">
        <v>25000</v>
      </c>
      <c r="D1608" s="8">
        <v>0</v>
      </c>
      <c r="E1608" s="8">
        <v>700</v>
      </c>
      <c r="F1608" s="8">
        <v>15000</v>
      </c>
      <c r="G1608" s="30">
        <f t="shared" si="1658"/>
        <v>2400</v>
      </c>
      <c r="H1608" s="8">
        <v>25000</v>
      </c>
      <c r="I1608" s="30">
        <f t="shared" si="1659"/>
        <v>5000</v>
      </c>
      <c r="J1608" s="8">
        <v>25000</v>
      </c>
      <c r="K1608" s="30">
        <f t="shared" si="1660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15.03</v>
      </c>
      <c r="O1608" s="9">
        <v>13.5</v>
      </c>
      <c r="P1608" s="9">
        <v>19.5</v>
      </c>
      <c r="Q1608" s="79">
        <f>VLOOKUP(VLOOKUP(DATEVALUE(TEXT(A1608,"m/d/yyyy")),FY24_Temp[],5,FALSE)&amp;TEXT(A1608,"-h"),Table6[],4,FALSE)</f>
        <v>2.854142870221819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VLOOKUP(TEXT(A1608,"yy-mm")&amp;"-"&amp;IF(AND(WEEKDAY(A1608)&gt;1,WEEKDAY(A1608)&lt;7),"Wkd",TEXT(A1608,"Ddd"))&amp;"-"&amp;TEXT(A1608,"hh"),LoadTable[],5,FALSE)*0.92</f>
        <v>373.79416000000003</v>
      </c>
      <c r="U1608" s="104">
        <f>VLOOKUP(TEXT(A1608,"yy-mm")&amp;"-"&amp;IF(AND(WEEKDAY(A1608)&gt;1,WEEKDAY(A1608)&lt;7),"Wkd",TEXT(A1608,"Ddd"))&amp;"-"&amp;TEXT(A1608,"hh"),LoadTable[],6,FALSE)*T1608</f>
        <v>31749.328362080003</v>
      </c>
      <c r="V1608">
        <f t="shared" ref="V1608:W1608" si="1706">V1584</f>
        <v>3.5</v>
      </c>
      <c r="W1608">
        <f t="shared" si="1706"/>
        <v>3.1</v>
      </c>
      <c r="X1608" s="9">
        <v>-64.301694616666097</v>
      </c>
    </row>
    <row r="1609" spans="1:24">
      <c r="A1609" s="29">
        <f t="shared" si="1702"/>
        <v>45902.916666662772</v>
      </c>
      <c r="B1609" s="30">
        <f t="shared" si="1657"/>
        <v>5000</v>
      </c>
      <c r="C1609" s="8">
        <v>25000</v>
      </c>
      <c r="D1609" s="8">
        <v>0</v>
      </c>
      <c r="E1609" s="8">
        <v>700</v>
      </c>
      <c r="F1609" s="8">
        <v>15000</v>
      </c>
      <c r="G1609" s="30">
        <f t="shared" si="1658"/>
        <v>2400</v>
      </c>
      <c r="H1609" s="8">
        <v>25000</v>
      </c>
      <c r="I1609" s="30">
        <f t="shared" si="1659"/>
        <v>5000</v>
      </c>
      <c r="J1609" s="8">
        <v>25000</v>
      </c>
      <c r="K1609" s="30">
        <f t="shared" si="1660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15.03</v>
      </c>
      <c r="O1609" s="9">
        <v>13.5</v>
      </c>
      <c r="P1609" s="9">
        <v>19.5</v>
      </c>
      <c r="Q1609" s="79">
        <f>VLOOKUP(VLOOKUP(DATEVALUE(TEXT(A1609,"m/d/yyyy")),FY24_Temp[],5,FALSE)&amp;TEXT(A1609,"-h"),Table6[],4,FALSE)</f>
        <v>2.8205713544573103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VLOOKUP(TEXT(A1609,"yy-mm")&amp;"-"&amp;IF(AND(WEEKDAY(A1609)&gt;1,WEEKDAY(A1609)&lt;7),"Wkd",TEXT(A1609,"Ddd"))&amp;"-"&amp;TEXT(A1609,"hh"),LoadTable[],5,FALSE)*0.92</f>
        <v>299.65044</v>
      </c>
      <c r="U1609" s="104">
        <f>VLOOKUP(TEXT(A1609,"yy-mm")&amp;"-"&amp;IF(AND(WEEKDAY(A1609)&gt;1,WEEKDAY(A1609)&lt;7),"Wkd",TEXT(A1609,"Ddd"))&amp;"-"&amp;TEXT(A1609,"hh"),LoadTable[],6,FALSE)*T1609</f>
        <v>15023.87376072</v>
      </c>
      <c r="V1609">
        <f t="shared" ref="V1609:W1609" si="1707">V1585</f>
        <v>2.9</v>
      </c>
      <c r="W1609">
        <f t="shared" si="1707"/>
        <v>3.1</v>
      </c>
      <c r="X1609" s="9">
        <v>-64.379489166666104</v>
      </c>
    </row>
    <row r="1610" spans="1:24">
      <c r="A1610" s="29">
        <f t="shared" si="1702"/>
        <v>45902.958333329436</v>
      </c>
      <c r="B1610" s="30">
        <f t="shared" si="1657"/>
        <v>5000</v>
      </c>
      <c r="C1610" s="8">
        <v>25000</v>
      </c>
      <c r="D1610" s="8">
        <v>0</v>
      </c>
      <c r="E1610" s="8">
        <v>700</v>
      </c>
      <c r="F1610" s="8">
        <v>15000</v>
      </c>
      <c r="G1610" s="30">
        <f t="shared" si="1658"/>
        <v>2400</v>
      </c>
      <c r="H1610" s="8">
        <v>25000</v>
      </c>
      <c r="I1610" s="30">
        <f t="shared" si="1659"/>
        <v>5000</v>
      </c>
      <c r="J1610" s="8">
        <v>25000</v>
      </c>
      <c r="K1610" s="30">
        <f t="shared" si="1660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15.03</v>
      </c>
      <c r="O1610" s="9">
        <v>13.5</v>
      </c>
      <c r="P1610" s="9">
        <v>19.5</v>
      </c>
      <c r="Q1610" s="79">
        <f>VLOOKUP(VLOOKUP(DATEVALUE(TEXT(A1610,"m/d/yyyy")),FY24_Temp[],5,FALSE)&amp;TEXT(A1610,"-h"),Table6[],4,FALSE)</f>
        <v>2.7085714680807933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VLOOKUP(TEXT(A1610,"yy-mm")&amp;"-"&amp;IF(AND(WEEKDAY(A1610)&gt;1,WEEKDAY(A1610)&lt;7),"Wkd",TEXT(A1610,"Ddd"))&amp;"-"&amp;TEXT(A1610,"hh"),LoadTable[],5,FALSE)*0.92</f>
        <v>237.25788000000003</v>
      </c>
      <c r="U1610" s="104">
        <f>VLOOKUP(TEXT(A1610,"yy-mm")&amp;"-"&amp;IF(AND(WEEKDAY(A1610)&gt;1,WEEKDAY(A1610)&lt;7),"Wkd",TEXT(A1610,"Ddd"))&amp;"-"&amp;TEXT(A1610,"hh"),LoadTable[],6,FALSE)*T1610</f>
        <v>11687.323168800001</v>
      </c>
      <c r="V1610">
        <f t="shared" ref="V1610:W1610" si="1708">V1586</f>
        <v>3.6</v>
      </c>
      <c r="W1610">
        <f t="shared" si="1708"/>
        <v>3.1</v>
      </c>
      <c r="X1610" s="9">
        <v>-64.457283716666097</v>
      </c>
    </row>
    <row r="1611" spans="1:24">
      <c r="A1611" s="29">
        <f t="shared" si="1702"/>
        <v>45902.9999999961</v>
      </c>
      <c r="B1611" s="30">
        <f t="shared" si="1657"/>
        <v>5000</v>
      </c>
      <c r="C1611" s="8">
        <v>25000</v>
      </c>
      <c r="D1611" s="8">
        <v>0</v>
      </c>
      <c r="E1611" s="8">
        <v>700</v>
      </c>
      <c r="F1611" s="8">
        <v>15000</v>
      </c>
      <c r="G1611" s="30">
        <f t="shared" si="1658"/>
        <v>2400</v>
      </c>
      <c r="H1611" s="8">
        <v>25000</v>
      </c>
      <c r="I1611" s="30">
        <f t="shared" si="1659"/>
        <v>5000</v>
      </c>
      <c r="J1611" s="8">
        <v>25000</v>
      </c>
      <c r="K1611" s="30">
        <f t="shared" si="1660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15.03</v>
      </c>
      <c r="O1611" s="9">
        <v>13.5</v>
      </c>
      <c r="P1611" s="9">
        <v>19.5</v>
      </c>
      <c r="Q1611" s="79">
        <f>VLOOKUP(VLOOKUP(DATEVALUE(TEXT(A1611,"m/d/yyyy")),FY24_Temp[],5,FALSE)&amp;TEXT(A1611,"-h"),Table6[],4,FALSE)</f>
        <v>2.6008571216038296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VLOOKUP(TEXT(A1611,"yy-mm")&amp;"-"&amp;IF(AND(WEEKDAY(A1611)&gt;1,WEEKDAY(A1611)&lt;7),"Wkd",TEXT(A1611,"Ddd"))&amp;"-"&amp;TEXT(A1611,"hh"),LoadTable[],5,FALSE)*0.92</f>
        <v>237.25788000000003</v>
      </c>
      <c r="U1611" s="104">
        <f>VLOOKUP(TEXT(A1611,"yy-mm")&amp;"-"&amp;IF(AND(WEEKDAY(A1611)&gt;1,WEEKDAY(A1611)&lt;7),"Wkd",TEXT(A1611,"Ddd"))&amp;"-"&amp;TEXT(A1611,"hh"),LoadTable[],6,FALSE)*T1611</f>
        <v>12215.696467560001</v>
      </c>
      <c r="V1611">
        <f t="shared" ref="V1611:W1611" si="1709">V1587</f>
        <v>3</v>
      </c>
      <c r="W1611">
        <f t="shared" si="1709"/>
        <v>3.2</v>
      </c>
      <c r="X1611" s="9">
        <v>-64.535078266666105</v>
      </c>
    </row>
    <row r="1612" spans="1:24">
      <c r="A1612" s="29">
        <f t="shared" si="1702"/>
        <v>45903.041666662764</v>
      </c>
      <c r="B1612" s="30">
        <f t="shared" si="1657"/>
        <v>5000</v>
      </c>
      <c r="C1612" s="8">
        <v>25000</v>
      </c>
      <c r="D1612" s="8">
        <v>0</v>
      </c>
      <c r="E1612" s="8">
        <v>700</v>
      </c>
      <c r="F1612" s="8">
        <v>15000</v>
      </c>
      <c r="G1612" s="30">
        <f t="shared" si="1658"/>
        <v>2400</v>
      </c>
      <c r="H1612" s="8">
        <v>25000</v>
      </c>
      <c r="I1612" s="30">
        <f t="shared" si="1659"/>
        <v>5000</v>
      </c>
      <c r="J1612" s="8">
        <v>25000</v>
      </c>
      <c r="K1612" s="30">
        <f t="shared" si="1660"/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15.03</v>
      </c>
      <c r="O1612" s="9">
        <v>13.5</v>
      </c>
      <c r="P1612" s="9">
        <v>19.5</v>
      </c>
      <c r="Q1612" s="79">
        <f>VLOOKUP(VLOOKUP(DATEVALUE(TEXT(A1612,"m/d/yyyy")),FY24_Temp[],5,FALSE)&amp;TEXT(A1612,"-h"),Table6[],4,FALSE)</f>
        <v>2.5028571741921559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VLOOKUP(TEXT(A1612,"yy-mm")&amp;"-"&amp;IF(AND(WEEKDAY(A1612)&gt;1,WEEKDAY(A1612)&lt;7),"Wkd",TEXT(A1612,"Ddd"))&amp;"-"&amp;TEXT(A1612,"hh"),LoadTable[],5,FALSE)*0.92</f>
        <v>237.25788000000003</v>
      </c>
      <c r="U1612" s="104">
        <f>VLOOKUP(TEXT(A1612,"yy-mm")&amp;"-"&amp;IF(AND(WEEKDAY(A1612)&gt;1,WEEKDAY(A1612)&lt;7),"Wkd",TEXT(A1612,"Ddd"))&amp;"-"&amp;TEXT(A1612,"hh"),LoadTable[],6,FALSE)*T1612</f>
        <v>11905.12590264</v>
      </c>
      <c r="V1612">
        <f t="shared" ref="V1612:W1612" si="1710">V1588</f>
        <v>2.6</v>
      </c>
      <c r="W1612">
        <f t="shared" si="1710"/>
        <v>3.2</v>
      </c>
      <c r="X1612" s="9">
        <v>-64.612872816666098</v>
      </c>
    </row>
    <row r="1613" spans="1:24">
      <c r="A1613" s="29">
        <f t="shared" si="1702"/>
        <v>45903.083333329429</v>
      </c>
      <c r="B1613" s="30">
        <f t="shared" si="1657"/>
        <v>5000</v>
      </c>
      <c r="C1613" s="8">
        <v>25000</v>
      </c>
      <c r="D1613" s="8">
        <v>0</v>
      </c>
      <c r="E1613" s="8">
        <v>700</v>
      </c>
      <c r="F1613" s="8">
        <v>15000</v>
      </c>
      <c r="G1613" s="30">
        <f t="shared" si="1658"/>
        <v>2400</v>
      </c>
      <c r="H1613" s="8">
        <v>25000</v>
      </c>
      <c r="I1613" s="30">
        <f t="shared" si="1659"/>
        <v>5000</v>
      </c>
      <c r="J1613" s="8">
        <v>25000</v>
      </c>
      <c r="K1613" s="30">
        <f t="shared" si="1660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15.03</v>
      </c>
      <c r="O1613" s="9">
        <v>13.5</v>
      </c>
      <c r="P1613" s="9">
        <v>19.5</v>
      </c>
      <c r="Q1613" s="79">
        <f>VLOOKUP(VLOOKUP(DATEVALUE(TEXT(A1613,"m/d/yyyy")),FY24_Temp[],5,FALSE)&amp;TEXT(A1613,"-h"),Table6[],4,FALSE)</f>
        <v>2.4148571491241455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VLOOKUP(TEXT(A1613,"yy-mm")&amp;"-"&amp;IF(AND(WEEKDAY(A1613)&gt;1,WEEKDAY(A1613)&lt;7),"Wkd",TEXT(A1613,"Ddd"))&amp;"-"&amp;TEXT(A1613,"hh"),LoadTable[],5,FALSE)*0.92</f>
        <v>237.25788000000003</v>
      </c>
      <c r="U1613" s="104">
        <f>VLOOKUP(TEXT(A1613,"yy-mm")&amp;"-"&amp;IF(AND(WEEKDAY(A1613)&gt;1,WEEKDAY(A1613)&lt;7),"Wkd",TEXT(A1613,"Ddd"))&amp;"-"&amp;TEXT(A1613,"hh"),LoadTable[],6,FALSE)*T1613</f>
        <v>11856.013521480001</v>
      </c>
      <c r="V1613">
        <f t="shared" ref="V1613:W1613" si="1711">V1589</f>
        <v>2.8</v>
      </c>
      <c r="W1613">
        <f t="shared" si="1711"/>
        <v>3.2</v>
      </c>
      <c r="X1613" s="9">
        <v>-64.690667366666105</v>
      </c>
    </row>
    <row r="1614" spans="1:24">
      <c r="A1614" s="29">
        <f t="shared" si="1702"/>
        <v>45903.124999996093</v>
      </c>
      <c r="B1614" s="30">
        <f t="shared" si="1657"/>
        <v>5000</v>
      </c>
      <c r="C1614" s="8">
        <v>25000</v>
      </c>
      <c r="D1614" s="8">
        <v>0</v>
      </c>
      <c r="E1614" s="8">
        <v>700</v>
      </c>
      <c r="F1614" s="8">
        <v>15000</v>
      </c>
      <c r="G1614" s="30">
        <f t="shared" si="1658"/>
        <v>2400</v>
      </c>
      <c r="H1614" s="8">
        <v>25000</v>
      </c>
      <c r="I1614" s="30">
        <f t="shared" si="1659"/>
        <v>5000</v>
      </c>
      <c r="J1614" s="8">
        <v>25000</v>
      </c>
      <c r="K1614" s="30">
        <f t="shared" si="1660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15.03</v>
      </c>
      <c r="O1614" s="9">
        <v>13.5</v>
      </c>
      <c r="P1614" s="9">
        <v>19.5</v>
      </c>
      <c r="Q1614" s="79">
        <f>VLOOKUP(VLOOKUP(DATEVALUE(TEXT(A1614,"m/d/yyyy")),FY24_Temp[],5,FALSE)&amp;TEXT(A1614,"-h"),Table6[],4,FALSE)</f>
        <v>2.2705714702606201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VLOOKUP(TEXT(A1614,"yy-mm")&amp;"-"&amp;IF(AND(WEEKDAY(A1614)&gt;1,WEEKDAY(A1614)&lt;7),"Wkd",TEXT(A1614,"Ddd"))&amp;"-"&amp;TEXT(A1614,"hh"),LoadTable[],5,FALSE)*0.92</f>
        <v>237.25788000000003</v>
      </c>
      <c r="U1614" s="104">
        <f>VLOOKUP(TEXT(A1614,"yy-mm")&amp;"-"&amp;IF(AND(WEEKDAY(A1614)&gt;1,WEEKDAY(A1614)&lt;7),"Wkd",TEXT(A1614,"Ddd"))&amp;"-"&amp;TEXT(A1614,"hh"),LoadTable[],6,FALSE)*T1614</f>
        <v>11893.025750760002</v>
      </c>
      <c r="V1614">
        <f t="shared" ref="V1614:W1614" si="1712">V1590</f>
        <v>2.7</v>
      </c>
      <c r="W1614">
        <f t="shared" si="1712"/>
        <v>3.2</v>
      </c>
      <c r="X1614" s="9">
        <v>-64.768461916666098</v>
      </c>
    </row>
    <row r="1615" spans="1:24">
      <c r="A1615" s="29">
        <f t="shared" si="1702"/>
        <v>45903.166666662757</v>
      </c>
      <c r="B1615" s="30">
        <f t="shared" si="1657"/>
        <v>5000</v>
      </c>
      <c r="C1615" s="8">
        <v>25000</v>
      </c>
      <c r="D1615" s="8">
        <v>0</v>
      </c>
      <c r="E1615" s="8">
        <v>700</v>
      </c>
      <c r="F1615" s="8">
        <v>15000</v>
      </c>
      <c r="G1615" s="30">
        <f t="shared" si="1658"/>
        <v>2400</v>
      </c>
      <c r="H1615" s="8">
        <v>25000</v>
      </c>
      <c r="I1615" s="30">
        <f t="shared" si="1659"/>
        <v>5000</v>
      </c>
      <c r="J1615" s="8">
        <v>25000</v>
      </c>
      <c r="K1615" s="30">
        <f t="shared" si="1660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15.03</v>
      </c>
      <c r="O1615" s="9">
        <v>13.5</v>
      </c>
      <c r="P1615" s="9">
        <v>19.5</v>
      </c>
      <c r="Q1615" s="79">
        <f>VLOOKUP(VLOOKUP(DATEVALUE(TEXT(A1615,"m/d/yyyy")),FY24_Temp[],5,FALSE)&amp;TEXT(A1615,"-h"),Table6[],4,FALSE)</f>
        <v>2.1080000059945241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VLOOKUP(TEXT(A1615,"yy-mm")&amp;"-"&amp;IF(AND(WEEKDAY(A1615)&gt;1,WEEKDAY(A1615)&lt;7),"Wkd",TEXT(A1615,"Ddd"))&amp;"-"&amp;TEXT(A1615,"hh"),LoadTable[],5,FALSE)*0.92</f>
        <v>237.25788000000003</v>
      </c>
      <c r="U1615" s="104">
        <f>VLOOKUP(TEXT(A1615,"yy-mm")&amp;"-"&amp;IF(AND(WEEKDAY(A1615)&gt;1,WEEKDAY(A1615)&lt;7),"Wkd",TEXT(A1615,"Ddd"))&amp;"-"&amp;TEXT(A1615,"hh"),LoadTable[],6,FALSE)*T1615</f>
        <v>12081.645765360001</v>
      </c>
      <c r="V1615">
        <f t="shared" ref="V1615:W1615" si="1713">V1591</f>
        <v>3</v>
      </c>
      <c r="W1615">
        <f t="shared" si="1713"/>
        <v>3.1</v>
      </c>
      <c r="X1615" s="9">
        <v>-64.846256466666105</v>
      </c>
    </row>
    <row r="1616" spans="1:24">
      <c r="A1616" s="29">
        <f t="shared" si="1702"/>
        <v>45903.208333329421</v>
      </c>
      <c r="B1616" s="30">
        <f t="shared" si="1657"/>
        <v>5000</v>
      </c>
      <c r="C1616" s="8">
        <v>25000</v>
      </c>
      <c r="D1616" s="8">
        <v>0</v>
      </c>
      <c r="E1616" s="8">
        <v>700</v>
      </c>
      <c r="F1616" s="8">
        <v>15000</v>
      </c>
      <c r="G1616" s="30">
        <f t="shared" si="1658"/>
        <v>2400</v>
      </c>
      <c r="H1616" s="8">
        <v>25000</v>
      </c>
      <c r="I1616" s="30">
        <f t="shared" si="1659"/>
        <v>5000</v>
      </c>
      <c r="J1616" s="8">
        <v>25000</v>
      </c>
      <c r="K1616" s="30">
        <f t="shared" si="1660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15.03</v>
      </c>
      <c r="O1616" s="9">
        <v>13.5</v>
      </c>
      <c r="P1616" s="9">
        <v>19.5</v>
      </c>
      <c r="Q1616" s="79">
        <f>VLOOKUP(VLOOKUP(DATEVALUE(TEXT(A1616,"m/d/yyyy")),FY24_Temp[],5,FALSE)&amp;TEXT(A1616,"-h"),Table6[],4,FALSE)</f>
        <v>1.9515714134488786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VLOOKUP(TEXT(A1616,"yy-mm")&amp;"-"&amp;IF(AND(WEEKDAY(A1616)&gt;1,WEEKDAY(A1616)&lt;7),"Wkd",TEXT(A1616,"Ddd"))&amp;"-"&amp;TEXT(A1616,"hh"),LoadTable[],5,FALSE)*0.92</f>
        <v>237.25788000000003</v>
      </c>
      <c r="U1616" s="104">
        <f>VLOOKUP(TEXT(A1616,"yy-mm")&amp;"-"&amp;IF(AND(WEEKDAY(A1616)&gt;1,WEEKDAY(A1616)&lt;7),"Wkd",TEXT(A1616,"Ddd"))&amp;"-"&amp;TEXT(A1616,"hh"),LoadTable[],6,FALSE)*T1616</f>
        <v>12065.037713760001</v>
      </c>
      <c r="V1616">
        <f t="shared" ref="V1616:W1616" si="1714">V1592</f>
        <v>2.9</v>
      </c>
      <c r="W1616">
        <f t="shared" si="1714"/>
        <v>3.1</v>
      </c>
      <c r="X1616" s="9">
        <v>-64.924051016666098</v>
      </c>
    </row>
    <row r="1617" spans="1:24">
      <c r="A1617" s="29">
        <f t="shared" si="1702"/>
        <v>45903.249999996086</v>
      </c>
      <c r="B1617" s="30">
        <f t="shared" si="1657"/>
        <v>8000</v>
      </c>
      <c r="C1617" s="8">
        <v>25000</v>
      </c>
      <c r="D1617" s="8">
        <v>0</v>
      </c>
      <c r="E1617" s="8">
        <v>700</v>
      </c>
      <c r="F1617" s="8">
        <v>15000</v>
      </c>
      <c r="G1617" s="30">
        <f t="shared" si="1658"/>
        <v>2400</v>
      </c>
      <c r="H1617" s="8">
        <v>25000</v>
      </c>
      <c r="I1617" s="30">
        <f t="shared" si="1659"/>
        <v>8000</v>
      </c>
      <c r="J1617" s="8">
        <v>25000</v>
      </c>
      <c r="K1617" s="30">
        <f t="shared" si="1660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15.03</v>
      </c>
      <c r="O1617" s="9">
        <v>13.5</v>
      </c>
      <c r="P1617" s="9">
        <v>19.5</v>
      </c>
      <c r="Q1617" s="79">
        <f>VLOOKUP(VLOOKUP(DATEVALUE(TEXT(A1617,"m/d/yyyy")),FY24_Temp[],5,FALSE)&amp;TEXT(A1617,"-h"),Table6[],4,FALSE)</f>
        <v>1.8388571568897791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VLOOKUP(TEXT(A1617,"yy-mm")&amp;"-"&amp;IF(AND(WEEKDAY(A1617)&gt;1,WEEKDAY(A1617)&lt;7),"Wkd",TEXT(A1617,"Ddd"))&amp;"-"&amp;TEXT(A1617,"hh"),LoadTable[],5,FALSE)*0.92</f>
        <v>237.25788000000003</v>
      </c>
      <c r="U1617" s="104">
        <f>VLOOKUP(TEXT(A1617,"yy-mm")&amp;"-"&amp;IF(AND(WEEKDAY(A1617)&gt;1,WEEKDAY(A1617)&lt;7),"Wkd",TEXT(A1617,"Ddd"))&amp;"-"&amp;TEXT(A1617,"hh"),LoadTable[],6,FALSE)*T1617</f>
        <v>18358.065722880005</v>
      </c>
      <c r="V1617">
        <f t="shared" ref="V1617:W1617" si="1715">V1593</f>
        <v>2.5</v>
      </c>
      <c r="W1617">
        <f t="shared" si="1715"/>
        <v>3.1</v>
      </c>
      <c r="X1617" s="9">
        <v>-65.001845566666105</v>
      </c>
    </row>
    <row r="1618" spans="1:24">
      <c r="A1618" s="29">
        <f t="shared" si="1702"/>
        <v>45903.29166666275</v>
      </c>
      <c r="B1618" s="30">
        <f t="shared" si="1657"/>
        <v>8000</v>
      </c>
      <c r="C1618" s="8">
        <v>25000</v>
      </c>
      <c r="D1618" s="8">
        <v>0</v>
      </c>
      <c r="E1618" s="8">
        <v>700</v>
      </c>
      <c r="F1618" s="8">
        <v>15000</v>
      </c>
      <c r="G1618" s="30">
        <f t="shared" si="1658"/>
        <v>2400</v>
      </c>
      <c r="H1618" s="8">
        <v>25000</v>
      </c>
      <c r="I1618" s="30">
        <f t="shared" si="1659"/>
        <v>8000</v>
      </c>
      <c r="J1618" s="8">
        <v>25000</v>
      </c>
      <c r="K1618" s="30">
        <f t="shared" si="1660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15.03</v>
      </c>
      <c r="O1618" s="9">
        <v>13.5</v>
      </c>
      <c r="P1618" s="9">
        <v>19.5</v>
      </c>
      <c r="Q1618" s="79">
        <f>VLOOKUP(VLOOKUP(DATEVALUE(TEXT(A1618,"m/d/yyyy")),FY24_Temp[],5,FALSE)&amp;TEXT(A1618,"-h"),Table6[],4,FALSE)</f>
        <v>1.7592856884002686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VLOOKUP(TEXT(A1618,"yy-mm")&amp;"-"&amp;IF(AND(WEEKDAY(A1618)&gt;1,WEEKDAY(A1618)&lt;7),"Wkd",TEXT(A1618,"Ddd"))&amp;"-"&amp;TEXT(A1618,"hh"),LoadTable[],5,FALSE)*0.92</f>
        <v>237.25788000000003</v>
      </c>
      <c r="U1618" s="104">
        <f>VLOOKUP(TEXT(A1618,"yy-mm")&amp;"-"&amp;IF(AND(WEEKDAY(A1618)&gt;1,WEEKDAY(A1618)&lt;7),"Wkd",TEXT(A1618,"Ddd"))&amp;"-"&amp;TEXT(A1618,"hh"),LoadTable[],6,FALSE)*T1618</f>
        <v>16249.08042756</v>
      </c>
      <c r="V1618">
        <f t="shared" ref="V1618:W1618" si="1716">V1594</f>
        <v>2.5</v>
      </c>
      <c r="W1618">
        <f t="shared" si="1716"/>
        <v>3.1</v>
      </c>
      <c r="X1618" s="9">
        <v>-65.079640116666098</v>
      </c>
    </row>
    <row r="1619" spans="1:24">
      <c r="A1619" s="29">
        <f t="shared" si="1702"/>
        <v>45903.333333329414</v>
      </c>
      <c r="B1619" s="30">
        <f t="shared" si="1657"/>
        <v>8000</v>
      </c>
      <c r="C1619" s="8">
        <v>25000</v>
      </c>
      <c r="D1619" s="8">
        <v>0</v>
      </c>
      <c r="E1619" s="8">
        <v>700</v>
      </c>
      <c r="F1619" s="8">
        <v>15000</v>
      </c>
      <c r="G1619" s="30">
        <f t="shared" si="1658"/>
        <v>2400</v>
      </c>
      <c r="H1619" s="8">
        <v>25000</v>
      </c>
      <c r="I1619" s="30">
        <f t="shared" si="1659"/>
        <v>8000</v>
      </c>
      <c r="J1619" s="8">
        <v>25000</v>
      </c>
      <c r="K1619" s="30">
        <f t="shared" si="1660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15.03</v>
      </c>
      <c r="O1619" s="9">
        <v>13.5</v>
      </c>
      <c r="P1619" s="9">
        <v>19.5</v>
      </c>
      <c r="Q1619" s="79">
        <f>VLOOKUP(VLOOKUP(DATEVALUE(TEXT(A1619,"m/d/yyyy")),FY24_Temp[],5,FALSE)&amp;TEXT(A1619,"-h"),Table6[],4,FALSE)</f>
        <v>1.6568571329116821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VLOOKUP(TEXT(A1619,"yy-mm")&amp;"-"&amp;IF(AND(WEEKDAY(A1619)&gt;1,WEEKDAY(A1619)&lt;7),"Wkd",TEXT(A1619,"Ddd"))&amp;"-"&amp;TEXT(A1619,"hh"),LoadTable[],5,FALSE)*0.92</f>
        <v>237.25788000000003</v>
      </c>
      <c r="U1619" s="104">
        <f>VLOOKUP(TEXT(A1619,"yy-mm")&amp;"-"&amp;IF(AND(WEEKDAY(A1619)&gt;1,WEEKDAY(A1619)&lt;7),"Wkd",TEXT(A1619,"Ddd"))&amp;"-"&amp;TEXT(A1619,"hh"),LoadTable[],6,FALSE)*T1619</f>
        <v>13068.164030400001</v>
      </c>
      <c r="V1619">
        <f t="shared" ref="V1619:W1619" si="1717">V1595</f>
        <v>3.2</v>
      </c>
      <c r="W1619">
        <f t="shared" si="1717"/>
        <v>3</v>
      </c>
      <c r="X1619" s="9">
        <v>-65.157434666666106</v>
      </c>
    </row>
    <row r="1620" spans="1:24">
      <c r="A1620" s="29">
        <f t="shared" si="1702"/>
        <v>45903.374999996078</v>
      </c>
      <c r="B1620" s="30">
        <f t="shared" si="1657"/>
        <v>8000</v>
      </c>
      <c r="C1620" s="8">
        <v>25000</v>
      </c>
      <c r="D1620" s="8">
        <v>0</v>
      </c>
      <c r="E1620" s="8">
        <v>700</v>
      </c>
      <c r="F1620" s="8">
        <v>15000</v>
      </c>
      <c r="G1620" s="30">
        <f t="shared" si="1658"/>
        <v>2400</v>
      </c>
      <c r="H1620" s="8">
        <v>25000</v>
      </c>
      <c r="I1620" s="30">
        <f t="shared" si="1659"/>
        <v>8000</v>
      </c>
      <c r="J1620" s="8">
        <v>25000</v>
      </c>
      <c r="K1620" s="30">
        <f t="shared" si="1660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15.03</v>
      </c>
      <c r="O1620" s="9">
        <v>13.5</v>
      </c>
      <c r="P1620" s="9">
        <v>19.5</v>
      </c>
      <c r="Q1620" s="79">
        <f>VLOOKUP(VLOOKUP(DATEVALUE(TEXT(A1620,"m/d/yyyy")),FY24_Temp[],5,FALSE)&amp;TEXT(A1620,"-h"),Table6[],4,FALSE)</f>
        <v>1.5618571383612496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VLOOKUP(TEXT(A1620,"yy-mm")&amp;"-"&amp;IF(AND(WEEKDAY(A1620)&gt;1,WEEKDAY(A1620)&lt;7),"Wkd",TEXT(A1620,"Ddd"))&amp;"-"&amp;TEXT(A1620,"hh"),LoadTable[],5,FALSE)*0.92</f>
        <v>237.25788000000003</v>
      </c>
      <c r="U1620" s="104">
        <f>VLOOKUP(TEXT(A1620,"yy-mm")&amp;"-"&amp;IF(AND(WEEKDAY(A1620)&gt;1,WEEKDAY(A1620)&lt;7),"Wkd",TEXT(A1620,"Ddd"))&amp;"-"&amp;TEXT(A1620,"hh"),LoadTable[],6,FALSE)*T1620</f>
        <v>11518.395558240001</v>
      </c>
      <c r="V1620">
        <f t="shared" ref="V1620:W1620" si="1718">V1596</f>
        <v>2.9</v>
      </c>
      <c r="W1620">
        <f t="shared" si="1718"/>
        <v>3</v>
      </c>
      <c r="X1620" s="9">
        <v>-65.235229216666099</v>
      </c>
    </row>
    <row r="1621" spans="1:24">
      <c r="A1621" s="29">
        <f t="shared" si="1702"/>
        <v>45903.416666662743</v>
      </c>
      <c r="B1621" s="30">
        <f t="shared" si="1657"/>
        <v>8000</v>
      </c>
      <c r="C1621" s="8">
        <v>25000</v>
      </c>
      <c r="D1621" s="8">
        <v>0</v>
      </c>
      <c r="E1621" s="8">
        <v>700</v>
      </c>
      <c r="F1621" s="8">
        <v>15000</v>
      </c>
      <c r="G1621" s="30">
        <f t="shared" si="1658"/>
        <v>2400</v>
      </c>
      <c r="H1621" s="8">
        <v>25000</v>
      </c>
      <c r="I1621" s="30">
        <f t="shared" si="1659"/>
        <v>8000</v>
      </c>
      <c r="J1621" s="8">
        <v>25000</v>
      </c>
      <c r="K1621" s="30">
        <f t="shared" si="1660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15.03</v>
      </c>
      <c r="O1621" s="9">
        <v>13.5</v>
      </c>
      <c r="P1621" s="9">
        <v>19.5</v>
      </c>
      <c r="Q1621" s="79">
        <f>VLOOKUP(VLOOKUP(DATEVALUE(TEXT(A1621,"m/d/yyyy")),FY24_Temp[],5,FALSE)&amp;TEXT(A1621,"-h"),Table6[],4,FALSE)</f>
        <v>1.4821428230830602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VLOOKUP(TEXT(A1621,"yy-mm")&amp;"-"&amp;IF(AND(WEEKDAY(A1621)&gt;1,WEEKDAY(A1621)&lt;7),"Wkd",TEXT(A1621,"Ddd"))&amp;"-"&amp;TEXT(A1621,"hh"),LoadTable[],5,FALSE)*0.92</f>
        <v>237.25788000000003</v>
      </c>
      <c r="U1621" s="104">
        <f>VLOOKUP(TEXT(A1621,"yy-mm")&amp;"-"&amp;IF(AND(WEEKDAY(A1621)&gt;1,WEEKDAY(A1621)&lt;7),"Wkd",TEXT(A1621,"Ddd"))&amp;"-"&amp;TEXT(A1621,"hh"),LoadTable[],6,FALSE)*T1621</f>
        <v>10982.667265200002</v>
      </c>
      <c r="V1621">
        <f t="shared" ref="V1621:W1621" si="1719">V1597</f>
        <v>2.9</v>
      </c>
      <c r="W1621">
        <f t="shared" si="1719"/>
        <v>3</v>
      </c>
      <c r="X1621" s="9">
        <v>-65.313023766666106</v>
      </c>
    </row>
    <row r="1622" spans="1:24">
      <c r="A1622" s="29">
        <f t="shared" si="1702"/>
        <v>45903.458333329407</v>
      </c>
      <c r="B1622" s="30">
        <f t="shared" si="1657"/>
        <v>8000</v>
      </c>
      <c r="C1622" s="8">
        <v>25000</v>
      </c>
      <c r="D1622" s="8">
        <v>0</v>
      </c>
      <c r="E1622" s="8">
        <v>700</v>
      </c>
      <c r="F1622" s="8">
        <v>15000</v>
      </c>
      <c r="G1622" s="30">
        <f t="shared" si="1658"/>
        <v>2400</v>
      </c>
      <c r="H1622" s="8">
        <v>25000</v>
      </c>
      <c r="I1622" s="30">
        <f t="shared" si="1659"/>
        <v>8000</v>
      </c>
      <c r="J1622" s="8">
        <v>25000</v>
      </c>
      <c r="K1622" s="30">
        <f t="shared" si="1660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15.03</v>
      </c>
      <c r="O1622" s="9">
        <v>13.5</v>
      </c>
      <c r="P1622" s="9">
        <v>19.5</v>
      </c>
      <c r="Q1622" s="79">
        <f>VLOOKUP(VLOOKUP(DATEVALUE(TEXT(A1622,"m/d/yyyy")),FY24_Temp[],5,FALSE)&amp;TEXT(A1622,"-h"),Table6[],4,FALSE)</f>
        <v>1.3825714247567313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VLOOKUP(TEXT(A1622,"yy-mm")&amp;"-"&amp;IF(AND(WEEKDAY(A1622)&gt;1,WEEKDAY(A1622)&lt;7),"Wkd",TEXT(A1622,"Ddd"))&amp;"-"&amp;TEXT(A1622,"hh"),LoadTable[],5,FALSE)*0.92</f>
        <v>237.25788000000003</v>
      </c>
      <c r="U1622" s="104">
        <f>VLOOKUP(TEXT(A1622,"yy-mm")&amp;"-"&amp;IF(AND(WEEKDAY(A1622)&gt;1,WEEKDAY(A1622)&lt;7),"Wkd",TEXT(A1622,"Ddd"))&amp;"-"&amp;TEXT(A1622,"hh"),LoadTable[],6,FALSE)*T1622</f>
        <v>10974.125981520001</v>
      </c>
      <c r="V1622">
        <f t="shared" ref="V1622:W1622" si="1720">V1598</f>
        <v>3.4</v>
      </c>
      <c r="W1622">
        <f t="shared" si="1720"/>
        <v>3</v>
      </c>
      <c r="X1622" s="9">
        <v>-65.390818316666099</v>
      </c>
    </row>
    <row r="1623" spans="1:24">
      <c r="A1623" s="29">
        <f t="shared" si="1702"/>
        <v>45903.499999996071</v>
      </c>
      <c r="B1623" s="30">
        <f t="shared" si="1657"/>
        <v>8000</v>
      </c>
      <c r="C1623" s="8">
        <v>25000</v>
      </c>
      <c r="D1623" s="8">
        <v>0</v>
      </c>
      <c r="E1623" s="8">
        <v>700</v>
      </c>
      <c r="F1623" s="8">
        <v>15000</v>
      </c>
      <c r="G1623" s="30">
        <f t="shared" si="1658"/>
        <v>2400</v>
      </c>
      <c r="H1623" s="8">
        <v>25000</v>
      </c>
      <c r="I1623" s="30">
        <f t="shared" si="1659"/>
        <v>8000</v>
      </c>
      <c r="J1623" s="8">
        <v>25000</v>
      </c>
      <c r="K1623" s="30">
        <f t="shared" si="1660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15.03</v>
      </c>
      <c r="O1623" s="9">
        <v>13.5</v>
      </c>
      <c r="P1623" s="9">
        <v>19.5</v>
      </c>
      <c r="Q1623" s="79">
        <f>VLOOKUP(VLOOKUP(DATEVALUE(TEXT(A1623,"m/d/yyyy")),FY24_Temp[],5,FALSE)&amp;TEXT(A1623,"-h"),Table6[],4,FALSE)</f>
        <v>1.2544285740171159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VLOOKUP(TEXT(A1623,"yy-mm")&amp;"-"&amp;IF(AND(WEEKDAY(A1623)&gt;1,WEEKDAY(A1623)&lt;7),"Wkd",TEXT(A1623,"Ddd"))&amp;"-"&amp;TEXT(A1623,"hh"),LoadTable[],5,FALSE)*0.92</f>
        <v>237.25788000000003</v>
      </c>
      <c r="U1623" s="104">
        <f>VLOOKUP(TEXT(A1623,"yy-mm")&amp;"-"&amp;IF(AND(WEEKDAY(A1623)&gt;1,WEEKDAY(A1623)&lt;7),"Wkd",TEXT(A1623,"Ddd"))&amp;"-"&amp;TEXT(A1623,"hh"),LoadTable[],6,FALSE)*T1623</f>
        <v>10962.974861160001</v>
      </c>
      <c r="V1623">
        <f t="shared" ref="V1623:W1623" si="1721">V1599</f>
        <v>3.1</v>
      </c>
      <c r="W1623">
        <f t="shared" si="1721"/>
        <v>2.9</v>
      </c>
      <c r="X1623" s="9">
        <v>-65.468612866666106</v>
      </c>
    </row>
    <row r="1624" spans="1:24">
      <c r="A1624" s="29">
        <f t="shared" si="1702"/>
        <v>45903.541666662735</v>
      </c>
      <c r="B1624" s="30">
        <f t="shared" si="1657"/>
        <v>8000</v>
      </c>
      <c r="C1624" s="8">
        <v>25000</v>
      </c>
      <c r="D1624" s="8">
        <v>0</v>
      </c>
      <c r="E1624" s="8">
        <v>700</v>
      </c>
      <c r="F1624" s="8">
        <v>15000</v>
      </c>
      <c r="G1624" s="30">
        <f t="shared" si="1658"/>
        <v>2400</v>
      </c>
      <c r="H1624" s="8">
        <v>25000</v>
      </c>
      <c r="I1624" s="30">
        <f t="shared" si="1659"/>
        <v>8000</v>
      </c>
      <c r="J1624" s="8">
        <v>25000</v>
      </c>
      <c r="K1624" s="30">
        <f t="shared" si="1660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15.03</v>
      </c>
      <c r="O1624" s="9">
        <v>13.5</v>
      </c>
      <c r="P1624" s="9">
        <v>19.5</v>
      </c>
      <c r="Q1624" s="79">
        <f>VLOOKUP(VLOOKUP(DATEVALUE(TEXT(A1624,"m/d/yyyy")),FY24_Temp[],5,FALSE)&amp;TEXT(A1624,"-h"),Table6[],4,FALSE)</f>
        <v>1.0944285563060216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VLOOKUP(TEXT(A1624,"yy-mm")&amp;"-"&amp;IF(AND(WEEKDAY(A1624)&gt;1,WEEKDAY(A1624)&lt;7),"Wkd",TEXT(A1624,"Ddd"))&amp;"-"&amp;TEXT(A1624,"hh"),LoadTable[],5,FALSE)*0.92</f>
        <v>237.25788000000003</v>
      </c>
      <c r="U1624" s="104">
        <f>VLOOKUP(TEXT(A1624,"yy-mm")&amp;"-"&amp;IF(AND(WEEKDAY(A1624)&gt;1,WEEKDAY(A1624)&lt;7),"Wkd",TEXT(A1624,"Ddd"))&amp;"-"&amp;TEXT(A1624,"hh"),LoadTable[],6,FALSE)*T1624</f>
        <v>10978.39662336</v>
      </c>
      <c r="V1624">
        <f t="shared" ref="V1624:W1624" si="1722">V1600</f>
        <v>3.2</v>
      </c>
      <c r="W1624">
        <f t="shared" si="1722"/>
        <v>2.9</v>
      </c>
      <c r="X1624" s="9">
        <v>-65.546407416666099</v>
      </c>
    </row>
    <row r="1625" spans="1:24">
      <c r="A1625" s="29">
        <f t="shared" si="1702"/>
        <v>45903.583333329399</v>
      </c>
      <c r="B1625" s="30">
        <f t="shared" si="1657"/>
        <v>8000</v>
      </c>
      <c r="C1625" s="8">
        <v>25000</v>
      </c>
      <c r="D1625" s="8">
        <v>0</v>
      </c>
      <c r="E1625" s="8">
        <v>700</v>
      </c>
      <c r="F1625" s="8">
        <v>15000</v>
      </c>
      <c r="G1625" s="30">
        <f t="shared" si="1658"/>
        <v>2400</v>
      </c>
      <c r="H1625" s="8">
        <v>25000</v>
      </c>
      <c r="I1625" s="30">
        <f t="shared" si="1659"/>
        <v>8000</v>
      </c>
      <c r="J1625" s="8">
        <v>25000</v>
      </c>
      <c r="K1625" s="30">
        <f t="shared" si="1660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15.03</v>
      </c>
      <c r="O1625" s="9">
        <v>13.5</v>
      </c>
      <c r="P1625" s="9">
        <v>19.5</v>
      </c>
      <c r="Q1625" s="79">
        <f>VLOOKUP(VLOOKUP(DATEVALUE(TEXT(A1625,"m/d/yyyy")),FY24_Temp[],5,FALSE)&amp;TEXT(A1625,"-h"),Table6[],4,FALSE)</f>
        <v>0.91900000401905602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VLOOKUP(TEXT(A1625,"yy-mm")&amp;"-"&amp;IF(AND(WEEKDAY(A1625)&gt;1,WEEKDAY(A1625)&lt;7),"Wkd",TEXT(A1625,"Ddd"))&amp;"-"&amp;TEXT(A1625,"hh"),LoadTable[],5,FALSE)*0.92</f>
        <v>269.75136000000003</v>
      </c>
      <c r="U1625" s="104">
        <f>VLOOKUP(TEXT(A1625,"yy-mm")&amp;"-"&amp;IF(AND(WEEKDAY(A1625)&gt;1,WEEKDAY(A1625)&lt;7),"Wkd",TEXT(A1625,"Ddd"))&amp;"-"&amp;TEXT(A1625,"hh"),LoadTable[],6,FALSE)*T1625</f>
        <v>12503.245287360001</v>
      </c>
      <c r="V1625">
        <f t="shared" ref="V1625:W1625" si="1723">V1601</f>
        <v>3.5</v>
      </c>
      <c r="W1625">
        <f t="shared" si="1723"/>
        <v>2.9</v>
      </c>
      <c r="X1625" s="9">
        <v>-65.624201966666107</v>
      </c>
    </row>
    <row r="1626" spans="1:24">
      <c r="A1626" s="29">
        <f t="shared" si="1702"/>
        <v>45903.624999996064</v>
      </c>
      <c r="B1626" s="30">
        <f t="shared" si="1657"/>
        <v>8000</v>
      </c>
      <c r="C1626" s="8">
        <v>25000</v>
      </c>
      <c r="D1626" s="8">
        <v>0</v>
      </c>
      <c r="E1626" s="8">
        <v>700</v>
      </c>
      <c r="F1626" s="8">
        <v>15000</v>
      </c>
      <c r="G1626" s="30">
        <f t="shared" si="1658"/>
        <v>2400</v>
      </c>
      <c r="H1626" s="8">
        <v>25000</v>
      </c>
      <c r="I1626" s="30">
        <f t="shared" si="1659"/>
        <v>8000</v>
      </c>
      <c r="J1626" s="8">
        <v>25000</v>
      </c>
      <c r="K1626" s="30">
        <f t="shared" si="1660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15.03</v>
      </c>
      <c r="O1626" s="9">
        <v>13.5</v>
      </c>
      <c r="P1626" s="9">
        <v>19.5</v>
      </c>
      <c r="Q1626" s="79">
        <f>VLOOKUP(VLOOKUP(DATEVALUE(TEXT(A1626,"m/d/yyyy")),FY24_Temp[],5,FALSE)&amp;TEXT(A1626,"-h"),Table6[],4,FALSE)</f>
        <v>0.76014286279678345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VLOOKUP(TEXT(A1626,"yy-mm")&amp;"-"&amp;IF(AND(WEEKDAY(A1626)&gt;1,WEEKDAY(A1626)&lt;7),"Wkd",TEXT(A1626,"Ddd"))&amp;"-"&amp;TEXT(A1626,"hh"),LoadTable[],5,FALSE)*0.92</f>
        <v>388.38076000000001</v>
      </c>
      <c r="U1626" s="104">
        <f>VLOOKUP(TEXT(A1626,"yy-mm")&amp;"-"&amp;IF(AND(WEEKDAY(A1626)&gt;1,WEEKDAY(A1626)&lt;7),"Wkd",TEXT(A1626,"Ddd"))&amp;"-"&amp;TEXT(A1626,"hh"),LoadTable[],6,FALSE)*T1626</f>
        <v>19705.663000880002</v>
      </c>
      <c r="V1626">
        <f t="shared" ref="V1626:W1626" si="1724">V1602</f>
        <v>3.2</v>
      </c>
      <c r="W1626">
        <f t="shared" si="1724"/>
        <v>2.9</v>
      </c>
      <c r="X1626" s="9">
        <v>-65.7019965166661</v>
      </c>
    </row>
    <row r="1627" spans="1:24">
      <c r="A1627" s="29">
        <f t="shared" si="1702"/>
        <v>45903.666666662728</v>
      </c>
      <c r="B1627" s="30">
        <f t="shared" si="1657"/>
        <v>8000</v>
      </c>
      <c r="C1627" s="8">
        <v>25000</v>
      </c>
      <c r="D1627" s="8">
        <v>0</v>
      </c>
      <c r="E1627" s="8">
        <v>700</v>
      </c>
      <c r="F1627" s="8">
        <v>15000</v>
      </c>
      <c r="G1627" s="30">
        <f t="shared" si="1658"/>
        <v>2400</v>
      </c>
      <c r="H1627" s="8">
        <v>25000</v>
      </c>
      <c r="I1627" s="30">
        <f t="shared" si="1659"/>
        <v>8000</v>
      </c>
      <c r="J1627" s="8">
        <v>25000</v>
      </c>
      <c r="K1627" s="30">
        <f t="shared" si="1660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15.03</v>
      </c>
      <c r="O1627" s="9">
        <v>13.5</v>
      </c>
      <c r="P1627" s="9">
        <v>19.5</v>
      </c>
      <c r="Q1627" s="79">
        <f>VLOOKUP(VLOOKUP(DATEVALUE(TEXT(A1627,"m/d/yyyy")),FY24_Temp[],5,FALSE)&amp;TEXT(A1627,"-h"),Table6[],4,FALSE)</f>
        <v>0.67185714415141518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VLOOKUP(TEXT(A1627,"yy-mm")&amp;"-"&amp;IF(AND(WEEKDAY(A1627)&gt;1,WEEKDAY(A1627)&lt;7),"Wkd",TEXT(A1627,"Ddd"))&amp;"-"&amp;TEXT(A1627,"hh"),LoadTable[],5,FALSE)*0.92</f>
        <v>388.38076000000001</v>
      </c>
      <c r="U1627" s="104">
        <f>VLOOKUP(TEXT(A1627,"yy-mm")&amp;"-"&amp;IF(AND(WEEKDAY(A1627)&gt;1,WEEKDAY(A1627)&lt;7),"Wkd",TEXT(A1627,"Ddd"))&amp;"-"&amp;TEXT(A1627,"hh"),LoadTable[],6,FALSE)*T1627</f>
        <v>23675.6911296</v>
      </c>
      <c r="V1627">
        <f t="shared" ref="V1627:W1627" si="1725">V1603</f>
        <v>3.5</v>
      </c>
      <c r="W1627">
        <f t="shared" si="1725"/>
        <v>3</v>
      </c>
      <c r="X1627" s="9">
        <v>-65.779791066666107</v>
      </c>
    </row>
    <row r="1628" spans="1:24">
      <c r="A1628" s="29">
        <f t="shared" si="1702"/>
        <v>45903.708333329392</v>
      </c>
      <c r="B1628" s="30">
        <f t="shared" ref="B1628:B1691" si="1726">B1604</f>
        <v>8000</v>
      </c>
      <c r="C1628" s="8">
        <v>25000</v>
      </c>
      <c r="D1628" s="8">
        <v>0</v>
      </c>
      <c r="E1628" s="8">
        <v>700</v>
      </c>
      <c r="F1628" s="8">
        <v>15000</v>
      </c>
      <c r="G1628" s="30">
        <f t="shared" ref="G1628:G1691" si="1727">G1604</f>
        <v>2400</v>
      </c>
      <c r="H1628" s="8">
        <v>25000</v>
      </c>
      <c r="I1628" s="30">
        <f t="shared" ref="I1628:I1691" si="1728">I1604</f>
        <v>8000</v>
      </c>
      <c r="J1628" s="8">
        <v>25000</v>
      </c>
      <c r="K1628" s="30">
        <f t="shared" ref="K1628:K1691" si="1729">K1604</f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15.03</v>
      </c>
      <c r="O1628" s="9">
        <v>13.5</v>
      </c>
      <c r="P1628" s="9">
        <v>19.5</v>
      </c>
      <c r="Q1628" s="79">
        <f>VLOOKUP(VLOOKUP(DATEVALUE(TEXT(A1628,"m/d/yyyy")),FY24_Temp[],5,FALSE)&amp;TEXT(A1628,"-h"),Table6[],4,FALSE)</f>
        <v>0.80171428407941547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VLOOKUP(TEXT(A1628,"yy-mm")&amp;"-"&amp;IF(AND(WEEKDAY(A1628)&gt;1,WEEKDAY(A1628)&lt;7),"Wkd",TEXT(A1628,"Ddd"))&amp;"-"&amp;TEXT(A1628,"hh"),LoadTable[],5,FALSE)*0.92</f>
        <v>388.38076000000001</v>
      </c>
      <c r="U1628" s="104">
        <f>VLOOKUP(TEXT(A1628,"yy-mm")&amp;"-"&amp;IF(AND(WEEKDAY(A1628)&gt;1,WEEKDAY(A1628)&lt;7),"Wkd",TEXT(A1628,"Ddd"))&amp;"-"&amp;TEXT(A1628,"hh"),LoadTable[],6,FALSE)*T1628</f>
        <v>31454.180990880002</v>
      </c>
      <c r="V1628">
        <f t="shared" ref="V1628:W1628" si="1730">V1604</f>
        <v>3.6</v>
      </c>
      <c r="W1628">
        <f t="shared" si="1730"/>
        <v>3</v>
      </c>
      <c r="X1628" s="9">
        <v>-65.8575856166661</v>
      </c>
    </row>
    <row r="1629" spans="1:24">
      <c r="A1629" s="29">
        <f t="shared" si="1702"/>
        <v>45903.749999996056</v>
      </c>
      <c r="B1629" s="30">
        <f t="shared" si="1726"/>
        <v>5000</v>
      </c>
      <c r="C1629" s="8">
        <v>25000</v>
      </c>
      <c r="D1629" s="8">
        <v>0</v>
      </c>
      <c r="E1629" s="8">
        <v>700</v>
      </c>
      <c r="F1629" s="8">
        <v>15000</v>
      </c>
      <c r="G1629" s="30">
        <f t="shared" si="1727"/>
        <v>2400</v>
      </c>
      <c r="H1629" s="8">
        <v>25000</v>
      </c>
      <c r="I1629" s="30">
        <f t="shared" si="1728"/>
        <v>5000</v>
      </c>
      <c r="J1629" s="8">
        <v>25000</v>
      </c>
      <c r="K1629" s="30">
        <f t="shared" si="1729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15.03</v>
      </c>
      <c r="O1629" s="9">
        <v>13.5</v>
      </c>
      <c r="P1629" s="9">
        <v>19.5</v>
      </c>
      <c r="Q1629" s="79">
        <f>VLOOKUP(VLOOKUP(DATEVALUE(TEXT(A1629,"m/d/yyyy")),FY24_Temp[],5,FALSE)&amp;TEXT(A1629,"-h"),Table6[],4,FALSE)</f>
        <v>1.1738571269171578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VLOOKUP(TEXT(A1629,"yy-mm")&amp;"-"&amp;IF(AND(WEEKDAY(A1629)&gt;1,WEEKDAY(A1629)&lt;7),"Wkd",TEXT(A1629,"Ddd"))&amp;"-"&amp;TEXT(A1629,"hh"),LoadTable[],5,FALSE)*0.92</f>
        <v>388.38076000000001</v>
      </c>
      <c r="U1629" s="104">
        <f>VLOOKUP(TEXT(A1629,"yy-mm")&amp;"-"&amp;IF(AND(WEEKDAY(A1629)&gt;1,WEEKDAY(A1629)&lt;7),"Wkd",TEXT(A1629,"Ddd"))&amp;"-"&amp;TEXT(A1629,"hh"),LoadTable[],6,FALSE)*T1629</f>
        <v>38316.869020080005</v>
      </c>
      <c r="V1629">
        <f t="shared" ref="V1629:W1629" si="1731">V1605</f>
        <v>2.9</v>
      </c>
      <c r="W1629">
        <f t="shared" si="1731"/>
        <v>3</v>
      </c>
      <c r="X1629" s="9">
        <v>-65.935380166666107</v>
      </c>
    </row>
    <row r="1630" spans="1:24">
      <c r="A1630" s="29">
        <f t="shared" si="1702"/>
        <v>45903.791666662721</v>
      </c>
      <c r="B1630" s="30">
        <f t="shared" si="1726"/>
        <v>5000</v>
      </c>
      <c r="C1630" s="8">
        <v>25000</v>
      </c>
      <c r="D1630" s="8">
        <v>0</v>
      </c>
      <c r="E1630" s="8">
        <v>700</v>
      </c>
      <c r="F1630" s="8">
        <v>15000</v>
      </c>
      <c r="G1630" s="30">
        <f t="shared" si="1727"/>
        <v>2400</v>
      </c>
      <c r="H1630" s="8">
        <v>25000</v>
      </c>
      <c r="I1630" s="30">
        <f t="shared" si="1728"/>
        <v>5000</v>
      </c>
      <c r="J1630" s="8">
        <v>25000</v>
      </c>
      <c r="K1630" s="30">
        <f t="shared" si="1729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15.03</v>
      </c>
      <c r="O1630" s="9">
        <v>13.5</v>
      </c>
      <c r="P1630" s="9">
        <v>19.5</v>
      </c>
      <c r="Q1630" s="79">
        <f>VLOOKUP(VLOOKUP(DATEVALUE(TEXT(A1630,"m/d/yyyy")),FY24_Temp[],5,FALSE)&amp;TEXT(A1630,"-h"),Table6[],4,FALSE)</f>
        <v>1.9135714258466447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VLOOKUP(TEXT(A1630,"yy-mm")&amp;"-"&amp;IF(AND(WEEKDAY(A1630)&gt;1,WEEKDAY(A1630)&lt;7),"Wkd",TEXT(A1630,"Ddd"))&amp;"-"&amp;TEXT(A1630,"hh"),LoadTable[],5,FALSE)*0.92</f>
        <v>388.38076000000001</v>
      </c>
      <c r="U1630" s="104">
        <f>VLOOKUP(TEXT(A1630,"yy-mm")&amp;"-"&amp;IF(AND(WEEKDAY(A1630)&gt;1,WEEKDAY(A1630)&lt;7),"Wkd",TEXT(A1630,"Ddd"))&amp;"-"&amp;TEXT(A1630,"hh"),LoadTable[],6,FALSE)*T1630</f>
        <v>41132.241149319998</v>
      </c>
      <c r="V1630">
        <f t="shared" ref="V1630:W1630" si="1732">V1606</f>
        <v>3</v>
      </c>
      <c r="W1630">
        <f t="shared" si="1732"/>
        <v>3</v>
      </c>
      <c r="X1630" s="9">
        <v>-66.0131747166661</v>
      </c>
    </row>
    <row r="1631" spans="1:24">
      <c r="A1631" s="29">
        <f t="shared" si="1702"/>
        <v>45903.833333329385</v>
      </c>
      <c r="B1631" s="30">
        <f t="shared" si="1726"/>
        <v>5000</v>
      </c>
      <c r="C1631" s="8">
        <v>25000</v>
      </c>
      <c r="D1631" s="8">
        <v>0</v>
      </c>
      <c r="E1631" s="8">
        <v>700</v>
      </c>
      <c r="F1631" s="8">
        <v>15000</v>
      </c>
      <c r="G1631" s="30">
        <f t="shared" si="1727"/>
        <v>2400</v>
      </c>
      <c r="H1631" s="8">
        <v>25000</v>
      </c>
      <c r="I1631" s="30">
        <f t="shared" si="1728"/>
        <v>5000</v>
      </c>
      <c r="J1631" s="8">
        <v>25000</v>
      </c>
      <c r="K1631" s="30">
        <f t="shared" si="1729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15.03</v>
      </c>
      <c r="O1631" s="9">
        <v>13.5</v>
      </c>
      <c r="P1631" s="9">
        <v>19.5</v>
      </c>
      <c r="Q1631" s="79">
        <f>VLOOKUP(VLOOKUP(DATEVALUE(TEXT(A1631,"m/d/yyyy")),FY24_Temp[],5,FALSE)&amp;TEXT(A1631,"-h"),Table6[],4,FALSE)</f>
        <v>2.6564285755157471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VLOOKUP(TEXT(A1631,"yy-mm")&amp;"-"&amp;IF(AND(WEEKDAY(A1631)&gt;1,WEEKDAY(A1631)&lt;7),"Wkd",TEXT(A1631,"Ddd"))&amp;"-"&amp;TEXT(A1631,"hh"),LoadTable[],5,FALSE)*0.92</f>
        <v>388.38076000000001</v>
      </c>
      <c r="U1631" s="104">
        <f>VLOOKUP(TEXT(A1631,"yy-mm")&amp;"-"&amp;IF(AND(WEEKDAY(A1631)&gt;1,WEEKDAY(A1631)&lt;7),"Wkd",TEXT(A1631,"Ddd"))&amp;"-"&amp;TEXT(A1631,"hh"),LoadTable[],6,FALSE)*T1631</f>
        <v>36274.762984000001</v>
      </c>
      <c r="V1631">
        <f t="shared" ref="V1631:W1631" si="1733">V1607</f>
        <v>2.8</v>
      </c>
      <c r="W1631">
        <f t="shared" si="1733"/>
        <v>3.1</v>
      </c>
      <c r="X1631" s="9">
        <v>-66.090969266666093</v>
      </c>
    </row>
    <row r="1632" spans="1:24">
      <c r="A1632" s="29">
        <f t="shared" si="1702"/>
        <v>45903.874999996049</v>
      </c>
      <c r="B1632" s="30">
        <f t="shared" si="1726"/>
        <v>5000</v>
      </c>
      <c r="C1632" s="8">
        <v>25000</v>
      </c>
      <c r="D1632" s="8">
        <v>0</v>
      </c>
      <c r="E1632" s="8">
        <v>700</v>
      </c>
      <c r="F1632" s="8">
        <v>15000</v>
      </c>
      <c r="G1632" s="30">
        <f t="shared" si="1727"/>
        <v>2400</v>
      </c>
      <c r="H1632" s="8">
        <v>25000</v>
      </c>
      <c r="I1632" s="30">
        <f t="shared" si="1728"/>
        <v>5000</v>
      </c>
      <c r="J1632" s="8">
        <v>25000</v>
      </c>
      <c r="K1632" s="30">
        <f t="shared" si="1729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15.03</v>
      </c>
      <c r="O1632" s="9">
        <v>13.5</v>
      </c>
      <c r="P1632" s="9">
        <v>19.5</v>
      </c>
      <c r="Q1632" s="79">
        <f>VLOOKUP(VLOOKUP(DATEVALUE(TEXT(A1632,"m/d/yyyy")),FY24_Temp[],5,FALSE)&amp;TEXT(A1632,"-h"),Table6[],4,FALSE)</f>
        <v>2.854142870221819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VLOOKUP(TEXT(A1632,"yy-mm")&amp;"-"&amp;IF(AND(WEEKDAY(A1632)&gt;1,WEEKDAY(A1632)&lt;7),"Wkd",TEXT(A1632,"Ddd"))&amp;"-"&amp;TEXT(A1632,"hh"),LoadTable[],5,FALSE)*0.92</f>
        <v>373.79416000000003</v>
      </c>
      <c r="U1632" s="104">
        <f>VLOOKUP(TEXT(A1632,"yy-mm")&amp;"-"&amp;IF(AND(WEEKDAY(A1632)&gt;1,WEEKDAY(A1632)&lt;7),"Wkd",TEXT(A1632,"Ddd"))&amp;"-"&amp;TEXT(A1632,"hh"),LoadTable[],6,FALSE)*T1632</f>
        <v>31749.328362080003</v>
      </c>
      <c r="V1632">
        <f t="shared" ref="V1632:W1632" si="1734">V1608</f>
        <v>3.5</v>
      </c>
      <c r="W1632">
        <f t="shared" si="1734"/>
        <v>3.1</v>
      </c>
      <c r="X1632" s="9">
        <v>-66.1687638166661</v>
      </c>
    </row>
    <row r="1633" spans="1:24">
      <c r="A1633" s="29">
        <f t="shared" si="1702"/>
        <v>45903.916666662713</v>
      </c>
      <c r="B1633" s="30">
        <f t="shared" si="1726"/>
        <v>5000</v>
      </c>
      <c r="C1633" s="8">
        <v>25000</v>
      </c>
      <c r="D1633" s="8">
        <v>0</v>
      </c>
      <c r="E1633" s="8">
        <v>700</v>
      </c>
      <c r="F1633" s="8">
        <v>15000</v>
      </c>
      <c r="G1633" s="30">
        <f t="shared" si="1727"/>
        <v>2400</v>
      </c>
      <c r="H1633" s="8">
        <v>25000</v>
      </c>
      <c r="I1633" s="30">
        <f t="shared" si="1728"/>
        <v>5000</v>
      </c>
      <c r="J1633" s="8">
        <v>25000</v>
      </c>
      <c r="K1633" s="30">
        <f t="shared" si="1729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15.03</v>
      </c>
      <c r="O1633" s="9">
        <v>13.5</v>
      </c>
      <c r="P1633" s="9">
        <v>19.5</v>
      </c>
      <c r="Q1633" s="79">
        <f>VLOOKUP(VLOOKUP(DATEVALUE(TEXT(A1633,"m/d/yyyy")),FY24_Temp[],5,FALSE)&amp;TEXT(A1633,"-h"),Table6[],4,FALSE)</f>
        <v>2.8205713544573103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VLOOKUP(TEXT(A1633,"yy-mm")&amp;"-"&amp;IF(AND(WEEKDAY(A1633)&gt;1,WEEKDAY(A1633)&lt;7),"Wkd",TEXT(A1633,"Ddd"))&amp;"-"&amp;TEXT(A1633,"hh"),LoadTable[],5,FALSE)*0.92</f>
        <v>299.65044</v>
      </c>
      <c r="U1633" s="104">
        <f>VLOOKUP(TEXT(A1633,"yy-mm")&amp;"-"&amp;IF(AND(WEEKDAY(A1633)&gt;1,WEEKDAY(A1633)&lt;7),"Wkd",TEXT(A1633,"Ddd"))&amp;"-"&amp;TEXT(A1633,"hh"),LoadTable[],6,FALSE)*T1633</f>
        <v>15023.87376072</v>
      </c>
      <c r="V1633">
        <f t="shared" ref="V1633:W1633" si="1735">V1609</f>
        <v>2.9</v>
      </c>
      <c r="W1633">
        <f t="shared" si="1735"/>
        <v>3.1</v>
      </c>
      <c r="X1633" s="9">
        <v>-66.246558366666093</v>
      </c>
    </row>
    <row r="1634" spans="1:24">
      <c r="A1634" s="29">
        <f t="shared" si="1702"/>
        <v>45903.958333329378</v>
      </c>
      <c r="B1634" s="30">
        <f t="shared" si="1726"/>
        <v>5000</v>
      </c>
      <c r="C1634" s="8">
        <v>25000</v>
      </c>
      <c r="D1634" s="8">
        <v>0</v>
      </c>
      <c r="E1634" s="8">
        <v>700</v>
      </c>
      <c r="F1634" s="8">
        <v>15000</v>
      </c>
      <c r="G1634" s="30">
        <f t="shared" si="1727"/>
        <v>2400</v>
      </c>
      <c r="H1634" s="8">
        <v>25000</v>
      </c>
      <c r="I1634" s="30">
        <f t="shared" si="1728"/>
        <v>5000</v>
      </c>
      <c r="J1634" s="8">
        <v>25000</v>
      </c>
      <c r="K1634" s="30">
        <f t="shared" si="1729"/>
        <v>5000</v>
      </c>
      <c r="L1634" s="8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15.03</v>
      </c>
      <c r="O1634" s="9">
        <v>13.5</v>
      </c>
      <c r="P1634" s="9">
        <v>19.5</v>
      </c>
      <c r="Q1634" s="79">
        <f>VLOOKUP(VLOOKUP(DATEVALUE(TEXT(A1634,"m/d/yyyy")),FY24_Temp[],5,FALSE)&amp;TEXT(A1634,"-h"),Table6[],4,FALSE)</f>
        <v>2.7085714680807933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VLOOKUP(TEXT(A1634,"yy-mm")&amp;"-"&amp;IF(AND(WEEKDAY(A1634)&gt;1,WEEKDAY(A1634)&lt;7),"Wkd",TEXT(A1634,"Ddd"))&amp;"-"&amp;TEXT(A1634,"hh"),LoadTable[],5,FALSE)*0.92</f>
        <v>237.25788000000003</v>
      </c>
      <c r="U1634" s="104">
        <f>VLOOKUP(TEXT(A1634,"yy-mm")&amp;"-"&amp;IF(AND(WEEKDAY(A1634)&gt;1,WEEKDAY(A1634)&lt;7),"Wkd",TEXT(A1634,"Ddd"))&amp;"-"&amp;TEXT(A1634,"hh"),LoadTable[],6,FALSE)*T1634</f>
        <v>11687.323168800001</v>
      </c>
      <c r="V1634">
        <f t="shared" ref="V1634:W1634" si="1736">V1610</f>
        <v>3.6</v>
      </c>
      <c r="W1634">
        <f t="shared" si="1736"/>
        <v>3.1</v>
      </c>
      <c r="X1634" s="9">
        <v>-66.324352916666101</v>
      </c>
    </row>
    <row r="1635" spans="1:24">
      <c r="A1635" s="29">
        <f t="shared" si="1702"/>
        <v>45903.999999996042</v>
      </c>
      <c r="B1635" s="30">
        <f t="shared" si="1726"/>
        <v>5000</v>
      </c>
      <c r="C1635" s="8">
        <v>25000</v>
      </c>
      <c r="D1635" s="8">
        <v>0</v>
      </c>
      <c r="E1635" s="8">
        <v>700</v>
      </c>
      <c r="F1635" s="8">
        <v>15000</v>
      </c>
      <c r="G1635" s="30">
        <f t="shared" si="1727"/>
        <v>2400</v>
      </c>
      <c r="H1635" s="8">
        <v>25000</v>
      </c>
      <c r="I1635" s="30">
        <f t="shared" si="1728"/>
        <v>5000</v>
      </c>
      <c r="J1635" s="8">
        <v>25000</v>
      </c>
      <c r="K1635" s="30">
        <f t="shared" si="1729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15.03</v>
      </c>
      <c r="O1635" s="9">
        <v>13.5</v>
      </c>
      <c r="P1635" s="9">
        <v>19.5</v>
      </c>
      <c r="Q1635" s="79">
        <f>VLOOKUP(VLOOKUP(DATEVALUE(TEXT(A1635,"m/d/yyyy")),FY24_Temp[],5,FALSE)&amp;TEXT(A1635,"-h"),Table6[],4,FALSE)</f>
        <v>2.6008571216038296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VLOOKUP(TEXT(A1635,"yy-mm")&amp;"-"&amp;IF(AND(WEEKDAY(A1635)&gt;1,WEEKDAY(A1635)&lt;7),"Wkd",TEXT(A1635,"Ddd"))&amp;"-"&amp;TEXT(A1635,"hh"),LoadTable[],5,FALSE)*0.92</f>
        <v>237.25788000000003</v>
      </c>
      <c r="U1635" s="104">
        <f>VLOOKUP(TEXT(A1635,"yy-mm")&amp;"-"&amp;IF(AND(WEEKDAY(A1635)&gt;1,WEEKDAY(A1635)&lt;7),"Wkd",TEXT(A1635,"Ddd"))&amp;"-"&amp;TEXT(A1635,"hh"),LoadTable[],6,FALSE)*T1635</f>
        <v>12215.696467560001</v>
      </c>
      <c r="V1635">
        <f t="shared" ref="V1635:W1635" si="1737">V1611</f>
        <v>3</v>
      </c>
      <c r="W1635">
        <f t="shared" si="1737"/>
        <v>3.2</v>
      </c>
      <c r="X1635" s="9">
        <v>-66.402147466666094</v>
      </c>
    </row>
    <row r="1636" spans="1:24">
      <c r="A1636" s="29">
        <f t="shared" si="1702"/>
        <v>45904.041666662706</v>
      </c>
      <c r="B1636" s="30">
        <f t="shared" si="1726"/>
        <v>5000</v>
      </c>
      <c r="C1636" s="8">
        <v>25000</v>
      </c>
      <c r="D1636" s="8">
        <v>0</v>
      </c>
      <c r="E1636" s="8">
        <v>700</v>
      </c>
      <c r="F1636" s="8">
        <v>15000</v>
      </c>
      <c r="G1636" s="30">
        <f t="shared" si="1727"/>
        <v>2400</v>
      </c>
      <c r="H1636" s="8">
        <v>25000</v>
      </c>
      <c r="I1636" s="30">
        <f t="shared" si="1728"/>
        <v>5000</v>
      </c>
      <c r="J1636" s="8">
        <v>25000</v>
      </c>
      <c r="K1636" s="30">
        <f t="shared" si="1729"/>
        <v>5000</v>
      </c>
      <c r="L1636" s="8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15.03</v>
      </c>
      <c r="O1636" s="9">
        <v>13.5</v>
      </c>
      <c r="P1636" s="9">
        <v>19.5</v>
      </c>
      <c r="Q1636" s="79">
        <f>VLOOKUP(VLOOKUP(DATEVALUE(TEXT(A1636,"m/d/yyyy")),FY24_Temp[],5,FALSE)&amp;TEXT(A1636,"-h"),Table6[],4,FALSE)</f>
        <v>2.5028571741921559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VLOOKUP(TEXT(A1636,"yy-mm")&amp;"-"&amp;IF(AND(WEEKDAY(A1636)&gt;1,WEEKDAY(A1636)&lt;7),"Wkd",TEXT(A1636,"Ddd"))&amp;"-"&amp;TEXT(A1636,"hh"),LoadTable[],5,FALSE)*0.92</f>
        <v>237.25788000000003</v>
      </c>
      <c r="U1636" s="104">
        <f>VLOOKUP(TEXT(A1636,"yy-mm")&amp;"-"&amp;IF(AND(WEEKDAY(A1636)&gt;1,WEEKDAY(A1636)&lt;7),"Wkd",TEXT(A1636,"Ddd"))&amp;"-"&amp;TEXT(A1636,"hh"),LoadTable[],6,FALSE)*T1636</f>
        <v>11905.12590264</v>
      </c>
      <c r="V1636">
        <f t="shared" ref="V1636:W1636" si="1738">V1612</f>
        <v>2.6</v>
      </c>
      <c r="W1636">
        <f t="shared" si="1738"/>
        <v>3.2</v>
      </c>
      <c r="X1636" s="9">
        <v>-66.479942016666101</v>
      </c>
    </row>
    <row r="1637" spans="1:24">
      <c r="A1637" s="29">
        <f t="shared" si="1702"/>
        <v>45904.08333332937</v>
      </c>
      <c r="B1637" s="30">
        <f t="shared" si="1726"/>
        <v>5000</v>
      </c>
      <c r="C1637" s="8">
        <v>25000</v>
      </c>
      <c r="D1637" s="8">
        <v>0</v>
      </c>
      <c r="E1637" s="8">
        <v>700</v>
      </c>
      <c r="F1637" s="8">
        <v>15000</v>
      </c>
      <c r="G1637" s="30">
        <f t="shared" si="1727"/>
        <v>2400</v>
      </c>
      <c r="H1637" s="8">
        <v>25000</v>
      </c>
      <c r="I1637" s="30">
        <f t="shared" si="1728"/>
        <v>5000</v>
      </c>
      <c r="J1637" s="8">
        <v>25000</v>
      </c>
      <c r="K1637" s="30">
        <f t="shared" si="1729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15.03</v>
      </c>
      <c r="O1637" s="9">
        <v>13.5</v>
      </c>
      <c r="P1637" s="9">
        <v>19.5</v>
      </c>
      <c r="Q1637" s="79">
        <f>VLOOKUP(VLOOKUP(DATEVALUE(TEXT(A1637,"m/d/yyyy")),FY24_Temp[],5,FALSE)&amp;TEXT(A1637,"-h"),Table6[],4,FALSE)</f>
        <v>2.4148571491241455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VLOOKUP(TEXT(A1637,"yy-mm")&amp;"-"&amp;IF(AND(WEEKDAY(A1637)&gt;1,WEEKDAY(A1637)&lt;7),"Wkd",TEXT(A1637,"Ddd"))&amp;"-"&amp;TEXT(A1637,"hh"),LoadTable[],5,FALSE)*0.92</f>
        <v>237.25788000000003</v>
      </c>
      <c r="U1637" s="104">
        <f>VLOOKUP(TEXT(A1637,"yy-mm")&amp;"-"&amp;IF(AND(WEEKDAY(A1637)&gt;1,WEEKDAY(A1637)&lt;7),"Wkd",TEXT(A1637,"Ddd"))&amp;"-"&amp;TEXT(A1637,"hh"),LoadTable[],6,FALSE)*T1637</f>
        <v>11856.013521480001</v>
      </c>
      <c r="V1637">
        <f t="shared" ref="V1637:W1637" si="1739">V1613</f>
        <v>2.8</v>
      </c>
      <c r="W1637">
        <f t="shared" si="1739"/>
        <v>3.2</v>
      </c>
      <c r="X1637" s="9">
        <v>-66.557736566666094</v>
      </c>
    </row>
    <row r="1638" spans="1:24">
      <c r="A1638" s="29">
        <f t="shared" si="1702"/>
        <v>45904.124999996035</v>
      </c>
      <c r="B1638" s="30">
        <f t="shared" si="1726"/>
        <v>5000</v>
      </c>
      <c r="C1638" s="8">
        <v>25000</v>
      </c>
      <c r="D1638" s="8">
        <v>0</v>
      </c>
      <c r="E1638" s="8">
        <v>700</v>
      </c>
      <c r="F1638" s="8">
        <v>15000</v>
      </c>
      <c r="G1638" s="30">
        <f t="shared" si="1727"/>
        <v>2400</v>
      </c>
      <c r="H1638" s="8">
        <v>25000</v>
      </c>
      <c r="I1638" s="30">
        <f t="shared" si="1728"/>
        <v>5000</v>
      </c>
      <c r="J1638" s="8">
        <v>25000</v>
      </c>
      <c r="K1638" s="30">
        <f t="shared" si="1729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15.03</v>
      </c>
      <c r="O1638" s="9">
        <v>13.5</v>
      </c>
      <c r="P1638" s="9">
        <v>19.5</v>
      </c>
      <c r="Q1638" s="79">
        <f>VLOOKUP(VLOOKUP(DATEVALUE(TEXT(A1638,"m/d/yyyy")),FY24_Temp[],5,FALSE)&amp;TEXT(A1638,"-h"),Table6[],4,FALSE)</f>
        <v>2.2705714702606201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VLOOKUP(TEXT(A1638,"yy-mm")&amp;"-"&amp;IF(AND(WEEKDAY(A1638)&gt;1,WEEKDAY(A1638)&lt;7),"Wkd",TEXT(A1638,"Ddd"))&amp;"-"&amp;TEXT(A1638,"hh"),LoadTable[],5,FALSE)*0.92</f>
        <v>237.25788000000003</v>
      </c>
      <c r="U1638" s="104">
        <f>VLOOKUP(TEXT(A1638,"yy-mm")&amp;"-"&amp;IF(AND(WEEKDAY(A1638)&gt;1,WEEKDAY(A1638)&lt;7),"Wkd",TEXT(A1638,"Ddd"))&amp;"-"&amp;TEXT(A1638,"hh"),LoadTable[],6,FALSE)*T1638</f>
        <v>11893.025750760002</v>
      </c>
      <c r="V1638">
        <f t="shared" ref="V1638:W1638" si="1740">V1614</f>
        <v>2.7</v>
      </c>
      <c r="W1638">
        <f t="shared" si="1740"/>
        <v>3.2</v>
      </c>
      <c r="X1638" s="9">
        <v>-66.635531116666101</v>
      </c>
    </row>
    <row r="1639" spans="1:24">
      <c r="A1639" s="29">
        <f t="shared" si="1702"/>
        <v>45904.166666662699</v>
      </c>
      <c r="B1639" s="30">
        <f t="shared" si="1726"/>
        <v>5000</v>
      </c>
      <c r="C1639" s="8">
        <v>25000</v>
      </c>
      <c r="D1639" s="8">
        <v>0</v>
      </c>
      <c r="E1639" s="8">
        <v>700</v>
      </c>
      <c r="F1639" s="8">
        <v>15000</v>
      </c>
      <c r="G1639" s="30">
        <f t="shared" si="1727"/>
        <v>2400</v>
      </c>
      <c r="H1639" s="8">
        <v>25000</v>
      </c>
      <c r="I1639" s="30">
        <f t="shared" si="1728"/>
        <v>5000</v>
      </c>
      <c r="J1639" s="8">
        <v>25000</v>
      </c>
      <c r="K1639" s="30">
        <f t="shared" si="1729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15.03</v>
      </c>
      <c r="O1639" s="9">
        <v>13.5</v>
      </c>
      <c r="P1639" s="9">
        <v>19.5</v>
      </c>
      <c r="Q1639" s="79">
        <f>VLOOKUP(VLOOKUP(DATEVALUE(TEXT(A1639,"m/d/yyyy")),FY24_Temp[],5,FALSE)&amp;TEXT(A1639,"-h"),Table6[],4,FALSE)</f>
        <v>2.1080000059945241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VLOOKUP(TEXT(A1639,"yy-mm")&amp;"-"&amp;IF(AND(WEEKDAY(A1639)&gt;1,WEEKDAY(A1639)&lt;7),"Wkd",TEXT(A1639,"Ddd"))&amp;"-"&amp;TEXT(A1639,"hh"),LoadTable[],5,FALSE)*0.92</f>
        <v>237.25788000000003</v>
      </c>
      <c r="U1639" s="104">
        <f>VLOOKUP(TEXT(A1639,"yy-mm")&amp;"-"&amp;IF(AND(WEEKDAY(A1639)&gt;1,WEEKDAY(A1639)&lt;7),"Wkd",TEXT(A1639,"Ddd"))&amp;"-"&amp;TEXT(A1639,"hh"),LoadTable[],6,FALSE)*T1639</f>
        <v>12081.645765360001</v>
      </c>
      <c r="V1639">
        <f t="shared" ref="V1639:W1639" si="1741">V1615</f>
        <v>3</v>
      </c>
      <c r="W1639">
        <f t="shared" si="1741"/>
        <v>3.1</v>
      </c>
      <c r="X1639" s="9">
        <v>-66.713325666666094</v>
      </c>
    </row>
    <row r="1640" spans="1:24">
      <c r="A1640" s="29">
        <f t="shared" si="1702"/>
        <v>45904.208333329363</v>
      </c>
      <c r="B1640" s="30">
        <f t="shared" si="1726"/>
        <v>5000</v>
      </c>
      <c r="C1640" s="8">
        <v>25000</v>
      </c>
      <c r="D1640" s="8">
        <v>0</v>
      </c>
      <c r="E1640" s="8">
        <v>700</v>
      </c>
      <c r="F1640" s="8">
        <v>15000</v>
      </c>
      <c r="G1640" s="30">
        <f t="shared" si="1727"/>
        <v>2400</v>
      </c>
      <c r="H1640" s="8">
        <v>25000</v>
      </c>
      <c r="I1640" s="30">
        <f t="shared" si="1728"/>
        <v>5000</v>
      </c>
      <c r="J1640" s="8">
        <v>25000</v>
      </c>
      <c r="K1640" s="30">
        <f t="shared" si="1729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15.03</v>
      </c>
      <c r="O1640" s="9">
        <v>13.5</v>
      </c>
      <c r="P1640" s="9">
        <v>19.5</v>
      </c>
      <c r="Q1640" s="79">
        <f>VLOOKUP(VLOOKUP(DATEVALUE(TEXT(A1640,"m/d/yyyy")),FY24_Temp[],5,FALSE)&amp;TEXT(A1640,"-h"),Table6[],4,FALSE)</f>
        <v>1.9515714134488786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VLOOKUP(TEXT(A1640,"yy-mm")&amp;"-"&amp;IF(AND(WEEKDAY(A1640)&gt;1,WEEKDAY(A1640)&lt;7),"Wkd",TEXT(A1640,"Ddd"))&amp;"-"&amp;TEXT(A1640,"hh"),LoadTable[],5,FALSE)*0.92</f>
        <v>237.25788000000003</v>
      </c>
      <c r="U1640" s="104">
        <f>VLOOKUP(TEXT(A1640,"yy-mm")&amp;"-"&amp;IF(AND(WEEKDAY(A1640)&gt;1,WEEKDAY(A1640)&lt;7),"Wkd",TEXT(A1640,"Ddd"))&amp;"-"&amp;TEXT(A1640,"hh"),LoadTable[],6,FALSE)*T1640</f>
        <v>12065.037713760001</v>
      </c>
      <c r="V1640">
        <f t="shared" ref="V1640:W1640" si="1742">V1616</f>
        <v>2.9</v>
      </c>
      <c r="W1640">
        <f t="shared" si="1742"/>
        <v>3.1</v>
      </c>
      <c r="X1640" s="9">
        <v>-66.791120216666101</v>
      </c>
    </row>
    <row r="1641" spans="1:24">
      <c r="A1641" s="29">
        <f t="shared" si="1702"/>
        <v>45904.249999996027</v>
      </c>
      <c r="B1641" s="30">
        <f t="shared" si="1726"/>
        <v>8000</v>
      </c>
      <c r="C1641" s="8">
        <v>25000</v>
      </c>
      <c r="D1641" s="8">
        <v>0</v>
      </c>
      <c r="E1641" s="8">
        <v>700</v>
      </c>
      <c r="F1641" s="8">
        <v>15000</v>
      </c>
      <c r="G1641" s="30">
        <f t="shared" si="1727"/>
        <v>2400</v>
      </c>
      <c r="H1641" s="8">
        <v>25000</v>
      </c>
      <c r="I1641" s="30">
        <f t="shared" si="1728"/>
        <v>8000</v>
      </c>
      <c r="J1641" s="8">
        <v>25000</v>
      </c>
      <c r="K1641" s="30">
        <f t="shared" si="1729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15.03</v>
      </c>
      <c r="O1641" s="9">
        <v>13.5</v>
      </c>
      <c r="P1641" s="9">
        <v>19.5</v>
      </c>
      <c r="Q1641" s="79">
        <f>VLOOKUP(VLOOKUP(DATEVALUE(TEXT(A1641,"m/d/yyyy")),FY24_Temp[],5,FALSE)&amp;TEXT(A1641,"-h"),Table6[],4,FALSE)</f>
        <v>1.8388571568897791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VLOOKUP(TEXT(A1641,"yy-mm")&amp;"-"&amp;IF(AND(WEEKDAY(A1641)&gt;1,WEEKDAY(A1641)&lt;7),"Wkd",TEXT(A1641,"Ddd"))&amp;"-"&amp;TEXT(A1641,"hh"),LoadTable[],5,FALSE)*0.92</f>
        <v>237.25788000000003</v>
      </c>
      <c r="U1641" s="104">
        <f>VLOOKUP(TEXT(A1641,"yy-mm")&amp;"-"&amp;IF(AND(WEEKDAY(A1641)&gt;1,WEEKDAY(A1641)&lt;7),"Wkd",TEXT(A1641,"Ddd"))&amp;"-"&amp;TEXT(A1641,"hh"),LoadTable[],6,FALSE)*T1641</f>
        <v>18358.065722880005</v>
      </c>
      <c r="V1641">
        <f t="shared" ref="V1641:W1641" si="1743">V1617</f>
        <v>2.5</v>
      </c>
      <c r="W1641">
        <f t="shared" si="1743"/>
        <v>3.1</v>
      </c>
      <c r="X1641" s="9">
        <v>-66.868914766666094</v>
      </c>
    </row>
    <row r="1642" spans="1:24">
      <c r="A1642" s="29">
        <f t="shared" si="1702"/>
        <v>45904.291666662692</v>
      </c>
      <c r="B1642" s="30">
        <f t="shared" si="1726"/>
        <v>8000</v>
      </c>
      <c r="C1642" s="8">
        <v>25000</v>
      </c>
      <c r="D1642" s="8">
        <v>0</v>
      </c>
      <c r="E1642" s="8">
        <v>700</v>
      </c>
      <c r="F1642" s="8">
        <v>15000</v>
      </c>
      <c r="G1642" s="30">
        <f t="shared" si="1727"/>
        <v>2400</v>
      </c>
      <c r="H1642" s="8">
        <v>25000</v>
      </c>
      <c r="I1642" s="30">
        <f t="shared" si="1728"/>
        <v>8000</v>
      </c>
      <c r="J1642" s="8">
        <v>25000</v>
      </c>
      <c r="K1642" s="30">
        <f t="shared" si="1729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15.03</v>
      </c>
      <c r="O1642" s="9">
        <v>13.5</v>
      </c>
      <c r="P1642" s="9">
        <v>19.5</v>
      </c>
      <c r="Q1642" s="79">
        <f>VLOOKUP(VLOOKUP(DATEVALUE(TEXT(A1642,"m/d/yyyy")),FY24_Temp[],5,FALSE)&amp;TEXT(A1642,"-h"),Table6[],4,FALSE)</f>
        <v>1.7592856884002686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VLOOKUP(TEXT(A1642,"yy-mm")&amp;"-"&amp;IF(AND(WEEKDAY(A1642)&gt;1,WEEKDAY(A1642)&lt;7),"Wkd",TEXT(A1642,"Ddd"))&amp;"-"&amp;TEXT(A1642,"hh"),LoadTable[],5,FALSE)*0.92</f>
        <v>237.25788000000003</v>
      </c>
      <c r="U1642" s="104">
        <f>VLOOKUP(TEXT(A1642,"yy-mm")&amp;"-"&amp;IF(AND(WEEKDAY(A1642)&gt;1,WEEKDAY(A1642)&lt;7),"Wkd",TEXT(A1642,"Ddd"))&amp;"-"&amp;TEXT(A1642,"hh"),LoadTable[],6,FALSE)*T1642</f>
        <v>16249.08042756</v>
      </c>
      <c r="V1642">
        <f t="shared" ref="V1642:W1642" si="1744">V1618</f>
        <v>2.5</v>
      </c>
      <c r="W1642">
        <f t="shared" si="1744"/>
        <v>3.1</v>
      </c>
      <c r="X1642" s="9">
        <v>-66.946709316666102</v>
      </c>
    </row>
    <row r="1643" spans="1:24">
      <c r="A1643" s="29">
        <f t="shared" si="1702"/>
        <v>45904.333333329356</v>
      </c>
      <c r="B1643" s="30">
        <f t="shared" si="1726"/>
        <v>8000</v>
      </c>
      <c r="C1643" s="8">
        <v>25000</v>
      </c>
      <c r="D1643" s="8">
        <v>0</v>
      </c>
      <c r="E1643" s="8">
        <v>700</v>
      </c>
      <c r="F1643" s="8">
        <v>15000</v>
      </c>
      <c r="G1643" s="30">
        <f t="shared" si="1727"/>
        <v>2400</v>
      </c>
      <c r="H1643" s="8">
        <v>25000</v>
      </c>
      <c r="I1643" s="30">
        <f t="shared" si="1728"/>
        <v>8000</v>
      </c>
      <c r="J1643" s="8">
        <v>25000</v>
      </c>
      <c r="K1643" s="30">
        <f t="shared" si="1729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15.03</v>
      </c>
      <c r="O1643" s="9">
        <v>13.5</v>
      </c>
      <c r="P1643" s="9">
        <v>19.5</v>
      </c>
      <c r="Q1643" s="79">
        <f>VLOOKUP(VLOOKUP(DATEVALUE(TEXT(A1643,"m/d/yyyy")),FY24_Temp[],5,FALSE)&amp;TEXT(A1643,"-h"),Table6[],4,FALSE)</f>
        <v>1.6568571329116821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VLOOKUP(TEXT(A1643,"yy-mm")&amp;"-"&amp;IF(AND(WEEKDAY(A1643)&gt;1,WEEKDAY(A1643)&lt;7),"Wkd",TEXT(A1643,"Ddd"))&amp;"-"&amp;TEXT(A1643,"hh"),LoadTable[],5,FALSE)*0.92</f>
        <v>237.25788000000003</v>
      </c>
      <c r="U1643" s="104">
        <f>VLOOKUP(TEXT(A1643,"yy-mm")&amp;"-"&amp;IF(AND(WEEKDAY(A1643)&gt;1,WEEKDAY(A1643)&lt;7),"Wkd",TEXT(A1643,"Ddd"))&amp;"-"&amp;TEXT(A1643,"hh"),LoadTable[],6,FALSE)*T1643</f>
        <v>13068.164030400001</v>
      </c>
      <c r="V1643">
        <f t="shared" ref="V1643:W1643" si="1745">V1619</f>
        <v>3.2</v>
      </c>
      <c r="W1643">
        <f t="shared" si="1745"/>
        <v>3</v>
      </c>
      <c r="X1643" s="9">
        <v>-67.024503866666095</v>
      </c>
    </row>
    <row r="1644" spans="1:24">
      <c r="A1644" s="29">
        <f t="shared" si="1702"/>
        <v>45904.37499999602</v>
      </c>
      <c r="B1644" s="30">
        <f t="shared" si="1726"/>
        <v>8000</v>
      </c>
      <c r="C1644" s="8">
        <v>25000</v>
      </c>
      <c r="D1644" s="8">
        <v>0</v>
      </c>
      <c r="E1644" s="8">
        <v>700</v>
      </c>
      <c r="F1644" s="8">
        <v>15000</v>
      </c>
      <c r="G1644" s="30">
        <f t="shared" si="1727"/>
        <v>2400</v>
      </c>
      <c r="H1644" s="8">
        <v>25000</v>
      </c>
      <c r="I1644" s="30">
        <f t="shared" si="1728"/>
        <v>8000</v>
      </c>
      <c r="J1644" s="8">
        <v>25000</v>
      </c>
      <c r="K1644" s="30">
        <f t="shared" si="1729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15.03</v>
      </c>
      <c r="O1644" s="9">
        <v>13.5</v>
      </c>
      <c r="P1644" s="9">
        <v>19.5</v>
      </c>
      <c r="Q1644" s="79">
        <f>VLOOKUP(VLOOKUP(DATEVALUE(TEXT(A1644,"m/d/yyyy")),FY24_Temp[],5,FALSE)&amp;TEXT(A1644,"-h"),Table6[],4,FALSE)</f>
        <v>1.5618571383612496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VLOOKUP(TEXT(A1644,"yy-mm")&amp;"-"&amp;IF(AND(WEEKDAY(A1644)&gt;1,WEEKDAY(A1644)&lt;7),"Wkd",TEXT(A1644,"Ddd"))&amp;"-"&amp;TEXT(A1644,"hh"),LoadTable[],5,FALSE)*0.92</f>
        <v>237.25788000000003</v>
      </c>
      <c r="U1644" s="104">
        <f>VLOOKUP(TEXT(A1644,"yy-mm")&amp;"-"&amp;IF(AND(WEEKDAY(A1644)&gt;1,WEEKDAY(A1644)&lt;7),"Wkd",TEXT(A1644,"Ddd"))&amp;"-"&amp;TEXT(A1644,"hh"),LoadTable[],6,FALSE)*T1644</f>
        <v>11518.395558240001</v>
      </c>
      <c r="V1644">
        <f t="shared" ref="V1644:W1644" si="1746">V1620</f>
        <v>2.9</v>
      </c>
      <c r="W1644">
        <f t="shared" si="1746"/>
        <v>3</v>
      </c>
      <c r="X1644" s="9">
        <v>-67.102298416666102</v>
      </c>
    </row>
    <row r="1645" spans="1:24">
      <c r="A1645" s="29">
        <f t="shared" si="1702"/>
        <v>45904.416666662684</v>
      </c>
      <c r="B1645" s="30">
        <f t="shared" si="1726"/>
        <v>8000</v>
      </c>
      <c r="C1645" s="8">
        <v>25000</v>
      </c>
      <c r="D1645" s="8">
        <v>0</v>
      </c>
      <c r="E1645" s="8">
        <v>700</v>
      </c>
      <c r="F1645" s="8">
        <v>15000</v>
      </c>
      <c r="G1645" s="30">
        <f t="shared" si="1727"/>
        <v>2400</v>
      </c>
      <c r="H1645" s="8">
        <v>25000</v>
      </c>
      <c r="I1645" s="30">
        <f t="shared" si="1728"/>
        <v>8000</v>
      </c>
      <c r="J1645" s="8">
        <v>25000</v>
      </c>
      <c r="K1645" s="30">
        <f t="shared" si="1729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15.03</v>
      </c>
      <c r="O1645" s="9">
        <v>13.5</v>
      </c>
      <c r="P1645" s="9">
        <v>19.5</v>
      </c>
      <c r="Q1645" s="79">
        <f>VLOOKUP(VLOOKUP(DATEVALUE(TEXT(A1645,"m/d/yyyy")),FY24_Temp[],5,FALSE)&amp;TEXT(A1645,"-h"),Table6[],4,FALSE)</f>
        <v>1.4821428230830602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VLOOKUP(TEXT(A1645,"yy-mm")&amp;"-"&amp;IF(AND(WEEKDAY(A1645)&gt;1,WEEKDAY(A1645)&lt;7),"Wkd",TEXT(A1645,"Ddd"))&amp;"-"&amp;TEXT(A1645,"hh"),LoadTable[],5,FALSE)*0.92</f>
        <v>237.25788000000003</v>
      </c>
      <c r="U1645" s="104">
        <f>VLOOKUP(TEXT(A1645,"yy-mm")&amp;"-"&amp;IF(AND(WEEKDAY(A1645)&gt;1,WEEKDAY(A1645)&lt;7),"Wkd",TEXT(A1645,"Ddd"))&amp;"-"&amp;TEXT(A1645,"hh"),LoadTable[],6,FALSE)*T1645</f>
        <v>10982.667265200002</v>
      </c>
      <c r="V1645">
        <f t="shared" ref="V1645:W1645" si="1747">V1621</f>
        <v>2.9</v>
      </c>
      <c r="W1645">
        <f t="shared" si="1747"/>
        <v>3</v>
      </c>
      <c r="X1645" s="9">
        <v>-67.180092966666095</v>
      </c>
    </row>
    <row r="1646" spans="1:24">
      <c r="A1646" s="29">
        <f t="shared" si="1702"/>
        <v>45904.458333329349</v>
      </c>
      <c r="B1646" s="30">
        <f t="shared" si="1726"/>
        <v>8000</v>
      </c>
      <c r="C1646" s="8">
        <v>25000</v>
      </c>
      <c r="D1646" s="8">
        <v>0</v>
      </c>
      <c r="E1646" s="8">
        <v>700</v>
      </c>
      <c r="F1646" s="8">
        <v>15000</v>
      </c>
      <c r="G1646" s="30">
        <f t="shared" si="1727"/>
        <v>2400</v>
      </c>
      <c r="H1646" s="8">
        <v>25000</v>
      </c>
      <c r="I1646" s="30">
        <f t="shared" si="1728"/>
        <v>8000</v>
      </c>
      <c r="J1646" s="8">
        <v>25000</v>
      </c>
      <c r="K1646" s="30">
        <f t="shared" si="1729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15.03</v>
      </c>
      <c r="O1646" s="9">
        <v>13.5</v>
      </c>
      <c r="P1646" s="9">
        <v>19.5</v>
      </c>
      <c r="Q1646" s="79">
        <f>VLOOKUP(VLOOKUP(DATEVALUE(TEXT(A1646,"m/d/yyyy")),FY24_Temp[],5,FALSE)&amp;TEXT(A1646,"-h"),Table6[],4,FALSE)</f>
        <v>1.3825714247567313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VLOOKUP(TEXT(A1646,"yy-mm")&amp;"-"&amp;IF(AND(WEEKDAY(A1646)&gt;1,WEEKDAY(A1646)&lt;7),"Wkd",TEXT(A1646,"Ddd"))&amp;"-"&amp;TEXT(A1646,"hh"),LoadTable[],5,FALSE)*0.92</f>
        <v>237.25788000000003</v>
      </c>
      <c r="U1646" s="104">
        <f>VLOOKUP(TEXT(A1646,"yy-mm")&amp;"-"&amp;IF(AND(WEEKDAY(A1646)&gt;1,WEEKDAY(A1646)&lt;7),"Wkd",TEXT(A1646,"Ddd"))&amp;"-"&amp;TEXT(A1646,"hh"),LoadTable[],6,FALSE)*T1646</f>
        <v>10974.125981520001</v>
      </c>
      <c r="V1646">
        <f t="shared" ref="V1646:W1646" si="1748">V1622</f>
        <v>3.4</v>
      </c>
      <c r="W1646">
        <f t="shared" si="1748"/>
        <v>3</v>
      </c>
      <c r="X1646" s="9">
        <v>-67.257887516666102</v>
      </c>
    </row>
    <row r="1647" spans="1:24">
      <c r="A1647" s="29">
        <f t="shared" si="1702"/>
        <v>45904.499999996013</v>
      </c>
      <c r="B1647" s="30">
        <f t="shared" si="1726"/>
        <v>8000</v>
      </c>
      <c r="C1647" s="8">
        <v>25000</v>
      </c>
      <c r="D1647" s="8">
        <v>0</v>
      </c>
      <c r="E1647" s="8">
        <v>700</v>
      </c>
      <c r="F1647" s="8">
        <v>15000</v>
      </c>
      <c r="G1647" s="30">
        <f t="shared" si="1727"/>
        <v>2400</v>
      </c>
      <c r="H1647" s="8">
        <v>25000</v>
      </c>
      <c r="I1647" s="30">
        <f t="shared" si="1728"/>
        <v>8000</v>
      </c>
      <c r="J1647" s="8">
        <v>25000</v>
      </c>
      <c r="K1647" s="30">
        <f t="shared" si="1729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15.03</v>
      </c>
      <c r="O1647" s="9">
        <v>13.5</v>
      </c>
      <c r="P1647" s="9">
        <v>19.5</v>
      </c>
      <c r="Q1647" s="79">
        <f>VLOOKUP(VLOOKUP(DATEVALUE(TEXT(A1647,"m/d/yyyy")),FY24_Temp[],5,FALSE)&amp;TEXT(A1647,"-h"),Table6[],4,FALSE)</f>
        <v>1.2544285740171159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VLOOKUP(TEXT(A1647,"yy-mm")&amp;"-"&amp;IF(AND(WEEKDAY(A1647)&gt;1,WEEKDAY(A1647)&lt;7),"Wkd",TEXT(A1647,"Ddd"))&amp;"-"&amp;TEXT(A1647,"hh"),LoadTable[],5,FALSE)*0.92</f>
        <v>237.25788000000003</v>
      </c>
      <c r="U1647" s="104">
        <f>VLOOKUP(TEXT(A1647,"yy-mm")&amp;"-"&amp;IF(AND(WEEKDAY(A1647)&gt;1,WEEKDAY(A1647)&lt;7),"Wkd",TEXT(A1647,"Ddd"))&amp;"-"&amp;TEXT(A1647,"hh"),LoadTable[],6,FALSE)*T1647</f>
        <v>10962.974861160001</v>
      </c>
      <c r="V1647">
        <f t="shared" ref="V1647:W1647" si="1749">V1623</f>
        <v>3.1</v>
      </c>
      <c r="W1647">
        <f t="shared" si="1749"/>
        <v>2.9</v>
      </c>
      <c r="X1647" s="9">
        <v>-67.335682066666095</v>
      </c>
    </row>
    <row r="1648" spans="1:24">
      <c r="A1648" s="29">
        <f t="shared" si="1702"/>
        <v>45904.541666662677</v>
      </c>
      <c r="B1648" s="30">
        <f t="shared" si="1726"/>
        <v>8000</v>
      </c>
      <c r="C1648" s="8">
        <v>25000</v>
      </c>
      <c r="D1648" s="8">
        <v>0</v>
      </c>
      <c r="E1648" s="8">
        <v>700</v>
      </c>
      <c r="F1648" s="8">
        <v>15000</v>
      </c>
      <c r="G1648" s="30">
        <f t="shared" si="1727"/>
        <v>2400</v>
      </c>
      <c r="H1648" s="8">
        <v>25000</v>
      </c>
      <c r="I1648" s="30">
        <f t="shared" si="1728"/>
        <v>8000</v>
      </c>
      <c r="J1648" s="8">
        <v>25000</v>
      </c>
      <c r="K1648" s="30">
        <f t="shared" si="1729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15.03</v>
      </c>
      <c r="O1648" s="9">
        <v>13.5</v>
      </c>
      <c r="P1648" s="9">
        <v>19.5</v>
      </c>
      <c r="Q1648" s="79">
        <f>VLOOKUP(VLOOKUP(DATEVALUE(TEXT(A1648,"m/d/yyyy")),FY24_Temp[],5,FALSE)&amp;TEXT(A1648,"-h"),Table6[],4,FALSE)</f>
        <v>1.0944285563060216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VLOOKUP(TEXT(A1648,"yy-mm")&amp;"-"&amp;IF(AND(WEEKDAY(A1648)&gt;1,WEEKDAY(A1648)&lt;7),"Wkd",TEXT(A1648,"Ddd"))&amp;"-"&amp;TEXT(A1648,"hh"),LoadTable[],5,FALSE)*0.92</f>
        <v>237.25788000000003</v>
      </c>
      <c r="U1648" s="104">
        <f>VLOOKUP(TEXT(A1648,"yy-mm")&amp;"-"&amp;IF(AND(WEEKDAY(A1648)&gt;1,WEEKDAY(A1648)&lt;7),"Wkd",TEXT(A1648,"Ddd"))&amp;"-"&amp;TEXT(A1648,"hh"),LoadTable[],6,FALSE)*T1648</f>
        <v>10978.39662336</v>
      </c>
      <c r="V1648">
        <f t="shared" ref="V1648:W1648" si="1750">V1624</f>
        <v>3.2</v>
      </c>
      <c r="W1648">
        <f t="shared" si="1750"/>
        <v>2.9</v>
      </c>
      <c r="X1648" s="9">
        <v>-67.413476616666102</v>
      </c>
    </row>
    <row r="1649" spans="1:24">
      <c r="A1649" s="29">
        <f t="shared" si="1702"/>
        <v>45904.583333329341</v>
      </c>
      <c r="B1649" s="30">
        <f t="shared" si="1726"/>
        <v>8000</v>
      </c>
      <c r="C1649" s="8">
        <v>25000</v>
      </c>
      <c r="D1649" s="8">
        <v>0</v>
      </c>
      <c r="E1649" s="8">
        <v>700</v>
      </c>
      <c r="F1649" s="8">
        <v>15000</v>
      </c>
      <c r="G1649" s="30">
        <f t="shared" si="1727"/>
        <v>2400</v>
      </c>
      <c r="H1649" s="8">
        <v>25000</v>
      </c>
      <c r="I1649" s="30">
        <f t="shared" si="1728"/>
        <v>8000</v>
      </c>
      <c r="J1649" s="8">
        <v>25000</v>
      </c>
      <c r="K1649" s="30">
        <f t="shared" si="1729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15.03</v>
      </c>
      <c r="O1649" s="9">
        <v>13.5</v>
      </c>
      <c r="P1649" s="9">
        <v>19.5</v>
      </c>
      <c r="Q1649" s="79">
        <f>VLOOKUP(VLOOKUP(DATEVALUE(TEXT(A1649,"m/d/yyyy")),FY24_Temp[],5,FALSE)&amp;TEXT(A1649,"-h"),Table6[],4,FALSE)</f>
        <v>0.91900000401905602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VLOOKUP(TEXT(A1649,"yy-mm")&amp;"-"&amp;IF(AND(WEEKDAY(A1649)&gt;1,WEEKDAY(A1649)&lt;7),"Wkd",TEXT(A1649,"Ddd"))&amp;"-"&amp;TEXT(A1649,"hh"),LoadTable[],5,FALSE)*0.92</f>
        <v>269.75136000000003</v>
      </c>
      <c r="U1649" s="104">
        <f>VLOOKUP(TEXT(A1649,"yy-mm")&amp;"-"&amp;IF(AND(WEEKDAY(A1649)&gt;1,WEEKDAY(A1649)&lt;7),"Wkd",TEXT(A1649,"Ddd"))&amp;"-"&amp;TEXT(A1649,"hh"),LoadTable[],6,FALSE)*T1649</f>
        <v>12503.245287360001</v>
      </c>
      <c r="V1649">
        <f t="shared" ref="V1649:W1649" si="1751">V1625</f>
        <v>3.5</v>
      </c>
      <c r="W1649">
        <f t="shared" si="1751"/>
        <v>2.9</v>
      </c>
      <c r="X1649" s="9">
        <v>-67.491271166666095</v>
      </c>
    </row>
    <row r="1650" spans="1:24">
      <c r="A1650" s="29">
        <f t="shared" si="1702"/>
        <v>45904.624999996005</v>
      </c>
      <c r="B1650" s="30">
        <f t="shared" si="1726"/>
        <v>8000</v>
      </c>
      <c r="C1650" s="8">
        <v>25000</v>
      </c>
      <c r="D1650" s="8">
        <v>0</v>
      </c>
      <c r="E1650" s="8">
        <v>700</v>
      </c>
      <c r="F1650" s="8">
        <v>15000</v>
      </c>
      <c r="G1650" s="30">
        <f t="shared" si="1727"/>
        <v>2400</v>
      </c>
      <c r="H1650" s="8">
        <v>25000</v>
      </c>
      <c r="I1650" s="30">
        <f t="shared" si="1728"/>
        <v>8000</v>
      </c>
      <c r="J1650" s="8">
        <v>25000</v>
      </c>
      <c r="K1650" s="30">
        <f t="shared" si="1729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15.03</v>
      </c>
      <c r="O1650" s="9">
        <v>13.5</v>
      </c>
      <c r="P1650" s="9">
        <v>19.5</v>
      </c>
      <c r="Q1650" s="79">
        <f>VLOOKUP(VLOOKUP(DATEVALUE(TEXT(A1650,"m/d/yyyy")),FY24_Temp[],5,FALSE)&amp;TEXT(A1650,"-h"),Table6[],4,FALSE)</f>
        <v>0.76014286279678345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VLOOKUP(TEXT(A1650,"yy-mm")&amp;"-"&amp;IF(AND(WEEKDAY(A1650)&gt;1,WEEKDAY(A1650)&lt;7),"Wkd",TEXT(A1650,"Ddd"))&amp;"-"&amp;TEXT(A1650,"hh"),LoadTable[],5,FALSE)*0.92</f>
        <v>388.38076000000001</v>
      </c>
      <c r="U1650" s="104">
        <f>VLOOKUP(TEXT(A1650,"yy-mm")&amp;"-"&amp;IF(AND(WEEKDAY(A1650)&gt;1,WEEKDAY(A1650)&lt;7),"Wkd",TEXT(A1650,"Ddd"))&amp;"-"&amp;TEXT(A1650,"hh"),LoadTable[],6,FALSE)*T1650</f>
        <v>19705.663000880002</v>
      </c>
      <c r="V1650">
        <f t="shared" ref="V1650:W1650" si="1752">V1626</f>
        <v>3.2</v>
      </c>
      <c r="W1650">
        <f t="shared" si="1752"/>
        <v>2.9</v>
      </c>
      <c r="X1650" s="9">
        <v>-67.569065716666103</v>
      </c>
    </row>
    <row r="1651" spans="1:24">
      <c r="A1651" s="29">
        <f t="shared" si="1702"/>
        <v>45904.66666666267</v>
      </c>
      <c r="B1651" s="30">
        <f t="shared" si="1726"/>
        <v>8000</v>
      </c>
      <c r="C1651" s="8">
        <v>25000</v>
      </c>
      <c r="D1651" s="8">
        <v>0</v>
      </c>
      <c r="E1651" s="8">
        <v>700</v>
      </c>
      <c r="F1651" s="8">
        <v>15000</v>
      </c>
      <c r="G1651" s="30">
        <f t="shared" si="1727"/>
        <v>2400</v>
      </c>
      <c r="H1651" s="8">
        <v>25000</v>
      </c>
      <c r="I1651" s="30">
        <f t="shared" si="1728"/>
        <v>8000</v>
      </c>
      <c r="J1651" s="8">
        <v>25000</v>
      </c>
      <c r="K1651" s="30">
        <f t="shared" si="1729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15.03</v>
      </c>
      <c r="O1651" s="9">
        <v>13.5</v>
      </c>
      <c r="P1651" s="9">
        <v>19.5</v>
      </c>
      <c r="Q1651" s="79">
        <f>VLOOKUP(VLOOKUP(DATEVALUE(TEXT(A1651,"m/d/yyyy")),FY24_Temp[],5,FALSE)&amp;TEXT(A1651,"-h"),Table6[],4,FALSE)</f>
        <v>0.67185714415141518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VLOOKUP(TEXT(A1651,"yy-mm")&amp;"-"&amp;IF(AND(WEEKDAY(A1651)&gt;1,WEEKDAY(A1651)&lt;7),"Wkd",TEXT(A1651,"Ddd"))&amp;"-"&amp;TEXT(A1651,"hh"),LoadTable[],5,FALSE)*0.92</f>
        <v>388.38076000000001</v>
      </c>
      <c r="U1651" s="104">
        <f>VLOOKUP(TEXT(A1651,"yy-mm")&amp;"-"&amp;IF(AND(WEEKDAY(A1651)&gt;1,WEEKDAY(A1651)&lt;7),"Wkd",TEXT(A1651,"Ddd"))&amp;"-"&amp;TEXT(A1651,"hh"),LoadTable[],6,FALSE)*T1651</f>
        <v>23675.6911296</v>
      </c>
      <c r="V1651">
        <f t="shared" ref="V1651:W1651" si="1753">V1627</f>
        <v>3.5</v>
      </c>
      <c r="W1651">
        <f t="shared" si="1753"/>
        <v>3</v>
      </c>
      <c r="X1651" s="9">
        <v>-67.646860266666096</v>
      </c>
    </row>
    <row r="1652" spans="1:24">
      <c r="A1652" s="29">
        <f t="shared" si="1702"/>
        <v>45904.708333329334</v>
      </c>
      <c r="B1652" s="30">
        <f t="shared" si="1726"/>
        <v>8000</v>
      </c>
      <c r="C1652" s="8">
        <v>25000</v>
      </c>
      <c r="D1652" s="8">
        <v>0</v>
      </c>
      <c r="E1652" s="8">
        <v>700</v>
      </c>
      <c r="F1652" s="8">
        <v>15000</v>
      </c>
      <c r="G1652" s="30">
        <f t="shared" si="1727"/>
        <v>2400</v>
      </c>
      <c r="H1652" s="8">
        <v>25000</v>
      </c>
      <c r="I1652" s="30">
        <f t="shared" si="1728"/>
        <v>8000</v>
      </c>
      <c r="J1652" s="8">
        <v>25000</v>
      </c>
      <c r="K1652" s="30">
        <f t="shared" si="1729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15.03</v>
      </c>
      <c r="O1652" s="9">
        <v>13.5</v>
      </c>
      <c r="P1652" s="9">
        <v>19.5</v>
      </c>
      <c r="Q1652" s="79">
        <f>VLOOKUP(VLOOKUP(DATEVALUE(TEXT(A1652,"m/d/yyyy")),FY24_Temp[],5,FALSE)&amp;TEXT(A1652,"-h"),Table6[],4,FALSE)</f>
        <v>0.80171428407941547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VLOOKUP(TEXT(A1652,"yy-mm")&amp;"-"&amp;IF(AND(WEEKDAY(A1652)&gt;1,WEEKDAY(A1652)&lt;7),"Wkd",TEXT(A1652,"Ddd"))&amp;"-"&amp;TEXT(A1652,"hh"),LoadTable[],5,FALSE)*0.92</f>
        <v>388.38076000000001</v>
      </c>
      <c r="U1652" s="104">
        <f>VLOOKUP(TEXT(A1652,"yy-mm")&amp;"-"&amp;IF(AND(WEEKDAY(A1652)&gt;1,WEEKDAY(A1652)&lt;7),"Wkd",TEXT(A1652,"Ddd"))&amp;"-"&amp;TEXT(A1652,"hh"),LoadTable[],6,FALSE)*T1652</f>
        <v>31454.180990880002</v>
      </c>
      <c r="V1652">
        <f t="shared" ref="V1652:W1652" si="1754">V1628</f>
        <v>3.6</v>
      </c>
      <c r="W1652">
        <f t="shared" si="1754"/>
        <v>3</v>
      </c>
      <c r="X1652" s="9">
        <v>-67.724654816666103</v>
      </c>
    </row>
    <row r="1653" spans="1:24">
      <c r="A1653" s="29">
        <f t="shared" si="1702"/>
        <v>45904.749999995998</v>
      </c>
      <c r="B1653" s="30">
        <f t="shared" si="1726"/>
        <v>5000</v>
      </c>
      <c r="C1653" s="8">
        <v>25000</v>
      </c>
      <c r="D1653" s="8">
        <v>0</v>
      </c>
      <c r="E1653" s="8">
        <v>700</v>
      </c>
      <c r="F1653" s="8">
        <v>15000</v>
      </c>
      <c r="G1653" s="30">
        <f t="shared" si="1727"/>
        <v>2400</v>
      </c>
      <c r="H1653" s="8">
        <v>25000</v>
      </c>
      <c r="I1653" s="30">
        <f t="shared" si="1728"/>
        <v>5000</v>
      </c>
      <c r="J1653" s="8">
        <v>25000</v>
      </c>
      <c r="K1653" s="30">
        <f t="shared" si="1729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15.03</v>
      </c>
      <c r="O1653" s="9">
        <v>13.5</v>
      </c>
      <c r="P1653" s="9">
        <v>19.5</v>
      </c>
      <c r="Q1653" s="79">
        <f>VLOOKUP(VLOOKUP(DATEVALUE(TEXT(A1653,"m/d/yyyy")),FY24_Temp[],5,FALSE)&amp;TEXT(A1653,"-h"),Table6[],4,FALSE)</f>
        <v>1.1738571269171578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VLOOKUP(TEXT(A1653,"yy-mm")&amp;"-"&amp;IF(AND(WEEKDAY(A1653)&gt;1,WEEKDAY(A1653)&lt;7),"Wkd",TEXT(A1653,"Ddd"))&amp;"-"&amp;TEXT(A1653,"hh"),LoadTable[],5,FALSE)*0.92</f>
        <v>388.38076000000001</v>
      </c>
      <c r="U1653" s="104">
        <f>VLOOKUP(TEXT(A1653,"yy-mm")&amp;"-"&amp;IF(AND(WEEKDAY(A1653)&gt;1,WEEKDAY(A1653)&lt;7),"Wkd",TEXT(A1653,"Ddd"))&amp;"-"&amp;TEXT(A1653,"hh"),LoadTable[],6,FALSE)*T1653</f>
        <v>38316.869020080005</v>
      </c>
      <c r="V1653">
        <f t="shared" ref="V1653:W1653" si="1755">V1629</f>
        <v>2.9</v>
      </c>
      <c r="W1653">
        <f t="shared" si="1755"/>
        <v>3</v>
      </c>
      <c r="X1653" s="9">
        <v>-67.802449366666096</v>
      </c>
    </row>
    <row r="1654" spans="1:24">
      <c r="A1654" s="29">
        <f t="shared" si="1702"/>
        <v>45904.791666662662</v>
      </c>
      <c r="B1654" s="30">
        <f t="shared" si="1726"/>
        <v>5000</v>
      </c>
      <c r="C1654" s="8">
        <v>25000</v>
      </c>
      <c r="D1654" s="8">
        <v>0</v>
      </c>
      <c r="E1654" s="8">
        <v>700</v>
      </c>
      <c r="F1654" s="8">
        <v>15000</v>
      </c>
      <c r="G1654" s="30">
        <f t="shared" si="1727"/>
        <v>2400</v>
      </c>
      <c r="H1654" s="8">
        <v>25000</v>
      </c>
      <c r="I1654" s="30">
        <f t="shared" si="1728"/>
        <v>5000</v>
      </c>
      <c r="J1654" s="8">
        <v>25000</v>
      </c>
      <c r="K1654" s="30">
        <f t="shared" si="1729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15.03</v>
      </c>
      <c r="O1654" s="9">
        <v>13.5</v>
      </c>
      <c r="P1654" s="9">
        <v>19.5</v>
      </c>
      <c r="Q1654" s="79">
        <f>VLOOKUP(VLOOKUP(DATEVALUE(TEXT(A1654,"m/d/yyyy")),FY24_Temp[],5,FALSE)&amp;TEXT(A1654,"-h"),Table6[],4,FALSE)</f>
        <v>1.9135714258466447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VLOOKUP(TEXT(A1654,"yy-mm")&amp;"-"&amp;IF(AND(WEEKDAY(A1654)&gt;1,WEEKDAY(A1654)&lt;7),"Wkd",TEXT(A1654,"Ddd"))&amp;"-"&amp;TEXT(A1654,"hh"),LoadTable[],5,FALSE)*0.92</f>
        <v>388.38076000000001</v>
      </c>
      <c r="U1654" s="104">
        <f>VLOOKUP(TEXT(A1654,"yy-mm")&amp;"-"&amp;IF(AND(WEEKDAY(A1654)&gt;1,WEEKDAY(A1654)&lt;7),"Wkd",TEXT(A1654,"Ddd"))&amp;"-"&amp;TEXT(A1654,"hh"),LoadTable[],6,FALSE)*T1654</f>
        <v>41132.241149319998</v>
      </c>
      <c r="V1654">
        <f t="shared" ref="V1654:W1654" si="1756">V1630</f>
        <v>3</v>
      </c>
      <c r="W1654">
        <f t="shared" si="1756"/>
        <v>3</v>
      </c>
      <c r="X1654" s="9">
        <v>-67.880243916666103</v>
      </c>
    </row>
    <row r="1655" spans="1:24">
      <c r="A1655" s="29">
        <f t="shared" si="1702"/>
        <v>45904.833333329327</v>
      </c>
      <c r="B1655" s="30">
        <f t="shared" si="1726"/>
        <v>5000</v>
      </c>
      <c r="C1655" s="8">
        <v>25000</v>
      </c>
      <c r="D1655" s="8">
        <v>0</v>
      </c>
      <c r="E1655" s="8">
        <v>700</v>
      </c>
      <c r="F1655" s="8">
        <v>15000</v>
      </c>
      <c r="G1655" s="30">
        <f t="shared" si="1727"/>
        <v>2400</v>
      </c>
      <c r="H1655" s="8">
        <v>25000</v>
      </c>
      <c r="I1655" s="30">
        <f t="shared" si="1728"/>
        <v>5000</v>
      </c>
      <c r="J1655" s="8">
        <v>25000</v>
      </c>
      <c r="K1655" s="30">
        <f t="shared" si="1729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15.03</v>
      </c>
      <c r="O1655" s="9">
        <v>13.5</v>
      </c>
      <c r="P1655" s="9">
        <v>19.5</v>
      </c>
      <c r="Q1655" s="79">
        <f>VLOOKUP(VLOOKUP(DATEVALUE(TEXT(A1655,"m/d/yyyy")),FY24_Temp[],5,FALSE)&amp;TEXT(A1655,"-h"),Table6[],4,FALSE)</f>
        <v>2.6564285755157471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VLOOKUP(TEXT(A1655,"yy-mm")&amp;"-"&amp;IF(AND(WEEKDAY(A1655)&gt;1,WEEKDAY(A1655)&lt;7),"Wkd",TEXT(A1655,"Ddd"))&amp;"-"&amp;TEXT(A1655,"hh"),LoadTable[],5,FALSE)*0.92</f>
        <v>388.38076000000001</v>
      </c>
      <c r="U1655" s="104">
        <f>VLOOKUP(TEXT(A1655,"yy-mm")&amp;"-"&amp;IF(AND(WEEKDAY(A1655)&gt;1,WEEKDAY(A1655)&lt;7),"Wkd",TEXT(A1655,"Ddd"))&amp;"-"&amp;TEXT(A1655,"hh"),LoadTable[],6,FALSE)*T1655</f>
        <v>36274.762984000001</v>
      </c>
      <c r="V1655">
        <f t="shared" ref="V1655:W1655" si="1757">V1631</f>
        <v>2.8</v>
      </c>
      <c r="W1655">
        <f t="shared" si="1757"/>
        <v>3.1</v>
      </c>
      <c r="X1655" s="9">
        <v>-67.958038466666196</v>
      </c>
    </row>
    <row r="1656" spans="1:24">
      <c r="A1656" s="29">
        <f t="shared" si="1702"/>
        <v>45904.874999995991</v>
      </c>
      <c r="B1656" s="30">
        <f t="shared" si="1726"/>
        <v>5000</v>
      </c>
      <c r="C1656" s="8">
        <v>25000</v>
      </c>
      <c r="D1656" s="8">
        <v>0</v>
      </c>
      <c r="E1656" s="8">
        <v>700</v>
      </c>
      <c r="F1656" s="8">
        <v>15000</v>
      </c>
      <c r="G1656" s="30">
        <f t="shared" si="1727"/>
        <v>2400</v>
      </c>
      <c r="H1656" s="8">
        <v>25000</v>
      </c>
      <c r="I1656" s="30">
        <f t="shared" si="1728"/>
        <v>5000</v>
      </c>
      <c r="J1656" s="8">
        <v>25000</v>
      </c>
      <c r="K1656" s="30">
        <f t="shared" si="1729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15.03</v>
      </c>
      <c r="O1656" s="9">
        <v>13.5</v>
      </c>
      <c r="P1656" s="9">
        <v>19.5</v>
      </c>
      <c r="Q1656" s="79">
        <f>VLOOKUP(VLOOKUP(DATEVALUE(TEXT(A1656,"m/d/yyyy")),FY24_Temp[],5,FALSE)&amp;TEXT(A1656,"-h"),Table6[],4,FALSE)</f>
        <v>2.854142870221819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VLOOKUP(TEXT(A1656,"yy-mm")&amp;"-"&amp;IF(AND(WEEKDAY(A1656)&gt;1,WEEKDAY(A1656)&lt;7),"Wkd",TEXT(A1656,"Ddd"))&amp;"-"&amp;TEXT(A1656,"hh"),LoadTable[],5,FALSE)*0.92</f>
        <v>373.79416000000003</v>
      </c>
      <c r="U1656" s="104">
        <f>VLOOKUP(TEXT(A1656,"yy-mm")&amp;"-"&amp;IF(AND(WEEKDAY(A1656)&gt;1,WEEKDAY(A1656)&lt;7),"Wkd",TEXT(A1656,"Ddd"))&amp;"-"&amp;TEXT(A1656,"hh"),LoadTable[],6,FALSE)*T1656</f>
        <v>31749.328362080003</v>
      </c>
      <c r="V1656">
        <f t="shared" ref="V1656:W1656" si="1758">V1632</f>
        <v>3.5</v>
      </c>
      <c r="W1656">
        <f t="shared" si="1758"/>
        <v>3.1</v>
      </c>
      <c r="X1656" s="9">
        <v>-68.035833016666203</v>
      </c>
    </row>
    <row r="1657" spans="1:24">
      <c r="A1657" s="29">
        <f t="shared" si="1702"/>
        <v>45904.916666662655</v>
      </c>
      <c r="B1657" s="30">
        <f t="shared" si="1726"/>
        <v>5000</v>
      </c>
      <c r="C1657" s="8">
        <v>25000</v>
      </c>
      <c r="D1657" s="8">
        <v>0</v>
      </c>
      <c r="E1657" s="8">
        <v>700</v>
      </c>
      <c r="F1657" s="8">
        <v>15000</v>
      </c>
      <c r="G1657" s="30">
        <f t="shared" si="1727"/>
        <v>2400</v>
      </c>
      <c r="H1657" s="8">
        <v>25000</v>
      </c>
      <c r="I1657" s="30">
        <f t="shared" si="1728"/>
        <v>5000</v>
      </c>
      <c r="J1657" s="8">
        <v>25000</v>
      </c>
      <c r="K1657" s="30">
        <f t="shared" si="1729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15.03</v>
      </c>
      <c r="O1657" s="9">
        <v>13.5</v>
      </c>
      <c r="P1657" s="9">
        <v>19.5</v>
      </c>
      <c r="Q1657" s="79">
        <f>VLOOKUP(VLOOKUP(DATEVALUE(TEXT(A1657,"m/d/yyyy")),FY24_Temp[],5,FALSE)&amp;TEXT(A1657,"-h"),Table6[],4,FALSE)</f>
        <v>2.8205713544573103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VLOOKUP(TEXT(A1657,"yy-mm")&amp;"-"&amp;IF(AND(WEEKDAY(A1657)&gt;1,WEEKDAY(A1657)&lt;7),"Wkd",TEXT(A1657,"Ddd"))&amp;"-"&amp;TEXT(A1657,"hh"),LoadTable[],5,FALSE)*0.92</f>
        <v>299.65044</v>
      </c>
      <c r="U1657" s="104">
        <f>VLOOKUP(TEXT(A1657,"yy-mm")&amp;"-"&amp;IF(AND(WEEKDAY(A1657)&gt;1,WEEKDAY(A1657)&lt;7),"Wkd",TEXT(A1657,"Ddd"))&amp;"-"&amp;TEXT(A1657,"hh"),LoadTable[],6,FALSE)*T1657</f>
        <v>15023.87376072</v>
      </c>
      <c r="V1657">
        <f t="shared" ref="V1657:W1657" si="1759">V1633</f>
        <v>2.9</v>
      </c>
      <c r="W1657">
        <f t="shared" si="1759"/>
        <v>3.1</v>
      </c>
      <c r="X1657" s="9">
        <v>-68.113627566666196</v>
      </c>
    </row>
    <row r="1658" spans="1:24">
      <c r="A1658" s="29">
        <f t="shared" si="1702"/>
        <v>45904.958333329319</v>
      </c>
      <c r="B1658" s="30">
        <f t="shared" si="1726"/>
        <v>5000</v>
      </c>
      <c r="C1658" s="41">
        <v>25000</v>
      </c>
      <c r="D1658" s="41">
        <v>0</v>
      </c>
      <c r="E1658" s="41">
        <v>700</v>
      </c>
      <c r="F1658" s="41">
        <v>15000</v>
      </c>
      <c r="G1658" s="30">
        <f t="shared" si="1727"/>
        <v>2400</v>
      </c>
      <c r="H1658" s="41">
        <v>25000</v>
      </c>
      <c r="I1658" s="30">
        <f t="shared" si="1728"/>
        <v>5000</v>
      </c>
      <c r="J1658" s="41">
        <v>25000</v>
      </c>
      <c r="K1658" s="30">
        <f t="shared" si="1729"/>
        <v>5000</v>
      </c>
      <c r="L1658" s="41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15.03</v>
      </c>
      <c r="O1658" s="84">
        <v>13.5</v>
      </c>
      <c r="P1658" s="84">
        <v>19.5</v>
      </c>
      <c r="Q1658" s="85">
        <f>VLOOKUP(VLOOKUP(DATEVALUE(TEXT(A1658,"m/d/yyyy")),FY24_Temp[],5,FALSE)&amp;TEXT(A1658,"-h"),Table6[],4,FALSE)</f>
        <v>2.7085714680807933</v>
      </c>
      <c r="R1658">
        <v>10</v>
      </c>
      <c r="S1658">
        <v>1000</v>
      </c>
      <c r="T1658" s="98">
        <f>VLOOKUP(TEXT(A1658,"yy-mm")&amp;"-"&amp;IF(AND(WEEKDAY(A1658)&gt;1,WEEKDAY(A1658)&lt;7),"Wkd",TEXT(A1658,"Ddd"))&amp;"-"&amp;TEXT(A1658,"hh"),LoadTable[],5,FALSE)*0.92</f>
        <v>237.25788000000003</v>
      </c>
      <c r="U1658" s="104">
        <f>VLOOKUP(TEXT(A1658,"yy-mm")&amp;"-"&amp;IF(AND(WEEKDAY(A1658)&gt;1,WEEKDAY(A1658)&lt;7),"Wkd",TEXT(A1658,"Ddd"))&amp;"-"&amp;TEXT(A1658,"hh"),LoadTable[],6,FALSE)*T1658</f>
        <v>11687.323168800001</v>
      </c>
      <c r="V1658">
        <f t="shared" ref="V1658:W1658" si="1760">V1634</f>
        <v>3.6</v>
      </c>
      <c r="W1658">
        <f t="shared" si="1760"/>
        <v>3.1</v>
      </c>
      <c r="X1658" s="84">
        <v>-68.191422116666203</v>
      </c>
    </row>
    <row r="1659" spans="1:24">
      <c r="A1659" s="29">
        <f t="shared" si="1702"/>
        <v>45904.999999995984</v>
      </c>
      <c r="B1659" s="30">
        <f t="shared" si="1726"/>
        <v>5000</v>
      </c>
      <c r="C1659" s="8">
        <v>25000</v>
      </c>
      <c r="D1659" s="8">
        <v>0</v>
      </c>
      <c r="E1659" s="8">
        <v>700</v>
      </c>
      <c r="F1659" s="8">
        <v>15000</v>
      </c>
      <c r="G1659" s="30">
        <f t="shared" si="1727"/>
        <v>2400</v>
      </c>
      <c r="H1659" s="8">
        <v>25000</v>
      </c>
      <c r="I1659" s="30">
        <f t="shared" si="1728"/>
        <v>5000</v>
      </c>
      <c r="J1659" s="8">
        <v>25000</v>
      </c>
      <c r="K1659" s="30">
        <f t="shared" si="1729"/>
        <v>5000</v>
      </c>
      <c r="L1659" s="8">
        <v>25000</v>
      </c>
      <c r="M1659" s="9">
        <f>VLOOKUP(DATE(YEAR(A1659),MONTH(A1659),DAY(A1659)),FY24_Temp[],4,FALSE)</f>
        <v>8.5</v>
      </c>
      <c r="N1659" s="9">
        <f>VLOOKUP(DATE(YEAR(A1659),MONTH(A1659),DAY(A1659)),FY24_Temp[],3,FALSE)</f>
        <v>15.03</v>
      </c>
      <c r="O1659" s="9">
        <v>13.5</v>
      </c>
      <c r="P1659" s="9">
        <v>19.5</v>
      </c>
      <c r="Q1659" s="79">
        <f>VLOOKUP(VLOOKUP(DATEVALUE(TEXT(A1659,"m/d/yyyy")),FY24_Temp[],5,FALSE)&amp;TEXT(A1659,"-h"),Table6[],4,FALSE)</f>
        <v>2.6008571216038296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VLOOKUP(TEXT(A1659,"yy-mm")&amp;"-"&amp;IF(AND(WEEKDAY(A1659)&gt;1,WEEKDAY(A1659)&lt;7),"Wkd",TEXT(A1659,"Ddd"))&amp;"-"&amp;TEXT(A1659,"hh"),LoadTable[],5,FALSE)*0.92</f>
        <v>237.25788000000003</v>
      </c>
      <c r="U1659" s="104">
        <f>VLOOKUP(TEXT(A1659,"yy-mm")&amp;"-"&amp;IF(AND(WEEKDAY(A1659)&gt;1,WEEKDAY(A1659)&lt;7),"Wkd",TEXT(A1659,"Ddd"))&amp;"-"&amp;TEXT(A1659,"hh"),LoadTable[],6,FALSE)*T1659</f>
        <v>12215.696467560001</v>
      </c>
      <c r="V1659">
        <f t="shared" ref="V1659:W1659" si="1761">V1635</f>
        <v>3</v>
      </c>
      <c r="W1659">
        <f t="shared" si="1761"/>
        <v>3.2</v>
      </c>
      <c r="X1659" s="9">
        <v>-68.269216666666196</v>
      </c>
    </row>
    <row r="1660" spans="1:24">
      <c r="A1660" s="29">
        <f t="shared" si="1702"/>
        <v>45905.041666662648</v>
      </c>
      <c r="B1660" s="30">
        <f t="shared" si="1726"/>
        <v>5000</v>
      </c>
      <c r="C1660" s="42">
        <v>25000</v>
      </c>
      <c r="D1660" s="42">
        <v>0</v>
      </c>
      <c r="E1660" s="42">
        <v>700</v>
      </c>
      <c r="F1660" s="42">
        <v>15000</v>
      </c>
      <c r="G1660" s="30">
        <f t="shared" si="1727"/>
        <v>2400</v>
      </c>
      <c r="H1660" s="42">
        <v>25000</v>
      </c>
      <c r="I1660" s="30">
        <f t="shared" si="1728"/>
        <v>5000</v>
      </c>
      <c r="J1660" s="42">
        <v>25000</v>
      </c>
      <c r="K1660" s="30">
        <f t="shared" si="1729"/>
        <v>5000</v>
      </c>
      <c r="L1660" s="42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15.03</v>
      </c>
      <c r="O1660" s="86">
        <v>13.5</v>
      </c>
      <c r="P1660" s="86">
        <v>19.5</v>
      </c>
      <c r="Q1660" s="87">
        <f>VLOOKUP(VLOOKUP(DATEVALUE(TEXT(A1660,"m/d/yyyy")),FY24_Temp[],5,FALSE)&amp;TEXT(A1660,"-h"),Table6[],4,FALSE)</f>
        <v>2.5028571741921559</v>
      </c>
      <c r="R1660">
        <v>10</v>
      </c>
      <c r="S1660">
        <v>1000</v>
      </c>
      <c r="T1660" s="99">
        <f>VLOOKUP(TEXT(A1660,"yy-mm")&amp;"-"&amp;IF(AND(WEEKDAY(A1660)&gt;1,WEEKDAY(A1660)&lt;7),"Wkd",TEXT(A1660,"Ddd"))&amp;"-"&amp;TEXT(A1660,"hh"),LoadTable[],5,FALSE)*0.92</f>
        <v>237.25788000000003</v>
      </c>
      <c r="U1660" s="104">
        <f>VLOOKUP(TEXT(A1660,"yy-mm")&amp;"-"&amp;IF(AND(WEEKDAY(A1660)&gt;1,WEEKDAY(A1660)&lt;7),"Wkd",TEXT(A1660,"Ddd"))&amp;"-"&amp;TEXT(A1660,"hh"),LoadTable[],6,FALSE)*T1660</f>
        <v>11905.12590264</v>
      </c>
      <c r="V1660">
        <f t="shared" ref="V1660:W1660" si="1762">V1636</f>
        <v>2.6</v>
      </c>
      <c r="W1660">
        <f t="shared" si="1762"/>
        <v>3.2</v>
      </c>
      <c r="X1660" s="86">
        <v>-68.347011216666203</v>
      </c>
    </row>
    <row r="1661" spans="1:24">
      <c r="A1661" s="29">
        <f t="shared" si="1702"/>
        <v>45905.083333329312</v>
      </c>
      <c r="B1661" s="30">
        <f t="shared" si="1726"/>
        <v>5000</v>
      </c>
      <c r="C1661" s="8">
        <v>25000</v>
      </c>
      <c r="D1661" s="8">
        <v>0</v>
      </c>
      <c r="E1661" s="8">
        <v>700</v>
      </c>
      <c r="F1661" s="8">
        <v>15000</v>
      </c>
      <c r="G1661" s="30">
        <f t="shared" si="1727"/>
        <v>2400</v>
      </c>
      <c r="H1661" s="8">
        <v>25000</v>
      </c>
      <c r="I1661" s="30">
        <f t="shared" si="1728"/>
        <v>5000</v>
      </c>
      <c r="J1661" s="8">
        <v>25000</v>
      </c>
      <c r="K1661" s="30">
        <f t="shared" si="1729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15.03</v>
      </c>
      <c r="O1661" s="9">
        <v>13.5</v>
      </c>
      <c r="P1661" s="9">
        <v>19.5</v>
      </c>
      <c r="Q1661" s="79">
        <f>VLOOKUP(VLOOKUP(DATEVALUE(TEXT(A1661,"m/d/yyyy")),FY24_Temp[],5,FALSE)&amp;TEXT(A1661,"-h"),Table6[],4,FALSE)</f>
        <v>2.4148571491241455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VLOOKUP(TEXT(A1661,"yy-mm")&amp;"-"&amp;IF(AND(WEEKDAY(A1661)&gt;1,WEEKDAY(A1661)&lt;7),"Wkd",TEXT(A1661,"Ddd"))&amp;"-"&amp;TEXT(A1661,"hh"),LoadTable[],5,FALSE)*0.92</f>
        <v>237.25788000000003</v>
      </c>
      <c r="U1661" s="104">
        <f>VLOOKUP(TEXT(A1661,"yy-mm")&amp;"-"&amp;IF(AND(WEEKDAY(A1661)&gt;1,WEEKDAY(A1661)&lt;7),"Wkd",TEXT(A1661,"Ddd"))&amp;"-"&amp;TEXT(A1661,"hh"),LoadTable[],6,FALSE)*T1661</f>
        <v>11856.013521480001</v>
      </c>
      <c r="V1661">
        <f t="shared" ref="V1661:W1661" si="1763">V1637</f>
        <v>2.8</v>
      </c>
      <c r="W1661">
        <f t="shared" si="1763"/>
        <v>3.2</v>
      </c>
      <c r="X1661" s="9">
        <v>-68.424805766666196</v>
      </c>
    </row>
    <row r="1662" spans="1:24">
      <c r="A1662" s="29">
        <f t="shared" si="1702"/>
        <v>45905.124999995976</v>
      </c>
      <c r="B1662" s="30">
        <f t="shared" si="1726"/>
        <v>5000</v>
      </c>
      <c r="C1662" s="8">
        <v>25000</v>
      </c>
      <c r="D1662" s="8">
        <v>0</v>
      </c>
      <c r="E1662" s="8">
        <v>700</v>
      </c>
      <c r="F1662" s="8">
        <v>15000</v>
      </c>
      <c r="G1662" s="30">
        <f t="shared" si="1727"/>
        <v>2400</v>
      </c>
      <c r="H1662" s="8">
        <v>25000</v>
      </c>
      <c r="I1662" s="30">
        <f t="shared" si="1728"/>
        <v>5000</v>
      </c>
      <c r="J1662" s="8">
        <v>25000</v>
      </c>
      <c r="K1662" s="30">
        <f t="shared" si="1729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15.03</v>
      </c>
      <c r="O1662" s="9">
        <v>13.5</v>
      </c>
      <c r="P1662" s="9">
        <v>19.5</v>
      </c>
      <c r="Q1662" s="79">
        <f>VLOOKUP(VLOOKUP(DATEVALUE(TEXT(A1662,"m/d/yyyy")),FY24_Temp[],5,FALSE)&amp;TEXT(A1662,"-h"),Table6[],4,FALSE)</f>
        <v>2.2705714702606201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VLOOKUP(TEXT(A1662,"yy-mm")&amp;"-"&amp;IF(AND(WEEKDAY(A1662)&gt;1,WEEKDAY(A1662)&lt;7),"Wkd",TEXT(A1662,"Ddd"))&amp;"-"&amp;TEXT(A1662,"hh"),LoadTable[],5,FALSE)*0.92</f>
        <v>237.25788000000003</v>
      </c>
      <c r="U1662" s="104">
        <f>VLOOKUP(TEXT(A1662,"yy-mm")&amp;"-"&amp;IF(AND(WEEKDAY(A1662)&gt;1,WEEKDAY(A1662)&lt;7),"Wkd",TEXT(A1662,"Ddd"))&amp;"-"&amp;TEXT(A1662,"hh"),LoadTable[],6,FALSE)*T1662</f>
        <v>11893.025750760002</v>
      </c>
      <c r="V1662">
        <f t="shared" ref="V1662:W1662" si="1764">V1638</f>
        <v>2.7</v>
      </c>
      <c r="W1662">
        <f t="shared" si="1764"/>
        <v>3.2</v>
      </c>
      <c r="X1662" s="9">
        <v>-68.502600316666204</v>
      </c>
    </row>
    <row r="1663" spans="1:24">
      <c r="A1663" s="29">
        <f t="shared" si="1702"/>
        <v>45905.166666662641</v>
      </c>
      <c r="B1663" s="30">
        <f t="shared" si="1726"/>
        <v>5000</v>
      </c>
      <c r="C1663" s="8">
        <v>25000</v>
      </c>
      <c r="D1663" s="8">
        <v>0</v>
      </c>
      <c r="E1663" s="8">
        <v>700</v>
      </c>
      <c r="F1663" s="8">
        <v>15000</v>
      </c>
      <c r="G1663" s="30">
        <f t="shared" si="1727"/>
        <v>2400</v>
      </c>
      <c r="H1663" s="8">
        <v>25000</v>
      </c>
      <c r="I1663" s="30">
        <f t="shared" si="1728"/>
        <v>5000</v>
      </c>
      <c r="J1663" s="8">
        <v>25000</v>
      </c>
      <c r="K1663" s="30">
        <f t="shared" si="1729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15.03</v>
      </c>
      <c r="O1663" s="9">
        <v>13.5</v>
      </c>
      <c r="P1663" s="9">
        <v>19.5</v>
      </c>
      <c r="Q1663" s="79">
        <f>VLOOKUP(VLOOKUP(DATEVALUE(TEXT(A1663,"m/d/yyyy")),FY24_Temp[],5,FALSE)&amp;TEXT(A1663,"-h"),Table6[],4,FALSE)</f>
        <v>2.1080000059945241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VLOOKUP(TEXT(A1663,"yy-mm")&amp;"-"&amp;IF(AND(WEEKDAY(A1663)&gt;1,WEEKDAY(A1663)&lt;7),"Wkd",TEXT(A1663,"Ddd"))&amp;"-"&amp;TEXT(A1663,"hh"),LoadTable[],5,FALSE)*0.92</f>
        <v>237.25788000000003</v>
      </c>
      <c r="U1663" s="104">
        <f>VLOOKUP(TEXT(A1663,"yy-mm")&amp;"-"&amp;IF(AND(WEEKDAY(A1663)&gt;1,WEEKDAY(A1663)&lt;7),"Wkd",TEXT(A1663,"Ddd"))&amp;"-"&amp;TEXT(A1663,"hh"),LoadTable[],6,FALSE)*T1663</f>
        <v>12081.645765360001</v>
      </c>
      <c r="V1663">
        <f t="shared" ref="V1663:W1663" si="1765">V1639</f>
        <v>3</v>
      </c>
      <c r="W1663">
        <f t="shared" si="1765"/>
        <v>3.1</v>
      </c>
      <c r="X1663" s="9">
        <v>-68.580394866666197</v>
      </c>
    </row>
    <row r="1664" spans="1:24">
      <c r="A1664" s="29">
        <f t="shared" si="1702"/>
        <v>45905.208333329305</v>
      </c>
      <c r="B1664" s="30">
        <f t="shared" si="1726"/>
        <v>5000</v>
      </c>
      <c r="C1664" s="8">
        <v>25000</v>
      </c>
      <c r="D1664" s="8">
        <v>0</v>
      </c>
      <c r="E1664" s="8">
        <v>700</v>
      </c>
      <c r="F1664" s="8">
        <v>15000</v>
      </c>
      <c r="G1664" s="30">
        <f t="shared" si="1727"/>
        <v>2400</v>
      </c>
      <c r="H1664" s="8">
        <v>25000</v>
      </c>
      <c r="I1664" s="30">
        <f t="shared" si="1728"/>
        <v>5000</v>
      </c>
      <c r="J1664" s="8">
        <v>25000</v>
      </c>
      <c r="K1664" s="30">
        <f t="shared" si="1729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15.03</v>
      </c>
      <c r="O1664" s="9">
        <v>13.5</v>
      </c>
      <c r="P1664" s="9">
        <v>19.5</v>
      </c>
      <c r="Q1664" s="79">
        <f>VLOOKUP(VLOOKUP(DATEVALUE(TEXT(A1664,"m/d/yyyy")),FY24_Temp[],5,FALSE)&amp;TEXT(A1664,"-h"),Table6[],4,FALSE)</f>
        <v>1.9515714134488786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VLOOKUP(TEXT(A1664,"yy-mm")&amp;"-"&amp;IF(AND(WEEKDAY(A1664)&gt;1,WEEKDAY(A1664)&lt;7),"Wkd",TEXT(A1664,"Ddd"))&amp;"-"&amp;TEXT(A1664,"hh"),LoadTable[],5,FALSE)*0.92</f>
        <v>237.25788000000003</v>
      </c>
      <c r="U1664" s="104">
        <f>VLOOKUP(TEXT(A1664,"yy-mm")&amp;"-"&amp;IF(AND(WEEKDAY(A1664)&gt;1,WEEKDAY(A1664)&lt;7),"Wkd",TEXT(A1664,"Ddd"))&amp;"-"&amp;TEXT(A1664,"hh"),LoadTable[],6,FALSE)*T1664</f>
        <v>12065.037713760001</v>
      </c>
      <c r="V1664">
        <f t="shared" ref="V1664:W1664" si="1766">V1640</f>
        <v>2.9</v>
      </c>
      <c r="W1664">
        <f t="shared" si="1766"/>
        <v>3.1</v>
      </c>
      <c r="X1664" s="9">
        <v>-68.658189416666204</v>
      </c>
    </row>
    <row r="1665" spans="1:24">
      <c r="A1665" s="29">
        <f t="shared" si="1702"/>
        <v>45905.249999995969</v>
      </c>
      <c r="B1665" s="30">
        <f t="shared" si="1726"/>
        <v>8000</v>
      </c>
      <c r="C1665" s="8">
        <v>25000</v>
      </c>
      <c r="D1665" s="8">
        <v>0</v>
      </c>
      <c r="E1665" s="8">
        <v>700</v>
      </c>
      <c r="F1665" s="8">
        <v>15000</v>
      </c>
      <c r="G1665" s="30">
        <f t="shared" si="1727"/>
        <v>2400</v>
      </c>
      <c r="H1665" s="8">
        <v>25000</v>
      </c>
      <c r="I1665" s="30">
        <f t="shared" si="1728"/>
        <v>8000</v>
      </c>
      <c r="J1665" s="8">
        <v>25000</v>
      </c>
      <c r="K1665" s="30">
        <f t="shared" si="1729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15.03</v>
      </c>
      <c r="O1665" s="9">
        <v>13.5</v>
      </c>
      <c r="P1665" s="9">
        <v>19.5</v>
      </c>
      <c r="Q1665" s="79">
        <f>VLOOKUP(VLOOKUP(DATEVALUE(TEXT(A1665,"m/d/yyyy")),FY24_Temp[],5,FALSE)&amp;TEXT(A1665,"-h"),Table6[],4,FALSE)</f>
        <v>1.8388571568897791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VLOOKUP(TEXT(A1665,"yy-mm")&amp;"-"&amp;IF(AND(WEEKDAY(A1665)&gt;1,WEEKDAY(A1665)&lt;7),"Wkd",TEXT(A1665,"Ddd"))&amp;"-"&amp;TEXT(A1665,"hh"),LoadTable[],5,FALSE)*0.92</f>
        <v>237.25788000000003</v>
      </c>
      <c r="U1665" s="104">
        <f>VLOOKUP(TEXT(A1665,"yy-mm")&amp;"-"&amp;IF(AND(WEEKDAY(A1665)&gt;1,WEEKDAY(A1665)&lt;7),"Wkd",TEXT(A1665,"Ddd"))&amp;"-"&amp;TEXT(A1665,"hh"),LoadTable[],6,FALSE)*T1665</f>
        <v>18358.065722880005</v>
      </c>
      <c r="V1665">
        <f t="shared" ref="V1665:W1665" si="1767">V1641</f>
        <v>2.5</v>
      </c>
      <c r="W1665">
        <f t="shared" si="1767"/>
        <v>3.1</v>
      </c>
      <c r="X1665" s="9">
        <v>-68.735983966666197</v>
      </c>
    </row>
    <row r="1666" spans="1:24">
      <c r="A1666" s="29">
        <f t="shared" si="1702"/>
        <v>45905.291666662633</v>
      </c>
      <c r="B1666" s="30">
        <f t="shared" si="1726"/>
        <v>8000</v>
      </c>
      <c r="C1666" s="8">
        <v>25000</v>
      </c>
      <c r="D1666" s="8">
        <v>0</v>
      </c>
      <c r="E1666" s="8">
        <v>700</v>
      </c>
      <c r="F1666" s="8">
        <v>15000</v>
      </c>
      <c r="G1666" s="30">
        <f t="shared" si="1727"/>
        <v>2400</v>
      </c>
      <c r="H1666" s="8">
        <v>25000</v>
      </c>
      <c r="I1666" s="30">
        <f t="shared" si="1728"/>
        <v>8000</v>
      </c>
      <c r="J1666" s="8">
        <v>25000</v>
      </c>
      <c r="K1666" s="30">
        <f t="shared" si="1729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15.03</v>
      </c>
      <c r="O1666" s="9">
        <v>13.5</v>
      </c>
      <c r="P1666" s="9">
        <v>19.5</v>
      </c>
      <c r="Q1666" s="79">
        <f>VLOOKUP(VLOOKUP(DATEVALUE(TEXT(A1666,"m/d/yyyy")),FY24_Temp[],5,FALSE)&amp;TEXT(A1666,"-h"),Table6[],4,FALSE)</f>
        <v>1.7592856884002686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VLOOKUP(TEXT(A1666,"yy-mm")&amp;"-"&amp;IF(AND(WEEKDAY(A1666)&gt;1,WEEKDAY(A1666)&lt;7),"Wkd",TEXT(A1666,"Ddd"))&amp;"-"&amp;TEXT(A1666,"hh"),LoadTable[],5,FALSE)*0.92</f>
        <v>237.25788000000003</v>
      </c>
      <c r="U1666" s="104">
        <f>VLOOKUP(TEXT(A1666,"yy-mm")&amp;"-"&amp;IF(AND(WEEKDAY(A1666)&gt;1,WEEKDAY(A1666)&lt;7),"Wkd",TEXT(A1666,"Ddd"))&amp;"-"&amp;TEXT(A1666,"hh"),LoadTable[],6,FALSE)*T1666</f>
        <v>16249.08042756</v>
      </c>
      <c r="V1666">
        <f t="shared" ref="V1666:W1666" si="1768">V1642</f>
        <v>2.5</v>
      </c>
      <c r="W1666">
        <f t="shared" si="1768"/>
        <v>3.1</v>
      </c>
      <c r="X1666" s="9">
        <v>-68.813778516666204</v>
      </c>
    </row>
    <row r="1667" spans="1:24">
      <c r="A1667" s="29">
        <f t="shared" si="1702"/>
        <v>45905.333333329298</v>
      </c>
      <c r="B1667" s="30">
        <f t="shared" si="1726"/>
        <v>8000</v>
      </c>
      <c r="C1667" s="8">
        <v>25000</v>
      </c>
      <c r="D1667" s="8">
        <v>0</v>
      </c>
      <c r="E1667" s="8">
        <v>700</v>
      </c>
      <c r="F1667" s="8">
        <v>15000</v>
      </c>
      <c r="G1667" s="30">
        <f t="shared" si="1727"/>
        <v>2400</v>
      </c>
      <c r="H1667" s="8">
        <v>25000</v>
      </c>
      <c r="I1667" s="30">
        <f t="shared" si="1728"/>
        <v>8000</v>
      </c>
      <c r="J1667" s="8">
        <v>25000</v>
      </c>
      <c r="K1667" s="30">
        <f t="shared" si="1729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15.03</v>
      </c>
      <c r="O1667" s="9">
        <v>13.5</v>
      </c>
      <c r="P1667" s="9">
        <v>19.5</v>
      </c>
      <c r="Q1667" s="79">
        <f>VLOOKUP(VLOOKUP(DATEVALUE(TEXT(A1667,"m/d/yyyy")),FY24_Temp[],5,FALSE)&amp;TEXT(A1667,"-h"),Table6[],4,FALSE)</f>
        <v>1.6568571329116821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VLOOKUP(TEXT(A1667,"yy-mm")&amp;"-"&amp;IF(AND(WEEKDAY(A1667)&gt;1,WEEKDAY(A1667)&lt;7),"Wkd",TEXT(A1667,"Ddd"))&amp;"-"&amp;TEXT(A1667,"hh"),LoadTable[],5,FALSE)*0.92</f>
        <v>237.25788000000003</v>
      </c>
      <c r="U1667" s="104">
        <f>VLOOKUP(TEXT(A1667,"yy-mm")&amp;"-"&amp;IF(AND(WEEKDAY(A1667)&gt;1,WEEKDAY(A1667)&lt;7),"Wkd",TEXT(A1667,"Ddd"))&amp;"-"&amp;TEXT(A1667,"hh"),LoadTable[],6,FALSE)*T1667</f>
        <v>13068.164030400001</v>
      </c>
      <c r="V1667">
        <f t="shared" ref="V1667:W1667" si="1769">V1643</f>
        <v>3.2</v>
      </c>
      <c r="W1667">
        <f t="shared" si="1769"/>
        <v>3</v>
      </c>
      <c r="X1667" s="9">
        <v>-68.891573066666197</v>
      </c>
    </row>
    <row r="1668" spans="1:24">
      <c r="A1668" s="29">
        <f t="shared" si="1702"/>
        <v>45905.374999995962</v>
      </c>
      <c r="B1668" s="30">
        <f t="shared" si="1726"/>
        <v>8000</v>
      </c>
      <c r="C1668" s="8">
        <v>25000</v>
      </c>
      <c r="D1668" s="8">
        <v>0</v>
      </c>
      <c r="E1668" s="8">
        <v>700</v>
      </c>
      <c r="F1668" s="8">
        <v>15000</v>
      </c>
      <c r="G1668" s="30">
        <f t="shared" si="1727"/>
        <v>2400</v>
      </c>
      <c r="H1668" s="8">
        <v>25000</v>
      </c>
      <c r="I1668" s="30">
        <f t="shared" si="1728"/>
        <v>8000</v>
      </c>
      <c r="J1668" s="8">
        <v>25000</v>
      </c>
      <c r="K1668" s="30">
        <f t="shared" si="1729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15.03</v>
      </c>
      <c r="O1668" s="9">
        <v>13.5</v>
      </c>
      <c r="P1668" s="9">
        <v>19.5</v>
      </c>
      <c r="Q1668" s="79">
        <f>VLOOKUP(VLOOKUP(DATEVALUE(TEXT(A1668,"m/d/yyyy")),FY24_Temp[],5,FALSE)&amp;TEXT(A1668,"-h"),Table6[],4,FALSE)</f>
        <v>1.5618571383612496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VLOOKUP(TEXT(A1668,"yy-mm")&amp;"-"&amp;IF(AND(WEEKDAY(A1668)&gt;1,WEEKDAY(A1668)&lt;7),"Wkd",TEXT(A1668,"Ddd"))&amp;"-"&amp;TEXT(A1668,"hh"),LoadTable[],5,FALSE)*0.92</f>
        <v>237.25788000000003</v>
      </c>
      <c r="U1668" s="104">
        <f>VLOOKUP(TEXT(A1668,"yy-mm")&amp;"-"&amp;IF(AND(WEEKDAY(A1668)&gt;1,WEEKDAY(A1668)&lt;7),"Wkd",TEXT(A1668,"Ddd"))&amp;"-"&amp;TEXT(A1668,"hh"),LoadTable[],6,FALSE)*T1668</f>
        <v>11518.395558240001</v>
      </c>
      <c r="V1668">
        <f t="shared" ref="V1668:W1668" si="1770">V1644</f>
        <v>2.9</v>
      </c>
      <c r="W1668">
        <f t="shared" si="1770"/>
        <v>3</v>
      </c>
      <c r="X1668" s="9">
        <v>-68.969367616666204</v>
      </c>
    </row>
    <row r="1669" spans="1:24">
      <c r="A1669" s="29">
        <f t="shared" ref="A1669:A1732" si="1771">A1668+TIME(1,0,0)</f>
        <v>45905.416666662626</v>
      </c>
      <c r="B1669" s="30">
        <f t="shared" si="1726"/>
        <v>8000</v>
      </c>
      <c r="C1669" s="8">
        <v>25000</v>
      </c>
      <c r="D1669" s="8">
        <v>0</v>
      </c>
      <c r="E1669" s="8">
        <v>700</v>
      </c>
      <c r="F1669" s="8">
        <v>15000</v>
      </c>
      <c r="G1669" s="30">
        <f t="shared" si="1727"/>
        <v>2400</v>
      </c>
      <c r="H1669" s="8">
        <v>25000</v>
      </c>
      <c r="I1669" s="30">
        <f t="shared" si="1728"/>
        <v>8000</v>
      </c>
      <c r="J1669" s="8">
        <v>25000</v>
      </c>
      <c r="K1669" s="30">
        <f t="shared" si="1729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15.03</v>
      </c>
      <c r="O1669" s="9">
        <v>13.5</v>
      </c>
      <c r="P1669" s="9">
        <v>19.5</v>
      </c>
      <c r="Q1669" s="79">
        <f>VLOOKUP(VLOOKUP(DATEVALUE(TEXT(A1669,"m/d/yyyy")),FY24_Temp[],5,FALSE)&amp;TEXT(A1669,"-h"),Table6[],4,FALSE)</f>
        <v>1.4821428230830602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VLOOKUP(TEXT(A1669,"yy-mm")&amp;"-"&amp;IF(AND(WEEKDAY(A1669)&gt;1,WEEKDAY(A1669)&lt;7),"Wkd",TEXT(A1669,"Ddd"))&amp;"-"&amp;TEXT(A1669,"hh"),LoadTable[],5,FALSE)*0.92</f>
        <v>237.25788000000003</v>
      </c>
      <c r="U1669" s="104">
        <f>VLOOKUP(TEXT(A1669,"yy-mm")&amp;"-"&amp;IF(AND(WEEKDAY(A1669)&gt;1,WEEKDAY(A1669)&lt;7),"Wkd",TEXT(A1669,"Ddd"))&amp;"-"&amp;TEXT(A1669,"hh"),LoadTable[],6,FALSE)*T1669</f>
        <v>10982.667265200002</v>
      </c>
      <c r="V1669">
        <f t="shared" ref="V1669:W1669" si="1772">V1645</f>
        <v>2.9</v>
      </c>
      <c r="W1669">
        <f t="shared" si="1772"/>
        <v>3</v>
      </c>
      <c r="X1669" s="9">
        <v>-69.047162166666297</v>
      </c>
    </row>
    <row r="1670" spans="1:24">
      <c r="A1670" s="29">
        <f t="shared" si="1771"/>
        <v>45905.45833332929</v>
      </c>
      <c r="B1670" s="30">
        <f t="shared" si="1726"/>
        <v>8000</v>
      </c>
      <c r="C1670" s="8">
        <v>25000</v>
      </c>
      <c r="D1670" s="8">
        <v>0</v>
      </c>
      <c r="E1670" s="8">
        <v>700</v>
      </c>
      <c r="F1670" s="8">
        <v>15000</v>
      </c>
      <c r="G1670" s="30">
        <f t="shared" si="1727"/>
        <v>2400</v>
      </c>
      <c r="H1670" s="8">
        <v>25000</v>
      </c>
      <c r="I1670" s="30">
        <f t="shared" si="1728"/>
        <v>8000</v>
      </c>
      <c r="J1670" s="8">
        <v>25000</v>
      </c>
      <c r="K1670" s="30">
        <f t="shared" si="1729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15.03</v>
      </c>
      <c r="O1670" s="9">
        <v>13.5</v>
      </c>
      <c r="P1670" s="9">
        <v>19.5</v>
      </c>
      <c r="Q1670" s="79">
        <f>VLOOKUP(VLOOKUP(DATEVALUE(TEXT(A1670,"m/d/yyyy")),FY24_Temp[],5,FALSE)&amp;TEXT(A1670,"-h"),Table6[],4,FALSE)</f>
        <v>1.3825714247567313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VLOOKUP(TEXT(A1670,"yy-mm")&amp;"-"&amp;IF(AND(WEEKDAY(A1670)&gt;1,WEEKDAY(A1670)&lt;7),"Wkd",TEXT(A1670,"Ddd"))&amp;"-"&amp;TEXT(A1670,"hh"),LoadTable[],5,FALSE)*0.92</f>
        <v>237.25788000000003</v>
      </c>
      <c r="U1670" s="104">
        <f>VLOOKUP(TEXT(A1670,"yy-mm")&amp;"-"&amp;IF(AND(WEEKDAY(A1670)&gt;1,WEEKDAY(A1670)&lt;7),"Wkd",TEXT(A1670,"Ddd"))&amp;"-"&amp;TEXT(A1670,"hh"),LoadTable[],6,FALSE)*T1670</f>
        <v>10974.125981520001</v>
      </c>
      <c r="V1670">
        <f t="shared" ref="V1670:W1670" si="1773">V1646</f>
        <v>3.4</v>
      </c>
      <c r="W1670">
        <f t="shared" si="1773"/>
        <v>3</v>
      </c>
      <c r="X1670" s="9">
        <v>-69.124956716666304</v>
      </c>
    </row>
    <row r="1671" spans="1:24">
      <c r="A1671" s="29">
        <f t="shared" si="1771"/>
        <v>45905.499999995955</v>
      </c>
      <c r="B1671" s="30">
        <f t="shared" si="1726"/>
        <v>8000</v>
      </c>
      <c r="C1671" s="8">
        <v>25000</v>
      </c>
      <c r="D1671" s="8">
        <v>0</v>
      </c>
      <c r="E1671" s="8">
        <v>700</v>
      </c>
      <c r="F1671" s="8">
        <v>15000</v>
      </c>
      <c r="G1671" s="30">
        <f t="shared" si="1727"/>
        <v>2400</v>
      </c>
      <c r="H1671" s="8">
        <v>25000</v>
      </c>
      <c r="I1671" s="30">
        <f t="shared" si="1728"/>
        <v>8000</v>
      </c>
      <c r="J1671" s="8">
        <v>25000</v>
      </c>
      <c r="K1671" s="30">
        <f t="shared" si="1729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15.03</v>
      </c>
      <c r="O1671" s="9">
        <v>13.5</v>
      </c>
      <c r="P1671" s="9">
        <v>19.5</v>
      </c>
      <c r="Q1671" s="79">
        <f>VLOOKUP(VLOOKUP(DATEVALUE(TEXT(A1671,"m/d/yyyy")),FY24_Temp[],5,FALSE)&amp;TEXT(A1671,"-h"),Table6[],4,FALSE)</f>
        <v>1.2544285740171159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VLOOKUP(TEXT(A1671,"yy-mm")&amp;"-"&amp;IF(AND(WEEKDAY(A1671)&gt;1,WEEKDAY(A1671)&lt;7),"Wkd",TEXT(A1671,"Ddd"))&amp;"-"&amp;TEXT(A1671,"hh"),LoadTable[],5,FALSE)*0.92</f>
        <v>237.25788000000003</v>
      </c>
      <c r="U1671" s="104">
        <f>VLOOKUP(TEXT(A1671,"yy-mm")&amp;"-"&amp;IF(AND(WEEKDAY(A1671)&gt;1,WEEKDAY(A1671)&lt;7),"Wkd",TEXT(A1671,"Ddd"))&amp;"-"&amp;TEXT(A1671,"hh"),LoadTable[],6,FALSE)*T1671</f>
        <v>10962.974861160001</v>
      </c>
      <c r="V1671">
        <f t="shared" ref="V1671:W1671" si="1774">V1647</f>
        <v>3.1</v>
      </c>
      <c r="W1671">
        <f t="shared" si="1774"/>
        <v>2.9</v>
      </c>
      <c r="X1671" s="9">
        <v>-69.202751266666297</v>
      </c>
    </row>
    <row r="1672" spans="1:24">
      <c r="A1672" s="29">
        <f t="shared" si="1771"/>
        <v>45905.541666662619</v>
      </c>
      <c r="B1672" s="30">
        <f t="shared" si="1726"/>
        <v>8000</v>
      </c>
      <c r="C1672" s="8">
        <v>25000</v>
      </c>
      <c r="D1672" s="8">
        <v>0</v>
      </c>
      <c r="E1672" s="8">
        <v>700</v>
      </c>
      <c r="F1672" s="8">
        <v>15000</v>
      </c>
      <c r="G1672" s="30">
        <f t="shared" si="1727"/>
        <v>2400</v>
      </c>
      <c r="H1672" s="8">
        <v>25000</v>
      </c>
      <c r="I1672" s="30">
        <f t="shared" si="1728"/>
        <v>8000</v>
      </c>
      <c r="J1672" s="8">
        <v>25000</v>
      </c>
      <c r="K1672" s="30">
        <f t="shared" si="1729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15.03</v>
      </c>
      <c r="O1672" s="9">
        <v>13.5</v>
      </c>
      <c r="P1672" s="9">
        <v>19.5</v>
      </c>
      <c r="Q1672" s="79">
        <f>VLOOKUP(VLOOKUP(DATEVALUE(TEXT(A1672,"m/d/yyyy")),FY24_Temp[],5,FALSE)&amp;TEXT(A1672,"-h"),Table6[],4,FALSE)</f>
        <v>1.0944285563060216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VLOOKUP(TEXT(A1672,"yy-mm")&amp;"-"&amp;IF(AND(WEEKDAY(A1672)&gt;1,WEEKDAY(A1672)&lt;7),"Wkd",TEXT(A1672,"Ddd"))&amp;"-"&amp;TEXT(A1672,"hh"),LoadTable[],5,FALSE)*0.92</f>
        <v>237.25788000000003</v>
      </c>
      <c r="U1672" s="104">
        <f>VLOOKUP(TEXT(A1672,"yy-mm")&amp;"-"&amp;IF(AND(WEEKDAY(A1672)&gt;1,WEEKDAY(A1672)&lt;7),"Wkd",TEXT(A1672,"Ddd"))&amp;"-"&amp;TEXT(A1672,"hh"),LoadTable[],6,FALSE)*T1672</f>
        <v>10978.39662336</v>
      </c>
      <c r="V1672">
        <f t="shared" ref="V1672:W1672" si="1775">V1648</f>
        <v>3.2</v>
      </c>
      <c r="W1672">
        <f t="shared" si="1775"/>
        <v>2.9</v>
      </c>
      <c r="X1672" s="9">
        <v>-69.280545816666304</v>
      </c>
    </row>
    <row r="1673" spans="1:24">
      <c r="A1673" s="29">
        <f t="shared" si="1771"/>
        <v>45905.583333329283</v>
      </c>
      <c r="B1673" s="30">
        <f t="shared" si="1726"/>
        <v>8000</v>
      </c>
      <c r="C1673" s="8">
        <v>25000</v>
      </c>
      <c r="D1673" s="8">
        <v>0</v>
      </c>
      <c r="E1673" s="8">
        <v>700</v>
      </c>
      <c r="F1673" s="8">
        <v>15000</v>
      </c>
      <c r="G1673" s="30">
        <f t="shared" si="1727"/>
        <v>2400</v>
      </c>
      <c r="H1673" s="8">
        <v>25000</v>
      </c>
      <c r="I1673" s="30">
        <f t="shared" si="1728"/>
        <v>8000</v>
      </c>
      <c r="J1673" s="8">
        <v>25000</v>
      </c>
      <c r="K1673" s="30">
        <f t="shared" si="1729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15.03</v>
      </c>
      <c r="O1673" s="9">
        <v>13.5</v>
      </c>
      <c r="P1673" s="9">
        <v>19.5</v>
      </c>
      <c r="Q1673" s="79">
        <f>VLOOKUP(VLOOKUP(DATEVALUE(TEXT(A1673,"m/d/yyyy")),FY24_Temp[],5,FALSE)&amp;TEXT(A1673,"-h"),Table6[],4,FALSE)</f>
        <v>0.91900000401905602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VLOOKUP(TEXT(A1673,"yy-mm")&amp;"-"&amp;IF(AND(WEEKDAY(A1673)&gt;1,WEEKDAY(A1673)&lt;7),"Wkd",TEXT(A1673,"Ddd"))&amp;"-"&amp;TEXT(A1673,"hh"),LoadTable[],5,FALSE)*0.92</f>
        <v>269.75136000000003</v>
      </c>
      <c r="U1673" s="104">
        <f>VLOOKUP(TEXT(A1673,"yy-mm")&amp;"-"&amp;IF(AND(WEEKDAY(A1673)&gt;1,WEEKDAY(A1673)&lt;7),"Wkd",TEXT(A1673,"Ddd"))&amp;"-"&amp;TEXT(A1673,"hh"),LoadTable[],6,FALSE)*T1673</f>
        <v>12503.245287360001</v>
      </c>
      <c r="V1673">
        <f t="shared" ref="V1673:W1673" si="1776">V1649</f>
        <v>3.5</v>
      </c>
      <c r="W1673">
        <f t="shared" si="1776"/>
        <v>2.9</v>
      </c>
      <c r="X1673" s="9">
        <v>-69.358340366666297</v>
      </c>
    </row>
    <row r="1674" spans="1:24">
      <c r="A1674" s="29">
        <f t="shared" si="1771"/>
        <v>45905.624999995947</v>
      </c>
      <c r="B1674" s="30">
        <f t="shared" si="1726"/>
        <v>8000</v>
      </c>
      <c r="C1674" s="8">
        <v>25000</v>
      </c>
      <c r="D1674" s="8">
        <v>0</v>
      </c>
      <c r="E1674" s="8">
        <v>700</v>
      </c>
      <c r="F1674" s="8">
        <v>15000</v>
      </c>
      <c r="G1674" s="30">
        <f t="shared" si="1727"/>
        <v>2400</v>
      </c>
      <c r="H1674" s="8">
        <v>25000</v>
      </c>
      <c r="I1674" s="30">
        <f t="shared" si="1728"/>
        <v>8000</v>
      </c>
      <c r="J1674" s="8">
        <v>25000</v>
      </c>
      <c r="K1674" s="30">
        <f t="shared" si="1729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15.03</v>
      </c>
      <c r="O1674" s="9">
        <v>13.5</v>
      </c>
      <c r="P1674" s="9">
        <v>19.5</v>
      </c>
      <c r="Q1674" s="79">
        <f>VLOOKUP(VLOOKUP(DATEVALUE(TEXT(A1674,"m/d/yyyy")),FY24_Temp[],5,FALSE)&amp;TEXT(A1674,"-h"),Table6[],4,FALSE)</f>
        <v>0.76014286279678345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VLOOKUP(TEXT(A1674,"yy-mm")&amp;"-"&amp;IF(AND(WEEKDAY(A1674)&gt;1,WEEKDAY(A1674)&lt;7),"Wkd",TEXT(A1674,"Ddd"))&amp;"-"&amp;TEXT(A1674,"hh"),LoadTable[],5,FALSE)*0.92</f>
        <v>388.38076000000001</v>
      </c>
      <c r="U1674" s="104">
        <f>VLOOKUP(TEXT(A1674,"yy-mm")&amp;"-"&amp;IF(AND(WEEKDAY(A1674)&gt;1,WEEKDAY(A1674)&lt;7),"Wkd",TEXT(A1674,"Ddd"))&amp;"-"&amp;TEXT(A1674,"hh"),LoadTable[],6,FALSE)*T1674</f>
        <v>19705.663000880002</v>
      </c>
      <c r="V1674">
        <f t="shared" ref="V1674:W1674" si="1777">V1650</f>
        <v>3.2</v>
      </c>
      <c r="W1674">
        <f t="shared" si="1777"/>
        <v>2.9</v>
      </c>
      <c r="X1674" s="9">
        <v>-69.436134916666305</v>
      </c>
    </row>
    <row r="1675" spans="1:24">
      <c r="A1675" s="29">
        <f t="shared" si="1771"/>
        <v>45905.666666662612</v>
      </c>
      <c r="B1675" s="30">
        <f t="shared" si="1726"/>
        <v>8000</v>
      </c>
      <c r="C1675" s="8">
        <v>25000</v>
      </c>
      <c r="D1675" s="8">
        <v>0</v>
      </c>
      <c r="E1675" s="8">
        <v>700</v>
      </c>
      <c r="F1675" s="8">
        <v>15000</v>
      </c>
      <c r="G1675" s="30">
        <f t="shared" si="1727"/>
        <v>2400</v>
      </c>
      <c r="H1675" s="8">
        <v>25000</v>
      </c>
      <c r="I1675" s="30">
        <f t="shared" si="1728"/>
        <v>8000</v>
      </c>
      <c r="J1675" s="8">
        <v>25000</v>
      </c>
      <c r="K1675" s="30">
        <f t="shared" si="1729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15.03</v>
      </c>
      <c r="O1675" s="9">
        <v>13.5</v>
      </c>
      <c r="P1675" s="9">
        <v>19.5</v>
      </c>
      <c r="Q1675" s="79">
        <f>VLOOKUP(VLOOKUP(DATEVALUE(TEXT(A1675,"m/d/yyyy")),FY24_Temp[],5,FALSE)&amp;TEXT(A1675,"-h"),Table6[],4,FALSE)</f>
        <v>0.67185714415141518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VLOOKUP(TEXT(A1675,"yy-mm")&amp;"-"&amp;IF(AND(WEEKDAY(A1675)&gt;1,WEEKDAY(A1675)&lt;7),"Wkd",TEXT(A1675,"Ddd"))&amp;"-"&amp;TEXT(A1675,"hh"),LoadTable[],5,FALSE)*0.92</f>
        <v>388.38076000000001</v>
      </c>
      <c r="U1675" s="104">
        <f>VLOOKUP(TEXT(A1675,"yy-mm")&amp;"-"&amp;IF(AND(WEEKDAY(A1675)&gt;1,WEEKDAY(A1675)&lt;7),"Wkd",TEXT(A1675,"Ddd"))&amp;"-"&amp;TEXT(A1675,"hh"),LoadTable[],6,FALSE)*T1675</f>
        <v>23675.6911296</v>
      </c>
      <c r="V1675">
        <f t="shared" ref="V1675:W1675" si="1778">V1651</f>
        <v>3.5</v>
      </c>
      <c r="W1675">
        <f t="shared" si="1778"/>
        <v>3</v>
      </c>
      <c r="X1675" s="9">
        <v>-69.513929466666298</v>
      </c>
    </row>
    <row r="1676" spans="1:24">
      <c r="A1676" s="29">
        <f t="shared" si="1771"/>
        <v>45905.708333329276</v>
      </c>
      <c r="B1676" s="30">
        <f t="shared" si="1726"/>
        <v>8000</v>
      </c>
      <c r="C1676" s="8">
        <v>25000</v>
      </c>
      <c r="D1676" s="8">
        <v>0</v>
      </c>
      <c r="E1676" s="8">
        <v>700</v>
      </c>
      <c r="F1676" s="8">
        <v>15000</v>
      </c>
      <c r="G1676" s="30">
        <f t="shared" si="1727"/>
        <v>2400</v>
      </c>
      <c r="H1676" s="8">
        <v>25000</v>
      </c>
      <c r="I1676" s="30">
        <f t="shared" si="1728"/>
        <v>8000</v>
      </c>
      <c r="J1676" s="8">
        <v>25000</v>
      </c>
      <c r="K1676" s="30">
        <f t="shared" si="1729"/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15.03</v>
      </c>
      <c r="O1676" s="9">
        <v>13.5</v>
      </c>
      <c r="P1676" s="9">
        <v>19.5</v>
      </c>
      <c r="Q1676" s="79">
        <f>VLOOKUP(VLOOKUP(DATEVALUE(TEXT(A1676,"m/d/yyyy")),FY24_Temp[],5,FALSE)&amp;TEXT(A1676,"-h"),Table6[],4,FALSE)</f>
        <v>0.80171428407941547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VLOOKUP(TEXT(A1676,"yy-mm")&amp;"-"&amp;IF(AND(WEEKDAY(A1676)&gt;1,WEEKDAY(A1676)&lt;7),"Wkd",TEXT(A1676,"Ddd"))&amp;"-"&amp;TEXT(A1676,"hh"),LoadTable[],5,FALSE)*0.92</f>
        <v>388.38076000000001</v>
      </c>
      <c r="U1676" s="104">
        <f>VLOOKUP(TEXT(A1676,"yy-mm")&amp;"-"&amp;IF(AND(WEEKDAY(A1676)&gt;1,WEEKDAY(A1676)&lt;7),"Wkd",TEXT(A1676,"Ddd"))&amp;"-"&amp;TEXT(A1676,"hh"),LoadTable[],6,FALSE)*T1676</f>
        <v>31454.180990880002</v>
      </c>
      <c r="V1676">
        <f t="shared" ref="V1676:W1676" si="1779">V1652</f>
        <v>3.6</v>
      </c>
      <c r="W1676">
        <f t="shared" si="1779"/>
        <v>3</v>
      </c>
      <c r="X1676" s="9">
        <v>-69.591724016666305</v>
      </c>
    </row>
    <row r="1677" spans="1:24">
      <c r="A1677" s="29">
        <f t="shared" si="1771"/>
        <v>45905.74999999594</v>
      </c>
      <c r="B1677" s="30">
        <f t="shared" si="1726"/>
        <v>5000</v>
      </c>
      <c r="C1677" s="8">
        <v>25000</v>
      </c>
      <c r="D1677" s="8">
        <v>0</v>
      </c>
      <c r="E1677" s="8">
        <v>700</v>
      </c>
      <c r="F1677" s="8">
        <v>15000</v>
      </c>
      <c r="G1677" s="30">
        <f t="shared" si="1727"/>
        <v>2400</v>
      </c>
      <c r="H1677" s="8">
        <v>25000</v>
      </c>
      <c r="I1677" s="30">
        <f t="shared" si="1728"/>
        <v>5000</v>
      </c>
      <c r="J1677" s="8">
        <v>25000</v>
      </c>
      <c r="K1677" s="30">
        <f t="shared" si="1729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15.03</v>
      </c>
      <c r="O1677" s="9">
        <v>13.5</v>
      </c>
      <c r="P1677" s="9">
        <v>19.5</v>
      </c>
      <c r="Q1677" s="79">
        <f>VLOOKUP(VLOOKUP(DATEVALUE(TEXT(A1677,"m/d/yyyy")),FY24_Temp[],5,FALSE)&amp;TEXT(A1677,"-h"),Table6[],4,FALSE)</f>
        <v>1.1738571269171578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VLOOKUP(TEXT(A1677,"yy-mm")&amp;"-"&amp;IF(AND(WEEKDAY(A1677)&gt;1,WEEKDAY(A1677)&lt;7),"Wkd",TEXT(A1677,"Ddd"))&amp;"-"&amp;TEXT(A1677,"hh"),LoadTable[],5,FALSE)*0.92</f>
        <v>388.38076000000001</v>
      </c>
      <c r="U1677" s="104">
        <f>VLOOKUP(TEXT(A1677,"yy-mm")&amp;"-"&amp;IF(AND(WEEKDAY(A1677)&gt;1,WEEKDAY(A1677)&lt;7),"Wkd",TEXT(A1677,"Ddd"))&amp;"-"&amp;TEXT(A1677,"hh"),LoadTable[],6,FALSE)*T1677</f>
        <v>38316.869020080005</v>
      </c>
      <c r="V1677">
        <f t="shared" ref="V1677:W1677" si="1780">V1653</f>
        <v>2.9</v>
      </c>
      <c r="W1677">
        <f t="shared" si="1780"/>
        <v>3</v>
      </c>
      <c r="X1677" s="9">
        <v>-69.669518566666298</v>
      </c>
    </row>
    <row r="1678" spans="1:24">
      <c r="A1678" s="29">
        <f t="shared" si="1771"/>
        <v>45905.791666662604</v>
      </c>
      <c r="B1678" s="30">
        <f t="shared" si="1726"/>
        <v>5000</v>
      </c>
      <c r="C1678" s="8">
        <v>25000</v>
      </c>
      <c r="D1678" s="8">
        <v>0</v>
      </c>
      <c r="E1678" s="8">
        <v>700</v>
      </c>
      <c r="F1678" s="8">
        <v>15000</v>
      </c>
      <c r="G1678" s="30">
        <f t="shared" si="1727"/>
        <v>2400</v>
      </c>
      <c r="H1678" s="8">
        <v>25000</v>
      </c>
      <c r="I1678" s="30">
        <f t="shared" si="1728"/>
        <v>5000</v>
      </c>
      <c r="J1678" s="8">
        <v>25000</v>
      </c>
      <c r="K1678" s="30">
        <f t="shared" si="1729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15.03</v>
      </c>
      <c r="O1678" s="9">
        <v>13.5</v>
      </c>
      <c r="P1678" s="9">
        <v>19.5</v>
      </c>
      <c r="Q1678" s="79">
        <f>VLOOKUP(VLOOKUP(DATEVALUE(TEXT(A1678,"m/d/yyyy")),FY24_Temp[],5,FALSE)&amp;TEXT(A1678,"-h"),Table6[],4,FALSE)</f>
        <v>1.9135714258466447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VLOOKUP(TEXT(A1678,"yy-mm")&amp;"-"&amp;IF(AND(WEEKDAY(A1678)&gt;1,WEEKDAY(A1678)&lt;7),"Wkd",TEXT(A1678,"Ddd"))&amp;"-"&amp;TEXT(A1678,"hh"),LoadTable[],5,FALSE)*0.92</f>
        <v>388.38076000000001</v>
      </c>
      <c r="U1678" s="104">
        <f>VLOOKUP(TEXT(A1678,"yy-mm")&amp;"-"&amp;IF(AND(WEEKDAY(A1678)&gt;1,WEEKDAY(A1678)&lt;7),"Wkd",TEXT(A1678,"Ddd"))&amp;"-"&amp;TEXT(A1678,"hh"),LoadTable[],6,FALSE)*T1678</f>
        <v>41132.241149319998</v>
      </c>
      <c r="V1678">
        <f t="shared" ref="V1678:W1678" si="1781">V1654</f>
        <v>3</v>
      </c>
      <c r="W1678">
        <f t="shared" si="1781"/>
        <v>3</v>
      </c>
      <c r="X1678" s="9">
        <v>-69.747313116666305</v>
      </c>
    </row>
    <row r="1679" spans="1:24">
      <c r="A1679" s="29">
        <f t="shared" si="1771"/>
        <v>45905.833333329268</v>
      </c>
      <c r="B1679" s="30">
        <f t="shared" si="1726"/>
        <v>5000</v>
      </c>
      <c r="C1679" s="8">
        <v>25000</v>
      </c>
      <c r="D1679" s="8">
        <v>0</v>
      </c>
      <c r="E1679" s="8">
        <v>700</v>
      </c>
      <c r="F1679" s="8">
        <v>15000</v>
      </c>
      <c r="G1679" s="30">
        <f t="shared" si="1727"/>
        <v>2400</v>
      </c>
      <c r="H1679" s="8">
        <v>25000</v>
      </c>
      <c r="I1679" s="30">
        <f t="shared" si="1728"/>
        <v>5000</v>
      </c>
      <c r="J1679" s="8">
        <v>25000</v>
      </c>
      <c r="K1679" s="30">
        <f t="shared" si="1729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15.03</v>
      </c>
      <c r="O1679" s="9">
        <v>13.5</v>
      </c>
      <c r="P1679" s="9">
        <v>19.5</v>
      </c>
      <c r="Q1679" s="79">
        <f>VLOOKUP(VLOOKUP(DATEVALUE(TEXT(A1679,"m/d/yyyy")),FY24_Temp[],5,FALSE)&amp;TEXT(A1679,"-h"),Table6[],4,FALSE)</f>
        <v>2.6564285755157471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VLOOKUP(TEXT(A1679,"yy-mm")&amp;"-"&amp;IF(AND(WEEKDAY(A1679)&gt;1,WEEKDAY(A1679)&lt;7),"Wkd",TEXT(A1679,"Ddd"))&amp;"-"&amp;TEXT(A1679,"hh"),LoadTable[],5,FALSE)*0.92</f>
        <v>388.38076000000001</v>
      </c>
      <c r="U1679" s="104">
        <f>VLOOKUP(TEXT(A1679,"yy-mm")&amp;"-"&amp;IF(AND(WEEKDAY(A1679)&gt;1,WEEKDAY(A1679)&lt;7),"Wkd",TEXT(A1679,"Ddd"))&amp;"-"&amp;TEXT(A1679,"hh"),LoadTable[],6,FALSE)*T1679</f>
        <v>36274.762984000001</v>
      </c>
      <c r="V1679">
        <f t="shared" ref="V1679:W1679" si="1782">V1655</f>
        <v>2.8</v>
      </c>
      <c r="W1679">
        <f t="shared" si="1782"/>
        <v>3.1</v>
      </c>
      <c r="X1679" s="9">
        <v>-69.825107666666298</v>
      </c>
    </row>
    <row r="1680" spans="1:24">
      <c r="A1680" s="29">
        <f t="shared" si="1771"/>
        <v>45905.874999995933</v>
      </c>
      <c r="B1680" s="30">
        <f t="shared" si="1726"/>
        <v>5000</v>
      </c>
      <c r="C1680" s="8">
        <v>25000</v>
      </c>
      <c r="D1680" s="8">
        <v>0</v>
      </c>
      <c r="E1680" s="8">
        <v>700</v>
      </c>
      <c r="F1680" s="8">
        <v>15000</v>
      </c>
      <c r="G1680" s="30">
        <f t="shared" si="1727"/>
        <v>2400</v>
      </c>
      <c r="H1680" s="8">
        <v>25000</v>
      </c>
      <c r="I1680" s="30">
        <f t="shared" si="1728"/>
        <v>5000</v>
      </c>
      <c r="J1680" s="8">
        <v>25000</v>
      </c>
      <c r="K1680" s="30">
        <f t="shared" si="1729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15.03</v>
      </c>
      <c r="O1680" s="9">
        <v>13.5</v>
      </c>
      <c r="P1680" s="9">
        <v>19.5</v>
      </c>
      <c r="Q1680" s="79">
        <f>VLOOKUP(VLOOKUP(DATEVALUE(TEXT(A1680,"m/d/yyyy")),FY24_Temp[],5,FALSE)&amp;TEXT(A1680,"-h"),Table6[],4,FALSE)</f>
        <v>2.854142870221819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VLOOKUP(TEXT(A1680,"yy-mm")&amp;"-"&amp;IF(AND(WEEKDAY(A1680)&gt;1,WEEKDAY(A1680)&lt;7),"Wkd",TEXT(A1680,"Ddd"))&amp;"-"&amp;TEXT(A1680,"hh"),LoadTable[],5,FALSE)*0.92</f>
        <v>373.79416000000003</v>
      </c>
      <c r="U1680" s="104">
        <f>VLOOKUP(TEXT(A1680,"yy-mm")&amp;"-"&amp;IF(AND(WEEKDAY(A1680)&gt;1,WEEKDAY(A1680)&lt;7),"Wkd",TEXT(A1680,"Ddd"))&amp;"-"&amp;TEXT(A1680,"hh"),LoadTable[],6,FALSE)*T1680</f>
        <v>31749.328362080003</v>
      </c>
      <c r="V1680">
        <f t="shared" ref="V1680:W1680" si="1783">V1656</f>
        <v>3.5</v>
      </c>
      <c r="W1680">
        <f t="shared" si="1783"/>
        <v>3.1</v>
      </c>
      <c r="X1680" s="9">
        <v>-69.902902216666305</v>
      </c>
    </row>
    <row r="1681" spans="1:24">
      <c r="A1681" s="29">
        <f t="shared" si="1771"/>
        <v>45905.916666662597</v>
      </c>
      <c r="B1681" s="30">
        <f t="shared" si="1726"/>
        <v>5000</v>
      </c>
      <c r="C1681" s="8">
        <v>25000</v>
      </c>
      <c r="D1681" s="8">
        <v>0</v>
      </c>
      <c r="E1681" s="8">
        <v>700</v>
      </c>
      <c r="F1681" s="8">
        <v>15000</v>
      </c>
      <c r="G1681" s="30">
        <f t="shared" si="1727"/>
        <v>2400</v>
      </c>
      <c r="H1681" s="8">
        <v>25000</v>
      </c>
      <c r="I1681" s="30">
        <f t="shared" si="1728"/>
        <v>5000</v>
      </c>
      <c r="J1681" s="8">
        <v>25000</v>
      </c>
      <c r="K1681" s="30">
        <f t="shared" si="1729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15.03</v>
      </c>
      <c r="O1681" s="9">
        <v>13.5</v>
      </c>
      <c r="P1681" s="9">
        <v>19.5</v>
      </c>
      <c r="Q1681" s="79">
        <f>VLOOKUP(VLOOKUP(DATEVALUE(TEXT(A1681,"m/d/yyyy")),FY24_Temp[],5,FALSE)&amp;TEXT(A1681,"-h"),Table6[],4,FALSE)</f>
        <v>2.8205713544573103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VLOOKUP(TEXT(A1681,"yy-mm")&amp;"-"&amp;IF(AND(WEEKDAY(A1681)&gt;1,WEEKDAY(A1681)&lt;7),"Wkd",TEXT(A1681,"Ddd"))&amp;"-"&amp;TEXT(A1681,"hh"),LoadTable[],5,FALSE)*0.92</f>
        <v>299.65044</v>
      </c>
      <c r="U1681" s="104">
        <f>VLOOKUP(TEXT(A1681,"yy-mm")&amp;"-"&amp;IF(AND(WEEKDAY(A1681)&gt;1,WEEKDAY(A1681)&lt;7),"Wkd",TEXT(A1681,"Ddd"))&amp;"-"&amp;TEXT(A1681,"hh"),LoadTable[],6,FALSE)*T1681</f>
        <v>15023.87376072</v>
      </c>
      <c r="V1681">
        <f t="shared" ref="V1681:W1681" si="1784">V1657</f>
        <v>2.9</v>
      </c>
      <c r="W1681">
        <f t="shared" si="1784"/>
        <v>3.1</v>
      </c>
      <c r="X1681" s="9">
        <v>-69.980696766666298</v>
      </c>
    </row>
    <row r="1682" spans="1:24" ht="16" thickBot="1">
      <c r="A1682" s="29">
        <f t="shared" si="1771"/>
        <v>45905.958333329261</v>
      </c>
      <c r="B1682" s="30">
        <f t="shared" si="1726"/>
        <v>5000</v>
      </c>
      <c r="C1682" s="8">
        <v>25000</v>
      </c>
      <c r="D1682" s="8">
        <v>0</v>
      </c>
      <c r="E1682" s="8">
        <v>700</v>
      </c>
      <c r="F1682" s="8">
        <v>15000</v>
      </c>
      <c r="G1682" s="30">
        <f t="shared" si="1727"/>
        <v>2400</v>
      </c>
      <c r="H1682" s="8">
        <v>25000</v>
      </c>
      <c r="I1682" s="30">
        <f t="shared" si="1728"/>
        <v>5000</v>
      </c>
      <c r="J1682" s="8">
        <v>25000</v>
      </c>
      <c r="K1682" s="30">
        <f t="shared" si="1729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15.03</v>
      </c>
      <c r="O1682" s="9">
        <v>13.5</v>
      </c>
      <c r="P1682" s="9">
        <v>19.5</v>
      </c>
      <c r="Q1682" s="79">
        <f>VLOOKUP(VLOOKUP(DATEVALUE(TEXT(A1682,"m/d/yyyy")),FY24_Temp[],5,FALSE)&amp;TEXT(A1682,"-h"),Table6[],4,FALSE)</f>
        <v>2.7085714680807933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VLOOKUP(TEXT(A1682,"yy-mm")&amp;"-"&amp;IF(AND(WEEKDAY(A1682)&gt;1,WEEKDAY(A1682)&lt;7),"Wkd",TEXT(A1682,"Ddd"))&amp;"-"&amp;TEXT(A1682,"hh"),LoadTable[],5,FALSE)*0.92</f>
        <v>237.25788000000003</v>
      </c>
      <c r="U1682" s="104">
        <f>VLOOKUP(TEXT(A1682,"yy-mm")&amp;"-"&amp;IF(AND(WEEKDAY(A1682)&gt;1,WEEKDAY(A1682)&lt;7),"Wkd",TEXT(A1682,"Ddd"))&amp;"-"&amp;TEXT(A1682,"hh"),LoadTable[],6,FALSE)*T1682</f>
        <v>11687.323168800001</v>
      </c>
      <c r="V1682">
        <f t="shared" ref="V1682:W1682" si="1785">V1658</f>
        <v>3.6</v>
      </c>
      <c r="W1682">
        <f t="shared" si="1785"/>
        <v>3.1</v>
      </c>
      <c r="X1682" s="9">
        <v>-70.058491316666306</v>
      </c>
    </row>
    <row r="1683" spans="1:24" ht="16" thickBot="1">
      <c r="A1683" s="120">
        <f t="shared" si="1771"/>
        <v>45905.999999995925</v>
      </c>
      <c r="B1683" s="121">
        <f t="shared" si="1726"/>
        <v>5000</v>
      </c>
      <c r="C1683" s="114">
        <v>25000</v>
      </c>
      <c r="D1683" s="114">
        <v>0</v>
      </c>
      <c r="E1683" s="114">
        <v>700</v>
      </c>
      <c r="F1683" s="114">
        <v>15000</v>
      </c>
      <c r="G1683" s="114">
        <f t="shared" si="1727"/>
        <v>2400</v>
      </c>
      <c r="H1683" s="114">
        <v>25000</v>
      </c>
      <c r="I1683" s="114">
        <f t="shared" si="1728"/>
        <v>5000</v>
      </c>
      <c r="J1683" s="114">
        <v>25000</v>
      </c>
      <c r="K1683" s="114">
        <f t="shared" si="1729"/>
        <v>5000</v>
      </c>
      <c r="L1683" s="114">
        <v>25000</v>
      </c>
      <c r="M1683" s="115">
        <f>VLOOKUP(DATE(YEAR(A1683),MONTH(A1683),DAY(A1683)),FY24_Temp[],4,FALSE)</f>
        <v>8.5</v>
      </c>
      <c r="N1683" s="115">
        <f>VLOOKUP(DATE(YEAR(A1683),MONTH(A1683),DAY(A1683)),FY24_Temp[],3,FALSE)</f>
        <v>15.21</v>
      </c>
      <c r="O1683" s="115">
        <v>13.5</v>
      </c>
      <c r="P1683" s="115">
        <v>19.5</v>
      </c>
      <c r="Q1683" s="116">
        <f>VLOOKUP(VLOOKUP(DATEVALUE(TEXT(A1683,"m/d/yyyy")),FY24_Temp[],5,FALSE)&amp;TEXT(A1683,"-h"),Table6[],4,FALSE)</f>
        <v>2.6951428822108676</v>
      </c>
      <c r="R1683" s="117">
        <v>10</v>
      </c>
      <c r="S1683" s="117">
        <v>1000</v>
      </c>
      <c r="T1683" s="100">
        <f>VLOOKUP(TEXT(A1683,"yy-mm")&amp;"-"&amp;IF(AND(WEEKDAY(A1683)&gt;1,WEEKDAY(A1683)&lt;7),"Wkd",TEXT(A1683,"Ddd"))&amp;"-"&amp;TEXT(A1683,"hh"),LoadTable[],5,FALSE)*0.92</f>
        <v>237.25788000000003</v>
      </c>
      <c r="U1683" s="118">
        <f>VLOOKUP(TEXT(A1683,"yy-mm")&amp;"-"&amp;IF(AND(WEEKDAY(A1683)&gt;1,WEEKDAY(A1683)&lt;7),"Wkd",TEXT(A1683,"Ddd"))&amp;"-"&amp;TEXT(A1683,"hh"),LoadTable[],6,FALSE)*T1683</f>
        <v>11614.24774176</v>
      </c>
      <c r="V1683" s="117">
        <f t="shared" ref="V1683:W1683" si="1786">V1659</f>
        <v>3</v>
      </c>
      <c r="W1683" s="117">
        <f t="shared" si="1786"/>
        <v>3.2</v>
      </c>
      <c r="X1683" s="119">
        <v>-70.136285866666398</v>
      </c>
    </row>
    <row r="1684" spans="1:24">
      <c r="A1684" s="29">
        <f t="shared" si="1771"/>
        <v>45906.04166666259</v>
      </c>
      <c r="B1684" s="30">
        <f t="shared" si="1726"/>
        <v>5000</v>
      </c>
      <c r="C1684" s="8">
        <v>25000</v>
      </c>
      <c r="D1684" s="8">
        <v>0</v>
      </c>
      <c r="E1684" s="8">
        <v>700</v>
      </c>
      <c r="F1684" s="8">
        <v>15000</v>
      </c>
      <c r="G1684" s="30">
        <f t="shared" si="1727"/>
        <v>2400</v>
      </c>
      <c r="H1684" s="8">
        <v>25000</v>
      </c>
      <c r="I1684" s="30">
        <f t="shared" si="1728"/>
        <v>5000</v>
      </c>
      <c r="J1684" s="8">
        <v>25000</v>
      </c>
      <c r="K1684" s="30">
        <f t="shared" si="1729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VLOOKUP(VLOOKUP(DATEVALUE(TEXT(A1684,"m/d/yyyy")),FY24_Temp[],5,FALSE)&amp;TEXT(A1684,"-h"),Table6[],4,FALSE)</f>
        <v>2.6332857268197194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VLOOKUP(TEXT(A1684,"yy-mm")&amp;"-"&amp;IF(AND(WEEKDAY(A1684)&gt;1,WEEKDAY(A1684)&lt;7),"Wkd",TEXT(A1684,"Ddd"))&amp;"-"&amp;TEXT(A1684,"hh"),LoadTable[],5,FALSE)*0.92</f>
        <v>237.25788000000003</v>
      </c>
      <c r="U1684" s="104">
        <f>VLOOKUP(TEXT(A1684,"yy-mm")&amp;"-"&amp;IF(AND(WEEKDAY(A1684)&gt;1,WEEKDAY(A1684)&lt;7),"Wkd",TEXT(A1684,"Ddd"))&amp;"-"&amp;TEXT(A1684,"hh"),LoadTable[],6,FALSE)*T1684</f>
        <v>11567.270681520002</v>
      </c>
      <c r="V1684">
        <f t="shared" ref="V1684:W1684" si="1787">V1660</f>
        <v>2.6</v>
      </c>
      <c r="W1684">
        <f t="shared" si="1787"/>
        <v>3.2</v>
      </c>
      <c r="X1684" s="9">
        <v>-70.214080416666405</v>
      </c>
    </row>
    <row r="1685" spans="1:24">
      <c r="A1685" s="29">
        <f t="shared" si="1771"/>
        <v>45906.083333329254</v>
      </c>
      <c r="B1685" s="30">
        <f t="shared" si="1726"/>
        <v>5000</v>
      </c>
      <c r="C1685" s="8">
        <v>25000</v>
      </c>
      <c r="D1685" s="8">
        <v>0</v>
      </c>
      <c r="E1685" s="8">
        <v>700</v>
      </c>
      <c r="F1685" s="8">
        <v>15000</v>
      </c>
      <c r="G1685" s="30">
        <f t="shared" si="1727"/>
        <v>2400</v>
      </c>
      <c r="H1685" s="8">
        <v>25000</v>
      </c>
      <c r="I1685" s="30">
        <f t="shared" si="1728"/>
        <v>5000</v>
      </c>
      <c r="J1685" s="8">
        <v>25000</v>
      </c>
      <c r="K1685" s="30">
        <f t="shared" si="1729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VLOOKUP(VLOOKUP(DATEVALUE(TEXT(A1685,"m/d/yyyy")),FY24_Temp[],5,FALSE)&amp;TEXT(A1685,"-h"),Table6[],4,FALSE)</f>
        <v>2.5004285403660367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VLOOKUP(TEXT(A1685,"yy-mm")&amp;"-"&amp;IF(AND(WEEKDAY(A1685)&gt;1,WEEKDAY(A1685)&lt;7),"Wkd",TEXT(A1685,"Ddd"))&amp;"-"&amp;TEXT(A1685,"hh"),LoadTable[],5,FALSE)*0.92</f>
        <v>237.25788000000003</v>
      </c>
      <c r="U1685" s="104">
        <f>VLOOKUP(TEXT(A1685,"yy-mm")&amp;"-"&amp;IF(AND(WEEKDAY(A1685)&gt;1,WEEKDAY(A1685)&lt;7),"Wkd",TEXT(A1685,"Ddd"))&amp;"-"&amp;TEXT(A1685,"hh"),LoadTable[],6,FALSE)*T1685</f>
        <v>11654.581581360002</v>
      </c>
      <c r="V1685">
        <f t="shared" ref="V1685:W1685" si="1788">V1661</f>
        <v>2.8</v>
      </c>
      <c r="W1685">
        <f t="shared" si="1788"/>
        <v>3.2</v>
      </c>
      <c r="X1685" s="9">
        <v>-70.291874966666398</v>
      </c>
    </row>
    <row r="1686" spans="1:24">
      <c r="A1686" s="29">
        <f t="shared" si="1771"/>
        <v>45906.124999995918</v>
      </c>
      <c r="B1686" s="30">
        <f t="shared" si="1726"/>
        <v>5000</v>
      </c>
      <c r="C1686" s="8">
        <v>25000</v>
      </c>
      <c r="D1686" s="8">
        <v>0</v>
      </c>
      <c r="E1686" s="8">
        <v>700</v>
      </c>
      <c r="F1686" s="8">
        <v>15000</v>
      </c>
      <c r="G1686" s="30">
        <f t="shared" si="1727"/>
        <v>2400</v>
      </c>
      <c r="H1686" s="8">
        <v>25000</v>
      </c>
      <c r="I1686" s="30">
        <f t="shared" si="1728"/>
        <v>5000</v>
      </c>
      <c r="J1686" s="8">
        <v>25000</v>
      </c>
      <c r="K1686" s="30">
        <f t="shared" si="1729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VLOOKUP(VLOOKUP(DATEVALUE(TEXT(A1686,"m/d/yyyy")),FY24_Temp[],5,FALSE)&amp;TEXT(A1686,"-h"),Table6[],4,FALSE)</f>
        <v>2.3495714323861256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VLOOKUP(TEXT(A1686,"yy-mm")&amp;"-"&amp;IF(AND(WEEKDAY(A1686)&gt;1,WEEKDAY(A1686)&lt;7),"Wkd",TEXT(A1686,"Ddd"))&amp;"-"&amp;TEXT(A1686,"hh"),LoadTable[],5,FALSE)*0.92</f>
        <v>237.25788000000003</v>
      </c>
      <c r="U1686" s="104">
        <f>VLOOKUP(TEXT(A1686,"yy-mm")&amp;"-"&amp;IF(AND(WEEKDAY(A1686)&gt;1,WEEKDAY(A1686)&lt;7),"Wkd",TEXT(A1686,"Ddd"))&amp;"-"&amp;TEXT(A1686,"hh"),LoadTable[],6,FALSE)*T1686</f>
        <v>11699.897836440003</v>
      </c>
      <c r="V1686">
        <f t="shared" ref="V1686:W1686" si="1789">V1662</f>
        <v>2.7</v>
      </c>
      <c r="W1686">
        <f t="shared" si="1789"/>
        <v>3.2</v>
      </c>
      <c r="X1686" s="9">
        <v>-70.369669516666406</v>
      </c>
    </row>
    <row r="1687" spans="1:24">
      <c r="A1687" s="29">
        <f t="shared" si="1771"/>
        <v>45906.166666662582</v>
      </c>
      <c r="B1687" s="30">
        <f t="shared" si="1726"/>
        <v>5000</v>
      </c>
      <c r="C1687" s="8">
        <v>25000</v>
      </c>
      <c r="D1687" s="8">
        <v>0</v>
      </c>
      <c r="E1687" s="8">
        <v>700</v>
      </c>
      <c r="F1687" s="8">
        <v>15000</v>
      </c>
      <c r="G1687" s="30">
        <f t="shared" si="1727"/>
        <v>2400</v>
      </c>
      <c r="H1687" s="8">
        <v>25000</v>
      </c>
      <c r="I1687" s="30">
        <f t="shared" si="1728"/>
        <v>5000</v>
      </c>
      <c r="J1687" s="8">
        <v>25000</v>
      </c>
      <c r="K1687" s="30">
        <f t="shared" si="1729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VLOOKUP(VLOOKUP(DATEVALUE(TEXT(A1687,"m/d/yyyy")),FY24_Temp[],5,FALSE)&amp;TEXT(A1687,"-h"),Table6[],4,FALSE)</f>
        <v>2.1924285548073903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VLOOKUP(TEXT(A1687,"yy-mm")&amp;"-"&amp;IF(AND(WEEKDAY(A1687)&gt;1,WEEKDAY(A1687)&lt;7),"Wkd",TEXT(A1687,"Ddd"))&amp;"-"&amp;TEXT(A1687,"hh"),LoadTable[],5,FALSE)*0.92</f>
        <v>237.25788000000003</v>
      </c>
      <c r="U1687" s="104">
        <f>VLOOKUP(TEXT(A1687,"yy-mm")&amp;"-"&amp;IF(AND(WEEKDAY(A1687)&gt;1,WEEKDAY(A1687)&lt;7),"Wkd",TEXT(A1687,"Ddd"))&amp;"-"&amp;TEXT(A1687,"hh"),LoadTable[],6,FALSE)*T1687</f>
        <v>11587.912117080001</v>
      </c>
      <c r="V1687">
        <f t="shared" ref="V1687:W1687" si="1790">V1663</f>
        <v>3</v>
      </c>
      <c r="W1687">
        <f t="shared" si="1790"/>
        <v>3.1</v>
      </c>
      <c r="X1687" s="9">
        <v>-70.447464066666399</v>
      </c>
    </row>
    <row r="1688" spans="1:24">
      <c r="A1688" s="29">
        <f t="shared" si="1771"/>
        <v>45906.208333329247</v>
      </c>
      <c r="B1688" s="30">
        <f t="shared" si="1726"/>
        <v>5000</v>
      </c>
      <c r="C1688" s="8">
        <v>25000</v>
      </c>
      <c r="D1688" s="8">
        <v>0</v>
      </c>
      <c r="E1688" s="8">
        <v>700</v>
      </c>
      <c r="F1688" s="8">
        <v>15000</v>
      </c>
      <c r="G1688" s="30">
        <f t="shared" si="1727"/>
        <v>2400</v>
      </c>
      <c r="H1688" s="8">
        <v>25000</v>
      </c>
      <c r="I1688" s="30">
        <f t="shared" si="1728"/>
        <v>5000</v>
      </c>
      <c r="J1688" s="8">
        <v>25000</v>
      </c>
      <c r="K1688" s="30">
        <f t="shared" si="1729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VLOOKUP(VLOOKUP(DATEVALUE(TEXT(A1688,"m/d/yyyy")),FY24_Temp[],5,FALSE)&amp;TEXT(A1688,"-h"),Table6[],4,FALSE)</f>
        <v>2.0738571711948941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VLOOKUP(TEXT(A1688,"yy-mm")&amp;"-"&amp;IF(AND(WEEKDAY(A1688)&gt;1,WEEKDAY(A1688)&lt;7),"Wkd",TEXT(A1688,"Ddd"))&amp;"-"&amp;TEXT(A1688,"hh"),LoadTable[],5,FALSE)*0.92</f>
        <v>237.25788000000003</v>
      </c>
      <c r="U1688" s="104">
        <f>VLOOKUP(TEXT(A1688,"yy-mm")&amp;"-"&amp;IF(AND(WEEKDAY(A1688)&gt;1,WEEKDAY(A1688)&lt;7),"Wkd",TEXT(A1688,"Ddd"))&amp;"-"&amp;TEXT(A1688,"hh"),LoadTable[],6,FALSE)*T1688</f>
        <v>11830.864186200002</v>
      </c>
      <c r="V1688">
        <f t="shared" ref="V1688:W1688" si="1791">V1664</f>
        <v>2.9</v>
      </c>
      <c r="W1688">
        <f t="shared" si="1791"/>
        <v>3.1</v>
      </c>
      <c r="X1688" s="9">
        <v>-70.525258616666406</v>
      </c>
    </row>
    <row r="1689" spans="1:24">
      <c r="A1689" s="29">
        <f t="shared" si="1771"/>
        <v>45906.249999995911</v>
      </c>
      <c r="B1689" s="30">
        <f t="shared" si="1726"/>
        <v>8000</v>
      </c>
      <c r="C1689" s="8">
        <v>25000</v>
      </c>
      <c r="D1689" s="8">
        <v>0</v>
      </c>
      <c r="E1689" s="8">
        <v>700</v>
      </c>
      <c r="F1689" s="8">
        <v>15000</v>
      </c>
      <c r="G1689" s="30">
        <f t="shared" si="1727"/>
        <v>2400</v>
      </c>
      <c r="H1689" s="8">
        <v>25000</v>
      </c>
      <c r="I1689" s="30">
        <f t="shared" si="1728"/>
        <v>8000</v>
      </c>
      <c r="J1689" s="8">
        <v>25000</v>
      </c>
      <c r="K1689" s="30">
        <f t="shared" si="1729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VLOOKUP(VLOOKUP(DATEVALUE(TEXT(A1689,"m/d/yyyy")),FY24_Temp[],5,FALSE)&amp;TEXT(A1689,"-h"),Table6[],4,FALSE)</f>
        <v>1.9711428540093558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VLOOKUP(TEXT(A1689,"yy-mm")&amp;"-"&amp;IF(AND(WEEKDAY(A1689)&gt;1,WEEKDAY(A1689)&lt;7),"Wkd",TEXT(A1689,"Ddd"))&amp;"-"&amp;TEXT(A1689,"hh"),LoadTable[],5,FALSE)*0.92</f>
        <v>237.25788000000003</v>
      </c>
      <c r="U1689" s="104">
        <f>VLOOKUP(TEXT(A1689,"yy-mm")&amp;"-"&amp;IF(AND(WEEKDAY(A1689)&gt;1,WEEKDAY(A1689)&lt;7),"Wkd",TEXT(A1689,"Ddd"))&amp;"-"&amp;TEXT(A1689,"hh"),LoadTable[],6,FALSE)*T1689</f>
        <v>18184.867470480003</v>
      </c>
      <c r="V1689">
        <f t="shared" ref="V1689:W1689" si="1792">V1665</f>
        <v>2.5</v>
      </c>
      <c r="W1689">
        <f t="shared" si="1792"/>
        <v>3.1</v>
      </c>
      <c r="X1689" s="9">
        <v>-70.603053166666399</v>
      </c>
    </row>
    <row r="1690" spans="1:24">
      <c r="A1690" s="29">
        <f t="shared" si="1771"/>
        <v>45906.291666662575</v>
      </c>
      <c r="B1690" s="30">
        <f t="shared" si="1726"/>
        <v>8000</v>
      </c>
      <c r="C1690" s="8">
        <v>25000</v>
      </c>
      <c r="D1690" s="8">
        <v>0</v>
      </c>
      <c r="E1690" s="8">
        <v>700</v>
      </c>
      <c r="F1690" s="8">
        <v>15000</v>
      </c>
      <c r="G1690" s="30">
        <f t="shared" si="1727"/>
        <v>2400</v>
      </c>
      <c r="H1690" s="8">
        <v>25000</v>
      </c>
      <c r="I1690" s="30">
        <f t="shared" si="1728"/>
        <v>8000</v>
      </c>
      <c r="J1690" s="8">
        <v>25000</v>
      </c>
      <c r="K1690" s="30">
        <f t="shared" si="1729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VLOOKUP(VLOOKUP(DATEVALUE(TEXT(A1690,"m/d/yyyy")),FY24_Temp[],5,FALSE)&amp;TEXT(A1690,"-h"),Table6[],4,FALSE)</f>
        <v>1.8018571478979928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VLOOKUP(TEXT(A1690,"yy-mm")&amp;"-"&amp;IF(AND(WEEKDAY(A1690)&gt;1,WEEKDAY(A1690)&lt;7),"Wkd",TEXT(A1690,"Ddd"))&amp;"-"&amp;TEXT(A1690,"hh"),LoadTable[],5,FALSE)*0.92</f>
        <v>237.25788000000003</v>
      </c>
      <c r="U1690" s="104">
        <f>VLOOKUP(TEXT(A1690,"yy-mm")&amp;"-"&amp;IF(AND(WEEKDAY(A1690)&gt;1,WEEKDAY(A1690)&lt;7),"Wkd",TEXT(A1690,"Ddd"))&amp;"-"&amp;TEXT(A1690,"hh"),LoadTable[],6,FALSE)*T1690</f>
        <v>16549.448903640001</v>
      </c>
      <c r="V1690">
        <f t="shared" ref="V1690:W1690" si="1793">V1666</f>
        <v>2.5</v>
      </c>
      <c r="W1690">
        <f t="shared" si="1793"/>
        <v>3.1</v>
      </c>
      <c r="X1690" s="9">
        <v>-70.680847716666406</v>
      </c>
    </row>
    <row r="1691" spans="1:24">
      <c r="A1691" s="29">
        <f t="shared" si="1771"/>
        <v>45906.333333329239</v>
      </c>
      <c r="B1691" s="30">
        <f t="shared" si="1726"/>
        <v>8000</v>
      </c>
      <c r="C1691" s="8">
        <v>25000</v>
      </c>
      <c r="D1691" s="8">
        <v>0</v>
      </c>
      <c r="E1691" s="8">
        <v>700</v>
      </c>
      <c r="F1691" s="8">
        <v>15000</v>
      </c>
      <c r="G1691" s="30">
        <f t="shared" si="1727"/>
        <v>2400</v>
      </c>
      <c r="H1691" s="8">
        <v>25000</v>
      </c>
      <c r="I1691" s="30">
        <f t="shared" si="1728"/>
        <v>8000</v>
      </c>
      <c r="J1691" s="8">
        <v>25000</v>
      </c>
      <c r="K1691" s="30">
        <f t="shared" si="1729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VLOOKUP(VLOOKUP(DATEVALUE(TEXT(A1691,"m/d/yyyy")),FY24_Temp[],5,FALSE)&amp;TEXT(A1691,"-h"),Table6[],4,FALSE)</f>
        <v>1.7142857142857142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VLOOKUP(TEXT(A1691,"yy-mm")&amp;"-"&amp;IF(AND(WEEKDAY(A1691)&gt;1,WEEKDAY(A1691)&lt;7),"Wkd",TEXT(A1691,"Ddd"))&amp;"-"&amp;TEXT(A1691,"hh"),LoadTable[],5,FALSE)*0.92</f>
        <v>237.25788000000003</v>
      </c>
      <c r="U1691" s="104">
        <f>VLOOKUP(TEXT(A1691,"yy-mm")&amp;"-"&amp;IF(AND(WEEKDAY(A1691)&gt;1,WEEKDAY(A1691)&lt;7),"Wkd",TEXT(A1691,"Ddd"))&amp;"-"&amp;TEXT(A1691,"hh"),LoadTable[],6,FALSE)*T1691</f>
        <v>13996.31685696</v>
      </c>
      <c r="V1691">
        <f t="shared" ref="V1691:W1691" si="1794">V1667</f>
        <v>3.2</v>
      </c>
      <c r="W1691">
        <f t="shared" si="1794"/>
        <v>3</v>
      </c>
      <c r="X1691" s="9">
        <v>-70.758642266666399</v>
      </c>
    </row>
    <row r="1692" spans="1:24">
      <c r="A1692" s="29">
        <f t="shared" si="1771"/>
        <v>45906.374999995904</v>
      </c>
      <c r="B1692" s="30">
        <f t="shared" ref="B1692:B1755" si="1795">B1668</f>
        <v>8000</v>
      </c>
      <c r="C1692" s="8">
        <v>25000</v>
      </c>
      <c r="D1692" s="8">
        <v>0</v>
      </c>
      <c r="E1692" s="8">
        <v>700</v>
      </c>
      <c r="F1692" s="8">
        <v>15000</v>
      </c>
      <c r="G1692" s="30">
        <f t="shared" ref="G1692:G1755" si="1796">G1668</f>
        <v>2400</v>
      </c>
      <c r="H1692" s="8">
        <v>25000</v>
      </c>
      <c r="I1692" s="30">
        <f t="shared" ref="I1692:I1755" si="1797">I1668</f>
        <v>8000</v>
      </c>
      <c r="J1692" s="8">
        <v>25000</v>
      </c>
      <c r="K1692" s="30">
        <f t="shared" ref="K1692:K1755" si="1798">K1668</f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VLOOKUP(VLOOKUP(DATEVALUE(TEXT(A1692,"m/d/yyyy")),FY24_Temp[],5,FALSE)&amp;TEXT(A1692,"-h"),Table6[],4,FALSE)</f>
        <v>1.5628571510314941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VLOOKUP(TEXT(A1692,"yy-mm")&amp;"-"&amp;IF(AND(WEEKDAY(A1692)&gt;1,WEEKDAY(A1692)&lt;7),"Wkd",TEXT(A1692,"Ddd"))&amp;"-"&amp;TEXT(A1692,"hh"),LoadTable[],5,FALSE)*0.92</f>
        <v>237.25788000000003</v>
      </c>
      <c r="U1692" s="104">
        <f>VLOOKUP(TEXT(A1692,"yy-mm")&amp;"-"&amp;IF(AND(WEEKDAY(A1692)&gt;1,WEEKDAY(A1692)&lt;7),"Wkd",TEXT(A1692,"Ddd"))&amp;"-"&amp;TEXT(A1692,"hh"),LoadTable[],6,FALSE)*T1692</f>
        <v>11301.541855920001</v>
      </c>
      <c r="V1692">
        <f t="shared" ref="V1692:W1692" si="1799">V1668</f>
        <v>2.9</v>
      </c>
      <c r="W1692">
        <f t="shared" si="1799"/>
        <v>3</v>
      </c>
      <c r="X1692" s="9">
        <v>-70.836436816666406</v>
      </c>
    </row>
    <row r="1693" spans="1:24">
      <c r="A1693" s="29">
        <f t="shared" si="1771"/>
        <v>45906.416666662568</v>
      </c>
      <c r="B1693" s="30">
        <f t="shared" si="1795"/>
        <v>8000</v>
      </c>
      <c r="C1693" s="8">
        <v>25000</v>
      </c>
      <c r="D1693" s="8">
        <v>0</v>
      </c>
      <c r="E1693" s="8">
        <v>700</v>
      </c>
      <c r="F1693" s="8">
        <v>15000</v>
      </c>
      <c r="G1693" s="30">
        <f t="shared" si="1796"/>
        <v>2400</v>
      </c>
      <c r="H1693" s="8">
        <v>25000</v>
      </c>
      <c r="I1693" s="30">
        <f t="shared" si="1797"/>
        <v>8000</v>
      </c>
      <c r="J1693" s="8">
        <v>25000</v>
      </c>
      <c r="K1693" s="30">
        <f t="shared" si="1798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VLOOKUP(VLOOKUP(DATEVALUE(TEXT(A1693,"m/d/yyyy")),FY24_Temp[],5,FALSE)&amp;TEXT(A1693,"-h"),Table6[],4,FALSE)</f>
        <v>1.4149999959128243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VLOOKUP(TEXT(A1693,"yy-mm")&amp;"-"&amp;IF(AND(WEEKDAY(A1693)&gt;1,WEEKDAY(A1693)&lt;7),"Wkd",TEXT(A1693,"Ddd"))&amp;"-"&amp;TEXT(A1693,"hh"),LoadTable[],5,FALSE)*0.92</f>
        <v>237.25788000000003</v>
      </c>
      <c r="U1693" s="104">
        <f>VLOOKUP(TEXT(A1693,"yy-mm")&amp;"-"&amp;IF(AND(WEEKDAY(A1693)&gt;1,WEEKDAY(A1693)&lt;7),"Wkd",TEXT(A1693,"Ddd"))&amp;"-"&amp;TEXT(A1693,"hh"),LoadTable[],6,FALSE)*T1693</f>
        <v>10977.684849720001</v>
      </c>
      <c r="V1693">
        <f t="shared" ref="V1693:W1693" si="1800">V1669</f>
        <v>2.9</v>
      </c>
      <c r="W1693">
        <f t="shared" si="1800"/>
        <v>3</v>
      </c>
      <c r="X1693" s="9">
        <v>-70.914231366666399</v>
      </c>
    </row>
    <row r="1694" spans="1:24">
      <c r="A1694" s="29">
        <f t="shared" si="1771"/>
        <v>45906.458333329232</v>
      </c>
      <c r="B1694" s="30">
        <f t="shared" si="1795"/>
        <v>8000</v>
      </c>
      <c r="C1694" s="8">
        <v>25000</v>
      </c>
      <c r="D1694" s="8">
        <v>0</v>
      </c>
      <c r="E1694" s="8">
        <v>700</v>
      </c>
      <c r="F1694" s="8">
        <v>15000</v>
      </c>
      <c r="G1694" s="30">
        <f t="shared" si="1796"/>
        <v>2400</v>
      </c>
      <c r="H1694" s="8">
        <v>25000</v>
      </c>
      <c r="I1694" s="30">
        <f t="shared" si="1797"/>
        <v>8000</v>
      </c>
      <c r="J1694" s="8">
        <v>25000</v>
      </c>
      <c r="K1694" s="30">
        <f t="shared" si="1798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VLOOKUP(VLOOKUP(DATEVALUE(TEXT(A1694,"m/d/yyyy")),FY24_Temp[],5,FALSE)&amp;TEXT(A1694,"-h"),Table6[],4,FALSE)</f>
        <v>1.3002857310431344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VLOOKUP(TEXT(A1694,"yy-mm")&amp;"-"&amp;IF(AND(WEEKDAY(A1694)&gt;1,WEEKDAY(A1694)&lt;7),"Wkd",TEXT(A1694,"Ddd"))&amp;"-"&amp;TEXT(A1694,"hh"),LoadTable[],5,FALSE)*0.92</f>
        <v>237.25788000000003</v>
      </c>
      <c r="U1694" s="104">
        <f>VLOOKUP(TEXT(A1694,"yy-mm")&amp;"-"&amp;IF(AND(WEEKDAY(A1694)&gt;1,WEEKDAY(A1694)&lt;7),"Wkd",TEXT(A1694,"Ddd"))&amp;"-"&amp;TEXT(A1694,"hh"),LoadTable[],6,FALSE)*T1694</f>
        <v>10946.841325320001</v>
      </c>
      <c r="V1694">
        <f t="shared" ref="V1694:W1694" si="1801">V1670</f>
        <v>3.4</v>
      </c>
      <c r="W1694">
        <f t="shared" si="1801"/>
        <v>3</v>
      </c>
      <c r="X1694" s="9">
        <v>-70.992025916666407</v>
      </c>
    </row>
    <row r="1695" spans="1:24">
      <c r="A1695" s="29">
        <f t="shared" si="1771"/>
        <v>45906.499999995896</v>
      </c>
      <c r="B1695" s="30">
        <f t="shared" si="1795"/>
        <v>8000</v>
      </c>
      <c r="C1695" s="8">
        <v>25000</v>
      </c>
      <c r="D1695" s="8">
        <v>0</v>
      </c>
      <c r="E1695" s="8">
        <v>700</v>
      </c>
      <c r="F1695" s="8">
        <v>15000</v>
      </c>
      <c r="G1695" s="30">
        <f t="shared" si="1796"/>
        <v>2400</v>
      </c>
      <c r="H1695" s="8">
        <v>25000</v>
      </c>
      <c r="I1695" s="30">
        <f t="shared" si="1797"/>
        <v>8000</v>
      </c>
      <c r="J1695" s="8">
        <v>25000</v>
      </c>
      <c r="K1695" s="30">
        <f t="shared" si="1798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VLOOKUP(VLOOKUP(DATEVALUE(TEXT(A1695,"m/d/yyyy")),FY24_Temp[],5,FALSE)&amp;TEXT(A1695,"-h"),Table6[],4,FALSE)</f>
        <v>1.1327142715454102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VLOOKUP(TEXT(A1695,"yy-mm")&amp;"-"&amp;IF(AND(WEEKDAY(A1695)&gt;1,WEEKDAY(A1695)&lt;7),"Wkd",TEXT(A1695,"Ddd"))&amp;"-"&amp;TEXT(A1695,"hh"),LoadTable[],5,FALSE)*0.92</f>
        <v>237.25788000000003</v>
      </c>
      <c r="U1695" s="104">
        <f>VLOOKUP(TEXT(A1695,"yy-mm")&amp;"-"&amp;IF(AND(WEEKDAY(A1695)&gt;1,WEEKDAY(A1695)&lt;7),"Wkd",TEXT(A1695,"Ddd"))&amp;"-"&amp;TEXT(A1695,"hh"),LoadTable[],6,FALSE)*T1695</f>
        <v>10940.198104680001</v>
      </c>
      <c r="V1695">
        <f t="shared" ref="V1695:W1695" si="1802">V1671</f>
        <v>3.1</v>
      </c>
      <c r="W1695">
        <f t="shared" si="1802"/>
        <v>2.9</v>
      </c>
      <c r="X1695" s="9">
        <v>-71.0698204666664</v>
      </c>
    </row>
    <row r="1696" spans="1:24">
      <c r="A1696" s="29">
        <f t="shared" si="1771"/>
        <v>45906.541666662561</v>
      </c>
      <c r="B1696" s="30">
        <f t="shared" si="1795"/>
        <v>8000</v>
      </c>
      <c r="C1696" s="8">
        <v>25000</v>
      </c>
      <c r="D1696" s="8">
        <v>0</v>
      </c>
      <c r="E1696" s="8">
        <v>700</v>
      </c>
      <c r="F1696" s="8">
        <v>15000</v>
      </c>
      <c r="G1696" s="30">
        <f t="shared" si="1796"/>
        <v>2400</v>
      </c>
      <c r="H1696" s="8">
        <v>25000</v>
      </c>
      <c r="I1696" s="30">
        <f t="shared" si="1797"/>
        <v>8000</v>
      </c>
      <c r="J1696" s="8">
        <v>25000</v>
      </c>
      <c r="K1696" s="30">
        <f t="shared" si="1798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VLOOKUP(VLOOKUP(DATEVALUE(TEXT(A1696,"m/d/yyyy")),FY24_Temp[],5,FALSE)&amp;TEXT(A1696,"-h"),Table6[],4,FALSE)</f>
        <v>0.98357141869408748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VLOOKUP(TEXT(A1696,"yy-mm")&amp;"-"&amp;IF(AND(WEEKDAY(A1696)&gt;1,WEEKDAY(A1696)&lt;7),"Wkd",TEXT(A1696,"Ddd"))&amp;"-"&amp;TEXT(A1696,"hh"),LoadTable[],5,FALSE)*0.92</f>
        <v>237.25788000000003</v>
      </c>
      <c r="U1696" s="104">
        <f>VLOOKUP(TEXT(A1696,"yy-mm")&amp;"-"&amp;IF(AND(WEEKDAY(A1696)&gt;1,WEEKDAY(A1696)&lt;7),"Wkd",TEXT(A1696,"Ddd"))&amp;"-"&amp;TEXT(A1696,"hh"),LoadTable[],6,FALSE)*T1696</f>
        <v>10959.890508720002</v>
      </c>
      <c r="V1696">
        <f t="shared" ref="V1696:W1696" si="1803">V1672</f>
        <v>3.2</v>
      </c>
      <c r="W1696">
        <f t="shared" si="1803"/>
        <v>2.9</v>
      </c>
      <c r="X1696" s="9">
        <v>-71.147615016666407</v>
      </c>
    </row>
    <row r="1697" spans="1:24">
      <c r="A1697" s="29">
        <f t="shared" si="1771"/>
        <v>45906.583333329225</v>
      </c>
      <c r="B1697" s="30">
        <f t="shared" si="1795"/>
        <v>8000</v>
      </c>
      <c r="C1697" s="8">
        <v>25000</v>
      </c>
      <c r="D1697" s="8">
        <v>0</v>
      </c>
      <c r="E1697" s="8">
        <v>700</v>
      </c>
      <c r="F1697" s="8">
        <v>15000</v>
      </c>
      <c r="G1697" s="30">
        <f t="shared" si="1796"/>
        <v>2400</v>
      </c>
      <c r="H1697" s="8">
        <v>25000</v>
      </c>
      <c r="I1697" s="30">
        <f t="shared" si="1797"/>
        <v>8000</v>
      </c>
      <c r="J1697" s="8">
        <v>25000</v>
      </c>
      <c r="K1697" s="30">
        <f t="shared" si="1798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VLOOKUP(VLOOKUP(DATEVALUE(TEXT(A1697,"m/d/yyyy")),FY24_Temp[],5,FALSE)&amp;TEXT(A1697,"-h"),Table6[],4,FALSE)</f>
        <v>0.86971429416111534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VLOOKUP(TEXT(A1697,"yy-mm")&amp;"-"&amp;IF(AND(WEEKDAY(A1697)&gt;1,WEEKDAY(A1697)&lt;7),"Wkd",TEXT(A1697,"Ddd"))&amp;"-"&amp;TEXT(A1697,"hh"),LoadTable[],5,FALSE)*0.92</f>
        <v>237.25788000000003</v>
      </c>
      <c r="U1697" s="104">
        <f>VLOOKUP(TEXT(A1697,"yy-mm")&amp;"-"&amp;IF(AND(WEEKDAY(A1697)&gt;1,WEEKDAY(A1697)&lt;7),"Wkd",TEXT(A1697,"Ddd"))&amp;"-"&amp;TEXT(A1697,"hh"),LoadTable[],6,FALSE)*T1697</f>
        <v>10973.888723640001</v>
      </c>
      <c r="V1697">
        <f t="shared" ref="V1697:W1697" si="1804">V1673</f>
        <v>3.5</v>
      </c>
      <c r="W1697">
        <f t="shared" si="1804"/>
        <v>2.9</v>
      </c>
      <c r="X1697" s="9">
        <v>-71.225409566666499</v>
      </c>
    </row>
    <row r="1698" spans="1:24">
      <c r="A1698" s="29">
        <f t="shared" si="1771"/>
        <v>45906.624999995889</v>
      </c>
      <c r="B1698" s="30">
        <f t="shared" si="1795"/>
        <v>8000</v>
      </c>
      <c r="C1698" s="8">
        <v>25000</v>
      </c>
      <c r="D1698" s="8">
        <v>0</v>
      </c>
      <c r="E1698" s="8">
        <v>700</v>
      </c>
      <c r="F1698" s="8">
        <v>15000</v>
      </c>
      <c r="G1698" s="30">
        <f t="shared" si="1796"/>
        <v>2400</v>
      </c>
      <c r="H1698" s="8">
        <v>25000</v>
      </c>
      <c r="I1698" s="30">
        <f t="shared" si="1797"/>
        <v>8000</v>
      </c>
      <c r="J1698" s="8">
        <v>25000</v>
      </c>
      <c r="K1698" s="30">
        <f t="shared" si="1798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VLOOKUP(VLOOKUP(DATEVALUE(TEXT(A1698,"m/d/yyyy")),FY24_Temp[],5,FALSE)&amp;TEXT(A1698,"-h"),Table6[],4,FALSE)</f>
        <v>0.90028570379529682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VLOOKUP(TEXT(A1698,"yy-mm")&amp;"-"&amp;IF(AND(WEEKDAY(A1698)&gt;1,WEEKDAY(A1698)&lt;7),"Wkd",TEXT(A1698,"Ddd"))&amp;"-"&amp;TEXT(A1698,"hh"),LoadTable[],5,FALSE)*0.92</f>
        <v>355.88728000000003</v>
      </c>
      <c r="U1698" s="104">
        <f>VLOOKUP(TEXT(A1698,"yy-mm")&amp;"-"&amp;IF(AND(WEEKDAY(A1698)&gt;1,WEEKDAY(A1698)&lt;7),"Wkd",TEXT(A1698,"Ddd"))&amp;"-"&amp;TEXT(A1698,"hh"),LoadTable[],6,FALSE)*T1698</f>
        <v>17275.124458480001</v>
      </c>
      <c r="V1698">
        <f t="shared" ref="V1698:W1698" si="1805">V1674</f>
        <v>3.2</v>
      </c>
      <c r="W1698">
        <f t="shared" si="1805"/>
        <v>2.9</v>
      </c>
      <c r="X1698" s="9">
        <v>-71.303204116666507</v>
      </c>
    </row>
    <row r="1699" spans="1:24">
      <c r="A1699" s="29">
        <f t="shared" si="1771"/>
        <v>45906.666666662553</v>
      </c>
      <c r="B1699" s="30">
        <f t="shared" si="1795"/>
        <v>8000</v>
      </c>
      <c r="C1699" s="8">
        <v>25000</v>
      </c>
      <c r="D1699" s="8">
        <v>0</v>
      </c>
      <c r="E1699" s="8">
        <v>700</v>
      </c>
      <c r="F1699" s="8">
        <v>15000</v>
      </c>
      <c r="G1699" s="30">
        <f t="shared" si="1796"/>
        <v>2400</v>
      </c>
      <c r="H1699" s="8">
        <v>25000</v>
      </c>
      <c r="I1699" s="30">
        <f t="shared" si="1797"/>
        <v>8000</v>
      </c>
      <c r="J1699" s="8">
        <v>25000</v>
      </c>
      <c r="K1699" s="30">
        <f t="shared" si="1798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VLOOKUP(VLOOKUP(DATEVALUE(TEXT(A1699,"m/d/yyyy")),FY24_Temp[],5,FALSE)&amp;TEXT(A1699,"-h"),Table6[],4,FALSE)</f>
        <v>1.2158571481704712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VLOOKUP(TEXT(A1699,"yy-mm")&amp;"-"&amp;IF(AND(WEEKDAY(A1699)&gt;1,WEEKDAY(A1699)&lt;7),"Wkd",TEXT(A1699,"Ddd"))&amp;"-"&amp;TEXT(A1699,"hh"),LoadTable[],5,FALSE)*0.92</f>
        <v>388.38076000000001</v>
      </c>
      <c r="U1699" s="104">
        <f>VLOOKUP(TEXT(A1699,"yy-mm")&amp;"-"&amp;IF(AND(WEEKDAY(A1699)&gt;1,WEEKDAY(A1699)&lt;7),"Wkd",TEXT(A1699,"Ddd"))&amp;"-"&amp;TEXT(A1699,"hh"),LoadTable[],6,FALSE)*T1699</f>
        <v>22148.966362040002</v>
      </c>
      <c r="V1699">
        <f t="shared" ref="V1699:W1699" si="1806">V1675</f>
        <v>3.5</v>
      </c>
      <c r="W1699">
        <f t="shared" si="1806"/>
        <v>3</v>
      </c>
      <c r="X1699" s="9">
        <v>-71.3809986666665</v>
      </c>
    </row>
    <row r="1700" spans="1:24">
      <c r="A1700" s="29">
        <f t="shared" si="1771"/>
        <v>45906.708333329218</v>
      </c>
      <c r="B1700" s="30">
        <f t="shared" si="1795"/>
        <v>8000</v>
      </c>
      <c r="C1700" s="8">
        <v>25000</v>
      </c>
      <c r="D1700" s="8">
        <v>0</v>
      </c>
      <c r="E1700" s="8">
        <v>700</v>
      </c>
      <c r="F1700" s="8">
        <v>15000</v>
      </c>
      <c r="G1700" s="30">
        <f t="shared" si="1796"/>
        <v>2400</v>
      </c>
      <c r="H1700" s="8">
        <v>25000</v>
      </c>
      <c r="I1700" s="30">
        <f t="shared" si="1797"/>
        <v>8000</v>
      </c>
      <c r="J1700" s="8">
        <v>25000</v>
      </c>
      <c r="K1700" s="30">
        <f t="shared" si="1798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VLOOKUP(VLOOKUP(DATEVALUE(TEXT(A1700,"m/d/yyyy")),FY24_Temp[],5,FALSE)&amp;TEXT(A1700,"-h"),Table6[],4,FALSE)</f>
        <v>1.6385714156287057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VLOOKUP(TEXT(A1700,"yy-mm")&amp;"-"&amp;IF(AND(WEEKDAY(A1700)&gt;1,WEEKDAY(A1700)&lt;7),"Wkd",TEXT(A1700,"Ddd"))&amp;"-"&amp;TEXT(A1700,"hh"),LoadTable[],5,FALSE)*0.92</f>
        <v>388.38076000000001</v>
      </c>
      <c r="U1700" s="104">
        <f>VLOOKUP(TEXT(A1700,"yy-mm")&amp;"-"&amp;IF(AND(WEEKDAY(A1700)&gt;1,WEEKDAY(A1700)&lt;7),"Wkd",TEXT(A1700,"Ddd"))&amp;"-"&amp;TEXT(A1700,"hh"),LoadTable[],6,FALSE)*T1700</f>
        <v>30057.95215868</v>
      </c>
      <c r="V1700">
        <f t="shared" ref="V1700:W1700" si="1807">V1676</f>
        <v>3.6</v>
      </c>
      <c r="W1700">
        <f t="shared" si="1807"/>
        <v>3</v>
      </c>
      <c r="X1700" s="9">
        <v>-71.458793216666507</v>
      </c>
    </row>
    <row r="1701" spans="1:24">
      <c r="A1701" s="29">
        <f t="shared" si="1771"/>
        <v>45906.749999995882</v>
      </c>
      <c r="B1701" s="30">
        <f t="shared" si="1795"/>
        <v>5000</v>
      </c>
      <c r="C1701" s="8">
        <v>25000</v>
      </c>
      <c r="D1701" s="8">
        <v>0</v>
      </c>
      <c r="E1701" s="8">
        <v>700</v>
      </c>
      <c r="F1701" s="8">
        <v>15000</v>
      </c>
      <c r="G1701" s="30">
        <f t="shared" si="1796"/>
        <v>2400</v>
      </c>
      <c r="H1701" s="8">
        <v>25000</v>
      </c>
      <c r="I1701" s="30">
        <f t="shared" si="1797"/>
        <v>5000</v>
      </c>
      <c r="J1701" s="8">
        <v>25000</v>
      </c>
      <c r="K1701" s="30">
        <f t="shared" si="1798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VLOOKUP(VLOOKUP(DATEVALUE(TEXT(A1701,"m/d/yyyy")),FY24_Temp[],5,FALSE)&amp;TEXT(A1701,"-h"),Table6[],4,FALSE)</f>
        <v>2.1335714374269759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VLOOKUP(TEXT(A1701,"yy-mm")&amp;"-"&amp;IF(AND(WEEKDAY(A1701)&gt;1,WEEKDAY(A1701)&lt;7),"Wkd",TEXT(A1701,"Ddd"))&amp;"-"&amp;TEXT(A1701,"hh"),LoadTable[],5,FALSE)*0.92</f>
        <v>388.38076000000001</v>
      </c>
      <c r="U1701" s="104">
        <f>VLOOKUP(TEXT(A1701,"yy-mm")&amp;"-"&amp;IF(AND(WEEKDAY(A1701)&gt;1,WEEKDAY(A1701)&lt;7),"Wkd",TEXT(A1701,"Ddd"))&amp;"-"&amp;TEXT(A1701,"hh"),LoadTable[],6,FALSE)*T1701</f>
        <v>40442.476919560002</v>
      </c>
      <c r="V1701">
        <f t="shared" ref="V1701:W1701" si="1808">V1677</f>
        <v>2.9</v>
      </c>
      <c r="W1701">
        <f t="shared" si="1808"/>
        <v>3</v>
      </c>
      <c r="X1701" s="9">
        <v>-71.5365877666665</v>
      </c>
    </row>
    <row r="1702" spans="1:24">
      <c r="A1702" s="29">
        <f t="shared" si="1771"/>
        <v>45906.791666662546</v>
      </c>
      <c r="B1702" s="30">
        <f t="shared" si="1795"/>
        <v>5000</v>
      </c>
      <c r="C1702" s="8">
        <v>25000</v>
      </c>
      <c r="D1702" s="8">
        <v>0</v>
      </c>
      <c r="E1702" s="8">
        <v>700</v>
      </c>
      <c r="F1702" s="8">
        <v>15000</v>
      </c>
      <c r="G1702" s="30">
        <f t="shared" si="1796"/>
        <v>2400</v>
      </c>
      <c r="H1702" s="8">
        <v>25000</v>
      </c>
      <c r="I1702" s="30">
        <f t="shared" si="1797"/>
        <v>5000</v>
      </c>
      <c r="J1702" s="8">
        <v>25000</v>
      </c>
      <c r="K1702" s="30">
        <f t="shared" si="1798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VLOOKUP(VLOOKUP(DATEVALUE(TEXT(A1702,"m/d/yyyy")),FY24_Temp[],5,FALSE)&amp;TEXT(A1702,"-h"),Table6[],4,FALSE)</f>
        <v>2.4782857213701521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VLOOKUP(TEXT(A1702,"yy-mm")&amp;"-"&amp;IF(AND(WEEKDAY(A1702)&gt;1,WEEKDAY(A1702)&lt;7),"Wkd",TEXT(A1702,"Ddd"))&amp;"-"&amp;TEXT(A1702,"hh"),LoadTable[],5,FALSE)*0.92</f>
        <v>388.38076000000001</v>
      </c>
      <c r="U1702" s="104">
        <f>VLOOKUP(TEXT(A1702,"yy-mm")&amp;"-"&amp;IF(AND(WEEKDAY(A1702)&gt;1,WEEKDAY(A1702)&lt;7),"Wkd",TEXT(A1702,"Ddd"))&amp;"-"&amp;TEXT(A1702,"hh"),LoadTable[],6,FALSE)*T1702</f>
        <v>39451.717600800002</v>
      </c>
      <c r="V1702">
        <f t="shared" ref="V1702:W1702" si="1809">V1678</f>
        <v>3</v>
      </c>
      <c r="W1702">
        <f t="shared" si="1809"/>
        <v>3</v>
      </c>
      <c r="X1702" s="9">
        <v>-71.614382316666493</v>
      </c>
    </row>
    <row r="1703" spans="1:24">
      <c r="A1703" s="29">
        <f t="shared" si="1771"/>
        <v>45906.83333332921</v>
      </c>
      <c r="B1703" s="30">
        <f t="shared" si="1795"/>
        <v>5000</v>
      </c>
      <c r="C1703" s="8">
        <v>25000</v>
      </c>
      <c r="D1703" s="8">
        <v>0</v>
      </c>
      <c r="E1703" s="8">
        <v>700</v>
      </c>
      <c r="F1703" s="8">
        <v>15000</v>
      </c>
      <c r="G1703" s="30">
        <f t="shared" si="1796"/>
        <v>2400</v>
      </c>
      <c r="H1703" s="8">
        <v>25000</v>
      </c>
      <c r="I1703" s="30">
        <f t="shared" si="1797"/>
        <v>5000</v>
      </c>
      <c r="J1703" s="8">
        <v>25000</v>
      </c>
      <c r="K1703" s="30">
        <f t="shared" si="1798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VLOOKUP(VLOOKUP(DATEVALUE(TEXT(A1703,"m/d/yyyy")),FY24_Temp[],5,FALSE)&amp;TEXT(A1703,"-h"),Table6[],4,FALSE)</f>
        <v>2.6718571526663646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VLOOKUP(TEXT(A1703,"yy-mm")&amp;"-"&amp;IF(AND(WEEKDAY(A1703)&gt;1,WEEKDAY(A1703)&lt;7),"Wkd",TEXT(A1703,"Ddd"))&amp;"-"&amp;TEXT(A1703,"hh"),LoadTable[],5,FALSE)*0.92</f>
        <v>388.38076000000001</v>
      </c>
      <c r="U1703" s="104">
        <f>VLOOKUP(TEXT(A1703,"yy-mm")&amp;"-"&amp;IF(AND(WEEKDAY(A1703)&gt;1,WEEKDAY(A1703)&lt;7),"Wkd",TEXT(A1703,"Ddd"))&amp;"-"&amp;TEXT(A1703,"hh"),LoadTable[],6,FALSE)*T1703</f>
        <v>37145.512647919997</v>
      </c>
      <c r="V1703">
        <f t="shared" ref="V1703:W1703" si="1810">V1679</f>
        <v>2.8</v>
      </c>
      <c r="W1703">
        <f t="shared" si="1810"/>
        <v>3.1</v>
      </c>
      <c r="X1703" s="9">
        <v>-71.6921768666665</v>
      </c>
    </row>
    <row r="1704" spans="1:24">
      <c r="A1704" s="29">
        <f t="shared" si="1771"/>
        <v>45906.874999995875</v>
      </c>
      <c r="B1704" s="30">
        <f t="shared" si="1795"/>
        <v>5000</v>
      </c>
      <c r="C1704" s="8">
        <v>25000</v>
      </c>
      <c r="D1704" s="8">
        <v>0</v>
      </c>
      <c r="E1704" s="8">
        <v>700</v>
      </c>
      <c r="F1704" s="8">
        <v>15000</v>
      </c>
      <c r="G1704" s="30">
        <f t="shared" si="1796"/>
        <v>2400</v>
      </c>
      <c r="H1704" s="8">
        <v>25000</v>
      </c>
      <c r="I1704" s="30">
        <f t="shared" si="1797"/>
        <v>5000</v>
      </c>
      <c r="J1704" s="8">
        <v>25000</v>
      </c>
      <c r="K1704" s="30">
        <f t="shared" si="1798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VLOOKUP(VLOOKUP(DATEVALUE(TEXT(A1704,"m/d/yyyy")),FY24_Temp[],5,FALSE)&amp;TEXT(A1704,"-h"),Table6[],4,FALSE)</f>
        <v>2.730428559439523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VLOOKUP(TEXT(A1704,"yy-mm")&amp;"-"&amp;IF(AND(WEEKDAY(A1704)&gt;1,WEEKDAY(A1704)&lt;7),"Wkd",TEXT(A1704,"Ddd"))&amp;"-"&amp;TEXT(A1704,"hh"),LoadTable[],5,FALSE)*0.92</f>
        <v>331.01416</v>
      </c>
      <c r="U1704" s="104">
        <f>VLOOKUP(TEXT(A1704,"yy-mm")&amp;"-"&amp;IF(AND(WEEKDAY(A1704)&gt;1,WEEKDAY(A1704)&lt;7),"Wkd",TEXT(A1704,"Ddd"))&amp;"-"&amp;TEXT(A1704,"hh"),LoadTable[],6,FALSE)*T1704</f>
        <v>28174.270228399997</v>
      </c>
      <c r="V1704">
        <f t="shared" ref="V1704:W1704" si="1811">V1680</f>
        <v>3.5</v>
      </c>
      <c r="W1704">
        <f t="shared" si="1811"/>
        <v>3.1</v>
      </c>
      <c r="X1704" s="9">
        <v>-71.769971416666493</v>
      </c>
    </row>
    <row r="1705" spans="1:24">
      <c r="A1705" s="29">
        <f t="shared" si="1771"/>
        <v>45906.916666662539</v>
      </c>
      <c r="B1705" s="30">
        <f t="shared" si="1795"/>
        <v>5000</v>
      </c>
      <c r="C1705" s="8">
        <v>25000</v>
      </c>
      <c r="D1705" s="8">
        <v>0</v>
      </c>
      <c r="E1705" s="8">
        <v>700</v>
      </c>
      <c r="F1705" s="8">
        <v>15000</v>
      </c>
      <c r="G1705" s="30">
        <f t="shared" si="1796"/>
        <v>2400</v>
      </c>
      <c r="H1705" s="8">
        <v>25000</v>
      </c>
      <c r="I1705" s="30">
        <f t="shared" si="1797"/>
        <v>5000</v>
      </c>
      <c r="J1705" s="8">
        <v>25000</v>
      </c>
      <c r="K1705" s="30">
        <f t="shared" si="1798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VLOOKUP(VLOOKUP(DATEVALUE(TEXT(A1705,"m/d/yyyy")),FY24_Temp[],5,FALSE)&amp;TEXT(A1705,"-h"),Table6[],4,FALSE)</f>
        <v>2.702714272907802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VLOOKUP(TEXT(A1705,"yy-mm")&amp;"-"&amp;IF(AND(WEEKDAY(A1705)&gt;1,WEEKDAY(A1705)&lt;7),"Wkd",TEXT(A1705,"Ddd"))&amp;"-"&amp;TEXT(A1705,"hh"),LoadTable[],5,FALSE)*0.92</f>
        <v>256.87044000000003</v>
      </c>
      <c r="U1705" s="104">
        <f>VLOOKUP(TEXT(A1705,"yy-mm")&amp;"-"&amp;IF(AND(WEEKDAY(A1705)&gt;1,WEEKDAY(A1705)&lt;7),"Wkd",TEXT(A1705,"Ddd"))&amp;"-"&amp;TEXT(A1705,"hh"),LoadTable[],6,FALSE)*T1705</f>
        <v>13294.072751760001</v>
      </c>
      <c r="V1705">
        <f t="shared" ref="V1705:W1705" si="1812">V1681</f>
        <v>2.9</v>
      </c>
      <c r="W1705">
        <f t="shared" si="1812"/>
        <v>3.1</v>
      </c>
      <c r="X1705" s="9">
        <v>-71.847765966666501</v>
      </c>
    </row>
    <row r="1706" spans="1:24">
      <c r="A1706" s="29">
        <f t="shared" si="1771"/>
        <v>45906.958333329203</v>
      </c>
      <c r="B1706" s="30">
        <f t="shared" si="1795"/>
        <v>5000</v>
      </c>
      <c r="C1706" s="8">
        <v>25000</v>
      </c>
      <c r="D1706" s="8">
        <v>0</v>
      </c>
      <c r="E1706" s="8">
        <v>700</v>
      </c>
      <c r="F1706" s="8">
        <v>15000</v>
      </c>
      <c r="G1706" s="30">
        <f t="shared" si="1796"/>
        <v>2400</v>
      </c>
      <c r="H1706" s="8">
        <v>25000</v>
      </c>
      <c r="I1706" s="30">
        <f t="shared" si="1797"/>
        <v>5000</v>
      </c>
      <c r="J1706" s="8">
        <v>25000</v>
      </c>
      <c r="K1706" s="30">
        <f t="shared" si="1798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VLOOKUP(VLOOKUP(DATEVALUE(TEXT(A1706,"m/d/yyyy")),FY24_Temp[],5,FALSE)&amp;TEXT(A1706,"-h"),Table6[],4,FALSE)</f>
        <v>2.7027143069675992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VLOOKUP(TEXT(A1706,"yy-mm")&amp;"-"&amp;IF(AND(WEEKDAY(A1706)&gt;1,WEEKDAY(A1706)&lt;7),"Wkd",TEXT(A1706,"Ddd"))&amp;"-"&amp;TEXT(A1706,"hh"),LoadTable[],5,FALSE)*0.92</f>
        <v>237.25788000000003</v>
      </c>
      <c r="U1706" s="104">
        <f>VLOOKUP(TEXT(A1706,"yy-mm")&amp;"-"&amp;IF(AND(WEEKDAY(A1706)&gt;1,WEEKDAY(A1706)&lt;7),"Wkd",TEXT(A1706,"Ddd"))&amp;"-"&amp;TEXT(A1706,"hh"),LoadTable[],6,FALSE)*T1706</f>
        <v>11938.104747960002</v>
      </c>
      <c r="V1706">
        <f t="shared" ref="V1706:W1706" si="1813">V1682</f>
        <v>3.6</v>
      </c>
      <c r="W1706">
        <f t="shared" si="1813"/>
        <v>3.1</v>
      </c>
      <c r="X1706" s="9">
        <v>-71.925560516666494</v>
      </c>
    </row>
    <row r="1707" spans="1:24">
      <c r="A1707" s="29">
        <f t="shared" si="1771"/>
        <v>45906.999999995867</v>
      </c>
      <c r="B1707" s="30">
        <f t="shared" si="1795"/>
        <v>5000</v>
      </c>
      <c r="C1707" s="8">
        <v>25000</v>
      </c>
      <c r="D1707" s="8">
        <v>0</v>
      </c>
      <c r="E1707" s="8">
        <v>700</v>
      </c>
      <c r="F1707" s="8">
        <v>15000</v>
      </c>
      <c r="G1707" s="30">
        <f t="shared" si="1796"/>
        <v>2400</v>
      </c>
      <c r="H1707" s="8">
        <v>25000</v>
      </c>
      <c r="I1707" s="30">
        <f t="shared" si="1797"/>
        <v>5000</v>
      </c>
      <c r="J1707" s="8">
        <v>25000</v>
      </c>
      <c r="K1707" s="30">
        <f t="shared" si="1798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VLOOKUP(VLOOKUP(DATEVALUE(TEXT(A1707,"m/d/yyyy")),FY24_Temp[],5,FALSE)&amp;TEXT(A1707,"-h"),Table6[],4,FALSE)</f>
        <v>2.6951428822108676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VLOOKUP(TEXT(A1707,"yy-mm")&amp;"-"&amp;IF(AND(WEEKDAY(A1707)&gt;1,WEEKDAY(A1707)&lt;7),"Wkd",TEXT(A1707,"Ddd"))&amp;"-"&amp;TEXT(A1707,"hh"),LoadTable[],5,FALSE)*0.92</f>
        <v>237.25788000000003</v>
      </c>
      <c r="U1707" s="104">
        <f>VLOOKUP(TEXT(A1707,"yy-mm")&amp;"-"&amp;IF(AND(WEEKDAY(A1707)&gt;1,WEEKDAY(A1707)&lt;7),"Wkd",TEXT(A1707,"Ddd"))&amp;"-"&amp;TEXT(A1707,"hh"),LoadTable[],6,FALSE)*T1707</f>
        <v>11671.426890840001</v>
      </c>
      <c r="V1707">
        <f t="shared" ref="V1707:W1707" si="1814">V1683</f>
        <v>3</v>
      </c>
      <c r="W1707">
        <f t="shared" si="1814"/>
        <v>3.2</v>
      </c>
      <c r="X1707" s="9">
        <v>-72.003355066666501</v>
      </c>
    </row>
    <row r="1708" spans="1:24">
      <c r="A1708" s="29">
        <f t="shared" si="1771"/>
        <v>45907.041666662531</v>
      </c>
      <c r="B1708" s="30">
        <f t="shared" si="1795"/>
        <v>5000</v>
      </c>
      <c r="C1708" s="8">
        <v>25000</v>
      </c>
      <c r="D1708" s="8">
        <v>0</v>
      </c>
      <c r="E1708" s="8">
        <v>700</v>
      </c>
      <c r="F1708" s="8">
        <v>15000</v>
      </c>
      <c r="G1708" s="30">
        <f t="shared" si="1796"/>
        <v>2400</v>
      </c>
      <c r="H1708" s="8">
        <v>25000</v>
      </c>
      <c r="I1708" s="30">
        <f t="shared" si="1797"/>
        <v>5000</v>
      </c>
      <c r="J1708" s="8">
        <v>25000</v>
      </c>
      <c r="K1708" s="30">
        <f t="shared" si="1798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VLOOKUP(VLOOKUP(DATEVALUE(TEXT(A1708,"m/d/yyyy")),FY24_Temp[],5,FALSE)&amp;TEXT(A1708,"-h"),Table6[],4,FALSE)</f>
        <v>2.6332857268197194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VLOOKUP(TEXT(A1708,"yy-mm")&amp;"-"&amp;IF(AND(WEEKDAY(A1708)&gt;1,WEEKDAY(A1708)&lt;7),"Wkd",TEXT(A1708,"Ddd"))&amp;"-"&amp;TEXT(A1708,"hh"),LoadTable[],5,FALSE)*0.92</f>
        <v>237.25788000000003</v>
      </c>
      <c r="U1708" s="104">
        <f>VLOOKUP(TEXT(A1708,"yy-mm")&amp;"-"&amp;IF(AND(WEEKDAY(A1708)&gt;1,WEEKDAY(A1708)&lt;7),"Wkd",TEXT(A1708,"Ddd"))&amp;"-"&amp;TEXT(A1708,"hh"),LoadTable[],6,FALSE)*T1708</f>
        <v>11718.878466840002</v>
      </c>
      <c r="V1708">
        <f t="shared" ref="V1708:W1708" si="1815">V1684</f>
        <v>2.6</v>
      </c>
      <c r="W1708">
        <f t="shared" si="1815"/>
        <v>3.2</v>
      </c>
      <c r="X1708" s="9">
        <v>-72.081149616666494</v>
      </c>
    </row>
    <row r="1709" spans="1:24">
      <c r="A1709" s="29">
        <f t="shared" si="1771"/>
        <v>45907.083333329196</v>
      </c>
      <c r="B1709" s="30">
        <f t="shared" si="1795"/>
        <v>5000</v>
      </c>
      <c r="C1709" s="8">
        <v>25000</v>
      </c>
      <c r="D1709" s="8">
        <v>0</v>
      </c>
      <c r="E1709" s="8">
        <v>700</v>
      </c>
      <c r="F1709" s="8">
        <v>15000</v>
      </c>
      <c r="G1709" s="30">
        <f t="shared" si="1796"/>
        <v>2400</v>
      </c>
      <c r="H1709" s="8">
        <v>25000</v>
      </c>
      <c r="I1709" s="30">
        <f t="shared" si="1797"/>
        <v>5000</v>
      </c>
      <c r="J1709" s="8">
        <v>25000</v>
      </c>
      <c r="K1709" s="30">
        <f t="shared" si="1798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VLOOKUP(VLOOKUP(DATEVALUE(TEXT(A1709,"m/d/yyyy")),FY24_Temp[],5,FALSE)&amp;TEXT(A1709,"-h"),Table6[],4,FALSE)</f>
        <v>2.5004285403660367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VLOOKUP(TEXT(A1709,"yy-mm")&amp;"-"&amp;IF(AND(WEEKDAY(A1709)&gt;1,WEEKDAY(A1709)&lt;7),"Wkd",TEXT(A1709,"Ddd"))&amp;"-"&amp;TEXT(A1709,"hh"),LoadTable[],5,FALSE)*0.92</f>
        <v>237.25788000000003</v>
      </c>
      <c r="U1709" s="104">
        <f>VLOOKUP(TEXT(A1709,"yy-mm")&amp;"-"&amp;IF(AND(WEEKDAY(A1709)&gt;1,WEEKDAY(A1709)&lt;7),"Wkd",TEXT(A1709,"Ddd"))&amp;"-"&amp;TEXT(A1709,"hh"),LoadTable[],6,FALSE)*T1709</f>
        <v>11658.852223200001</v>
      </c>
      <c r="V1709">
        <f t="shared" ref="V1709:W1709" si="1816">V1685</f>
        <v>2.8</v>
      </c>
      <c r="W1709">
        <f t="shared" si="1816"/>
        <v>3.2</v>
      </c>
      <c r="X1709" s="9">
        <v>-72.158944166666501</v>
      </c>
    </row>
    <row r="1710" spans="1:24">
      <c r="A1710" s="29">
        <f t="shared" si="1771"/>
        <v>45907.12499999586</v>
      </c>
      <c r="B1710" s="30">
        <f t="shared" si="1795"/>
        <v>5000</v>
      </c>
      <c r="C1710" s="8">
        <v>25000</v>
      </c>
      <c r="D1710" s="8">
        <v>0</v>
      </c>
      <c r="E1710" s="8">
        <v>700</v>
      </c>
      <c r="F1710" s="8">
        <v>15000</v>
      </c>
      <c r="G1710" s="30">
        <f t="shared" si="1796"/>
        <v>2400</v>
      </c>
      <c r="H1710" s="8">
        <v>25000</v>
      </c>
      <c r="I1710" s="30">
        <f t="shared" si="1797"/>
        <v>5000</v>
      </c>
      <c r="J1710" s="8">
        <v>25000</v>
      </c>
      <c r="K1710" s="30">
        <f t="shared" si="1798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VLOOKUP(VLOOKUP(DATEVALUE(TEXT(A1710,"m/d/yyyy")),FY24_Temp[],5,FALSE)&amp;TEXT(A1710,"-h"),Table6[],4,FALSE)</f>
        <v>2.3495714323861256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VLOOKUP(TEXT(A1710,"yy-mm")&amp;"-"&amp;IF(AND(WEEKDAY(A1710)&gt;1,WEEKDAY(A1710)&lt;7),"Wkd",TEXT(A1710,"Ddd"))&amp;"-"&amp;TEXT(A1710,"hh"),LoadTable[],5,FALSE)*0.92</f>
        <v>237.25788000000003</v>
      </c>
      <c r="U1710" s="104">
        <f>VLOOKUP(TEXT(A1710,"yy-mm")&amp;"-"&amp;IF(AND(WEEKDAY(A1710)&gt;1,WEEKDAY(A1710)&lt;7),"Wkd",TEXT(A1710,"Ddd"))&amp;"-"&amp;TEXT(A1710,"hh"),LoadTable[],6,FALSE)*T1710</f>
        <v>11620.653704520002</v>
      </c>
      <c r="V1710">
        <f t="shared" ref="V1710:W1710" si="1817">V1686</f>
        <v>2.7</v>
      </c>
      <c r="W1710">
        <f t="shared" si="1817"/>
        <v>3.2</v>
      </c>
      <c r="X1710" s="9">
        <v>-72.236738716666594</v>
      </c>
    </row>
    <row r="1711" spans="1:24">
      <c r="A1711" s="29">
        <f t="shared" si="1771"/>
        <v>45907.166666662524</v>
      </c>
      <c r="B1711" s="30">
        <f t="shared" si="1795"/>
        <v>5000</v>
      </c>
      <c r="C1711" s="8">
        <v>25000</v>
      </c>
      <c r="D1711" s="8">
        <v>0</v>
      </c>
      <c r="E1711" s="8">
        <v>700</v>
      </c>
      <c r="F1711" s="8">
        <v>15000</v>
      </c>
      <c r="G1711" s="30">
        <f t="shared" si="1796"/>
        <v>2400</v>
      </c>
      <c r="H1711" s="8">
        <v>25000</v>
      </c>
      <c r="I1711" s="30">
        <f t="shared" si="1797"/>
        <v>5000</v>
      </c>
      <c r="J1711" s="8">
        <v>25000</v>
      </c>
      <c r="K1711" s="30">
        <f t="shared" si="1798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VLOOKUP(VLOOKUP(DATEVALUE(TEXT(A1711,"m/d/yyyy")),FY24_Temp[],5,FALSE)&amp;TEXT(A1711,"-h"),Table6[],4,FALSE)</f>
        <v>2.1924285548073903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VLOOKUP(TEXT(A1711,"yy-mm")&amp;"-"&amp;IF(AND(WEEKDAY(A1711)&gt;1,WEEKDAY(A1711)&lt;7),"Wkd",TEXT(A1711,"Ddd"))&amp;"-"&amp;TEXT(A1711,"hh"),LoadTable[],5,FALSE)*0.92</f>
        <v>237.25788000000003</v>
      </c>
      <c r="U1711" s="104">
        <f>VLOOKUP(TEXT(A1711,"yy-mm")&amp;"-"&amp;IF(AND(WEEKDAY(A1711)&gt;1,WEEKDAY(A1711)&lt;7),"Wkd",TEXT(A1711,"Ddd"))&amp;"-"&amp;TEXT(A1711,"hh"),LoadTable[],6,FALSE)*T1711</f>
        <v>11494.195254480001</v>
      </c>
      <c r="V1711">
        <f t="shared" ref="V1711:W1711" si="1818">V1687</f>
        <v>3</v>
      </c>
      <c r="W1711">
        <f t="shared" si="1818"/>
        <v>3.1</v>
      </c>
      <c r="X1711" s="9">
        <v>-72.314533266666601</v>
      </c>
    </row>
    <row r="1712" spans="1:24">
      <c r="A1712" s="29">
        <f t="shared" si="1771"/>
        <v>45907.208333329188</v>
      </c>
      <c r="B1712" s="30">
        <f t="shared" si="1795"/>
        <v>5000</v>
      </c>
      <c r="C1712" s="8">
        <v>25000</v>
      </c>
      <c r="D1712" s="8">
        <v>0</v>
      </c>
      <c r="E1712" s="8">
        <v>700</v>
      </c>
      <c r="F1712" s="8">
        <v>15000</v>
      </c>
      <c r="G1712" s="30">
        <f t="shared" si="1796"/>
        <v>2400</v>
      </c>
      <c r="H1712" s="8">
        <v>25000</v>
      </c>
      <c r="I1712" s="30">
        <f t="shared" si="1797"/>
        <v>5000</v>
      </c>
      <c r="J1712" s="8">
        <v>25000</v>
      </c>
      <c r="K1712" s="30">
        <f t="shared" si="1798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VLOOKUP(VLOOKUP(DATEVALUE(TEXT(A1712,"m/d/yyyy")),FY24_Temp[],5,FALSE)&amp;TEXT(A1712,"-h"),Table6[],4,FALSE)</f>
        <v>2.0738571711948941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VLOOKUP(TEXT(A1712,"yy-mm")&amp;"-"&amp;IF(AND(WEEKDAY(A1712)&gt;1,WEEKDAY(A1712)&lt;7),"Wkd",TEXT(A1712,"Ddd"))&amp;"-"&amp;TEXT(A1712,"hh"),LoadTable[],5,FALSE)*0.92</f>
        <v>237.25788000000003</v>
      </c>
      <c r="U1712" s="104">
        <f>VLOOKUP(TEXT(A1712,"yy-mm")&amp;"-"&amp;IF(AND(WEEKDAY(A1712)&gt;1,WEEKDAY(A1712)&lt;7),"Wkd",TEXT(A1712,"Ddd"))&amp;"-"&amp;TEXT(A1712,"hh"),LoadTable[],6,FALSE)*T1712</f>
        <v>11623.738056960001</v>
      </c>
      <c r="V1712">
        <f t="shared" ref="V1712:W1712" si="1819">V1688</f>
        <v>2.9</v>
      </c>
      <c r="W1712">
        <f t="shared" si="1819"/>
        <v>3.1</v>
      </c>
      <c r="X1712" s="9">
        <v>-72.392327816666594</v>
      </c>
    </row>
    <row r="1713" spans="1:24">
      <c r="A1713" s="29">
        <f t="shared" si="1771"/>
        <v>45907.249999995853</v>
      </c>
      <c r="B1713" s="30">
        <f t="shared" si="1795"/>
        <v>8000</v>
      </c>
      <c r="C1713" s="8">
        <v>25000</v>
      </c>
      <c r="D1713" s="8">
        <v>0</v>
      </c>
      <c r="E1713" s="8">
        <v>700</v>
      </c>
      <c r="F1713" s="8">
        <v>15000</v>
      </c>
      <c r="G1713" s="30">
        <f t="shared" si="1796"/>
        <v>2400</v>
      </c>
      <c r="H1713" s="8">
        <v>25000</v>
      </c>
      <c r="I1713" s="30">
        <f t="shared" si="1797"/>
        <v>8000</v>
      </c>
      <c r="J1713" s="8">
        <v>25000</v>
      </c>
      <c r="K1713" s="30">
        <f t="shared" si="1798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VLOOKUP(VLOOKUP(DATEVALUE(TEXT(A1713,"m/d/yyyy")),FY24_Temp[],5,FALSE)&amp;TEXT(A1713,"-h"),Table6[],4,FALSE)</f>
        <v>1.9711428540093558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VLOOKUP(TEXT(A1713,"yy-mm")&amp;"-"&amp;IF(AND(WEEKDAY(A1713)&gt;1,WEEKDAY(A1713)&lt;7),"Wkd",TEXT(A1713,"Ddd"))&amp;"-"&amp;TEXT(A1713,"hh"),LoadTable[],5,FALSE)*0.92</f>
        <v>237.25788000000003</v>
      </c>
      <c r="U1713" s="104">
        <f>VLOOKUP(TEXT(A1713,"yy-mm")&amp;"-"&amp;IF(AND(WEEKDAY(A1713)&gt;1,WEEKDAY(A1713)&lt;7),"Wkd",TEXT(A1713,"Ddd"))&amp;"-"&amp;TEXT(A1713,"hh"),LoadTable[],6,FALSE)*T1713</f>
        <v>18385.587636960005</v>
      </c>
      <c r="V1713">
        <f t="shared" ref="V1713:W1713" si="1820">V1689</f>
        <v>2.5</v>
      </c>
      <c r="W1713">
        <f t="shared" si="1820"/>
        <v>3.1</v>
      </c>
      <c r="X1713" s="9">
        <v>-72.470122366666601</v>
      </c>
    </row>
    <row r="1714" spans="1:24">
      <c r="A1714" s="29">
        <f t="shared" si="1771"/>
        <v>45907.291666662517</v>
      </c>
      <c r="B1714" s="30">
        <f t="shared" si="1795"/>
        <v>8000</v>
      </c>
      <c r="C1714" s="8">
        <v>25000</v>
      </c>
      <c r="D1714" s="8">
        <v>0</v>
      </c>
      <c r="E1714" s="8">
        <v>700</v>
      </c>
      <c r="F1714" s="8">
        <v>15000</v>
      </c>
      <c r="G1714" s="30">
        <f t="shared" si="1796"/>
        <v>2400</v>
      </c>
      <c r="H1714" s="8">
        <v>25000</v>
      </c>
      <c r="I1714" s="30">
        <f t="shared" si="1797"/>
        <v>8000</v>
      </c>
      <c r="J1714" s="8">
        <v>25000</v>
      </c>
      <c r="K1714" s="30">
        <f t="shared" si="1798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VLOOKUP(VLOOKUP(DATEVALUE(TEXT(A1714,"m/d/yyyy")),FY24_Temp[],5,FALSE)&amp;TEXT(A1714,"-h"),Table6[],4,FALSE)</f>
        <v>1.8018571478979928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VLOOKUP(TEXT(A1714,"yy-mm")&amp;"-"&amp;IF(AND(WEEKDAY(A1714)&gt;1,WEEKDAY(A1714)&lt;7),"Wkd",TEXT(A1714,"Ddd"))&amp;"-"&amp;TEXT(A1714,"hh"),LoadTable[],5,FALSE)*0.92</f>
        <v>237.25788000000003</v>
      </c>
      <c r="U1714" s="104">
        <f>VLOOKUP(TEXT(A1714,"yy-mm")&amp;"-"&amp;IF(AND(WEEKDAY(A1714)&gt;1,WEEKDAY(A1714)&lt;7),"Wkd",TEXT(A1714,"Ddd"))&amp;"-"&amp;TEXT(A1714,"hh"),LoadTable[],6,FALSE)*T1714</f>
        <v>14061.562773960002</v>
      </c>
      <c r="V1714">
        <f t="shared" ref="V1714:W1714" si="1821">V1690</f>
        <v>2.5</v>
      </c>
      <c r="W1714">
        <f t="shared" si="1821"/>
        <v>3.1</v>
      </c>
      <c r="X1714" s="9">
        <v>-72.547916916666594</v>
      </c>
    </row>
    <row r="1715" spans="1:24">
      <c r="A1715" s="29">
        <f t="shared" si="1771"/>
        <v>45907.333333329181</v>
      </c>
      <c r="B1715" s="30">
        <f t="shared" si="1795"/>
        <v>8000</v>
      </c>
      <c r="C1715" s="8">
        <v>25000</v>
      </c>
      <c r="D1715" s="8">
        <v>0</v>
      </c>
      <c r="E1715" s="8">
        <v>700</v>
      </c>
      <c r="F1715" s="8">
        <v>15000</v>
      </c>
      <c r="G1715" s="30">
        <f t="shared" si="1796"/>
        <v>2400</v>
      </c>
      <c r="H1715" s="8">
        <v>25000</v>
      </c>
      <c r="I1715" s="30">
        <f t="shared" si="1797"/>
        <v>8000</v>
      </c>
      <c r="J1715" s="8">
        <v>25000</v>
      </c>
      <c r="K1715" s="30">
        <f t="shared" si="1798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VLOOKUP(VLOOKUP(DATEVALUE(TEXT(A1715,"m/d/yyyy")),FY24_Temp[],5,FALSE)&amp;TEXT(A1715,"-h"),Table6[],4,FALSE)</f>
        <v>1.7142857142857142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VLOOKUP(TEXT(A1715,"yy-mm")&amp;"-"&amp;IF(AND(WEEKDAY(A1715)&gt;1,WEEKDAY(A1715)&lt;7),"Wkd",TEXT(A1715,"Ddd"))&amp;"-"&amp;TEXT(A1715,"hh"),LoadTable[],5,FALSE)*0.92</f>
        <v>237.25788000000003</v>
      </c>
      <c r="U1715" s="104">
        <f>VLOOKUP(TEXT(A1715,"yy-mm")&amp;"-"&amp;IF(AND(WEEKDAY(A1715)&gt;1,WEEKDAY(A1715)&lt;7),"Wkd",TEXT(A1715,"Ddd"))&amp;"-"&amp;TEXT(A1715,"hh"),LoadTable[],6,FALSE)*T1715</f>
        <v>12063.61416648</v>
      </c>
      <c r="V1715">
        <f t="shared" ref="V1715:W1715" si="1822">V1691</f>
        <v>3.2</v>
      </c>
      <c r="W1715">
        <f t="shared" si="1822"/>
        <v>3</v>
      </c>
      <c r="X1715" s="9">
        <v>-72.625711466666601</v>
      </c>
    </row>
    <row r="1716" spans="1:24">
      <c r="A1716" s="29">
        <f t="shared" si="1771"/>
        <v>45907.374999995845</v>
      </c>
      <c r="B1716" s="30">
        <f t="shared" si="1795"/>
        <v>8000</v>
      </c>
      <c r="C1716" s="8">
        <v>25000</v>
      </c>
      <c r="D1716" s="8">
        <v>0</v>
      </c>
      <c r="E1716" s="8">
        <v>700</v>
      </c>
      <c r="F1716" s="8">
        <v>15000</v>
      </c>
      <c r="G1716" s="30">
        <f t="shared" si="1796"/>
        <v>2400</v>
      </c>
      <c r="H1716" s="8">
        <v>25000</v>
      </c>
      <c r="I1716" s="30">
        <f t="shared" si="1797"/>
        <v>8000</v>
      </c>
      <c r="J1716" s="8">
        <v>25000</v>
      </c>
      <c r="K1716" s="30">
        <f t="shared" si="1798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VLOOKUP(VLOOKUP(DATEVALUE(TEXT(A1716,"m/d/yyyy")),FY24_Temp[],5,FALSE)&amp;TEXT(A1716,"-h"),Table6[],4,FALSE)</f>
        <v>1.5628571510314941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VLOOKUP(TEXT(A1716,"yy-mm")&amp;"-"&amp;IF(AND(WEEKDAY(A1716)&gt;1,WEEKDAY(A1716)&lt;7),"Wkd",TEXT(A1716,"Ddd"))&amp;"-"&amp;TEXT(A1716,"hh"),LoadTable[],5,FALSE)*0.92</f>
        <v>237.25788000000003</v>
      </c>
      <c r="U1716" s="104">
        <f>VLOOKUP(TEXT(A1716,"yy-mm")&amp;"-"&amp;IF(AND(WEEKDAY(A1716)&gt;1,WEEKDAY(A1716)&lt;7),"Wkd",TEXT(A1716,"Ddd"))&amp;"-"&amp;TEXT(A1716,"hh"),LoadTable[],6,FALSE)*T1716</f>
        <v>10984.80258612</v>
      </c>
      <c r="V1716">
        <f t="shared" ref="V1716:W1716" si="1823">V1692</f>
        <v>2.9</v>
      </c>
      <c r="W1716">
        <f t="shared" si="1823"/>
        <v>3</v>
      </c>
      <c r="X1716" s="9">
        <v>-72.703506016666594</v>
      </c>
    </row>
    <row r="1717" spans="1:24">
      <c r="A1717" s="29">
        <f t="shared" si="1771"/>
        <v>45907.41666666251</v>
      </c>
      <c r="B1717" s="30">
        <f t="shared" si="1795"/>
        <v>8000</v>
      </c>
      <c r="C1717" s="8">
        <v>25000</v>
      </c>
      <c r="D1717" s="8">
        <v>0</v>
      </c>
      <c r="E1717" s="8">
        <v>700</v>
      </c>
      <c r="F1717" s="8">
        <v>15000</v>
      </c>
      <c r="G1717" s="30">
        <f t="shared" si="1796"/>
        <v>2400</v>
      </c>
      <c r="H1717" s="8">
        <v>25000</v>
      </c>
      <c r="I1717" s="30">
        <f t="shared" si="1797"/>
        <v>8000</v>
      </c>
      <c r="J1717" s="8">
        <v>25000</v>
      </c>
      <c r="K1717" s="30">
        <f t="shared" si="1798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VLOOKUP(VLOOKUP(DATEVALUE(TEXT(A1717,"m/d/yyyy")),FY24_Temp[],5,FALSE)&amp;TEXT(A1717,"-h"),Table6[],4,FALSE)</f>
        <v>1.4149999959128243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VLOOKUP(TEXT(A1717,"yy-mm")&amp;"-"&amp;IF(AND(WEEKDAY(A1717)&gt;1,WEEKDAY(A1717)&lt;7),"Wkd",TEXT(A1717,"Ddd"))&amp;"-"&amp;TEXT(A1717,"hh"),LoadTable[],5,FALSE)*0.92</f>
        <v>237.25788000000003</v>
      </c>
      <c r="U1717" s="104">
        <f>VLOOKUP(TEXT(A1717,"yy-mm")&amp;"-"&amp;IF(AND(WEEKDAY(A1717)&gt;1,WEEKDAY(A1717)&lt;7),"Wkd",TEXT(A1717,"Ddd"))&amp;"-"&amp;TEXT(A1717,"hh"),LoadTable[],6,FALSE)*T1717</f>
        <v>10967.245503000002</v>
      </c>
      <c r="V1717">
        <f t="shared" ref="V1717:W1717" si="1824">V1693</f>
        <v>2.9</v>
      </c>
      <c r="W1717">
        <f t="shared" si="1824"/>
        <v>3</v>
      </c>
      <c r="X1717" s="9">
        <v>-72.781300566666602</v>
      </c>
    </row>
    <row r="1718" spans="1:24">
      <c r="A1718" s="29">
        <f t="shared" si="1771"/>
        <v>45907.458333329174</v>
      </c>
      <c r="B1718" s="30">
        <f t="shared" si="1795"/>
        <v>8000</v>
      </c>
      <c r="C1718" s="8">
        <v>25000</v>
      </c>
      <c r="D1718" s="8">
        <v>0</v>
      </c>
      <c r="E1718" s="8">
        <v>700</v>
      </c>
      <c r="F1718" s="8">
        <v>15000</v>
      </c>
      <c r="G1718" s="30">
        <f t="shared" si="1796"/>
        <v>2400</v>
      </c>
      <c r="H1718" s="8">
        <v>25000</v>
      </c>
      <c r="I1718" s="30">
        <f t="shared" si="1797"/>
        <v>8000</v>
      </c>
      <c r="J1718" s="8">
        <v>25000</v>
      </c>
      <c r="K1718" s="30">
        <f t="shared" si="1798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VLOOKUP(VLOOKUP(DATEVALUE(TEXT(A1718,"m/d/yyyy")),FY24_Temp[],5,FALSE)&amp;TEXT(A1718,"-h"),Table6[],4,FALSE)</f>
        <v>1.3002857310431344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VLOOKUP(TEXT(A1718,"yy-mm")&amp;"-"&amp;IF(AND(WEEKDAY(A1718)&gt;1,WEEKDAY(A1718)&lt;7),"Wkd",TEXT(A1718,"Ddd"))&amp;"-"&amp;TEXT(A1718,"hh"),LoadTable[],5,FALSE)*0.92</f>
        <v>237.25788000000003</v>
      </c>
      <c r="U1718" s="104">
        <f>VLOOKUP(TEXT(A1718,"yy-mm")&amp;"-"&amp;IF(AND(WEEKDAY(A1718)&gt;1,WEEKDAY(A1718)&lt;7),"Wkd",TEXT(A1718,"Ddd"))&amp;"-"&amp;TEXT(A1718,"hh"),LoadTable[],6,FALSE)*T1718</f>
        <v>10967.720018760001</v>
      </c>
      <c r="V1718">
        <f t="shared" ref="V1718:W1718" si="1825">V1694</f>
        <v>3.4</v>
      </c>
      <c r="W1718">
        <f t="shared" si="1825"/>
        <v>3</v>
      </c>
      <c r="X1718" s="9">
        <v>-72.859095116666595</v>
      </c>
    </row>
    <row r="1719" spans="1:24">
      <c r="A1719" s="29">
        <f t="shared" si="1771"/>
        <v>45907.499999995838</v>
      </c>
      <c r="B1719" s="30">
        <f t="shared" si="1795"/>
        <v>8000</v>
      </c>
      <c r="C1719" s="8">
        <v>25000</v>
      </c>
      <c r="D1719" s="8">
        <v>0</v>
      </c>
      <c r="E1719" s="8">
        <v>700</v>
      </c>
      <c r="F1719" s="8">
        <v>15000</v>
      </c>
      <c r="G1719" s="30">
        <f t="shared" si="1796"/>
        <v>2400</v>
      </c>
      <c r="H1719" s="8">
        <v>25000</v>
      </c>
      <c r="I1719" s="30">
        <f t="shared" si="1797"/>
        <v>8000</v>
      </c>
      <c r="J1719" s="8">
        <v>25000</v>
      </c>
      <c r="K1719" s="30">
        <f t="shared" si="1798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VLOOKUP(VLOOKUP(DATEVALUE(TEXT(A1719,"m/d/yyyy")),FY24_Temp[],5,FALSE)&amp;TEXT(A1719,"-h"),Table6[],4,FALSE)</f>
        <v>1.1327142715454102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VLOOKUP(TEXT(A1719,"yy-mm")&amp;"-"&amp;IF(AND(WEEKDAY(A1719)&gt;1,WEEKDAY(A1719)&lt;7),"Wkd",TEXT(A1719,"Ddd"))&amp;"-"&amp;TEXT(A1719,"hh"),LoadTable[],5,FALSE)*0.92</f>
        <v>237.25788000000003</v>
      </c>
      <c r="U1719" s="104">
        <f>VLOOKUP(TEXT(A1719,"yy-mm")&amp;"-"&amp;IF(AND(WEEKDAY(A1719)&gt;1,WEEKDAY(A1719)&lt;7),"Wkd",TEXT(A1719,"Ddd"))&amp;"-"&amp;TEXT(A1719,"hh"),LoadTable[],6,FALSE)*T1719</f>
        <v>10974.600497280002</v>
      </c>
      <c r="V1719">
        <f t="shared" ref="V1719:W1719" si="1826">V1695</f>
        <v>3.1</v>
      </c>
      <c r="W1719">
        <f t="shared" si="1826"/>
        <v>2.9</v>
      </c>
      <c r="X1719" s="9">
        <v>-72.936889666666602</v>
      </c>
    </row>
    <row r="1720" spans="1:24">
      <c r="A1720" s="29">
        <f t="shared" si="1771"/>
        <v>45907.541666662502</v>
      </c>
      <c r="B1720" s="30">
        <f t="shared" si="1795"/>
        <v>8000</v>
      </c>
      <c r="C1720" s="8">
        <v>25000</v>
      </c>
      <c r="D1720" s="8">
        <v>0</v>
      </c>
      <c r="E1720" s="8">
        <v>700</v>
      </c>
      <c r="F1720" s="8">
        <v>15000</v>
      </c>
      <c r="G1720" s="30">
        <f t="shared" si="1796"/>
        <v>2400</v>
      </c>
      <c r="H1720" s="8">
        <v>25000</v>
      </c>
      <c r="I1720" s="30">
        <f t="shared" si="1797"/>
        <v>8000</v>
      </c>
      <c r="J1720" s="8">
        <v>25000</v>
      </c>
      <c r="K1720" s="30">
        <f t="shared" si="1798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VLOOKUP(VLOOKUP(DATEVALUE(TEXT(A1720,"m/d/yyyy")),FY24_Temp[],5,FALSE)&amp;TEXT(A1720,"-h"),Table6[],4,FALSE)</f>
        <v>0.98357141869408748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VLOOKUP(TEXT(A1720,"yy-mm")&amp;"-"&amp;IF(AND(WEEKDAY(A1720)&gt;1,WEEKDAY(A1720)&lt;7),"Wkd",TEXT(A1720,"Ddd"))&amp;"-"&amp;TEXT(A1720,"hh"),LoadTable[],5,FALSE)*0.92</f>
        <v>237.25788000000003</v>
      </c>
      <c r="U1720" s="104">
        <f>VLOOKUP(TEXT(A1720,"yy-mm")&amp;"-"&amp;IF(AND(WEEKDAY(A1720)&gt;1,WEEKDAY(A1720)&lt;7),"Wkd",TEXT(A1720,"Ddd"))&amp;"-"&amp;TEXT(A1720,"hh"),LoadTable[],6,FALSE)*T1720</f>
        <v>10989.785001600001</v>
      </c>
      <c r="V1720">
        <f t="shared" ref="V1720:W1720" si="1827">V1696</f>
        <v>3.2</v>
      </c>
      <c r="W1720">
        <f t="shared" si="1827"/>
        <v>2.9</v>
      </c>
      <c r="X1720" s="9">
        <v>-73.014684216666595</v>
      </c>
    </row>
    <row r="1721" spans="1:24">
      <c r="A1721" s="29">
        <f t="shared" si="1771"/>
        <v>45907.583333329167</v>
      </c>
      <c r="B1721" s="30">
        <f t="shared" si="1795"/>
        <v>8000</v>
      </c>
      <c r="C1721" s="8">
        <v>25000</v>
      </c>
      <c r="D1721" s="8">
        <v>0</v>
      </c>
      <c r="E1721" s="8">
        <v>700</v>
      </c>
      <c r="F1721" s="8">
        <v>15000</v>
      </c>
      <c r="G1721" s="30">
        <f t="shared" si="1796"/>
        <v>2400</v>
      </c>
      <c r="H1721" s="8">
        <v>25000</v>
      </c>
      <c r="I1721" s="30">
        <f t="shared" si="1797"/>
        <v>8000</v>
      </c>
      <c r="J1721" s="8">
        <v>25000</v>
      </c>
      <c r="K1721" s="30">
        <f t="shared" si="1798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VLOOKUP(VLOOKUP(DATEVALUE(TEXT(A1721,"m/d/yyyy")),FY24_Temp[],5,FALSE)&amp;TEXT(A1721,"-h"),Table6[],4,FALSE)</f>
        <v>0.86971429416111534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VLOOKUP(TEXT(A1721,"yy-mm")&amp;"-"&amp;IF(AND(WEEKDAY(A1721)&gt;1,WEEKDAY(A1721)&lt;7),"Wkd",TEXT(A1721,"Ddd"))&amp;"-"&amp;TEXT(A1721,"hh"),LoadTable[],5,FALSE)*0.92</f>
        <v>237.25788000000003</v>
      </c>
      <c r="U1721" s="104">
        <f>VLOOKUP(TEXT(A1721,"yy-mm")&amp;"-"&amp;IF(AND(WEEKDAY(A1721)&gt;1,WEEKDAY(A1721)&lt;7),"Wkd",TEXT(A1721,"Ddd"))&amp;"-"&amp;TEXT(A1721,"hh"),LoadTable[],6,FALSE)*T1721</f>
        <v>11586.014054040001</v>
      </c>
      <c r="V1721">
        <f t="shared" ref="V1721:W1721" si="1828">V1697</f>
        <v>3.5</v>
      </c>
      <c r="W1721">
        <f t="shared" si="1828"/>
        <v>2.9</v>
      </c>
      <c r="X1721" s="9">
        <v>-73.092478766666602</v>
      </c>
    </row>
    <row r="1722" spans="1:24">
      <c r="A1722" s="29">
        <f t="shared" si="1771"/>
        <v>45907.624999995831</v>
      </c>
      <c r="B1722" s="30">
        <f t="shared" si="1795"/>
        <v>8000</v>
      </c>
      <c r="C1722" s="8">
        <v>25000</v>
      </c>
      <c r="D1722" s="8">
        <v>0</v>
      </c>
      <c r="E1722" s="8">
        <v>700</v>
      </c>
      <c r="F1722" s="8">
        <v>15000</v>
      </c>
      <c r="G1722" s="30">
        <f t="shared" si="1796"/>
        <v>2400</v>
      </c>
      <c r="H1722" s="8">
        <v>25000</v>
      </c>
      <c r="I1722" s="30">
        <f t="shared" si="1797"/>
        <v>8000</v>
      </c>
      <c r="J1722" s="8">
        <v>25000</v>
      </c>
      <c r="K1722" s="30">
        <f t="shared" si="1798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VLOOKUP(VLOOKUP(DATEVALUE(TEXT(A1722,"m/d/yyyy")),FY24_Temp[],5,FALSE)&amp;TEXT(A1722,"-h"),Table6[],4,FALSE)</f>
        <v>0.90028570379529682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VLOOKUP(TEXT(A1722,"yy-mm")&amp;"-"&amp;IF(AND(WEEKDAY(A1722)&gt;1,WEEKDAY(A1722)&lt;7),"Wkd",TEXT(A1722,"Ddd"))&amp;"-"&amp;TEXT(A1722,"hh"),LoadTable[],5,FALSE)*0.92</f>
        <v>355.88728000000003</v>
      </c>
      <c r="U1722" s="104">
        <f>VLOOKUP(TEXT(A1722,"yy-mm")&amp;"-"&amp;IF(AND(WEEKDAY(A1722)&gt;1,WEEKDAY(A1722)&lt;7),"Wkd",TEXT(A1722,"Ddd"))&amp;"-"&amp;TEXT(A1722,"hh"),LoadTable[],6,FALSE)*T1722</f>
        <v>19252.078298880002</v>
      </c>
      <c r="V1722">
        <f t="shared" ref="V1722:W1722" si="1829">V1698</f>
        <v>3.2</v>
      </c>
      <c r="W1722">
        <f t="shared" si="1829"/>
        <v>2.9</v>
      </c>
      <c r="X1722" s="9">
        <v>-73.170273316666595</v>
      </c>
    </row>
    <row r="1723" spans="1:24">
      <c r="A1723" s="29">
        <f t="shared" si="1771"/>
        <v>45907.666666662495</v>
      </c>
      <c r="B1723" s="30">
        <f t="shared" si="1795"/>
        <v>8000</v>
      </c>
      <c r="C1723" s="8">
        <v>25000</v>
      </c>
      <c r="D1723" s="8">
        <v>0</v>
      </c>
      <c r="E1723" s="8">
        <v>700</v>
      </c>
      <c r="F1723" s="8">
        <v>15000</v>
      </c>
      <c r="G1723" s="30">
        <f t="shared" si="1796"/>
        <v>2400</v>
      </c>
      <c r="H1723" s="8">
        <v>25000</v>
      </c>
      <c r="I1723" s="30">
        <f t="shared" si="1797"/>
        <v>8000</v>
      </c>
      <c r="J1723" s="8">
        <v>25000</v>
      </c>
      <c r="K1723" s="30">
        <f t="shared" si="1798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VLOOKUP(VLOOKUP(DATEVALUE(TEXT(A1723,"m/d/yyyy")),FY24_Temp[],5,FALSE)&amp;TEXT(A1723,"-h"),Table6[],4,FALSE)</f>
        <v>1.2158571481704712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VLOOKUP(TEXT(A1723,"yy-mm")&amp;"-"&amp;IF(AND(WEEKDAY(A1723)&gt;1,WEEKDAY(A1723)&lt;7),"Wkd",TEXT(A1723,"Ddd"))&amp;"-"&amp;TEXT(A1723,"hh"),LoadTable[],5,FALSE)*0.92</f>
        <v>388.38076000000001</v>
      </c>
      <c r="U1723" s="104">
        <f>VLOOKUP(TEXT(A1723,"yy-mm")&amp;"-"&amp;IF(AND(WEEKDAY(A1723)&gt;1,WEEKDAY(A1723)&lt;7),"Wkd",TEXT(A1723,"Ddd"))&amp;"-"&amp;TEXT(A1723,"hh"),LoadTable[],6,FALSE)*T1723</f>
        <v>27712.520749039999</v>
      </c>
      <c r="V1723">
        <f t="shared" ref="V1723:W1723" si="1830">V1699</f>
        <v>3.5</v>
      </c>
      <c r="W1723">
        <f t="shared" si="1830"/>
        <v>3</v>
      </c>
      <c r="X1723" s="9">
        <v>-73.248067866666602</v>
      </c>
    </row>
    <row r="1724" spans="1:24">
      <c r="A1724" s="29">
        <f t="shared" si="1771"/>
        <v>45907.708333329159</v>
      </c>
      <c r="B1724" s="30">
        <f t="shared" si="1795"/>
        <v>8000</v>
      </c>
      <c r="C1724" s="8">
        <v>25000</v>
      </c>
      <c r="D1724" s="8">
        <v>0</v>
      </c>
      <c r="E1724" s="8">
        <v>700</v>
      </c>
      <c r="F1724" s="8">
        <v>15000</v>
      </c>
      <c r="G1724" s="30">
        <f t="shared" si="1796"/>
        <v>2400</v>
      </c>
      <c r="H1724" s="8">
        <v>25000</v>
      </c>
      <c r="I1724" s="30">
        <f t="shared" si="1797"/>
        <v>8000</v>
      </c>
      <c r="J1724" s="8">
        <v>25000</v>
      </c>
      <c r="K1724" s="30">
        <f t="shared" si="1798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VLOOKUP(VLOOKUP(DATEVALUE(TEXT(A1724,"m/d/yyyy")),FY24_Temp[],5,FALSE)&amp;TEXT(A1724,"-h"),Table6[],4,FALSE)</f>
        <v>1.6385714156287057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VLOOKUP(TEXT(A1724,"yy-mm")&amp;"-"&amp;IF(AND(WEEKDAY(A1724)&gt;1,WEEKDAY(A1724)&lt;7),"Wkd",TEXT(A1724,"Ddd"))&amp;"-"&amp;TEXT(A1724,"hh"),LoadTable[],5,FALSE)*0.92</f>
        <v>388.38076000000001</v>
      </c>
      <c r="U1724" s="104">
        <f>VLOOKUP(TEXT(A1724,"yy-mm")&amp;"-"&amp;IF(AND(WEEKDAY(A1724)&gt;1,WEEKDAY(A1724)&lt;7),"Wkd",TEXT(A1724,"Ddd"))&amp;"-"&amp;TEXT(A1724,"hh"),LoadTable[],6,FALSE)*T1724</f>
        <v>36453.806514360003</v>
      </c>
      <c r="V1724">
        <f t="shared" ref="V1724:W1724" si="1831">V1700</f>
        <v>3.6</v>
      </c>
      <c r="W1724">
        <f t="shared" si="1831"/>
        <v>3</v>
      </c>
      <c r="X1724" s="9">
        <v>-73.325862416666695</v>
      </c>
    </row>
    <row r="1725" spans="1:24">
      <c r="A1725" s="29">
        <f t="shared" si="1771"/>
        <v>45907.749999995824</v>
      </c>
      <c r="B1725" s="30">
        <f t="shared" si="1795"/>
        <v>5000</v>
      </c>
      <c r="C1725" s="8">
        <v>25000</v>
      </c>
      <c r="D1725" s="8">
        <v>0</v>
      </c>
      <c r="E1725" s="8">
        <v>700</v>
      </c>
      <c r="F1725" s="8">
        <v>15000</v>
      </c>
      <c r="G1725" s="30">
        <f t="shared" si="1796"/>
        <v>2400</v>
      </c>
      <c r="H1725" s="8">
        <v>25000</v>
      </c>
      <c r="I1725" s="30">
        <f t="shared" si="1797"/>
        <v>5000</v>
      </c>
      <c r="J1725" s="8">
        <v>25000</v>
      </c>
      <c r="K1725" s="30">
        <f t="shared" si="1798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VLOOKUP(VLOOKUP(DATEVALUE(TEXT(A1725,"m/d/yyyy")),FY24_Temp[],5,FALSE)&amp;TEXT(A1725,"-h"),Table6[],4,FALSE)</f>
        <v>2.1335714374269759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VLOOKUP(TEXT(A1725,"yy-mm")&amp;"-"&amp;IF(AND(WEEKDAY(A1725)&gt;1,WEEKDAY(A1725)&lt;7),"Wkd",TEXT(A1725,"Ddd"))&amp;"-"&amp;TEXT(A1725,"hh"),LoadTable[],5,FALSE)*0.92</f>
        <v>388.38076000000001</v>
      </c>
      <c r="U1725" s="104">
        <f>VLOOKUP(TEXT(A1725,"yy-mm")&amp;"-"&amp;IF(AND(WEEKDAY(A1725)&gt;1,WEEKDAY(A1725)&lt;7),"Wkd",TEXT(A1725,"Ddd"))&amp;"-"&amp;TEXT(A1725,"hh"),LoadTable[],6,FALSE)*T1725</f>
        <v>43429.124963959999</v>
      </c>
      <c r="V1725">
        <f t="shared" ref="V1725:W1725" si="1832">V1701</f>
        <v>2.9</v>
      </c>
      <c r="W1725">
        <f t="shared" si="1832"/>
        <v>3</v>
      </c>
      <c r="X1725" s="9">
        <v>-73.403656966666702</v>
      </c>
    </row>
    <row r="1726" spans="1:24">
      <c r="A1726" s="29">
        <f t="shared" si="1771"/>
        <v>45907.791666662488</v>
      </c>
      <c r="B1726" s="30">
        <f t="shared" si="1795"/>
        <v>5000</v>
      </c>
      <c r="C1726" s="8">
        <v>25000</v>
      </c>
      <c r="D1726" s="8">
        <v>0</v>
      </c>
      <c r="E1726" s="8">
        <v>700</v>
      </c>
      <c r="F1726" s="8">
        <v>15000</v>
      </c>
      <c r="G1726" s="30">
        <f t="shared" si="1796"/>
        <v>2400</v>
      </c>
      <c r="H1726" s="8">
        <v>25000</v>
      </c>
      <c r="I1726" s="30">
        <f t="shared" si="1797"/>
        <v>5000</v>
      </c>
      <c r="J1726" s="8">
        <v>25000</v>
      </c>
      <c r="K1726" s="30">
        <f t="shared" si="1798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VLOOKUP(VLOOKUP(DATEVALUE(TEXT(A1726,"m/d/yyyy")),FY24_Temp[],5,FALSE)&amp;TEXT(A1726,"-h"),Table6[],4,FALSE)</f>
        <v>2.4782857213701521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VLOOKUP(TEXT(A1726,"yy-mm")&amp;"-"&amp;IF(AND(WEEKDAY(A1726)&gt;1,WEEKDAY(A1726)&lt;7),"Wkd",TEXT(A1726,"Ddd"))&amp;"-"&amp;TEXT(A1726,"hh"),LoadTable[],5,FALSE)*0.92</f>
        <v>388.38076000000001</v>
      </c>
      <c r="U1726" s="104">
        <f>VLOOKUP(TEXT(A1726,"yy-mm")&amp;"-"&amp;IF(AND(WEEKDAY(A1726)&gt;1,WEEKDAY(A1726)&lt;7),"Wkd",TEXT(A1726,"Ddd"))&amp;"-"&amp;TEXT(A1726,"hh"),LoadTable[],6,FALSE)*T1726</f>
        <v>45035.856168079998</v>
      </c>
      <c r="V1726">
        <f t="shared" ref="V1726:W1726" si="1833">V1702</f>
        <v>3</v>
      </c>
      <c r="W1726">
        <f t="shared" si="1833"/>
        <v>3</v>
      </c>
      <c r="X1726" s="9">
        <v>-73.481451516666695</v>
      </c>
    </row>
    <row r="1727" spans="1:24">
      <c r="A1727" s="29">
        <f t="shared" si="1771"/>
        <v>45907.833333329152</v>
      </c>
      <c r="B1727" s="30">
        <f t="shared" si="1795"/>
        <v>5000</v>
      </c>
      <c r="C1727" s="8">
        <v>25000</v>
      </c>
      <c r="D1727" s="8">
        <v>0</v>
      </c>
      <c r="E1727" s="8">
        <v>700</v>
      </c>
      <c r="F1727" s="8">
        <v>15000</v>
      </c>
      <c r="G1727" s="30">
        <f t="shared" si="1796"/>
        <v>2400</v>
      </c>
      <c r="H1727" s="8">
        <v>25000</v>
      </c>
      <c r="I1727" s="30">
        <f t="shared" si="1797"/>
        <v>5000</v>
      </c>
      <c r="J1727" s="8">
        <v>25000</v>
      </c>
      <c r="K1727" s="30">
        <f t="shared" si="1798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VLOOKUP(VLOOKUP(DATEVALUE(TEXT(A1727,"m/d/yyyy")),FY24_Temp[],5,FALSE)&amp;TEXT(A1727,"-h"),Table6[],4,FALSE)</f>
        <v>2.6718571526663646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VLOOKUP(TEXT(A1727,"yy-mm")&amp;"-"&amp;IF(AND(WEEKDAY(A1727)&gt;1,WEEKDAY(A1727)&lt;7),"Wkd",TEXT(A1727,"Ddd"))&amp;"-"&amp;TEXT(A1727,"hh"),LoadTable[],5,FALSE)*0.92</f>
        <v>351.00484</v>
      </c>
      <c r="U1727" s="104">
        <f>VLOOKUP(TEXT(A1727,"yy-mm")&amp;"-"&amp;IF(AND(WEEKDAY(A1727)&gt;1,WEEKDAY(A1727)&lt;7),"Wkd",TEXT(A1727,"Ddd"))&amp;"-"&amp;TEXT(A1727,"hh"),LoadTable[],6,FALSE)*T1727</f>
        <v>38711.270789080001</v>
      </c>
      <c r="V1727">
        <f t="shared" ref="V1727:W1727" si="1834">V1703</f>
        <v>2.8</v>
      </c>
      <c r="W1727">
        <f t="shared" si="1834"/>
        <v>3.1</v>
      </c>
      <c r="X1727" s="9">
        <v>-73.559246066666702</v>
      </c>
    </row>
    <row r="1728" spans="1:24">
      <c r="A1728" s="29">
        <f t="shared" si="1771"/>
        <v>45907.874999995816</v>
      </c>
      <c r="B1728" s="30">
        <f t="shared" si="1795"/>
        <v>5000</v>
      </c>
      <c r="C1728" s="8">
        <v>25000</v>
      </c>
      <c r="D1728" s="8">
        <v>0</v>
      </c>
      <c r="E1728" s="8">
        <v>700</v>
      </c>
      <c r="F1728" s="8">
        <v>15000</v>
      </c>
      <c r="G1728" s="30">
        <f t="shared" si="1796"/>
        <v>2400</v>
      </c>
      <c r="H1728" s="8">
        <v>25000</v>
      </c>
      <c r="I1728" s="30">
        <f t="shared" si="1797"/>
        <v>5000</v>
      </c>
      <c r="J1728" s="8">
        <v>25000</v>
      </c>
      <c r="K1728" s="30">
        <f t="shared" si="1798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VLOOKUP(VLOOKUP(DATEVALUE(TEXT(A1728,"m/d/yyyy")),FY24_Temp[],5,FALSE)&amp;TEXT(A1728,"-h"),Table6[],4,FALSE)</f>
        <v>2.730428559439523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VLOOKUP(TEXT(A1728,"yy-mm")&amp;"-"&amp;IF(AND(WEEKDAY(A1728)&gt;1,WEEKDAY(A1728)&lt;7),"Wkd",TEXT(A1728,"Ddd"))&amp;"-"&amp;TEXT(A1728,"hh"),LoadTable[],5,FALSE)*0.92</f>
        <v>299.95864</v>
      </c>
      <c r="U1728" s="104">
        <f>VLOOKUP(TEXT(A1728,"yy-mm")&amp;"-"&amp;IF(AND(WEEKDAY(A1728)&gt;1,WEEKDAY(A1728)&lt;7),"Wkd",TEXT(A1728,"Ddd"))&amp;"-"&amp;TEXT(A1728,"hh"),LoadTable[],6,FALSE)*T1728</f>
        <v>27922.849838959999</v>
      </c>
      <c r="V1728">
        <f t="shared" ref="V1728:W1728" si="1835">V1704</f>
        <v>3.5</v>
      </c>
      <c r="W1728">
        <f t="shared" si="1835"/>
        <v>3.1</v>
      </c>
      <c r="X1728" s="9">
        <v>-73.637040616666695</v>
      </c>
    </row>
    <row r="1729" spans="1:24">
      <c r="A1729" s="29">
        <f t="shared" si="1771"/>
        <v>45907.916666662481</v>
      </c>
      <c r="B1729" s="30">
        <f t="shared" si="1795"/>
        <v>5000</v>
      </c>
      <c r="C1729" s="8">
        <v>25000</v>
      </c>
      <c r="D1729" s="8">
        <v>0</v>
      </c>
      <c r="E1729" s="8">
        <v>700</v>
      </c>
      <c r="F1729" s="8">
        <v>15000</v>
      </c>
      <c r="G1729" s="30">
        <f t="shared" si="1796"/>
        <v>2400</v>
      </c>
      <c r="H1729" s="8">
        <v>25000</v>
      </c>
      <c r="I1729" s="30">
        <f t="shared" si="1797"/>
        <v>5000</v>
      </c>
      <c r="J1729" s="8">
        <v>25000</v>
      </c>
      <c r="K1729" s="30">
        <f t="shared" si="1798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VLOOKUP(VLOOKUP(DATEVALUE(TEXT(A1729,"m/d/yyyy")),FY24_Temp[],5,FALSE)&amp;TEXT(A1729,"-h"),Table6[],4,FALSE)</f>
        <v>2.702714272907802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VLOOKUP(TEXT(A1729,"yy-mm")&amp;"-"&amp;IF(AND(WEEKDAY(A1729)&gt;1,WEEKDAY(A1729)&lt;7),"Wkd",TEXT(A1729,"Ddd"))&amp;"-"&amp;TEXT(A1729,"hh"),LoadTable[],5,FALSE)*0.92</f>
        <v>237.25788000000003</v>
      </c>
      <c r="U1729" s="104">
        <f>VLOOKUP(TEXT(A1729,"yy-mm")&amp;"-"&amp;IF(AND(WEEKDAY(A1729)&gt;1,WEEKDAY(A1729)&lt;7),"Wkd",TEXT(A1729,"Ddd"))&amp;"-"&amp;TEXT(A1729,"hh"),LoadTable[],6,FALSE)*T1729</f>
        <v>13362.838317360001</v>
      </c>
      <c r="V1729">
        <f t="shared" ref="V1729:W1729" si="1836">V1705</f>
        <v>2.9</v>
      </c>
      <c r="W1729">
        <f t="shared" si="1836"/>
        <v>3.1</v>
      </c>
      <c r="X1729" s="9">
        <v>-73.714835166666703</v>
      </c>
    </row>
    <row r="1730" spans="1:24">
      <c r="A1730" s="29">
        <f t="shared" si="1771"/>
        <v>45907.958333329145</v>
      </c>
      <c r="B1730" s="30">
        <f t="shared" si="1795"/>
        <v>5000</v>
      </c>
      <c r="C1730" s="8">
        <v>25000</v>
      </c>
      <c r="D1730" s="8">
        <v>0</v>
      </c>
      <c r="E1730" s="8">
        <v>700</v>
      </c>
      <c r="F1730" s="8">
        <v>15000</v>
      </c>
      <c r="G1730" s="30">
        <f t="shared" si="1796"/>
        <v>2400</v>
      </c>
      <c r="H1730" s="8">
        <v>25000</v>
      </c>
      <c r="I1730" s="30">
        <f t="shared" si="1797"/>
        <v>5000</v>
      </c>
      <c r="J1730" s="8">
        <v>25000</v>
      </c>
      <c r="K1730" s="30">
        <f t="shared" si="1798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VLOOKUP(VLOOKUP(DATEVALUE(TEXT(A1730,"m/d/yyyy")),FY24_Temp[],5,FALSE)&amp;TEXT(A1730,"-h"),Table6[],4,FALSE)</f>
        <v>2.7027143069675992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VLOOKUP(TEXT(A1730,"yy-mm")&amp;"-"&amp;IF(AND(WEEKDAY(A1730)&gt;1,WEEKDAY(A1730)&lt;7),"Wkd",TEXT(A1730,"Ddd"))&amp;"-"&amp;TEXT(A1730,"hh"),LoadTable[],5,FALSE)*0.92</f>
        <v>237.25788000000003</v>
      </c>
      <c r="U1730" s="104">
        <f>VLOOKUP(TEXT(A1730,"yy-mm")&amp;"-"&amp;IF(AND(WEEKDAY(A1730)&gt;1,WEEKDAY(A1730)&lt;7),"Wkd",TEXT(A1730,"Ddd"))&amp;"-"&amp;TEXT(A1730,"hh"),LoadTable[],6,FALSE)*T1730</f>
        <v>13015.255523160002</v>
      </c>
      <c r="V1730">
        <f t="shared" ref="V1730:W1730" si="1837">V1706</f>
        <v>3.6</v>
      </c>
      <c r="W1730">
        <f t="shared" si="1837"/>
        <v>3.1</v>
      </c>
      <c r="X1730" s="9">
        <v>-73.792629716666696</v>
      </c>
    </row>
    <row r="1731" spans="1:24">
      <c r="A1731" s="29">
        <f t="shared" si="1771"/>
        <v>45907.999999995809</v>
      </c>
      <c r="B1731" s="30">
        <f t="shared" si="1795"/>
        <v>5000</v>
      </c>
      <c r="C1731" s="8">
        <v>25000</v>
      </c>
      <c r="D1731" s="8">
        <v>0</v>
      </c>
      <c r="E1731" s="8">
        <v>700</v>
      </c>
      <c r="F1731" s="8">
        <v>15000</v>
      </c>
      <c r="G1731" s="30">
        <f t="shared" si="1796"/>
        <v>2400</v>
      </c>
      <c r="H1731" s="8">
        <v>25000</v>
      </c>
      <c r="I1731" s="30">
        <f t="shared" si="1797"/>
        <v>5000</v>
      </c>
      <c r="J1731" s="8">
        <v>25000</v>
      </c>
      <c r="K1731" s="30">
        <f t="shared" si="1798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VLOOKUP(VLOOKUP(DATEVALUE(TEXT(A1731,"m/d/yyyy")),FY24_Temp[],5,FALSE)&amp;TEXT(A1731,"-h"),Table6[],4,FALSE)</f>
        <v>2.6951428822108676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VLOOKUP(TEXT(A1731,"yy-mm")&amp;"-"&amp;IF(AND(WEEKDAY(A1731)&gt;1,WEEKDAY(A1731)&lt;7),"Wkd",TEXT(A1731,"Ddd"))&amp;"-"&amp;TEXT(A1731,"hh"),LoadTable[],5,FALSE)*0.92</f>
        <v>237.25788000000003</v>
      </c>
      <c r="U1731" s="104">
        <f>VLOOKUP(TEXT(A1731,"yy-mm")&amp;"-"&amp;IF(AND(WEEKDAY(A1731)&gt;1,WEEKDAY(A1731)&lt;7),"Wkd",TEXT(A1731,"Ddd"))&amp;"-"&amp;TEXT(A1731,"hh"),LoadTable[],6,FALSE)*T1731</f>
        <v>12215.696467560001</v>
      </c>
      <c r="V1731">
        <f t="shared" ref="V1731:W1731" si="1838">V1707</f>
        <v>3</v>
      </c>
      <c r="W1731">
        <f t="shared" si="1838"/>
        <v>3.2</v>
      </c>
      <c r="X1731" s="9">
        <v>-73.870424266666703</v>
      </c>
    </row>
    <row r="1732" spans="1:24">
      <c r="A1732" s="29">
        <f t="shared" si="1771"/>
        <v>45908.041666662473</v>
      </c>
      <c r="B1732" s="30">
        <f t="shared" si="1795"/>
        <v>5000</v>
      </c>
      <c r="C1732" s="8">
        <v>25000</v>
      </c>
      <c r="D1732" s="8">
        <v>0</v>
      </c>
      <c r="E1732" s="8">
        <v>700</v>
      </c>
      <c r="F1732" s="8">
        <v>15000</v>
      </c>
      <c r="G1732" s="30">
        <f t="shared" si="1796"/>
        <v>2400</v>
      </c>
      <c r="H1732" s="8">
        <v>25000</v>
      </c>
      <c r="I1732" s="30">
        <f t="shared" si="1797"/>
        <v>5000</v>
      </c>
      <c r="J1732" s="8">
        <v>25000</v>
      </c>
      <c r="K1732" s="30">
        <f t="shared" si="1798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VLOOKUP(VLOOKUP(DATEVALUE(TEXT(A1732,"m/d/yyyy")),FY24_Temp[],5,FALSE)&amp;TEXT(A1732,"-h"),Table6[],4,FALSE)</f>
        <v>2.6332857268197194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VLOOKUP(TEXT(A1732,"yy-mm")&amp;"-"&amp;IF(AND(WEEKDAY(A1732)&gt;1,WEEKDAY(A1732)&lt;7),"Wkd",TEXT(A1732,"Ddd"))&amp;"-"&amp;TEXT(A1732,"hh"),LoadTable[],5,FALSE)*0.92</f>
        <v>237.25788000000003</v>
      </c>
      <c r="U1732" s="104">
        <f>VLOOKUP(TEXT(A1732,"yy-mm")&amp;"-"&amp;IF(AND(WEEKDAY(A1732)&gt;1,WEEKDAY(A1732)&lt;7),"Wkd",TEXT(A1732,"Ddd"))&amp;"-"&amp;TEXT(A1732,"hh"),LoadTable[],6,FALSE)*T1732</f>
        <v>11905.12590264</v>
      </c>
      <c r="V1732">
        <f t="shared" ref="V1732:W1732" si="1839">V1708</f>
        <v>2.6</v>
      </c>
      <c r="W1732">
        <f t="shared" si="1839"/>
        <v>3.2</v>
      </c>
      <c r="X1732" s="9">
        <v>-73.948218816666696</v>
      </c>
    </row>
    <row r="1733" spans="1:24">
      <c r="A1733" s="29">
        <f t="shared" ref="A1733:A1796" si="1840">A1732+TIME(1,0,0)</f>
        <v>45908.083333329138</v>
      </c>
      <c r="B1733" s="30">
        <f t="shared" si="1795"/>
        <v>5000</v>
      </c>
      <c r="C1733" s="8">
        <v>25000</v>
      </c>
      <c r="D1733" s="8">
        <v>0</v>
      </c>
      <c r="E1733" s="8">
        <v>700</v>
      </c>
      <c r="F1733" s="8">
        <v>15000</v>
      </c>
      <c r="G1733" s="30">
        <f t="shared" si="1796"/>
        <v>2400</v>
      </c>
      <c r="H1733" s="8">
        <v>25000</v>
      </c>
      <c r="I1733" s="30">
        <f t="shared" si="1797"/>
        <v>5000</v>
      </c>
      <c r="J1733" s="8">
        <v>25000</v>
      </c>
      <c r="K1733" s="30">
        <f t="shared" si="1798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VLOOKUP(VLOOKUP(DATEVALUE(TEXT(A1733,"m/d/yyyy")),FY24_Temp[],5,FALSE)&amp;TEXT(A1733,"-h"),Table6[],4,FALSE)</f>
        <v>2.5004285403660367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VLOOKUP(TEXT(A1733,"yy-mm")&amp;"-"&amp;IF(AND(WEEKDAY(A1733)&gt;1,WEEKDAY(A1733)&lt;7),"Wkd",TEXT(A1733,"Ddd"))&amp;"-"&amp;TEXT(A1733,"hh"),LoadTable[],5,FALSE)*0.92</f>
        <v>237.25788000000003</v>
      </c>
      <c r="U1733" s="104">
        <f>VLOOKUP(TEXT(A1733,"yy-mm")&amp;"-"&amp;IF(AND(WEEKDAY(A1733)&gt;1,WEEKDAY(A1733)&lt;7),"Wkd",TEXT(A1733,"Ddd"))&amp;"-"&amp;TEXT(A1733,"hh"),LoadTable[],6,FALSE)*T1733</f>
        <v>11856.013521480001</v>
      </c>
      <c r="V1733">
        <f t="shared" ref="V1733:W1733" si="1841">V1709</f>
        <v>2.8</v>
      </c>
      <c r="W1733">
        <f t="shared" si="1841"/>
        <v>3.2</v>
      </c>
      <c r="X1733" s="9">
        <v>-74.026013366666703</v>
      </c>
    </row>
    <row r="1734" spans="1:24">
      <c r="A1734" s="29">
        <f t="shared" si="1840"/>
        <v>45908.124999995802</v>
      </c>
      <c r="B1734" s="30">
        <f t="shared" si="1795"/>
        <v>5000</v>
      </c>
      <c r="C1734" s="8">
        <v>25000</v>
      </c>
      <c r="D1734" s="8">
        <v>0</v>
      </c>
      <c r="E1734" s="8">
        <v>700</v>
      </c>
      <c r="F1734" s="8">
        <v>15000</v>
      </c>
      <c r="G1734" s="30">
        <f t="shared" si="1796"/>
        <v>2400</v>
      </c>
      <c r="H1734" s="8">
        <v>25000</v>
      </c>
      <c r="I1734" s="30">
        <f t="shared" si="1797"/>
        <v>5000</v>
      </c>
      <c r="J1734" s="8">
        <v>25000</v>
      </c>
      <c r="K1734" s="30">
        <f t="shared" si="1798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VLOOKUP(VLOOKUP(DATEVALUE(TEXT(A1734,"m/d/yyyy")),FY24_Temp[],5,FALSE)&amp;TEXT(A1734,"-h"),Table6[],4,FALSE)</f>
        <v>2.3495714323861256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VLOOKUP(TEXT(A1734,"yy-mm")&amp;"-"&amp;IF(AND(WEEKDAY(A1734)&gt;1,WEEKDAY(A1734)&lt;7),"Wkd",TEXT(A1734,"Ddd"))&amp;"-"&amp;TEXT(A1734,"hh"),LoadTable[],5,FALSE)*0.92</f>
        <v>237.25788000000003</v>
      </c>
      <c r="U1734" s="104">
        <f>VLOOKUP(TEXT(A1734,"yy-mm")&amp;"-"&amp;IF(AND(WEEKDAY(A1734)&gt;1,WEEKDAY(A1734)&lt;7),"Wkd",TEXT(A1734,"Ddd"))&amp;"-"&amp;TEXT(A1734,"hh"),LoadTable[],6,FALSE)*T1734</f>
        <v>11893.025750760002</v>
      </c>
      <c r="V1734">
        <f t="shared" ref="V1734:W1734" si="1842">V1710</f>
        <v>2.7</v>
      </c>
      <c r="W1734">
        <f t="shared" si="1842"/>
        <v>3.2</v>
      </c>
      <c r="X1734" s="9">
        <v>-74.103807916666696</v>
      </c>
    </row>
    <row r="1735" spans="1:24">
      <c r="A1735" s="29">
        <f t="shared" si="1840"/>
        <v>45908.166666662466</v>
      </c>
      <c r="B1735" s="30">
        <f t="shared" si="1795"/>
        <v>5000</v>
      </c>
      <c r="C1735" s="8">
        <v>25000</v>
      </c>
      <c r="D1735" s="8">
        <v>0</v>
      </c>
      <c r="E1735" s="8">
        <v>700</v>
      </c>
      <c r="F1735" s="8">
        <v>15000</v>
      </c>
      <c r="G1735" s="30">
        <f t="shared" si="1796"/>
        <v>2400</v>
      </c>
      <c r="H1735" s="8">
        <v>25000</v>
      </c>
      <c r="I1735" s="30">
        <f t="shared" si="1797"/>
        <v>5000</v>
      </c>
      <c r="J1735" s="8">
        <v>25000</v>
      </c>
      <c r="K1735" s="30">
        <f t="shared" si="1798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VLOOKUP(VLOOKUP(DATEVALUE(TEXT(A1735,"m/d/yyyy")),FY24_Temp[],5,FALSE)&amp;TEXT(A1735,"-h"),Table6[],4,FALSE)</f>
        <v>2.1924285548073903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VLOOKUP(TEXT(A1735,"yy-mm")&amp;"-"&amp;IF(AND(WEEKDAY(A1735)&gt;1,WEEKDAY(A1735)&lt;7),"Wkd",TEXT(A1735,"Ddd"))&amp;"-"&amp;TEXT(A1735,"hh"),LoadTable[],5,FALSE)*0.92</f>
        <v>237.25788000000003</v>
      </c>
      <c r="U1735" s="104">
        <f>VLOOKUP(TEXT(A1735,"yy-mm")&amp;"-"&amp;IF(AND(WEEKDAY(A1735)&gt;1,WEEKDAY(A1735)&lt;7),"Wkd",TEXT(A1735,"Ddd"))&amp;"-"&amp;TEXT(A1735,"hh"),LoadTable[],6,FALSE)*T1735</f>
        <v>12081.645765360001</v>
      </c>
      <c r="V1735">
        <f t="shared" ref="V1735:W1735" si="1843">V1711</f>
        <v>3</v>
      </c>
      <c r="W1735">
        <f t="shared" si="1843"/>
        <v>3.1</v>
      </c>
      <c r="X1735" s="9">
        <v>-74.181602466666703</v>
      </c>
    </row>
    <row r="1736" spans="1:24">
      <c r="A1736" s="29">
        <f t="shared" si="1840"/>
        <v>45908.20833332913</v>
      </c>
      <c r="B1736" s="30">
        <f t="shared" si="1795"/>
        <v>5000</v>
      </c>
      <c r="C1736" s="8">
        <v>25000</v>
      </c>
      <c r="D1736" s="8">
        <v>0</v>
      </c>
      <c r="E1736" s="8">
        <v>700</v>
      </c>
      <c r="F1736" s="8">
        <v>15000</v>
      </c>
      <c r="G1736" s="30">
        <f t="shared" si="1796"/>
        <v>2400</v>
      </c>
      <c r="H1736" s="8">
        <v>25000</v>
      </c>
      <c r="I1736" s="30">
        <f t="shared" si="1797"/>
        <v>5000</v>
      </c>
      <c r="J1736" s="8">
        <v>25000</v>
      </c>
      <c r="K1736" s="30">
        <f t="shared" si="1798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VLOOKUP(VLOOKUP(DATEVALUE(TEXT(A1736,"m/d/yyyy")),FY24_Temp[],5,FALSE)&amp;TEXT(A1736,"-h"),Table6[],4,FALSE)</f>
        <v>2.0738571711948941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VLOOKUP(TEXT(A1736,"yy-mm")&amp;"-"&amp;IF(AND(WEEKDAY(A1736)&gt;1,WEEKDAY(A1736)&lt;7),"Wkd",TEXT(A1736,"Ddd"))&amp;"-"&amp;TEXT(A1736,"hh"),LoadTable[],5,FALSE)*0.92</f>
        <v>237.25788000000003</v>
      </c>
      <c r="U1736" s="104">
        <f>VLOOKUP(TEXT(A1736,"yy-mm")&amp;"-"&amp;IF(AND(WEEKDAY(A1736)&gt;1,WEEKDAY(A1736)&lt;7),"Wkd",TEXT(A1736,"Ddd"))&amp;"-"&amp;TEXT(A1736,"hh"),LoadTable[],6,FALSE)*T1736</f>
        <v>12065.037713760001</v>
      </c>
      <c r="V1736">
        <f t="shared" ref="V1736:W1736" si="1844">V1712</f>
        <v>2.9</v>
      </c>
      <c r="W1736">
        <f t="shared" si="1844"/>
        <v>3.1</v>
      </c>
      <c r="X1736" s="9">
        <v>-74.259397016666696</v>
      </c>
    </row>
    <row r="1737" spans="1:24">
      <c r="A1737" s="29">
        <f t="shared" si="1840"/>
        <v>45908.249999995794</v>
      </c>
      <c r="B1737" s="30">
        <f t="shared" si="1795"/>
        <v>8000</v>
      </c>
      <c r="C1737" s="8">
        <v>25000</v>
      </c>
      <c r="D1737" s="8">
        <v>0</v>
      </c>
      <c r="E1737" s="8">
        <v>700</v>
      </c>
      <c r="F1737" s="8">
        <v>15000</v>
      </c>
      <c r="G1737" s="30">
        <f t="shared" si="1796"/>
        <v>2400</v>
      </c>
      <c r="H1737" s="8">
        <v>25000</v>
      </c>
      <c r="I1737" s="30">
        <f t="shared" si="1797"/>
        <v>8000</v>
      </c>
      <c r="J1737" s="8">
        <v>25000</v>
      </c>
      <c r="K1737" s="30">
        <f t="shared" si="1798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VLOOKUP(VLOOKUP(DATEVALUE(TEXT(A1737,"m/d/yyyy")),FY24_Temp[],5,FALSE)&amp;TEXT(A1737,"-h"),Table6[],4,FALSE)</f>
        <v>1.9711428540093558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VLOOKUP(TEXT(A1737,"yy-mm")&amp;"-"&amp;IF(AND(WEEKDAY(A1737)&gt;1,WEEKDAY(A1737)&lt;7),"Wkd",TEXT(A1737,"Ddd"))&amp;"-"&amp;TEXT(A1737,"hh"),LoadTable[],5,FALSE)*0.92</f>
        <v>237.25788000000003</v>
      </c>
      <c r="U1737" s="104">
        <f>VLOOKUP(TEXT(A1737,"yy-mm")&amp;"-"&amp;IF(AND(WEEKDAY(A1737)&gt;1,WEEKDAY(A1737)&lt;7),"Wkd",TEXT(A1737,"Ddd"))&amp;"-"&amp;TEXT(A1737,"hh"),LoadTable[],6,FALSE)*T1737</f>
        <v>18358.065722880005</v>
      </c>
      <c r="V1737">
        <f t="shared" ref="V1737:W1737" si="1845">V1713</f>
        <v>2.5</v>
      </c>
      <c r="W1737">
        <f t="shared" si="1845"/>
        <v>3.1</v>
      </c>
      <c r="X1737" s="9">
        <v>-74.337191566666704</v>
      </c>
    </row>
    <row r="1738" spans="1:24">
      <c r="A1738" s="29">
        <f t="shared" si="1840"/>
        <v>45908.291666662459</v>
      </c>
      <c r="B1738" s="30">
        <f t="shared" si="1795"/>
        <v>8000</v>
      </c>
      <c r="C1738" s="8">
        <v>25000</v>
      </c>
      <c r="D1738" s="8">
        <v>0</v>
      </c>
      <c r="E1738" s="8">
        <v>700</v>
      </c>
      <c r="F1738" s="8">
        <v>15000</v>
      </c>
      <c r="G1738" s="30">
        <f t="shared" si="1796"/>
        <v>2400</v>
      </c>
      <c r="H1738" s="8">
        <v>25000</v>
      </c>
      <c r="I1738" s="30">
        <f t="shared" si="1797"/>
        <v>8000</v>
      </c>
      <c r="J1738" s="8">
        <v>25000</v>
      </c>
      <c r="K1738" s="30">
        <f t="shared" si="1798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VLOOKUP(VLOOKUP(DATEVALUE(TEXT(A1738,"m/d/yyyy")),FY24_Temp[],5,FALSE)&amp;TEXT(A1738,"-h"),Table6[],4,FALSE)</f>
        <v>1.8018571478979928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VLOOKUP(TEXT(A1738,"yy-mm")&amp;"-"&amp;IF(AND(WEEKDAY(A1738)&gt;1,WEEKDAY(A1738)&lt;7),"Wkd",TEXT(A1738,"Ddd"))&amp;"-"&amp;TEXT(A1738,"hh"),LoadTable[],5,FALSE)*0.92</f>
        <v>237.25788000000003</v>
      </c>
      <c r="U1738" s="104">
        <f>VLOOKUP(TEXT(A1738,"yy-mm")&amp;"-"&amp;IF(AND(WEEKDAY(A1738)&gt;1,WEEKDAY(A1738)&lt;7),"Wkd",TEXT(A1738,"Ddd"))&amp;"-"&amp;TEXT(A1738,"hh"),LoadTable[],6,FALSE)*T1738</f>
        <v>16249.08042756</v>
      </c>
      <c r="V1738">
        <f t="shared" ref="V1738:W1738" si="1846">V1714</f>
        <v>2.5</v>
      </c>
      <c r="W1738">
        <f t="shared" si="1846"/>
        <v>3.1</v>
      </c>
      <c r="X1738" s="9">
        <v>-74.414986116666796</v>
      </c>
    </row>
    <row r="1739" spans="1:24">
      <c r="A1739" s="29">
        <f t="shared" si="1840"/>
        <v>45908.333333329123</v>
      </c>
      <c r="B1739" s="30">
        <f t="shared" si="1795"/>
        <v>8000</v>
      </c>
      <c r="C1739" s="8">
        <v>25000</v>
      </c>
      <c r="D1739" s="8">
        <v>0</v>
      </c>
      <c r="E1739" s="8">
        <v>700</v>
      </c>
      <c r="F1739" s="8">
        <v>15000</v>
      </c>
      <c r="G1739" s="30">
        <f t="shared" si="1796"/>
        <v>2400</v>
      </c>
      <c r="H1739" s="8">
        <v>25000</v>
      </c>
      <c r="I1739" s="30">
        <f t="shared" si="1797"/>
        <v>8000</v>
      </c>
      <c r="J1739" s="8">
        <v>25000</v>
      </c>
      <c r="K1739" s="30">
        <f t="shared" si="1798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VLOOKUP(VLOOKUP(DATEVALUE(TEXT(A1739,"m/d/yyyy")),FY24_Temp[],5,FALSE)&amp;TEXT(A1739,"-h"),Table6[],4,FALSE)</f>
        <v>1.7142857142857142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VLOOKUP(TEXT(A1739,"yy-mm")&amp;"-"&amp;IF(AND(WEEKDAY(A1739)&gt;1,WEEKDAY(A1739)&lt;7),"Wkd",TEXT(A1739,"Ddd"))&amp;"-"&amp;TEXT(A1739,"hh"),LoadTable[],5,FALSE)*0.92</f>
        <v>237.25788000000003</v>
      </c>
      <c r="U1739" s="104">
        <f>VLOOKUP(TEXT(A1739,"yy-mm")&amp;"-"&amp;IF(AND(WEEKDAY(A1739)&gt;1,WEEKDAY(A1739)&lt;7),"Wkd",TEXT(A1739,"Ddd"))&amp;"-"&amp;TEXT(A1739,"hh"),LoadTable[],6,FALSE)*T1739</f>
        <v>13068.164030400001</v>
      </c>
      <c r="V1739">
        <f t="shared" ref="V1739:W1739" si="1847">V1715</f>
        <v>3.2</v>
      </c>
      <c r="W1739">
        <f t="shared" si="1847"/>
        <v>3</v>
      </c>
      <c r="X1739" s="9">
        <v>-74.492780666666803</v>
      </c>
    </row>
    <row r="1740" spans="1:24">
      <c r="A1740" s="29">
        <f t="shared" si="1840"/>
        <v>45908.374999995787</v>
      </c>
      <c r="B1740" s="30">
        <f t="shared" si="1795"/>
        <v>8000</v>
      </c>
      <c r="C1740" s="8">
        <v>25000</v>
      </c>
      <c r="D1740" s="8">
        <v>0</v>
      </c>
      <c r="E1740" s="8">
        <v>700</v>
      </c>
      <c r="F1740" s="8">
        <v>15000</v>
      </c>
      <c r="G1740" s="30">
        <f t="shared" si="1796"/>
        <v>2400</v>
      </c>
      <c r="H1740" s="8">
        <v>25000</v>
      </c>
      <c r="I1740" s="30">
        <f t="shared" si="1797"/>
        <v>8000</v>
      </c>
      <c r="J1740" s="8">
        <v>25000</v>
      </c>
      <c r="K1740" s="30">
        <f t="shared" si="1798"/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VLOOKUP(VLOOKUP(DATEVALUE(TEXT(A1740,"m/d/yyyy")),FY24_Temp[],5,FALSE)&amp;TEXT(A1740,"-h"),Table6[],4,FALSE)</f>
        <v>1.5628571510314941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VLOOKUP(TEXT(A1740,"yy-mm")&amp;"-"&amp;IF(AND(WEEKDAY(A1740)&gt;1,WEEKDAY(A1740)&lt;7),"Wkd",TEXT(A1740,"Ddd"))&amp;"-"&amp;TEXT(A1740,"hh"),LoadTable[],5,FALSE)*0.92</f>
        <v>237.25788000000003</v>
      </c>
      <c r="U1740" s="104">
        <f>VLOOKUP(TEXT(A1740,"yy-mm")&amp;"-"&amp;IF(AND(WEEKDAY(A1740)&gt;1,WEEKDAY(A1740)&lt;7),"Wkd",TEXT(A1740,"Ddd"))&amp;"-"&amp;TEXT(A1740,"hh"),LoadTable[],6,FALSE)*T1740</f>
        <v>11518.395558240001</v>
      </c>
      <c r="V1740">
        <f t="shared" ref="V1740:W1740" si="1848">V1716</f>
        <v>2.9</v>
      </c>
      <c r="W1740">
        <f t="shared" si="1848"/>
        <v>3</v>
      </c>
      <c r="X1740" s="9">
        <v>-74.570575216666796</v>
      </c>
    </row>
    <row r="1741" spans="1:24">
      <c r="A1741" s="29">
        <f t="shared" si="1840"/>
        <v>45908.416666662451</v>
      </c>
      <c r="B1741" s="30">
        <f t="shared" si="1795"/>
        <v>8000</v>
      </c>
      <c r="C1741" s="8">
        <v>25000</v>
      </c>
      <c r="D1741" s="8">
        <v>0</v>
      </c>
      <c r="E1741" s="8">
        <v>700</v>
      </c>
      <c r="F1741" s="8">
        <v>15000</v>
      </c>
      <c r="G1741" s="30">
        <f t="shared" si="1796"/>
        <v>2400</v>
      </c>
      <c r="H1741" s="8">
        <v>25000</v>
      </c>
      <c r="I1741" s="30">
        <f t="shared" si="1797"/>
        <v>8000</v>
      </c>
      <c r="J1741" s="8">
        <v>25000</v>
      </c>
      <c r="K1741" s="30">
        <f t="shared" si="1798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VLOOKUP(VLOOKUP(DATEVALUE(TEXT(A1741,"m/d/yyyy")),FY24_Temp[],5,FALSE)&amp;TEXT(A1741,"-h"),Table6[],4,FALSE)</f>
        <v>1.4149999959128243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VLOOKUP(TEXT(A1741,"yy-mm")&amp;"-"&amp;IF(AND(WEEKDAY(A1741)&gt;1,WEEKDAY(A1741)&lt;7),"Wkd",TEXT(A1741,"Ddd"))&amp;"-"&amp;TEXT(A1741,"hh"),LoadTable[],5,FALSE)*0.92</f>
        <v>237.25788000000003</v>
      </c>
      <c r="U1741" s="104">
        <f>VLOOKUP(TEXT(A1741,"yy-mm")&amp;"-"&amp;IF(AND(WEEKDAY(A1741)&gt;1,WEEKDAY(A1741)&lt;7),"Wkd",TEXT(A1741,"Ddd"))&amp;"-"&amp;TEXT(A1741,"hh"),LoadTable[],6,FALSE)*T1741</f>
        <v>10982.667265200002</v>
      </c>
      <c r="V1741">
        <f t="shared" ref="V1741:W1741" si="1849">V1717</f>
        <v>2.9</v>
      </c>
      <c r="W1741">
        <f t="shared" si="1849"/>
        <v>3</v>
      </c>
      <c r="X1741" s="9">
        <v>-74.648369766666804</v>
      </c>
    </row>
    <row r="1742" spans="1:24">
      <c r="A1742" s="29">
        <f t="shared" si="1840"/>
        <v>45908.458333329116</v>
      </c>
      <c r="B1742" s="30">
        <f t="shared" si="1795"/>
        <v>8000</v>
      </c>
      <c r="C1742" s="8">
        <v>25000</v>
      </c>
      <c r="D1742" s="8">
        <v>0</v>
      </c>
      <c r="E1742" s="8">
        <v>700</v>
      </c>
      <c r="F1742" s="8">
        <v>15000</v>
      </c>
      <c r="G1742" s="30">
        <f t="shared" si="1796"/>
        <v>2400</v>
      </c>
      <c r="H1742" s="8">
        <v>25000</v>
      </c>
      <c r="I1742" s="30">
        <f t="shared" si="1797"/>
        <v>8000</v>
      </c>
      <c r="J1742" s="8">
        <v>25000</v>
      </c>
      <c r="K1742" s="30">
        <f t="shared" si="1798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VLOOKUP(VLOOKUP(DATEVALUE(TEXT(A1742,"m/d/yyyy")),FY24_Temp[],5,FALSE)&amp;TEXT(A1742,"-h"),Table6[],4,FALSE)</f>
        <v>1.3002857310431344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VLOOKUP(TEXT(A1742,"yy-mm")&amp;"-"&amp;IF(AND(WEEKDAY(A1742)&gt;1,WEEKDAY(A1742)&lt;7),"Wkd",TEXT(A1742,"Ddd"))&amp;"-"&amp;TEXT(A1742,"hh"),LoadTable[],5,FALSE)*0.92</f>
        <v>237.25788000000003</v>
      </c>
      <c r="U1742" s="104">
        <f>VLOOKUP(TEXT(A1742,"yy-mm")&amp;"-"&amp;IF(AND(WEEKDAY(A1742)&gt;1,WEEKDAY(A1742)&lt;7),"Wkd",TEXT(A1742,"Ddd"))&amp;"-"&amp;TEXT(A1742,"hh"),LoadTable[],6,FALSE)*T1742</f>
        <v>10974.125981520001</v>
      </c>
      <c r="V1742">
        <f t="shared" ref="V1742:W1742" si="1850">V1718</f>
        <v>3.4</v>
      </c>
      <c r="W1742">
        <f t="shared" si="1850"/>
        <v>3</v>
      </c>
      <c r="X1742" s="9">
        <v>-74.726164316666797</v>
      </c>
    </row>
    <row r="1743" spans="1:24">
      <c r="A1743" s="29">
        <f t="shared" si="1840"/>
        <v>45908.49999999578</v>
      </c>
      <c r="B1743" s="30">
        <f t="shared" si="1795"/>
        <v>8000</v>
      </c>
      <c r="C1743" s="8">
        <v>25000</v>
      </c>
      <c r="D1743" s="8">
        <v>0</v>
      </c>
      <c r="E1743" s="8">
        <v>700</v>
      </c>
      <c r="F1743" s="8">
        <v>15000</v>
      </c>
      <c r="G1743" s="30">
        <f t="shared" si="1796"/>
        <v>2400</v>
      </c>
      <c r="H1743" s="8">
        <v>25000</v>
      </c>
      <c r="I1743" s="30">
        <f t="shared" si="1797"/>
        <v>8000</v>
      </c>
      <c r="J1743" s="8">
        <v>25000</v>
      </c>
      <c r="K1743" s="30">
        <f t="shared" si="1798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VLOOKUP(VLOOKUP(DATEVALUE(TEXT(A1743,"m/d/yyyy")),FY24_Temp[],5,FALSE)&amp;TEXT(A1743,"-h"),Table6[],4,FALSE)</f>
        <v>1.1327142715454102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VLOOKUP(TEXT(A1743,"yy-mm")&amp;"-"&amp;IF(AND(WEEKDAY(A1743)&gt;1,WEEKDAY(A1743)&lt;7),"Wkd",TEXT(A1743,"Ddd"))&amp;"-"&amp;TEXT(A1743,"hh"),LoadTable[],5,FALSE)*0.92</f>
        <v>237.25788000000003</v>
      </c>
      <c r="U1743" s="104">
        <f>VLOOKUP(TEXT(A1743,"yy-mm")&amp;"-"&amp;IF(AND(WEEKDAY(A1743)&gt;1,WEEKDAY(A1743)&lt;7),"Wkd",TEXT(A1743,"Ddd"))&amp;"-"&amp;TEXT(A1743,"hh"),LoadTable[],6,FALSE)*T1743</f>
        <v>10962.974861160001</v>
      </c>
      <c r="V1743">
        <f t="shared" ref="V1743:W1743" si="1851">V1719</f>
        <v>3.1</v>
      </c>
      <c r="W1743">
        <f t="shared" si="1851"/>
        <v>2.9</v>
      </c>
      <c r="X1743" s="9">
        <v>-74.803958866666804</v>
      </c>
    </row>
    <row r="1744" spans="1:24">
      <c r="A1744" s="29">
        <f t="shared" si="1840"/>
        <v>45908.541666662444</v>
      </c>
      <c r="B1744" s="30">
        <f t="shared" si="1795"/>
        <v>8000</v>
      </c>
      <c r="C1744" s="8">
        <v>25000</v>
      </c>
      <c r="D1744" s="8">
        <v>0</v>
      </c>
      <c r="E1744" s="8">
        <v>700</v>
      </c>
      <c r="F1744" s="8">
        <v>15000</v>
      </c>
      <c r="G1744" s="30">
        <f t="shared" si="1796"/>
        <v>2400</v>
      </c>
      <c r="H1744" s="8">
        <v>25000</v>
      </c>
      <c r="I1744" s="30">
        <f t="shared" si="1797"/>
        <v>8000</v>
      </c>
      <c r="J1744" s="8">
        <v>25000</v>
      </c>
      <c r="K1744" s="30">
        <f t="shared" si="1798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VLOOKUP(VLOOKUP(DATEVALUE(TEXT(A1744,"m/d/yyyy")),FY24_Temp[],5,FALSE)&amp;TEXT(A1744,"-h"),Table6[],4,FALSE)</f>
        <v>0.98357141869408748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VLOOKUP(TEXT(A1744,"yy-mm")&amp;"-"&amp;IF(AND(WEEKDAY(A1744)&gt;1,WEEKDAY(A1744)&lt;7),"Wkd",TEXT(A1744,"Ddd"))&amp;"-"&amp;TEXT(A1744,"hh"),LoadTable[],5,FALSE)*0.92</f>
        <v>237.25788000000003</v>
      </c>
      <c r="U1744" s="104">
        <f>VLOOKUP(TEXT(A1744,"yy-mm")&amp;"-"&amp;IF(AND(WEEKDAY(A1744)&gt;1,WEEKDAY(A1744)&lt;7),"Wkd",TEXT(A1744,"Ddd"))&amp;"-"&amp;TEXT(A1744,"hh"),LoadTable[],6,FALSE)*T1744</f>
        <v>10978.39662336</v>
      </c>
      <c r="V1744">
        <f t="shared" ref="V1744:W1744" si="1852">V1720</f>
        <v>3.2</v>
      </c>
      <c r="W1744">
        <f t="shared" si="1852"/>
        <v>2.9</v>
      </c>
      <c r="X1744" s="9">
        <v>-74.881753416666797</v>
      </c>
    </row>
    <row r="1745" spans="1:24">
      <c r="A1745" s="29">
        <f t="shared" si="1840"/>
        <v>45908.583333329108</v>
      </c>
      <c r="B1745" s="30">
        <f t="shared" si="1795"/>
        <v>8000</v>
      </c>
      <c r="C1745" s="8">
        <v>25000</v>
      </c>
      <c r="D1745" s="8">
        <v>0</v>
      </c>
      <c r="E1745" s="8">
        <v>700</v>
      </c>
      <c r="F1745" s="8">
        <v>15000</v>
      </c>
      <c r="G1745" s="30">
        <f t="shared" si="1796"/>
        <v>2400</v>
      </c>
      <c r="H1745" s="8">
        <v>25000</v>
      </c>
      <c r="I1745" s="30">
        <f t="shared" si="1797"/>
        <v>8000</v>
      </c>
      <c r="J1745" s="8">
        <v>25000</v>
      </c>
      <c r="K1745" s="30">
        <f t="shared" si="1798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VLOOKUP(VLOOKUP(DATEVALUE(TEXT(A1745,"m/d/yyyy")),FY24_Temp[],5,FALSE)&amp;TEXT(A1745,"-h"),Table6[],4,FALSE)</f>
        <v>0.86971429416111534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VLOOKUP(TEXT(A1745,"yy-mm")&amp;"-"&amp;IF(AND(WEEKDAY(A1745)&gt;1,WEEKDAY(A1745)&lt;7),"Wkd",TEXT(A1745,"Ddd"))&amp;"-"&amp;TEXT(A1745,"hh"),LoadTable[],5,FALSE)*0.92</f>
        <v>269.75136000000003</v>
      </c>
      <c r="U1745" s="104">
        <f>VLOOKUP(TEXT(A1745,"yy-mm")&amp;"-"&amp;IF(AND(WEEKDAY(A1745)&gt;1,WEEKDAY(A1745)&lt;7),"Wkd",TEXT(A1745,"Ddd"))&amp;"-"&amp;TEXT(A1745,"hh"),LoadTable[],6,FALSE)*T1745</f>
        <v>12503.245287360001</v>
      </c>
      <c r="V1745">
        <f t="shared" ref="V1745:W1745" si="1853">V1721</f>
        <v>3.5</v>
      </c>
      <c r="W1745">
        <f t="shared" si="1853"/>
        <v>2.9</v>
      </c>
      <c r="X1745" s="9">
        <v>-74.959547966666804</v>
      </c>
    </row>
    <row r="1746" spans="1:24">
      <c r="A1746" s="29">
        <f t="shared" si="1840"/>
        <v>45908.624999995773</v>
      </c>
      <c r="B1746" s="30">
        <f t="shared" si="1795"/>
        <v>8000</v>
      </c>
      <c r="C1746" s="8">
        <v>25000</v>
      </c>
      <c r="D1746" s="8">
        <v>0</v>
      </c>
      <c r="E1746" s="8">
        <v>700</v>
      </c>
      <c r="F1746" s="8">
        <v>15000</v>
      </c>
      <c r="G1746" s="30">
        <f t="shared" si="1796"/>
        <v>2400</v>
      </c>
      <c r="H1746" s="8">
        <v>25000</v>
      </c>
      <c r="I1746" s="30">
        <f t="shared" si="1797"/>
        <v>8000</v>
      </c>
      <c r="J1746" s="8">
        <v>25000</v>
      </c>
      <c r="K1746" s="30">
        <f t="shared" si="1798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VLOOKUP(VLOOKUP(DATEVALUE(TEXT(A1746,"m/d/yyyy")),FY24_Temp[],5,FALSE)&amp;TEXT(A1746,"-h"),Table6[],4,FALSE)</f>
        <v>0.90028570379529682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VLOOKUP(TEXT(A1746,"yy-mm")&amp;"-"&amp;IF(AND(WEEKDAY(A1746)&gt;1,WEEKDAY(A1746)&lt;7),"Wkd",TEXT(A1746,"Ddd"))&amp;"-"&amp;TEXT(A1746,"hh"),LoadTable[],5,FALSE)*0.92</f>
        <v>388.38076000000001</v>
      </c>
      <c r="U1746" s="104">
        <f>VLOOKUP(TEXT(A1746,"yy-mm")&amp;"-"&amp;IF(AND(WEEKDAY(A1746)&gt;1,WEEKDAY(A1746)&lt;7),"Wkd",TEXT(A1746,"Ddd"))&amp;"-"&amp;TEXT(A1746,"hh"),LoadTable[],6,FALSE)*T1746</f>
        <v>19705.663000880002</v>
      </c>
      <c r="V1746">
        <f t="shared" ref="V1746:W1746" si="1854">V1722</f>
        <v>3.2</v>
      </c>
      <c r="W1746">
        <f t="shared" si="1854"/>
        <v>2.9</v>
      </c>
      <c r="X1746" s="9">
        <v>-75.037342516666797</v>
      </c>
    </row>
    <row r="1747" spans="1:24">
      <c r="A1747" s="29">
        <f t="shared" si="1840"/>
        <v>45908.666666662437</v>
      </c>
      <c r="B1747" s="30">
        <f t="shared" si="1795"/>
        <v>8000</v>
      </c>
      <c r="C1747" s="8">
        <v>25000</v>
      </c>
      <c r="D1747" s="8">
        <v>0</v>
      </c>
      <c r="E1747" s="8">
        <v>700</v>
      </c>
      <c r="F1747" s="8">
        <v>15000</v>
      </c>
      <c r="G1747" s="30">
        <f t="shared" si="1796"/>
        <v>2400</v>
      </c>
      <c r="H1747" s="8">
        <v>25000</v>
      </c>
      <c r="I1747" s="30">
        <f t="shared" si="1797"/>
        <v>8000</v>
      </c>
      <c r="J1747" s="8">
        <v>25000</v>
      </c>
      <c r="K1747" s="30">
        <f t="shared" si="1798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VLOOKUP(VLOOKUP(DATEVALUE(TEXT(A1747,"m/d/yyyy")),FY24_Temp[],5,FALSE)&amp;TEXT(A1747,"-h"),Table6[],4,FALSE)</f>
        <v>1.2158571481704712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VLOOKUP(TEXT(A1747,"yy-mm")&amp;"-"&amp;IF(AND(WEEKDAY(A1747)&gt;1,WEEKDAY(A1747)&lt;7),"Wkd",TEXT(A1747,"Ddd"))&amp;"-"&amp;TEXT(A1747,"hh"),LoadTable[],5,FALSE)*0.92</f>
        <v>388.38076000000001</v>
      </c>
      <c r="U1747" s="104">
        <f>VLOOKUP(TEXT(A1747,"yy-mm")&amp;"-"&amp;IF(AND(WEEKDAY(A1747)&gt;1,WEEKDAY(A1747)&lt;7),"Wkd",TEXT(A1747,"Ddd"))&amp;"-"&amp;TEXT(A1747,"hh"),LoadTable[],6,FALSE)*T1747</f>
        <v>23675.6911296</v>
      </c>
      <c r="V1747">
        <f t="shared" ref="V1747:W1747" si="1855">V1723</f>
        <v>3.5</v>
      </c>
      <c r="W1747">
        <f t="shared" si="1855"/>
        <v>3</v>
      </c>
      <c r="X1747" s="9">
        <v>-75.115137066666804</v>
      </c>
    </row>
    <row r="1748" spans="1:24">
      <c r="A1748" s="29">
        <f t="shared" si="1840"/>
        <v>45908.708333329101</v>
      </c>
      <c r="B1748" s="30">
        <f t="shared" si="1795"/>
        <v>8000</v>
      </c>
      <c r="C1748" s="8">
        <v>25000</v>
      </c>
      <c r="D1748" s="8">
        <v>0</v>
      </c>
      <c r="E1748" s="8">
        <v>700</v>
      </c>
      <c r="F1748" s="8">
        <v>15000</v>
      </c>
      <c r="G1748" s="30">
        <f t="shared" si="1796"/>
        <v>2400</v>
      </c>
      <c r="H1748" s="8">
        <v>25000</v>
      </c>
      <c r="I1748" s="30">
        <f t="shared" si="1797"/>
        <v>8000</v>
      </c>
      <c r="J1748" s="8">
        <v>25000</v>
      </c>
      <c r="K1748" s="30">
        <f t="shared" si="1798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VLOOKUP(VLOOKUP(DATEVALUE(TEXT(A1748,"m/d/yyyy")),FY24_Temp[],5,FALSE)&amp;TEXT(A1748,"-h"),Table6[],4,FALSE)</f>
        <v>1.6385714156287057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VLOOKUP(TEXT(A1748,"yy-mm")&amp;"-"&amp;IF(AND(WEEKDAY(A1748)&gt;1,WEEKDAY(A1748)&lt;7),"Wkd",TEXT(A1748,"Ddd"))&amp;"-"&amp;TEXT(A1748,"hh"),LoadTable[],5,FALSE)*0.92</f>
        <v>388.38076000000001</v>
      </c>
      <c r="U1748" s="104">
        <f>VLOOKUP(TEXT(A1748,"yy-mm")&amp;"-"&amp;IF(AND(WEEKDAY(A1748)&gt;1,WEEKDAY(A1748)&lt;7),"Wkd",TEXT(A1748,"Ddd"))&amp;"-"&amp;TEXT(A1748,"hh"),LoadTable[],6,FALSE)*T1748</f>
        <v>31454.180990880002</v>
      </c>
      <c r="V1748">
        <f t="shared" ref="V1748:W1748" si="1856">V1724</f>
        <v>3.6</v>
      </c>
      <c r="W1748">
        <f t="shared" si="1856"/>
        <v>3</v>
      </c>
      <c r="X1748" s="9">
        <v>-75.192931616666797</v>
      </c>
    </row>
    <row r="1749" spans="1:24">
      <c r="A1749" s="29">
        <f t="shared" si="1840"/>
        <v>45908.749999995765</v>
      </c>
      <c r="B1749" s="30">
        <f t="shared" si="1795"/>
        <v>5000</v>
      </c>
      <c r="C1749" s="8">
        <v>25000</v>
      </c>
      <c r="D1749" s="8">
        <v>0</v>
      </c>
      <c r="E1749" s="8">
        <v>700</v>
      </c>
      <c r="F1749" s="8">
        <v>15000</v>
      </c>
      <c r="G1749" s="30">
        <f t="shared" si="1796"/>
        <v>2400</v>
      </c>
      <c r="H1749" s="8">
        <v>25000</v>
      </c>
      <c r="I1749" s="30">
        <f t="shared" si="1797"/>
        <v>5000</v>
      </c>
      <c r="J1749" s="8">
        <v>25000</v>
      </c>
      <c r="K1749" s="30">
        <f t="shared" si="1798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VLOOKUP(VLOOKUP(DATEVALUE(TEXT(A1749,"m/d/yyyy")),FY24_Temp[],5,FALSE)&amp;TEXT(A1749,"-h"),Table6[],4,FALSE)</f>
        <v>2.1335714374269759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VLOOKUP(TEXT(A1749,"yy-mm")&amp;"-"&amp;IF(AND(WEEKDAY(A1749)&gt;1,WEEKDAY(A1749)&lt;7),"Wkd",TEXT(A1749,"Ddd"))&amp;"-"&amp;TEXT(A1749,"hh"),LoadTable[],5,FALSE)*0.92</f>
        <v>388.38076000000001</v>
      </c>
      <c r="U1749" s="104">
        <f>VLOOKUP(TEXT(A1749,"yy-mm")&amp;"-"&amp;IF(AND(WEEKDAY(A1749)&gt;1,WEEKDAY(A1749)&lt;7),"Wkd",TEXT(A1749,"Ddd"))&amp;"-"&amp;TEXT(A1749,"hh"),LoadTable[],6,FALSE)*T1749</f>
        <v>38316.869020080005</v>
      </c>
      <c r="V1749">
        <f t="shared" ref="V1749:W1749" si="1857">V1725</f>
        <v>2.9</v>
      </c>
      <c r="W1749">
        <f t="shared" si="1857"/>
        <v>3</v>
      </c>
      <c r="X1749" s="9">
        <v>-75.270726166666805</v>
      </c>
    </row>
    <row r="1750" spans="1:24">
      <c r="A1750" s="29">
        <f t="shared" si="1840"/>
        <v>45908.79166666243</v>
      </c>
      <c r="B1750" s="30">
        <f t="shared" si="1795"/>
        <v>5000</v>
      </c>
      <c r="C1750" s="8">
        <v>25000</v>
      </c>
      <c r="D1750" s="8">
        <v>0</v>
      </c>
      <c r="E1750" s="8">
        <v>700</v>
      </c>
      <c r="F1750" s="8">
        <v>15000</v>
      </c>
      <c r="G1750" s="30">
        <f t="shared" si="1796"/>
        <v>2400</v>
      </c>
      <c r="H1750" s="8">
        <v>25000</v>
      </c>
      <c r="I1750" s="30">
        <f t="shared" si="1797"/>
        <v>5000</v>
      </c>
      <c r="J1750" s="8">
        <v>25000</v>
      </c>
      <c r="K1750" s="30">
        <f t="shared" si="1798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VLOOKUP(VLOOKUP(DATEVALUE(TEXT(A1750,"m/d/yyyy")),FY24_Temp[],5,FALSE)&amp;TEXT(A1750,"-h"),Table6[],4,FALSE)</f>
        <v>2.4782857213701521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VLOOKUP(TEXT(A1750,"yy-mm")&amp;"-"&amp;IF(AND(WEEKDAY(A1750)&gt;1,WEEKDAY(A1750)&lt;7),"Wkd",TEXT(A1750,"Ddd"))&amp;"-"&amp;TEXT(A1750,"hh"),LoadTable[],5,FALSE)*0.92</f>
        <v>388.38076000000001</v>
      </c>
      <c r="U1750" s="104">
        <f>VLOOKUP(TEXT(A1750,"yy-mm")&amp;"-"&amp;IF(AND(WEEKDAY(A1750)&gt;1,WEEKDAY(A1750)&lt;7),"Wkd",TEXT(A1750,"Ddd"))&amp;"-"&amp;TEXT(A1750,"hh"),LoadTable[],6,FALSE)*T1750</f>
        <v>41132.241149319998</v>
      </c>
      <c r="V1750">
        <f t="shared" ref="V1750:W1750" si="1858">V1726</f>
        <v>3</v>
      </c>
      <c r="W1750">
        <f t="shared" si="1858"/>
        <v>3</v>
      </c>
      <c r="X1750" s="9">
        <v>-75.348520716666798</v>
      </c>
    </row>
    <row r="1751" spans="1:24">
      <c r="A1751" s="29">
        <f t="shared" si="1840"/>
        <v>45908.833333329094</v>
      </c>
      <c r="B1751" s="30">
        <f t="shared" si="1795"/>
        <v>5000</v>
      </c>
      <c r="C1751" s="8">
        <v>25000</v>
      </c>
      <c r="D1751" s="8">
        <v>0</v>
      </c>
      <c r="E1751" s="8">
        <v>700</v>
      </c>
      <c r="F1751" s="8">
        <v>15000</v>
      </c>
      <c r="G1751" s="30">
        <f t="shared" si="1796"/>
        <v>2400</v>
      </c>
      <c r="H1751" s="8">
        <v>25000</v>
      </c>
      <c r="I1751" s="30">
        <f t="shared" si="1797"/>
        <v>5000</v>
      </c>
      <c r="J1751" s="8">
        <v>25000</v>
      </c>
      <c r="K1751" s="30">
        <f t="shared" si="1798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VLOOKUP(VLOOKUP(DATEVALUE(TEXT(A1751,"m/d/yyyy")),FY24_Temp[],5,FALSE)&amp;TEXT(A1751,"-h"),Table6[],4,FALSE)</f>
        <v>2.6718571526663646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VLOOKUP(TEXT(A1751,"yy-mm")&amp;"-"&amp;IF(AND(WEEKDAY(A1751)&gt;1,WEEKDAY(A1751)&lt;7),"Wkd",TEXT(A1751,"Ddd"))&amp;"-"&amp;TEXT(A1751,"hh"),LoadTable[],5,FALSE)*0.92</f>
        <v>388.38076000000001</v>
      </c>
      <c r="U1751" s="104">
        <f>VLOOKUP(TEXT(A1751,"yy-mm")&amp;"-"&amp;IF(AND(WEEKDAY(A1751)&gt;1,WEEKDAY(A1751)&lt;7),"Wkd",TEXT(A1751,"Ddd"))&amp;"-"&amp;TEXT(A1751,"hh"),LoadTable[],6,FALSE)*T1751</f>
        <v>36274.762984000001</v>
      </c>
      <c r="V1751">
        <f t="shared" ref="V1751:W1751" si="1859">V1727</f>
        <v>2.8</v>
      </c>
      <c r="W1751">
        <f t="shared" si="1859"/>
        <v>3.1</v>
      </c>
      <c r="X1751" s="9">
        <v>-75.426315266666805</v>
      </c>
    </row>
    <row r="1752" spans="1:24">
      <c r="A1752" s="29">
        <f t="shared" si="1840"/>
        <v>45908.874999995758</v>
      </c>
      <c r="B1752" s="30">
        <f t="shared" si="1795"/>
        <v>5000</v>
      </c>
      <c r="C1752" s="8">
        <v>25000</v>
      </c>
      <c r="D1752" s="8">
        <v>0</v>
      </c>
      <c r="E1752" s="8">
        <v>700</v>
      </c>
      <c r="F1752" s="8">
        <v>15000</v>
      </c>
      <c r="G1752" s="30">
        <f t="shared" si="1796"/>
        <v>2400</v>
      </c>
      <c r="H1752" s="8">
        <v>25000</v>
      </c>
      <c r="I1752" s="30">
        <f t="shared" si="1797"/>
        <v>5000</v>
      </c>
      <c r="J1752" s="8">
        <v>25000</v>
      </c>
      <c r="K1752" s="30">
        <f t="shared" si="1798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VLOOKUP(VLOOKUP(DATEVALUE(TEXT(A1752,"m/d/yyyy")),FY24_Temp[],5,FALSE)&amp;TEXT(A1752,"-h"),Table6[],4,FALSE)</f>
        <v>2.730428559439523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VLOOKUP(TEXT(A1752,"yy-mm")&amp;"-"&amp;IF(AND(WEEKDAY(A1752)&gt;1,WEEKDAY(A1752)&lt;7),"Wkd",TEXT(A1752,"Ddd"))&amp;"-"&amp;TEXT(A1752,"hh"),LoadTable[],5,FALSE)*0.92</f>
        <v>373.79416000000003</v>
      </c>
      <c r="U1752" s="104">
        <f>VLOOKUP(TEXT(A1752,"yy-mm")&amp;"-"&amp;IF(AND(WEEKDAY(A1752)&gt;1,WEEKDAY(A1752)&lt;7),"Wkd",TEXT(A1752,"Ddd"))&amp;"-"&amp;TEXT(A1752,"hh"),LoadTable[],6,FALSE)*T1752</f>
        <v>31749.328362080003</v>
      </c>
      <c r="V1752">
        <f t="shared" ref="V1752:W1752" si="1860">V1728</f>
        <v>3.5</v>
      </c>
      <c r="W1752">
        <f t="shared" si="1860"/>
        <v>3.1</v>
      </c>
      <c r="X1752" s="9">
        <v>-75.504109816666897</v>
      </c>
    </row>
    <row r="1753" spans="1:24">
      <c r="A1753" s="29">
        <f t="shared" si="1840"/>
        <v>45908.916666662422</v>
      </c>
      <c r="B1753" s="30">
        <f t="shared" si="1795"/>
        <v>5000</v>
      </c>
      <c r="C1753" s="8">
        <v>25000</v>
      </c>
      <c r="D1753" s="8">
        <v>0</v>
      </c>
      <c r="E1753" s="8">
        <v>700</v>
      </c>
      <c r="F1753" s="8">
        <v>15000</v>
      </c>
      <c r="G1753" s="30">
        <f t="shared" si="1796"/>
        <v>2400</v>
      </c>
      <c r="H1753" s="8">
        <v>25000</v>
      </c>
      <c r="I1753" s="30">
        <f t="shared" si="1797"/>
        <v>5000</v>
      </c>
      <c r="J1753" s="8">
        <v>25000</v>
      </c>
      <c r="K1753" s="30">
        <f t="shared" si="1798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VLOOKUP(VLOOKUP(DATEVALUE(TEXT(A1753,"m/d/yyyy")),FY24_Temp[],5,FALSE)&amp;TEXT(A1753,"-h"),Table6[],4,FALSE)</f>
        <v>2.702714272907802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VLOOKUP(TEXT(A1753,"yy-mm")&amp;"-"&amp;IF(AND(WEEKDAY(A1753)&gt;1,WEEKDAY(A1753)&lt;7),"Wkd",TEXT(A1753,"Ddd"))&amp;"-"&amp;TEXT(A1753,"hh"),LoadTable[],5,FALSE)*0.92</f>
        <v>299.65044</v>
      </c>
      <c r="U1753" s="104">
        <f>VLOOKUP(TEXT(A1753,"yy-mm")&amp;"-"&amp;IF(AND(WEEKDAY(A1753)&gt;1,WEEKDAY(A1753)&lt;7),"Wkd",TEXT(A1753,"Ddd"))&amp;"-"&amp;TEXT(A1753,"hh"),LoadTable[],6,FALSE)*T1753</f>
        <v>15023.87376072</v>
      </c>
      <c r="V1753">
        <f t="shared" ref="V1753:W1753" si="1861">V1729</f>
        <v>2.9</v>
      </c>
      <c r="W1753">
        <f t="shared" si="1861"/>
        <v>3.1</v>
      </c>
      <c r="X1753" s="9">
        <v>-75.581904366666905</v>
      </c>
    </row>
    <row r="1754" spans="1:24">
      <c r="A1754" s="29">
        <f t="shared" si="1840"/>
        <v>45908.958333329087</v>
      </c>
      <c r="B1754" s="30">
        <f t="shared" si="1795"/>
        <v>5000</v>
      </c>
      <c r="C1754" s="8">
        <v>25000</v>
      </c>
      <c r="D1754" s="8">
        <v>0</v>
      </c>
      <c r="E1754" s="8">
        <v>700</v>
      </c>
      <c r="F1754" s="8">
        <v>15000</v>
      </c>
      <c r="G1754" s="30">
        <f t="shared" si="1796"/>
        <v>2400</v>
      </c>
      <c r="H1754" s="8">
        <v>25000</v>
      </c>
      <c r="I1754" s="30">
        <f t="shared" si="1797"/>
        <v>5000</v>
      </c>
      <c r="J1754" s="8">
        <v>25000</v>
      </c>
      <c r="K1754" s="30">
        <f t="shared" si="1798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VLOOKUP(VLOOKUP(DATEVALUE(TEXT(A1754,"m/d/yyyy")),FY24_Temp[],5,FALSE)&amp;TEXT(A1754,"-h"),Table6[],4,FALSE)</f>
        <v>2.7027143069675992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VLOOKUP(TEXT(A1754,"yy-mm")&amp;"-"&amp;IF(AND(WEEKDAY(A1754)&gt;1,WEEKDAY(A1754)&lt;7),"Wkd",TEXT(A1754,"Ddd"))&amp;"-"&amp;TEXT(A1754,"hh"),LoadTable[],5,FALSE)*0.92</f>
        <v>237.25788000000003</v>
      </c>
      <c r="U1754" s="104">
        <f>VLOOKUP(TEXT(A1754,"yy-mm")&amp;"-"&amp;IF(AND(WEEKDAY(A1754)&gt;1,WEEKDAY(A1754)&lt;7),"Wkd",TEXT(A1754,"Ddd"))&amp;"-"&amp;TEXT(A1754,"hh"),LoadTable[],6,FALSE)*T1754</f>
        <v>11687.323168800001</v>
      </c>
      <c r="V1754">
        <f t="shared" ref="V1754:W1754" si="1862">V1730</f>
        <v>3.6</v>
      </c>
      <c r="W1754">
        <f t="shared" si="1862"/>
        <v>3.1</v>
      </c>
      <c r="X1754" s="9">
        <v>-75.659698916666898</v>
      </c>
    </row>
    <row r="1755" spans="1:24">
      <c r="A1755" s="29">
        <f t="shared" si="1840"/>
        <v>45908.999999995751</v>
      </c>
      <c r="B1755" s="30">
        <f t="shared" si="1795"/>
        <v>5000</v>
      </c>
      <c r="C1755" s="8">
        <v>25000</v>
      </c>
      <c r="D1755" s="8">
        <v>0</v>
      </c>
      <c r="E1755" s="8">
        <v>700</v>
      </c>
      <c r="F1755" s="8">
        <v>15000</v>
      </c>
      <c r="G1755" s="30">
        <f t="shared" si="1796"/>
        <v>2400</v>
      </c>
      <c r="H1755" s="8">
        <v>25000</v>
      </c>
      <c r="I1755" s="30">
        <f t="shared" si="1797"/>
        <v>5000</v>
      </c>
      <c r="J1755" s="8">
        <v>25000</v>
      </c>
      <c r="K1755" s="30">
        <f t="shared" si="1798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VLOOKUP(VLOOKUP(DATEVALUE(TEXT(A1755,"m/d/yyyy")),FY24_Temp[],5,FALSE)&amp;TEXT(A1755,"-h"),Table6[],4,FALSE)</f>
        <v>2.6951428822108676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VLOOKUP(TEXT(A1755,"yy-mm")&amp;"-"&amp;IF(AND(WEEKDAY(A1755)&gt;1,WEEKDAY(A1755)&lt;7),"Wkd",TEXT(A1755,"Ddd"))&amp;"-"&amp;TEXT(A1755,"hh"),LoadTable[],5,FALSE)*0.92</f>
        <v>237.25788000000003</v>
      </c>
      <c r="U1755" s="104">
        <f>VLOOKUP(TEXT(A1755,"yy-mm")&amp;"-"&amp;IF(AND(WEEKDAY(A1755)&gt;1,WEEKDAY(A1755)&lt;7),"Wkd",TEXT(A1755,"Ddd"))&amp;"-"&amp;TEXT(A1755,"hh"),LoadTable[],6,FALSE)*T1755</f>
        <v>12215.696467560001</v>
      </c>
      <c r="V1755">
        <f t="shared" ref="V1755:W1755" si="1863">V1731</f>
        <v>3</v>
      </c>
      <c r="W1755">
        <f t="shared" si="1863"/>
        <v>3.2</v>
      </c>
      <c r="X1755" s="9">
        <v>-75.737493466666905</v>
      </c>
    </row>
    <row r="1756" spans="1:24">
      <c r="A1756" s="29">
        <f t="shared" si="1840"/>
        <v>45909.041666662415</v>
      </c>
      <c r="B1756" s="30">
        <f t="shared" ref="B1756:B1819" si="1864">B1732</f>
        <v>5000</v>
      </c>
      <c r="C1756" s="8">
        <v>25000</v>
      </c>
      <c r="D1756" s="8">
        <v>0</v>
      </c>
      <c r="E1756" s="8">
        <v>700</v>
      </c>
      <c r="F1756" s="8">
        <v>15000</v>
      </c>
      <c r="G1756" s="30">
        <f t="shared" ref="G1756:G1819" si="1865">G1732</f>
        <v>2400</v>
      </c>
      <c r="H1756" s="8">
        <v>25000</v>
      </c>
      <c r="I1756" s="30">
        <f t="shared" ref="I1756:I1819" si="1866">I1732</f>
        <v>5000</v>
      </c>
      <c r="J1756" s="8">
        <v>25000</v>
      </c>
      <c r="K1756" s="30">
        <f t="shared" ref="K1756:K1819" si="1867">K1732</f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VLOOKUP(VLOOKUP(DATEVALUE(TEXT(A1756,"m/d/yyyy")),FY24_Temp[],5,FALSE)&amp;TEXT(A1756,"-h"),Table6[],4,FALSE)</f>
        <v>2.6332857268197194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VLOOKUP(TEXT(A1756,"yy-mm")&amp;"-"&amp;IF(AND(WEEKDAY(A1756)&gt;1,WEEKDAY(A1756)&lt;7),"Wkd",TEXT(A1756,"Ddd"))&amp;"-"&amp;TEXT(A1756,"hh"),LoadTable[],5,FALSE)*0.92</f>
        <v>237.25788000000003</v>
      </c>
      <c r="U1756" s="104">
        <f>VLOOKUP(TEXT(A1756,"yy-mm")&amp;"-"&amp;IF(AND(WEEKDAY(A1756)&gt;1,WEEKDAY(A1756)&lt;7),"Wkd",TEXT(A1756,"Ddd"))&amp;"-"&amp;TEXT(A1756,"hh"),LoadTable[],6,FALSE)*T1756</f>
        <v>11905.12590264</v>
      </c>
      <c r="V1756">
        <f t="shared" ref="V1756:W1756" si="1868">V1732</f>
        <v>2.6</v>
      </c>
      <c r="W1756">
        <f t="shared" si="1868"/>
        <v>3.2</v>
      </c>
      <c r="X1756" s="9">
        <v>-75.815288016666898</v>
      </c>
    </row>
    <row r="1757" spans="1:24">
      <c r="A1757" s="29">
        <f t="shared" si="1840"/>
        <v>45909.083333329079</v>
      </c>
      <c r="B1757" s="30">
        <f t="shared" si="1864"/>
        <v>5000</v>
      </c>
      <c r="C1757" s="8">
        <v>25000</v>
      </c>
      <c r="D1757" s="8">
        <v>0</v>
      </c>
      <c r="E1757" s="8">
        <v>700</v>
      </c>
      <c r="F1757" s="8">
        <v>15000</v>
      </c>
      <c r="G1757" s="30">
        <f t="shared" si="1865"/>
        <v>2400</v>
      </c>
      <c r="H1757" s="8">
        <v>25000</v>
      </c>
      <c r="I1757" s="30">
        <f t="shared" si="1866"/>
        <v>5000</v>
      </c>
      <c r="J1757" s="8">
        <v>25000</v>
      </c>
      <c r="K1757" s="30">
        <f t="shared" si="1867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VLOOKUP(VLOOKUP(DATEVALUE(TEXT(A1757,"m/d/yyyy")),FY24_Temp[],5,FALSE)&amp;TEXT(A1757,"-h"),Table6[],4,FALSE)</f>
        <v>2.5004285403660367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VLOOKUP(TEXT(A1757,"yy-mm")&amp;"-"&amp;IF(AND(WEEKDAY(A1757)&gt;1,WEEKDAY(A1757)&lt;7),"Wkd",TEXT(A1757,"Ddd"))&amp;"-"&amp;TEXT(A1757,"hh"),LoadTable[],5,FALSE)*0.92</f>
        <v>237.25788000000003</v>
      </c>
      <c r="U1757" s="104">
        <f>VLOOKUP(TEXT(A1757,"yy-mm")&amp;"-"&amp;IF(AND(WEEKDAY(A1757)&gt;1,WEEKDAY(A1757)&lt;7),"Wkd",TEXT(A1757,"Ddd"))&amp;"-"&amp;TEXT(A1757,"hh"),LoadTable[],6,FALSE)*T1757</f>
        <v>11856.013521480001</v>
      </c>
      <c r="V1757">
        <f t="shared" ref="V1757:W1757" si="1869">V1733</f>
        <v>2.8</v>
      </c>
      <c r="W1757">
        <f t="shared" si="1869"/>
        <v>3.2</v>
      </c>
      <c r="X1757" s="9">
        <v>-75.893082566666905</v>
      </c>
    </row>
    <row r="1758" spans="1:24">
      <c r="A1758" s="29">
        <f t="shared" si="1840"/>
        <v>45909.124999995744</v>
      </c>
      <c r="B1758" s="30">
        <f t="shared" si="1864"/>
        <v>5000</v>
      </c>
      <c r="C1758" s="8">
        <v>25000</v>
      </c>
      <c r="D1758" s="8">
        <v>0</v>
      </c>
      <c r="E1758" s="8">
        <v>700</v>
      </c>
      <c r="F1758" s="8">
        <v>15000</v>
      </c>
      <c r="G1758" s="30">
        <f t="shared" si="1865"/>
        <v>2400</v>
      </c>
      <c r="H1758" s="8">
        <v>25000</v>
      </c>
      <c r="I1758" s="30">
        <f t="shared" si="1866"/>
        <v>5000</v>
      </c>
      <c r="J1758" s="8">
        <v>25000</v>
      </c>
      <c r="K1758" s="30">
        <f t="shared" si="1867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VLOOKUP(VLOOKUP(DATEVALUE(TEXT(A1758,"m/d/yyyy")),FY24_Temp[],5,FALSE)&amp;TEXT(A1758,"-h"),Table6[],4,FALSE)</f>
        <v>2.3495714323861256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VLOOKUP(TEXT(A1758,"yy-mm")&amp;"-"&amp;IF(AND(WEEKDAY(A1758)&gt;1,WEEKDAY(A1758)&lt;7),"Wkd",TEXT(A1758,"Ddd"))&amp;"-"&amp;TEXT(A1758,"hh"),LoadTable[],5,FALSE)*0.92</f>
        <v>237.25788000000003</v>
      </c>
      <c r="U1758" s="104">
        <f>VLOOKUP(TEXT(A1758,"yy-mm")&amp;"-"&amp;IF(AND(WEEKDAY(A1758)&gt;1,WEEKDAY(A1758)&lt;7),"Wkd",TEXT(A1758,"Ddd"))&amp;"-"&amp;TEXT(A1758,"hh"),LoadTable[],6,FALSE)*T1758</f>
        <v>11893.025750760002</v>
      </c>
      <c r="V1758">
        <f t="shared" ref="V1758:W1758" si="1870">V1734</f>
        <v>2.7</v>
      </c>
      <c r="W1758">
        <f t="shared" si="1870"/>
        <v>3.2</v>
      </c>
      <c r="X1758" s="9">
        <v>-75.970877116666898</v>
      </c>
    </row>
    <row r="1759" spans="1:24">
      <c r="A1759" s="29">
        <f t="shared" si="1840"/>
        <v>45909.166666662408</v>
      </c>
      <c r="B1759" s="30">
        <f t="shared" si="1864"/>
        <v>5000</v>
      </c>
      <c r="C1759" s="8">
        <v>25000</v>
      </c>
      <c r="D1759" s="8">
        <v>0</v>
      </c>
      <c r="E1759" s="8">
        <v>700</v>
      </c>
      <c r="F1759" s="8">
        <v>15000</v>
      </c>
      <c r="G1759" s="30">
        <f t="shared" si="1865"/>
        <v>2400</v>
      </c>
      <c r="H1759" s="8">
        <v>25000</v>
      </c>
      <c r="I1759" s="30">
        <f t="shared" si="1866"/>
        <v>5000</v>
      </c>
      <c r="J1759" s="8">
        <v>25000</v>
      </c>
      <c r="K1759" s="30">
        <f t="shared" si="1867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VLOOKUP(VLOOKUP(DATEVALUE(TEXT(A1759,"m/d/yyyy")),FY24_Temp[],5,FALSE)&amp;TEXT(A1759,"-h"),Table6[],4,FALSE)</f>
        <v>2.1924285548073903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VLOOKUP(TEXT(A1759,"yy-mm")&amp;"-"&amp;IF(AND(WEEKDAY(A1759)&gt;1,WEEKDAY(A1759)&lt;7),"Wkd",TEXT(A1759,"Ddd"))&amp;"-"&amp;TEXT(A1759,"hh"),LoadTable[],5,FALSE)*0.92</f>
        <v>237.25788000000003</v>
      </c>
      <c r="U1759" s="104">
        <f>VLOOKUP(TEXT(A1759,"yy-mm")&amp;"-"&amp;IF(AND(WEEKDAY(A1759)&gt;1,WEEKDAY(A1759)&lt;7),"Wkd",TEXT(A1759,"Ddd"))&amp;"-"&amp;TEXT(A1759,"hh"),LoadTable[],6,FALSE)*T1759</f>
        <v>12081.645765360001</v>
      </c>
      <c r="V1759">
        <f t="shared" ref="V1759:W1759" si="1871">V1735</f>
        <v>3</v>
      </c>
      <c r="W1759">
        <f t="shared" si="1871"/>
        <v>3.1</v>
      </c>
      <c r="X1759" s="9">
        <v>-76.048671666666905</v>
      </c>
    </row>
    <row r="1760" spans="1:24">
      <c r="A1760" s="29">
        <f t="shared" si="1840"/>
        <v>45909.208333329072</v>
      </c>
      <c r="B1760" s="30">
        <f t="shared" si="1864"/>
        <v>5000</v>
      </c>
      <c r="C1760" s="8">
        <v>25000</v>
      </c>
      <c r="D1760" s="8">
        <v>0</v>
      </c>
      <c r="E1760" s="8">
        <v>700</v>
      </c>
      <c r="F1760" s="8">
        <v>15000</v>
      </c>
      <c r="G1760" s="30">
        <f t="shared" si="1865"/>
        <v>2400</v>
      </c>
      <c r="H1760" s="8">
        <v>25000</v>
      </c>
      <c r="I1760" s="30">
        <f t="shared" si="1866"/>
        <v>5000</v>
      </c>
      <c r="J1760" s="8">
        <v>25000</v>
      </c>
      <c r="K1760" s="30">
        <f t="shared" si="1867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VLOOKUP(VLOOKUP(DATEVALUE(TEXT(A1760,"m/d/yyyy")),FY24_Temp[],5,FALSE)&amp;TEXT(A1760,"-h"),Table6[],4,FALSE)</f>
        <v>2.0738571711948941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VLOOKUP(TEXT(A1760,"yy-mm")&amp;"-"&amp;IF(AND(WEEKDAY(A1760)&gt;1,WEEKDAY(A1760)&lt;7),"Wkd",TEXT(A1760,"Ddd"))&amp;"-"&amp;TEXT(A1760,"hh"),LoadTable[],5,FALSE)*0.92</f>
        <v>237.25788000000003</v>
      </c>
      <c r="U1760" s="104">
        <f>VLOOKUP(TEXT(A1760,"yy-mm")&amp;"-"&amp;IF(AND(WEEKDAY(A1760)&gt;1,WEEKDAY(A1760)&lt;7),"Wkd",TEXT(A1760,"Ddd"))&amp;"-"&amp;TEXT(A1760,"hh"),LoadTable[],6,FALSE)*T1760</f>
        <v>12065.037713760001</v>
      </c>
      <c r="V1760">
        <f t="shared" ref="V1760:W1760" si="1872">V1736</f>
        <v>2.9</v>
      </c>
      <c r="W1760">
        <f t="shared" si="1872"/>
        <v>3.1</v>
      </c>
      <c r="X1760" s="9">
        <v>-76.126466216666898</v>
      </c>
    </row>
    <row r="1761" spans="1:24">
      <c r="A1761" s="29">
        <f t="shared" si="1840"/>
        <v>45909.249999995736</v>
      </c>
      <c r="B1761" s="30">
        <f t="shared" si="1864"/>
        <v>8000</v>
      </c>
      <c r="C1761" s="8">
        <v>25000</v>
      </c>
      <c r="D1761" s="8">
        <v>0</v>
      </c>
      <c r="E1761" s="8">
        <v>700</v>
      </c>
      <c r="F1761" s="8">
        <v>15000</v>
      </c>
      <c r="G1761" s="30">
        <f t="shared" si="1865"/>
        <v>2400</v>
      </c>
      <c r="H1761" s="8">
        <v>25000</v>
      </c>
      <c r="I1761" s="30">
        <f t="shared" si="1866"/>
        <v>8000</v>
      </c>
      <c r="J1761" s="8">
        <v>25000</v>
      </c>
      <c r="K1761" s="30">
        <f t="shared" si="1867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VLOOKUP(VLOOKUP(DATEVALUE(TEXT(A1761,"m/d/yyyy")),FY24_Temp[],5,FALSE)&amp;TEXT(A1761,"-h"),Table6[],4,FALSE)</f>
        <v>1.9711428540093558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VLOOKUP(TEXT(A1761,"yy-mm")&amp;"-"&amp;IF(AND(WEEKDAY(A1761)&gt;1,WEEKDAY(A1761)&lt;7),"Wkd",TEXT(A1761,"Ddd"))&amp;"-"&amp;TEXT(A1761,"hh"),LoadTable[],5,FALSE)*0.92</f>
        <v>237.25788000000003</v>
      </c>
      <c r="U1761" s="104">
        <f>VLOOKUP(TEXT(A1761,"yy-mm")&amp;"-"&amp;IF(AND(WEEKDAY(A1761)&gt;1,WEEKDAY(A1761)&lt;7),"Wkd",TEXT(A1761,"Ddd"))&amp;"-"&amp;TEXT(A1761,"hh"),LoadTable[],6,FALSE)*T1761</f>
        <v>18358.065722880005</v>
      </c>
      <c r="V1761">
        <f t="shared" ref="V1761:W1761" si="1873">V1737</f>
        <v>2.5</v>
      </c>
      <c r="W1761">
        <f t="shared" si="1873"/>
        <v>3.1</v>
      </c>
      <c r="X1761" s="9">
        <v>-76.204260766666906</v>
      </c>
    </row>
    <row r="1762" spans="1:24">
      <c r="A1762" s="29">
        <f t="shared" si="1840"/>
        <v>45909.291666662401</v>
      </c>
      <c r="B1762" s="30">
        <f t="shared" si="1864"/>
        <v>8000</v>
      </c>
      <c r="C1762" s="8">
        <v>25000</v>
      </c>
      <c r="D1762" s="8">
        <v>0</v>
      </c>
      <c r="E1762" s="8">
        <v>700</v>
      </c>
      <c r="F1762" s="8">
        <v>15000</v>
      </c>
      <c r="G1762" s="30">
        <f t="shared" si="1865"/>
        <v>2400</v>
      </c>
      <c r="H1762" s="8">
        <v>25000</v>
      </c>
      <c r="I1762" s="30">
        <f t="shared" si="1866"/>
        <v>8000</v>
      </c>
      <c r="J1762" s="8">
        <v>25000</v>
      </c>
      <c r="K1762" s="30">
        <f t="shared" si="1867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VLOOKUP(VLOOKUP(DATEVALUE(TEXT(A1762,"m/d/yyyy")),FY24_Temp[],5,FALSE)&amp;TEXT(A1762,"-h"),Table6[],4,FALSE)</f>
        <v>1.8018571478979928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VLOOKUP(TEXT(A1762,"yy-mm")&amp;"-"&amp;IF(AND(WEEKDAY(A1762)&gt;1,WEEKDAY(A1762)&lt;7),"Wkd",TEXT(A1762,"Ddd"))&amp;"-"&amp;TEXT(A1762,"hh"),LoadTable[],5,FALSE)*0.92</f>
        <v>237.25788000000003</v>
      </c>
      <c r="U1762" s="104">
        <f>VLOOKUP(TEXT(A1762,"yy-mm")&amp;"-"&amp;IF(AND(WEEKDAY(A1762)&gt;1,WEEKDAY(A1762)&lt;7),"Wkd",TEXT(A1762,"Ddd"))&amp;"-"&amp;TEXT(A1762,"hh"),LoadTable[],6,FALSE)*T1762</f>
        <v>16249.08042756</v>
      </c>
      <c r="V1762">
        <f t="shared" ref="V1762:W1762" si="1874">V1738</f>
        <v>2.5</v>
      </c>
      <c r="W1762">
        <f t="shared" si="1874"/>
        <v>3.1</v>
      </c>
      <c r="X1762" s="9">
        <v>-76.282055316666899</v>
      </c>
    </row>
    <row r="1763" spans="1:24">
      <c r="A1763" s="29">
        <f t="shared" si="1840"/>
        <v>45909.333333329065</v>
      </c>
      <c r="B1763" s="30">
        <f t="shared" si="1864"/>
        <v>8000</v>
      </c>
      <c r="C1763" s="8">
        <v>25000</v>
      </c>
      <c r="D1763" s="8">
        <v>0</v>
      </c>
      <c r="E1763" s="8">
        <v>700</v>
      </c>
      <c r="F1763" s="8">
        <v>15000</v>
      </c>
      <c r="G1763" s="30">
        <f t="shared" si="1865"/>
        <v>2400</v>
      </c>
      <c r="H1763" s="8">
        <v>25000</v>
      </c>
      <c r="I1763" s="30">
        <f t="shared" si="1866"/>
        <v>8000</v>
      </c>
      <c r="J1763" s="8">
        <v>25000</v>
      </c>
      <c r="K1763" s="30">
        <f t="shared" si="1867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VLOOKUP(VLOOKUP(DATEVALUE(TEXT(A1763,"m/d/yyyy")),FY24_Temp[],5,FALSE)&amp;TEXT(A1763,"-h"),Table6[],4,FALSE)</f>
        <v>1.7142857142857142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VLOOKUP(TEXT(A1763,"yy-mm")&amp;"-"&amp;IF(AND(WEEKDAY(A1763)&gt;1,WEEKDAY(A1763)&lt;7),"Wkd",TEXT(A1763,"Ddd"))&amp;"-"&amp;TEXT(A1763,"hh"),LoadTable[],5,FALSE)*0.92</f>
        <v>237.25788000000003</v>
      </c>
      <c r="U1763" s="104">
        <f>VLOOKUP(TEXT(A1763,"yy-mm")&amp;"-"&amp;IF(AND(WEEKDAY(A1763)&gt;1,WEEKDAY(A1763)&lt;7),"Wkd",TEXT(A1763,"Ddd"))&amp;"-"&amp;TEXT(A1763,"hh"),LoadTable[],6,FALSE)*T1763</f>
        <v>13068.164030400001</v>
      </c>
      <c r="V1763">
        <f t="shared" ref="V1763:W1763" si="1875">V1739</f>
        <v>3.2</v>
      </c>
      <c r="W1763">
        <f t="shared" si="1875"/>
        <v>3</v>
      </c>
      <c r="X1763" s="9">
        <v>-76.359849866666906</v>
      </c>
    </row>
    <row r="1764" spans="1:24">
      <c r="A1764" s="29">
        <f t="shared" si="1840"/>
        <v>45909.374999995729</v>
      </c>
      <c r="B1764" s="30">
        <f t="shared" si="1864"/>
        <v>8000</v>
      </c>
      <c r="C1764" s="8">
        <v>25000</v>
      </c>
      <c r="D1764" s="8">
        <v>0</v>
      </c>
      <c r="E1764" s="8">
        <v>700</v>
      </c>
      <c r="F1764" s="8">
        <v>15000</v>
      </c>
      <c r="G1764" s="30">
        <f t="shared" si="1865"/>
        <v>2400</v>
      </c>
      <c r="H1764" s="8">
        <v>25000</v>
      </c>
      <c r="I1764" s="30">
        <f t="shared" si="1866"/>
        <v>8000</v>
      </c>
      <c r="J1764" s="8">
        <v>25000</v>
      </c>
      <c r="K1764" s="30">
        <f t="shared" si="1867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VLOOKUP(VLOOKUP(DATEVALUE(TEXT(A1764,"m/d/yyyy")),FY24_Temp[],5,FALSE)&amp;TEXT(A1764,"-h"),Table6[],4,FALSE)</f>
        <v>1.5628571510314941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VLOOKUP(TEXT(A1764,"yy-mm")&amp;"-"&amp;IF(AND(WEEKDAY(A1764)&gt;1,WEEKDAY(A1764)&lt;7),"Wkd",TEXT(A1764,"Ddd"))&amp;"-"&amp;TEXT(A1764,"hh"),LoadTable[],5,FALSE)*0.92</f>
        <v>237.25788000000003</v>
      </c>
      <c r="U1764" s="104">
        <f>VLOOKUP(TEXT(A1764,"yy-mm")&amp;"-"&amp;IF(AND(WEEKDAY(A1764)&gt;1,WEEKDAY(A1764)&lt;7),"Wkd",TEXT(A1764,"Ddd"))&amp;"-"&amp;TEXT(A1764,"hh"),LoadTable[],6,FALSE)*T1764</f>
        <v>11518.395558240001</v>
      </c>
      <c r="V1764">
        <f t="shared" ref="V1764:W1764" si="1876">V1740</f>
        <v>2.9</v>
      </c>
      <c r="W1764">
        <f t="shared" si="1876"/>
        <v>3</v>
      </c>
      <c r="X1764" s="9">
        <v>-76.437644416666899</v>
      </c>
    </row>
    <row r="1765" spans="1:24">
      <c r="A1765" s="29">
        <f t="shared" si="1840"/>
        <v>45909.416666662393</v>
      </c>
      <c r="B1765" s="30">
        <f t="shared" si="1864"/>
        <v>8000</v>
      </c>
      <c r="C1765" s="8">
        <v>25000</v>
      </c>
      <c r="D1765" s="8">
        <v>0</v>
      </c>
      <c r="E1765" s="8">
        <v>700</v>
      </c>
      <c r="F1765" s="8">
        <v>15000</v>
      </c>
      <c r="G1765" s="30">
        <f t="shared" si="1865"/>
        <v>2400</v>
      </c>
      <c r="H1765" s="8">
        <v>25000</v>
      </c>
      <c r="I1765" s="30">
        <f t="shared" si="1866"/>
        <v>8000</v>
      </c>
      <c r="J1765" s="8">
        <v>25000</v>
      </c>
      <c r="K1765" s="30">
        <f t="shared" si="1867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VLOOKUP(VLOOKUP(DATEVALUE(TEXT(A1765,"m/d/yyyy")),FY24_Temp[],5,FALSE)&amp;TEXT(A1765,"-h"),Table6[],4,FALSE)</f>
        <v>1.4149999959128243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VLOOKUP(TEXT(A1765,"yy-mm")&amp;"-"&amp;IF(AND(WEEKDAY(A1765)&gt;1,WEEKDAY(A1765)&lt;7),"Wkd",TEXT(A1765,"Ddd"))&amp;"-"&amp;TEXT(A1765,"hh"),LoadTable[],5,FALSE)*0.92</f>
        <v>237.25788000000003</v>
      </c>
      <c r="U1765" s="104">
        <f>VLOOKUP(TEXT(A1765,"yy-mm")&amp;"-"&amp;IF(AND(WEEKDAY(A1765)&gt;1,WEEKDAY(A1765)&lt;7),"Wkd",TEXT(A1765,"Ddd"))&amp;"-"&amp;TEXT(A1765,"hh"),LoadTable[],6,FALSE)*T1765</f>
        <v>10982.667265200002</v>
      </c>
      <c r="V1765">
        <f t="shared" ref="V1765:W1765" si="1877">V1741</f>
        <v>2.9</v>
      </c>
      <c r="W1765">
        <f t="shared" si="1877"/>
        <v>3</v>
      </c>
      <c r="X1765" s="9">
        <v>-76.515438966666906</v>
      </c>
    </row>
    <row r="1766" spans="1:24">
      <c r="A1766" s="29">
        <f t="shared" si="1840"/>
        <v>45909.458333329057</v>
      </c>
      <c r="B1766" s="30">
        <f t="shared" si="1864"/>
        <v>8000</v>
      </c>
      <c r="C1766" s="8">
        <v>25000</v>
      </c>
      <c r="D1766" s="8">
        <v>0</v>
      </c>
      <c r="E1766" s="8">
        <v>700</v>
      </c>
      <c r="F1766" s="8">
        <v>15000</v>
      </c>
      <c r="G1766" s="30">
        <f t="shared" si="1865"/>
        <v>2400</v>
      </c>
      <c r="H1766" s="8">
        <v>25000</v>
      </c>
      <c r="I1766" s="30">
        <f t="shared" si="1866"/>
        <v>8000</v>
      </c>
      <c r="J1766" s="8">
        <v>25000</v>
      </c>
      <c r="K1766" s="30">
        <f t="shared" si="1867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VLOOKUP(VLOOKUP(DATEVALUE(TEXT(A1766,"m/d/yyyy")),FY24_Temp[],5,FALSE)&amp;TEXT(A1766,"-h"),Table6[],4,FALSE)</f>
        <v>1.3002857310431344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VLOOKUP(TEXT(A1766,"yy-mm")&amp;"-"&amp;IF(AND(WEEKDAY(A1766)&gt;1,WEEKDAY(A1766)&lt;7),"Wkd",TEXT(A1766,"Ddd"))&amp;"-"&amp;TEXT(A1766,"hh"),LoadTable[],5,FALSE)*0.92</f>
        <v>237.25788000000003</v>
      </c>
      <c r="U1766" s="104">
        <f>VLOOKUP(TEXT(A1766,"yy-mm")&amp;"-"&amp;IF(AND(WEEKDAY(A1766)&gt;1,WEEKDAY(A1766)&lt;7),"Wkd",TEXT(A1766,"Ddd"))&amp;"-"&amp;TEXT(A1766,"hh"),LoadTable[],6,FALSE)*T1766</f>
        <v>10974.125981520001</v>
      </c>
      <c r="V1766">
        <f t="shared" ref="V1766:W1766" si="1878">V1742</f>
        <v>3.4</v>
      </c>
      <c r="W1766">
        <f t="shared" si="1878"/>
        <v>3</v>
      </c>
      <c r="X1766" s="9">
        <v>-76.593233516666999</v>
      </c>
    </row>
    <row r="1767" spans="1:24">
      <c r="A1767" s="29">
        <f t="shared" si="1840"/>
        <v>45909.499999995722</v>
      </c>
      <c r="B1767" s="30">
        <f t="shared" si="1864"/>
        <v>8000</v>
      </c>
      <c r="C1767" s="8">
        <v>25000</v>
      </c>
      <c r="D1767" s="8">
        <v>0</v>
      </c>
      <c r="E1767" s="8">
        <v>700</v>
      </c>
      <c r="F1767" s="8">
        <v>15000</v>
      </c>
      <c r="G1767" s="30">
        <f t="shared" si="1865"/>
        <v>2400</v>
      </c>
      <c r="H1767" s="8">
        <v>25000</v>
      </c>
      <c r="I1767" s="30">
        <f t="shared" si="1866"/>
        <v>8000</v>
      </c>
      <c r="J1767" s="8">
        <v>25000</v>
      </c>
      <c r="K1767" s="30">
        <f t="shared" si="1867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VLOOKUP(VLOOKUP(DATEVALUE(TEXT(A1767,"m/d/yyyy")),FY24_Temp[],5,FALSE)&amp;TEXT(A1767,"-h"),Table6[],4,FALSE)</f>
        <v>1.1327142715454102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VLOOKUP(TEXT(A1767,"yy-mm")&amp;"-"&amp;IF(AND(WEEKDAY(A1767)&gt;1,WEEKDAY(A1767)&lt;7),"Wkd",TEXT(A1767,"Ddd"))&amp;"-"&amp;TEXT(A1767,"hh"),LoadTable[],5,FALSE)*0.92</f>
        <v>237.25788000000003</v>
      </c>
      <c r="U1767" s="104">
        <f>VLOOKUP(TEXT(A1767,"yy-mm")&amp;"-"&amp;IF(AND(WEEKDAY(A1767)&gt;1,WEEKDAY(A1767)&lt;7),"Wkd",TEXT(A1767,"Ddd"))&amp;"-"&amp;TEXT(A1767,"hh"),LoadTable[],6,FALSE)*T1767</f>
        <v>10962.974861160001</v>
      </c>
      <c r="V1767">
        <f t="shared" ref="V1767:W1767" si="1879">V1743</f>
        <v>3.1</v>
      </c>
      <c r="W1767">
        <f t="shared" si="1879"/>
        <v>2.9</v>
      </c>
      <c r="X1767" s="9">
        <v>-76.671028066667006</v>
      </c>
    </row>
    <row r="1768" spans="1:24">
      <c r="A1768" s="29">
        <f t="shared" si="1840"/>
        <v>45909.541666662386</v>
      </c>
      <c r="B1768" s="30">
        <f t="shared" si="1864"/>
        <v>8000</v>
      </c>
      <c r="C1768" s="8">
        <v>25000</v>
      </c>
      <c r="D1768" s="8">
        <v>0</v>
      </c>
      <c r="E1768" s="8">
        <v>700</v>
      </c>
      <c r="F1768" s="8">
        <v>15000</v>
      </c>
      <c r="G1768" s="30">
        <f t="shared" si="1865"/>
        <v>2400</v>
      </c>
      <c r="H1768" s="8">
        <v>25000</v>
      </c>
      <c r="I1768" s="30">
        <f t="shared" si="1866"/>
        <v>8000</v>
      </c>
      <c r="J1768" s="8">
        <v>25000</v>
      </c>
      <c r="K1768" s="30">
        <f t="shared" si="1867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VLOOKUP(VLOOKUP(DATEVALUE(TEXT(A1768,"m/d/yyyy")),FY24_Temp[],5,FALSE)&amp;TEXT(A1768,"-h"),Table6[],4,FALSE)</f>
        <v>0.98357141869408748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VLOOKUP(TEXT(A1768,"yy-mm")&amp;"-"&amp;IF(AND(WEEKDAY(A1768)&gt;1,WEEKDAY(A1768)&lt;7),"Wkd",TEXT(A1768,"Ddd"))&amp;"-"&amp;TEXT(A1768,"hh"),LoadTable[],5,FALSE)*0.92</f>
        <v>237.25788000000003</v>
      </c>
      <c r="U1768" s="104">
        <f>VLOOKUP(TEXT(A1768,"yy-mm")&amp;"-"&amp;IF(AND(WEEKDAY(A1768)&gt;1,WEEKDAY(A1768)&lt;7),"Wkd",TEXT(A1768,"Ddd"))&amp;"-"&amp;TEXT(A1768,"hh"),LoadTable[],6,FALSE)*T1768</f>
        <v>10978.39662336</v>
      </c>
      <c r="V1768">
        <f t="shared" ref="V1768:W1768" si="1880">V1744</f>
        <v>3.2</v>
      </c>
      <c r="W1768">
        <f t="shared" si="1880"/>
        <v>2.9</v>
      </c>
      <c r="X1768" s="9">
        <v>-76.748822616666999</v>
      </c>
    </row>
    <row r="1769" spans="1:24">
      <c r="A1769" s="29">
        <f t="shared" si="1840"/>
        <v>45909.58333332905</v>
      </c>
      <c r="B1769" s="30">
        <f t="shared" si="1864"/>
        <v>8000</v>
      </c>
      <c r="C1769" s="8">
        <v>25000</v>
      </c>
      <c r="D1769" s="8">
        <v>0</v>
      </c>
      <c r="E1769" s="8">
        <v>700</v>
      </c>
      <c r="F1769" s="8">
        <v>15000</v>
      </c>
      <c r="G1769" s="30">
        <f t="shared" si="1865"/>
        <v>2400</v>
      </c>
      <c r="H1769" s="8">
        <v>25000</v>
      </c>
      <c r="I1769" s="30">
        <f t="shared" si="1866"/>
        <v>8000</v>
      </c>
      <c r="J1769" s="8">
        <v>25000</v>
      </c>
      <c r="K1769" s="30">
        <f t="shared" si="1867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VLOOKUP(VLOOKUP(DATEVALUE(TEXT(A1769,"m/d/yyyy")),FY24_Temp[],5,FALSE)&amp;TEXT(A1769,"-h"),Table6[],4,FALSE)</f>
        <v>0.86971429416111534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VLOOKUP(TEXT(A1769,"yy-mm")&amp;"-"&amp;IF(AND(WEEKDAY(A1769)&gt;1,WEEKDAY(A1769)&lt;7),"Wkd",TEXT(A1769,"Ddd"))&amp;"-"&amp;TEXT(A1769,"hh"),LoadTable[],5,FALSE)*0.92</f>
        <v>269.75136000000003</v>
      </c>
      <c r="U1769" s="104">
        <f>VLOOKUP(TEXT(A1769,"yy-mm")&amp;"-"&amp;IF(AND(WEEKDAY(A1769)&gt;1,WEEKDAY(A1769)&lt;7),"Wkd",TEXT(A1769,"Ddd"))&amp;"-"&amp;TEXT(A1769,"hh"),LoadTable[],6,FALSE)*T1769</f>
        <v>12503.245287360001</v>
      </c>
      <c r="V1769">
        <f t="shared" ref="V1769:W1769" si="1881">V1745</f>
        <v>3.5</v>
      </c>
      <c r="W1769">
        <f t="shared" si="1881"/>
        <v>2.9</v>
      </c>
      <c r="X1769" s="9">
        <v>-76.826617166667006</v>
      </c>
    </row>
    <row r="1770" spans="1:24">
      <c r="A1770" s="29">
        <f t="shared" si="1840"/>
        <v>45909.624999995714</v>
      </c>
      <c r="B1770" s="30">
        <f t="shared" si="1864"/>
        <v>8000</v>
      </c>
      <c r="C1770" s="8">
        <v>25000</v>
      </c>
      <c r="D1770" s="8">
        <v>0</v>
      </c>
      <c r="E1770" s="8">
        <v>700</v>
      </c>
      <c r="F1770" s="8">
        <v>15000</v>
      </c>
      <c r="G1770" s="30">
        <f t="shared" si="1865"/>
        <v>2400</v>
      </c>
      <c r="H1770" s="8">
        <v>25000</v>
      </c>
      <c r="I1770" s="30">
        <f t="shared" si="1866"/>
        <v>8000</v>
      </c>
      <c r="J1770" s="8">
        <v>25000</v>
      </c>
      <c r="K1770" s="30">
        <f t="shared" si="1867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VLOOKUP(VLOOKUP(DATEVALUE(TEXT(A1770,"m/d/yyyy")),FY24_Temp[],5,FALSE)&amp;TEXT(A1770,"-h"),Table6[],4,FALSE)</f>
        <v>0.90028570379529682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VLOOKUP(TEXT(A1770,"yy-mm")&amp;"-"&amp;IF(AND(WEEKDAY(A1770)&gt;1,WEEKDAY(A1770)&lt;7),"Wkd",TEXT(A1770,"Ddd"))&amp;"-"&amp;TEXT(A1770,"hh"),LoadTable[],5,FALSE)*0.92</f>
        <v>388.38076000000001</v>
      </c>
      <c r="U1770" s="104">
        <f>VLOOKUP(TEXT(A1770,"yy-mm")&amp;"-"&amp;IF(AND(WEEKDAY(A1770)&gt;1,WEEKDAY(A1770)&lt;7),"Wkd",TEXT(A1770,"Ddd"))&amp;"-"&amp;TEXT(A1770,"hh"),LoadTable[],6,FALSE)*T1770</f>
        <v>19705.663000880002</v>
      </c>
      <c r="V1770">
        <f t="shared" ref="V1770:W1770" si="1882">V1746</f>
        <v>3.2</v>
      </c>
      <c r="W1770">
        <f t="shared" si="1882"/>
        <v>2.9</v>
      </c>
      <c r="X1770" s="9">
        <v>-76.904411716666999</v>
      </c>
    </row>
    <row r="1771" spans="1:24">
      <c r="A1771" s="29">
        <f t="shared" si="1840"/>
        <v>45909.666666662379</v>
      </c>
      <c r="B1771" s="30">
        <f t="shared" si="1864"/>
        <v>8000</v>
      </c>
      <c r="C1771" s="8">
        <v>25000</v>
      </c>
      <c r="D1771" s="8">
        <v>0</v>
      </c>
      <c r="E1771" s="8">
        <v>700</v>
      </c>
      <c r="F1771" s="8">
        <v>15000</v>
      </c>
      <c r="G1771" s="30">
        <f t="shared" si="1865"/>
        <v>2400</v>
      </c>
      <c r="H1771" s="8">
        <v>25000</v>
      </c>
      <c r="I1771" s="30">
        <f t="shared" si="1866"/>
        <v>8000</v>
      </c>
      <c r="J1771" s="8">
        <v>25000</v>
      </c>
      <c r="K1771" s="30">
        <f t="shared" si="1867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VLOOKUP(VLOOKUP(DATEVALUE(TEXT(A1771,"m/d/yyyy")),FY24_Temp[],5,FALSE)&amp;TEXT(A1771,"-h"),Table6[],4,FALSE)</f>
        <v>1.2158571481704712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VLOOKUP(TEXT(A1771,"yy-mm")&amp;"-"&amp;IF(AND(WEEKDAY(A1771)&gt;1,WEEKDAY(A1771)&lt;7),"Wkd",TEXT(A1771,"Ddd"))&amp;"-"&amp;TEXT(A1771,"hh"),LoadTable[],5,FALSE)*0.92</f>
        <v>388.38076000000001</v>
      </c>
      <c r="U1771" s="104">
        <f>VLOOKUP(TEXT(A1771,"yy-mm")&amp;"-"&amp;IF(AND(WEEKDAY(A1771)&gt;1,WEEKDAY(A1771)&lt;7),"Wkd",TEXT(A1771,"Ddd"))&amp;"-"&amp;TEXT(A1771,"hh"),LoadTable[],6,FALSE)*T1771</f>
        <v>23675.6911296</v>
      </c>
      <c r="V1771">
        <f t="shared" ref="V1771:W1771" si="1883">V1747</f>
        <v>3.5</v>
      </c>
      <c r="W1771">
        <f t="shared" si="1883"/>
        <v>3</v>
      </c>
      <c r="X1771" s="9">
        <v>-76.982206266667006</v>
      </c>
    </row>
    <row r="1772" spans="1:24">
      <c r="A1772" s="29">
        <f t="shared" si="1840"/>
        <v>45909.708333329043</v>
      </c>
      <c r="B1772" s="30">
        <f t="shared" si="1864"/>
        <v>8000</v>
      </c>
      <c r="C1772" s="8">
        <v>25000</v>
      </c>
      <c r="D1772" s="8">
        <v>0</v>
      </c>
      <c r="E1772" s="8">
        <v>700</v>
      </c>
      <c r="F1772" s="8">
        <v>15000</v>
      </c>
      <c r="G1772" s="30">
        <f t="shared" si="1865"/>
        <v>2400</v>
      </c>
      <c r="H1772" s="8">
        <v>25000</v>
      </c>
      <c r="I1772" s="30">
        <f t="shared" si="1866"/>
        <v>8000</v>
      </c>
      <c r="J1772" s="8">
        <v>25000</v>
      </c>
      <c r="K1772" s="30">
        <f t="shared" si="1867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VLOOKUP(VLOOKUP(DATEVALUE(TEXT(A1772,"m/d/yyyy")),FY24_Temp[],5,FALSE)&amp;TEXT(A1772,"-h"),Table6[],4,FALSE)</f>
        <v>1.6385714156287057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VLOOKUP(TEXT(A1772,"yy-mm")&amp;"-"&amp;IF(AND(WEEKDAY(A1772)&gt;1,WEEKDAY(A1772)&lt;7),"Wkd",TEXT(A1772,"Ddd"))&amp;"-"&amp;TEXT(A1772,"hh"),LoadTable[],5,FALSE)*0.92</f>
        <v>388.38076000000001</v>
      </c>
      <c r="U1772" s="104">
        <f>VLOOKUP(TEXT(A1772,"yy-mm")&amp;"-"&amp;IF(AND(WEEKDAY(A1772)&gt;1,WEEKDAY(A1772)&lt;7),"Wkd",TEXT(A1772,"Ddd"))&amp;"-"&amp;TEXT(A1772,"hh"),LoadTable[],6,FALSE)*T1772</f>
        <v>31454.180990880002</v>
      </c>
      <c r="V1772">
        <f t="shared" ref="V1772:W1772" si="1884">V1748</f>
        <v>3.6</v>
      </c>
      <c r="W1772">
        <f t="shared" si="1884"/>
        <v>3</v>
      </c>
      <c r="X1772" s="9">
        <v>-77.060000816666999</v>
      </c>
    </row>
    <row r="1773" spans="1:24">
      <c r="A1773" s="29">
        <f t="shared" si="1840"/>
        <v>45909.749999995707</v>
      </c>
      <c r="B1773" s="30">
        <f t="shared" si="1864"/>
        <v>5000</v>
      </c>
      <c r="C1773" s="8">
        <v>25000</v>
      </c>
      <c r="D1773" s="8">
        <v>0</v>
      </c>
      <c r="E1773" s="8">
        <v>700</v>
      </c>
      <c r="F1773" s="8">
        <v>15000</v>
      </c>
      <c r="G1773" s="30">
        <f t="shared" si="1865"/>
        <v>2400</v>
      </c>
      <c r="H1773" s="8">
        <v>25000</v>
      </c>
      <c r="I1773" s="30">
        <f t="shared" si="1866"/>
        <v>5000</v>
      </c>
      <c r="J1773" s="8">
        <v>25000</v>
      </c>
      <c r="K1773" s="30">
        <f t="shared" si="1867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VLOOKUP(VLOOKUP(DATEVALUE(TEXT(A1773,"m/d/yyyy")),FY24_Temp[],5,FALSE)&amp;TEXT(A1773,"-h"),Table6[],4,FALSE)</f>
        <v>2.1335714374269759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VLOOKUP(TEXT(A1773,"yy-mm")&amp;"-"&amp;IF(AND(WEEKDAY(A1773)&gt;1,WEEKDAY(A1773)&lt;7),"Wkd",TEXT(A1773,"Ddd"))&amp;"-"&amp;TEXT(A1773,"hh"),LoadTable[],5,FALSE)*0.92</f>
        <v>388.38076000000001</v>
      </c>
      <c r="U1773" s="104">
        <f>VLOOKUP(TEXT(A1773,"yy-mm")&amp;"-"&amp;IF(AND(WEEKDAY(A1773)&gt;1,WEEKDAY(A1773)&lt;7),"Wkd",TEXT(A1773,"Ddd"))&amp;"-"&amp;TEXT(A1773,"hh"),LoadTable[],6,FALSE)*T1773</f>
        <v>38316.869020080005</v>
      </c>
      <c r="V1773">
        <f t="shared" ref="V1773:W1773" si="1885">V1749</f>
        <v>2.9</v>
      </c>
      <c r="W1773">
        <f t="shared" si="1885"/>
        <v>3</v>
      </c>
      <c r="X1773" s="9">
        <v>-77.137795366667007</v>
      </c>
    </row>
    <row r="1774" spans="1:24">
      <c r="A1774" s="29">
        <f t="shared" si="1840"/>
        <v>45909.791666662371</v>
      </c>
      <c r="B1774" s="30">
        <f t="shared" si="1864"/>
        <v>5000</v>
      </c>
      <c r="C1774" s="8">
        <v>25000</v>
      </c>
      <c r="D1774" s="8">
        <v>0</v>
      </c>
      <c r="E1774" s="8">
        <v>700</v>
      </c>
      <c r="F1774" s="8">
        <v>15000</v>
      </c>
      <c r="G1774" s="30">
        <f t="shared" si="1865"/>
        <v>2400</v>
      </c>
      <c r="H1774" s="8">
        <v>25000</v>
      </c>
      <c r="I1774" s="30">
        <f t="shared" si="1866"/>
        <v>5000</v>
      </c>
      <c r="J1774" s="8">
        <v>25000</v>
      </c>
      <c r="K1774" s="30">
        <f t="shared" si="1867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VLOOKUP(VLOOKUP(DATEVALUE(TEXT(A1774,"m/d/yyyy")),FY24_Temp[],5,FALSE)&amp;TEXT(A1774,"-h"),Table6[],4,FALSE)</f>
        <v>2.4782857213701521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VLOOKUP(TEXT(A1774,"yy-mm")&amp;"-"&amp;IF(AND(WEEKDAY(A1774)&gt;1,WEEKDAY(A1774)&lt;7),"Wkd",TEXT(A1774,"Ddd"))&amp;"-"&amp;TEXT(A1774,"hh"),LoadTable[],5,FALSE)*0.92</f>
        <v>388.38076000000001</v>
      </c>
      <c r="U1774" s="104">
        <f>VLOOKUP(TEXT(A1774,"yy-mm")&amp;"-"&amp;IF(AND(WEEKDAY(A1774)&gt;1,WEEKDAY(A1774)&lt;7),"Wkd",TEXT(A1774,"Ddd"))&amp;"-"&amp;TEXT(A1774,"hh"),LoadTable[],6,FALSE)*T1774</f>
        <v>41132.241149319998</v>
      </c>
      <c r="V1774">
        <f t="shared" ref="V1774:W1774" si="1886">V1750</f>
        <v>3</v>
      </c>
      <c r="W1774">
        <f t="shared" si="1886"/>
        <v>3</v>
      </c>
      <c r="X1774" s="9">
        <v>-77.215589916667</v>
      </c>
    </row>
    <row r="1775" spans="1:24">
      <c r="A1775" s="29">
        <f t="shared" si="1840"/>
        <v>45909.833333329036</v>
      </c>
      <c r="B1775" s="30">
        <f t="shared" si="1864"/>
        <v>5000</v>
      </c>
      <c r="C1775" s="8">
        <v>25000</v>
      </c>
      <c r="D1775" s="8">
        <v>0</v>
      </c>
      <c r="E1775" s="8">
        <v>700</v>
      </c>
      <c r="F1775" s="8">
        <v>15000</v>
      </c>
      <c r="G1775" s="30">
        <f t="shared" si="1865"/>
        <v>2400</v>
      </c>
      <c r="H1775" s="8">
        <v>25000</v>
      </c>
      <c r="I1775" s="30">
        <f t="shared" si="1866"/>
        <v>5000</v>
      </c>
      <c r="J1775" s="8">
        <v>25000</v>
      </c>
      <c r="K1775" s="30">
        <f t="shared" si="1867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VLOOKUP(VLOOKUP(DATEVALUE(TEXT(A1775,"m/d/yyyy")),FY24_Temp[],5,FALSE)&amp;TEXT(A1775,"-h"),Table6[],4,FALSE)</f>
        <v>2.6718571526663646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VLOOKUP(TEXT(A1775,"yy-mm")&amp;"-"&amp;IF(AND(WEEKDAY(A1775)&gt;1,WEEKDAY(A1775)&lt;7),"Wkd",TEXT(A1775,"Ddd"))&amp;"-"&amp;TEXT(A1775,"hh"),LoadTable[],5,FALSE)*0.92</f>
        <v>388.38076000000001</v>
      </c>
      <c r="U1775" s="104">
        <f>VLOOKUP(TEXT(A1775,"yy-mm")&amp;"-"&amp;IF(AND(WEEKDAY(A1775)&gt;1,WEEKDAY(A1775)&lt;7),"Wkd",TEXT(A1775,"Ddd"))&amp;"-"&amp;TEXT(A1775,"hh"),LoadTable[],6,FALSE)*T1775</f>
        <v>36274.762984000001</v>
      </c>
      <c r="V1775">
        <f t="shared" ref="V1775:W1775" si="1887">V1751</f>
        <v>2.8</v>
      </c>
      <c r="W1775">
        <f t="shared" si="1887"/>
        <v>3.1</v>
      </c>
      <c r="X1775" s="9">
        <v>-77.293384466667007</v>
      </c>
    </row>
    <row r="1776" spans="1:24">
      <c r="A1776" s="29">
        <f t="shared" si="1840"/>
        <v>45909.8749999957</v>
      </c>
      <c r="B1776" s="30">
        <f t="shared" si="1864"/>
        <v>5000</v>
      </c>
      <c r="C1776" s="8">
        <v>25000</v>
      </c>
      <c r="D1776" s="8">
        <v>0</v>
      </c>
      <c r="E1776" s="8">
        <v>700</v>
      </c>
      <c r="F1776" s="8">
        <v>15000</v>
      </c>
      <c r="G1776" s="30">
        <f t="shared" si="1865"/>
        <v>2400</v>
      </c>
      <c r="H1776" s="8">
        <v>25000</v>
      </c>
      <c r="I1776" s="30">
        <f t="shared" si="1866"/>
        <v>5000</v>
      </c>
      <c r="J1776" s="8">
        <v>25000</v>
      </c>
      <c r="K1776" s="30">
        <f t="shared" si="1867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VLOOKUP(VLOOKUP(DATEVALUE(TEXT(A1776,"m/d/yyyy")),FY24_Temp[],5,FALSE)&amp;TEXT(A1776,"-h"),Table6[],4,FALSE)</f>
        <v>2.730428559439523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VLOOKUP(TEXT(A1776,"yy-mm")&amp;"-"&amp;IF(AND(WEEKDAY(A1776)&gt;1,WEEKDAY(A1776)&lt;7),"Wkd",TEXT(A1776,"Ddd"))&amp;"-"&amp;TEXT(A1776,"hh"),LoadTable[],5,FALSE)*0.92</f>
        <v>373.79416000000003</v>
      </c>
      <c r="U1776" s="104">
        <f>VLOOKUP(TEXT(A1776,"yy-mm")&amp;"-"&amp;IF(AND(WEEKDAY(A1776)&gt;1,WEEKDAY(A1776)&lt;7),"Wkd",TEXT(A1776,"Ddd"))&amp;"-"&amp;TEXT(A1776,"hh"),LoadTable[],6,FALSE)*T1776</f>
        <v>31749.328362080003</v>
      </c>
      <c r="V1776">
        <f t="shared" ref="V1776:W1776" si="1888">V1752</f>
        <v>3.5</v>
      </c>
      <c r="W1776">
        <f t="shared" si="1888"/>
        <v>3.1</v>
      </c>
      <c r="X1776" s="9">
        <v>-77.371179016667</v>
      </c>
    </row>
    <row r="1777" spans="1:24">
      <c r="A1777" s="29">
        <f t="shared" si="1840"/>
        <v>45909.916666662364</v>
      </c>
      <c r="B1777" s="30">
        <f t="shared" si="1864"/>
        <v>5000</v>
      </c>
      <c r="C1777" s="8">
        <v>25000</v>
      </c>
      <c r="D1777" s="8">
        <v>0</v>
      </c>
      <c r="E1777" s="8">
        <v>700</v>
      </c>
      <c r="F1777" s="8">
        <v>15000</v>
      </c>
      <c r="G1777" s="30">
        <f t="shared" si="1865"/>
        <v>2400</v>
      </c>
      <c r="H1777" s="8">
        <v>25000</v>
      </c>
      <c r="I1777" s="30">
        <f t="shared" si="1866"/>
        <v>5000</v>
      </c>
      <c r="J1777" s="8">
        <v>25000</v>
      </c>
      <c r="K1777" s="30">
        <f t="shared" si="1867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VLOOKUP(VLOOKUP(DATEVALUE(TEXT(A1777,"m/d/yyyy")),FY24_Temp[],5,FALSE)&amp;TEXT(A1777,"-h"),Table6[],4,FALSE)</f>
        <v>2.702714272907802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VLOOKUP(TEXT(A1777,"yy-mm")&amp;"-"&amp;IF(AND(WEEKDAY(A1777)&gt;1,WEEKDAY(A1777)&lt;7),"Wkd",TEXT(A1777,"Ddd"))&amp;"-"&amp;TEXT(A1777,"hh"),LoadTable[],5,FALSE)*0.92</f>
        <v>299.65044</v>
      </c>
      <c r="U1777" s="104">
        <f>VLOOKUP(TEXT(A1777,"yy-mm")&amp;"-"&amp;IF(AND(WEEKDAY(A1777)&gt;1,WEEKDAY(A1777)&lt;7),"Wkd",TEXT(A1777,"Ddd"))&amp;"-"&amp;TEXT(A1777,"hh"),LoadTable[],6,FALSE)*T1777</f>
        <v>15023.87376072</v>
      </c>
      <c r="V1777">
        <f t="shared" ref="V1777:W1777" si="1889">V1753</f>
        <v>2.9</v>
      </c>
      <c r="W1777">
        <f t="shared" si="1889"/>
        <v>3.1</v>
      </c>
      <c r="X1777" s="9">
        <v>-77.448973566666993</v>
      </c>
    </row>
    <row r="1778" spans="1:24">
      <c r="A1778" s="29">
        <f t="shared" si="1840"/>
        <v>45909.958333329028</v>
      </c>
      <c r="B1778" s="30">
        <f t="shared" si="1864"/>
        <v>5000</v>
      </c>
      <c r="C1778" s="8">
        <v>25000</v>
      </c>
      <c r="D1778" s="8">
        <v>0</v>
      </c>
      <c r="E1778" s="8">
        <v>700</v>
      </c>
      <c r="F1778" s="8">
        <v>15000</v>
      </c>
      <c r="G1778" s="30">
        <f t="shared" si="1865"/>
        <v>2400</v>
      </c>
      <c r="H1778" s="8">
        <v>25000</v>
      </c>
      <c r="I1778" s="30">
        <f t="shared" si="1866"/>
        <v>5000</v>
      </c>
      <c r="J1778" s="8">
        <v>25000</v>
      </c>
      <c r="K1778" s="30">
        <f t="shared" si="1867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VLOOKUP(VLOOKUP(DATEVALUE(TEXT(A1778,"m/d/yyyy")),FY24_Temp[],5,FALSE)&amp;TEXT(A1778,"-h"),Table6[],4,FALSE)</f>
        <v>2.7027143069675992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VLOOKUP(TEXT(A1778,"yy-mm")&amp;"-"&amp;IF(AND(WEEKDAY(A1778)&gt;1,WEEKDAY(A1778)&lt;7),"Wkd",TEXT(A1778,"Ddd"))&amp;"-"&amp;TEXT(A1778,"hh"),LoadTable[],5,FALSE)*0.92</f>
        <v>237.25788000000003</v>
      </c>
      <c r="U1778" s="104">
        <f>VLOOKUP(TEXT(A1778,"yy-mm")&amp;"-"&amp;IF(AND(WEEKDAY(A1778)&gt;1,WEEKDAY(A1778)&lt;7),"Wkd",TEXT(A1778,"Ddd"))&amp;"-"&amp;TEXT(A1778,"hh"),LoadTable[],6,FALSE)*T1778</f>
        <v>11687.323168800001</v>
      </c>
      <c r="V1778">
        <f t="shared" ref="V1778:W1778" si="1890">V1754</f>
        <v>3.6</v>
      </c>
      <c r="W1778">
        <f t="shared" si="1890"/>
        <v>3.1</v>
      </c>
      <c r="X1778" s="9">
        <v>-77.526768116667</v>
      </c>
    </row>
    <row r="1779" spans="1:24">
      <c r="A1779" s="29">
        <f t="shared" si="1840"/>
        <v>45909.999999995693</v>
      </c>
      <c r="B1779" s="30">
        <f t="shared" si="1864"/>
        <v>5000</v>
      </c>
      <c r="C1779" s="8">
        <v>25000</v>
      </c>
      <c r="D1779" s="8">
        <v>0</v>
      </c>
      <c r="E1779" s="8">
        <v>700</v>
      </c>
      <c r="F1779" s="8">
        <v>15000</v>
      </c>
      <c r="G1779" s="30">
        <f t="shared" si="1865"/>
        <v>2400</v>
      </c>
      <c r="H1779" s="8">
        <v>25000</v>
      </c>
      <c r="I1779" s="30">
        <f t="shared" si="1866"/>
        <v>5000</v>
      </c>
      <c r="J1779" s="8">
        <v>25000</v>
      </c>
      <c r="K1779" s="30">
        <f t="shared" si="1867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VLOOKUP(VLOOKUP(DATEVALUE(TEXT(A1779,"m/d/yyyy")),FY24_Temp[],5,FALSE)&amp;TEXT(A1779,"-h"),Table6[],4,FALSE)</f>
        <v>2.6951428822108676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VLOOKUP(TEXT(A1779,"yy-mm")&amp;"-"&amp;IF(AND(WEEKDAY(A1779)&gt;1,WEEKDAY(A1779)&lt;7),"Wkd",TEXT(A1779,"Ddd"))&amp;"-"&amp;TEXT(A1779,"hh"),LoadTable[],5,FALSE)*0.92</f>
        <v>237.25788000000003</v>
      </c>
      <c r="U1779" s="104">
        <f>VLOOKUP(TEXT(A1779,"yy-mm")&amp;"-"&amp;IF(AND(WEEKDAY(A1779)&gt;1,WEEKDAY(A1779)&lt;7),"Wkd",TEXT(A1779,"Ddd"))&amp;"-"&amp;TEXT(A1779,"hh"),LoadTable[],6,FALSE)*T1779</f>
        <v>12215.696467560001</v>
      </c>
      <c r="V1779">
        <f t="shared" ref="V1779:W1779" si="1891">V1755</f>
        <v>3</v>
      </c>
      <c r="W1779">
        <f t="shared" si="1891"/>
        <v>3.2</v>
      </c>
      <c r="X1779" s="9">
        <v>-77.604562666667107</v>
      </c>
    </row>
    <row r="1780" spans="1:24">
      <c r="A1780" s="29">
        <f t="shared" si="1840"/>
        <v>45910.041666662357</v>
      </c>
      <c r="B1780" s="30">
        <f t="shared" si="1864"/>
        <v>5000</v>
      </c>
      <c r="C1780" s="8">
        <v>25000</v>
      </c>
      <c r="D1780" s="8">
        <v>0</v>
      </c>
      <c r="E1780" s="8">
        <v>700</v>
      </c>
      <c r="F1780" s="8">
        <v>15000</v>
      </c>
      <c r="G1780" s="30">
        <f t="shared" si="1865"/>
        <v>2400</v>
      </c>
      <c r="H1780" s="8">
        <v>25000</v>
      </c>
      <c r="I1780" s="30">
        <f t="shared" si="1866"/>
        <v>5000</v>
      </c>
      <c r="J1780" s="8">
        <v>25000</v>
      </c>
      <c r="K1780" s="30">
        <f t="shared" si="1867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VLOOKUP(VLOOKUP(DATEVALUE(TEXT(A1780,"m/d/yyyy")),FY24_Temp[],5,FALSE)&amp;TEXT(A1780,"-h"),Table6[],4,FALSE)</f>
        <v>2.6332857268197194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VLOOKUP(TEXT(A1780,"yy-mm")&amp;"-"&amp;IF(AND(WEEKDAY(A1780)&gt;1,WEEKDAY(A1780)&lt;7),"Wkd",TEXT(A1780,"Ddd"))&amp;"-"&amp;TEXT(A1780,"hh"),LoadTable[],5,FALSE)*0.92</f>
        <v>237.25788000000003</v>
      </c>
      <c r="U1780" s="104">
        <f>VLOOKUP(TEXT(A1780,"yy-mm")&amp;"-"&amp;IF(AND(WEEKDAY(A1780)&gt;1,WEEKDAY(A1780)&lt;7),"Wkd",TEXT(A1780,"Ddd"))&amp;"-"&amp;TEXT(A1780,"hh"),LoadTable[],6,FALSE)*T1780</f>
        <v>11905.12590264</v>
      </c>
      <c r="V1780">
        <f t="shared" ref="V1780:W1780" si="1892">V1756</f>
        <v>2.6</v>
      </c>
      <c r="W1780">
        <f t="shared" si="1892"/>
        <v>3.2</v>
      </c>
      <c r="X1780" s="9">
        <v>-77.6823572166671</v>
      </c>
    </row>
    <row r="1781" spans="1:24">
      <c r="A1781" s="29">
        <f t="shared" si="1840"/>
        <v>45910.083333329021</v>
      </c>
      <c r="B1781" s="30">
        <f t="shared" si="1864"/>
        <v>5000</v>
      </c>
      <c r="C1781" s="8">
        <v>25000</v>
      </c>
      <c r="D1781" s="8">
        <v>0</v>
      </c>
      <c r="E1781" s="8">
        <v>700</v>
      </c>
      <c r="F1781" s="8">
        <v>15000</v>
      </c>
      <c r="G1781" s="30">
        <f t="shared" si="1865"/>
        <v>2400</v>
      </c>
      <c r="H1781" s="8">
        <v>25000</v>
      </c>
      <c r="I1781" s="30">
        <f t="shared" si="1866"/>
        <v>5000</v>
      </c>
      <c r="J1781" s="8">
        <v>25000</v>
      </c>
      <c r="K1781" s="30">
        <f t="shared" si="1867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VLOOKUP(VLOOKUP(DATEVALUE(TEXT(A1781,"m/d/yyyy")),FY24_Temp[],5,FALSE)&amp;TEXT(A1781,"-h"),Table6[],4,FALSE)</f>
        <v>2.5004285403660367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VLOOKUP(TEXT(A1781,"yy-mm")&amp;"-"&amp;IF(AND(WEEKDAY(A1781)&gt;1,WEEKDAY(A1781)&lt;7),"Wkd",TEXT(A1781,"Ddd"))&amp;"-"&amp;TEXT(A1781,"hh"),LoadTable[],5,FALSE)*0.92</f>
        <v>237.25788000000003</v>
      </c>
      <c r="U1781" s="104">
        <f>VLOOKUP(TEXT(A1781,"yy-mm")&amp;"-"&amp;IF(AND(WEEKDAY(A1781)&gt;1,WEEKDAY(A1781)&lt;7),"Wkd",TEXT(A1781,"Ddd"))&amp;"-"&amp;TEXT(A1781,"hh"),LoadTable[],6,FALSE)*T1781</f>
        <v>11856.013521480001</v>
      </c>
      <c r="V1781">
        <f t="shared" ref="V1781:W1781" si="1893">V1757</f>
        <v>2.8</v>
      </c>
      <c r="W1781">
        <f t="shared" si="1893"/>
        <v>3.2</v>
      </c>
      <c r="X1781" s="9">
        <v>-77.760151766667093</v>
      </c>
    </row>
    <row r="1782" spans="1:24">
      <c r="A1782" s="29">
        <f t="shared" si="1840"/>
        <v>45910.124999995685</v>
      </c>
      <c r="B1782" s="30">
        <f t="shared" si="1864"/>
        <v>5000</v>
      </c>
      <c r="C1782" s="8">
        <v>25000</v>
      </c>
      <c r="D1782" s="8">
        <v>0</v>
      </c>
      <c r="E1782" s="8">
        <v>700</v>
      </c>
      <c r="F1782" s="8">
        <v>15000</v>
      </c>
      <c r="G1782" s="30">
        <f t="shared" si="1865"/>
        <v>2400</v>
      </c>
      <c r="H1782" s="8">
        <v>25000</v>
      </c>
      <c r="I1782" s="30">
        <f t="shared" si="1866"/>
        <v>5000</v>
      </c>
      <c r="J1782" s="8">
        <v>25000</v>
      </c>
      <c r="K1782" s="30">
        <f t="shared" si="1867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VLOOKUP(VLOOKUP(DATEVALUE(TEXT(A1782,"m/d/yyyy")),FY24_Temp[],5,FALSE)&amp;TEXT(A1782,"-h"),Table6[],4,FALSE)</f>
        <v>2.3495714323861256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VLOOKUP(TEXT(A1782,"yy-mm")&amp;"-"&amp;IF(AND(WEEKDAY(A1782)&gt;1,WEEKDAY(A1782)&lt;7),"Wkd",TEXT(A1782,"Ddd"))&amp;"-"&amp;TEXT(A1782,"hh"),LoadTable[],5,FALSE)*0.92</f>
        <v>237.25788000000003</v>
      </c>
      <c r="U1782" s="104">
        <f>VLOOKUP(TEXT(A1782,"yy-mm")&amp;"-"&amp;IF(AND(WEEKDAY(A1782)&gt;1,WEEKDAY(A1782)&lt;7),"Wkd",TEXT(A1782,"Ddd"))&amp;"-"&amp;TEXT(A1782,"hh"),LoadTable[],6,FALSE)*T1782</f>
        <v>11893.025750760002</v>
      </c>
      <c r="V1782">
        <f t="shared" ref="V1782:W1782" si="1894">V1758</f>
        <v>2.7</v>
      </c>
      <c r="W1782">
        <f t="shared" si="1894"/>
        <v>3.2</v>
      </c>
      <c r="X1782" s="9">
        <v>-77.8379463166671</v>
      </c>
    </row>
    <row r="1783" spans="1:24">
      <c r="A1783" s="29">
        <f t="shared" si="1840"/>
        <v>45910.16666666235</v>
      </c>
      <c r="B1783" s="30">
        <f t="shared" si="1864"/>
        <v>5000</v>
      </c>
      <c r="C1783" s="8">
        <v>25000</v>
      </c>
      <c r="D1783" s="8">
        <v>0</v>
      </c>
      <c r="E1783" s="8">
        <v>700</v>
      </c>
      <c r="F1783" s="8">
        <v>15000</v>
      </c>
      <c r="G1783" s="30">
        <f t="shared" si="1865"/>
        <v>2400</v>
      </c>
      <c r="H1783" s="8">
        <v>25000</v>
      </c>
      <c r="I1783" s="30">
        <f t="shared" si="1866"/>
        <v>5000</v>
      </c>
      <c r="J1783" s="8">
        <v>25000</v>
      </c>
      <c r="K1783" s="30">
        <f t="shared" si="1867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VLOOKUP(VLOOKUP(DATEVALUE(TEXT(A1783,"m/d/yyyy")),FY24_Temp[],5,FALSE)&amp;TEXT(A1783,"-h"),Table6[],4,FALSE)</f>
        <v>2.1924285548073903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VLOOKUP(TEXT(A1783,"yy-mm")&amp;"-"&amp;IF(AND(WEEKDAY(A1783)&gt;1,WEEKDAY(A1783)&lt;7),"Wkd",TEXT(A1783,"Ddd"))&amp;"-"&amp;TEXT(A1783,"hh"),LoadTable[],5,FALSE)*0.92</f>
        <v>237.25788000000003</v>
      </c>
      <c r="U1783" s="104">
        <f>VLOOKUP(TEXT(A1783,"yy-mm")&amp;"-"&amp;IF(AND(WEEKDAY(A1783)&gt;1,WEEKDAY(A1783)&lt;7),"Wkd",TEXT(A1783,"Ddd"))&amp;"-"&amp;TEXT(A1783,"hh"),LoadTable[],6,FALSE)*T1783</f>
        <v>12081.645765360001</v>
      </c>
      <c r="V1783">
        <f t="shared" ref="V1783:W1783" si="1895">V1759</f>
        <v>3</v>
      </c>
      <c r="W1783">
        <f t="shared" si="1895"/>
        <v>3.1</v>
      </c>
      <c r="X1783" s="9">
        <v>-77.915740866667093</v>
      </c>
    </row>
    <row r="1784" spans="1:24">
      <c r="A1784" s="29">
        <f t="shared" si="1840"/>
        <v>45910.208333329014</v>
      </c>
      <c r="B1784" s="30">
        <f t="shared" si="1864"/>
        <v>5000</v>
      </c>
      <c r="C1784" s="8">
        <v>25000</v>
      </c>
      <c r="D1784" s="8">
        <v>0</v>
      </c>
      <c r="E1784" s="8">
        <v>700</v>
      </c>
      <c r="F1784" s="8">
        <v>15000</v>
      </c>
      <c r="G1784" s="30">
        <f t="shared" si="1865"/>
        <v>2400</v>
      </c>
      <c r="H1784" s="8">
        <v>25000</v>
      </c>
      <c r="I1784" s="30">
        <f t="shared" si="1866"/>
        <v>5000</v>
      </c>
      <c r="J1784" s="8">
        <v>25000</v>
      </c>
      <c r="K1784" s="30">
        <f t="shared" si="1867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VLOOKUP(VLOOKUP(DATEVALUE(TEXT(A1784,"m/d/yyyy")),FY24_Temp[],5,FALSE)&amp;TEXT(A1784,"-h"),Table6[],4,FALSE)</f>
        <v>2.0738571711948941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VLOOKUP(TEXT(A1784,"yy-mm")&amp;"-"&amp;IF(AND(WEEKDAY(A1784)&gt;1,WEEKDAY(A1784)&lt;7),"Wkd",TEXT(A1784,"Ddd"))&amp;"-"&amp;TEXT(A1784,"hh"),LoadTable[],5,FALSE)*0.92</f>
        <v>237.25788000000003</v>
      </c>
      <c r="U1784" s="104">
        <f>VLOOKUP(TEXT(A1784,"yy-mm")&amp;"-"&amp;IF(AND(WEEKDAY(A1784)&gt;1,WEEKDAY(A1784)&lt;7),"Wkd",TEXT(A1784,"Ddd"))&amp;"-"&amp;TEXT(A1784,"hh"),LoadTable[],6,FALSE)*T1784</f>
        <v>12065.037713760001</v>
      </c>
      <c r="V1784">
        <f t="shared" ref="V1784:W1784" si="1896">V1760</f>
        <v>2.9</v>
      </c>
      <c r="W1784">
        <f t="shared" si="1896"/>
        <v>3.1</v>
      </c>
      <c r="X1784" s="9">
        <v>-77.9935354166671</v>
      </c>
    </row>
    <row r="1785" spans="1:24">
      <c r="A1785" s="29">
        <f t="shared" si="1840"/>
        <v>45910.249999995678</v>
      </c>
      <c r="B1785" s="30">
        <f t="shared" si="1864"/>
        <v>8000</v>
      </c>
      <c r="C1785" s="8">
        <v>25000</v>
      </c>
      <c r="D1785" s="8">
        <v>0</v>
      </c>
      <c r="E1785" s="8">
        <v>700</v>
      </c>
      <c r="F1785" s="8">
        <v>15000</v>
      </c>
      <c r="G1785" s="30">
        <f t="shared" si="1865"/>
        <v>2400</v>
      </c>
      <c r="H1785" s="8">
        <v>25000</v>
      </c>
      <c r="I1785" s="30">
        <f t="shared" si="1866"/>
        <v>8000</v>
      </c>
      <c r="J1785" s="8">
        <v>25000</v>
      </c>
      <c r="K1785" s="30">
        <f t="shared" si="1867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VLOOKUP(VLOOKUP(DATEVALUE(TEXT(A1785,"m/d/yyyy")),FY24_Temp[],5,FALSE)&amp;TEXT(A1785,"-h"),Table6[],4,FALSE)</f>
        <v>1.9711428540093558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VLOOKUP(TEXT(A1785,"yy-mm")&amp;"-"&amp;IF(AND(WEEKDAY(A1785)&gt;1,WEEKDAY(A1785)&lt;7),"Wkd",TEXT(A1785,"Ddd"))&amp;"-"&amp;TEXT(A1785,"hh"),LoadTable[],5,FALSE)*0.92</f>
        <v>237.25788000000003</v>
      </c>
      <c r="U1785" s="104">
        <f>VLOOKUP(TEXT(A1785,"yy-mm")&amp;"-"&amp;IF(AND(WEEKDAY(A1785)&gt;1,WEEKDAY(A1785)&lt;7),"Wkd",TEXT(A1785,"Ddd"))&amp;"-"&amp;TEXT(A1785,"hh"),LoadTable[],6,FALSE)*T1785</f>
        <v>18358.065722880005</v>
      </c>
      <c r="V1785">
        <f t="shared" ref="V1785:W1785" si="1897">V1761</f>
        <v>2.5</v>
      </c>
      <c r="W1785">
        <f t="shared" si="1897"/>
        <v>3.1</v>
      </c>
      <c r="X1785" s="9">
        <v>-78.071329966667093</v>
      </c>
    </row>
    <row r="1786" spans="1:24">
      <c r="A1786" s="29">
        <f t="shared" si="1840"/>
        <v>45910.291666662342</v>
      </c>
      <c r="B1786" s="30">
        <f t="shared" si="1864"/>
        <v>8000</v>
      </c>
      <c r="C1786" s="8">
        <v>25000</v>
      </c>
      <c r="D1786" s="8">
        <v>0</v>
      </c>
      <c r="E1786" s="8">
        <v>700</v>
      </c>
      <c r="F1786" s="8">
        <v>15000</v>
      </c>
      <c r="G1786" s="30">
        <f t="shared" si="1865"/>
        <v>2400</v>
      </c>
      <c r="H1786" s="8">
        <v>25000</v>
      </c>
      <c r="I1786" s="30">
        <f t="shared" si="1866"/>
        <v>8000</v>
      </c>
      <c r="J1786" s="8">
        <v>25000</v>
      </c>
      <c r="K1786" s="30">
        <f t="shared" si="1867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VLOOKUP(VLOOKUP(DATEVALUE(TEXT(A1786,"m/d/yyyy")),FY24_Temp[],5,FALSE)&amp;TEXT(A1786,"-h"),Table6[],4,FALSE)</f>
        <v>1.8018571478979928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VLOOKUP(TEXT(A1786,"yy-mm")&amp;"-"&amp;IF(AND(WEEKDAY(A1786)&gt;1,WEEKDAY(A1786)&lt;7),"Wkd",TEXT(A1786,"Ddd"))&amp;"-"&amp;TEXT(A1786,"hh"),LoadTable[],5,FALSE)*0.92</f>
        <v>237.25788000000003</v>
      </c>
      <c r="U1786" s="104">
        <f>VLOOKUP(TEXT(A1786,"yy-mm")&amp;"-"&amp;IF(AND(WEEKDAY(A1786)&gt;1,WEEKDAY(A1786)&lt;7),"Wkd",TEXT(A1786,"Ddd"))&amp;"-"&amp;TEXT(A1786,"hh"),LoadTable[],6,FALSE)*T1786</f>
        <v>16249.08042756</v>
      </c>
      <c r="V1786">
        <f t="shared" ref="V1786:W1786" si="1898">V1762</f>
        <v>2.5</v>
      </c>
      <c r="W1786">
        <f t="shared" si="1898"/>
        <v>3.1</v>
      </c>
      <c r="X1786" s="9">
        <v>-78.149124516667101</v>
      </c>
    </row>
    <row r="1787" spans="1:24">
      <c r="A1787" s="29">
        <f t="shared" si="1840"/>
        <v>45910.333333329007</v>
      </c>
      <c r="B1787" s="30">
        <f t="shared" si="1864"/>
        <v>8000</v>
      </c>
      <c r="C1787" s="8">
        <v>25000</v>
      </c>
      <c r="D1787" s="8">
        <v>0</v>
      </c>
      <c r="E1787" s="8">
        <v>700</v>
      </c>
      <c r="F1787" s="8">
        <v>15000</v>
      </c>
      <c r="G1787" s="30">
        <f t="shared" si="1865"/>
        <v>2400</v>
      </c>
      <c r="H1787" s="8">
        <v>25000</v>
      </c>
      <c r="I1787" s="30">
        <f t="shared" si="1866"/>
        <v>8000</v>
      </c>
      <c r="J1787" s="8">
        <v>25000</v>
      </c>
      <c r="K1787" s="30">
        <f t="shared" si="1867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VLOOKUP(VLOOKUP(DATEVALUE(TEXT(A1787,"m/d/yyyy")),FY24_Temp[],5,FALSE)&amp;TEXT(A1787,"-h"),Table6[],4,FALSE)</f>
        <v>1.7142857142857142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VLOOKUP(TEXT(A1787,"yy-mm")&amp;"-"&amp;IF(AND(WEEKDAY(A1787)&gt;1,WEEKDAY(A1787)&lt;7),"Wkd",TEXT(A1787,"Ddd"))&amp;"-"&amp;TEXT(A1787,"hh"),LoadTable[],5,FALSE)*0.92</f>
        <v>237.25788000000003</v>
      </c>
      <c r="U1787" s="104">
        <f>VLOOKUP(TEXT(A1787,"yy-mm")&amp;"-"&amp;IF(AND(WEEKDAY(A1787)&gt;1,WEEKDAY(A1787)&lt;7),"Wkd",TEXT(A1787,"Ddd"))&amp;"-"&amp;TEXT(A1787,"hh"),LoadTable[],6,FALSE)*T1787</f>
        <v>13068.164030400001</v>
      </c>
      <c r="V1787">
        <f t="shared" ref="V1787:W1787" si="1899">V1763</f>
        <v>3.2</v>
      </c>
      <c r="W1787">
        <f t="shared" si="1899"/>
        <v>3</v>
      </c>
      <c r="X1787" s="9">
        <v>-78.226919066667094</v>
      </c>
    </row>
    <row r="1788" spans="1:24">
      <c r="A1788" s="29">
        <f t="shared" si="1840"/>
        <v>45910.374999995671</v>
      </c>
      <c r="B1788" s="30">
        <f t="shared" si="1864"/>
        <v>8000</v>
      </c>
      <c r="C1788" s="8">
        <v>25000</v>
      </c>
      <c r="D1788" s="8">
        <v>0</v>
      </c>
      <c r="E1788" s="8">
        <v>700</v>
      </c>
      <c r="F1788" s="8">
        <v>15000</v>
      </c>
      <c r="G1788" s="30">
        <f t="shared" si="1865"/>
        <v>2400</v>
      </c>
      <c r="H1788" s="8">
        <v>25000</v>
      </c>
      <c r="I1788" s="30">
        <f t="shared" si="1866"/>
        <v>8000</v>
      </c>
      <c r="J1788" s="8">
        <v>25000</v>
      </c>
      <c r="K1788" s="30">
        <f t="shared" si="1867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VLOOKUP(VLOOKUP(DATEVALUE(TEXT(A1788,"m/d/yyyy")),FY24_Temp[],5,FALSE)&amp;TEXT(A1788,"-h"),Table6[],4,FALSE)</f>
        <v>1.5628571510314941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VLOOKUP(TEXT(A1788,"yy-mm")&amp;"-"&amp;IF(AND(WEEKDAY(A1788)&gt;1,WEEKDAY(A1788)&lt;7),"Wkd",TEXT(A1788,"Ddd"))&amp;"-"&amp;TEXT(A1788,"hh"),LoadTable[],5,FALSE)*0.92</f>
        <v>237.25788000000003</v>
      </c>
      <c r="U1788" s="104">
        <f>VLOOKUP(TEXT(A1788,"yy-mm")&amp;"-"&amp;IF(AND(WEEKDAY(A1788)&gt;1,WEEKDAY(A1788)&lt;7),"Wkd",TEXT(A1788,"Ddd"))&amp;"-"&amp;TEXT(A1788,"hh"),LoadTable[],6,FALSE)*T1788</f>
        <v>11518.395558240001</v>
      </c>
      <c r="V1788">
        <f t="shared" ref="V1788:W1788" si="1900">V1764</f>
        <v>2.9</v>
      </c>
      <c r="W1788">
        <f t="shared" si="1900"/>
        <v>3</v>
      </c>
      <c r="X1788" s="9">
        <v>-78.304713616667101</v>
      </c>
    </row>
    <row r="1789" spans="1:24">
      <c r="A1789" s="29">
        <f t="shared" si="1840"/>
        <v>45910.416666662335</v>
      </c>
      <c r="B1789" s="30">
        <f t="shared" si="1864"/>
        <v>8000</v>
      </c>
      <c r="C1789" s="8">
        <v>25000</v>
      </c>
      <c r="D1789" s="8">
        <v>0</v>
      </c>
      <c r="E1789" s="8">
        <v>700</v>
      </c>
      <c r="F1789" s="8">
        <v>15000</v>
      </c>
      <c r="G1789" s="30">
        <f t="shared" si="1865"/>
        <v>2400</v>
      </c>
      <c r="H1789" s="8">
        <v>25000</v>
      </c>
      <c r="I1789" s="30">
        <f t="shared" si="1866"/>
        <v>8000</v>
      </c>
      <c r="J1789" s="8">
        <v>25000</v>
      </c>
      <c r="K1789" s="30">
        <f t="shared" si="1867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VLOOKUP(VLOOKUP(DATEVALUE(TEXT(A1789,"m/d/yyyy")),FY24_Temp[],5,FALSE)&amp;TEXT(A1789,"-h"),Table6[],4,FALSE)</f>
        <v>1.4149999959128243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VLOOKUP(TEXT(A1789,"yy-mm")&amp;"-"&amp;IF(AND(WEEKDAY(A1789)&gt;1,WEEKDAY(A1789)&lt;7),"Wkd",TEXT(A1789,"Ddd"))&amp;"-"&amp;TEXT(A1789,"hh"),LoadTable[],5,FALSE)*0.92</f>
        <v>237.25788000000003</v>
      </c>
      <c r="U1789" s="104">
        <f>VLOOKUP(TEXT(A1789,"yy-mm")&amp;"-"&amp;IF(AND(WEEKDAY(A1789)&gt;1,WEEKDAY(A1789)&lt;7),"Wkd",TEXT(A1789,"Ddd"))&amp;"-"&amp;TEXT(A1789,"hh"),LoadTable[],6,FALSE)*T1789</f>
        <v>10982.667265200002</v>
      </c>
      <c r="V1789">
        <f t="shared" ref="V1789:W1789" si="1901">V1765</f>
        <v>2.9</v>
      </c>
      <c r="W1789">
        <f t="shared" si="1901"/>
        <v>3</v>
      </c>
      <c r="X1789" s="9">
        <v>-78.382508166667094</v>
      </c>
    </row>
    <row r="1790" spans="1:24">
      <c r="A1790" s="29">
        <f t="shared" si="1840"/>
        <v>45910.458333328999</v>
      </c>
      <c r="B1790" s="30">
        <f t="shared" si="1864"/>
        <v>8000</v>
      </c>
      <c r="C1790" s="8">
        <v>25000</v>
      </c>
      <c r="D1790" s="8">
        <v>0</v>
      </c>
      <c r="E1790" s="8">
        <v>700</v>
      </c>
      <c r="F1790" s="8">
        <v>15000</v>
      </c>
      <c r="G1790" s="30">
        <f t="shared" si="1865"/>
        <v>2400</v>
      </c>
      <c r="H1790" s="8">
        <v>25000</v>
      </c>
      <c r="I1790" s="30">
        <f t="shared" si="1866"/>
        <v>8000</v>
      </c>
      <c r="J1790" s="8">
        <v>25000</v>
      </c>
      <c r="K1790" s="30">
        <f t="shared" si="1867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VLOOKUP(VLOOKUP(DATEVALUE(TEXT(A1790,"m/d/yyyy")),FY24_Temp[],5,FALSE)&amp;TEXT(A1790,"-h"),Table6[],4,FALSE)</f>
        <v>1.3002857310431344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VLOOKUP(TEXT(A1790,"yy-mm")&amp;"-"&amp;IF(AND(WEEKDAY(A1790)&gt;1,WEEKDAY(A1790)&lt;7),"Wkd",TEXT(A1790,"Ddd"))&amp;"-"&amp;TEXT(A1790,"hh"),LoadTable[],5,FALSE)*0.92</f>
        <v>237.25788000000003</v>
      </c>
      <c r="U1790" s="104">
        <f>VLOOKUP(TEXT(A1790,"yy-mm")&amp;"-"&amp;IF(AND(WEEKDAY(A1790)&gt;1,WEEKDAY(A1790)&lt;7),"Wkd",TEXT(A1790,"Ddd"))&amp;"-"&amp;TEXT(A1790,"hh"),LoadTable[],6,FALSE)*T1790</f>
        <v>10974.125981520001</v>
      </c>
      <c r="V1790">
        <f t="shared" ref="V1790:W1790" si="1902">V1766</f>
        <v>3.4</v>
      </c>
      <c r="W1790">
        <f t="shared" si="1902"/>
        <v>3</v>
      </c>
      <c r="X1790" s="9">
        <v>-78.460302716667101</v>
      </c>
    </row>
    <row r="1791" spans="1:24">
      <c r="A1791" s="29">
        <f t="shared" si="1840"/>
        <v>45910.499999995664</v>
      </c>
      <c r="B1791" s="30">
        <f t="shared" si="1864"/>
        <v>8000</v>
      </c>
      <c r="C1791" s="8">
        <v>25000</v>
      </c>
      <c r="D1791" s="8">
        <v>0</v>
      </c>
      <c r="E1791" s="8">
        <v>700</v>
      </c>
      <c r="F1791" s="8">
        <v>15000</v>
      </c>
      <c r="G1791" s="30">
        <f t="shared" si="1865"/>
        <v>2400</v>
      </c>
      <c r="H1791" s="8">
        <v>25000</v>
      </c>
      <c r="I1791" s="30">
        <f t="shared" si="1866"/>
        <v>8000</v>
      </c>
      <c r="J1791" s="8">
        <v>25000</v>
      </c>
      <c r="K1791" s="30">
        <f t="shared" si="1867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VLOOKUP(VLOOKUP(DATEVALUE(TEXT(A1791,"m/d/yyyy")),FY24_Temp[],5,FALSE)&amp;TEXT(A1791,"-h"),Table6[],4,FALSE)</f>
        <v>1.1327142715454102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VLOOKUP(TEXT(A1791,"yy-mm")&amp;"-"&amp;IF(AND(WEEKDAY(A1791)&gt;1,WEEKDAY(A1791)&lt;7),"Wkd",TEXT(A1791,"Ddd"))&amp;"-"&amp;TEXT(A1791,"hh"),LoadTable[],5,FALSE)*0.92</f>
        <v>237.25788000000003</v>
      </c>
      <c r="U1791" s="104">
        <f>VLOOKUP(TEXT(A1791,"yy-mm")&amp;"-"&amp;IF(AND(WEEKDAY(A1791)&gt;1,WEEKDAY(A1791)&lt;7),"Wkd",TEXT(A1791,"Ddd"))&amp;"-"&amp;TEXT(A1791,"hh"),LoadTable[],6,FALSE)*T1791</f>
        <v>10962.974861160001</v>
      </c>
      <c r="V1791">
        <f t="shared" ref="V1791:W1791" si="1903">V1767</f>
        <v>3.1</v>
      </c>
      <c r="W1791">
        <f t="shared" si="1903"/>
        <v>2.9</v>
      </c>
      <c r="X1791" s="9">
        <v>-78.538097266667094</v>
      </c>
    </row>
    <row r="1792" spans="1:24">
      <c r="A1792" s="29">
        <f t="shared" si="1840"/>
        <v>45910.541666662328</v>
      </c>
      <c r="B1792" s="30">
        <f t="shared" si="1864"/>
        <v>8000</v>
      </c>
      <c r="C1792" s="8">
        <v>25000</v>
      </c>
      <c r="D1792" s="8">
        <v>0</v>
      </c>
      <c r="E1792" s="8">
        <v>700</v>
      </c>
      <c r="F1792" s="8">
        <v>15000</v>
      </c>
      <c r="G1792" s="30">
        <f t="shared" si="1865"/>
        <v>2400</v>
      </c>
      <c r="H1792" s="8">
        <v>25000</v>
      </c>
      <c r="I1792" s="30">
        <f t="shared" si="1866"/>
        <v>8000</v>
      </c>
      <c r="J1792" s="8">
        <v>25000</v>
      </c>
      <c r="K1792" s="30">
        <f t="shared" si="1867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VLOOKUP(VLOOKUP(DATEVALUE(TEXT(A1792,"m/d/yyyy")),FY24_Temp[],5,FALSE)&amp;TEXT(A1792,"-h"),Table6[],4,FALSE)</f>
        <v>0.98357141869408748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VLOOKUP(TEXT(A1792,"yy-mm")&amp;"-"&amp;IF(AND(WEEKDAY(A1792)&gt;1,WEEKDAY(A1792)&lt;7),"Wkd",TEXT(A1792,"Ddd"))&amp;"-"&amp;TEXT(A1792,"hh"),LoadTable[],5,FALSE)*0.92</f>
        <v>237.25788000000003</v>
      </c>
      <c r="U1792" s="104">
        <f>VLOOKUP(TEXT(A1792,"yy-mm")&amp;"-"&amp;IF(AND(WEEKDAY(A1792)&gt;1,WEEKDAY(A1792)&lt;7),"Wkd",TEXT(A1792,"Ddd"))&amp;"-"&amp;TEXT(A1792,"hh"),LoadTable[],6,FALSE)*T1792</f>
        <v>10978.39662336</v>
      </c>
      <c r="V1792">
        <f t="shared" ref="V1792:W1792" si="1904">V1768</f>
        <v>3.2</v>
      </c>
      <c r="W1792">
        <f t="shared" si="1904"/>
        <v>2.9</v>
      </c>
      <c r="X1792" s="9">
        <v>-78.615891816667101</v>
      </c>
    </row>
    <row r="1793" spans="1:24">
      <c r="A1793" s="29">
        <f t="shared" si="1840"/>
        <v>45910.583333328992</v>
      </c>
      <c r="B1793" s="30">
        <f t="shared" si="1864"/>
        <v>8000</v>
      </c>
      <c r="C1793" s="8">
        <v>25000</v>
      </c>
      <c r="D1793" s="8">
        <v>0</v>
      </c>
      <c r="E1793" s="8">
        <v>700</v>
      </c>
      <c r="F1793" s="8">
        <v>15000</v>
      </c>
      <c r="G1793" s="30">
        <f t="shared" si="1865"/>
        <v>2400</v>
      </c>
      <c r="H1793" s="8">
        <v>25000</v>
      </c>
      <c r="I1793" s="30">
        <f t="shared" si="1866"/>
        <v>8000</v>
      </c>
      <c r="J1793" s="8">
        <v>25000</v>
      </c>
      <c r="K1793" s="30">
        <f t="shared" si="1867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VLOOKUP(VLOOKUP(DATEVALUE(TEXT(A1793,"m/d/yyyy")),FY24_Temp[],5,FALSE)&amp;TEXT(A1793,"-h"),Table6[],4,FALSE)</f>
        <v>0.86971429416111534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VLOOKUP(TEXT(A1793,"yy-mm")&amp;"-"&amp;IF(AND(WEEKDAY(A1793)&gt;1,WEEKDAY(A1793)&lt;7),"Wkd",TEXT(A1793,"Ddd"))&amp;"-"&amp;TEXT(A1793,"hh"),LoadTable[],5,FALSE)*0.92</f>
        <v>269.75136000000003</v>
      </c>
      <c r="U1793" s="104">
        <f>VLOOKUP(TEXT(A1793,"yy-mm")&amp;"-"&amp;IF(AND(WEEKDAY(A1793)&gt;1,WEEKDAY(A1793)&lt;7),"Wkd",TEXT(A1793,"Ddd"))&amp;"-"&amp;TEXT(A1793,"hh"),LoadTable[],6,FALSE)*T1793</f>
        <v>12503.245287360001</v>
      </c>
      <c r="V1793">
        <f t="shared" ref="V1793:W1793" si="1905">V1769</f>
        <v>3.5</v>
      </c>
      <c r="W1793">
        <f t="shared" si="1905"/>
        <v>2.9</v>
      </c>
      <c r="X1793" s="9">
        <v>-78.693686366667194</v>
      </c>
    </row>
    <row r="1794" spans="1:24">
      <c r="A1794" s="29">
        <f t="shared" si="1840"/>
        <v>45910.624999995656</v>
      </c>
      <c r="B1794" s="30">
        <f t="shared" si="1864"/>
        <v>8000</v>
      </c>
      <c r="C1794" s="8">
        <v>25000</v>
      </c>
      <c r="D1794" s="8">
        <v>0</v>
      </c>
      <c r="E1794" s="8">
        <v>700</v>
      </c>
      <c r="F1794" s="8">
        <v>15000</v>
      </c>
      <c r="G1794" s="30">
        <f t="shared" si="1865"/>
        <v>2400</v>
      </c>
      <c r="H1794" s="8">
        <v>25000</v>
      </c>
      <c r="I1794" s="30">
        <f t="shared" si="1866"/>
        <v>8000</v>
      </c>
      <c r="J1794" s="8">
        <v>25000</v>
      </c>
      <c r="K1794" s="30">
        <f t="shared" si="1867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VLOOKUP(VLOOKUP(DATEVALUE(TEXT(A1794,"m/d/yyyy")),FY24_Temp[],5,FALSE)&amp;TEXT(A1794,"-h"),Table6[],4,FALSE)</f>
        <v>0.90028570379529682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VLOOKUP(TEXT(A1794,"yy-mm")&amp;"-"&amp;IF(AND(WEEKDAY(A1794)&gt;1,WEEKDAY(A1794)&lt;7),"Wkd",TEXT(A1794,"Ddd"))&amp;"-"&amp;TEXT(A1794,"hh"),LoadTable[],5,FALSE)*0.92</f>
        <v>388.38076000000001</v>
      </c>
      <c r="U1794" s="104">
        <f>VLOOKUP(TEXT(A1794,"yy-mm")&amp;"-"&amp;IF(AND(WEEKDAY(A1794)&gt;1,WEEKDAY(A1794)&lt;7),"Wkd",TEXT(A1794,"Ddd"))&amp;"-"&amp;TEXT(A1794,"hh"),LoadTable[],6,FALSE)*T1794</f>
        <v>19705.663000880002</v>
      </c>
      <c r="V1794">
        <f t="shared" ref="V1794:W1794" si="1906">V1770</f>
        <v>3.2</v>
      </c>
      <c r="W1794">
        <f t="shared" si="1906"/>
        <v>2.9</v>
      </c>
      <c r="X1794" s="9">
        <v>-78.771480916667201</v>
      </c>
    </row>
    <row r="1795" spans="1:24">
      <c r="A1795" s="29">
        <f t="shared" si="1840"/>
        <v>45910.66666666232</v>
      </c>
      <c r="B1795" s="30">
        <f t="shared" si="1864"/>
        <v>8000</v>
      </c>
      <c r="C1795" s="8">
        <v>25000</v>
      </c>
      <c r="D1795" s="8">
        <v>0</v>
      </c>
      <c r="E1795" s="8">
        <v>700</v>
      </c>
      <c r="F1795" s="8">
        <v>15000</v>
      </c>
      <c r="G1795" s="30">
        <f t="shared" si="1865"/>
        <v>2400</v>
      </c>
      <c r="H1795" s="8">
        <v>25000</v>
      </c>
      <c r="I1795" s="30">
        <f t="shared" si="1866"/>
        <v>8000</v>
      </c>
      <c r="J1795" s="8">
        <v>25000</v>
      </c>
      <c r="K1795" s="30">
        <f t="shared" si="1867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VLOOKUP(VLOOKUP(DATEVALUE(TEXT(A1795,"m/d/yyyy")),FY24_Temp[],5,FALSE)&amp;TEXT(A1795,"-h"),Table6[],4,FALSE)</f>
        <v>1.2158571481704712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VLOOKUP(TEXT(A1795,"yy-mm")&amp;"-"&amp;IF(AND(WEEKDAY(A1795)&gt;1,WEEKDAY(A1795)&lt;7),"Wkd",TEXT(A1795,"Ddd"))&amp;"-"&amp;TEXT(A1795,"hh"),LoadTable[],5,FALSE)*0.92</f>
        <v>388.38076000000001</v>
      </c>
      <c r="U1795" s="104">
        <f>VLOOKUP(TEXT(A1795,"yy-mm")&amp;"-"&amp;IF(AND(WEEKDAY(A1795)&gt;1,WEEKDAY(A1795)&lt;7),"Wkd",TEXT(A1795,"Ddd"))&amp;"-"&amp;TEXT(A1795,"hh"),LoadTable[],6,FALSE)*T1795</f>
        <v>23675.6911296</v>
      </c>
      <c r="V1795">
        <f t="shared" ref="V1795:W1795" si="1907">V1771</f>
        <v>3.5</v>
      </c>
      <c r="W1795">
        <f t="shared" si="1907"/>
        <v>3</v>
      </c>
      <c r="X1795" s="9">
        <v>-78.849275466667194</v>
      </c>
    </row>
    <row r="1796" spans="1:24">
      <c r="A1796" s="29">
        <f t="shared" si="1840"/>
        <v>45910.708333328985</v>
      </c>
      <c r="B1796" s="30">
        <f t="shared" si="1864"/>
        <v>8000</v>
      </c>
      <c r="C1796" s="8">
        <v>25000</v>
      </c>
      <c r="D1796" s="8">
        <v>0</v>
      </c>
      <c r="E1796" s="8">
        <v>700</v>
      </c>
      <c r="F1796" s="8">
        <v>15000</v>
      </c>
      <c r="G1796" s="30">
        <f t="shared" si="1865"/>
        <v>2400</v>
      </c>
      <c r="H1796" s="8">
        <v>25000</v>
      </c>
      <c r="I1796" s="30">
        <f t="shared" si="1866"/>
        <v>8000</v>
      </c>
      <c r="J1796" s="8">
        <v>25000</v>
      </c>
      <c r="K1796" s="30">
        <f t="shared" si="1867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VLOOKUP(VLOOKUP(DATEVALUE(TEXT(A1796,"m/d/yyyy")),FY24_Temp[],5,FALSE)&amp;TEXT(A1796,"-h"),Table6[],4,FALSE)</f>
        <v>1.6385714156287057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VLOOKUP(TEXT(A1796,"yy-mm")&amp;"-"&amp;IF(AND(WEEKDAY(A1796)&gt;1,WEEKDAY(A1796)&lt;7),"Wkd",TEXT(A1796,"Ddd"))&amp;"-"&amp;TEXT(A1796,"hh"),LoadTable[],5,FALSE)*0.92</f>
        <v>388.38076000000001</v>
      </c>
      <c r="U1796" s="104">
        <f>VLOOKUP(TEXT(A1796,"yy-mm")&amp;"-"&amp;IF(AND(WEEKDAY(A1796)&gt;1,WEEKDAY(A1796)&lt;7),"Wkd",TEXT(A1796,"Ddd"))&amp;"-"&amp;TEXT(A1796,"hh"),LoadTable[],6,FALSE)*T1796</f>
        <v>31454.180990880002</v>
      </c>
      <c r="V1796">
        <f t="shared" ref="V1796:W1796" si="1908">V1772</f>
        <v>3.6</v>
      </c>
      <c r="W1796">
        <f t="shared" si="1908"/>
        <v>3</v>
      </c>
      <c r="X1796" s="9">
        <v>-78.927070016667201</v>
      </c>
    </row>
    <row r="1797" spans="1:24">
      <c r="A1797" s="29">
        <f t="shared" ref="A1797:A1860" si="1909">A1796+TIME(1,0,0)</f>
        <v>45910.749999995649</v>
      </c>
      <c r="B1797" s="30">
        <f t="shared" si="1864"/>
        <v>5000</v>
      </c>
      <c r="C1797" s="8">
        <v>25000</v>
      </c>
      <c r="D1797" s="8">
        <v>0</v>
      </c>
      <c r="E1797" s="8">
        <v>700</v>
      </c>
      <c r="F1797" s="8">
        <v>15000</v>
      </c>
      <c r="G1797" s="30">
        <f t="shared" si="1865"/>
        <v>2400</v>
      </c>
      <c r="H1797" s="8">
        <v>25000</v>
      </c>
      <c r="I1797" s="30">
        <f t="shared" si="1866"/>
        <v>5000</v>
      </c>
      <c r="J1797" s="8">
        <v>25000</v>
      </c>
      <c r="K1797" s="30">
        <f t="shared" si="1867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VLOOKUP(VLOOKUP(DATEVALUE(TEXT(A1797,"m/d/yyyy")),FY24_Temp[],5,FALSE)&amp;TEXT(A1797,"-h"),Table6[],4,FALSE)</f>
        <v>2.1335714374269759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VLOOKUP(TEXT(A1797,"yy-mm")&amp;"-"&amp;IF(AND(WEEKDAY(A1797)&gt;1,WEEKDAY(A1797)&lt;7),"Wkd",TEXT(A1797,"Ddd"))&amp;"-"&amp;TEXT(A1797,"hh"),LoadTable[],5,FALSE)*0.92</f>
        <v>388.38076000000001</v>
      </c>
      <c r="U1797" s="104">
        <f>VLOOKUP(TEXT(A1797,"yy-mm")&amp;"-"&amp;IF(AND(WEEKDAY(A1797)&gt;1,WEEKDAY(A1797)&lt;7),"Wkd",TEXT(A1797,"Ddd"))&amp;"-"&amp;TEXT(A1797,"hh"),LoadTable[],6,FALSE)*T1797</f>
        <v>38316.869020080005</v>
      </c>
      <c r="V1797">
        <f t="shared" ref="V1797:W1797" si="1910">V1773</f>
        <v>2.9</v>
      </c>
      <c r="W1797">
        <f t="shared" si="1910"/>
        <v>3</v>
      </c>
      <c r="X1797" s="9">
        <v>-79.004864566667194</v>
      </c>
    </row>
    <row r="1798" spans="1:24">
      <c r="A1798" s="29">
        <f t="shared" si="1909"/>
        <v>45910.791666662313</v>
      </c>
      <c r="B1798" s="30">
        <f t="shared" si="1864"/>
        <v>5000</v>
      </c>
      <c r="C1798" s="8">
        <v>25000</v>
      </c>
      <c r="D1798" s="8">
        <v>0</v>
      </c>
      <c r="E1798" s="8">
        <v>700</v>
      </c>
      <c r="F1798" s="8">
        <v>15000</v>
      </c>
      <c r="G1798" s="30">
        <f t="shared" si="1865"/>
        <v>2400</v>
      </c>
      <c r="H1798" s="8">
        <v>25000</v>
      </c>
      <c r="I1798" s="30">
        <f t="shared" si="1866"/>
        <v>5000</v>
      </c>
      <c r="J1798" s="8">
        <v>25000</v>
      </c>
      <c r="K1798" s="30">
        <f t="shared" si="1867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VLOOKUP(VLOOKUP(DATEVALUE(TEXT(A1798,"m/d/yyyy")),FY24_Temp[],5,FALSE)&amp;TEXT(A1798,"-h"),Table6[],4,FALSE)</f>
        <v>2.4782857213701521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VLOOKUP(TEXT(A1798,"yy-mm")&amp;"-"&amp;IF(AND(WEEKDAY(A1798)&gt;1,WEEKDAY(A1798)&lt;7),"Wkd",TEXT(A1798,"Ddd"))&amp;"-"&amp;TEXT(A1798,"hh"),LoadTable[],5,FALSE)*0.92</f>
        <v>388.38076000000001</v>
      </c>
      <c r="U1798" s="104">
        <f>VLOOKUP(TEXT(A1798,"yy-mm")&amp;"-"&amp;IF(AND(WEEKDAY(A1798)&gt;1,WEEKDAY(A1798)&lt;7),"Wkd",TEXT(A1798,"Ddd"))&amp;"-"&amp;TEXT(A1798,"hh"),LoadTable[],6,FALSE)*T1798</f>
        <v>41132.241149319998</v>
      </c>
      <c r="V1798">
        <f t="shared" ref="V1798:W1798" si="1911">V1774</f>
        <v>3</v>
      </c>
      <c r="W1798">
        <f t="shared" si="1911"/>
        <v>3</v>
      </c>
      <c r="X1798" s="9">
        <v>-79.082659116667202</v>
      </c>
    </row>
    <row r="1799" spans="1:24">
      <c r="A1799" s="29">
        <f t="shared" si="1909"/>
        <v>45910.833333328977</v>
      </c>
      <c r="B1799" s="30">
        <f t="shared" si="1864"/>
        <v>5000</v>
      </c>
      <c r="C1799" s="8">
        <v>25000</v>
      </c>
      <c r="D1799" s="8">
        <v>0</v>
      </c>
      <c r="E1799" s="8">
        <v>700</v>
      </c>
      <c r="F1799" s="8">
        <v>15000</v>
      </c>
      <c r="G1799" s="30">
        <f t="shared" si="1865"/>
        <v>2400</v>
      </c>
      <c r="H1799" s="8">
        <v>25000</v>
      </c>
      <c r="I1799" s="30">
        <f t="shared" si="1866"/>
        <v>5000</v>
      </c>
      <c r="J1799" s="8">
        <v>25000</v>
      </c>
      <c r="K1799" s="30">
        <f t="shared" si="1867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VLOOKUP(VLOOKUP(DATEVALUE(TEXT(A1799,"m/d/yyyy")),FY24_Temp[],5,FALSE)&amp;TEXT(A1799,"-h"),Table6[],4,FALSE)</f>
        <v>2.6718571526663646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VLOOKUP(TEXT(A1799,"yy-mm")&amp;"-"&amp;IF(AND(WEEKDAY(A1799)&gt;1,WEEKDAY(A1799)&lt;7),"Wkd",TEXT(A1799,"Ddd"))&amp;"-"&amp;TEXT(A1799,"hh"),LoadTable[],5,FALSE)*0.92</f>
        <v>388.38076000000001</v>
      </c>
      <c r="U1799" s="104">
        <f>VLOOKUP(TEXT(A1799,"yy-mm")&amp;"-"&amp;IF(AND(WEEKDAY(A1799)&gt;1,WEEKDAY(A1799)&lt;7),"Wkd",TEXT(A1799,"Ddd"))&amp;"-"&amp;TEXT(A1799,"hh"),LoadTable[],6,FALSE)*T1799</f>
        <v>36274.762984000001</v>
      </c>
      <c r="V1799">
        <f t="shared" ref="V1799:W1799" si="1912">V1775</f>
        <v>2.8</v>
      </c>
      <c r="W1799">
        <f t="shared" si="1912"/>
        <v>3.1</v>
      </c>
      <c r="X1799" s="9">
        <v>-79.160453666667195</v>
      </c>
    </row>
    <row r="1800" spans="1:24">
      <c r="A1800" s="29">
        <f t="shared" si="1909"/>
        <v>45910.874999995642</v>
      </c>
      <c r="B1800" s="30">
        <f t="shared" si="1864"/>
        <v>5000</v>
      </c>
      <c r="C1800" s="8">
        <v>25000</v>
      </c>
      <c r="D1800" s="8">
        <v>0</v>
      </c>
      <c r="E1800" s="8">
        <v>700</v>
      </c>
      <c r="F1800" s="8">
        <v>15000</v>
      </c>
      <c r="G1800" s="30">
        <f t="shared" si="1865"/>
        <v>2400</v>
      </c>
      <c r="H1800" s="8">
        <v>25000</v>
      </c>
      <c r="I1800" s="30">
        <f t="shared" si="1866"/>
        <v>5000</v>
      </c>
      <c r="J1800" s="8">
        <v>25000</v>
      </c>
      <c r="K1800" s="30">
        <f t="shared" si="1867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VLOOKUP(VLOOKUP(DATEVALUE(TEXT(A1800,"m/d/yyyy")),FY24_Temp[],5,FALSE)&amp;TEXT(A1800,"-h"),Table6[],4,FALSE)</f>
        <v>2.730428559439523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VLOOKUP(TEXT(A1800,"yy-mm")&amp;"-"&amp;IF(AND(WEEKDAY(A1800)&gt;1,WEEKDAY(A1800)&lt;7),"Wkd",TEXT(A1800,"Ddd"))&amp;"-"&amp;TEXT(A1800,"hh"),LoadTable[],5,FALSE)*0.92</f>
        <v>373.79416000000003</v>
      </c>
      <c r="U1800" s="104">
        <f>VLOOKUP(TEXT(A1800,"yy-mm")&amp;"-"&amp;IF(AND(WEEKDAY(A1800)&gt;1,WEEKDAY(A1800)&lt;7),"Wkd",TEXT(A1800,"Ddd"))&amp;"-"&amp;TEXT(A1800,"hh"),LoadTable[],6,FALSE)*T1800</f>
        <v>31749.328362080003</v>
      </c>
      <c r="V1800">
        <f t="shared" ref="V1800:W1800" si="1913">V1776</f>
        <v>3.5</v>
      </c>
      <c r="W1800">
        <f t="shared" si="1913"/>
        <v>3.1</v>
      </c>
      <c r="X1800" s="9">
        <v>-79.238248216667202</v>
      </c>
    </row>
    <row r="1801" spans="1:24">
      <c r="A1801" s="29">
        <f t="shared" si="1909"/>
        <v>45910.916666662306</v>
      </c>
      <c r="B1801" s="30">
        <f t="shared" si="1864"/>
        <v>5000</v>
      </c>
      <c r="C1801" s="8">
        <v>25000</v>
      </c>
      <c r="D1801" s="8">
        <v>0</v>
      </c>
      <c r="E1801" s="8">
        <v>700</v>
      </c>
      <c r="F1801" s="8">
        <v>15000</v>
      </c>
      <c r="G1801" s="30">
        <f t="shared" si="1865"/>
        <v>2400</v>
      </c>
      <c r="H1801" s="8">
        <v>25000</v>
      </c>
      <c r="I1801" s="30">
        <f t="shared" si="1866"/>
        <v>5000</v>
      </c>
      <c r="J1801" s="8">
        <v>25000</v>
      </c>
      <c r="K1801" s="30">
        <f t="shared" si="1867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VLOOKUP(VLOOKUP(DATEVALUE(TEXT(A1801,"m/d/yyyy")),FY24_Temp[],5,FALSE)&amp;TEXT(A1801,"-h"),Table6[],4,FALSE)</f>
        <v>2.702714272907802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VLOOKUP(TEXT(A1801,"yy-mm")&amp;"-"&amp;IF(AND(WEEKDAY(A1801)&gt;1,WEEKDAY(A1801)&lt;7),"Wkd",TEXT(A1801,"Ddd"))&amp;"-"&amp;TEXT(A1801,"hh"),LoadTable[],5,FALSE)*0.92</f>
        <v>299.65044</v>
      </c>
      <c r="U1801" s="104">
        <f>VLOOKUP(TEXT(A1801,"yy-mm")&amp;"-"&amp;IF(AND(WEEKDAY(A1801)&gt;1,WEEKDAY(A1801)&lt;7),"Wkd",TEXT(A1801,"Ddd"))&amp;"-"&amp;TEXT(A1801,"hh"),LoadTable[],6,FALSE)*T1801</f>
        <v>15023.87376072</v>
      </c>
      <c r="V1801">
        <f t="shared" ref="V1801:W1801" si="1914">V1777</f>
        <v>2.9</v>
      </c>
      <c r="W1801">
        <f t="shared" si="1914"/>
        <v>3.1</v>
      </c>
      <c r="X1801" s="9">
        <v>-79.316042766667195</v>
      </c>
    </row>
    <row r="1802" spans="1:24">
      <c r="A1802" s="29">
        <f t="shared" si="1909"/>
        <v>45910.95833332897</v>
      </c>
      <c r="B1802" s="30">
        <f t="shared" si="1864"/>
        <v>5000</v>
      </c>
      <c r="C1802" s="8">
        <v>25000</v>
      </c>
      <c r="D1802" s="8">
        <v>0</v>
      </c>
      <c r="E1802" s="8">
        <v>700</v>
      </c>
      <c r="F1802" s="8">
        <v>15000</v>
      </c>
      <c r="G1802" s="30">
        <f t="shared" si="1865"/>
        <v>2400</v>
      </c>
      <c r="H1802" s="8">
        <v>25000</v>
      </c>
      <c r="I1802" s="30">
        <f t="shared" si="1866"/>
        <v>5000</v>
      </c>
      <c r="J1802" s="8">
        <v>25000</v>
      </c>
      <c r="K1802" s="30">
        <f t="shared" si="1867"/>
        <v>5000</v>
      </c>
      <c r="L1802" s="8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9">
        <v>13.5</v>
      </c>
      <c r="P1802" s="9">
        <v>19.5</v>
      </c>
      <c r="Q1802" s="79">
        <f>VLOOKUP(VLOOKUP(DATEVALUE(TEXT(A1802,"m/d/yyyy")),FY24_Temp[],5,FALSE)&amp;TEXT(A1802,"-h"),Table6[],4,FALSE)</f>
        <v>2.7027143069675992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VLOOKUP(TEXT(A1802,"yy-mm")&amp;"-"&amp;IF(AND(WEEKDAY(A1802)&gt;1,WEEKDAY(A1802)&lt;7),"Wkd",TEXT(A1802,"Ddd"))&amp;"-"&amp;TEXT(A1802,"hh"),LoadTable[],5,FALSE)*0.92</f>
        <v>237.25788000000003</v>
      </c>
      <c r="U1802" s="104">
        <f>VLOOKUP(TEXT(A1802,"yy-mm")&amp;"-"&amp;IF(AND(WEEKDAY(A1802)&gt;1,WEEKDAY(A1802)&lt;7),"Wkd",TEXT(A1802,"Ddd"))&amp;"-"&amp;TEXT(A1802,"hh"),LoadTable[],6,FALSE)*T1802</f>
        <v>11687.323168800001</v>
      </c>
      <c r="V1802">
        <f t="shared" ref="V1802:W1802" si="1915">V1778</f>
        <v>3.6</v>
      </c>
      <c r="W1802">
        <f t="shared" si="1915"/>
        <v>3.1</v>
      </c>
      <c r="X1802" s="9">
        <v>-79.393837316667202</v>
      </c>
    </row>
    <row r="1803" spans="1:24">
      <c r="A1803" s="29">
        <f t="shared" si="1909"/>
        <v>45910.999999995634</v>
      </c>
      <c r="B1803" s="30">
        <f t="shared" si="1864"/>
        <v>5000</v>
      </c>
      <c r="C1803" s="8">
        <v>25000</v>
      </c>
      <c r="D1803" s="8">
        <v>0</v>
      </c>
      <c r="E1803" s="8">
        <v>700</v>
      </c>
      <c r="F1803" s="8">
        <v>15000</v>
      </c>
      <c r="G1803" s="30">
        <f t="shared" si="1865"/>
        <v>2400</v>
      </c>
      <c r="H1803" s="8">
        <v>25000</v>
      </c>
      <c r="I1803" s="30">
        <f t="shared" si="1866"/>
        <v>5000</v>
      </c>
      <c r="J1803" s="8">
        <v>25000</v>
      </c>
      <c r="K1803" s="30">
        <f t="shared" si="1867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VLOOKUP(VLOOKUP(DATEVALUE(TEXT(A1803,"m/d/yyyy")),FY24_Temp[],5,FALSE)&amp;TEXT(A1803,"-h"),Table6[],4,FALSE)</f>
        <v>2.6951428822108676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VLOOKUP(TEXT(A1803,"yy-mm")&amp;"-"&amp;IF(AND(WEEKDAY(A1803)&gt;1,WEEKDAY(A1803)&lt;7),"Wkd",TEXT(A1803,"Ddd"))&amp;"-"&amp;TEXT(A1803,"hh"),LoadTable[],5,FALSE)*0.92</f>
        <v>237.25788000000003</v>
      </c>
      <c r="U1803" s="104">
        <f>VLOOKUP(TEXT(A1803,"yy-mm")&amp;"-"&amp;IF(AND(WEEKDAY(A1803)&gt;1,WEEKDAY(A1803)&lt;7),"Wkd",TEXT(A1803,"Ddd"))&amp;"-"&amp;TEXT(A1803,"hh"),LoadTable[],6,FALSE)*T1803</f>
        <v>12215.696467560001</v>
      </c>
      <c r="V1803">
        <f t="shared" ref="V1803:W1803" si="1916">V1779</f>
        <v>3</v>
      </c>
      <c r="W1803">
        <f t="shared" si="1916"/>
        <v>3.2</v>
      </c>
      <c r="X1803" s="9">
        <v>-79.471631866667195</v>
      </c>
    </row>
    <row r="1804" spans="1:24">
      <c r="A1804" s="29">
        <f t="shared" si="1909"/>
        <v>45911.041666662299</v>
      </c>
      <c r="B1804" s="30">
        <f t="shared" si="1864"/>
        <v>5000</v>
      </c>
      <c r="C1804" s="8">
        <v>25000</v>
      </c>
      <c r="D1804" s="8">
        <v>0</v>
      </c>
      <c r="E1804" s="8">
        <v>700</v>
      </c>
      <c r="F1804" s="8">
        <v>15000</v>
      </c>
      <c r="G1804" s="30">
        <f t="shared" si="1865"/>
        <v>2400</v>
      </c>
      <c r="H1804" s="8">
        <v>25000</v>
      </c>
      <c r="I1804" s="30">
        <f t="shared" si="1866"/>
        <v>5000</v>
      </c>
      <c r="J1804" s="8">
        <v>25000</v>
      </c>
      <c r="K1804" s="30">
        <f t="shared" si="1867"/>
        <v>5000</v>
      </c>
      <c r="L1804" s="8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9">
        <v>13.5</v>
      </c>
      <c r="P1804" s="9">
        <v>19.5</v>
      </c>
      <c r="Q1804" s="79">
        <f>VLOOKUP(VLOOKUP(DATEVALUE(TEXT(A1804,"m/d/yyyy")),FY24_Temp[],5,FALSE)&amp;TEXT(A1804,"-h"),Table6[],4,FALSE)</f>
        <v>2.6332857268197194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VLOOKUP(TEXT(A1804,"yy-mm")&amp;"-"&amp;IF(AND(WEEKDAY(A1804)&gt;1,WEEKDAY(A1804)&lt;7),"Wkd",TEXT(A1804,"Ddd"))&amp;"-"&amp;TEXT(A1804,"hh"),LoadTable[],5,FALSE)*0.92</f>
        <v>237.25788000000003</v>
      </c>
      <c r="U1804" s="104">
        <f>VLOOKUP(TEXT(A1804,"yy-mm")&amp;"-"&amp;IF(AND(WEEKDAY(A1804)&gt;1,WEEKDAY(A1804)&lt;7),"Wkd",TEXT(A1804,"Ddd"))&amp;"-"&amp;TEXT(A1804,"hh"),LoadTable[],6,FALSE)*T1804</f>
        <v>11905.12590264</v>
      </c>
      <c r="V1804">
        <f t="shared" ref="V1804:W1804" si="1917">V1780</f>
        <v>2.6</v>
      </c>
      <c r="W1804">
        <f t="shared" si="1917"/>
        <v>3.2</v>
      </c>
      <c r="X1804" s="9">
        <v>-79.549426416667202</v>
      </c>
    </row>
    <row r="1805" spans="1:24">
      <c r="A1805" s="29">
        <f t="shared" si="1909"/>
        <v>45911.083333328963</v>
      </c>
      <c r="B1805" s="30">
        <f t="shared" si="1864"/>
        <v>5000</v>
      </c>
      <c r="C1805" s="8">
        <v>25000</v>
      </c>
      <c r="D1805" s="8">
        <v>0</v>
      </c>
      <c r="E1805" s="8">
        <v>700</v>
      </c>
      <c r="F1805" s="8">
        <v>15000</v>
      </c>
      <c r="G1805" s="30">
        <f t="shared" si="1865"/>
        <v>2400</v>
      </c>
      <c r="H1805" s="8">
        <v>25000</v>
      </c>
      <c r="I1805" s="30">
        <f t="shared" si="1866"/>
        <v>5000</v>
      </c>
      <c r="J1805" s="8">
        <v>25000</v>
      </c>
      <c r="K1805" s="30">
        <f t="shared" si="1867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VLOOKUP(VLOOKUP(DATEVALUE(TEXT(A1805,"m/d/yyyy")),FY24_Temp[],5,FALSE)&amp;TEXT(A1805,"-h"),Table6[],4,FALSE)</f>
        <v>2.5004285403660367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VLOOKUP(TEXT(A1805,"yy-mm")&amp;"-"&amp;IF(AND(WEEKDAY(A1805)&gt;1,WEEKDAY(A1805)&lt;7),"Wkd",TEXT(A1805,"Ddd"))&amp;"-"&amp;TEXT(A1805,"hh"),LoadTable[],5,FALSE)*0.92</f>
        <v>237.25788000000003</v>
      </c>
      <c r="U1805" s="104">
        <f>VLOOKUP(TEXT(A1805,"yy-mm")&amp;"-"&amp;IF(AND(WEEKDAY(A1805)&gt;1,WEEKDAY(A1805)&lt;7),"Wkd",TEXT(A1805,"Ddd"))&amp;"-"&amp;TEXT(A1805,"hh"),LoadTable[],6,FALSE)*T1805</f>
        <v>11856.013521480001</v>
      </c>
      <c r="V1805">
        <f t="shared" ref="V1805:W1805" si="1918">V1781</f>
        <v>2.8</v>
      </c>
      <c r="W1805">
        <f t="shared" si="1918"/>
        <v>3.2</v>
      </c>
      <c r="X1805" s="9">
        <v>-79.627220966667196</v>
      </c>
    </row>
    <row r="1806" spans="1:24">
      <c r="A1806" s="29">
        <f t="shared" si="1909"/>
        <v>45911.124999995627</v>
      </c>
      <c r="B1806" s="30">
        <f t="shared" si="1864"/>
        <v>5000</v>
      </c>
      <c r="C1806" s="8">
        <v>25000</v>
      </c>
      <c r="D1806" s="8">
        <v>0</v>
      </c>
      <c r="E1806" s="8">
        <v>700</v>
      </c>
      <c r="F1806" s="8">
        <v>15000</v>
      </c>
      <c r="G1806" s="30">
        <f t="shared" si="1865"/>
        <v>2400</v>
      </c>
      <c r="H1806" s="8">
        <v>25000</v>
      </c>
      <c r="I1806" s="30">
        <f t="shared" si="1866"/>
        <v>5000</v>
      </c>
      <c r="J1806" s="8">
        <v>25000</v>
      </c>
      <c r="K1806" s="30">
        <f t="shared" si="1867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VLOOKUP(VLOOKUP(DATEVALUE(TEXT(A1806,"m/d/yyyy")),FY24_Temp[],5,FALSE)&amp;TEXT(A1806,"-h"),Table6[],4,FALSE)</f>
        <v>2.3495714323861256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VLOOKUP(TEXT(A1806,"yy-mm")&amp;"-"&amp;IF(AND(WEEKDAY(A1806)&gt;1,WEEKDAY(A1806)&lt;7),"Wkd",TEXT(A1806,"Ddd"))&amp;"-"&amp;TEXT(A1806,"hh"),LoadTable[],5,FALSE)*0.92</f>
        <v>237.25788000000003</v>
      </c>
      <c r="U1806" s="104">
        <f>VLOOKUP(TEXT(A1806,"yy-mm")&amp;"-"&amp;IF(AND(WEEKDAY(A1806)&gt;1,WEEKDAY(A1806)&lt;7),"Wkd",TEXT(A1806,"Ddd"))&amp;"-"&amp;TEXT(A1806,"hh"),LoadTable[],6,FALSE)*T1806</f>
        <v>11893.025750760002</v>
      </c>
      <c r="V1806">
        <f t="shared" ref="V1806:W1806" si="1919">V1782</f>
        <v>2.7</v>
      </c>
      <c r="W1806">
        <f t="shared" si="1919"/>
        <v>3.2</v>
      </c>
      <c r="X1806" s="9">
        <v>-79.705015516667302</v>
      </c>
    </row>
    <row r="1807" spans="1:24">
      <c r="A1807" s="29">
        <f t="shared" si="1909"/>
        <v>45911.166666662291</v>
      </c>
      <c r="B1807" s="30">
        <f t="shared" si="1864"/>
        <v>5000</v>
      </c>
      <c r="C1807" s="8">
        <v>25000</v>
      </c>
      <c r="D1807" s="8">
        <v>0</v>
      </c>
      <c r="E1807" s="8">
        <v>700</v>
      </c>
      <c r="F1807" s="8">
        <v>15000</v>
      </c>
      <c r="G1807" s="30">
        <f t="shared" si="1865"/>
        <v>2400</v>
      </c>
      <c r="H1807" s="8">
        <v>25000</v>
      </c>
      <c r="I1807" s="30">
        <f t="shared" si="1866"/>
        <v>5000</v>
      </c>
      <c r="J1807" s="8">
        <v>25000</v>
      </c>
      <c r="K1807" s="30">
        <f t="shared" si="1867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VLOOKUP(VLOOKUP(DATEVALUE(TEXT(A1807,"m/d/yyyy")),FY24_Temp[],5,FALSE)&amp;TEXT(A1807,"-h"),Table6[],4,FALSE)</f>
        <v>2.1924285548073903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VLOOKUP(TEXT(A1807,"yy-mm")&amp;"-"&amp;IF(AND(WEEKDAY(A1807)&gt;1,WEEKDAY(A1807)&lt;7),"Wkd",TEXT(A1807,"Ddd"))&amp;"-"&amp;TEXT(A1807,"hh"),LoadTable[],5,FALSE)*0.92</f>
        <v>237.25788000000003</v>
      </c>
      <c r="U1807" s="104">
        <f>VLOOKUP(TEXT(A1807,"yy-mm")&amp;"-"&amp;IF(AND(WEEKDAY(A1807)&gt;1,WEEKDAY(A1807)&lt;7),"Wkd",TEXT(A1807,"Ddd"))&amp;"-"&amp;TEXT(A1807,"hh"),LoadTable[],6,FALSE)*T1807</f>
        <v>12081.645765360001</v>
      </c>
      <c r="V1807">
        <f t="shared" ref="V1807:W1807" si="1920">V1783</f>
        <v>3</v>
      </c>
      <c r="W1807">
        <f t="shared" si="1920"/>
        <v>3.1</v>
      </c>
      <c r="X1807" s="9">
        <v>-79.782810066667295</v>
      </c>
    </row>
    <row r="1808" spans="1:24">
      <c r="A1808" s="29">
        <f t="shared" si="1909"/>
        <v>45911.208333328956</v>
      </c>
      <c r="B1808" s="30">
        <f t="shared" si="1864"/>
        <v>5000</v>
      </c>
      <c r="C1808" s="8">
        <v>25000</v>
      </c>
      <c r="D1808" s="8">
        <v>0</v>
      </c>
      <c r="E1808" s="8">
        <v>700</v>
      </c>
      <c r="F1808" s="8">
        <v>15000</v>
      </c>
      <c r="G1808" s="30">
        <f t="shared" si="1865"/>
        <v>2400</v>
      </c>
      <c r="H1808" s="8">
        <v>25000</v>
      </c>
      <c r="I1808" s="30">
        <f t="shared" si="1866"/>
        <v>5000</v>
      </c>
      <c r="J1808" s="8">
        <v>25000</v>
      </c>
      <c r="K1808" s="30">
        <f t="shared" si="1867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VLOOKUP(VLOOKUP(DATEVALUE(TEXT(A1808,"m/d/yyyy")),FY24_Temp[],5,FALSE)&amp;TEXT(A1808,"-h"),Table6[],4,FALSE)</f>
        <v>2.0738571711948941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VLOOKUP(TEXT(A1808,"yy-mm")&amp;"-"&amp;IF(AND(WEEKDAY(A1808)&gt;1,WEEKDAY(A1808)&lt;7),"Wkd",TEXT(A1808,"Ddd"))&amp;"-"&amp;TEXT(A1808,"hh"),LoadTable[],5,FALSE)*0.92</f>
        <v>237.25788000000003</v>
      </c>
      <c r="U1808" s="104">
        <f>VLOOKUP(TEXT(A1808,"yy-mm")&amp;"-"&amp;IF(AND(WEEKDAY(A1808)&gt;1,WEEKDAY(A1808)&lt;7),"Wkd",TEXT(A1808,"Ddd"))&amp;"-"&amp;TEXT(A1808,"hh"),LoadTable[],6,FALSE)*T1808</f>
        <v>12065.037713760001</v>
      </c>
      <c r="V1808">
        <f t="shared" ref="V1808:W1808" si="1921">V1784</f>
        <v>2.9</v>
      </c>
      <c r="W1808">
        <f t="shared" si="1921"/>
        <v>3.1</v>
      </c>
      <c r="X1808" s="9">
        <v>-79.860604616667302</v>
      </c>
    </row>
    <row r="1809" spans="1:24">
      <c r="A1809" s="29">
        <f t="shared" si="1909"/>
        <v>45911.24999999562</v>
      </c>
      <c r="B1809" s="30">
        <f t="shared" si="1864"/>
        <v>8000</v>
      </c>
      <c r="C1809" s="8">
        <v>25000</v>
      </c>
      <c r="D1809" s="8">
        <v>0</v>
      </c>
      <c r="E1809" s="8">
        <v>700</v>
      </c>
      <c r="F1809" s="8">
        <v>15000</v>
      </c>
      <c r="G1809" s="30">
        <f t="shared" si="1865"/>
        <v>2400</v>
      </c>
      <c r="H1809" s="8">
        <v>25000</v>
      </c>
      <c r="I1809" s="30">
        <f t="shared" si="1866"/>
        <v>8000</v>
      </c>
      <c r="J1809" s="8">
        <v>25000</v>
      </c>
      <c r="K1809" s="30">
        <f t="shared" si="1867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VLOOKUP(VLOOKUP(DATEVALUE(TEXT(A1809,"m/d/yyyy")),FY24_Temp[],5,FALSE)&amp;TEXT(A1809,"-h"),Table6[],4,FALSE)</f>
        <v>1.9711428540093558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VLOOKUP(TEXT(A1809,"yy-mm")&amp;"-"&amp;IF(AND(WEEKDAY(A1809)&gt;1,WEEKDAY(A1809)&lt;7),"Wkd",TEXT(A1809,"Ddd"))&amp;"-"&amp;TEXT(A1809,"hh"),LoadTable[],5,FALSE)*0.92</f>
        <v>237.25788000000003</v>
      </c>
      <c r="U1809" s="104">
        <f>VLOOKUP(TEXT(A1809,"yy-mm")&amp;"-"&amp;IF(AND(WEEKDAY(A1809)&gt;1,WEEKDAY(A1809)&lt;7),"Wkd",TEXT(A1809,"Ddd"))&amp;"-"&amp;TEXT(A1809,"hh"),LoadTable[],6,FALSE)*T1809</f>
        <v>18358.065722880005</v>
      </c>
      <c r="V1809">
        <f t="shared" ref="V1809:W1809" si="1922">V1785</f>
        <v>2.5</v>
      </c>
      <c r="W1809">
        <f t="shared" si="1922"/>
        <v>3.1</v>
      </c>
      <c r="X1809" s="9">
        <v>-79.938399166667296</v>
      </c>
    </row>
    <row r="1810" spans="1:24">
      <c r="A1810" s="29">
        <f t="shared" si="1909"/>
        <v>45911.291666662284</v>
      </c>
      <c r="B1810" s="30">
        <f t="shared" si="1864"/>
        <v>8000</v>
      </c>
      <c r="C1810" s="8">
        <v>25000</v>
      </c>
      <c r="D1810" s="8">
        <v>0</v>
      </c>
      <c r="E1810" s="8">
        <v>700</v>
      </c>
      <c r="F1810" s="8">
        <v>15000</v>
      </c>
      <c r="G1810" s="30">
        <f t="shared" si="1865"/>
        <v>2400</v>
      </c>
      <c r="H1810" s="8">
        <v>25000</v>
      </c>
      <c r="I1810" s="30">
        <f t="shared" si="1866"/>
        <v>8000</v>
      </c>
      <c r="J1810" s="8">
        <v>25000</v>
      </c>
      <c r="K1810" s="30">
        <f t="shared" si="1867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VLOOKUP(VLOOKUP(DATEVALUE(TEXT(A1810,"m/d/yyyy")),FY24_Temp[],5,FALSE)&amp;TEXT(A1810,"-h"),Table6[],4,FALSE)</f>
        <v>1.8018571478979928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VLOOKUP(TEXT(A1810,"yy-mm")&amp;"-"&amp;IF(AND(WEEKDAY(A1810)&gt;1,WEEKDAY(A1810)&lt;7),"Wkd",TEXT(A1810,"Ddd"))&amp;"-"&amp;TEXT(A1810,"hh"),LoadTable[],5,FALSE)*0.92</f>
        <v>237.25788000000003</v>
      </c>
      <c r="U1810" s="104">
        <f>VLOOKUP(TEXT(A1810,"yy-mm")&amp;"-"&amp;IF(AND(WEEKDAY(A1810)&gt;1,WEEKDAY(A1810)&lt;7),"Wkd",TEXT(A1810,"Ddd"))&amp;"-"&amp;TEXT(A1810,"hh"),LoadTable[],6,FALSE)*T1810</f>
        <v>16249.08042756</v>
      </c>
      <c r="V1810">
        <f t="shared" ref="V1810:W1810" si="1923">V1786</f>
        <v>2.5</v>
      </c>
      <c r="W1810">
        <f t="shared" si="1923"/>
        <v>3.1</v>
      </c>
      <c r="X1810" s="9">
        <v>-80.016193716667303</v>
      </c>
    </row>
    <row r="1811" spans="1:24">
      <c r="A1811" s="29">
        <f t="shared" si="1909"/>
        <v>45911.333333328948</v>
      </c>
      <c r="B1811" s="30">
        <f t="shared" si="1864"/>
        <v>8000</v>
      </c>
      <c r="C1811" s="8">
        <v>25000</v>
      </c>
      <c r="D1811" s="8">
        <v>0</v>
      </c>
      <c r="E1811" s="8">
        <v>700</v>
      </c>
      <c r="F1811" s="8">
        <v>15000</v>
      </c>
      <c r="G1811" s="30">
        <f t="shared" si="1865"/>
        <v>2400</v>
      </c>
      <c r="H1811" s="8">
        <v>25000</v>
      </c>
      <c r="I1811" s="30">
        <f t="shared" si="1866"/>
        <v>8000</v>
      </c>
      <c r="J1811" s="8">
        <v>25000</v>
      </c>
      <c r="K1811" s="30">
        <f t="shared" si="1867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VLOOKUP(VLOOKUP(DATEVALUE(TEXT(A1811,"m/d/yyyy")),FY24_Temp[],5,FALSE)&amp;TEXT(A1811,"-h"),Table6[],4,FALSE)</f>
        <v>1.7142857142857142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VLOOKUP(TEXT(A1811,"yy-mm")&amp;"-"&amp;IF(AND(WEEKDAY(A1811)&gt;1,WEEKDAY(A1811)&lt;7),"Wkd",TEXT(A1811,"Ddd"))&amp;"-"&amp;TEXT(A1811,"hh"),LoadTable[],5,FALSE)*0.92</f>
        <v>237.25788000000003</v>
      </c>
      <c r="U1811" s="104">
        <f>VLOOKUP(TEXT(A1811,"yy-mm")&amp;"-"&amp;IF(AND(WEEKDAY(A1811)&gt;1,WEEKDAY(A1811)&lt;7),"Wkd",TEXT(A1811,"Ddd"))&amp;"-"&amp;TEXT(A1811,"hh"),LoadTable[],6,FALSE)*T1811</f>
        <v>13068.164030400001</v>
      </c>
      <c r="V1811">
        <f t="shared" ref="V1811:W1811" si="1924">V1787</f>
        <v>3.2</v>
      </c>
      <c r="W1811">
        <f t="shared" si="1924"/>
        <v>3</v>
      </c>
      <c r="X1811" s="9">
        <v>-80.093988266667296</v>
      </c>
    </row>
    <row r="1812" spans="1:24">
      <c r="A1812" s="29">
        <f t="shared" si="1909"/>
        <v>45911.374999995613</v>
      </c>
      <c r="B1812" s="30">
        <f t="shared" si="1864"/>
        <v>8000</v>
      </c>
      <c r="C1812" s="8">
        <v>25000</v>
      </c>
      <c r="D1812" s="8">
        <v>0</v>
      </c>
      <c r="E1812" s="8">
        <v>700</v>
      </c>
      <c r="F1812" s="8">
        <v>15000</v>
      </c>
      <c r="G1812" s="30">
        <f t="shared" si="1865"/>
        <v>2400</v>
      </c>
      <c r="H1812" s="8">
        <v>25000</v>
      </c>
      <c r="I1812" s="30">
        <f t="shared" si="1866"/>
        <v>8000</v>
      </c>
      <c r="J1812" s="8">
        <v>25000</v>
      </c>
      <c r="K1812" s="30">
        <f t="shared" si="1867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VLOOKUP(VLOOKUP(DATEVALUE(TEXT(A1812,"m/d/yyyy")),FY24_Temp[],5,FALSE)&amp;TEXT(A1812,"-h"),Table6[],4,FALSE)</f>
        <v>1.5628571510314941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VLOOKUP(TEXT(A1812,"yy-mm")&amp;"-"&amp;IF(AND(WEEKDAY(A1812)&gt;1,WEEKDAY(A1812)&lt;7),"Wkd",TEXT(A1812,"Ddd"))&amp;"-"&amp;TEXT(A1812,"hh"),LoadTable[],5,FALSE)*0.92</f>
        <v>237.25788000000003</v>
      </c>
      <c r="U1812" s="104">
        <f>VLOOKUP(TEXT(A1812,"yy-mm")&amp;"-"&amp;IF(AND(WEEKDAY(A1812)&gt;1,WEEKDAY(A1812)&lt;7),"Wkd",TEXT(A1812,"Ddd"))&amp;"-"&amp;TEXT(A1812,"hh"),LoadTable[],6,FALSE)*T1812</f>
        <v>11518.395558240001</v>
      </c>
      <c r="V1812">
        <f t="shared" ref="V1812:W1812" si="1925">V1788</f>
        <v>2.9</v>
      </c>
      <c r="W1812">
        <f t="shared" si="1925"/>
        <v>3</v>
      </c>
      <c r="X1812" s="9">
        <v>-80.171782816667303</v>
      </c>
    </row>
    <row r="1813" spans="1:24">
      <c r="A1813" s="29">
        <f t="shared" si="1909"/>
        <v>45911.416666662277</v>
      </c>
      <c r="B1813" s="30">
        <f t="shared" si="1864"/>
        <v>8000</v>
      </c>
      <c r="C1813" s="8">
        <v>25000</v>
      </c>
      <c r="D1813" s="8">
        <v>0</v>
      </c>
      <c r="E1813" s="8">
        <v>700</v>
      </c>
      <c r="F1813" s="8">
        <v>15000</v>
      </c>
      <c r="G1813" s="30">
        <f t="shared" si="1865"/>
        <v>2400</v>
      </c>
      <c r="H1813" s="8">
        <v>25000</v>
      </c>
      <c r="I1813" s="30">
        <f t="shared" si="1866"/>
        <v>8000</v>
      </c>
      <c r="J1813" s="8">
        <v>25000</v>
      </c>
      <c r="K1813" s="30">
        <f t="shared" si="1867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VLOOKUP(VLOOKUP(DATEVALUE(TEXT(A1813,"m/d/yyyy")),FY24_Temp[],5,FALSE)&amp;TEXT(A1813,"-h"),Table6[],4,FALSE)</f>
        <v>1.4149999959128243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VLOOKUP(TEXT(A1813,"yy-mm")&amp;"-"&amp;IF(AND(WEEKDAY(A1813)&gt;1,WEEKDAY(A1813)&lt;7),"Wkd",TEXT(A1813,"Ddd"))&amp;"-"&amp;TEXT(A1813,"hh"),LoadTable[],5,FALSE)*0.92</f>
        <v>237.25788000000003</v>
      </c>
      <c r="U1813" s="104">
        <f>VLOOKUP(TEXT(A1813,"yy-mm")&amp;"-"&amp;IF(AND(WEEKDAY(A1813)&gt;1,WEEKDAY(A1813)&lt;7),"Wkd",TEXT(A1813,"Ddd"))&amp;"-"&amp;TEXT(A1813,"hh"),LoadTable[],6,FALSE)*T1813</f>
        <v>10982.667265200002</v>
      </c>
      <c r="V1813">
        <f t="shared" ref="V1813:W1813" si="1926">V1789</f>
        <v>2.9</v>
      </c>
      <c r="W1813">
        <f t="shared" si="1926"/>
        <v>3</v>
      </c>
      <c r="X1813" s="9">
        <v>-80.249577366667296</v>
      </c>
    </row>
    <row r="1814" spans="1:24">
      <c r="A1814" s="29">
        <f t="shared" si="1909"/>
        <v>45911.458333328941</v>
      </c>
      <c r="B1814" s="30">
        <f t="shared" si="1864"/>
        <v>8000</v>
      </c>
      <c r="C1814" s="8">
        <v>25000</v>
      </c>
      <c r="D1814" s="8">
        <v>0</v>
      </c>
      <c r="E1814" s="8">
        <v>700</v>
      </c>
      <c r="F1814" s="8">
        <v>15000</v>
      </c>
      <c r="G1814" s="30">
        <f t="shared" si="1865"/>
        <v>2400</v>
      </c>
      <c r="H1814" s="8">
        <v>25000</v>
      </c>
      <c r="I1814" s="30">
        <f t="shared" si="1866"/>
        <v>8000</v>
      </c>
      <c r="J1814" s="8">
        <v>25000</v>
      </c>
      <c r="K1814" s="30">
        <f t="shared" si="1867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VLOOKUP(VLOOKUP(DATEVALUE(TEXT(A1814,"m/d/yyyy")),FY24_Temp[],5,FALSE)&amp;TEXT(A1814,"-h"),Table6[],4,FALSE)</f>
        <v>1.3002857310431344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VLOOKUP(TEXT(A1814,"yy-mm")&amp;"-"&amp;IF(AND(WEEKDAY(A1814)&gt;1,WEEKDAY(A1814)&lt;7),"Wkd",TEXT(A1814,"Ddd"))&amp;"-"&amp;TEXT(A1814,"hh"),LoadTable[],5,FALSE)*0.92</f>
        <v>237.25788000000003</v>
      </c>
      <c r="U1814" s="104">
        <f>VLOOKUP(TEXT(A1814,"yy-mm")&amp;"-"&amp;IF(AND(WEEKDAY(A1814)&gt;1,WEEKDAY(A1814)&lt;7),"Wkd",TEXT(A1814,"Ddd"))&amp;"-"&amp;TEXT(A1814,"hh"),LoadTable[],6,FALSE)*T1814</f>
        <v>10974.125981520001</v>
      </c>
      <c r="V1814">
        <f t="shared" ref="V1814:W1814" si="1927">V1790</f>
        <v>3.4</v>
      </c>
      <c r="W1814">
        <f t="shared" si="1927"/>
        <v>3</v>
      </c>
      <c r="X1814" s="9">
        <v>-80.327371916667303</v>
      </c>
    </row>
    <row r="1815" spans="1:24">
      <c r="A1815" s="29">
        <f t="shared" si="1909"/>
        <v>45911.499999995605</v>
      </c>
      <c r="B1815" s="30">
        <f t="shared" si="1864"/>
        <v>8000</v>
      </c>
      <c r="C1815" s="8">
        <v>25000</v>
      </c>
      <c r="D1815" s="8">
        <v>0</v>
      </c>
      <c r="E1815" s="8">
        <v>700</v>
      </c>
      <c r="F1815" s="8">
        <v>15000</v>
      </c>
      <c r="G1815" s="30">
        <f t="shared" si="1865"/>
        <v>2400</v>
      </c>
      <c r="H1815" s="8">
        <v>25000</v>
      </c>
      <c r="I1815" s="30">
        <f t="shared" si="1866"/>
        <v>8000</v>
      </c>
      <c r="J1815" s="8">
        <v>25000</v>
      </c>
      <c r="K1815" s="30">
        <f t="shared" si="1867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VLOOKUP(VLOOKUP(DATEVALUE(TEXT(A1815,"m/d/yyyy")),FY24_Temp[],5,FALSE)&amp;TEXT(A1815,"-h"),Table6[],4,FALSE)</f>
        <v>1.1327142715454102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VLOOKUP(TEXT(A1815,"yy-mm")&amp;"-"&amp;IF(AND(WEEKDAY(A1815)&gt;1,WEEKDAY(A1815)&lt;7),"Wkd",TEXT(A1815,"Ddd"))&amp;"-"&amp;TEXT(A1815,"hh"),LoadTable[],5,FALSE)*0.92</f>
        <v>237.25788000000003</v>
      </c>
      <c r="U1815" s="104">
        <f>VLOOKUP(TEXT(A1815,"yy-mm")&amp;"-"&amp;IF(AND(WEEKDAY(A1815)&gt;1,WEEKDAY(A1815)&lt;7),"Wkd",TEXT(A1815,"Ddd"))&amp;"-"&amp;TEXT(A1815,"hh"),LoadTable[],6,FALSE)*T1815</f>
        <v>10962.974861160001</v>
      </c>
      <c r="V1815">
        <f t="shared" ref="V1815:W1815" si="1928">V1791</f>
        <v>3.1</v>
      </c>
      <c r="W1815">
        <f t="shared" si="1928"/>
        <v>2.9</v>
      </c>
      <c r="X1815" s="9">
        <v>-80.405166466667296</v>
      </c>
    </row>
    <row r="1816" spans="1:24">
      <c r="A1816" s="29">
        <f t="shared" si="1909"/>
        <v>45911.54166666227</v>
      </c>
      <c r="B1816" s="30">
        <f t="shared" si="1864"/>
        <v>8000</v>
      </c>
      <c r="C1816" s="8">
        <v>25000</v>
      </c>
      <c r="D1816" s="8">
        <v>0</v>
      </c>
      <c r="E1816" s="8">
        <v>700</v>
      </c>
      <c r="F1816" s="8">
        <v>15000</v>
      </c>
      <c r="G1816" s="30">
        <f t="shared" si="1865"/>
        <v>2400</v>
      </c>
      <c r="H1816" s="8">
        <v>25000</v>
      </c>
      <c r="I1816" s="30">
        <f t="shared" si="1866"/>
        <v>8000</v>
      </c>
      <c r="J1816" s="8">
        <v>25000</v>
      </c>
      <c r="K1816" s="30">
        <f t="shared" si="1867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VLOOKUP(VLOOKUP(DATEVALUE(TEXT(A1816,"m/d/yyyy")),FY24_Temp[],5,FALSE)&amp;TEXT(A1816,"-h"),Table6[],4,FALSE)</f>
        <v>0.98357141869408748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VLOOKUP(TEXT(A1816,"yy-mm")&amp;"-"&amp;IF(AND(WEEKDAY(A1816)&gt;1,WEEKDAY(A1816)&lt;7),"Wkd",TEXT(A1816,"Ddd"))&amp;"-"&amp;TEXT(A1816,"hh"),LoadTable[],5,FALSE)*0.92</f>
        <v>237.25788000000003</v>
      </c>
      <c r="U1816" s="104">
        <f>VLOOKUP(TEXT(A1816,"yy-mm")&amp;"-"&amp;IF(AND(WEEKDAY(A1816)&gt;1,WEEKDAY(A1816)&lt;7),"Wkd",TEXT(A1816,"Ddd"))&amp;"-"&amp;TEXT(A1816,"hh"),LoadTable[],6,FALSE)*T1816</f>
        <v>10978.39662336</v>
      </c>
      <c r="V1816">
        <f t="shared" ref="V1816:W1816" si="1929">V1792</f>
        <v>3.2</v>
      </c>
      <c r="W1816">
        <f t="shared" si="1929"/>
        <v>2.9</v>
      </c>
      <c r="X1816" s="9">
        <v>-80.482961016667304</v>
      </c>
    </row>
    <row r="1817" spans="1:24">
      <c r="A1817" s="29">
        <f t="shared" si="1909"/>
        <v>45911.583333328934</v>
      </c>
      <c r="B1817" s="30">
        <f t="shared" si="1864"/>
        <v>8000</v>
      </c>
      <c r="C1817" s="8">
        <v>25000</v>
      </c>
      <c r="D1817" s="8">
        <v>0</v>
      </c>
      <c r="E1817" s="8">
        <v>700</v>
      </c>
      <c r="F1817" s="8">
        <v>15000</v>
      </c>
      <c r="G1817" s="30">
        <f t="shared" si="1865"/>
        <v>2400</v>
      </c>
      <c r="H1817" s="8">
        <v>25000</v>
      </c>
      <c r="I1817" s="30">
        <f t="shared" si="1866"/>
        <v>8000</v>
      </c>
      <c r="J1817" s="8">
        <v>25000</v>
      </c>
      <c r="K1817" s="30">
        <f t="shared" si="1867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VLOOKUP(VLOOKUP(DATEVALUE(TEXT(A1817,"m/d/yyyy")),FY24_Temp[],5,FALSE)&amp;TEXT(A1817,"-h"),Table6[],4,FALSE)</f>
        <v>0.86971429416111534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VLOOKUP(TEXT(A1817,"yy-mm")&amp;"-"&amp;IF(AND(WEEKDAY(A1817)&gt;1,WEEKDAY(A1817)&lt;7),"Wkd",TEXT(A1817,"Ddd"))&amp;"-"&amp;TEXT(A1817,"hh"),LoadTable[],5,FALSE)*0.92</f>
        <v>269.75136000000003</v>
      </c>
      <c r="U1817" s="104">
        <f>VLOOKUP(TEXT(A1817,"yy-mm")&amp;"-"&amp;IF(AND(WEEKDAY(A1817)&gt;1,WEEKDAY(A1817)&lt;7),"Wkd",TEXT(A1817,"Ddd"))&amp;"-"&amp;TEXT(A1817,"hh"),LoadTable[],6,FALSE)*T1817</f>
        <v>12503.245287360001</v>
      </c>
      <c r="V1817">
        <f t="shared" ref="V1817:W1817" si="1930">V1793</f>
        <v>3.5</v>
      </c>
      <c r="W1817">
        <f t="shared" si="1930"/>
        <v>2.9</v>
      </c>
      <c r="X1817" s="9">
        <v>-80.560755566667297</v>
      </c>
    </row>
    <row r="1818" spans="1:24">
      <c r="A1818" s="29">
        <f t="shared" si="1909"/>
        <v>45911.624999995598</v>
      </c>
      <c r="B1818" s="30">
        <f t="shared" si="1864"/>
        <v>8000</v>
      </c>
      <c r="C1818" s="8">
        <v>25000</v>
      </c>
      <c r="D1818" s="8">
        <v>0</v>
      </c>
      <c r="E1818" s="8">
        <v>700</v>
      </c>
      <c r="F1818" s="8">
        <v>15000</v>
      </c>
      <c r="G1818" s="30">
        <f t="shared" si="1865"/>
        <v>2400</v>
      </c>
      <c r="H1818" s="8">
        <v>25000</v>
      </c>
      <c r="I1818" s="30">
        <f t="shared" si="1866"/>
        <v>8000</v>
      </c>
      <c r="J1818" s="8">
        <v>25000</v>
      </c>
      <c r="K1818" s="30">
        <f t="shared" si="1867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VLOOKUP(VLOOKUP(DATEVALUE(TEXT(A1818,"m/d/yyyy")),FY24_Temp[],5,FALSE)&amp;TEXT(A1818,"-h"),Table6[],4,FALSE)</f>
        <v>0.90028570379529682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VLOOKUP(TEXT(A1818,"yy-mm")&amp;"-"&amp;IF(AND(WEEKDAY(A1818)&gt;1,WEEKDAY(A1818)&lt;7),"Wkd",TEXT(A1818,"Ddd"))&amp;"-"&amp;TEXT(A1818,"hh"),LoadTable[],5,FALSE)*0.92</f>
        <v>388.38076000000001</v>
      </c>
      <c r="U1818" s="104">
        <f>VLOOKUP(TEXT(A1818,"yy-mm")&amp;"-"&amp;IF(AND(WEEKDAY(A1818)&gt;1,WEEKDAY(A1818)&lt;7),"Wkd",TEXT(A1818,"Ddd"))&amp;"-"&amp;TEXT(A1818,"hh"),LoadTable[],6,FALSE)*T1818</f>
        <v>19705.663000880002</v>
      </c>
      <c r="V1818">
        <f t="shared" ref="V1818:W1818" si="1931">V1794</f>
        <v>3.2</v>
      </c>
      <c r="W1818">
        <f t="shared" si="1931"/>
        <v>2.9</v>
      </c>
      <c r="X1818" s="9">
        <v>-80.638550116667304</v>
      </c>
    </row>
    <row r="1819" spans="1:24">
      <c r="A1819" s="29">
        <f t="shared" si="1909"/>
        <v>45911.666666662262</v>
      </c>
      <c r="B1819" s="30">
        <f t="shared" si="1864"/>
        <v>8000</v>
      </c>
      <c r="C1819" s="8">
        <v>25000</v>
      </c>
      <c r="D1819" s="8">
        <v>0</v>
      </c>
      <c r="E1819" s="8">
        <v>700</v>
      </c>
      <c r="F1819" s="8">
        <v>15000</v>
      </c>
      <c r="G1819" s="30">
        <f t="shared" si="1865"/>
        <v>2400</v>
      </c>
      <c r="H1819" s="8">
        <v>25000</v>
      </c>
      <c r="I1819" s="30">
        <f t="shared" si="1866"/>
        <v>8000</v>
      </c>
      <c r="J1819" s="8">
        <v>25000</v>
      </c>
      <c r="K1819" s="30">
        <f t="shared" si="1867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VLOOKUP(VLOOKUP(DATEVALUE(TEXT(A1819,"m/d/yyyy")),FY24_Temp[],5,FALSE)&amp;TEXT(A1819,"-h"),Table6[],4,FALSE)</f>
        <v>1.2158571481704712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VLOOKUP(TEXT(A1819,"yy-mm")&amp;"-"&amp;IF(AND(WEEKDAY(A1819)&gt;1,WEEKDAY(A1819)&lt;7),"Wkd",TEXT(A1819,"Ddd"))&amp;"-"&amp;TEXT(A1819,"hh"),LoadTable[],5,FALSE)*0.92</f>
        <v>388.38076000000001</v>
      </c>
      <c r="U1819" s="104">
        <f>VLOOKUP(TEXT(A1819,"yy-mm")&amp;"-"&amp;IF(AND(WEEKDAY(A1819)&gt;1,WEEKDAY(A1819)&lt;7),"Wkd",TEXT(A1819,"Ddd"))&amp;"-"&amp;TEXT(A1819,"hh"),LoadTable[],6,FALSE)*T1819</f>
        <v>23675.6911296</v>
      </c>
      <c r="V1819">
        <f t="shared" ref="V1819:W1819" si="1932">V1795</f>
        <v>3.5</v>
      </c>
      <c r="W1819">
        <f t="shared" si="1932"/>
        <v>3</v>
      </c>
      <c r="X1819" s="9">
        <v>-80.716344666667297</v>
      </c>
    </row>
    <row r="1820" spans="1:24">
      <c r="A1820" s="29">
        <f t="shared" si="1909"/>
        <v>45911.708333328927</v>
      </c>
      <c r="B1820" s="30">
        <f t="shared" ref="B1820:B1883" si="1933">B1796</f>
        <v>8000</v>
      </c>
      <c r="C1820" s="8">
        <v>25000</v>
      </c>
      <c r="D1820" s="8">
        <v>0</v>
      </c>
      <c r="E1820" s="8">
        <v>700</v>
      </c>
      <c r="F1820" s="8">
        <v>15000</v>
      </c>
      <c r="G1820" s="30">
        <f t="shared" ref="G1820:G1883" si="1934">G1796</f>
        <v>2400</v>
      </c>
      <c r="H1820" s="8">
        <v>25000</v>
      </c>
      <c r="I1820" s="30">
        <f t="shared" ref="I1820:I1883" si="1935">I1796</f>
        <v>8000</v>
      </c>
      <c r="J1820" s="8">
        <v>25000</v>
      </c>
      <c r="K1820" s="30">
        <f t="shared" ref="K1820:K1883" si="1936">K1796</f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VLOOKUP(VLOOKUP(DATEVALUE(TEXT(A1820,"m/d/yyyy")),FY24_Temp[],5,FALSE)&amp;TEXT(A1820,"-h"),Table6[],4,FALSE)</f>
        <v>1.6385714156287057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VLOOKUP(TEXT(A1820,"yy-mm")&amp;"-"&amp;IF(AND(WEEKDAY(A1820)&gt;1,WEEKDAY(A1820)&lt;7),"Wkd",TEXT(A1820,"Ddd"))&amp;"-"&amp;TEXT(A1820,"hh"),LoadTable[],5,FALSE)*0.92</f>
        <v>388.38076000000001</v>
      </c>
      <c r="U1820" s="104">
        <f>VLOOKUP(TEXT(A1820,"yy-mm")&amp;"-"&amp;IF(AND(WEEKDAY(A1820)&gt;1,WEEKDAY(A1820)&lt;7),"Wkd",TEXT(A1820,"Ddd"))&amp;"-"&amp;TEXT(A1820,"hh"),LoadTable[],6,FALSE)*T1820</f>
        <v>31454.180990880002</v>
      </c>
      <c r="V1820">
        <f t="shared" ref="V1820:W1820" si="1937">V1796</f>
        <v>3.6</v>
      </c>
      <c r="W1820">
        <f t="shared" si="1937"/>
        <v>3</v>
      </c>
      <c r="X1820" s="9">
        <v>-80.794139216667404</v>
      </c>
    </row>
    <row r="1821" spans="1:24">
      <c r="A1821" s="29">
        <f t="shared" si="1909"/>
        <v>45911.749999995591</v>
      </c>
      <c r="B1821" s="30">
        <f t="shared" si="1933"/>
        <v>5000</v>
      </c>
      <c r="C1821" s="8">
        <v>25000</v>
      </c>
      <c r="D1821" s="8">
        <v>0</v>
      </c>
      <c r="E1821" s="8">
        <v>700</v>
      </c>
      <c r="F1821" s="8">
        <v>15000</v>
      </c>
      <c r="G1821" s="30">
        <f t="shared" si="1934"/>
        <v>2400</v>
      </c>
      <c r="H1821" s="8">
        <v>25000</v>
      </c>
      <c r="I1821" s="30">
        <f t="shared" si="1935"/>
        <v>5000</v>
      </c>
      <c r="J1821" s="8">
        <v>25000</v>
      </c>
      <c r="K1821" s="30">
        <f t="shared" si="193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VLOOKUP(VLOOKUP(DATEVALUE(TEXT(A1821,"m/d/yyyy")),FY24_Temp[],5,FALSE)&amp;TEXT(A1821,"-h"),Table6[],4,FALSE)</f>
        <v>2.1335714374269759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VLOOKUP(TEXT(A1821,"yy-mm")&amp;"-"&amp;IF(AND(WEEKDAY(A1821)&gt;1,WEEKDAY(A1821)&lt;7),"Wkd",TEXT(A1821,"Ddd"))&amp;"-"&amp;TEXT(A1821,"hh"),LoadTable[],5,FALSE)*0.92</f>
        <v>388.38076000000001</v>
      </c>
      <c r="U1821" s="104">
        <f>VLOOKUP(TEXT(A1821,"yy-mm")&amp;"-"&amp;IF(AND(WEEKDAY(A1821)&gt;1,WEEKDAY(A1821)&lt;7),"Wkd",TEXT(A1821,"Ddd"))&amp;"-"&amp;TEXT(A1821,"hh"),LoadTable[],6,FALSE)*T1821</f>
        <v>38316.869020080005</v>
      </c>
      <c r="V1821">
        <f t="shared" ref="V1821:W1821" si="1938">V1797</f>
        <v>2.9</v>
      </c>
      <c r="W1821">
        <f t="shared" si="1938"/>
        <v>3</v>
      </c>
      <c r="X1821" s="9">
        <v>-80.871933766667397</v>
      </c>
    </row>
    <row r="1822" spans="1:24">
      <c r="A1822" s="29">
        <f t="shared" si="1909"/>
        <v>45911.791666662255</v>
      </c>
      <c r="B1822" s="30">
        <f t="shared" si="1933"/>
        <v>5000</v>
      </c>
      <c r="C1822" s="8">
        <v>25000</v>
      </c>
      <c r="D1822" s="8">
        <v>0</v>
      </c>
      <c r="E1822" s="8">
        <v>700</v>
      </c>
      <c r="F1822" s="8">
        <v>15000</v>
      </c>
      <c r="G1822" s="30">
        <f t="shared" si="1934"/>
        <v>2400</v>
      </c>
      <c r="H1822" s="8">
        <v>25000</v>
      </c>
      <c r="I1822" s="30">
        <f t="shared" si="1935"/>
        <v>5000</v>
      </c>
      <c r="J1822" s="8">
        <v>25000</v>
      </c>
      <c r="K1822" s="30">
        <f t="shared" si="193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VLOOKUP(VLOOKUP(DATEVALUE(TEXT(A1822,"m/d/yyyy")),FY24_Temp[],5,FALSE)&amp;TEXT(A1822,"-h"),Table6[],4,FALSE)</f>
        <v>2.4782857213701521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VLOOKUP(TEXT(A1822,"yy-mm")&amp;"-"&amp;IF(AND(WEEKDAY(A1822)&gt;1,WEEKDAY(A1822)&lt;7),"Wkd",TEXT(A1822,"Ddd"))&amp;"-"&amp;TEXT(A1822,"hh"),LoadTable[],5,FALSE)*0.92</f>
        <v>388.38076000000001</v>
      </c>
      <c r="U1822" s="104">
        <f>VLOOKUP(TEXT(A1822,"yy-mm")&amp;"-"&amp;IF(AND(WEEKDAY(A1822)&gt;1,WEEKDAY(A1822)&lt;7),"Wkd",TEXT(A1822,"Ddd"))&amp;"-"&amp;TEXT(A1822,"hh"),LoadTable[],6,FALSE)*T1822</f>
        <v>41132.241149319998</v>
      </c>
      <c r="V1822">
        <f t="shared" ref="V1822:W1822" si="1939">V1798</f>
        <v>3</v>
      </c>
      <c r="W1822">
        <f t="shared" si="1939"/>
        <v>3</v>
      </c>
      <c r="X1822" s="9">
        <v>-80.949728316667404</v>
      </c>
    </row>
    <row r="1823" spans="1:24">
      <c r="A1823" s="29">
        <f t="shared" si="1909"/>
        <v>45911.833333328919</v>
      </c>
      <c r="B1823" s="30">
        <f t="shared" si="1933"/>
        <v>5000</v>
      </c>
      <c r="C1823" s="8">
        <v>25000</v>
      </c>
      <c r="D1823" s="8">
        <v>0</v>
      </c>
      <c r="E1823" s="8">
        <v>700</v>
      </c>
      <c r="F1823" s="8">
        <v>15000</v>
      </c>
      <c r="G1823" s="30">
        <f t="shared" si="1934"/>
        <v>2400</v>
      </c>
      <c r="H1823" s="8">
        <v>25000</v>
      </c>
      <c r="I1823" s="30">
        <f t="shared" si="1935"/>
        <v>5000</v>
      </c>
      <c r="J1823" s="8">
        <v>25000</v>
      </c>
      <c r="K1823" s="30">
        <f t="shared" si="193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VLOOKUP(VLOOKUP(DATEVALUE(TEXT(A1823,"m/d/yyyy")),FY24_Temp[],5,FALSE)&amp;TEXT(A1823,"-h"),Table6[],4,FALSE)</f>
        <v>2.6718571526663646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VLOOKUP(TEXT(A1823,"yy-mm")&amp;"-"&amp;IF(AND(WEEKDAY(A1823)&gt;1,WEEKDAY(A1823)&lt;7),"Wkd",TEXT(A1823,"Ddd"))&amp;"-"&amp;TEXT(A1823,"hh"),LoadTable[],5,FALSE)*0.92</f>
        <v>388.38076000000001</v>
      </c>
      <c r="U1823" s="104">
        <f>VLOOKUP(TEXT(A1823,"yy-mm")&amp;"-"&amp;IF(AND(WEEKDAY(A1823)&gt;1,WEEKDAY(A1823)&lt;7),"Wkd",TEXT(A1823,"Ddd"))&amp;"-"&amp;TEXT(A1823,"hh"),LoadTable[],6,FALSE)*T1823</f>
        <v>36274.762984000001</v>
      </c>
      <c r="V1823">
        <f t="shared" ref="V1823:W1823" si="1940">V1799</f>
        <v>2.8</v>
      </c>
      <c r="W1823">
        <f t="shared" si="1940"/>
        <v>3.1</v>
      </c>
      <c r="X1823" s="9">
        <v>-81.027522866667397</v>
      </c>
    </row>
    <row r="1824" spans="1:24">
      <c r="A1824" s="29">
        <f t="shared" si="1909"/>
        <v>45911.874999995583</v>
      </c>
      <c r="B1824" s="30">
        <f t="shared" si="1933"/>
        <v>5000</v>
      </c>
      <c r="C1824" s="8">
        <v>25000</v>
      </c>
      <c r="D1824" s="8">
        <v>0</v>
      </c>
      <c r="E1824" s="8">
        <v>700</v>
      </c>
      <c r="F1824" s="8">
        <v>15000</v>
      </c>
      <c r="G1824" s="30">
        <f t="shared" si="1934"/>
        <v>2400</v>
      </c>
      <c r="H1824" s="8">
        <v>25000</v>
      </c>
      <c r="I1824" s="30">
        <f t="shared" si="1935"/>
        <v>5000</v>
      </c>
      <c r="J1824" s="8">
        <v>25000</v>
      </c>
      <c r="K1824" s="30">
        <f t="shared" si="193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VLOOKUP(VLOOKUP(DATEVALUE(TEXT(A1824,"m/d/yyyy")),FY24_Temp[],5,FALSE)&amp;TEXT(A1824,"-h"),Table6[],4,FALSE)</f>
        <v>2.730428559439523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VLOOKUP(TEXT(A1824,"yy-mm")&amp;"-"&amp;IF(AND(WEEKDAY(A1824)&gt;1,WEEKDAY(A1824)&lt;7),"Wkd",TEXT(A1824,"Ddd"))&amp;"-"&amp;TEXT(A1824,"hh"),LoadTable[],5,FALSE)*0.92</f>
        <v>373.79416000000003</v>
      </c>
      <c r="U1824" s="104">
        <f>VLOOKUP(TEXT(A1824,"yy-mm")&amp;"-"&amp;IF(AND(WEEKDAY(A1824)&gt;1,WEEKDAY(A1824)&lt;7),"Wkd",TEXT(A1824,"Ddd"))&amp;"-"&amp;TEXT(A1824,"hh"),LoadTable[],6,FALSE)*T1824</f>
        <v>31749.328362080003</v>
      </c>
      <c r="V1824">
        <f t="shared" ref="V1824:W1824" si="1941">V1800</f>
        <v>3.5</v>
      </c>
      <c r="W1824">
        <f t="shared" si="1941"/>
        <v>3.1</v>
      </c>
      <c r="X1824" s="9">
        <v>-81.105317416667404</v>
      </c>
    </row>
    <row r="1825" spans="1:24">
      <c r="A1825" s="29">
        <f t="shared" si="1909"/>
        <v>45911.916666662248</v>
      </c>
      <c r="B1825" s="30">
        <f t="shared" si="1933"/>
        <v>5000</v>
      </c>
      <c r="C1825" s="8">
        <v>25000</v>
      </c>
      <c r="D1825" s="8">
        <v>0</v>
      </c>
      <c r="E1825" s="8">
        <v>700</v>
      </c>
      <c r="F1825" s="8">
        <v>15000</v>
      </c>
      <c r="G1825" s="30">
        <f t="shared" si="1934"/>
        <v>2400</v>
      </c>
      <c r="H1825" s="8">
        <v>25000</v>
      </c>
      <c r="I1825" s="30">
        <f t="shared" si="1935"/>
        <v>5000</v>
      </c>
      <c r="J1825" s="8">
        <v>25000</v>
      </c>
      <c r="K1825" s="30">
        <f t="shared" si="193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VLOOKUP(VLOOKUP(DATEVALUE(TEXT(A1825,"m/d/yyyy")),FY24_Temp[],5,FALSE)&amp;TEXT(A1825,"-h"),Table6[],4,FALSE)</f>
        <v>2.702714272907802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VLOOKUP(TEXT(A1825,"yy-mm")&amp;"-"&amp;IF(AND(WEEKDAY(A1825)&gt;1,WEEKDAY(A1825)&lt;7),"Wkd",TEXT(A1825,"Ddd"))&amp;"-"&amp;TEXT(A1825,"hh"),LoadTable[],5,FALSE)*0.92</f>
        <v>299.65044</v>
      </c>
      <c r="U1825" s="104">
        <f>VLOOKUP(TEXT(A1825,"yy-mm")&amp;"-"&amp;IF(AND(WEEKDAY(A1825)&gt;1,WEEKDAY(A1825)&lt;7),"Wkd",TEXT(A1825,"Ddd"))&amp;"-"&amp;TEXT(A1825,"hh"),LoadTable[],6,FALSE)*T1825</f>
        <v>15023.87376072</v>
      </c>
      <c r="V1825">
        <f t="shared" ref="V1825:W1825" si="1942">V1801</f>
        <v>2.9</v>
      </c>
      <c r="W1825">
        <f t="shared" si="1942"/>
        <v>3.1</v>
      </c>
      <c r="X1825" s="9">
        <v>-81.183111966667397</v>
      </c>
    </row>
    <row r="1826" spans="1:24">
      <c r="A1826" s="29">
        <f t="shared" si="1909"/>
        <v>45911.958333328912</v>
      </c>
      <c r="B1826" s="30">
        <f t="shared" si="1933"/>
        <v>5000</v>
      </c>
      <c r="C1826" s="41">
        <v>25000</v>
      </c>
      <c r="D1826" s="41">
        <v>0</v>
      </c>
      <c r="E1826" s="41">
        <v>700</v>
      </c>
      <c r="F1826" s="41">
        <v>15000</v>
      </c>
      <c r="G1826" s="30">
        <f t="shared" si="1934"/>
        <v>2400</v>
      </c>
      <c r="H1826" s="41">
        <v>25000</v>
      </c>
      <c r="I1826" s="30">
        <f t="shared" si="1935"/>
        <v>5000</v>
      </c>
      <c r="J1826" s="41">
        <v>25000</v>
      </c>
      <c r="K1826" s="30">
        <f t="shared" si="1936"/>
        <v>5000</v>
      </c>
      <c r="L1826" s="41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84">
        <v>13.5</v>
      </c>
      <c r="P1826" s="84">
        <v>19.5</v>
      </c>
      <c r="Q1826" s="85">
        <f>VLOOKUP(VLOOKUP(DATEVALUE(TEXT(A1826,"m/d/yyyy")),FY24_Temp[],5,FALSE)&amp;TEXT(A1826,"-h"),Table6[],4,FALSE)</f>
        <v>2.7027143069675992</v>
      </c>
      <c r="R1826">
        <v>10</v>
      </c>
      <c r="S1826">
        <v>1000</v>
      </c>
      <c r="T1826" s="98">
        <f>VLOOKUP(TEXT(A1826,"yy-mm")&amp;"-"&amp;IF(AND(WEEKDAY(A1826)&gt;1,WEEKDAY(A1826)&lt;7),"Wkd",TEXT(A1826,"Ddd"))&amp;"-"&amp;TEXT(A1826,"hh"),LoadTable[],5,FALSE)*0.92</f>
        <v>237.25788000000003</v>
      </c>
      <c r="U1826" s="104">
        <f>VLOOKUP(TEXT(A1826,"yy-mm")&amp;"-"&amp;IF(AND(WEEKDAY(A1826)&gt;1,WEEKDAY(A1826)&lt;7),"Wkd",TEXT(A1826,"Ddd"))&amp;"-"&amp;TEXT(A1826,"hh"),LoadTable[],6,FALSE)*T1826</f>
        <v>11687.323168800001</v>
      </c>
      <c r="V1826">
        <f t="shared" ref="V1826:W1826" si="1943">V1802</f>
        <v>3.6</v>
      </c>
      <c r="W1826">
        <f t="shared" si="1943"/>
        <v>3.1</v>
      </c>
      <c r="X1826" s="84">
        <v>-81.260906516667404</v>
      </c>
    </row>
    <row r="1827" spans="1:24">
      <c r="A1827" s="29">
        <f t="shared" si="1909"/>
        <v>45911.999999995576</v>
      </c>
      <c r="B1827" s="30">
        <f t="shared" si="1933"/>
        <v>5000</v>
      </c>
      <c r="C1827" s="8">
        <v>25000</v>
      </c>
      <c r="D1827" s="8">
        <v>0</v>
      </c>
      <c r="E1827" s="8">
        <v>700</v>
      </c>
      <c r="F1827" s="8">
        <v>15000</v>
      </c>
      <c r="G1827" s="30">
        <f t="shared" si="1934"/>
        <v>2400</v>
      </c>
      <c r="H1827" s="8">
        <v>25000</v>
      </c>
      <c r="I1827" s="30">
        <f t="shared" si="1935"/>
        <v>5000</v>
      </c>
      <c r="J1827" s="8">
        <v>25000</v>
      </c>
      <c r="K1827" s="30">
        <f t="shared" si="1936"/>
        <v>5000</v>
      </c>
      <c r="L1827" s="8">
        <v>25000</v>
      </c>
      <c r="M1827" s="9">
        <f>VLOOKUP(DATE(YEAR(A1827),MONTH(A1827),DAY(A1827)),FY24_Temp[],4,FALSE)</f>
        <v>8.5</v>
      </c>
      <c r="N1827" s="9">
        <f>VLOOKUP(DATE(YEAR(A1827),MONTH(A1827),DAY(A1827)),FY24_Temp[],3,FALSE)</f>
        <v>15.21</v>
      </c>
      <c r="O1827" s="9">
        <v>13.5</v>
      </c>
      <c r="P1827" s="9">
        <v>19.5</v>
      </c>
      <c r="Q1827" s="79">
        <f>VLOOKUP(VLOOKUP(DATEVALUE(TEXT(A1827,"m/d/yyyy")),FY24_Temp[],5,FALSE)&amp;TEXT(A1827,"-h"),Table6[],4,FALSE)</f>
        <v>2.6951428822108676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VLOOKUP(TEXT(A1827,"yy-mm")&amp;"-"&amp;IF(AND(WEEKDAY(A1827)&gt;1,WEEKDAY(A1827)&lt;7),"Wkd",TEXT(A1827,"Ddd"))&amp;"-"&amp;TEXT(A1827,"hh"),LoadTable[],5,FALSE)*0.92</f>
        <v>237.25788000000003</v>
      </c>
      <c r="U1827" s="104">
        <f>VLOOKUP(TEXT(A1827,"yy-mm")&amp;"-"&amp;IF(AND(WEEKDAY(A1827)&gt;1,WEEKDAY(A1827)&lt;7),"Wkd",TEXT(A1827,"Ddd"))&amp;"-"&amp;TEXT(A1827,"hh"),LoadTable[],6,FALSE)*T1827</f>
        <v>12215.696467560001</v>
      </c>
      <c r="V1827">
        <f t="shared" ref="V1827:W1827" si="1944">V1803</f>
        <v>3</v>
      </c>
      <c r="W1827">
        <f t="shared" si="1944"/>
        <v>3.2</v>
      </c>
      <c r="X1827" s="9">
        <v>-81.338701066667397</v>
      </c>
    </row>
    <row r="1828" spans="1:24">
      <c r="A1828" s="29">
        <f t="shared" si="1909"/>
        <v>45912.04166666224</v>
      </c>
      <c r="B1828" s="30">
        <f t="shared" si="1933"/>
        <v>5000</v>
      </c>
      <c r="C1828" s="42">
        <v>25000</v>
      </c>
      <c r="D1828" s="42">
        <v>0</v>
      </c>
      <c r="E1828" s="42">
        <v>700</v>
      </c>
      <c r="F1828" s="42">
        <v>15000</v>
      </c>
      <c r="G1828" s="30">
        <f t="shared" si="1934"/>
        <v>2400</v>
      </c>
      <c r="H1828" s="42">
        <v>25000</v>
      </c>
      <c r="I1828" s="30">
        <f t="shared" si="1935"/>
        <v>5000</v>
      </c>
      <c r="J1828" s="42">
        <v>25000</v>
      </c>
      <c r="K1828" s="30">
        <f t="shared" si="1936"/>
        <v>5000</v>
      </c>
      <c r="L1828" s="42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86">
        <v>13.5</v>
      </c>
      <c r="P1828" s="86">
        <v>19.5</v>
      </c>
      <c r="Q1828" s="87">
        <f>VLOOKUP(VLOOKUP(DATEVALUE(TEXT(A1828,"m/d/yyyy")),FY24_Temp[],5,FALSE)&amp;TEXT(A1828,"-h"),Table6[],4,FALSE)</f>
        <v>2.6332857268197194</v>
      </c>
      <c r="R1828">
        <v>10</v>
      </c>
      <c r="S1828">
        <v>1000</v>
      </c>
      <c r="T1828" s="99">
        <f>VLOOKUP(TEXT(A1828,"yy-mm")&amp;"-"&amp;IF(AND(WEEKDAY(A1828)&gt;1,WEEKDAY(A1828)&lt;7),"Wkd",TEXT(A1828,"Ddd"))&amp;"-"&amp;TEXT(A1828,"hh"),LoadTable[],5,FALSE)*0.92</f>
        <v>237.25788000000003</v>
      </c>
      <c r="U1828" s="104">
        <f>VLOOKUP(TEXT(A1828,"yy-mm")&amp;"-"&amp;IF(AND(WEEKDAY(A1828)&gt;1,WEEKDAY(A1828)&lt;7),"Wkd",TEXT(A1828,"Ddd"))&amp;"-"&amp;TEXT(A1828,"hh"),LoadTable[],6,FALSE)*T1828</f>
        <v>11905.12590264</v>
      </c>
      <c r="V1828">
        <f t="shared" ref="V1828:W1828" si="1945">V1804</f>
        <v>2.6</v>
      </c>
      <c r="W1828">
        <f t="shared" si="1945"/>
        <v>3.2</v>
      </c>
      <c r="X1828" s="86">
        <v>-81.416495616667405</v>
      </c>
    </row>
    <row r="1829" spans="1:24">
      <c r="A1829" s="29">
        <f t="shared" si="1909"/>
        <v>45912.083333328905</v>
      </c>
      <c r="B1829" s="30">
        <f t="shared" si="1933"/>
        <v>5000</v>
      </c>
      <c r="C1829" s="8">
        <v>25000</v>
      </c>
      <c r="D1829" s="8">
        <v>0</v>
      </c>
      <c r="E1829" s="8">
        <v>700</v>
      </c>
      <c r="F1829" s="8">
        <v>15000</v>
      </c>
      <c r="G1829" s="30">
        <f t="shared" si="1934"/>
        <v>2400</v>
      </c>
      <c r="H1829" s="8">
        <v>25000</v>
      </c>
      <c r="I1829" s="30">
        <f t="shared" si="1935"/>
        <v>5000</v>
      </c>
      <c r="J1829" s="8">
        <v>25000</v>
      </c>
      <c r="K1829" s="30">
        <f t="shared" si="193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VLOOKUP(VLOOKUP(DATEVALUE(TEXT(A1829,"m/d/yyyy")),FY24_Temp[],5,FALSE)&amp;TEXT(A1829,"-h"),Table6[],4,FALSE)</f>
        <v>2.5004285403660367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VLOOKUP(TEXT(A1829,"yy-mm")&amp;"-"&amp;IF(AND(WEEKDAY(A1829)&gt;1,WEEKDAY(A1829)&lt;7),"Wkd",TEXT(A1829,"Ddd"))&amp;"-"&amp;TEXT(A1829,"hh"),LoadTable[],5,FALSE)*0.92</f>
        <v>237.25788000000003</v>
      </c>
      <c r="U1829" s="104">
        <f>VLOOKUP(TEXT(A1829,"yy-mm")&amp;"-"&amp;IF(AND(WEEKDAY(A1829)&gt;1,WEEKDAY(A1829)&lt;7),"Wkd",TEXT(A1829,"Ddd"))&amp;"-"&amp;TEXT(A1829,"hh"),LoadTable[],6,FALSE)*T1829</f>
        <v>11856.013521480001</v>
      </c>
      <c r="V1829">
        <f t="shared" ref="V1829:W1829" si="1946">V1805</f>
        <v>2.8</v>
      </c>
      <c r="W1829">
        <f t="shared" si="1946"/>
        <v>3.2</v>
      </c>
      <c r="X1829" s="9">
        <v>-81.494290166667398</v>
      </c>
    </row>
    <row r="1830" spans="1:24">
      <c r="A1830" s="29">
        <f t="shared" si="1909"/>
        <v>45912.124999995569</v>
      </c>
      <c r="B1830" s="30">
        <f t="shared" si="1933"/>
        <v>5000</v>
      </c>
      <c r="C1830" s="8">
        <v>25000</v>
      </c>
      <c r="D1830" s="8">
        <v>0</v>
      </c>
      <c r="E1830" s="8">
        <v>700</v>
      </c>
      <c r="F1830" s="8">
        <v>15000</v>
      </c>
      <c r="G1830" s="30">
        <f t="shared" si="1934"/>
        <v>2400</v>
      </c>
      <c r="H1830" s="8">
        <v>25000</v>
      </c>
      <c r="I1830" s="30">
        <f t="shared" si="1935"/>
        <v>5000</v>
      </c>
      <c r="J1830" s="8">
        <v>25000</v>
      </c>
      <c r="K1830" s="30">
        <f t="shared" si="193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VLOOKUP(VLOOKUP(DATEVALUE(TEXT(A1830,"m/d/yyyy")),FY24_Temp[],5,FALSE)&amp;TEXT(A1830,"-h"),Table6[],4,FALSE)</f>
        <v>2.3495714323861256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VLOOKUP(TEXT(A1830,"yy-mm")&amp;"-"&amp;IF(AND(WEEKDAY(A1830)&gt;1,WEEKDAY(A1830)&lt;7),"Wkd",TEXT(A1830,"Ddd"))&amp;"-"&amp;TEXT(A1830,"hh"),LoadTable[],5,FALSE)*0.92</f>
        <v>237.25788000000003</v>
      </c>
      <c r="U1830" s="104">
        <f>VLOOKUP(TEXT(A1830,"yy-mm")&amp;"-"&amp;IF(AND(WEEKDAY(A1830)&gt;1,WEEKDAY(A1830)&lt;7),"Wkd",TEXT(A1830,"Ddd"))&amp;"-"&amp;TEXT(A1830,"hh"),LoadTable[],6,FALSE)*T1830</f>
        <v>11893.025750760002</v>
      </c>
      <c r="V1830">
        <f t="shared" ref="V1830:W1830" si="1947">V1806</f>
        <v>2.7</v>
      </c>
      <c r="W1830">
        <f t="shared" si="1947"/>
        <v>3.2</v>
      </c>
      <c r="X1830" s="9">
        <v>-81.572084716667405</v>
      </c>
    </row>
    <row r="1831" spans="1:24">
      <c r="A1831" s="29">
        <f t="shared" si="1909"/>
        <v>45912.166666662233</v>
      </c>
      <c r="B1831" s="30">
        <f t="shared" si="1933"/>
        <v>5000</v>
      </c>
      <c r="C1831" s="8">
        <v>25000</v>
      </c>
      <c r="D1831" s="8">
        <v>0</v>
      </c>
      <c r="E1831" s="8">
        <v>700</v>
      </c>
      <c r="F1831" s="8">
        <v>15000</v>
      </c>
      <c r="G1831" s="30">
        <f t="shared" si="1934"/>
        <v>2400</v>
      </c>
      <c r="H1831" s="8">
        <v>25000</v>
      </c>
      <c r="I1831" s="30">
        <f t="shared" si="1935"/>
        <v>5000</v>
      </c>
      <c r="J1831" s="8">
        <v>25000</v>
      </c>
      <c r="K1831" s="30">
        <f t="shared" si="193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VLOOKUP(VLOOKUP(DATEVALUE(TEXT(A1831,"m/d/yyyy")),FY24_Temp[],5,FALSE)&amp;TEXT(A1831,"-h"),Table6[],4,FALSE)</f>
        <v>2.1924285548073903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VLOOKUP(TEXT(A1831,"yy-mm")&amp;"-"&amp;IF(AND(WEEKDAY(A1831)&gt;1,WEEKDAY(A1831)&lt;7),"Wkd",TEXT(A1831,"Ddd"))&amp;"-"&amp;TEXT(A1831,"hh"),LoadTable[],5,FALSE)*0.92</f>
        <v>237.25788000000003</v>
      </c>
      <c r="U1831" s="104">
        <f>VLOOKUP(TEXT(A1831,"yy-mm")&amp;"-"&amp;IF(AND(WEEKDAY(A1831)&gt;1,WEEKDAY(A1831)&lt;7),"Wkd",TEXT(A1831,"Ddd"))&amp;"-"&amp;TEXT(A1831,"hh"),LoadTable[],6,FALSE)*T1831</f>
        <v>12081.645765360001</v>
      </c>
      <c r="V1831">
        <f t="shared" ref="V1831:W1831" si="1948">V1807</f>
        <v>3</v>
      </c>
      <c r="W1831">
        <f t="shared" si="1948"/>
        <v>3.1</v>
      </c>
      <c r="X1831" s="9">
        <v>-81.649879266667398</v>
      </c>
    </row>
    <row r="1832" spans="1:24">
      <c r="A1832" s="29">
        <f t="shared" si="1909"/>
        <v>45912.208333328897</v>
      </c>
      <c r="B1832" s="30">
        <f t="shared" si="1933"/>
        <v>5000</v>
      </c>
      <c r="C1832" s="8">
        <v>25000</v>
      </c>
      <c r="D1832" s="8">
        <v>0</v>
      </c>
      <c r="E1832" s="8">
        <v>700</v>
      </c>
      <c r="F1832" s="8">
        <v>15000</v>
      </c>
      <c r="G1832" s="30">
        <f t="shared" si="1934"/>
        <v>2400</v>
      </c>
      <c r="H1832" s="8">
        <v>25000</v>
      </c>
      <c r="I1832" s="30">
        <f t="shared" si="1935"/>
        <v>5000</v>
      </c>
      <c r="J1832" s="8">
        <v>25000</v>
      </c>
      <c r="K1832" s="30">
        <f t="shared" si="193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VLOOKUP(VLOOKUP(DATEVALUE(TEXT(A1832,"m/d/yyyy")),FY24_Temp[],5,FALSE)&amp;TEXT(A1832,"-h"),Table6[],4,FALSE)</f>
        <v>2.0738571711948941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VLOOKUP(TEXT(A1832,"yy-mm")&amp;"-"&amp;IF(AND(WEEKDAY(A1832)&gt;1,WEEKDAY(A1832)&lt;7),"Wkd",TEXT(A1832,"Ddd"))&amp;"-"&amp;TEXT(A1832,"hh"),LoadTable[],5,FALSE)*0.92</f>
        <v>237.25788000000003</v>
      </c>
      <c r="U1832" s="104">
        <f>VLOOKUP(TEXT(A1832,"yy-mm")&amp;"-"&amp;IF(AND(WEEKDAY(A1832)&gt;1,WEEKDAY(A1832)&lt;7),"Wkd",TEXT(A1832,"Ddd"))&amp;"-"&amp;TEXT(A1832,"hh"),LoadTable[],6,FALSE)*T1832</f>
        <v>12065.037713760001</v>
      </c>
      <c r="V1832">
        <f t="shared" ref="V1832:W1832" si="1949">V1808</f>
        <v>2.9</v>
      </c>
      <c r="W1832">
        <f t="shared" si="1949"/>
        <v>3.1</v>
      </c>
      <c r="X1832" s="9">
        <v>-81.727673816667405</v>
      </c>
    </row>
    <row r="1833" spans="1:24">
      <c r="A1833" s="29">
        <f t="shared" si="1909"/>
        <v>45912.249999995562</v>
      </c>
      <c r="B1833" s="30">
        <f t="shared" si="1933"/>
        <v>8000</v>
      </c>
      <c r="C1833" s="8">
        <v>25000</v>
      </c>
      <c r="D1833" s="8">
        <v>0</v>
      </c>
      <c r="E1833" s="8">
        <v>700</v>
      </c>
      <c r="F1833" s="8">
        <v>15000</v>
      </c>
      <c r="G1833" s="30">
        <f t="shared" si="1934"/>
        <v>2400</v>
      </c>
      <c r="H1833" s="8">
        <v>25000</v>
      </c>
      <c r="I1833" s="30">
        <f t="shared" si="1935"/>
        <v>8000</v>
      </c>
      <c r="J1833" s="8">
        <v>25000</v>
      </c>
      <c r="K1833" s="30">
        <f t="shared" si="193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VLOOKUP(VLOOKUP(DATEVALUE(TEXT(A1833,"m/d/yyyy")),FY24_Temp[],5,FALSE)&amp;TEXT(A1833,"-h"),Table6[],4,FALSE)</f>
        <v>1.9711428540093558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VLOOKUP(TEXT(A1833,"yy-mm")&amp;"-"&amp;IF(AND(WEEKDAY(A1833)&gt;1,WEEKDAY(A1833)&lt;7),"Wkd",TEXT(A1833,"Ddd"))&amp;"-"&amp;TEXT(A1833,"hh"),LoadTable[],5,FALSE)*0.92</f>
        <v>237.25788000000003</v>
      </c>
      <c r="U1833" s="104">
        <f>VLOOKUP(TEXT(A1833,"yy-mm")&amp;"-"&amp;IF(AND(WEEKDAY(A1833)&gt;1,WEEKDAY(A1833)&lt;7),"Wkd",TEXT(A1833,"Ddd"))&amp;"-"&amp;TEXT(A1833,"hh"),LoadTable[],6,FALSE)*T1833</f>
        <v>18358.065722880005</v>
      </c>
      <c r="V1833">
        <f t="shared" ref="V1833:W1833" si="1950">V1809</f>
        <v>2.5</v>
      </c>
      <c r="W1833">
        <f t="shared" si="1950"/>
        <v>3.1</v>
      </c>
      <c r="X1833" s="9">
        <v>-81.805468366667398</v>
      </c>
    </row>
    <row r="1834" spans="1:24">
      <c r="A1834" s="29">
        <f t="shared" si="1909"/>
        <v>45912.291666662226</v>
      </c>
      <c r="B1834" s="30">
        <f t="shared" si="1933"/>
        <v>8000</v>
      </c>
      <c r="C1834" s="8">
        <v>25000</v>
      </c>
      <c r="D1834" s="8">
        <v>0</v>
      </c>
      <c r="E1834" s="8">
        <v>700</v>
      </c>
      <c r="F1834" s="8">
        <v>15000</v>
      </c>
      <c r="G1834" s="30">
        <f t="shared" si="1934"/>
        <v>2400</v>
      </c>
      <c r="H1834" s="8">
        <v>25000</v>
      </c>
      <c r="I1834" s="30">
        <f t="shared" si="1935"/>
        <v>8000</v>
      </c>
      <c r="J1834" s="8">
        <v>25000</v>
      </c>
      <c r="K1834" s="30">
        <f t="shared" si="193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VLOOKUP(VLOOKUP(DATEVALUE(TEXT(A1834,"m/d/yyyy")),FY24_Temp[],5,FALSE)&amp;TEXT(A1834,"-h"),Table6[],4,FALSE)</f>
        <v>1.8018571478979928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VLOOKUP(TEXT(A1834,"yy-mm")&amp;"-"&amp;IF(AND(WEEKDAY(A1834)&gt;1,WEEKDAY(A1834)&lt;7),"Wkd",TEXT(A1834,"Ddd"))&amp;"-"&amp;TEXT(A1834,"hh"),LoadTable[],5,FALSE)*0.92</f>
        <v>237.25788000000003</v>
      </c>
      <c r="U1834" s="104">
        <f>VLOOKUP(TEXT(A1834,"yy-mm")&amp;"-"&amp;IF(AND(WEEKDAY(A1834)&gt;1,WEEKDAY(A1834)&lt;7),"Wkd",TEXT(A1834,"Ddd"))&amp;"-"&amp;TEXT(A1834,"hh"),LoadTable[],6,FALSE)*T1834</f>
        <v>16249.08042756</v>
      </c>
      <c r="V1834">
        <f t="shared" ref="V1834:W1834" si="1951">V1810</f>
        <v>2.5</v>
      </c>
      <c r="W1834">
        <f t="shared" si="1951"/>
        <v>3.1</v>
      </c>
      <c r="X1834" s="9">
        <v>-81.883262916667505</v>
      </c>
    </row>
    <row r="1835" spans="1:24">
      <c r="A1835" s="29">
        <f t="shared" si="1909"/>
        <v>45912.33333332889</v>
      </c>
      <c r="B1835" s="30">
        <f t="shared" si="1933"/>
        <v>8000</v>
      </c>
      <c r="C1835" s="8">
        <v>25000</v>
      </c>
      <c r="D1835" s="8">
        <v>0</v>
      </c>
      <c r="E1835" s="8">
        <v>700</v>
      </c>
      <c r="F1835" s="8">
        <v>15000</v>
      </c>
      <c r="G1835" s="30">
        <f t="shared" si="1934"/>
        <v>2400</v>
      </c>
      <c r="H1835" s="8">
        <v>25000</v>
      </c>
      <c r="I1835" s="30">
        <f t="shared" si="1935"/>
        <v>8000</v>
      </c>
      <c r="J1835" s="8">
        <v>25000</v>
      </c>
      <c r="K1835" s="30">
        <f t="shared" si="193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VLOOKUP(VLOOKUP(DATEVALUE(TEXT(A1835,"m/d/yyyy")),FY24_Temp[],5,FALSE)&amp;TEXT(A1835,"-h"),Table6[],4,FALSE)</f>
        <v>1.7142857142857142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VLOOKUP(TEXT(A1835,"yy-mm")&amp;"-"&amp;IF(AND(WEEKDAY(A1835)&gt;1,WEEKDAY(A1835)&lt;7),"Wkd",TEXT(A1835,"Ddd"))&amp;"-"&amp;TEXT(A1835,"hh"),LoadTable[],5,FALSE)*0.92</f>
        <v>237.25788000000003</v>
      </c>
      <c r="U1835" s="104">
        <f>VLOOKUP(TEXT(A1835,"yy-mm")&amp;"-"&amp;IF(AND(WEEKDAY(A1835)&gt;1,WEEKDAY(A1835)&lt;7),"Wkd",TEXT(A1835,"Ddd"))&amp;"-"&amp;TEXT(A1835,"hh"),LoadTable[],6,FALSE)*T1835</f>
        <v>13068.164030400001</v>
      </c>
      <c r="V1835">
        <f t="shared" ref="V1835:W1835" si="1952">V1811</f>
        <v>3.2</v>
      </c>
      <c r="W1835">
        <f t="shared" si="1952"/>
        <v>3</v>
      </c>
      <c r="X1835" s="9">
        <v>-81.961057466667498</v>
      </c>
    </row>
    <row r="1836" spans="1:24">
      <c r="A1836" s="29">
        <f t="shared" si="1909"/>
        <v>45912.374999995554</v>
      </c>
      <c r="B1836" s="30">
        <f t="shared" si="1933"/>
        <v>8000</v>
      </c>
      <c r="C1836" s="8">
        <v>25000</v>
      </c>
      <c r="D1836" s="8">
        <v>0</v>
      </c>
      <c r="E1836" s="8">
        <v>700</v>
      </c>
      <c r="F1836" s="8">
        <v>15000</v>
      </c>
      <c r="G1836" s="30">
        <f t="shared" si="1934"/>
        <v>2400</v>
      </c>
      <c r="H1836" s="8">
        <v>25000</v>
      </c>
      <c r="I1836" s="30">
        <f t="shared" si="1935"/>
        <v>8000</v>
      </c>
      <c r="J1836" s="8">
        <v>25000</v>
      </c>
      <c r="K1836" s="30">
        <f t="shared" si="193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VLOOKUP(VLOOKUP(DATEVALUE(TEXT(A1836,"m/d/yyyy")),FY24_Temp[],5,FALSE)&amp;TEXT(A1836,"-h"),Table6[],4,FALSE)</f>
        <v>1.5628571510314941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VLOOKUP(TEXT(A1836,"yy-mm")&amp;"-"&amp;IF(AND(WEEKDAY(A1836)&gt;1,WEEKDAY(A1836)&lt;7),"Wkd",TEXT(A1836,"Ddd"))&amp;"-"&amp;TEXT(A1836,"hh"),LoadTable[],5,FALSE)*0.92</f>
        <v>237.25788000000003</v>
      </c>
      <c r="U1836" s="104">
        <f>VLOOKUP(TEXT(A1836,"yy-mm")&amp;"-"&amp;IF(AND(WEEKDAY(A1836)&gt;1,WEEKDAY(A1836)&lt;7),"Wkd",TEXT(A1836,"Ddd"))&amp;"-"&amp;TEXT(A1836,"hh"),LoadTable[],6,FALSE)*T1836</f>
        <v>11518.395558240001</v>
      </c>
      <c r="V1836">
        <f t="shared" ref="V1836:W1836" si="1953">V1812</f>
        <v>2.9</v>
      </c>
      <c r="W1836">
        <f t="shared" si="1953"/>
        <v>3</v>
      </c>
      <c r="X1836" s="9">
        <v>-82.038852016667505</v>
      </c>
    </row>
    <row r="1837" spans="1:24">
      <c r="A1837" s="29">
        <f t="shared" si="1909"/>
        <v>45912.416666662219</v>
      </c>
      <c r="B1837" s="30">
        <f t="shared" si="1933"/>
        <v>8000</v>
      </c>
      <c r="C1837" s="8">
        <v>25000</v>
      </c>
      <c r="D1837" s="8">
        <v>0</v>
      </c>
      <c r="E1837" s="8">
        <v>700</v>
      </c>
      <c r="F1837" s="8">
        <v>15000</v>
      </c>
      <c r="G1837" s="30">
        <f t="shared" si="1934"/>
        <v>2400</v>
      </c>
      <c r="H1837" s="8">
        <v>25000</v>
      </c>
      <c r="I1837" s="30">
        <f t="shared" si="1935"/>
        <v>8000</v>
      </c>
      <c r="J1837" s="8">
        <v>25000</v>
      </c>
      <c r="K1837" s="30">
        <f t="shared" si="193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VLOOKUP(VLOOKUP(DATEVALUE(TEXT(A1837,"m/d/yyyy")),FY24_Temp[],5,FALSE)&amp;TEXT(A1837,"-h"),Table6[],4,FALSE)</f>
        <v>1.4149999959128243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VLOOKUP(TEXT(A1837,"yy-mm")&amp;"-"&amp;IF(AND(WEEKDAY(A1837)&gt;1,WEEKDAY(A1837)&lt;7),"Wkd",TEXT(A1837,"Ddd"))&amp;"-"&amp;TEXT(A1837,"hh"),LoadTable[],5,FALSE)*0.92</f>
        <v>237.25788000000003</v>
      </c>
      <c r="U1837" s="104">
        <f>VLOOKUP(TEXT(A1837,"yy-mm")&amp;"-"&amp;IF(AND(WEEKDAY(A1837)&gt;1,WEEKDAY(A1837)&lt;7),"Wkd",TEXT(A1837,"Ddd"))&amp;"-"&amp;TEXT(A1837,"hh"),LoadTable[],6,FALSE)*T1837</f>
        <v>10982.667265200002</v>
      </c>
      <c r="V1837">
        <f t="shared" ref="V1837:W1837" si="1954">V1813</f>
        <v>2.9</v>
      </c>
      <c r="W1837">
        <f t="shared" si="1954"/>
        <v>3</v>
      </c>
      <c r="X1837" s="9">
        <v>-82.116646566667498</v>
      </c>
    </row>
    <row r="1838" spans="1:24">
      <c r="A1838" s="29">
        <f t="shared" si="1909"/>
        <v>45912.458333328883</v>
      </c>
      <c r="B1838" s="30">
        <f t="shared" si="1933"/>
        <v>8000</v>
      </c>
      <c r="C1838" s="8">
        <v>25000</v>
      </c>
      <c r="D1838" s="8">
        <v>0</v>
      </c>
      <c r="E1838" s="8">
        <v>700</v>
      </c>
      <c r="F1838" s="8">
        <v>15000</v>
      </c>
      <c r="G1838" s="30">
        <f t="shared" si="1934"/>
        <v>2400</v>
      </c>
      <c r="H1838" s="8">
        <v>25000</v>
      </c>
      <c r="I1838" s="30">
        <f t="shared" si="1935"/>
        <v>8000</v>
      </c>
      <c r="J1838" s="8">
        <v>25000</v>
      </c>
      <c r="K1838" s="30">
        <f t="shared" si="193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VLOOKUP(VLOOKUP(DATEVALUE(TEXT(A1838,"m/d/yyyy")),FY24_Temp[],5,FALSE)&amp;TEXT(A1838,"-h"),Table6[],4,FALSE)</f>
        <v>1.3002857310431344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VLOOKUP(TEXT(A1838,"yy-mm")&amp;"-"&amp;IF(AND(WEEKDAY(A1838)&gt;1,WEEKDAY(A1838)&lt;7),"Wkd",TEXT(A1838,"Ddd"))&amp;"-"&amp;TEXT(A1838,"hh"),LoadTable[],5,FALSE)*0.92</f>
        <v>237.25788000000003</v>
      </c>
      <c r="U1838" s="104">
        <f>VLOOKUP(TEXT(A1838,"yy-mm")&amp;"-"&amp;IF(AND(WEEKDAY(A1838)&gt;1,WEEKDAY(A1838)&lt;7),"Wkd",TEXT(A1838,"Ddd"))&amp;"-"&amp;TEXT(A1838,"hh"),LoadTable[],6,FALSE)*T1838</f>
        <v>10974.125981520001</v>
      </c>
      <c r="V1838">
        <f t="shared" ref="V1838:W1838" si="1955">V1814</f>
        <v>3.4</v>
      </c>
      <c r="W1838">
        <f t="shared" si="1955"/>
        <v>3</v>
      </c>
      <c r="X1838" s="9">
        <v>-82.194441116667505</v>
      </c>
    </row>
    <row r="1839" spans="1:24">
      <c r="A1839" s="29">
        <f t="shared" si="1909"/>
        <v>45912.499999995547</v>
      </c>
      <c r="B1839" s="30">
        <f t="shared" si="1933"/>
        <v>8000</v>
      </c>
      <c r="C1839" s="8">
        <v>25000</v>
      </c>
      <c r="D1839" s="8">
        <v>0</v>
      </c>
      <c r="E1839" s="8">
        <v>700</v>
      </c>
      <c r="F1839" s="8">
        <v>15000</v>
      </c>
      <c r="G1839" s="30">
        <f t="shared" si="1934"/>
        <v>2400</v>
      </c>
      <c r="H1839" s="8">
        <v>25000</v>
      </c>
      <c r="I1839" s="30">
        <f t="shared" si="1935"/>
        <v>8000</v>
      </c>
      <c r="J1839" s="8">
        <v>25000</v>
      </c>
      <c r="K1839" s="30">
        <f t="shared" si="193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VLOOKUP(VLOOKUP(DATEVALUE(TEXT(A1839,"m/d/yyyy")),FY24_Temp[],5,FALSE)&amp;TEXT(A1839,"-h"),Table6[],4,FALSE)</f>
        <v>1.1327142715454102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VLOOKUP(TEXT(A1839,"yy-mm")&amp;"-"&amp;IF(AND(WEEKDAY(A1839)&gt;1,WEEKDAY(A1839)&lt;7),"Wkd",TEXT(A1839,"Ddd"))&amp;"-"&amp;TEXT(A1839,"hh"),LoadTable[],5,FALSE)*0.92</f>
        <v>237.25788000000003</v>
      </c>
      <c r="U1839" s="104">
        <f>VLOOKUP(TEXT(A1839,"yy-mm")&amp;"-"&amp;IF(AND(WEEKDAY(A1839)&gt;1,WEEKDAY(A1839)&lt;7),"Wkd",TEXT(A1839,"Ddd"))&amp;"-"&amp;TEXT(A1839,"hh"),LoadTable[],6,FALSE)*T1839</f>
        <v>10962.974861160001</v>
      </c>
      <c r="V1839">
        <f t="shared" ref="V1839:W1839" si="1956">V1815</f>
        <v>3.1</v>
      </c>
      <c r="W1839">
        <f t="shared" si="1956"/>
        <v>2.9</v>
      </c>
      <c r="X1839" s="9">
        <v>-82.272235666667498</v>
      </c>
    </row>
    <row r="1840" spans="1:24">
      <c r="A1840" s="29">
        <f t="shared" si="1909"/>
        <v>45912.541666662211</v>
      </c>
      <c r="B1840" s="30">
        <f t="shared" si="1933"/>
        <v>8000</v>
      </c>
      <c r="C1840" s="8">
        <v>25000</v>
      </c>
      <c r="D1840" s="8">
        <v>0</v>
      </c>
      <c r="E1840" s="8">
        <v>700</v>
      </c>
      <c r="F1840" s="8">
        <v>15000</v>
      </c>
      <c r="G1840" s="30">
        <f t="shared" si="1934"/>
        <v>2400</v>
      </c>
      <c r="H1840" s="8">
        <v>25000</v>
      </c>
      <c r="I1840" s="30">
        <f t="shared" si="1935"/>
        <v>8000</v>
      </c>
      <c r="J1840" s="8">
        <v>25000</v>
      </c>
      <c r="K1840" s="30">
        <f t="shared" si="193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VLOOKUP(VLOOKUP(DATEVALUE(TEXT(A1840,"m/d/yyyy")),FY24_Temp[],5,FALSE)&amp;TEXT(A1840,"-h"),Table6[],4,FALSE)</f>
        <v>0.98357141869408748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VLOOKUP(TEXT(A1840,"yy-mm")&amp;"-"&amp;IF(AND(WEEKDAY(A1840)&gt;1,WEEKDAY(A1840)&lt;7),"Wkd",TEXT(A1840,"Ddd"))&amp;"-"&amp;TEXT(A1840,"hh"),LoadTable[],5,FALSE)*0.92</f>
        <v>237.25788000000003</v>
      </c>
      <c r="U1840" s="104">
        <f>VLOOKUP(TEXT(A1840,"yy-mm")&amp;"-"&amp;IF(AND(WEEKDAY(A1840)&gt;1,WEEKDAY(A1840)&lt;7),"Wkd",TEXT(A1840,"Ddd"))&amp;"-"&amp;TEXT(A1840,"hh"),LoadTable[],6,FALSE)*T1840</f>
        <v>10978.39662336</v>
      </c>
      <c r="V1840">
        <f t="shared" ref="V1840:W1840" si="1957">V1816</f>
        <v>3.2</v>
      </c>
      <c r="W1840">
        <f t="shared" si="1957"/>
        <v>2.9</v>
      </c>
      <c r="X1840" s="9">
        <v>-82.350030216667506</v>
      </c>
    </row>
    <row r="1841" spans="1:24">
      <c r="A1841" s="29">
        <f t="shared" si="1909"/>
        <v>45912.583333328876</v>
      </c>
      <c r="B1841" s="30">
        <f t="shared" si="1933"/>
        <v>8000</v>
      </c>
      <c r="C1841" s="8">
        <v>25000</v>
      </c>
      <c r="D1841" s="8">
        <v>0</v>
      </c>
      <c r="E1841" s="8">
        <v>700</v>
      </c>
      <c r="F1841" s="8">
        <v>15000</v>
      </c>
      <c r="G1841" s="30">
        <f t="shared" si="1934"/>
        <v>2400</v>
      </c>
      <c r="H1841" s="8">
        <v>25000</v>
      </c>
      <c r="I1841" s="30">
        <f t="shared" si="1935"/>
        <v>8000</v>
      </c>
      <c r="J1841" s="8">
        <v>25000</v>
      </c>
      <c r="K1841" s="30">
        <f t="shared" si="193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VLOOKUP(VLOOKUP(DATEVALUE(TEXT(A1841,"m/d/yyyy")),FY24_Temp[],5,FALSE)&amp;TEXT(A1841,"-h"),Table6[],4,FALSE)</f>
        <v>0.86971429416111534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VLOOKUP(TEXT(A1841,"yy-mm")&amp;"-"&amp;IF(AND(WEEKDAY(A1841)&gt;1,WEEKDAY(A1841)&lt;7),"Wkd",TEXT(A1841,"Ddd"))&amp;"-"&amp;TEXT(A1841,"hh"),LoadTable[],5,FALSE)*0.92</f>
        <v>269.75136000000003</v>
      </c>
      <c r="U1841" s="104">
        <f>VLOOKUP(TEXT(A1841,"yy-mm")&amp;"-"&amp;IF(AND(WEEKDAY(A1841)&gt;1,WEEKDAY(A1841)&lt;7),"Wkd",TEXT(A1841,"Ddd"))&amp;"-"&amp;TEXT(A1841,"hh"),LoadTable[],6,FALSE)*T1841</f>
        <v>12503.245287360001</v>
      </c>
      <c r="V1841">
        <f t="shared" ref="V1841:W1841" si="1958">V1817</f>
        <v>3.5</v>
      </c>
      <c r="W1841">
        <f t="shared" si="1958"/>
        <v>2.9</v>
      </c>
      <c r="X1841" s="9">
        <v>-82.427824766667499</v>
      </c>
    </row>
    <row r="1842" spans="1:24">
      <c r="A1842" s="29">
        <f t="shared" si="1909"/>
        <v>45912.62499999554</v>
      </c>
      <c r="B1842" s="30">
        <f t="shared" si="1933"/>
        <v>8000</v>
      </c>
      <c r="C1842" s="8">
        <v>25000</v>
      </c>
      <c r="D1842" s="8">
        <v>0</v>
      </c>
      <c r="E1842" s="8">
        <v>700</v>
      </c>
      <c r="F1842" s="8">
        <v>15000</v>
      </c>
      <c r="G1842" s="30">
        <f t="shared" si="1934"/>
        <v>2400</v>
      </c>
      <c r="H1842" s="8">
        <v>25000</v>
      </c>
      <c r="I1842" s="30">
        <f t="shared" si="1935"/>
        <v>8000</v>
      </c>
      <c r="J1842" s="8">
        <v>25000</v>
      </c>
      <c r="K1842" s="30">
        <f t="shared" si="193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VLOOKUP(VLOOKUP(DATEVALUE(TEXT(A1842,"m/d/yyyy")),FY24_Temp[],5,FALSE)&amp;TEXT(A1842,"-h"),Table6[],4,FALSE)</f>
        <v>0.90028570379529682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VLOOKUP(TEXT(A1842,"yy-mm")&amp;"-"&amp;IF(AND(WEEKDAY(A1842)&gt;1,WEEKDAY(A1842)&lt;7),"Wkd",TEXT(A1842,"Ddd"))&amp;"-"&amp;TEXT(A1842,"hh"),LoadTable[],5,FALSE)*0.92</f>
        <v>388.38076000000001</v>
      </c>
      <c r="U1842" s="104">
        <f>VLOOKUP(TEXT(A1842,"yy-mm")&amp;"-"&amp;IF(AND(WEEKDAY(A1842)&gt;1,WEEKDAY(A1842)&lt;7),"Wkd",TEXT(A1842,"Ddd"))&amp;"-"&amp;TEXT(A1842,"hh"),LoadTable[],6,FALSE)*T1842</f>
        <v>19705.663000880002</v>
      </c>
      <c r="V1842">
        <f t="shared" ref="V1842:W1842" si="1959">V1818</f>
        <v>3.2</v>
      </c>
      <c r="W1842">
        <f t="shared" si="1959"/>
        <v>2.9</v>
      </c>
      <c r="X1842" s="9">
        <v>-82.505619316667506</v>
      </c>
    </row>
    <row r="1843" spans="1:24">
      <c r="A1843" s="29">
        <f t="shared" si="1909"/>
        <v>45912.666666662204</v>
      </c>
      <c r="B1843" s="30">
        <f t="shared" si="1933"/>
        <v>8000</v>
      </c>
      <c r="C1843" s="8">
        <v>25000</v>
      </c>
      <c r="D1843" s="8">
        <v>0</v>
      </c>
      <c r="E1843" s="8">
        <v>700</v>
      </c>
      <c r="F1843" s="8">
        <v>15000</v>
      </c>
      <c r="G1843" s="30">
        <f t="shared" si="1934"/>
        <v>2400</v>
      </c>
      <c r="H1843" s="8">
        <v>25000</v>
      </c>
      <c r="I1843" s="30">
        <f t="shared" si="1935"/>
        <v>8000</v>
      </c>
      <c r="J1843" s="8">
        <v>25000</v>
      </c>
      <c r="K1843" s="30">
        <f t="shared" si="193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VLOOKUP(VLOOKUP(DATEVALUE(TEXT(A1843,"m/d/yyyy")),FY24_Temp[],5,FALSE)&amp;TEXT(A1843,"-h"),Table6[],4,FALSE)</f>
        <v>1.2158571481704712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VLOOKUP(TEXT(A1843,"yy-mm")&amp;"-"&amp;IF(AND(WEEKDAY(A1843)&gt;1,WEEKDAY(A1843)&lt;7),"Wkd",TEXT(A1843,"Ddd"))&amp;"-"&amp;TEXT(A1843,"hh"),LoadTable[],5,FALSE)*0.92</f>
        <v>388.38076000000001</v>
      </c>
      <c r="U1843" s="104">
        <f>VLOOKUP(TEXT(A1843,"yy-mm")&amp;"-"&amp;IF(AND(WEEKDAY(A1843)&gt;1,WEEKDAY(A1843)&lt;7),"Wkd",TEXT(A1843,"Ddd"))&amp;"-"&amp;TEXT(A1843,"hh"),LoadTable[],6,FALSE)*T1843</f>
        <v>23675.6911296</v>
      </c>
      <c r="V1843">
        <f t="shared" ref="V1843:W1843" si="1960">V1819</f>
        <v>3.5</v>
      </c>
      <c r="W1843">
        <f t="shared" si="1960"/>
        <v>3</v>
      </c>
      <c r="X1843" s="9">
        <v>-82.583413866667499</v>
      </c>
    </row>
    <row r="1844" spans="1:24">
      <c r="A1844" s="29">
        <f t="shared" si="1909"/>
        <v>45912.708333328868</v>
      </c>
      <c r="B1844" s="30">
        <f t="shared" si="1933"/>
        <v>8000</v>
      </c>
      <c r="C1844" s="8">
        <v>25000</v>
      </c>
      <c r="D1844" s="8">
        <v>0</v>
      </c>
      <c r="E1844" s="8">
        <v>700</v>
      </c>
      <c r="F1844" s="8">
        <v>15000</v>
      </c>
      <c r="G1844" s="30">
        <f t="shared" si="1934"/>
        <v>2400</v>
      </c>
      <c r="H1844" s="8">
        <v>25000</v>
      </c>
      <c r="I1844" s="30">
        <f t="shared" si="1935"/>
        <v>8000</v>
      </c>
      <c r="J1844" s="8">
        <v>25000</v>
      </c>
      <c r="K1844" s="30">
        <f t="shared" si="193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VLOOKUP(VLOOKUP(DATEVALUE(TEXT(A1844,"m/d/yyyy")),FY24_Temp[],5,FALSE)&amp;TEXT(A1844,"-h"),Table6[],4,FALSE)</f>
        <v>1.6385714156287057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VLOOKUP(TEXT(A1844,"yy-mm")&amp;"-"&amp;IF(AND(WEEKDAY(A1844)&gt;1,WEEKDAY(A1844)&lt;7),"Wkd",TEXT(A1844,"Ddd"))&amp;"-"&amp;TEXT(A1844,"hh"),LoadTable[],5,FALSE)*0.92</f>
        <v>388.38076000000001</v>
      </c>
      <c r="U1844" s="104">
        <f>VLOOKUP(TEXT(A1844,"yy-mm")&amp;"-"&amp;IF(AND(WEEKDAY(A1844)&gt;1,WEEKDAY(A1844)&lt;7),"Wkd",TEXT(A1844,"Ddd"))&amp;"-"&amp;TEXT(A1844,"hh"),LoadTable[],6,FALSE)*T1844</f>
        <v>31454.180990880002</v>
      </c>
      <c r="V1844">
        <f t="shared" ref="V1844:W1844" si="1961">V1820</f>
        <v>3.6</v>
      </c>
      <c r="W1844">
        <f t="shared" si="1961"/>
        <v>3</v>
      </c>
      <c r="X1844" s="9">
        <v>-82.661208416667506</v>
      </c>
    </row>
    <row r="1845" spans="1:24">
      <c r="A1845" s="29">
        <f t="shared" si="1909"/>
        <v>45912.749999995533</v>
      </c>
      <c r="B1845" s="30">
        <f t="shared" si="1933"/>
        <v>5000</v>
      </c>
      <c r="C1845" s="8">
        <v>25000</v>
      </c>
      <c r="D1845" s="8">
        <v>0</v>
      </c>
      <c r="E1845" s="8">
        <v>700</v>
      </c>
      <c r="F1845" s="8">
        <v>15000</v>
      </c>
      <c r="G1845" s="30">
        <f t="shared" si="1934"/>
        <v>2400</v>
      </c>
      <c r="H1845" s="8">
        <v>25000</v>
      </c>
      <c r="I1845" s="30">
        <f t="shared" si="1935"/>
        <v>5000</v>
      </c>
      <c r="J1845" s="8">
        <v>25000</v>
      </c>
      <c r="K1845" s="30">
        <f t="shared" si="193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VLOOKUP(VLOOKUP(DATEVALUE(TEXT(A1845,"m/d/yyyy")),FY24_Temp[],5,FALSE)&amp;TEXT(A1845,"-h"),Table6[],4,FALSE)</f>
        <v>2.1335714374269759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VLOOKUP(TEXT(A1845,"yy-mm")&amp;"-"&amp;IF(AND(WEEKDAY(A1845)&gt;1,WEEKDAY(A1845)&lt;7),"Wkd",TEXT(A1845,"Ddd"))&amp;"-"&amp;TEXT(A1845,"hh"),LoadTable[],5,FALSE)*0.92</f>
        <v>388.38076000000001</v>
      </c>
      <c r="U1845" s="104">
        <f>VLOOKUP(TEXT(A1845,"yy-mm")&amp;"-"&amp;IF(AND(WEEKDAY(A1845)&gt;1,WEEKDAY(A1845)&lt;7),"Wkd",TEXT(A1845,"Ddd"))&amp;"-"&amp;TEXT(A1845,"hh"),LoadTable[],6,FALSE)*T1845</f>
        <v>38316.869020080005</v>
      </c>
      <c r="V1845">
        <f t="shared" ref="V1845:W1845" si="1962">V1821</f>
        <v>2.9</v>
      </c>
      <c r="W1845">
        <f t="shared" si="1962"/>
        <v>3</v>
      </c>
      <c r="X1845" s="9">
        <v>-82.739002966667499</v>
      </c>
    </row>
    <row r="1846" spans="1:24">
      <c r="A1846" s="29">
        <f t="shared" si="1909"/>
        <v>45912.791666662197</v>
      </c>
      <c r="B1846" s="30">
        <f t="shared" si="1933"/>
        <v>5000</v>
      </c>
      <c r="C1846" s="8">
        <v>25000</v>
      </c>
      <c r="D1846" s="8">
        <v>0</v>
      </c>
      <c r="E1846" s="8">
        <v>700</v>
      </c>
      <c r="F1846" s="8">
        <v>15000</v>
      </c>
      <c r="G1846" s="30">
        <f t="shared" si="1934"/>
        <v>2400</v>
      </c>
      <c r="H1846" s="8">
        <v>25000</v>
      </c>
      <c r="I1846" s="30">
        <f t="shared" si="1935"/>
        <v>5000</v>
      </c>
      <c r="J1846" s="8">
        <v>25000</v>
      </c>
      <c r="K1846" s="30">
        <f t="shared" si="193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VLOOKUP(VLOOKUP(DATEVALUE(TEXT(A1846,"m/d/yyyy")),FY24_Temp[],5,FALSE)&amp;TEXT(A1846,"-h"),Table6[],4,FALSE)</f>
        <v>2.4782857213701521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VLOOKUP(TEXT(A1846,"yy-mm")&amp;"-"&amp;IF(AND(WEEKDAY(A1846)&gt;1,WEEKDAY(A1846)&lt;7),"Wkd",TEXT(A1846,"Ddd"))&amp;"-"&amp;TEXT(A1846,"hh"),LoadTable[],5,FALSE)*0.92</f>
        <v>388.38076000000001</v>
      </c>
      <c r="U1846" s="104">
        <f>VLOOKUP(TEXT(A1846,"yy-mm")&amp;"-"&amp;IF(AND(WEEKDAY(A1846)&gt;1,WEEKDAY(A1846)&lt;7),"Wkd",TEXT(A1846,"Ddd"))&amp;"-"&amp;TEXT(A1846,"hh"),LoadTable[],6,FALSE)*T1846</f>
        <v>41132.241149319998</v>
      </c>
      <c r="V1846">
        <f t="shared" ref="V1846:W1846" si="1963">V1822</f>
        <v>3</v>
      </c>
      <c r="W1846">
        <f t="shared" si="1963"/>
        <v>3</v>
      </c>
      <c r="X1846" s="9">
        <v>-82.816797516667506</v>
      </c>
    </row>
    <row r="1847" spans="1:24">
      <c r="A1847" s="29">
        <f t="shared" si="1909"/>
        <v>45912.833333328861</v>
      </c>
      <c r="B1847" s="30">
        <f t="shared" si="1933"/>
        <v>5000</v>
      </c>
      <c r="C1847" s="8">
        <v>25000</v>
      </c>
      <c r="D1847" s="8">
        <v>0</v>
      </c>
      <c r="E1847" s="8">
        <v>700</v>
      </c>
      <c r="F1847" s="8">
        <v>15000</v>
      </c>
      <c r="G1847" s="30">
        <f t="shared" si="1934"/>
        <v>2400</v>
      </c>
      <c r="H1847" s="8">
        <v>25000</v>
      </c>
      <c r="I1847" s="30">
        <f t="shared" si="1935"/>
        <v>5000</v>
      </c>
      <c r="J1847" s="8">
        <v>25000</v>
      </c>
      <c r="K1847" s="30">
        <f t="shared" si="193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VLOOKUP(VLOOKUP(DATEVALUE(TEXT(A1847,"m/d/yyyy")),FY24_Temp[],5,FALSE)&amp;TEXT(A1847,"-h"),Table6[],4,FALSE)</f>
        <v>2.6718571526663646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VLOOKUP(TEXT(A1847,"yy-mm")&amp;"-"&amp;IF(AND(WEEKDAY(A1847)&gt;1,WEEKDAY(A1847)&lt;7),"Wkd",TEXT(A1847,"Ddd"))&amp;"-"&amp;TEXT(A1847,"hh"),LoadTable[],5,FALSE)*0.92</f>
        <v>388.38076000000001</v>
      </c>
      <c r="U1847" s="104">
        <f>VLOOKUP(TEXT(A1847,"yy-mm")&amp;"-"&amp;IF(AND(WEEKDAY(A1847)&gt;1,WEEKDAY(A1847)&lt;7),"Wkd",TEXT(A1847,"Ddd"))&amp;"-"&amp;TEXT(A1847,"hh"),LoadTable[],6,FALSE)*T1847</f>
        <v>36274.762984000001</v>
      </c>
      <c r="V1847">
        <f t="shared" ref="V1847:W1847" si="1964">V1823</f>
        <v>2.8</v>
      </c>
      <c r="W1847">
        <f t="shared" si="1964"/>
        <v>3.1</v>
      </c>
      <c r="X1847" s="9">
        <v>-82.894592066667499</v>
      </c>
    </row>
    <row r="1848" spans="1:24">
      <c r="A1848" s="29">
        <f t="shared" si="1909"/>
        <v>45912.874999995525</v>
      </c>
      <c r="B1848" s="30">
        <f t="shared" si="1933"/>
        <v>5000</v>
      </c>
      <c r="C1848" s="8">
        <v>25000</v>
      </c>
      <c r="D1848" s="8">
        <v>0</v>
      </c>
      <c r="E1848" s="8">
        <v>700</v>
      </c>
      <c r="F1848" s="8">
        <v>15000</v>
      </c>
      <c r="G1848" s="30">
        <f t="shared" si="1934"/>
        <v>2400</v>
      </c>
      <c r="H1848" s="8">
        <v>25000</v>
      </c>
      <c r="I1848" s="30">
        <f t="shared" si="1935"/>
        <v>5000</v>
      </c>
      <c r="J1848" s="8">
        <v>25000</v>
      </c>
      <c r="K1848" s="30">
        <f t="shared" si="193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VLOOKUP(VLOOKUP(DATEVALUE(TEXT(A1848,"m/d/yyyy")),FY24_Temp[],5,FALSE)&amp;TEXT(A1848,"-h"),Table6[],4,FALSE)</f>
        <v>2.730428559439523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VLOOKUP(TEXT(A1848,"yy-mm")&amp;"-"&amp;IF(AND(WEEKDAY(A1848)&gt;1,WEEKDAY(A1848)&lt;7),"Wkd",TEXT(A1848,"Ddd"))&amp;"-"&amp;TEXT(A1848,"hh"),LoadTable[],5,FALSE)*0.92</f>
        <v>373.79416000000003</v>
      </c>
      <c r="U1848" s="104">
        <f>VLOOKUP(TEXT(A1848,"yy-mm")&amp;"-"&amp;IF(AND(WEEKDAY(A1848)&gt;1,WEEKDAY(A1848)&lt;7),"Wkd",TEXT(A1848,"Ddd"))&amp;"-"&amp;TEXT(A1848,"hh"),LoadTable[],6,FALSE)*T1848</f>
        <v>31749.328362080003</v>
      </c>
      <c r="V1848">
        <f t="shared" ref="V1848:W1848" si="1965">V1824</f>
        <v>3.5</v>
      </c>
      <c r="W1848">
        <f t="shared" si="1965"/>
        <v>3.1</v>
      </c>
      <c r="X1848" s="9">
        <v>-82.972386616667606</v>
      </c>
    </row>
    <row r="1849" spans="1:24">
      <c r="A1849" s="29">
        <f t="shared" si="1909"/>
        <v>45912.91666666219</v>
      </c>
      <c r="B1849" s="30">
        <f t="shared" si="1933"/>
        <v>5000</v>
      </c>
      <c r="C1849" s="8">
        <v>25000</v>
      </c>
      <c r="D1849" s="8">
        <v>0</v>
      </c>
      <c r="E1849" s="8">
        <v>700</v>
      </c>
      <c r="F1849" s="8">
        <v>15000</v>
      </c>
      <c r="G1849" s="30">
        <f t="shared" si="1934"/>
        <v>2400</v>
      </c>
      <c r="H1849" s="8">
        <v>25000</v>
      </c>
      <c r="I1849" s="30">
        <f t="shared" si="1935"/>
        <v>5000</v>
      </c>
      <c r="J1849" s="8">
        <v>25000</v>
      </c>
      <c r="K1849" s="30">
        <f t="shared" si="193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VLOOKUP(VLOOKUP(DATEVALUE(TEXT(A1849,"m/d/yyyy")),FY24_Temp[],5,FALSE)&amp;TEXT(A1849,"-h"),Table6[],4,FALSE)</f>
        <v>2.702714272907802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VLOOKUP(TEXT(A1849,"yy-mm")&amp;"-"&amp;IF(AND(WEEKDAY(A1849)&gt;1,WEEKDAY(A1849)&lt;7),"Wkd",TEXT(A1849,"Ddd"))&amp;"-"&amp;TEXT(A1849,"hh"),LoadTable[],5,FALSE)*0.92</f>
        <v>299.65044</v>
      </c>
      <c r="U1849" s="104">
        <f>VLOOKUP(TEXT(A1849,"yy-mm")&amp;"-"&amp;IF(AND(WEEKDAY(A1849)&gt;1,WEEKDAY(A1849)&lt;7),"Wkd",TEXT(A1849,"Ddd"))&amp;"-"&amp;TEXT(A1849,"hh"),LoadTable[],6,FALSE)*T1849</f>
        <v>15023.87376072</v>
      </c>
      <c r="V1849">
        <f t="shared" ref="V1849:W1849" si="1966">V1825</f>
        <v>2.9</v>
      </c>
      <c r="W1849">
        <f t="shared" si="1966"/>
        <v>3.1</v>
      </c>
      <c r="X1849" s="9">
        <v>-83.050181166667599</v>
      </c>
    </row>
    <row r="1850" spans="1:24" ht="16" thickBot="1">
      <c r="A1850" s="29">
        <f t="shared" si="1909"/>
        <v>45912.958333328854</v>
      </c>
      <c r="B1850" s="30">
        <f t="shared" si="1933"/>
        <v>5000</v>
      </c>
      <c r="C1850" s="8">
        <v>25000</v>
      </c>
      <c r="D1850" s="8">
        <v>0</v>
      </c>
      <c r="E1850" s="8">
        <v>700</v>
      </c>
      <c r="F1850" s="8">
        <v>15000</v>
      </c>
      <c r="G1850" s="30">
        <f t="shared" si="1934"/>
        <v>2400</v>
      </c>
      <c r="H1850" s="8">
        <v>25000</v>
      </c>
      <c r="I1850" s="30">
        <f t="shared" si="1935"/>
        <v>5000</v>
      </c>
      <c r="J1850" s="8">
        <v>25000</v>
      </c>
      <c r="K1850" s="30">
        <f t="shared" si="193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VLOOKUP(VLOOKUP(DATEVALUE(TEXT(A1850,"m/d/yyyy")),FY24_Temp[],5,FALSE)&amp;TEXT(A1850,"-h"),Table6[],4,FALSE)</f>
        <v>2.7027143069675992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VLOOKUP(TEXT(A1850,"yy-mm")&amp;"-"&amp;IF(AND(WEEKDAY(A1850)&gt;1,WEEKDAY(A1850)&lt;7),"Wkd",TEXT(A1850,"Ddd"))&amp;"-"&amp;TEXT(A1850,"hh"),LoadTable[],5,FALSE)*0.92</f>
        <v>237.25788000000003</v>
      </c>
      <c r="U1850" s="104">
        <f>VLOOKUP(TEXT(A1850,"yy-mm")&amp;"-"&amp;IF(AND(WEEKDAY(A1850)&gt;1,WEEKDAY(A1850)&lt;7),"Wkd",TEXT(A1850,"Ddd"))&amp;"-"&amp;TEXT(A1850,"hh"),LoadTable[],6,FALSE)*T1850</f>
        <v>11687.323168800001</v>
      </c>
      <c r="V1850">
        <f t="shared" ref="V1850:W1850" si="1967">V1826</f>
        <v>3.6</v>
      </c>
      <c r="W1850">
        <f t="shared" si="1967"/>
        <v>3.1</v>
      </c>
      <c r="X1850" s="9">
        <v>-83.127975716667606</v>
      </c>
    </row>
    <row r="1851" spans="1:24" ht="16" thickBot="1">
      <c r="A1851" s="120">
        <f t="shared" si="1909"/>
        <v>45912.999999995518</v>
      </c>
      <c r="B1851" s="121">
        <f t="shared" si="1933"/>
        <v>5000</v>
      </c>
      <c r="C1851" s="114">
        <v>25000</v>
      </c>
      <c r="D1851" s="114">
        <v>0</v>
      </c>
      <c r="E1851" s="114">
        <v>700</v>
      </c>
      <c r="F1851" s="114">
        <v>15000</v>
      </c>
      <c r="G1851" s="114">
        <f t="shared" si="1934"/>
        <v>2400</v>
      </c>
      <c r="H1851" s="114">
        <v>25000</v>
      </c>
      <c r="I1851" s="114">
        <f t="shared" si="1935"/>
        <v>5000</v>
      </c>
      <c r="J1851" s="114">
        <v>25000</v>
      </c>
      <c r="K1851" s="114">
        <f t="shared" si="1936"/>
        <v>5000</v>
      </c>
      <c r="L1851" s="114">
        <v>25000</v>
      </c>
      <c r="M1851" s="115">
        <f>VLOOKUP(DATE(YEAR(A1851),MONTH(A1851),DAY(A1851)),FY24_Temp[],4,FALSE)</f>
        <v>8.5</v>
      </c>
      <c r="N1851" s="115">
        <f>VLOOKUP(DATE(YEAR(A1851),MONTH(A1851),DAY(A1851)),FY24_Temp[],3,FALSE)</f>
        <v>15.49</v>
      </c>
      <c r="O1851" s="115">
        <v>13.5</v>
      </c>
      <c r="P1851" s="115">
        <v>19.5</v>
      </c>
      <c r="Q1851" s="116">
        <f>VLOOKUP(VLOOKUP(DATEVALUE(TEXT(A1851,"m/d/yyyy")),FY24_Temp[],5,FALSE)&amp;TEXT(A1851,"-h"),Table6[],4,FALSE)</f>
        <v>2.4424285888671875</v>
      </c>
      <c r="R1851" s="117">
        <v>10</v>
      </c>
      <c r="S1851" s="117">
        <v>1000</v>
      </c>
      <c r="T1851" s="100">
        <f>VLOOKUP(TEXT(A1851,"yy-mm")&amp;"-"&amp;IF(AND(WEEKDAY(A1851)&gt;1,WEEKDAY(A1851)&lt;7),"Wkd",TEXT(A1851,"Ddd"))&amp;"-"&amp;TEXT(A1851,"hh"),LoadTable[],5,FALSE)*0.92</f>
        <v>237.25788000000003</v>
      </c>
      <c r="U1851" s="118">
        <f>VLOOKUP(TEXT(A1851,"yy-mm")&amp;"-"&amp;IF(AND(WEEKDAY(A1851)&gt;1,WEEKDAY(A1851)&lt;7),"Wkd",TEXT(A1851,"Ddd"))&amp;"-"&amp;TEXT(A1851,"hh"),LoadTable[],6,FALSE)*T1851</f>
        <v>11614.24774176</v>
      </c>
      <c r="V1851" s="117">
        <f t="shared" ref="V1851:W1851" si="1968">V1827</f>
        <v>3</v>
      </c>
      <c r="W1851" s="117">
        <f t="shared" si="1968"/>
        <v>3.2</v>
      </c>
      <c r="X1851" s="119">
        <v>-83.205770266667599</v>
      </c>
    </row>
    <row r="1852" spans="1:24">
      <c r="A1852" s="29">
        <f t="shared" si="1909"/>
        <v>45913.041666662182</v>
      </c>
      <c r="B1852" s="30">
        <f t="shared" si="1933"/>
        <v>5000</v>
      </c>
      <c r="C1852" s="8">
        <v>25000</v>
      </c>
      <c r="D1852" s="8">
        <v>0</v>
      </c>
      <c r="E1852" s="8">
        <v>700</v>
      </c>
      <c r="F1852" s="8">
        <v>15000</v>
      </c>
      <c r="G1852" s="30">
        <f t="shared" si="1934"/>
        <v>2400</v>
      </c>
      <c r="H1852" s="8">
        <v>25000</v>
      </c>
      <c r="I1852" s="30">
        <f t="shared" si="1935"/>
        <v>5000</v>
      </c>
      <c r="J1852" s="8">
        <v>25000</v>
      </c>
      <c r="K1852" s="30">
        <f t="shared" si="193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VLOOKUP(VLOOKUP(DATEVALUE(TEXT(A1852,"m/d/yyyy")),FY24_Temp[],5,FALSE)&amp;TEXT(A1852,"-h"),Table6[],4,FALSE)</f>
        <v>2.3764285360063826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VLOOKUP(TEXT(A1852,"yy-mm")&amp;"-"&amp;IF(AND(WEEKDAY(A1852)&gt;1,WEEKDAY(A1852)&lt;7),"Wkd",TEXT(A1852,"Ddd"))&amp;"-"&amp;TEXT(A1852,"hh"),LoadTable[],5,FALSE)*0.92</f>
        <v>237.25788000000003</v>
      </c>
      <c r="U1852" s="104">
        <f>VLOOKUP(TEXT(A1852,"yy-mm")&amp;"-"&amp;IF(AND(WEEKDAY(A1852)&gt;1,WEEKDAY(A1852)&lt;7),"Wkd",TEXT(A1852,"Ddd"))&amp;"-"&amp;TEXT(A1852,"hh"),LoadTable[],6,FALSE)*T1852</f>
        <v>11567.270681520002</v>
      </c>
      <c r="V1852">
        <f t="shared" ref="V1852:W1852" si="1969">V1828</f>
        <v>2.6</v>
      </c>
      <c r="W1852">
        <f t="shared" si="1969"/>
        <v>3.2</v>
      </c>
      <c r="X1852" s="9">
        <v>-83.283564816667607</v>
      </c>
    </row>
    <row r="1853" spans="1:24">
      <c r="A1853" s="29">
        <f t="shared" si="1909"/>
        <v>45913.083333328846</v>
      </c>
      <c r="B1853" s="30">
        <f t="shared" si="1933"/>
        <v>5000</v>
      </c>
      <c r="C1853" s="8">
        <v>25000</v>
      </c>
      <c r="D1853" s="8">
        <v>0</v>
      </c>
      <c r="E1853" s="8">
        <v>700</v>
      </c>
      <c r="F1853" s="8">
        <v>15000</v>
      </c>
      <c r="G1853" s="30">
        <f t="shared" si="1934"/>
        <v>2400</v>
      </c>
      <c r="H1853" s="8">
        <v>25000</v>
      </c>
      <c r="I1853" s="30">
        <f t="shared" si="1935"/>
        <v>5000</v>
      </c>
      <c r="J1853" s="8">
        <v>25000</v>
      </c>
      <c r="K1853" s="30">
        <f t="shared" si="193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VLOOKUP(VLOOKUP(DATEVALUE(TEXT(A1853,"m/d/yyyy")),FY24_Temp[],5,FALSE)&amp;TEXT(A1853,"-h"),Table6[],4,FALSE)</f>
        <v>2.2488571235111783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VLOOKUP(TEXT(A1853,"yy-mm")&amp;"-"&amp;IF(AND(WEEKDAY(A1853)&gt;1,WEEKDAY(A1853)&lt;7),"Wkd",TEXT(A1853,"Ddd"))&amp;"-"&amp;TEXT(A1853,"hh"),LoadTable[],5,FALSE)*0.92</f>
        <v>237.25788000000003</v>
      </c>
      <c r="U1853" s="104">
        <f>VLOOKUP(TEXT(A1853,"yy-mm")&amp;"-"&amp;IF(AND(WEEKDAY(A1853)&gt;1,WEEKDAY(A1853)&lt;7),"Wkd",TEXT(A1853,"Ddd"))&amp;"-"&amp;TEXT(A1853,"hh"),LoadTable[],6,FALSE)*T1853</f>
        <v>11654.581581360002</v>
      </c>
      <c r="V1853">
        <f t="shared" ref="V1853:W1853" si="1970">V1829</f>
        <v>2.8</v>
      </c>
      <c r="W1853">
        <f t="shared" si="1970"/>
        <v>3.2</v>
      </c>
      <c r="X1853" s="9">
        <v>-83.3613593666676</v>
      </c>
    </row>
    <row r="1854" spans="1:24">
      <c r="A1854" s="29">
        <f t="shared" si="1909"/>
        <v>45913.124999995511</v>
      </c>
      <c r="B1854" s="30">
        <f t="shared" si="1933"/>
        <v>5000</v>
      </c>
      <c r="C1854" s="8">
        <v>25000</v>
      </c>
      <c r="D1854" s="8">
        <v>0</v>
      </c>
      <c r="E1854" s="8">
        <v>700</v>
      </c>
      <c r="F1854" s="8">
        <v>15000</v>
      </c>
      <c r="G1854" s="30">
        <f t="shared" si="1934"/>
        <v>2400</v>
      </c>
      <c r="H1854" s="8">
        <v>25000</v>
      </c>
      <c r="I1854" s="30">
        <f t="shared" si="1935"/>
        <v>5000</v>
      </c>
      <c r="J1854" s="8">
        <v>25000</v>
      </c>
      <c r="K1854" s="30">
        <f t="shared" si="193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VLOOKUP(VLOOKUP(DATEVALUE(TEXT(A1854,"m/d/yyyy")),FY24_Temp[],5,FALSE)&amp;TEXT(A1854,"-h"),Table6[],4,FALSE)</f>
        <v>2.1057142530168806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VLOOKUP(TEXT(A1854,"yy-mm")&amp;"-"&amp;IF(AND(WEEKDAY(A1854)&gt;1,WEEKDAY(A1854)&lt;7),"Wkd",TEXT(A1854,"Ddd"))&amp;"-"&amp;TEXT(A1854,"hh"),LoadTable[],5,FALSE)*0.92</f>
        <v>237.25788000000003</v>
      </c>
      <c r="U1854" s="104">
        <f>VLOOKUP(TEXT(A1854,"yy-mm")&amp;"-"&amp;IF(AND(WEEKDAY(A1854)&gt;1,WEEKDAY(A1854)&lt;7),"Wkd",TEXT(A1854,"Ddd"))&amp;"-"&amp;TEXT(A1854,"hh"),LoadTable[],6,FALSE)*T1854</f>
        <v>11699.897836440003</v>
      </c>
      <c r="V1854">
        <f t="shared" ref="V1854:W1854" si="1971">V1830</f>
        <v>2.7</v>
      </c>
      <c r="W1854">
        <f t="shared" si="1971"/>
        <v>3.2</v>
      </c>
      <c r="X1854" s="9">
        <v>-83.439153916667607</v>
      </c>
    </row>
    <row r="1855" spans="1:24">
      <c r="A1855" s="29">
        <f t="shared" si="1909"/>
        <v>45913.166666662175</v>
      </c>
      <c r="B1855" s="30">
        <f t="shared" si="1933"/>
        <v>5000</v>
      </c>
      <c r="C1855" s="8">
        <v>25000</v>
      </c>
      <c r="D1855" s="8">
        <v>0</v>
      </c>
      <c r="E1855" s="8">
        <v>700</v>
      </c>
      <c r="F1855" s="8">
        <v>15000</v>
      </c>
      <c r="G1855" s="30">
        <f t="shared" si="1934"/>
        <v>2400</v>
      </c>
      <c r="H1855" s="8">
        <v>25000</v>
      </c>
      <c r="I1855" s="30">
        <f t="shared" si="1935"/>
        <v>5000</v>
      </c>
      <c r="J1855" s="8">
        <v>25000</v>
      </c>
      <c r="K1855" s="30">
        <f t="shared" si="193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VLOOKUP(VLOOKUP(DATEVALUE(TEXT(A1855,"m/d/yyyy")),FY24_Temp[],5,FALSE)&amp;TEXT(A1855,"-h"),Table6[],4,FALSE)</f>
        <v>1.956142851284572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VLOOKUP(TEXT(A1855,"yy-mm")&amp;"-"&amp;IF(AND(WEEKDAY(A1855)&gt;1,WEEKDAY(A1855)&lt;7),"Wkd",TEXT(A1855,"Ddd"))&amp;"-"&amp;TEXT(A1855,"hh"),LoadTable[],5,FALSE)*0.92</f>
        <v>237.25788000000003</v>
      </c>
      <c r="U1855" s="104">
        <f>VLOOKUP(TEXT(A1855,"yy-mm")&amp;"-"&amp;IF(AND(WEEKDAY(A1855)&gt;1,WEEKDAY(A1855)&lt;7),"Wkd",TEXT(A1855,"Ddd"))&amp;"-"&amp;TEXT(A1855,"hh"),LoadTable[],6,FALSE)*T1855</f>
        <v>11587.912117080001</v>
      </c>
      <c r="V1855">
        <f t="shared" ref="V1855:W1855" si="1972">V1831</f>
        <v>3</v>
      </c>
      <c r="W1855">
        <f t="shared" si="1972"/>
        <v>3.1</v>
      </c>
      <c r="X1855" s="9">
        <v>-83.5169484666676</v>
      </c>
    </row>
    <row r="1856" spans="1:24">
      <c r="A1856" s="29">
        <f t="shared" si="1909"/>
        <v>45913.208333328839</v>
      </c>
      <c r="B1856" s="30">
        <f t="shared" si="1933"/>
        <v>5000</v>
      </c>
      <c r="C1856" s="8">
        <v>25000</v>
      </c>
      <c r="D1856" s="8">
        <v>0</v>
      </c>
      <c r="E1856" s="8">
        <v>700</v>
      </c>
      <c r="F1856" s="8">
        <v>15000</v>
      </c>
      <c r="G1856" s="30">
        <f t="shared" si="1934"/>
        <v>2400</v>
      </c>
      <c r="H1856" s="8">
        <v>25000</v>
      </c>
      <c r="I1856" s="30">
        <f t="shared" si="1935"/>
        <v>5000</v>
      </c>
      <c r="J1856" s="8">
        <v>25000</v>
      </c>
      <c r="K1856" s="30">
        <f t="shared" si="193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VLOOKUP(VLOOKUP(DATEVALUE(TEXT(A1856,"m/d/yyyy")),FY24_Temp[],5,FALSE)&amp;TEXT(A1856,"-h"),Table6[],4,FALSE)</f>
        <v>1.8435714244842529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VLOOKUP(TEXT(A1856,"yy-mm")&amp;"-"&amp;IF(AND(WEEKDAY(A1856)&gt;1,WEEKDAY(A1856)&lt;7),"Wkd",TEXT(A1856,"Ddd"))&amp;"-"&amp;TEXT(A1856,"hh"),LoadTable[],5,FALSE)*0.92</f>
        <v>237.25788000000003</v>
      </c>
      <c r="U1856" s="104">
        <f>VLOOKUP(TEXT(A1856,"yy-mm")&amp;"-"&amp;IF(AND(WEEKDAY(A1856)&gt;1,WEEKDAY(A1856)&lt;7),"Wkd",TEXT(A1856,"Ddd"))&amp;"-"&amp;TEXT(A1856,"hh"),LoadTable[],6,FALSE)*T1856</f>
        <v>11830.864186200002</v>
      </c>
      <c r="V1856">
        <f t="shared" ref="V1856:W1856" si="1973">V1832</f>
        <v>2.9</v>
      </c>
      <c r="W1856">
        <f t="shared" si="1973"/>
        <v>3.1</v>
      </c>
      <c r="X1856" s="9">
        <v>-83.594743016667607</v>
      </c>
    </row>
    <row r="1857" spans="1:24">
      <c r="A1857" s="29">
        <f t="shared" si="1909"/>
        <v>45913.249999995503</v>
      </c>
      <c r="B1857" s="30">
        <f t="shared" si="1933"/>
        <v>8000</v>
      </c>
      <c r="C1857" s="8">
        <v>25000</v>
      </c>
      <c r="D1857" s="8">
        <v>0</v>
      </c>
      <c r="E1857" s="8">
        <v>700</v>
      </c>
      <c r="F1857" s="8">
        <v>15000</v>
      </c>
      <c r="G1857" s="30">
        <f t="shared" si="1934"/>
        <v>2400</v>
      </c>
      <c r="H1857" s="8">
        <v>25000</v>
      </c>
      <c r="I1857" s="30">
        <f t="shared" si="1935"/>
        <v>8000</v>
      </c>
      <c r="J1857" s="8">
        <v>25000</v>
      </c>
      <c r="K1857" s="30">
        <f t="shared" si="193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VLOOKUP(VLOOKUP(DATEVALUE(TEXT(A1857,"m/d/yyyy")),FY24_Temp[],5,FALSE)&amp;TEXT(A1857,"-h"),Table6[],4,FALSE)</f>
        <v>1.7435714176722936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VLOOKUP(TEXT(A1857,"yy-mm")&amp;"-"&amp;IF(AND(WEEKDAY(A1857)&gt;1,WEEKDAY(A1857)&lt;7),"Wkd",TEXT(A1857,"Ddd"))&amp;"-"&amp;TEXT(A1857,"hh"),LoadTable[],5,FALSE)*0.92</f>
        <v>237.25788000000003</v>
      </c>
      <c r="U1857" s="104">
        <f>VLOOKUP(TEXT(A1857,"yy-mm")&amp;"-"&amp;IF(AND(WEEKDAY(A1857)&gt;1,WEEKDAY(A1857)&lt;7),"Wkd",TEXT(A1857,"Ddd"))&amp;"-"&amp;TEXT(A1857,"hh"),LoadTable[],6,FALSE)*T1857</f>
        <v>18184.867470480003</v>
      </c>
      <c r="V1857">
        <f t="shared" ref="V1857:W1857" si="1974">V1833</f>
        <v>2.5</v>
      </c>
      <c r="W1857">
        <f t="shared" si="1974"/>
        <v>3.1</v>
      </c>
      <c r="X1857" s="9">
        <v>-83.6725375666676</v>
      </c>
    </row>
    <row r="1858" spans="1:24">
      <c r="A1858" s="29">
        <f t="shared" si="1909"/>
        <v>45913.291666662168</v>
      </c>
      <c r="B1858" s="30">
        <f t="shared" si="1933"/>
        <v>8000</v>
      </c>
      <c r="C1858" s="8">
        <v>25000</v>
      </c>
      <c r="D1858" s="8">
        <v>0</v>
      </c>
      <c r="E1858" s="8">
        <v>700</v>
      </c>
      <c r="F1858" s="8">
        <v>15000</v>
      </c>
      <c r="G1858" s="30">
        <f t="shared" si="1934"/>
        <v>2400</v>
      </c>
      <c r="H1858" s="8">
        <v>25000</v>
      </c>
      <c r="I1858" s="30">
        <f t="shared" si="1935"/>
        <v>8000</v>
      </c>
      <c r="J1858" s="8">
        <v>25000</v>
      </c>
      <c r="K1858" s="30">
        <f t="shared" si="193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VLOOKUP(VLOOKUP(DATEVALUE(TEXT(A1858,"m/d/yyyy")),FY24_Temp[],5,FALSE)&amp;TEXT(A1858,"-h"),Table6[],4,FALSE)</f>
        <v>1.5834285702024187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VLOOKUP(TEXT(A1858,"yy-mm")&amp;"-"&amp;IF(AND(WEEKDAY(A1858)&gt;1,WEEKDAY(A1858)&lt;7),"Wkd",TEXT(A1858,"Ddd"))&amp;"-"&amp;TEXT(A1858,"hh"),LoadTable[],5,FALSE)*0.92</f>
        <v>237.25788000000003</v>
      </c>
      <c r="U1858" s="104">
        <f>VLOOKUP(TEXT(A1858,"yy-mm")&amp;"-"&amp;IF(AND(WEEKDAY(A1858)&gt;1,WEEKDAY(A1858)&lt;7),"Wkd",TEXT(A1858,"Ddd"))&amp;"-"&amp;TEXT(A1858,"hh"),LoadTable[],6,FALSE)*T1858</f>
        <v>16549.448903640001</v>
      </c>
      <c r="V1858">
        <f t="shared" ref="V1858:W1858" si="1975">V1834</f>
        <v>2.5</v>
      </c>
      <c r="W1858">
        <f t="shared" si="1975"/>
        <v>3.1</v>
      </c>
      <c r="X1858" s="9">
        <v>-83.750332116667593</v>
      </c>
    </row>
    <row r="1859" spans="1:24">
      <c r="A1859" s="29">
        <f t="shared" si="1909"/>
        <v>45913.333333328832</v>
      </c>
      <c r="B1859" s="30">
        <f t="shared" si="1933"/>
        <v>8000</v>
      </c>
      <c r="C1859" s="8">
        <v>25000</v>
      </c>
      <c r="D1859" s="8">
        <v>0</v>
      </c>
      <c r="E1859" s="8">
        <v>700</v>
      </c>
      <c r="F1859" s="8">
        <v>15000</v>
      </c>
      <c r="G1859" s="30">
        <f t="shared" si="1934"/>
        <v>2400</v>
      </c>
      <c r="H1859" s="8">
        <v>25000</v>
      </c>
      <c r="I1859" s="30">
        <f t="shared" si="1935"/>
        <v>8000</v>
      </c>
      <c r="J1859" s="8">
        <v>25000</v>
      </c>
      <c r="K1859" s="30">
        <f t="shared" si="193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VLOOKUP(VLOOKUP(DATEVALUE(TEXT(A1859,"m/d/yyyy")),FY24_Temp[],5,FALSE)&amp;TEXT(A1859,"-h"),Table6[],4,FALSE)</f>
        <v>1.5194285767418998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VLOOKUP(TEXT(A1859,"yy-mm")&amp;"-"&amp;IF(AND(WEEKDAY(A1859)&gt;1,WEEKDAY(A1859)&lt;7),"Wkd",TEXT(A1859,"Ddd"))&amp;"-"&amp;TEXT(A1859,"hh"),LoadTable[],5,FALSE)*0.92</f>
        <v>237.25788000000003</v>
      </c>
      <c r="U1859" s="104">
        <f>VLOOKUP(TEXT(A1859,"yy-mm")&amp;"-"&amp;IF(AND(WEEKDAY(A1859)&gt;1,WEEKDAY(A1859)&lt;7),"Wkd",TEXT(A1859,"Ddd"))&amp;"-"&amp;TEXT(A1859,"hh"),LoadTable[],6,FALSE)*T1859</f>
        <v>13996.31685696</v>
      </c>
      <c r="V1859">
        <f t="shared" ref="V1859:W1859" si="1976">V1835</f>
        <v>3.2</v>
      </c>
      <c r="W1859">
        <f t="shared" si="1976"/>
        <v>3</v>
      </c>
      <c r="X1859" s="9">
        <v>-83.8281266666676</v>
      </c>
    </row>
    <row r="1860" spans="1:24">
      <c r="A1860" s="29">
        <f t="shared" si="1909"/>
        <v>45913.374999995496</v>
      </c>
      <c r="B1860" s="30">
        <f t="shared" si="1933"/>
        <v>8000</v>
      </c>
      <c r="C1860" s="8">
        <v>25000</v>
      </c>
      <c r="D1860" s="8">
        <v>0</v>
      </c>
      <c r="E1860" s="8">
        <v>700</v>
      </c>
      <c r="F1860" s="8">
        <v>15000</v>
      </c>
      <c r="G1860" s="30">
        <f t="shared" si="1934"/>
        <v>2400</v>
      </c>
      <c r="H1860" s="8">
        <v>25000</v>
      </c>
      <c r="I1860" s="30">
        <f t="shared" si="1935"/>
        <v>8000</v>
      </c>
      <c r="J1860" s="8">
        <v>25000</v>
      </c>
      <c r="K1860" s="30">
        <f t="shared" si="193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VLOOKUP(VLOOKUP(DATEVALUE(TEXT(A1860,"m/d/yyyy")),FY24_Temp[],5,FALSE)&amp;TEXT(A1860,"-h"),Table6[],4,FALSE)</f>
        <v>1.3778571401323592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VLOOKUP(TEXT(A1860,"yy-mm")&amp;"-"&amp;IF(AND(WEEKDAY(A1860)&gt;1,WEEKDAY(A1860)&lt;7),"Wkd",TEXT(A1860,"Ddd"))&amp;"-"&amp;TEXT(A1860,"hh"),LoadTable[],5,FALSE)*0.92</f>
        <v>237.25788000000003</v>
      </c>
      <c r="U1860" s="104">
        <f>VLOOKUP(TEXT(A1860,"yy-mm")&amp;"-"&amp;IF(AND(WEEKDAY(A1860)&gt;1,WEEKDAY(A1860)&lt;7),"Wkd",TEXT(A1860,"Ddd"))&amp;"-"&amp;TEXT(A1860,"hh"),LoadTable[],6,FALSE)*T1860</f>
        <v>11301.541855920001</v>
      </c>
      <c r="V1860">
        <f t="shared" ref="V1860:W1860" si="1977">V1836</f>
        <v>2.9</v>
      </c>
      <c r="W1860">
        <f t="shared" si="1977"/>
        <v>3</v>
      </c>
      <c r="X1860" s="9">
        <v>-83.905921216667593</v>
      </c>
    </row>
    <row r="1861" spans="1:24">
      <c r="A1861" s="29">
        <f t="shared" ref="A1861:A1924" si="1978">A1860+TIME(1,0,0)</f>
        <v>45913.41666666216</v>
      </c>
      <c r="B1861" s="30">
        <f t="shared" si="1933"/>
        <v>8000</v>
      </c>
      <c r="C1861" s="8">
        <v>25000</v>
      </c>
      <c r="D1861" s="8">
        <v>0</v>
      </c>
      <c r="E1861" s="8">
        <v>700</v>
      </c>
      <c r="F1861" s="8">
        <v>15000</v>
      </c>
      <c r="G1861" s="30">
        <f t="shared" si="1934"/>
        <v>2400</v>
      </c>
      <c r="H1861" s="8">
        <v>25000</v>
      </c>
      <c r="I1861" s="30">
        <f t="shared" si="1935"/>
        <v>8000</v>
      </c>
      <c r="J1861" s="8">
        <v>25000</v>
      </c>
      <c r="K1861" s="30">
        <f t="shared" si="193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VLOOKUP(VLOOKUP(DATEVALUE(TEXT(A1861,"m/d/yyyy")),FY24_Temp[],5,FALSE)&amp;TEXT(A1861,"-h"),Table6[],4,FALSE)</f>
        <v>1.2395714351109095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VLOOKUP(TEXT(A1861,"yy-mm")&amp;"-"&amp;IF(AND(WEEKDAY(A1861)&gt;1,WEEKDAY(A1861)&lt;7),"Wkd",TEXT(A1861,"Ddd"))&amp;"-"&amp;TEXT(A1861,"hh"),LoadTable[],5,FALSE)*0.92</f>
        <v>237.25788000000003</v>
      </c>
      <c r="U1861" s="104">
        <f>VLOOKUP(TEXT(A1861,"yy-mm")&amp;"-"&amp;IF(AND(WEEKDAY(A1861)&gt;1,WEEKDAY(A1861)&lt;7),"Wkd",TEXT(A1861,"Ddd"))&amp;"-"&amp;TEXT(A1861,"hh"),LoadTable[],6,FALSE)*T1861</f>
        <v>10977.684849720001</v>
      </c>
      <c r="V1861">
        <f t="shared" ref="V1861:W1861" si="1979">V1837</f>
        <v>2.9</v>
      </c>
      <c r="W1861">
        <f t="shared" si="1979"/>
        <v>3</v>
      </c>
      <c r="X1861" s="9">
        <v>-83.983715766667601</v>
      </c>
    </row>
    <row r="1862" spans="1:24">
      <c r="A1862" s="29">
        <f t="shared" si="1978"/>
        <v>45913.458333328825</v>
      </c>
      <c r="B1862" s="30">
        <f t="shared" si="1933"/>
        <v>8000</v>
      </c>
      <c r="C1862" s="8">
        <v>25000</v>
      </c>
      <c r="D1862" s="8">
        <v>0</v>
      </c>
      <c r="E1862" s="8">
        <v>700</v>
      </c>
      <c r="F1862" s="8">
        <v>15000</v>
      </c>
      <c r="G1862" s="30">
        <f t="shared" si="1934"/>
        <v>2400</v>
      </c>
      <c r="H1862" s="8">
        <v>25000</v>
      </c>
      <c r="I1862" s="30">
        <f t="shared" si="1935"/>
        <v>8000</v>
      </c>
      <c r="J1862" s="8">
        <v>25000</v>
      </c>
      <c r="K1862" s="30">
        <f t="shared" si="193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VLOOKUP(VLOOKUP(DATEVALUE(TEXT(A1862,"m/d/yyyy")),FY24_Temp[],5,FALSE)&amp;TEXT(A1862,"-h"),Table6[],4,FALSE)</f>
        <v>1.1261428764888219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VLOOKUP(TEXT(A1862,"yy-mm")&amp;"-"&amp;IF(AND(WEEKDAY(A1862)&gt;1,WEEKDAY(A1862)&lt;7),"Wkd",TEXT(A1862,"Ddd"))&amp;"-"&amp;TEXT(A1862,"hh"),LoadTable[],5,FALSE)*0.92</f>
        <v>237.25788000000003</v>
      </c>
      <c r="U1862" s="104">
        <f>VLOOKUP(TEXT(A1862,"yy-mm")&amp;"-"&amp;IF(AND(WEEKDAY(A1862)&gt;1,WEEKDAY(A1862)&lt;7),"Wkd",TEXT(A1862,"Ddd"))&amp;"-"&amp;TEXT(A1862,"hh"),LoadTable[],6,FALSE)*T1862</f>
        <v>10946.841325320001</v>
      </c>
      <c r="V1862">
        <f t="shared" ref="V1862:W1862" si="1980">V1838</f>
        <v>3.4</v>
      </c>
      <c r="W1862">
        <f t="shared" si="1980"/>
        <v>3</v>
      </c>
      <c r="X1862" s="9">
        <v>-84.061510316667693</v>
      </c>
    </row>
    <row r="1863" spans="1:24">
      <c r="A1863" s="29">
        <f t="shared" si="1978"/>
        <v>45913.499999995489</v>
      </c>
      <c r="B1863" s="30">
        <f t="shared" si="1933"/>
        <v>8000</v>
      </c>
      <c r="C1863" s="8">
        <v>25000</v>
      </c>
      <c r="D1863" s="8">
        <v>0</v>
      </c>
      <c r="E1863" s="8">
        <v>700</v>
      </c>
      <c r="F1863" s="8">
        <v>15000</v>
      </c>
      <c r="G1863" s="30">
        <f t="shared" si="1934"/>
        <v>2400</v>
      </c>
      <c r="H1863" s="8">
        <v>25000</v>
      </c>
      <c r="I1863" s="30">
        <f t="shared" si="1935"/>
        <v>8000</v>
      </c>
      <c r="J1863" s="8">
        <v>25000</v>
      </c>
      <c r="K1863" s="30">
        <f t="shared" si="193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VLOOKUP(VLOOKUP(DATEVALUE(TEXT(A1863,"m/d/yyyy")),FY24_Temp[],5,FALSE)&amp;TEXT(A1863,"-h"),Table6[],4,FALSE)</f>
        <v>0.97528570038931706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VLOOKUP(TEXT(A1863,"yy-mm")&amp;"-"&amp;IF(AND(WEEKDAY(A1863)&gt;1,WEEKDAY(A1863)&lt;7),"Wkd",TEXT(A1863,"Ddd"))&amp;"-"&amp;TEXT(A1863,"hh"),LoadTable[],5,FALSE)*0.92</f>
        <v>237.25788000000003</v>
      </c>
      <c r="U1863" s="104">
        <f>VLOOKUP(TEXT(A1863,"yy-mm")&amp;"-"&amp;IF(AND(WEEKDAY(A1863)&gt;1,WEEKDAY(A1863)&lt;7),"Wkd",TEXT(A1863,"Ddd"))&amp;"-"&amp;TEXT(A1863,"hh"),LoadTable[],6,FALSE)*T1863</f>
        <v>10940.198104680001</v>
      </c>
      <c r="V1863">
        <f t="shared" ref="V1863:W1863" si="1981">V1839</f>
        <v>3.1</v>
      </c>
      <c r="W1863">
        <f t="shared" si="1981"/>
        <v>2.9</v>
      </c>
      <c r="X1863" s="9">
        <v>-84.1393048666677</v>
      </c>
    </row>
    <row r="1864" spans="1:24">
      <c r="A1864" s="29">
        <f t="shared" si="1978"/>
        <v>45913.541666662153</v>
      </c>
      <c r="B1864" s="30">
        <f t="shared" si="1933"/>
        <v>8000</v>
      </c>
      <c r="C1864" s="8">
        <v>25000</v>
      </c>
      <c r="D1864" s="8">
        <v>0</v>
      </c>
      <c r="E1864" s="8">
        <v>700</v>
      </c>
      <c r="F1864" s="8">
        <v>15000</v>
      </c>
      <c r="G1864" s="30">
        <f t="shared" si="1934"/>
        <v>2400</v>
      </c>
      <c r="H1864" s="8">
        <v>25000</v>
      </c>
      <c r="I1864" s="30">
        <f t="shared" si="1935"/>
        <v>8000</v>
      </c>
      <c r="J1864" s="8">
        <v>25000</v>
      </c>
      <c r="K1864" s="30">
        <f t="shared" si="193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VLOOKUP(VLOOKUP(DATEVALUE(TEXT(A1864,"m/d/yyyy")),FY24_Temp[],5,FALSE)&amp;TEXT(A1864,"-h"),Table6[],4,FALSE)</f>
        <v>0.83557144233158653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VLOOKUP(TEXT(A1864,"yy-mm")&amp;"-"&amp;IF(AND(WEEKDAY(A1864)&gt;1,WEEKDAY(A1864)&lt;7),"Wkd",TEXT(A1864,"Ddd"))&amp;"-"&amp;TEXT(A1864,"hh"),LoadTable[],5,FALSE)*0.92</f>
        <v>237.25788000000003</v>
      </c>
      <c r="U1864" s="104">
        <f>VLOOKUP(TEXT(A1864,"yy-mm")&amp;"-"&amp;IF(AND(WEEKDAY(A1864)&gt;1,WEEKDAY(A1864)&lt;7),"Wkd",TEXT(A1864,"Ddd"))&amp;"-"&amp;TEXT(A1864,"hh"),LoadTable[],6,FALSE)*T1864</f>
        <v>10959.890508720002</v>
      </c>
      <c r="V1864">
        <f t="shared" ref="V1864:W1864" si="1982">V1840</f>
        <v>3.2</v>
      </c>
      <c r="W1864">
        <f t="shared" si="1982"/>
        <v>2.9</v>
      </c>
      <c r="X1864" s="9">
        <v>-84.217099416667693</v>
      </c>
    </row>
    <row r="1865" spans="1:24">
      <c r="A1865" s="29">
        <f t="shared" si="1978"/>
        <v>45913.583333328817</v>
      </c>
      <c r="B1865" s="30">
        <f t="shared" si="1933"/>
        <v>8000</v>
      </c>
      <c r="C1865" s="8">
        <v>25000</v>
      </c>
      <c r="D1865" s="8">
        <v>0</v>
      </c>
      <c r="E1865" s="8">
        <v>700</v>
      </c>
      <c r="F1865" s="8">
        <v>15000</v>
      </c>
      <c r="G1865" s="30">
        <f t="shared" si="1934"/>
        <v>2400</v>
      </c>
      <c r="H1865" s="8">
        <v>25000</v>
      </c>
      <c r="I1865" s="30">
        <f t="shared" si="1935"/>
        <v>8000</v>
      </c>
      <c r="J1865" s="8">
        <v>25000</v>
      </c>
      <c r="K1865" s="30">
        <f t="shared" si="193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VLOOKUP(VLOOKUP(DATEVALUE(TEXT(A1865,"m/d/yyyy")),FY24_Temp[],5,FALSE)&amp;TEXT(A1865,"-h"),Table6[],4,FALSE)</f>
        <v>0.71842856918062481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VLOOKUP(TEXT(A1865,"yy-mm")&amp;"-"&amp;IF(AND(WEEKDAY(A1865)&gt;1,WEEKDAY(A1865)&lt;7),"Wkd",TEXT(A1865,"Ddd"))&amp;"-"&amp;TEXT(A1865,"hh"),LoadTable[],5,FALSE)*0.92</f>
        <v>237.25788000000003</v>
      </c>
      <c r="U1865" s="104">
        <f>VLOOKUP(TEXT(A1865,"yy-mm")&amp;"-"&amp;IF(AND(WEEKDAY(A1865)&gt;1,WEEKDAY(A1865)&lt;7),"Wkd",TEXT(A1865,"Ddd"))&amp;"-"&amp;TEXT(A1865,"hh"),LoadTable[],6,FALSE)*T1865</f>
        <v>10973.888723640001</v>
      </c>
      <c r="V1865">
        <f t="shared" ref="V1865:W1865" si="1983">V1841</f>
        <v>3.5</v>
      </c>
      <c r="W1865">
        <f t="shared" si="1983"/>
        <v>2.9</v>
      </c>
      <c r="X1865" s="9">
        <v>-84.294893966667701</v>
      </c>
    </row>
    <row r="1866" spans="1:24">
      <c r="A1866" s="29">
        <f t="shared" si="1978"/>
        <v>45913.624999995482</v>
      </c>
      <c r="B1866" s="30">
        <f t="shared" si="1933"/>
        <v>8000</v>
      </c>
      <c r="C1866" s="8">
        <v>25000</v>
      </c>
      <c r="D1866" s="8">
        <v>0</v>
      </c>
      <c r="E1866" s="8">
        <v>700</v>
      </c>
      <c r="F1866" s="8">
        <v>15000</v>
      </c>
      <c r="G1866" s="30">
        <f t="shared" si="1934"/>
        <v>2400</v>
      </c>
      <c r="H1866" s="8">
        <v>25000</v>
      </c>
      <c r="I1866" s="30">
        <f t="shared" si="1935"/>
        <v>8000</v>
      </c>
      <c r="J1866" s="8">
        <v>25000</v>
      </c>
      <c r="K1866" s="30">
        <f t="shared" si="193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VLOOKUP(VLOOKUP(DATEVALUE(TEXT(A1866,"m/d/yyyy")),FY24_Temp[],5,FALSE)&amp;TEXT(A1866,"-h"),Table6[],4,FALSE)</f>
        <v>0.71542857374463764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VLOOKUP(TEXT(A1866,"yy-mm")&amp;"-"&amp;IF(AND(WEEKDAY(A1866)&gt;1,WEEKDAY(A1866)&lt;7),"Wkd",TEXT(A1866,"Ddd"))&amp;"-"&amp;TEXT(A1866,"hh"),LoadTable[],5,FALSE)*0.92</f>
        <v>355.88728000000003</v>
      </c>
      <c r="U1866" s="104">
        <f>VLOOKUP(TEXT(A1866,"yy-mm")&amp;"-"&amp;IF(AND(WEEKDAY(A1866)&gt;1,WEEKDAY(A1866)&lt;7),"Wkd",TEXT(A1866,"Ddd"))&amp;"-"&amp;TEXT(A1866,"hh"),LoadTable[],6,FALSE)*T1866</f>
        <v>17275.124458480001</v>
      </c>
      <c r="V1866">
        <f t="shared" ref="V1866:W1866" si="1984">V1842</f>
        <v>3.2</v>
      </c>
      <c r="W1866">
        <f t="shared" si="1984"/>
        <v>2.9</v>
      </c>
      <c r="X1866" s="9">
        <v>-84.372688516667694</v>
      </c>
    </row>
    <row r="1867" spans="1:24">
      <c r="A1867" s="29">
        <f t="shared" si="1978"/>
        <v>45913.666666662146</v>
      </c>
      <c r="B1867" s="30">
        <f t="shared" si="1933"/>
        <v>8000</v>
      </c>
      <c r="C1867" s="8">
        <v>25000</v>
      </c>
      <c r="D1867" s="8">
        <v>0</v>
      </c>
      <c r="E1867" s="8">
        <v>700</v>
      </c>
      <c r="F1867" s="8">
        <v>15000</v>
      </c>
      <c r="G1867" s="30">
        <f t="shared" si="1934"/>
        <v>2400</v>
      </c>
      <c r="H1867" s="8">
        <v>25000</v>
      </c>
      <c r="I1867" s="30">
        <f t="shared" si="1935"/>
        <v>8000</v>
      </c>
      <c r="J1867" s="8">
        <v>25000</v>
      </c>
      <c r="K1867" s="30">
        <f t="shared" si="193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VLOOKUP(VLOOKUP(DATEVALUE(TEXT(A1867,"m/d/yyyy")),FY24_Temp[],5,FALSE)&amp;TEXT(A1867,"-h"),Table6[],4,FALSE)</f>
        <v>1.0005714382444109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VLOOKUP(TEXT(A1867,"yy-mm")&amp;"-"&amp;IF(AND(WEEKDAY(A1867)&gt;1,WEEKDAY(A1867)&lt;7),"Wkd",TEXT(A1867,"Ddd"))&amp;"-"&amp;TEXT(A1867,"hh"),LoadTable[],5,FALSE)*0.92</f>
        <v>388.38076000000001</v>
      </c>
      <c r="U1867" s="104">
        <f>VLOOKUP(TEXT(A1867,"yy-mm")&amp;"-"&amp;IF(AND(WEEKDAY(A1867)&gt;1,WEEKDAY(A1867)&lt;7),"Wkd",TEXT(A1867,"Ddd"))&amp;"-"&amp;TEXT(A1867,"hh"),LoadTable[],6,FALSE)*T1867</f>
        <v>22148.966362040002</v>
      </c>
      <c r="V1867">
        <f t="shared" ref="V1867:W1867" si="1985">V1843</f>
        <v>3.5</v>
      </c>
      <c r="W1867">
        <f t="shared" si="1985"/>
        <v>3</v>
      </c>
      <c r="X1867" s="9">
        <v>-84.450483066667701</v>
      </c>
    </row>
    <row r="1868" spans="1:24">
      <c r="A1868" s="29">
        <f t="shared" si="1978"/>
        <v>45913.70833332881</v>
      </c>
      <c r="B1868" s="30">
        <f t="shared" si="1933"/>
        <v>8000</v>
      </c>
      <c r="C1868" s="8">
        <v>25000</v>
      </c>
      <c r="D1868" s="8">
        <v>0</v>
      </c>
      <c r="E1868" s="8">
        <v>700</v>
      </c>
      <c r="F1868" s="8">
        <v>15000</v>
      </c>
      <c r="G1868" s="30">
        <f t="shared" si="1934"/>
        <v>2400</v>
      </c>
      <c r="H1868" s="8">
        <v>25000</v>
      </c>
      <c r="I1868" s="30">
        <f t="shared" si="1935"/>
        <v>8000</v>
      </c>
      <c r="J1868" s="8">
        <v>25000</v>
      </c>
      <c r="K1868" s="30">
        <f t="shared" si="1936"/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VLOOKUP(VLOOKUP(DATEVALUE(TEXT(A1868,"m/d/yyyy")),FY24_Temp[],5,FALSE)&amp;TEXT(A1868,"-h"),Table6[],4,FALSE)</f>
        <v>1.4091428688594274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VLOOKUP(TEXT(A1868,"yy-mm")&amp;"-"&amp;IF(AND(WEEKDAY(A1868)&gt;1,WEEKDAY(A1868)&lt;7),"Wkd",TEXT(A1868,"Ddd"))&amp;"-"&amp;TEXT(A1868,"hh"),LoadTable[],5,FALSE)*0.92</f>
        <v>388.38076000000001</v>
      </c>
      <c r="U1868" s="104">
        <f>VLOOKUP(TEXT(A1868,"yy-mm")&amp;"-"&amp;IF(AND(WEEKDAY(A1868)&gt;1,WEEKDAY(A1868)&lt;7),"Wkd",TEXT(A1868,"Ddd"))&amp;"-"&amp;TEXT(A1868,"hh"),LoadTable[],6,FALSE)*T1868</f>
        <v>30057.95215868</v>
      </c>
      <c r="V1868">
        <f t="shared" ref="V1868:W1868" si="1986">V1844</f>
        <v>3.6</v>
      </c>
      <c r="W1868">
        <f t="shared" si="1986"/>
        <v>3</v>
      </c>
      <c r="X1868" s="9">
        <v>-84.528277616667694</v>
      </c>
    </row>
    <row r="1869" spans="1:24">
      <c r="A1869" s="29">
        <f t="shared" si="1978"/>
        <v>45913.749999995474</v>
      </c>
      <c r="B1869" s="30">
        <f t="shared" si="1933"/>
        <v>5000</v>
      </c>
      <c r="C1869" s="8">
        <v>25000</v>
      </c>
      <c r="D1869" s="8">
        <v>0</v>
      </c>
      <c r="E1869" s="8">
        <v>700</v>
      </c>
      <c r="F1869" s="8">
        <v>15000</v>
      </c>
      <c r="G1869" s="30">
        <f t="shared" si="1934"/>
        <v>2400</v>
      </c>
      <c r="H1869" s="8">
        <v>25000</v>
      </c>
      <c r="I1869" s="30">
        <f t="shared" si="1935"/>
        <v>5000</v>
      </c>
      <c r="J1869" s="8">
        <v>25000</v>
      </c>
      <c r="K1869" s="30">
        <f t="shared" si="1936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VLOOKUP(VLOOKUP(DATEVALUE(TEXT(A1869,"m/d/yyyy")),FY24_Temp[],5,FALSE)&amp;TEXT(A1869,"-h"),Table6[],4,FALSE)</f>
        <v>1.9017142908913749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VLOOKUP(TEXT(A1869,"yy-mm")&amp;"-"&amp;IF(AND(WEEKDAY(A1869)&gt;1,WEEKDAY(A1869)&lt;7),"Wkd",TEXT(A1869,"Ddd"))&amp;"-"&amp;TEXT(A1869,"hh"),LoadTable[],5,FALSE)*0.92</f>
        <v>388.38076000000001</v>
      </c>
      <c r="U1869" s="104">
        <f>VLOOKUP(TEXT(A1869,"yy-mm")&amp;"-"&amp;IF(AND(WEEKDAY(A1869)&gt;1,WEEKDAY(A1869)&lt;7),"Wkd",TEXT(A1869,"Ddd"))&amp;"-"&amp;TEXT(A1869,"hh"),LoadTable[],6,FALSE)*T1869</f>
        <v>40442.476919560002</v>
      </c>
      <c r="V1869">
        <f t="shared" ref="V1869:W1869" si="1987">V1845</f>
        <v>2.9</v>
      </c>
      <c r="W1869">
        <f t="shared" si="1987"/>
        <v>3</v>
      </c>
      <c r="X1869" s="9">
        <v>-84.606072166667701</v>
      </c>
    </row>
    <row r="1870" spans="1:24">
      <c r="A1870" s="29">
        <f t="shared" si="1978"/>
        <v>45913.791666662139</v>
      </c>
      <c r="B1870" s="30">
        <f t="shared" si="1933"/>
        <v>5000</v>
      </c>
      <c r="C1870" s="8">
        <v>25000</v>
      </c>
      <c r="D1870" s="8">
        <v>0</v>
      </c>
      <c r="E1870" s="8">
        <v>700</v>
      </c>
      <c r="F1870" s="8">
        <v>15000</v>
      </c>
      <c r="G1870" s="30">
        <f t="shared" si="1934"/>
        <v>2400</v>
      </c>
      <c r="H1870" s="8">
        <v>25000</v>
      </c>
      <c r="I1870" s="30">
        <f t="shared" si="1935"/>
        <v>5000</v>
      </c>
      <c r="J1870" s="8">
        <v>25000</v>
      </c>
      <c r="K1870" s="30">
        <f t="shared" si="1936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VLOOKUP(VLOOKUP(DATEVALUE(TEXT(A1870,"m/d/yyyy")),FY24_Temp[],5,FALSE)&amp;TEXT(A1870,"-h"),Table6[],4,FALSE)</f>
        <v>2.2652856963021413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VLOOKUP(TEXT(A1870,"yy-mm")&amp;"-"&amp;IF(AND(WEEKDAY(A1870)&gt;1,WEEKDAY(A1870)&lt;7),"Wkd",TEXT(A1870,"Ddd"))&amp;"-"&amp;TEXT(A1870,"hh"),LoadTable[],5,FALSE)*0.92</f>
        <v>388.38076000000001</v>
      </c>
      <c r="U1870" s="104">
        <f>VLOOKUP(TEXT(A1870,"yy-mm")&amp;"-"&amp;IF(AND(WEEKDAY(A1870)&gt;1,WEEKDAY(A1870)&lt;7),"Wkd",TEXT(A1870,"Ddd"))&amp;"-"&amp;TEXT(A1870,"hh"),LoadTable[],6,FALSE)*T1870</f>
        <v>39451.717600800002</v>
      </c>
      <c r="V1870">
        <f t="shared" ref="V1870:W1870" si="1988">V1846</f>
        <v>3</v>
      </c>
      <c r="W1870">
        <f t="shared" si="1988"/>
        <v>3</v>
      </c>
      <c r="X1870" s="9">
        <v>-84.683866716667694</v>
      </c>
    </row>
    <row r="1871" spans="1:24">
      <c r="A1871" s="29">
        <f t="shared" si="1978"/>
        <v>45913.833333328803</v>
      </c>
      <c r="B1871" s="30">
        <f t="shared" si="1933"/>
        <v>5000</v>
      </c>
      <c r="C1871" s="8">
        <v>25000</v>
      </c>
      <c r="D1871" s="8">
        <v>0</v>
      </c>
      <c r="E1871" s="8">
        <v>700</v>
      </c>
      <c r="F1871" s="8">
        <v>15000</v>
      </c>
      <c r="G1871" s="30">
        <f t="shared" si="1934"/>
        <v>2400</v>
      </c>
      <c r="H1871" s="8">
        <v>25000</v>
      </c>
      <c r="I1871" s="30">
        <f t="shared" si="1935"/>
        <v>5000</v>
      </c>
      <c r="J1871" s="8">
        <v>25000</v>
      </c>
      <c r="K1871" s="30">
        <f t="shared" si="1936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VLOOKUP(VLOOKUP(DATEVALUE(TEXT(A1871,"m/d/yyyy")),FY24_Temp[],5,FALSE)&amp;TEXT(A1871,"-h"),Table6[],4,FALSE)</f>
        <v>2.4488571711948941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VLOOKUP(TEXT(A1871,"yy-mm")&amp;"-"&amp;IF(AND(WEEKDAY(A1871)&gt;1,WEEKDAY(A1871)&lt;7),"Wkd",TEXT(A1871,"Ddd"))&amp;"-"&amp;TEXT(A1871,"hh"),LoadTable[],5,FALSE)*0.92</f>
        <v>388.38076000000001</v>
      </c>
      <c r="U1871" s="104">
        <f>VLOOKUP(TEXT(A1871,"yy-mm")&amp;"-"&amp;IF(AND(WEEKDAY(A1871)&gt;1,WEEKDAY(A1871)&lt;7),"Wkd",TEXT(A1871,"Ddd"))&amp;"-"&amp;TEXT(A1871,"hh"),LoadTable[],6,FALSE)*T1871</f>
        <v>37145.512647919997</v>
      </c>
      <c r="V1871">
        <f t="shared" ref="V1871:W1871" si="1989">V1847</f>
        <v>2.8</v>
      </c>
      <c r="W1871">
        <f t="shared" si="1989"/>
        <v>3.1</v>
      </c>
      <c r="X1871" s="9">
        <v>-84.761661266667701</v>
      </c>
    </row>
    <row r="1872" spans="1:24">
      <c r="A1872" s="29">
        <f t="shared" si="1978"/>
        <v>45913.874999995467</v>
      </c>
      <c r="B1872" s="30">
        <f t="shared" si="1933"/>
        <v>5000</v>
      </c>
      <c r="C1872" s="8">
        <v>25000</v>
      </c>
      <c r="D1872" s="8">
        <v>0</v>
      </c>
      <c r="E1872" s="8">
        <v>700</v>
      </c>
      <c r="F1872" s="8">
        <v>15000</v>
      </c>
      <c r="G1872" s="30">
        <f t="shared" si="1934"/>
        <v>2400</v>
      </c>
      <c r="H1872" s="8">
        <v>25000</v>
      </c>
      <c r="I1872" s="30">
        <f t="shared" si="1935"/>
        <v>5000</v>
      </c>
      <c r="J1872" s="8">
        <v>25000</v>
      </c>
      <c r="K1872" s="30">
        <f t="shared" si="1936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VLOOKUP(VLOOKUP(DATEVALUE(TEXT(A1872,"m/d/yyyy")),FY24_Temp[],5,FALSE)&amp;TEXT(A1872,"-h"),Table6[],4,FALSE)</f>
        <v>2.5055713994162425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VLOOKUP(TEXT(A1872,"yy-mm")&amp;"-"&amp;IF(AND(WEEKDAY(A1872)&gt;1,WEEKDAY(A1872)&lt;7),"Wkd",TEXT(A1872,"Ddd"))&amp;"-"&amp;TEXT(A1872,"hh"),LoadTable[],5,FALSE)*0.92</f>
        <v>331.01416</v>
      </c>
      <c r="U1872" s="104">
        <f>VLOOKUP(TEXT(A1872,"yy-mm")&amp;"-"&amp;IF(AND(WEEKDAY(A1872)&gt;1,WEEKDAY(A1872)&lt;7),"Wkd",TEXT(A1872,"Ddd"))&amp;"-"&amp;TEXT(A1872,"hh"),LoadTable[],6,FALSE)*T1872</f>
        <v>28174.270228399997</v>
      </c>
      <c r="V1872">
        <f t="shared" ref="V1872:W1872" si="1990">V1848</f>
        <v>3.5</v>
      </c>
      <c r="W1872">
        <f t="shared" si="1990"/>
        <v>3.1</v>
      </c>
      <c r="X1872" s="9">
        <v>-84.839455816667694</v>
      </c>
    </row>
    <row r="1873" spans="1:24">
      <c r="A1873" s="29">
        <f t="shared" si="1978"/>
        <v>45913.916666662131</v>
      </c>
      <c r="B1873" s="30">
        <f t="shared" si="1933"/>
        <v>5000</v>
      </c>
      <c r="C1873" s="8">
        <v>25000</v>
      </c>
      <c r="D1873" s="8">
        <v>0</v>
      </c>
      <c r="E1873" s="8">
        <v>700</v>
      </c>
      <c r="F1873" s="8">
        <v>15000</v>
      </c>
      <c r="G1873" s="30">
        <f t="shared" si="1934"/>
        <v>2400</v>
      </c>
      <c r="H1873" s="8">
        <v>25000</v>
      </c>
      <c r="I1873" s="30">
        <f t="shared" si="1935"/>
        <v>5000</v>
      </c>
      <c r="J1873" s="8">
        <v>25000</v>
      </c>
      <c r="K1873" s="30">
        <f t="shared" si="1936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VLOOKUP(VLOOKUP(DATEVALUE(TEXT(A1873,"m/d/yyyy")),FY24_Temp[],5,FALSE)&amp;TEXT(A1873,"-h"),Table6[],4,FALSE)</f>
        <v>2.4671428544180736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VLOOKUP(TEXT(A1873,"yy-mm")&amp;"-"&amp;IF(AND(WEEKDAY(A1873)&gt;1,WEEKDAY(A1873)&lt;7),"Wkd",TEXT(A1873,"Ddd"))&amp;"-"&amp;TEXT(A1873,"hh"),LoadTable[],5,FALSE)*0.92</f>
        <v>256.87044000000003</v>
      </c>
      <c r="U1873" s="104">
        <f>VLOOKUP(TEXT(A1873,"yy-mm")&amp;"-"&amp;IF(AND(WEEKDAY(A1873)&gt;1,WEEKDAY(A1873)&lt;7),"Wkd",TEXT(A1873,"Ddd"))&amp;"-"&amp;TEXT(A1873,"hh"),LoadTable[],6,FALSE)*T1873</f>
        <v>13294.072751760001</v>
      </c>
      <c r="V1873">
        <f t="shared" ref="V1873:W1873" si="1991">V1849</f>
        <v>2.9</v>
      </c>
      <c r="W1873">
        <f t="shared" si="1991"/>
        <v>3.1</v>
      </c>
      <c r="X1873" s="9">
        <v>-84.917250366667702</v>
      </c>
    </row>
    <row r="1874" spans="1:24">
      <c r="A1874" s="29">
        <f t="shared" si="1978"/>
        <v>45913.958333328796</v>
      </c>
      <c r="B1874" s="30">
        <f t="shared" si="1933"/>
        <v>5000</v>
      </c>
      <c r="C1874" s="8">
        <v>25000</v>
      </c>
      <c r="D1874" s="8">
        <v>0</v>
      </c>
      <c r="E1874" s="8">
        <v>700</v>
      </c>
      <c r="F1874" s="8">
        <v>15000</v>
      </c>
      <c r="G1874" s="30">
        <f t="shared" si="1934"/>
        <v>2400</v>
      </c>
      <c r="H1874" s="8">
        <v>25000</v>
      </c>
      <c r="I1874" s="30">
        <f t="shared" si="1935"/>
        <v>5000</v>
      </c>
      <c r="J1874" s="8">
        <v>25000</v>
      </c>
      <c r="K1874" s="30">
        <f t="shared" si="1936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VLOOKUP(VLOOKUP(DATEVALUE(TEXT(A1874,"m/d/yyyy")),FY24_Temp[],5,FALSE)&amp;TEXT(A1874,"-h"),Table6[],4,FALSE)</f>
        <v>2.4559999534061978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VLOOKUP(TEXT(A1874,"yy-mm")&amp;"-"&amp;IF(AND(WEEKDAY(A1874)&gt;1,WEEKDAY(A1874)&lt;7),"Wkd",TEXT(A1874,"Ddd"))&amp;"-"&amp;TEXT(A1874,"hh"),LoadTable[],5,FALSE)*0.92</f>
        <v>237.25788000000003</v>
      </c>
      <c r="U1874" s="104">
        <f>VLOOKUP(TEXT(A1874,"yy-mm")&amp;"-"&amp;IF(AND(WEEKDAY(A1874)&gt;1,WEEKDAY(A1874)&lt;7),"Wkd",TEXT(A1874,"Ddd"))&amp;"-"&amp;TEXT(A1874,"hh"),LoadTable[],6,FALSE)*T1874</f>
        <v>11938.104747960002</v>
      </c>
      <c r="V1874">
        <f t="shared" ref="V1874:W1874" si="1992">V1850</f>
        <v>3.6</v>
      </c>
      <c r="W1874">
        <f t="shared" si="1992"/>
        <v>3.1</v>
      </c>
      <c r="X1874" s="9">
        <v>-84.995044916667695</v>
      </c>
    </row>
    <row r="1875" spans="1:24">
      <c r="A1875" s="29">
        <f t="shared" si="1978"/>
        <v>45913.99999999546</v>
      </c>
      <c r="B1875" s="30">
        <f t="shared" si="1933"/>
        <v>5000</v>
      </c>
      <c r="C1875" s="8">
        <v>25000</v>
      </c>
      <c r="D1875" s="8">
        <v>0</v>
      </c>
      <c r="E1875" s="8">
        <v>700</v>
      </c>
      <c r="F1875" s="8">
        <v>15000</v>
      </c>
      <c r="G1875" s="30">
        <f t="shared" si="1934"/>
        <v>2400</v>
      </c>
      <c r="H1875" s="8">
        <v>25000</v>
      </c>
      <c r="I1875" s="30">
        <f t="shared" si="1935"/>
        <v>5000</v>
      </c>
      <c r="J1875" s="8">
        <v>25000</v>
      </c>
      <c r="K1875" s="30">
        <f t="shared" si="1936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VLOOKUP(VLOOKUP(DATEVALUE(TEXT(A1875,"m/d/yyyy")),FY24_Temp[],5,FALSE)&amp;TEXT(A1875,"-h"),Table6[],4,FALSE)</f>
        <v>2.4424285888671875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VLOOKUP(TEXT(A1875,"yy-mm")&amp;"-"&amp;IF(AND(WEEKDAY(A1875)&gt;1,WEEKDAY(A1875)&lt;7),"Wkd",TEXT(A1875,"Ddd"))&amp;"-"&amp;TEXT(A1875,"hh"),LoadTable[],5,FALSE)*0.92</f>
        <v>237.25788000000003</v>
      </c>
      <c r="U1875" s="104">
        <f>VLOOKUP(TEXT(A1875,"yy-mm")&amp;"-"&amp;IF(AND(WEEKDAY(A1875)&gt;1,WEEKDAY(A1875)&lt;7),"Wkd",TEXT(A1875,"Ddd"))&amp;"-"&amp;TEXT(A1875,"hh"),LoadTable[],6,FALSE)*T1875</f>
        <v>11671.426890840001</v>
      </c>
      <c r="V1875">
        <f t="shared" ref="V1875:W1875" si="1993">V1851</f>
        <v>3</v>
      </c>
      <c r="W1875">
        <f t="shared" si="1993"/>
        <v>3.2</v>
      </c>
      <c r="X1875" s="9">
        <v>-85.072839466667702</v>
      </c>
    </row>
    <row r="1876" spans="1:24">
      <c r="A1876" s="29">
        <f t="shared" si="1978"/>
        <v>45914.041666662124</v>
      </c>
      <c r="B1876" s="30">
        <f t="shared" si="1933"/>
        <v>5000</v>
      </c>
      <c r="C1876" s="8">
        <v>25000</v>
      </c>
      <c r="D1876" s="8">
        <v>0</v>
      </c>
      <c r="E1876" s="8">
        <v>700</v>
      </c>
      <c r="F1876" s="8">
        <v>15000</v>
      </c>
      <c r="G1876" s="30">
        <f t="shared" si="1934"/>
        <v>2400</v>
      </c>
      <c r="H1876" s="8">
        <v>25000</v>
      </c>
      <c r="I1876" s="30">
        <f t="shared" si="1935"/>
        <v>5000</v>
      </c>
      <c r="J1876" s="8">
        <v>25000</v>
      </c>
      <c r="K1876" s="30">
        <f t="shared" si="1936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VLOOKUP(VLOOKUP(DATEVALUE(TEXT(A1876,"m/d/yyyy")),FY24_Temp[],5,FALSE)&amp;TEXT(A1876,"-h"),Table6[],4,FALSE)</f>
        <v>2.3764285360063826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VLOOKUP(TEXT(A1876,"yy-mm")&amp;"-"&amp;IF(AND(WEEKDAY(A1876)&gt;1,WEEKDAY(A1876)&lt;7),"Wkd",TEXT(A1876,"Ddd"))&amp;"-"&amp;TEXT(A1876,"hh"),LoadTable[],5,FALSE)*0.92</f>
        <v>237.25788000000003</v>
      </c>
      <c r="U1876" s="104">
        <f>VLOOKUP(TEXT(A1876,"yy-mm")&amp;"-"&amp;IF(AND(WEEKDAY(A1876)&gt;1,WEEKDAY(A1876)&lt;7),"Wkd",TEXT(A1876,"Ddd"))&amp;"-"&amp;TEXT(A1876,"hh"),LoadTable[],6,FALSE)*T1876</f>
        <v>11718.878466840002</v>
      </c>
      <c r="V1876">
        <f t="shared" ref="V1876:W1876" si="1994">V1852</f>
        <v>2.6</v>
      </c>
      <c r="W1876">
        <f t="shared" si="1994"/>
        <v>3.2</v>
      </c>
      <c r="X1876" s="9">
        <v>-85.150634016667794</v>
      </c>
    </row>
    <row r="1877" spans="1:24">
      <c r="A1877" s="29">
        <f t="shared" si="1978"/>
        <v>45914.083333328788</v>
      </c>
      <c r="B1877" s="30">
        <f t="shared" si="1933"/>
        <v>5000</v>
      </c>
      <c r="C1877" s="8">
        <v>25000</v>
      </c>
      <c r="D1877" s="8">
        <v>0</v>
      </c>
      <c r="E1877" s="8">
        <v>700</v>
      </c>
      <c r="F1877" s="8">
        <v>15000</v>
      </c>
      <c r="G1877" s="30">
        <f t="shared" si="1934"/>
        <v>2400</v>
      </c>
      <c r="H1877" s="8">
        <v>25000</v>
      </c>
      <c r="I1877" s="30">
        <f t="shared" si="1935"/>
        <v>5000</v>
      </c>
      <c r="J1877" s="8">
        <v>25000</v>
      </c>
      <c r="K1877" s="30">
        <f t="shared" si="1936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VLOOKUP(VLOOKUP(DATEVALUE(TEXT(A1877,"m/d/yyyy")),FY24_Temp[],5,FALSE)&amp;TEXT(A1877,"-h"),Table6[],4,FALSE)</f>
        <v>2.2488571235111783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VLOOKUP(TEXT(A1877,"yy-mm")&amp;"-"&amp;IF(AND(WEEKDAY(A1877)&gt;1,WEEKDAY(A1877)&lt;7),"Wkd",TEXT(A1877,"Ddd"))&amp;"-"&amp;TEXT(A1877,"hh"),LoadTable[],5,FALSE)*0.92</f>
        <v>237.25788000000003</v>
      </c>
      <c r="U1877" s="104">
        <f>VLOOKUP(TEXT(A1877,"yy-mm")&amp;"-"&amp;IF(AND(WEEKDAY(A1877)&gt;1,WEEKDAY(A1877)&lt;7),"Wkd",TEXT(A1877,"Ddd"))&amp;"-"&amp;TEXT(A1877,"hh"),LoadTable[],6,FALSE)*T1877</f>
        <v>11658.852223200001</v>
      </c>
      <c r="V1877">
        <f t="shared" ref="V1877:W1877" si="1995">V1853</f>
        <v>2.8</v>
      </c>
      <c r="W1877">
        <f t="shared" si="1995"/>
        <v>3.2</v>
      </c>
      <c r="X1877" s="9">
        <v>-85.228428566667802</v>
      </c>
    </row>
    <row r="1878" spans="1:24">
      <c r="A1878" s="29">
        <f t="shared" si="1978"/>
        <v>45914.124999995453</v>
      </c>
      <c r="B1878" s="30">
        <f t="shared" si="1933"/>
        <v>5000</v>
      </c>
      <c r="C1878" s="8">
        <v>25000</v>
      </c>
      <c r="D1878" s="8">
        <v>0</v>
      </c>
      <c r="E1878" s="8">
        <v>700</v>
      </c>
      <c r="F1878" s="8">
        <v>15000</v>
      </c>
      <c r="G1878" s="30">
        <f t="shared" si="1934"/>
        <v>2400</v>
      </c>
      <c r="H1878" s="8">
        <v>25000</v>
      </c>
      <c r="I1878" s="30">
        <f t="shared" si="1935"/>
        <v>5000</v>
      </c>
      <c r="J1878" s="8">
        <v>25000</v>
      </c>
      <c r="K1878" s="30">
        <f t="shared" si="1936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VLOOKUP(VLOOKUP(DATEVALUE(TEXT(A1878,"m/d/yyyy")),FY24_Temp[],5,FALSE)&amp;TEXT(A1878,"-h"),Table6[],4,FALSE)</f>
        <v>2.1057142530168806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VLOOKUP(TEXT(A1878,"yy-mm")&amp;"-"&amp;IF(AND(WEEKDAY(A1878)&gt;1,WEEKDAY(A1878)&lt;7),"Wkd",TEXT(A1878,"Ddd"))&amp;"-"&amp;TEXT(A1878,"hh"),LoadTable[],5,FALSE)*0.92</f>
        <v>237.25788000000003</v>
      </c>
      <c r="U1878" s="104">
        <f>VLOOKUP(TEXT(A1878,"yy-mm")&amp;"-"&amp;IF(AND(WEEKDAY(A1878)&gt;1,WEEKDAY(A1878)&lt;7),"Wkd",TEXT(A1878,"Ddd"))&amp;"-"&amp;TEXT(A1878,"hh"),LoadTable[],6,FALSE)*T1878</f>
        <v>11620.653704520002</v>
      </c>
      <c r="V1878">
        <f t="shared" ref="V1878:W1878" si="1996">V1854</f>
        <v>2.7</v>
      </c>
      <c r="W1878">
        <f t="shared" si="1996"/>
        <v>3.2</v>
      </c>
      <c r="X1878" s="9">
        <v>-85.306223116667795</v>
      </c>
    </row>
    <row r="1879" spans="1:24">
      <c r="A1879" s="29">
        <f t="shared" si="1978"/>
        <v>45914.166666662117</v>
      </c>
      <c r="B1879" s="30">
        <f t="shared" si="1933"/>
        <v>5000</v>
      </c>
      <c r="C1879" s="8">
        <v>25000</v>
      </c>
      <c r="D1879" s="8">
        <v>0</v>
      </c>
      <c r="E1879" s="8">
        <v>700</v>
      </c>
      <c r="F1879" s="8">
        <v>15000</v>
      </c>
      <c r="G1879" s="30">
        <f t="shared" si="1934"/>
        <v>2400</v>
      </c>
      <c r="H1879" s="8">
        <v>25000</v>
      </c>
      <c r="I1879" s="30">
        <f t="shared" si="1935"/>
        <v>5000</v>
      </c>
      <c r="J1879" s="8">
        <v>25000</v>
      </c>
      <c r="K1879" s="30">
        <f t="shared" si="1936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VLOOKUP(VLOOKUP(DATEVALUE(TEXT(A1879,"m/d/yyyy")),FY24_Temp[],5,FALSE)&amp;TEXT(A1879,"-h"),Table6[],4,FALSE)</f>
        <v>1.956142851284572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VLOOKUP(TEXT(A1879,"yy-mm")&amp;"-"&amp;IF(AND(WEEKDAY(A1879)&gt;1,WEEKDAY(A1879)&lt;7),"Wkd",TEXT(A1879,"Ddd"))&amp;"-"&amp;TEXT(A1879,"hh"),LoadTable[],5,FALSE)*0.92</f>
        <v>237.25788000000003</v>
      </c>
      <c r="U1879" s="104">
        <f>VLOOKUP(TEXT(A1879,"yy-mm")&amp;"-"&amp;IF(AND(WEEKDAY(A1879)&gt;1,WEEKDAY(A1879)&lt;7),"Wkd",TEXT(A1879,"Ddd"))&amp;"-"&amp;TEXT(A1879,"hh"),LoadTable[],6,FALSE)*T1879</f>
        <v>11494.195254480001</v>
      </c>
      <c r="V1879">
        <f t="shared" ref="V1879:W1879" si="1997">V1855</f>
        <v>3</v>
      </c>
      <c r="W1879">
        <f t="shared" si="1997"/>
        <v>3.1</v>
      </c>
      <c r="X1879" s="9">
        <v>-85.384017666667802</v>
      </c>
    </row>
    <row r="1880" spans="1:24">
      <c r="A1880" s="29">
        <f t="shared" si="1978"/>
        <v>45914.208333328781</v>
      </c>
      <c r="B1880" s="30">
        <f t="shared" si="1933"/>
        <v>5000</v>
      </c>
      <c r="C1880" s="8">
        <v>25000</v>
      </c>
      <c r="D1880" s="8">
        <v>0</v>
      </c>
      <c r="E1880" s="8">
        <v>700</v>
      </c>
      <c r="F1880" s="8">
        <v>15000</v>
      </c>
      <c r="G1880" s="30">
        <f t="shared" si="1934"/>
        <v>2400</v>
      </c>
      <c r="H1880" s="8">
        <v>25000</v>
      </c>
      <c r="I1880" s="30">
        <f t="shared" si="1935"/>
        <v>5000</v>
      </c>
      <c r="J1880" s="8">
        <v>25000</v>
      </c>
      <c r="K1880" s="30">
        <f t="shared" si="1936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VLOOKUP(VLOOKUP(DATEVALUE(TEXT(A1880,"m/d/yyyy")),FY24_Temp[],5,FALSE)&amp;TEXT(A1880,"-h"),Table6[],4,FALSE)</f>
        <v>1.8435714244842529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VLOOKUP(TEXT(A1880,"yy-mm")&amp;"-"&amp;IF(AND(WEEKDAY(A1880)&gt;1,WEEKDAY(A1880)&lt;7),"Wkd",TEXT(A1880,"Ddd"))&amp;"-"&amp;TEXT(A1880,"hh"),LoadTable[],5,FALSE)*0.92</f>
        <v>237.25788000000003</v>
      </c>
      <c r="U1880" s="104">
        <f>VLOOKUP(TEXT(A1880,"yy-mm")&amp;"-"&amp;IF(AND(WEEKDAY(A1880)&gt;1,WEEKDAY(A1880)&lt;7),"Wkd",TEXT(A1880,"Ddd"))&amp;"-"&amp;TEXT(A1880,"hh"),LoadTable[],6,FALSE)*T1880</f>
        <v>11623.738056960001</v>
      </c>
      <c r="V1880">
        <f t="shared" ref="V1880:W1880" si="1998">V1856</f>
        <v>2.9</v>
      </c>
      <c r="W1880">
        <f t="shared" si="1998"/>
        <v>3.1</v>
      </c>
      <c r="X1880" s="9">
        <v>-85.461812216667795</v>
      </c>
    </row>
    <row r="1881" spans="1:24">
      <c r="A1881" s="29">
        <f t="shared" si="1978"/>
        <v>45914.249999995445</v>
      </c>
      <c r="B1881" s="30">
        <f t="shared" si="1933"/>
        <v>8000</v>
      </c>
      <c r="C1881" s="8">
        <v>25000</v>
      </c>
      <c r="D1881" s="8">
        <v>0</v>
      </c>
      <c r="E1881" s="8">
        <v>700</v>
      </c>
      <c r="F1881" s="8">
        <v>15000</v>
      </c>
      <c r="G1881" s="30">
        <f t="shared" si="1934"/>
        <v>2400</v>
      </c>
      <c r="H1881" s="8">
        <v>25000</v>
      </c>
      <c r="I1881" s="30">
        <f t="shared" si="1935"/>
        <v>8000</v>
      </c>
      <c r="J1881" s="8">
        <v>25000</v>
      </c>
      <c r="K1881" s="30">
        <f t="shared" si="1936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VLOOKUP(VLOOKUP(DATEVALUE(TEXT(A1881,"m/d/yyyy")),FY24_Temp[],5,FALSE)&amp;TEXT(A1881,"-h"),Table6[],4,FALSE)</f>
        <v>1.7435714176722936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VLOOKUP(TEXT(A1881,"yy-mm")&amp;"-"&amp;IF(AND(WEEKDAY(A1881)&gt;1,WEEKDAY(A1881)&lt;7),"Wkd",TEXT(A1881,"Ddd"))&amp;"-"&amp;TEXT(A1881,"hh"),LoadTable[],5,FALSE)*0.92</f>
        <v>237.25788000000003</v>
      </c>
      <c r="U1881" s="104">
        <f>VLOOKUP(TEXT(A1881,"yy-mm")&amp;"-"&amp;IF(AND(WEEKDAY(A1881)&gt;1,WEEKDAY(A1881)&lt;7),"Wkd",TEXT(A1881,"Ddd"))&amp;"-"&amp;TEXT(A1881,"hh"),LoadTable[],6,FALSE)*T1881</f>
        <v>18385.587636960005</v>
      </c>
      <c r="V1881">
        <f t="shared" ref="V1881:W1881" si="1999">V1857</f>
        <v>2.5</v>
      </c>
      <c r="W1881">
        <f t="shared" si="1999"/>
        <v>3.1</v>
      </c>
      <c r="X1881" s="9">
        <v>-85.539606766667802</v>
      </c>
    </row>
    <row r="1882" spans="1:24">
      <c r="A1882" s="29">
        <f t="shared" si="1978"/>
        <v>45914.291666662109</v>
      </c>
      <c r="B1882" s="30">
        <f t="shared" si="1933"/>
        <v>8000</v>
      </c>
      <c r="C1882" s="8">
        <v>25000</v>
      </c>
      <c r="D1882" s="8">
        <v>0</v>
      </c>
      <c r="E1882" s="8">
        <v>700</v>
      </c>
      <c r="F1882" s="8">
        <v>15000</v>
      </c>
      <c r="G1882" s="30">
        <f t="shared" si="1934"/>
        <v>2400</v>
      </c>
      <c r="H1882" s="8">
        <v>25000</v>
      </c>
      <c r="I1882" s="30">
        <f t="shared" si="1935"/>
        <v>8000</v>
      </c>
      <c r="J1882" s="8">
        <v>25000</v>
      </c>
      <c r="K1882" s="30">
        <f t="shared" si="1936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VLOOKUP(VLOOKUP(DATEVALUE(TEXT(A1882,"m/d/yyyy")),FY24_Temp[],5,FALSE)&amp;TEXT(A1882,"-h"),Table6[],4,FALSE)</f>
        <v>1.5834285702024187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VLOOKUP(TEXT(A1882,"yy-mm")&amp;"-"&amp;IF(AND(WEEKDAY(A1882)&gt;1,WEEKDAY(A1882)&lt;7),"Wkd",TEXT(A1882,"Ddd"))&amp;"-"&amp;TEXT(A1882,"hh"),LoadTable[],5,FALSE)*0.92</f>
        <v>237.25788000000003</v>
      </c>
      <c r="U1882" s="104">
        <f>VLOOKUP(TEXT(A1882,"yy-mm")&amp;"-"&amp;IF(AND(WEEKDAY(A1882)&gt;1,WEEKDAY(A1882)&lt;7),"Wkd",TEXT(A1882,"Ddd"))&amp;"-"&amp;TEXT(A1882,"hh"),LoadTable[],6,FALSE)*T1882</f>
        <v>14061.562773960002</v>
      </c>
      <c r="V1882">
        <f t="shared" ref="V1882:W1882" si="2000">V1858</f>
        <v>2.5</v>
      </c>
      <c r="W1882">
        <f t="shared" si="2000"/>
        <v>3.1</v>
      </c>
      <c r="X1882" s="9">
        <v>-85.617401316667795</v>
      </c>
    </row>
    <row r="1883" spans="1:24">
      <c r="A1883" s="29">
        <f t="shared" si="1978"/>
        <v>45914.333333328774</v>
      </c>
      <c r="B1883" s="30">
        <f t="shared" si="1933"/>
        <v>8000</v>
      </c>
      <c r="C1883" s="8">
        <v>25000</v>
      </c>
      <c r="D1883" s="8">
        <v>0</v>
      </c>
      <c r="E1883" s="8">
        <v>700</v>
      </c>
      <c r="F1883" s="8">
        <v>15000</v>
      </c>
      <c r="G1883" s="30">
        <f t="shared" si="1934"/>
        <v>2400</v>
      </c>
      <c r="H1883" s="8">
        <v>25000</v>
      </c>
      <c r="I1883" s="30">
        <f t="shared" si="1935"/>
        <v>8000</v>
      </c>
      <c r="J1883" s="8">
        <v>25000</v>
      </c>
      <c r="K1883" s="30">
        <f t="shared" si="1936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VLOOKUP(VLOOKUP(DATEVALUE(TEXT(A1883,"m/d/yyyy")),FY24_Temp[],5,FALSE)&amp;TEXT(A1883,"-h"),Table6[],4,FALSE)</f>
        <v>1.5194285767418998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VLOOKUP(TEXT(A1883,"yy-mm")&amp;"-"&amp;IF(AND(WEEKDAY(A1883)&gt;1,WEEKDAY(A1883)&lt;7),"Wkd",TEXT(A1883,"Ddd"))&amp;"-"&amp;TEXT(A1883,"hh"),LoadTable[],5,FALSE)*0.92</f>
        <v>237.25788000000003</v>
      </c>
      <c r="U1883" s="104">
        <f>VLOOKUP(TEXT(A1883,"yy-mm")&amp;"-"&amp;IF(AND(WEEKDAY(A1883)&gt;1,WEEKDAY(A1883)&lt;7),"Wkd",TEXT(A1883,"Ddd"))&amp;"-"&amp;TEXT(A1883,"hh"),LoadTable[],6,FALSE)*T1883</f>
        <v>12063.61416648</v>
      </c>
      <c r="V1883">
        <f t="shared" ref="V1883:W1883" si="2001">V1859</f>
        <v>3.2</v>
      </c>
      <c r="W1883">
        <f t="shared" si="2001"/>
        <v>3</v>
      </c>
      <c r="X1883" s="9">
        <v>-85.695195866667802</v>
      </c>
    </row>
    <row r="1884" spans="1:24">
      <c r="A1884" s="29">
        <f t="shared" si="1978"/>
        <v>45914.374999995438</v>
      </c>
      <c r="B1884" s="30">
        <f t="shared" ref="B1884:B1947" si="2002">B1860</f>
        <v>8000</v>
      </c>
      <c r="C1884" s="8">
        <v>25000</v>
      </c>
      <c r="D1884" s="8">
        <v>0</v>
      </c>
      <c r="E1884" s="8">
        <v>700</v>
      </c>
      <c r="F1884" s="8">
        <v>15000</v>
      </c>
      <c r="G1884" s="30">
        <f t="shared" ref="G1884:G1947" si="2003">G1860</f>
        <v>2400</v>
      </c>
      <c r="H1884" s="8">
        <v>25000</v>
      </c>
      <c r="I1884" s="30">
        <f t="shared" ref="I1884:I1947" si="2004">I1860</f>
        <v>8000</v>
      </c>
      <c r="J1884" s="8">
        <v>25000</v>
      </c>
      <c r="K1884" s="30">
        <f t="shared" ref="K1884:K1947" si="2005">K1860</f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VLOOKUP(VLOOKUP(DATEVALUE(TEXT(A1884,"m/d/yyyy")),FY24_Temp[],5,FALSE)&amp;TEXT(A1884,"-h"),Table6[],4,FALSE)</f>
        <v>1.3778571401323592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VLOOKUP(TEXT(A1884,"yy-mm")&amp;"-"&amp;IF(AND(WEEKDAY(A1884)&gt;1,WEEKDAY(A1884)&lt;7),"Wkd",TEXT(A1884,"Ddd"))&amp;"-"&amp;TEXT(A1884,"hh"),LoadTable[],5,FALSE)*0.92</f>
        <v>237.25788000000003</v>
      </c>
      <c r="U1884" s="104">
        <f>VLOOKUP(TEXT(A1884,"yy-mm")&amp;"-"&amp;IF(AND(WEEKDAY(A1884)&gt;1,WEEKDAY(A1884)&lt;7),"Wkd",TEXT(A1884,"Ddd"))&amp;"-"&amp;TEXT(A1884,"hh"),LoadTable[],6,FALSE)*T1884</f>
        <v>10984.80258612</v>
      </c>
      <c r="V1884">
        <f t="shared" ref="V1884:W1884" si="2006">V1860</f>
        <v>2.9</v>
      </c>
      <c r="W1884">
        <f t="shared" si="2006"/>
        <v>3</v>
      </c>
      <c r="X1884" s="9">
        <v>-85.772990416667795</v>
      </c>
    </row>
    <row r="1885" spans="1:24">
      <c r="A1885" s="29">
        <f t="shared" si="1978"/>
        <v>45914.416666662102</v>
      </c>
      <c r="B1885" s="30">
        <f t="shared" si="2002"/>
        <v>8000</v>
      </c>
      <c r="C1885" s="8">
        <v>25000</v>
      </c>
      <c r="D1885" s="8">
        <v>0</v>
      </c>
      <c r="E1885" s="8">
        <v>700</v>
      </c>
      <c r="F1885" s="8">
        <v>15000</v>
      </c>
      <c r="G1885" s="30">
        <f t="shared" si="2003"/>
        <v>2400</v>
      </c>
      <c r="H1885" s="8">
        <v>25000</v>
      </c>
      <c r="I1885" s="30">
        <f t="shared" si="2004"/>
        <v>8000</v>
      </c>
      <c r="J1885" s="8">
        <v>25000</v>
      </c>
      <c r="K1885" s="30">
        <f t="shared" si="2005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VLOOKUP(VLOOKUP(DATEVALUE(TEXT(A1885,"m/d/yyyy")),FY24_Temp[],5,FALSE)&amp;TEXT(A1885,"-h"),Table6[],4,FALSE)</f>
        <v>1.2395714351109095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VLOOKUP(TEXT(A1885,"yy-mm")&amp;"-"&amp;IF(AND(WEEKDAY(A1885)&gt;1,WEEKDAY(A1885)&lt;7),"Wkd",TEXT(A1885,"Ddd"))&amp;"-"&amp;TEXT(A1885,"hh"),LoadTable[],5,FALSE)*0.92</f>
        <v>237.25788000000003</v>
      </c>
      <c r="U1885" s="104">
        <f>VLOOKUP(TEXT(A1885,"yy-mm")&amp;"-"&amp;IF(AND(WEEKDAY(A1885)&gt;1,WEEKDAY(A1885)&lt;7),"Wkd",TEXT(A1885,"Ddd"))&amp;"-"&amp;TEXT(A1885,"hh"),LoadTable[],6,FALSE)*T1885</f>
        <v>10967.245503000002</v>
      </c>
      <c r="V1885">
        <f t="shared" ref="V1885:W1885" si="2007">V1861</f>
        <v>2.9</v>
      </c>
      <c r="W1885">
        <f t="shared" si="2007"/>
        <v>3</v>
      </c>
      <c r="X1885" s="9">
        <v>-85.850784966667803</v>
      </c>
    </row>
    <row r="1886" spans="1:24">
      <c r="A1886" s="29">
        <f t="shared" si="1978"/>
        <v>45914.458333328766</v>
      </c>
      <c r="B1886" s="30">
        <f t="shared" si="2002"/>
        <v>8000</v>
      </c>
      <c r="C1886" s="8">
        <v>25000</v>
      </c>
      <c r="D1886" s="8">
        <v>0</v>
      </c>
      <c r="E1886" s="8">
        <v>700</v>
      </c>
      <c r="F1886" s="8">
        <v>15000</v>
      </c>
      <c r="G1886" s="30">
        <f t="shared" si="2003"/>
        <v>2400</v>
      </c>
      <c r="H1886" s="8">
        <v>25000</v>
      </c>
      <c r="I1886" s="30">
        <f t="shared" si="2004"/>
        <v>8000</v>
      </c>
      <c r="J1886" s="8">
        <v>25000</v>
      </c>
      <c r="K1886" s="30">
        <f t="shared" si="2005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VLOOKUP(VLOOKUP(DATEVALUE(TEXT(A1886,"m/d/yyyy")),FY24_Temp[],5,FALSE)&amp;TEXT(A1886,"-h"),Table6[],4,FALSE)</f>
        <v>1.1261428764888219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VLOOKUP(TEXT(A1886,"yy-mm")&amp;"-"&amp;IF(AND(WEEKDAY(A1886)&gt;1,WEEKDAY(A1886)&lt;7),"Wkd",TEXT(A1886,"Ddd"))&amp;"-"&amp;TEXT(A1886,"hh"),LoadTable[],5,FALSE)*0.92</f>
        <v>237.25788000000003</v>
      </c>
      <c r="U1886" s="104">
        <f>VLOOKUP(TEXT(A1886,"yy-mm")&amp;"-"&amp;IF(AND(WEEKDAY(A1886)&gt;1,WEEKDAY(A1886)&lt;7),"Wkd",TEXT(A1886,"Ddd"))&amp;"-"&amp;TEXT(A1886,"hh"),LoadTable[],6,FALSE)*T1886</f>
        <v>10967.720018760001</v>
      </c>
      <c r="V1886">
        <f t="shared" ref="V1886:W1886" si="2008">V1862</f>
        <v>3.4</v>
      </c>
      <c r="W1886">
        <f t="shared" si="2008"/>
        <v>3</v>
      </c>
      <c r="X1886" s="9">
        <v>-85.928579516667796</v>
      </c>
    </row>
    <row r="1887" spans="1:24">
      <c r="A1887" s="29">
        <f t="shared" si="1978"/>
        <v>45914.499999995431</v>
      </c>
      <c r="B1887" s="30">
        <f t="shared" si="2002"/>
        <v>8000</v>
      </c>
      <c r="C1887" s="8">
        <v>25000</v>
      </c>
      <c r="D1887" s="8">
        <v>0</v>
      </c>
      <c r="E1887" s="8">
        <v>700</v>
      </c>
      <c r="F1887" s="8">
        <v>15000</v>
      </c>
      <c r="G1887" s="30">
        <f t="shared" si="2003"/>
        <v>2400</v>
      </c>
      <c r="H1887" s="8">
        <v>25000</v>
      </c>
      <c r="I1887" s="30">
        <f t="shared" si="2004"/>
        <v>8000</v>
      </c>
      <c r="J1887" s="8">
        <v>25000</v>
      </c>
      <c r="K1887" s="30">
        <f t="shared" si="2005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VLOOKUP(VLOOKUP(DATEVALUE(TEXT(A1887,"m/d/yyyy")),FY24_Temp[],5,FALSE)&amp;TEXT(A1887,"-h"),Table6[],4,FALSE)</f>
        <v>0.97528570038931706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VLOOKUP(TEXT(A1887,"yy-mm")&amp;"-"&amp;IF(AND(WEEKDAY(A1887)&gt;1,WEEKDAY(A1887)&lt;7),"Wkd",TEXT(A1887,"Ddd"))&amp;"-"&amp;TEXT(A1887,"hh"),LoadTable[],5,FALSE)*0.92</f>
        <v>237.25788000000003</v>
      </c>
      <c r="U1887" s="104">
        <f>VLOOKUP(TEXT(A1887,"yy-mm")&amp;"-"&amp;IF(AND(WEEKDAY(A1887)&gt;1,WEEKDAY(A1887)&lt;7),"Wkd",TEXT(A1887,"Ddd"))&amp;"-"&amp;TEXT(A1887,"hh"),LoadTable[],6,FALSE)*T1887</f>
        <v>10974.600497280002</v>
      </c>
      <c r="V1887">
        <f t="shared" ref="V1887:W1887" si="2009">V1863</f>
        <v>3.1</v>
      </c>
      <c r="W1887">
        <f t="shared" si="2009"/>
        <v>2.9</v>
      </c>
      <c r="X1887" s="9">
        <v>-86.006374066667803</v>
      </c>
    </row>
    <row r="1888" spans="1:24">
      <c r="A1888" s="29">
        <f t="shared" si="1978"/>
        <v>45914.541666662095</v>
      </c>
      <c r="B1888" s="30">
        <f t="shared" si="2002"/>
        <v>8000</v>
      </c>
      <c r="C1888" s="8">
        <v>25000</v>
      </c>
      <c r="D1888" s="8">
        <v>0</v>
      </c>
      <c r="E1888" s="8">
        <v>700</v>
      </c>
      <c r="F1888" s="8">
        <v>15000</v>
      </c>
      <c r="G1888" s="30">
        <f t="shared" si="2003"/>
        <v>2400</v>
      </c>
      <c r="H1888" s="8">
        <v>25000</v>
      </c>
      <c r="I1888" s="30">
        <f t="shared" si="2004"/>
        <v>8000</v>
      </c>
      <c r="J1888" s="8">
        <v>25000</v>
      </c>
      <c r="K1888" s="30">
        <f t="shared" si="2005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VLOOKUP(VLOOKUP(DATEVALUE(TEXT(A1888,"m/d/yyyy")),FY24_Temp[],5,FALSE)&amp;TEXT(A1888,"-h"),Table6[],4,FALSE)</f>
        <v>0.83557144233158653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VLOOKUP(TEXT(A1888,"yy-mm")&amp;"-"&amp;IF(AND(WEEKDAY(A1888)&gt;1,WEEKDAY(A1888)&lt;7),"Wkd",TEXT(A1888,"Ddd"))&amp;"-"&amp;TEXT(A1888,"hh"),LoadTable[],5,FALSE)*0.92</f>
        <v>237.25788000000003</v>
      </c>
      <c r="U1888" s="104">
        <f>VLOOKUP(TEXT(A1888,"yy-mm")&amp;"-"&amp;IF(AND(WEEKDAY(A1888)&gt;1,WEEKDAY(A1888)&lt;7),"Wkd",TEXT(A1888,"Ddd"))&amp;"-"&amp;TEXT(A1888,"hh"),LoadTable[],6,FALSE)*T1888</f>
        <v>10989.785001600001</v>
      </c>
      <c r="V1888">
        <f t="shared" ref="V1888:W1888" si="2010">V1864</f>
        <v>3.2</v>
      </c>
      <c r="W1888">
        <f t="shared" si="2010"/>
        <v>2.9</v>
      </c>
      <c r="X1888" s="9">
        <v>-86.084168616667796</v>
      </c>
    </row>
    <row r="1889" spans="1:24">
      <c r="A1889" s="29">
        <f t="shared" si="1978"/>
        <v>45914.583333328759</v>
      </c>
      <c r="B1889" s="30">
        <f t="shared" si="2002"/>
        <v>8000</v>
      </c>
      <c r="C1889" s="8">
        <v>25000</v>
      </c>
      <c r="D1889" s="8">
        <v>0</v>
      </c>
      <c r="E1889" s="8">
        <v>700</v>
      </c>
      <c r="F1889" s="8">
        <v>15000</v>
      </c>
      <c r="G1889" s="30">
        <f t="shared" si="2003"/>
        <v>2400</v>
      </c>
      <c r="H1889" s="8">
        <v>25000</v>
      </c>
      <c r="I1889" s="30">
        <f t="shared" si="2004"/>
        <v>8000</v>
      </c>
      <c r="J1889" s="8">
        <v>25000</v>
      </c>
      <c r="K1889" s="30">
        <f t="shared" si="2005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VLOOKUP(VLOOKUP(DATEVALUE(TEXT(A1889,"m/d/yyyy")),FY24_Temp[],5,FALSE)&amp;TEXT(A1889,"-h"),Table6[],4,FALSE)</f>
        <v>0.71842856918062481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VLOOKUP(TEXT(A1889,"yy-mm")&amp;"-"&amp;IF(AND(WEEKDAY(A1889)&gt;1,WEEKDAY(A1889)&lt;7),"Wkd",TEXT(A1889,"Ddd"))&amp;"-"&amp;TEXT(A1889,"hh"),LoadTable[],5,FALSE)*0.92</f>
        <v>237.25788000000003</v>
      </c>
      <c r="U1889" s="104">
        <f>VLOOKUP(TEXT(A1889,"yy-mm")&amp;"-"&amp;IF(AND(WEEKDAY(A1889)&gt;1,WEEKDAY(A1889)&lt;7),"Wkd",TEXT(A1889,"Ddd"))&amp;"-"&amp;TEXT(A1889,"hh"),LoadTable[],6,FALSE)*T1889</f>
        <v>11586.014054040001</v>
      </c>
      <c r="V1889">
        <f t="shared" ref="V1889:W1889" si="2011">V1865</f>
        <v>3.5</v>
      </c>
      <c r="W1889">
        <f t="shared" si="2011"/>
        <v>2.9</v>
      </c>
      <c r="X1889" s="9">
        <v>-86.161963166667903</v>
      </c>
    </row>
    <row r="1890" spans="1:24">
      <c r="A1890" s="29">
        <f t="shared" si="1978"/>
        <v>45914.624999995423</v>
      </c>
      <c r="B1890" s="30">
        <f t="shared" si="2002"/>
        <v>8000</v>
      </c>
      <c r="C1890" s="8">
        <v>25000</v>
      </c>
      <c r="D1890" s="8">
        <v>0</v>
      </c>
      <c r="E1890" s="8">
        <v>700</v>
      </c>
      <c r="F1890" s="8">
        <v>15000</v>
      </c>
      <c r="G1890" s="30">
        <f t="shared" si="2003"/>
        <v>2400</v>
      </c>
      <c r="H1890" s="8">
        <v>25000</v>
      </c>
      <c r="I1890" s="30">
        <f t="shared" si="2004"/>
        <v>8000</v>
      </c>
      <c r="J1890" s="8">
        <v>25000</v>
      </c>
      <c r="K1890" s="30">
        <f t="shared" si="2005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VLOOKUP(VLOOKUP(DATEVALUE(TEXT(A1890,"m/d/yyyy")),FY24_Temp[],5,FALSE)&amp;TEXT(A1890,"-h"),Table6[],4,FALSE)</f>
        <v>0.71542857374463764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VLOOKUP(TEXT(A1890,"yy-mm")&amp;"-"&amp;IF(AND(WEEKDAY(A1890)&gt;1,WEEKDAY(A1890)&lt;7),"Wkd",TEXT(A1890,"Ddd"))&amp;"-"&amp;TEXT(A1890,"hh"),LoadTable[],5,FALSE)*0.92</f>
        <v>355.88728000000003</v>
      </c>
      <c r="U1890" s="104">
        <f>VLOOKUP(TEXT(A1890,"yy-mm")&amp;"-"&amp;IF(AND(WEEKDAY(A1890)&gt;1,WEEKDAY(A1890)&lt;7),"Wkd",TEXT(A1890,"Ddd"))&amp;"-"&amp;TEXT(A1890,"hh"),LoadTable[],6,FALSE)*T1890</f>
        <v>19252.078298880002</v>
      </c>
      <c r="V1890">
        <f t="shared" ref="V1890:W1890" si="2012">V1866</f>
        <v>3.2</v>
      </c>
      <c r="W1890">
        <f t="shared" si="2012"/>
        <v>2.9</v>
      </c>
      <c r="X1890" s="9">
        <v>-86.239757716667896</v>
      </c>
    </row>
    <row r="1891" spans="1:24">
      <c r="A1891" s="29">
        <f t="shared" si="1978"/>
        <v>45914.666666662088</v>
      </c>
      <c r="B1891" s="30">
        <f t="shared" si="2002"/>
        <v>8000</v>
      </c>
      <c r="C1891" s="8">
        <v>25000</v>
      </c>
      <c r="D1891" s="8">
        <v>0</v>
      </c>
      <c r="E1891" s="8">
        <v>700</v>
      </c>
      <c r="F1891" s="8">
        <v>15000</v>
      </c>
      <c r="G1891" s="30">
        <f t="shared" si="2003"/>
        <v>2400</v>
      </c>
      <c r="H1891" s="8">
        <v>25000</v>
      </c>
      <c r="I1891" s="30">
        <f t="shared" si="2004"/>
        <v>8000</v>
      </c>
      <c r="J1891" s="8">
        <v>25000</v>
      </c>
      <c r="K1891" s="30">
        <f t="shared" si="2005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VLOOKUP(VLOOKUP(DATEVALUE(TEXT(A1891,"m/d/yyyy")),FY24_Temp[],5,FALSE)&amp;TEXT(A1891,"-h"),Table6[],4,FALSE)</f>
        <v>1.0005714382444109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VLOOKUP(TEXT(A1891,"yy-mm")&amp;"-"&amp;IF(AND(WEEKDAY(A1891)&gt;1,WEEKDAY(A1891)&lt;7),"Wkd",TEXT(A1891,"Ddd"))&amp;"-"&amp;TEXT(A1891,"hh"),LoadTable[],5,FALSE)*0.92</f>
        <v>388.38076000000001</v>
      </c>
      <c r="U1891" s="104">
        <f>VLOOKUP(TEXT(A1891,"yy-mm")&amp;"-"&amp;IF(AND(WEEKDAY(A1891)&gt;1,WEEKDAY(A1891)&lt;7),"Wkd",TEXT(A1891,"Ddd"))&amp;"-"&amp;TEXT(A1891,"hh"),LoadTable[],6,FALSE)*T1891</f>
        <v>27712.520749039999</v>
      </c>
      <c r="V1891">
        <f t="shared" ref="V1891:W1891" si="2013">V1867</f>
        <v>3.5</v>
      </c>
      <c r="W1891">
        <f t="shared" si="2013"/>
        <v>3</v>
      </c>
      <c r="X1891" s="9">
        <v>-86.317552266667903</v>
      </c>
    </row>
    <row r="1892" spans="1:24">
      <c r="A1892" s="29">
        <f t="shared" si="1978"/>
        <v>45914.708333328752</v>
      </c>
      <c r="B1892" s="30">
        <f t="shared" si="2002"/>
        <v>8000</v>
      </c>
      <c r="C1892" s="8">
        <v>25000</v>
      </c>
      <c r="D1892" s="8">
        <v>0</v>
      </c>
      <c r="E1892" s="8">
        <v>700</v>
      </c>
      <c r="F1892" s="8">
        <v>15000</v>
      </c>
      <c r="G1892" s="30">
        <f t="shared" si="2003"/>
        <v>2400</v>
      </c>
      <c r="H1892" s="8">
        <v>25000</v>
      </c>
      <c r="I1892" s="30">
        <f t="shared" si="2004"/>
        <v>8000</v>
      </c>
      <c r="J1892" s="8">
        <v>25000</v>
      </c>
      <c r="K1892" s="30">
        <f t="shared" si="2005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VLOOKUP(VLOOKUP(DATEVALUE(TEXT(A1892,"m/d/yyyy")),FY24_Temp[],5,FALSE)&amp;TEXT(A1892,"-h"),Table6[],4,FALSE)</f>
        <v>1.4091428688594274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VLOOKUP(TEXT(A1892,"yy-mm")&amp;"-"&amp;IF(AND(WEEKDAY(A1892)&gt;1,WEEKDAY(A1892)&lt;7),"Wkd",TEXT(A1892,"Ddd"))&amp;"-"&amp;TEXT(A1892,"hh"),LoadTable[],5,FALSE)*0.92</f>
        <v>388.38076000000001</v>
      </c>
      <c r="U1892" s="104">
        <f>VLOOKUP(TEXT(A1892,"yy-mm")&amp;"-"&amp;IF(AND(WEEKDAY(A1892)&gt;1,WEEKDAY(A1892)&lt;7),"Wkd",TEXT(A1892,"Ddd"))&amp;"-"&amp;TEXT(A1892,"hh"),LoadTable[],6,FALSE)*T1892</f>
        <v>36453.806514360003</v>
      </c>
      <c r="V1892">
        <f t="shared" ref="V1892:W1892" si="2014">V1868</f>
        <v>3.6</v>
      </c>
      <c r="W1892">
        <f t="shared" si="2014"/>
        <v>3</v>
      </c>
      <c r="X1892" s="9">
        <v>-86.395346816667896</v>
      </c>
    </row>
    <row r="1893" spans="1:24">
      <c r="A1893" s="29">
        <f t="shared" si="1978"/>
        <v>45914.749999995416</v>
      </c>
      <c r="B1893" s="30">
        <f t="shared" si="2002"/>
        <v>5000</v>
      </c>
      <c r="C1893" s="8">
        <v>25000</v>
      </c>
      <c r="D1893" s="8">
        <v>0</v>
      </c>
      <c r="E1893" s="8">
        <v>700</v>
      </c>
      <c r="F1893" s="8">
        <v>15000</v>
      </c>
      <c r="G1893" s="30">
        <f t="shared" si="2003"/>
        <v>2400</v>
      </c>
      <c r="H1893" s="8">
        <v>25000</v>
      </c>
      <c r="I1893" s="30">
        <f t="shared" si="2004"/>
        <v>5000</v>
      </c>
      <c r="J1893" s="8">
        <v>25000</v>
      </c>
      <c r="K1893" s="30">
        <f t="shared" si="2005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VLOOKUP(VLOOKUP(DATEVALUE(TEXT(A1893,"m/d/yyyy")),FY24_Temp[],5,FALSE)&amp;TEXT(A1893,"-h"),Table6[],4,FALSE)</f>
        <v>1.9017142908913749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VLOOKUP(TEXT(A1893,"yy-mm")&amp;"-"&amp;IF(AND(WEEKDAY(A1893)&gt;1,WEEKDAY(A1893)&lt;7),"Wkd",TEXT(A1893,"Ddd"))&amp;"-"&amp;TEXT(A1893,"hh"),LoadTable[],5,FALSE)*0.92</f>
        <v>388.38076000000001</v>
      </c>
      <c r="U1893" s="104">
        <f>VLOOKUP(TEXT(A1893,"yy-mm")&amp;"-"&amp;IF(AND(WEEKDAY(A1893)&gt;1,WEEKDAY(A1893)&lt;7),"Wkd",TEXT(A1893,"Ddd"))&amp;"-"&amp;TEXT(A1893,"hh"),LoadTable[],6,FALSE)*T1893</f>
        <v>43429.124963959999</v>
      </c>
      <c r="V1893">
        <f t="shared" ref="V1893:W1893" si="2015">V1869</f>
        <v>2.9</v>
      </c>
      <c r="W1893">
        <f t="shared" si="2015"/>
        <v>3</v>
      </c>
      <c r="X1893" s="9">
        <v>-86.473141366667903</v>
      </c>
    </row>
    <row r="1894" spans="1:24">
      <c r="A1894" s="29">
        <f t="shared" si="1978"/>
        <v>45914.79166666208</v>
      </c>
      <c r="B1894" s="30">
        <f t="shared" si="2002"/>
        <v>5000</v>
      </c>
      <c r="C1894" s="8">
        <v>25000</v>
      </c>
      <c r="D1894" s="8">
        <v>0</v>
      </c>
      <c r="E1894" s="8">
        <v>700</v>
      </c>
      <c r="F1894" s="8">
        <v>15000</v>
      </c>
      <c r="G1894" s="30">
        <f t="shared" si="2003"/>
        <v>2400</v>
      </c>
      <c r="H1894" s="8">
        <v>25000</v>
      </c>
      <c r="I1894" s="30">
        <f t="shared" si="2004"/>
        <v>5000</v>
      </c>
      <c r="J1894" s="8">
        <v>25000</v>
      </c>
      <c r="K1894" s="30">
        <f t="shared" si="2005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VLOOKUP(VLOOKUP(DATEVALUE(TEXT(A1894,"m/d/yyyy")),FY24_Temp[],5,FALSE)&amp;TEXT(A1894,"-h"),Table6[],4,FALSE)</f>
        <v>2.2652856963021413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VLOOKUP(TEXT(A1894,"yy-mm")&amp;"-"&amp;IF(AND(WEEKDAY(A1894)&gt;1,WEEKDAY(A1894)&lt;7),"Wkd",TEXT(A1894,"Ddd"))&amp;"-"&amp;TEXT(A1894,"hh"),LoadTable[],5,FALSE)*0.92</f>
        <v>388.38076000000001</v>
      </c>
      <c r="U1894" s="104">
        <f>VLOOKUP(TEXT(A1894,"yy-mm")&amp;"-"&amp;IF(AND(WEEKDAY(A1894)&gt;1,WEEKDAY(A1894)&lt;7),"Wkd",TEXT(A1894,"Ddd"))&amp;"-"&amp;TEXT(A1894,"hh"),LoadTable[],6,FALSE)*T1894</f>
        <v>45035.856168079998</v>
      </c>
      <c r="V1894">
        <f t="shared" ref="V1894:W1894" si="2016">V1870</f>
        <v>3</v>
      </c>
      <c r="W1894">
        <f t="shared" si="2016"/>
        <v>3</v>
      </c>
      <c r="X1894" s="9">
        <v>-86.550935916667896</v>
      </c>
    </row>
    <row r="1895" spans="1:24">
      <c r="A1895" s="29">
        <f t="shared" si="1978"/>
        <v>45914.833333328745</v>
      </c>
      <c r="B1895" s="30">
        <f t="shared" si="2002"/>
        <v>5000</v>
      </c>
      <c r="C1895" s="8">
        <v>25000</v>
      </c>
      <c r="D1895" s="8">
        <v>0</v>
      </c>
      <c r="E1895" s="8">
        <v>700</v>
      </c>
      <c r="F1895" s="8">
        <v>15000</v>
      </c>
      <c r="G1895" s="30">
        <f t="shared" si="2003"/>
        <v>2400</v>
      </c>
      <c r="H1895" s="8">
        <v>25000</v>
      </c>
      <c r="I1895" s="30">
        <f t="shared" si="2004"/>
        <v>5000</v>
      </c>
      <c r="J1895" s="8">
        <v>25000</v>
      </c>
      <c r="K1895" s="30">
        <f t="shared" si="2005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VLOOKUP(VLOOKUP(DATEVALUE(TEXT(A1895,"m/d/yyyy")),FY24_Temp[],5,FALSE)&amp;TEXT(A1895,"-h"),Table6[],4,FALSE)</f>
        <v>2.4488571711948941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VLOOKUP(TEXT(A1895,"yy-mm")&amp;"-"&amp;IF(AND(WEEKDAY(A1895)&gt;1,WEEKDAY(A1895)&lt;7),"Wkd",TEXT(A1895,"Ddd"))&amp;"-"&amp;TEXT(A1895,"hh"),LoadTable[],5,FALSE)*0.92</f>
        <v>351.00484</v>
      </c>
      <c r="U1895" s="104">
        <f>VLOOKUP(TEXT(A1895,"yy-mm")&amp;"-"&amp;IF(AND(WEEKDAY(A1895)&gt;1,WEEKDAY(A1895)&lt;7),"Wkd",TEXT(A1895,"Ddd"))&amp;"-"&amp;TEXT(A1895,"hh"),LoadTable[],6,FALSE)*T1895</f>
        <v>38711.270789080001</v>
      </c>
      <c r="V1895">
        <f t="shared" ref="V1895:W1895" si="2017">V1871</f>
        <v>2.8</v>
      </c>
      <c r="W1895">
        <f t="shared" si="2017"/>
        <v>3.1</v>
      </c>
      <c r="X1895" s="9">
        <v>-86.628730466667903</v>
      </c>
    </row>
    <row r="1896" spans="1:24">
      <c r="A1896" s="29">
        <f t="shared" si="1978"/>
        <v>45914.874999995409</v>
      </c>
      <c r="B1896" s="30">
        <f t="shared" si="2002"/>
        <v>5000</v>
      </c>
      <c r="C1896" s="8">
        <v>25000</v>
      </c>
      <c r="D1896" s="8">
        <v>0</v>
      </c>
      <c r="E1896" s="8">
        <v>700</v>
      </c>
      <c r="F1896" s="8">
        <v>15000</v>
      </c>
      <c r="G1896" s="30">
        <f t="shared" si="2003"/>
        <v>2400</v>
      </c>
      <c r="H1896" s="8">
        <v>25000</v>
      </c>
      <c r="I1896" s="30">
        <f t="shared" si="2004"/>
        <v>5000</v>
      </c>
      <c r="J1896" s="8">
        <v>25000</v>
      </c>
      <c r="K1896" s="30">
        <f t="shared" si="2005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VLOOKUP(VLOOKUP(DATEVALUE(TEXT(A1896,"m/d/yyyy")),FY24_Temp[],5,FALSE)&amp;TEXT(A1896,"-h"),Table6[],4,FALSE)</f>
        <v>2.5055713994162425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VLOOKUP(TEXT(A1896,"yy-mm")&amp;"-"&amp;IF(AND(WEEKDAY(A1896)&gt;1,WEEKDAY(A1896)&lt;7),"Wkd",TEXT(A1896,"Ddd"))&amp;"-"&amp;TEXT(A1896,"hh"),LoadTable[],5,FALSE)*0.92</f>
        <v>299.95864</v>
      </c>
      <c r="U1896" s="104">
        <f>VLOOKUP(TEXT(A1896,"yy-mm")&amp;"-"&amp;IF(AND(WEEKDAY(A1896)&gt;1,WEEKDAY(A1896)&lt;7),"Wkd",TEXT(A1896,"Ddd"))&amp;"-"&amp;TEXT(A1896,"hh"),LoadTable[],6,FALSE)*T1896</f>
        <v>27922.849838959999</v>
      </c>
      <c r="V1896">
        <f t="shared" ref="V1896:W1896" si="2018">V1872</f>
        <v>3.5</v>
      </c>
      <c r="W1896">
        <f t="shared" si="2018"/>
        <v>3.1</v>
      </c>
      <c r="X1896" s="9">
        <v>-86.706525016667896</v>
      </c>
    </row>
    <row r="1897" spans="1:24">
      <c r="A1897" s="29">
        <f t="shared" si="1978"/>
        <v>45914.916666662073</v>
      </c>
      <c r="B1897" s="30">
        <f t="shared" si="2002"/>
        <v>5000</v>
      </c>
      <c r="C1897" s="8">
        <v>25000</v>
      </c>
      <c r="D1897" s="8">
        <v>0</v>
      </c>
      <c r="E1897" s="8">
        <v>700</v>
      </c>
      <c r="F1897" s="8">
        <v>15000</v>
      </c>
      <c r="G1897" s="30">
        <f t="shared" si="2003"/>
        <v>2400</v>
      </c>
      <c r="H1897" s="8">
        <v>25000</v>
      </c>
      <c r="I1897" s="30">
        <f t="shared" si="2004"/>
        <v>5000</v>
      </c>
      <c r="J1897" s="8">
        <v>25000</v>
      </c>
      <c r="K1897" s="30">
        <f t="shared" si="2005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VLOOKUP(VLOOKUP(DATEVALUE(TEXT(A1897,"m/d/yyyy")),FY24_Temp[],5,FALSE)&amp;TEXT(A1897,"-h"),Table6[],4,FALSE)</f>
        <v>2.4671428544180736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VLOOKUP(TEXT(A1897,"yy-mm")&amp;"-"&amp;IF(AND(WEEKDAY(A1897)&gt;1,WEEKDAY(A1897)&lt;7),"Wkd",TEXT(A1897,"Ddd"))&amp;"-"&amp;TEXT(A1897,"hh"),LoadTable[],5,FALSE)*0.92</f>
        <v>237.25788000000003</v>
      </c>
      <c r="U1897" s="104">
        <f>VLOOKUP(TEXT(A1897,"yy-mm")&amp;"-"&amp;IF(AND(WEEKDAY(A1897)&gt;1,WEEKDAY(A1897)&lt;7),"Wkd",TEXT(A1897,"Ddd"))&amp;"-"&amp;TEXT(A1897,"hh"),LoadTable[],6,FALSE)*T1897</f>
        <v>13362.838317360001</v>
      </c>
      <c r="V1897">
        <f t="shared" ref="V1897:W1897" si="2019">V1873</f>
        <v>2.9</v>
      </c>
      <c r="W1897">
        <f t="shared" si="2019"/>
        <v>3.1</v>
      </c>
      <c r="X1897" s="9">
        <v>-86.784319566667904</v>
      </c>
    </row>
    <row r="1898" spans="1:24">
      <c r="A1898" s="29">
        <f t="shared" si="1978"/>
        <v>45914.958333328737</v>
      </c>
      <c r="B1898" s="30">
        <f t="shared" si="2002"/>
        <v>5000</v>
      </c>
      <c r="C1898" s="8">
        <v>25000</v>
      </c>
      <c r="D1898" s="8">
        <v>0</v>
      </c>
      <c r="E1898" s="8">
        <v>700</v>
      </c>
      <c r="F1898" s="8">
        <v>15000</v>
      </c>
      <c r="G1898" s="30">
        <f t="shared" si="2003"/>
        <v>2400</v>
      </c>
      <c r="H1898" s="8">
        <v>25000</v>
      </c>
      <c r="I1898" s="30">
        <f t="shared" si="2004"/>
        <v>5000</v>
      </c>
      <c r="J1898" s="8">
        <v>25000</v>
      </c>
      <c r="K1898" s="30">
        <f t="shared" si="2005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VLOOKUP(VLOOKUP(DATEVALUE(TEXT(A1898,"m/d/yyyy")),FY24_Temp[],5,FALSE)&amp;TEXT(A1898,"-h"),Table6[],4,FALSE)</f>
        <v>2.4559999534061978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VLOOKUP(TEXT(A1898,"yy-mm")&amp;"-"&amp;IF(AND(WEEKDAY(A1898)&gt;1,WEEKDAY(A1898)&lt;7),"Wkd",TEXT(A1898,"Ddd"))&amp;"-"&amp;TEXT(A1898,"hh"),LoadTable[],5,FALSE)*0.92</f>
        <v>237.25788000000003</v>
      </c>
      <c r="U1898" s="104">
        <f>VLOOKUP(TEXT(A1898,"yy-mm")&amp;"-"&amp;IF(AND(WEEKDAY(A1898)&gt;1,WEEKDAY(A1898)&lt;7),"Wkd",TEXT(A1898,"Ddd"))&amp;"-"&amp;TEXT(A1898,"hh"),LoadTable[],6,FALSE)*T1898</f>
        <v>13015.255523160002</v>
      </c>
      <c r="V1898">
        <f t="shared" ref="V1898:W1898" si="2020">V1874</f>
        <v>3.6</v>
      </c>
      <c r="W1898">
        <f t="shared" si="2020"/>
        <v>3.1</v>
      </c>
      <c r="X1898" s="9">
        <v>-86.862114116667897</v>
      </c>
    </row>
    <row r="1899" spans="1:24">
      <c r="A1899" s="29">
        <f t="shared" si="1978"/>
        <v>45914.999999995402</v>
      </c>
      <c r="B1899" s="30">
        <f t="shared" si="2002"/>
        <v>5000</v>
      </c>
      <c r="C1899" s="8">
        <v>25000</v>
      </c>
      <c r="D1899" s="8">
        <v>0</v>
      </c>
      <c r="E1899" s="8">
        <v>700</v>
      </c>
      <c r="F1899" s="8">
        <v>15000</v>
      </c>
      <c r="G1899" s="30">
        <f t="shared" si="2003"/>
        <v>2400</v>
      </c>
      <c r="H1899" s="8">
        <v>25000</v>
      </c>
      <c r="I1899" s="30">
        <f t="shared" si="2004"/>
        <v>5000</v>
      </c>
      <c r="J1899" s="8">
        <v>25000</v>
      </c>
      <c r="K1899" s="30">
        <f t="shared" si="2005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VLOOKUP(VLOOKUP(DATEVALUE(TEXT(A1899,"m/d/yyyy")),FY24_Temp[],5,FALSE)&amp;TEXT(A1899,"-h"),Table6[],4,FALSE)</f>
        <v>2.4424285888671875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VLOOKUP(TEXT(A1899,"yy-mm")&amp;"-"&amp;IF(AND(WEEKDAY(A1899)&gt;1,WEEKDAY(A1899)&lt;7),"Wkd",TEXT(A1899,"Ddd"))&amp;"-"&amp;TEXT(A1899,"hh"),LoadTable[],5,FALSE)*0.92</f>
        <v>237.25788000000003</v>
      </c>
      <c r="U1899" s="104">
        <f>VLOOKUP(TEXT(A1899,"yy-mm")&amp;"-"&amp;IF(AND(WEEKDAY(A1899)&gt;1,WEEKDAY(A1899)&lt;7),"Wkd",TEXT(A1899,"Ddd"))&amp;"-"&amp;TEXT(A1899,"hh"),LoadTable[],6,FALSE)*T1899</f>
        <v>12215.696467560001</v>
      </c>
      <c r="V1899">
        <f t="shared" ref="V1899:W1899" si="2021">V1875</f>
        <v>3</v>
      </c>
      <c r="W1899">
        <f t="shared" si="2021"/>
        <v>3.2</v>
      </c>
      <c r="X1899" s="9">
        <v>-86.939908666667904</v>
      </c>
    </row>
    <row r="1900" spans="1:24">
      <c r="A1900" s="29">
        <f t="shared" si="1978"/>
        <v>45915.041666662066</v>
      </c>
      <c r="B1900" s="30">
        <f t="shared" si="2002"/>
        <v>5000</v>
      </c>
      <c r="C1900" s="8">
        <v>25000</v>
      </c>
      <c r="D1900" s="8">
        <v>0</v>
      </c>
      <c r="E1900" s="8">
        <v>700</v>
      </c>
      <c r="F1900" s="8">
        <v>15000</v>
      </c>
      <c r="G1900" s="30">
        <f t="shared" si="2003"/>
        <v>2400</v>
      </c>
      <c r="H1900" s="8">
        <v>25000</v>
      </c>
      <c r="I1900" s="30">
        <f t="shared" si="2004"/>
        <v>5000</v>
      </c>
      <c r="J1900" s="8">
        <v>25000</v>
      </c>
      <c r="K1900" s="30">
        <f t="shared" si="2005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VLOOKUP(VLOOKUP(DATEVALUE(TEXT(A1900,"m/d/yyyy")),FY24_Temp[],5,FALSE)&amp;TEXT(A1900,"-h"),Table6[],4,FALSE)</f>
        <v>2.3764285360063826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VLOOKUP(TEXT(A1900,"yy-mm")&amp;"-"&amp;IF(AND(WEEKDAY(A1900)&gt;1,WEEKDAY(A1900)&lt;7),"Wkd",TEXT(A1900,"Ddd"))&amp;"-"&amp;TEXT(A1900,"hh"),LoadTable[],5,FALSE)*0.92</f>
        <v>237.25788000000003</v>
      </c>
      <c r="U1900" s="104">
        <f>VLOOKUP(TEXT(A1900,"yy-mm")&amp;"-"&amp;IF(AND(WEEKDAY(A1900)&gt;1,WEEKDAY(A1900)&lt;7),"Wkd",TEXT(A1900,"Ddd"))&amp;"-"&amp;TEXT(A1900,"hh"),LoadTable[],6,FALSE)*T1900</f>
        <v>11905.12590264</v>
      </c>
      <c r="V1900">
        <f t="shared" ref="V1900:W1900" si="2022">V1876</f>
        <v>2.6</v>
      </c>
      <c r="W1900">
        <f t="shared" si="2022"/>
        <v>3.2</v>
      </c>
      <c r="X1900" s="9">
        <v>-87.017703216667897</v>
      </c>
    </row>
    <row r="1901" spans="1:24">
      <c r="A1901" s="29">
        <f t="shared" si="1978"/>
        <v>45915.08333332873</v>
      </c>
      <c r="B1901" s="30">
        <f t="shared" si="2002"/>
        <v>5000</v>
      </c>
      <c r="C1901" s="8">
        <v>25000</v>
      </c>
      <c r="D1901" s="8">
        <v>0</v>
      </c>
      <c r="E1901" s="8">
        <v>700</v>
      </c>
      <c r="F1901" s="8">
        <v>15000</v>
      </c>
      <c r="G1901" s="30">
        <f t="shared" si="2003"/>
        <v>2400</v>
      </c>
      <c r="H1901" s="8">
        <v>25000</v>
      </c>
      <c r="I1901" s="30">
        <f t="shared" si="2004"/>
        <v>5000</v>
      </c>
      <c r="J1901" s="8">
        <v>25000</v>
      </c>
      <c r="K1901" s="30">
        <f t="shared" si="2005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VLOOKUP(VLOOKUP(DATEVALUE(TEXT(A1901,"m/d/yyyy")),FY24_Temp[],5,FALSE)&amp;TEXT(A1901,"-h"),Table6[],4,FALSE)</f>
        <v>2.2488571235111783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VLOOKUP(TEXT(A1901,"yy-mm")&amp;"-"&amp;IF(AND(WEEKDAY(A1901)&gt;1,WEEKDAY(A1901)&lt;7),"Wkd",TEXT(A1901,"Ddd"))&amp;"-"&amp;TEXT(A1901,"hh"),LoadTable[],5,FALSE)*0.92</f>
        <v>237.25788000000003</v>
      </c>
      <c r="U1901" s="104">
        <f>VLOOKUP(TEXT(A1901,"yy-mm")&amp;"-"&amp;IF(AND(WEEKDAY(A1901)&gt;1,WEEKDAY(A1901)&lt;7),"Wkd",TEXT(A1901,"Ddd"))&amp;"-"&amp;TEXT(A1901,"hh"),LoadTable[],6,FALSE)*T1901</f>
        <v>11856.013521480001</v>
      </c>
      <c r="V1901">
        <f t="shared" ref="V1901:W1901" si="2023">V1877</f>
        <v>2.8</v>
      </c>
      <c r="W1901">
        <f t="shared" si="2023"/>
        <v>3.2</v>
      </c>
      <c r="X1901" s="9">
        <v>-87.095497766667904</v>
      </c>
    </row>
    <row r="1902" spans="1:24">
      <c r="A1902" s="29">
        <f t="shared" si="1978"/>
        <v>45915.124999995394</v>
      </c>
      <c r="B1902" s="30">
        <f t="shared" si="2002"/>
        <v>5000</v>
      </c>
      <c r="C1902" s="8">
        <v>25000</v>
      </c>
      <c r="D1902" s="8">
        <v>0</v>
      </c>
      <c r="E1902" s="8">
        <v>700</v>
      </c>
      <c r="F1902" s="8">
        <v>15000</v>
      </c>
      <c r="G1902" s="30">
        <f t="shared" si="2003"/>
        <v>2400</v>
      </c>
      <c r="H1902" s="8">
        <v>25000</v>
      </c>
      <c r="I1902" s="30">
        <f t="shared" si="2004"/>
        <v>5000</v>
      </c>
      <c r="J1902" s="8">
        <v>25000</v>
      </c>
      <c r="K1902" s="30">
        <f t="shared" si="2005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VLOOKUP(VLOOKUP(DATEVALUE(TEXT(A1902,"m/d/yyyy")),FY24_Temp[],5,FALSE)&amp;TEXT(A1902,"-h"),Table6[],4,FALSE)</f>
        <v>2.1057142530168806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VLOOKUP(TEXT(A1902,"yy-mm")&amp;"-"&amp;IF(AND(WEEKDAY(A1902)&gt;1,WEEKDAY(A1902)&lt;7),"Wkd",TEXT(A1902,"Ddd"))&amp;"-"&amp;TEXT(A1902,"hh"),LoadTable[],5,FALSE)*0.92</f>
        <v>237.25788000000003</v>
      </c>
      <c r="U1902" s="104">
        <f>VLOOKUP(TEXT(A1902,"yy-mm")&amp;"-"&amp;IF(AND(WEEKDAY(A1902)&gt;1,WEEKDAY(A1902)&lt;7),"Wkd",TEXT(A1902,"Ddd"))&amp;"-"&amp;TEXT(A1902,"hh"),LoadTable[],6,FALSE)*T1902</f>
        <v>11893.025750760002</v>
      </c>
      <c r="V1902">
        <f t="shared" ref="V1902:W1902" si="2024">V1878</f>
        <v>2.7</v>
      </c>
      <c r="W1902">
        <f t="shared" si="2024"/>
        <v>3.2</v>
      </c>
      <c r="X1902" s="9">
        <v>-87.173292316667897</v>
      </c>
    </row>
    <row r="1903" spans="1:24">
      <c r="A1903" s="29">
        <f t="shared" si="1978"/>
        <v>45915.166666662059</v>
      </c>
      <c r="B1903" s="30">
        <f t="shared" si="2002"/>
        <v>5000</v>
      </c>
      <c r="C1903" s="8">
        <v>25000</v>
      </c>
      <c r="D1903" s="8">
        <v>0</v>
      </c>
      <c r="E1903" s="8">
        <v>700</v>
      </c>
      <c r="F1903" s="8">
        <v>15000</v>
      </c>
      <c r="G1903" s="30">
        <f t="shared" si="2003"/>
        <v>2400</v>
      </c>
      <c r="H1903" s="8">
        <v>25000</v>
      </c>
      <c r="I1903" s="30">
        <f t="shared" si="2004"/>
        <v>5000</v>
      </c>
      <c r="J1903" s="8">
        <v>25000</v>
      </c>
      <c r="K1903" s="30">
        <f t="shared" si="2005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VLOOKUP(VLOOKUP(DATEVALUE(TEXT(A1903,"m/d/yyyy")),FY24_Temp[],5,FALSE)&amp;TEXT(A1903,"-h"),Table6[],4,FALSE)</f>
        <v>1.956142851284572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VLOOKUP(TEXT(A1903,"yy-mm")&amp;"-"&amp;IF(AND(WEEKDAY(A1903)&gt;1,WEEKDAY(A1903)&lt;7),"Wkd",TEXT(A1903,"Ddd"))&amp;"-"&amp;TEXT(A1903,"hh"),LoadTable[],5,FALSE)*0.92</f>
        <v>237.25788000000003</v>
      </c>
      <c r="U1903" s="104">
        <f>VLOOKUP(TEXT(A1903,"yy-mm")&amp;"-"&amp;IF(AND(WEEKDAY(A1903)&gt;1,WEEKDAY(A1903)&lt;7),"Wkd",TEXT(A1903,"Ddd"))&amp;"-"&amp;TEXT(A1903,"hh"),LoadTable[],6,FALSE)*T1903</f>
        <v>12081.645765360001</v>
      </c>
      <c r="V1903">
        <f t="shared" ref="V1903:W1903" si="2025">V1879</f>
        <v>3</v>
      </c>
      <c r="W1903">
        <f t="shared" si="2025"/>
        <v>3.1</v>
      </c>
      <c r="X1903" s="9">
        <v>-87.251086866668004</v>
      </c>
    </row>
    <row r="1904" spans="1:24">
      <c r="A1904" s="29">
        <f t="shared" si="1978"/>
        <v>45915.208333328723</v>
      </c>
      <c r="B1904" s="30">
        <f t="shared" si="2002"/>
        <v>5000</v>
      </c>
      <c r="C1904" s="8">
        <v>25000</v>
      </c>
      <c r="D1904" s="8">
        <v>0</v>
      </c>
      <c r="E1904" s="8">
        <v>700</v>
      </c>
      <c r="F1904" s="8">
        <v>15000</v>
      </c>
      <c r="G1904" s="30">
        <f t="shared" si="2003"/>
        <v>2400</v>
      </c>
      <c r="H1904" s="8">
        <v>25000</v>
      </c>
      <c r="I1904" s="30">
        <f t="shared" si="2004"/>
        <v>5000</v>
      </c>
      <c r="J1904" s="8">
        <v>25000</v>
      </c>
      <c r="K1904" s="30">
        <f t="shared" si="2005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VLOOKUP(VLOOKUP(DATEVALUE(TEXT(A1904,"m/d/yyyy")),FY24_Temp[],5,FALSE)&amp;TEXT(A1904,"-h"),Table6[],4,FALSE)</f>
        <v>1.8435714244842529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VLOOKUP(TEXT(A1904,"yy-mm")&amp;"-"&amp;IF(AND(WEEKDAY(A1904)&gt;1,WEEKDAY(A1904)&lt;7),"Wkd",TEXT(A1904,"Ddd"))&amp;"-"&amp;TEXT(A1904,"hh"),LoadTable[],5,FALSE)*0.92</f>
        <v>237.25788000000003</v>
      </c>
      <c r="U1904" s="104">
        <f>VLOOKUP(TEXT(A1904,"yy-mm")&amp;"-"&amp;IF(AND(WEEKDAY(A1904)&gt;1,WEEKDAY(A1904)&lt;7),"Wkd",TEXT(A1904,"Ddd"))&amp;"-"&amp;TEXT(A1904,"hh"),LoadTable[],6,FALSE)*T1904</f>
        <v>12065.037713760001</v>
      </c>
      <c r="V1904">
        <f t="shared" ref="V1904:W1904" si="2026">V1880</f>
        <v>2.9</v>
      </c>
      <c r="W1904">
        <f t="shared" si="2026"/>
        <v>3.1</v>
      </c>
      <c r="X1904" s="9">
        <v>-87.328881416667997</v>
      </c>
    </row>
    <row r="1905" spans="1:24">
      <c r="A1905" s="29">
        <f t="shared" si="1978"/>
        <v>45915.249999995387</v>
      </c>
      <c r="B1905" s="30">
        <f t="shared" si="2002"/>
        <v>8000</v>
      </c>
      <c r="C1905" s="8">
        <v>25000</v>
      </c>
      <c r="D1905" s="8">
        <v>0</v>
      </c>
      <c r="E1905" s="8">
        <v>700</v>
      </c>
      <c r="F1905" s="8">
        <v>15000</v>
      </c>
      <c r="G1905" s="30">
        <f t="shared" si="2003"/>
        <v>2400</v>
      </c>
      <c r="H1905" s="8">
        <v>25000</v>
      </c>
      <c r="I1905" s="30">
        <f t="shared" si="2004"/>
        <v>8000</v>
      </c>
      <c r="J1905" s="8">
        <v>25000</v>
      </c>
      <c r="K1905" s="30">
        <f t="shared" si="2005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VLOOKUP(VLOOKUP(DATEVALUE(TEXT(A1905,"m/d/yyyy")),FY24_Temp[],5,FALSE)&amp;TEXT(A1905,"-h"),Table6[],4,FALSE)</f>
        <v>1.7435714176722936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VLOOKUP(TEXT(A1905,"yy-mm")&amp;"-"&amp;IF(AND(WEEKDAY(A1905)&gt;1,WEEKDAY(A1905)&lt;7),"Wkd",TEXT(A1905,"Ddd"))&amp;"-"&amp;TEXT(A1905,"hh"),LoadTable[],5,FALSE)*0.92</f>
        <v>237.25788000000003</v>
      </c>
      <c r="U1905" s="104">
        <f>VLOOKUP(TEXT(A1905,"yy-mm")&amp;"-"&amp;IF(AND(WEEKDAY(A1905)&gt;1,WEEKDAY(A1905)&lt;7),"Wkd",TEXT(A1905,"Ddd"))&amp;"-"&amp;TEXT(A1905,"hh"),LoadTable[],6,FALSE)*T1905</f>
        <v>18358.065722880005</v>
      </c>
      <c r="V1905">
        <f t="shared" ref="V1905:W1905" si="2027">V1881</f>
        <v>2.5</v>
      </c>
      <c r="W1905">
        <f t="shared" si="2027"/>
        <v>3.1</v>
      </c>
      <c r="X1905" s="9">
        <v>-87.406675966668004</v>
      </c>
    </row>
    <row r="1906" spans="1:24">
      <c r="A1906" s="29">
        <f t="shared" si="1978"/>
        <v>45915.291666662051</v>
      </c>
      <c r="B1906" s="30">
        <f t="shared" si="2002"/>
        <v>8000</v>
      </c>
      <c r="C1906" s="8">
        <v>25000</v>
      </c>
      <c r="D1906" s="8">
        <v>0</v>
      </c>
      <c r="E1906" s="8">
        <v>700</v>
      </c>
      <c r="F1906" s="8">
        <v>15000</v>
      </c>
      <c r="G1906" s="30">
        <f t="shared" si="2003"/>
        <v>2400</v>
      </c>
      <c r="H1906" s="8">
        <v>25000</v>
      </c>
      <c r="I1906" s="30">
        <f t="shared" si="2004"/>
        <v>8000</v>
      </c>
      <c r="J1906" s="8">
        <v>25000</v>
      </c>
      <c r="K1906" s="30">
        <f t="shared" si="2005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VLOOKUP(VLOOKUP(DATEVALUE(TEXT(A1906,"m/d/yyyy")),FY24_Temp[],5,FALSE)&amp;TEXT(A1906,"-h"),Table6[],4,FALSE)</f>
        <v>1.5834285702024187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VLOOKUP(TEXT(A1906,"yy-mm")&amp;"-"&amp;IF(AND(WEEKDAY(A1906)&gt;1,WEEKDAY(A1906)&lt;7),"Wkd",TEXT(A1906,"Ddd"))&amp;"-"&amp;TEXT(A1906,"hh"),LoadTable[],5,FALSE)*0.92</f>
        <v>237.25788000000003</v>
      </c>
      <c r="U1906" s="104">
        <f>VLOOKUP(TEXT(A1906,"yy-mm")&amp;"-"&amp;IF(AND(WEEKDAY(A1906)&gt;1,WEEKDAY(A1906)&lt;7),"Wkd",TEXT(A1906,"Ddd"))&amp;"-"&amp;TEXT(A1906,"hh"),LoadTable[],6,FALSE)*T1906</f>
        <v>16249.08042756</v>
      </c>
      <c r="V1906">
        <f t="shared" ref="V1906:W1906" si="2028">V1882</f>
        <v>2.5</v>
      </c>
      <c r="W1906">
        <f t="shared" si="2028"/>
        <v>3.1</v>
      </c>
      <c r="X1906" s="9">
        <v>-87.484470516667997</v>
      </c>
    </row>
    <row r="1907" spans="1:24">
      <c r="A1907" s="29">
        <f t="shared" si="1978"/>
        <v>45915.333333328716</v>
      </c>
      <c r="B1907" s="30">
        <f t="shared" si="2002"/>
        <v>8000</v>
      </c>
      <c r="C1907" s="8">
        <v>25000</v>
      </c>
      <c r="D1907" s="8">
        <v>0</v>
      </c>
      <c r="E1907" s="8">
        <v>700</v>
      </c>
      <c r="F1907" s="8">
        <v>15000</v>
      </c>
      <c r="G1907" s="30">
        <f t="shared" si="2003"/>
        <v>2400</v>
      </c>
      <c r="H1907" s="8">
        <v>25000</v>
      </c>
      <c r="I1907" s="30">
        <f t="shared" si="2004"/>
        <v>8000</v>
      </c>
      <c r="J1907" s="8">
        <v>25000</v>
      </c>
      <c r="K1907" s="30">
        <f t="shared" si="2005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VLOOKUP(VLOOKUP(DATEVALUE(TEXT(A1907,"m/d/yyyy")),FY24_Temp[],5,FALSE)&amp;TEXT(A1907,"-h"),Table6[],4,FALSE)</f>
        <v>1.5194285767418998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VLOOKUP(TEXT(A1907,"yy-mm")&amp;"-"&amp;IF(AND(WEEKDAY(A1907)&gt;1,WEEKDAY(A1907)&lt;7),"Wkd",TEXT(A1907,"Ddd"))&amp;"-"&amp;TEXT(A1907,"hh"),LoadTable[],5,FALSE)*0.92</f>
        <v>237.25788000000003</v>
      </c>
      <c r="U1907" s="104">
        <f>VLOOKUP(TEXT(A1907,"yy-mm")&amp;"-"&amp;IF(AND(WEEKDAY(A1907)&gt;1,WEEKDAY(A1907)&lt;7),"Wkd",TEXT(A1907,"Ddd"))&amp;"-"&amp;TEXT(A1907,"hh"),LoadTable[],6,FALSE)*T1907</f>
        <v>13068.164030400001</v>
      </c>
      <c r="V1907">
        <f t="shared" ref="V1907:W1907" si="2029">V1883</f>
        <v>3.2</v>
      </c>
      <c r="W1907">
        <f t="shared" si="2029"/>
        <v>3</v>
      </c>
      <c r="X1907" s="9">
        <v>-87.562265066668004</v>
      </c>
    </row>
    <row r="1908" spans="1:24">
      <c r="A1908" s="29">
        <f t="shared" si="1978"/>
        <v>45915.37499999538</v>
      </c>
      <c r="B1908" s="30">
        <f t="shared" si="2002"/>
        <v>8000</v>
      </c>
      <c r="C1908" s="8">
        <v>25000</v>
      </c>
      <c r="D1908" s="8">
        <v>0</v>
      </c>
      <c r="E1908" s="8">
        <v>700</v>
      </c>
      <c r="F1908" s="8">
        <v>15000</v>
      </c>
      <c r="G1908" s="30">
        <f t="shared" si="2003"/>
        <v>2400</v>
      </c>
      <c r="H1908" s="8">
        <v>25000</v>
      </c>
      <c r="I1908" s="30">
        <f t="shared" si="2004"/>
        <v>8000</v>
      </c>
      <c r="J1908" s="8">
        <v>25000</v>
      </c>
      <c r="K1908" s="30">
        <f t="shared" si="2005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VLOOKUP(VLOOKUP(DATEVALUE(TEXT(A1908,"m/d/yyyy")),FY24_Temp[],5,FALSE)&amp;TEXT(A1908,"-h"),Table6[],4,FALSE)</f>
        <v>1.3778571401323592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VLOOKUP(TEXT(A1908,"yy-mm")&amp;"-"&amp;IF(AND(WEEKDAY(A1908)&gt;1,WEEKDAY(A1908)&lt;7),"Wkd",TEXT(A1908,"Ddd"))&amp;"-"&amp;TEXT(A1908,"hh"),LoadTable[],5,FALSE)*0.92</f>
        <v>237.25788000000003</v>
      </c>
      <c r="U1908" s="104">
        <f>VLOOKUP(TEXT(A1908,"yy-mm")&amp;"-"&amp;IF(AND(WEEKDAY(A1908)&gt;1,WEEKDAY(A1908)&lt;7),"Wkd",TEXT(A1908,"Ddd"))&amp;"-"&amp;TEXT(A1908,"hh"),LoadTable[],6,FALSE)*T1908</f>
        <v>11518.395558240001</v>
      </c>
      <c r="V1908">
        <f t="shared" ref="V1908:W1908" si="2030">V1884</f>
        <v>2.9</v>
      </c>
      <c r="W1908">
        <f t="shared" si="2030"/>
        <v>3</v>
      </c>
      <c r="X1908" s="9">
        <v>-87.640059616667997</v>
      </c>
    </row>
    <row r="1909" spans="1:24">
      <c r="A1909" s="29">
        <f t="shared" si="1978"/>
        <v>45915.416666662044</v>
      </c>
      <c r="B1909" s="30">
        <f t="shared" si="2002"/>
        <v>8000</v>
      </c>
      <c r="C1909" s="8">
        <v>25000</v>
      </c>
      <c r="D1909" s="8">
        <v>0</v>
      </c>
      <c r="E1909" s="8">
        <v>700</v>
      </c>
      <c r="F1909" s="8">
        <v>15000</v>
      </c>
      <c r="G1909" s="30">
        <f t="shared" si="2003"/>
        <v>2400</v>
      </c>
      <c r="H1909" s="8">
        <v>25000</v>
      </c>
      <c r="I1909" s="30">
        <f t="shared" si="2004"/>
        <v>8000</v>
      </c>
      <c r="J1909" s="8">
        <v>25000</v>
      </c>
      <c r="K1909" s="30">
        <f t="shared" si="2005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VLOOKUP(VLOOKUP(DATEVALUE(TEXT(A1909,"m/d/yyyy")),FY24_Temp[],5,FALSE)&amp;TEXT(A1909,"-h"),Table6[],4,FALSE)</f>
        <v>1.2395714351109095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VLOOKUP(TEXT(A1909,"yy-mm")&amp;"-"&amp;IF(AND(WEEKDAY(A1909)&gt;1,WEEKDAY(A1909)&lt;7),"Wkd",TEXT(A1909,"Ddd"))&amp;"-"&amp;TEXT(A1909,"hh"),LoadTable[],5,FALSE)*0.92</f>
        <v>237.25788000000003</v>
      </c>
      <c r="U1909" s="104">
        <f>VLOOKUP(TEXT(A1909,"yy-mm")&amp;"-"&amp;IF(AND(WEEKDAY(A1909)&gt;1,WEEKDAY(A1909)&lt;7),"Wkd",TEXT(A1909,"Ddd"))&amp;"-"&amp;TEXT(A1909,"hh"),LoadTable[],6,FALSE)*T1909</f>
        <v>10982.667265200002</v>
      </c>
      <c r="V1909">
        <f t="shared" ref="V1909:W1909" si="2031">V1885</f>
        <v>2.9</v>
      </c>
      <c r="W1909">
        <f t="shared" si="2031"/>
        <v>3</v>
      </c>
      <c r="X1909" s="9">
        <v>-87.717854166668005</v>
      </c>
    </row>
    <row r="1910" spans="1:24">
      <c r="A1910" s="29">
        <f t="shared" si="1978"/>
        <v>45915.458333328708</v>
      </c>
      <c r="B1910" s="30">
        <f t="shared" si="2002"/>
        <v>8000</v>
      </c>
      <c r="C1910" s="8">
        <v>25000</v>
      </c>
      <c r="D1910" s="8">
        <v>0</v>
      </c>
      <c r="E1910" s="8">
        <v>700</v>
      </c>
      <c r="F1910" s="8">
        <v>15000</v>
      </c>
      <c r="G1910" s="30">
        <f t="shared" si="2003"/>
        <v>2400</v>
      </c>
      <c r="H1910" s="8">
        <v>25000</v>
      </c>
      <c r="I1910" s="30">
        <f t="shared" si="2004"/>
        <v>8000</v>
      </c>
      <c r="J1910" s="8">
        <v>25000</v>
      </c>
      <c r="K1910" s="30">
        <f t="shared" si="2005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VLOOKUP(VLOOKUP(DATEVALUE(TEXT(A1910,"m/d/yyyy")),FY24_Temp[],5,FALSE)&amp;TEXT(A1910,"-h"),Table6[],4,FALSE)</f>
        <v>1.1261428764888219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VLOOKUP(TEXT(A1910,"yy-mm")&amp;"-"&amp;IF(AND(WEEKDAY(A1910)&gt;1,WEEKDAY(A1910)&lt;7),"Wkd",TEXT(A1910,"Ddd"))&amp;"-"&amp;TEXT(A1910,"hh"),LoadTable[],5,FALSE)*0.92</f>
        <v>237.25788000000003</v>
      </c>
      <c r="U1910" s="104">
        <f>VLOOKUP(TEXT(A1910,"yy-mm")&amp;"-"&amp;IF(AND(WEEKDAY(A1910)&gt;1,WEEKDAY(A1910)&lt;7),"Wkd",TEXT(A1910,"Ddd"))&amp;"-"&amp;TEXT(A1910,"hh"),LoadTable[],6,FALSE)*T1910</f>
        <v>10974.125981520001</v>
      </c>
      <c r="V1910">
        <f t="shared" ref="V1910:W1910" si="2032">V1886</f>
        <v>3.4</v>
      </c>
      <c r="W1910">
        <f t="shared" si="2032"/>
        <v>3</v>
      </c>
      <c r="X1910" s="9">
        <v>-87.795648716667998</v>
      </c>
    </row>
    <row r="1911" spans="1:24">
      <c r="A1911" s="29">
        <f t="shared" si="1978"/>
        <v>45915.499999995372</v>
      </c>
      <c r="B1911" s="30">
        <f t="shared" si="2002"/>
        <v>8000</v>
      </c>
      <c r="C1911" s="8">
        <v>25000</v>
      </c>
      <c r="D1911" s="8">
        <v>0</v>
      </c>
      <c r="E1911" s="8">
        <v>700</v>
      </c>
      <c r="F1911" s="8">
        <v>15000</v>
      </c>
      <c r="G1911" s="30">
        <f t="shared" si="2003"/>
        <v>2400</v>
      </c>
      <c r="H1911" s="8">
        <v>25000</v>
      </c>
      <c r="I1911" s="30">
        <f t="shared" si="2004"/>
        <v>8000</v>
      </c>
      <c r="J1911" s="8">
        <v>25000</v>
      </c>
      <c r="K1911" s="30">
        <f t="shared" si="2005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VLOOKUP(VLOOKUP(DATEVALUE(TEXT(A1911,"m/d/yyyy")),FY24_Temp[],5,FALSE)&amp;TEXT(A1911,"-h"),Table6[],4,FALSE)</f>
        <v>0.97528570038931706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VLOOKUP(TEXT(A1911,"yy-mm")&amp;"-"&amp;IF(AND(WEEKDAY(A1911)&gt;1,WEEKDAY(A1911)&lt;7),"Wkd",TEXT(A1911,"Ddd"))&amp;"-"&amp;TEXT(A1911,"hh"),LoadTable[],5,FALSE)*0.92</f>
        <v>237.25788000000003</v>
      </c>
      <c r="U1911" s="104">
        <f>VLOOKUP(TEXT(A1911,"yy-mm")&amp;"-"&amp;IF(AND(WEEKDAY(A1911)&gt;1,WEEKDAY(A1911)&lt;7),"Wkd",TEXT(A1911,"Ddd"))&amp;"-"&amp;TEXT(A1911,"hh"),LoadTable[],6,FALSE)*T1911</f>
        <v>10962.974861160001</v>
      </c>
      <c r="V1911">
        <f t="shared" ref="V1911:W1911" si="2033">V1887</f>
        <v>3.1</v>
      </c>
      <c r="W1911">
        <f t="shared" si="2033"/>
        <v>2.9</v>
      </c>
      <c r="X1911" s="9">
        <v>-87.873443266668005</v>
      </c>
    </row>
    <row r="1912" spans="1:24">
      <c r="A1912" s="29">
        <f t="shared" si="1978"/>
        <v>45915.541666662037</v>
      </c>
      <c r="B1912" s="30">
        <f t="shared" si="2002"/>
        <v>8000</v>
      </c>
      <c r="C1912" s="8">
        <v>25000</v>
      </c>
      <c r="D1912" s="8">
        <v>0</v>
      </c>
      <c r="E1912" s="8">
        <v>700</v>
      </c>
      <c r="F1912" s="8">
        <v>15000</v>
      </c>
      <c r="G1912" s="30">
        <f t="shared" si="2003"/>
        <v>2400</v>
      </c>
      <c r="H1912" s="8">
        <v>25000</v>
      </c>
      <c r="I1912" s="30">
        <f t="shared" si="2004"/>
        <v>8000</v>
      </c>
      <c r="J1912" s="8">
        <v>25000</v>
      </c>
      <c r="K1912" s="30">
        <f t="shared" si="2005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VLOOKUP(VLOOKUP(DATEVALUE(TEXT(A1912,"m/d/yyyy")),FY24_Temp[],5,FALSE)&amp;TEXT(A1912,"-h"),Table6[],4,FALSE)</f>
        <v>0.83557144233158653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VLOOKUP(TEXT(A1912,"yy-mm")&amp;"-"&amp;IF(AND(WEEKDAY(A1912)&gt;1,WEEKDAY(A1912)&lt;7),"Wkd",TEXT(A1912,"Ddd"))&amp;"-"&amp;TEXT(A1912,"hh"),LoadTable[],5,FALSE)*0.92</f>
        <v>237.25788000000003</v>
      </c>
      <c r="U1912" s="104">
        <f>VLOOKUP(TEXT(A1912,"yy-mm")&amp;"-"&amp;IF(AND(WEEKDAY(A1912)&gt;1,WEEKDAY(A1912)&lt;7),"Wkd",TEXT(A1912,"Ddd"))&amp;"-"&amp;TEXT(A1912,"hh"),LoadTable[],6,FALSE)*T1912</f>
        <v>10978.39662336</v>
      </c>
      <c r="V1912">
        <f t="shared" ref="V1912:W1912" si="2034">V1888</f>
        <v>3.2</v>
      </c>
      <c r="W1912">
        <f t="shared" si="2034"/>
        <v>2.9</v>
      </c>
      <c r="X1912" s="9">
        <v>-87.951237816667998</v>
      </c>
    </row>
    <row r="1913" spans="1:24">
      <c r="A1913" s="29">
        <f t="shared" si="1978"/>
        <v>45915.583333328701</v>
      </c>
      <c r="B1913" s="30">
        <f t="shared" si="2002"/>
        <v>8000</v>
      </c>
      <c r="C1913" s="8">
        <v>25000</v>
      </c>
      <c r="D1913" s="8">
        <v>0</v>
      </c>
      <c r="E1913" s="8">
        <v>700</v>
      </c>
      <c r="F1913" s="8">
        <v>15000</v>
      </c>
      <c r="G1913" s="30">
        <f t="shared" si="2003"/>
        <v>2400</v>
      </c>
      <c r="H1913" s="8">
        <v>25000</v>
      </c>
      <c r="I1913" s="30">
        <f t="shared" si="2004"/>
        <v>8000</v>
      </c>
      <c r="J1913" s="8">
        <v>25000</v>
      </c>
      <c r="K1913" s="30">
        <f t="shared" si="2005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VLOOKUP(VLOOKUP(DATEVALUE(TEXT(A1913,"m/d/yyyy")),FY24_Temp[],5,FALSE)&amp;TEXT(A1913,"-h"),Table6[],4,FALSE)</f>
        <v>0.71842856918062481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VLOOKUP(TEXT(A1913,"yy-mm")&amp;"-"&amp;IF(AND(WEEKDAY(A1913)&gt;1,WEEKDAY(A1913)&lt;7),"Wkd",TEXT(A1913,"Ddd"))&amp;"-"&amp;TEXT(A1913,"hh"),LoadTable[],5,FALSE)*0.92</f>
        <v>269.75136000000003</v>
      </c>
      <c r="U1913" s="104">
        <f>VLOOKUP(TEXT(A1913,"yy-mm")&amp;"-"&amp;IF(AND(WEEKDAY(A1913)&gt;1,WEEKDAY(A1913)&lt;7),"Wkd",TEXT(A1913,"Ddd"))&amp;"-"&amp;TEXT(A1913,"hh"),LoadTable[],6,FALSE)*T1913</f>
        <v>12503.245287360001</v>
      </c>
      <c r="V1913">
        <f t="shared" ref="V1913:W1913" si="2035">V1889</f>
        <v>3.5</v>
      </c>
      <c r="W1913">
        <f t="shared" si="2035"/>
        <v>2.9</v>
      </c>
      <c r="X1913" s="9">
        <v>-88.029032366668005</v>
      </c>
    </row>
    <row r="1914" spans="1:24">
      <c r="A1914" s="29">
        <f t="shared" si="1978"/>
        <v>45915.624999995365</v>
      </c>
      <c r="B1914" s="30">
        <f t="shared" si="2002"/>
        <v>8000</v>
      </c>
      <c r="C1914" s="8">
        <v>25000</v>
      </c>
      <c r="D1914" s="8">
        <v>0</v>
      </c>
      <c r="E1914" s="8">
        <v>700</v>
      </c>
      <c r="F1914" s="8">
        <v>15000</v>
      </c>
      <c r="G1914" s="30">
        <f t="shared" si="2003"/>
        <v>2400</v>
      </c>
      <c r="H1914" s="8">
        <v>25000</v>
      </c>
      <c r="I1914" s="30">
        <f t="shared" si="2004"/>
        <v>8000</v>
      </c>
      <c r="J1914" s="8">
        <v>25000</v>
      </c>
      <c r="K1914" s="30">
        <f t="shared" si="2005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VLOOKUP(VLOOKUP(DATEVALUE(TEXT(A1914,"m/d/yyyy")),FY24_Temp[],5,FALSE)&amp;TEXT(A1914,"-h"),Table6[],4,FALSE)</f>
        <v>0.71542857374463764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VLOOKUP(TEXT(A1914,"yy-mm")&amp;"-"&amp;IF(AND(WEEKDAY(A1914)&gt;1,WEEKDAY(A1914)&lt;7),"Wkd",TEXT(A1914,"Ddd"))&amp;"-"&amp;TEXT(A1914,"hh"),LoadTable[],5,FALSE)*0.92</f>
        <v>388.38076000000001</v>
      </c>
      <c r="U1914" s="104">
        <f>VLOOKUP(TEXT(A1914,"yy-mm")&amp;"-"&amp;IF(AND(WEEKDAY(A1914)&gt;1,WEEKDAY(A1914)&lt;7),"Wkd",TEXT(A1914,"Ddd"))&amp;"-"&amp;TEXT(A1914,"hh"),LoadTable[],6,FALSE)*T1914</f>
        <v>19705.663000880002</v>
      </c>
      <c r="V1914">
        <f t="shared" ref="V1914:W1914" si="2036">V1890</f>
        <v>3.2</v>
      </c>
      <c r="W1914">
        <f t="shared" si="2036"/>
        <v>2.9</v>
      </c>
      <c r="X1914" s="9">
        <v>-88.106826916667998</v>
      </c>
    </row>
    <row r="1915" spans="1:24">
      <c r="A1915" s="29">
        <f t="shared" si="1978"/>
        <v>45915.666666662029</v>
      </c>
      <c r="B1915" s="30">
        <f t="shared" si="2002"/>
        <v>8000</v>
      </c>
      <c r="C1915" s="8">
        <v>25000</v>
      </c>
      <c r="D1915" s="8">
        <v>0</v>
      </c>
      <c r="E1915" s="8">
        <v>700</v>
      </c>
      <c r="F1915" s="8">
        <v>15000</v>
      </c>
      <c r="G1915" s="30">
        <f t="shared" si="2003"/>
        <v>2400</v>
      </c>
      <c r="H1915" s="8">
        <v>25000</v>
      </c>
      <c r="I1915" s="30">
        <f t="shared" si="2004"/>
        <v>8000</v>
      </c>
      <c r="J1915" s="8">
        <v>25000</v>
      </c>
      <c r="K1915" s="30">
        <f t="shared" si="2005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VLOOKUP(VLOOKUP(DATEVALUE(TEXT(A1915,"m/d/yyyy")),FY24_Temp[],5,FALSE)&amp;TEXT(A1915,"-h"),Table6[],4,FALSE)</f>
        <v>1.0005714382444109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VLOOKUP(TEXT(A1915,"yy-mm")&amp;"-"&amp;IF(AND(WEEKDAY(A1915)&gt;1,WEEKDAY(A1915)&lt;7),"Wkd",TEXT(A1915,"Ddd"))&amp;"-"&amp;TEXT(A1915,"hh"),LoadTable[],5,FALSE)*0.92</f>
        <v>388.38076000000001</v>
      </c>
      <c r="U1915" s="104">
        <f>VLOOKUP(TEXT(A1915,"yy-mm")&amp;"-"&amp;IF(AND(WEEKDAY(A1915)&gt;1,WEEKDAY(A1915)&lt;7),"Wkd",TEXT(A1915,"Ddd"))&amp;"-"&amp;TEXT(A1915,"hh"),LoadTable[],6,FALSE)*T1915</f>
        <v>23675.6911296</v>
      </c>
      <c r="V1915">
        <f t="shared" ref="V1915:W1915" si="2037">V1891</f>
        <v>3.5</v>
      </c>
      <c r="W1915">
        <f t="shared" si="2037"/>
        <v>3</v>
      </c>
      <c r="X1915" s="9">
        <v>-88.184621466668005</v>
      </c>
    </row>
    <row r="1916" spans="1:24">
      <c r="A1916" s="29">
        <f t="shared" si="1978"/>
        <v>45915.708333328694</v>
      </c>
      <c r="B1916" s="30">
        <f t="shared" si="2002"/>
        <v>8000</v>
      </c>
      <c r="C1916" s="8">
        <v>25000</v>
      </c>
      <c r="D1916" s="8">
        <v>0</v>
      </c>
      <c r="E1916" s="8">
        <v>700</v>
      </c>
      <c r="F1916" s="8">
        <v>15000</v>
      </c>
      <c r="G1916" s="30">
        <f t="shared" si="2003"/>
        <v>2400</v>
      </c>
      <c r="H1916" s="8">
        <v>25000</v>
      </c>
      <c r="I1916" s="30">
        <f t="shared" si="2004"/>
        <v>8000</v>
      </c>
      <c r="J1916" s="8">
        <v>25000</v>
      </c>
      <c r="K1916" s="30">
        <f t="shared" si="2005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VLOOKUP(VLOOKUP(DATEVALUE(TEXT(A1916,"m/d/yyyy")),FY24_Temp[],5,FALSE)&amp;TEXT(A1916,"-h"),Table6[],4,FALSE)</f>
        <v>1.4091428688594274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VLOOKUP(TEXT(A1916,"yy-mm")&amp;"-"&amp;IF(AND(WEEKDAY(A1916)&gt;1,WEEKDAY(A1916)&lt;7),"Wkd",TEXT(A1916,"Ddd"))&amp;"-"&amp;TEXT(A1916,"hh"),LoadTable[],5,FALSE)*0.92</f>
        <v>388.38076000000001</v>
      </c>
      <c r="U1916" s="104">
        <f>VLOOKUP(TEXT(A1916,"yy-mm")&amp;"-"&amp;IF(AND(WEEKDAY(A1916)&gt;1,WEEKDAY(A1916)&lt;7),"Wkd",TEXT(A1916,"Ddd"))&amp;"-"&amp;TEXT(A1916,"hh"),LoadTable[],6,FALSE)*T1916</f>
        <v>31454.180990880002</v>
      </c>
      <c r="V1916">
        <f t="shared" ref="V1916:W1916" si="2038">V1892</f>
        <v>3.6</v>
      </c>
      <c r="W1916">
        <f t="shared" si="2038"/>
        <v>3</v>
      </c>
      <c r="X1916" s="9">
        <v>-88.262416016667999</v>
      </c>
    </row>
    <row r="1917" spans="1:24">
      <c r="A1917" s="29">
        <f t="shared" si="1978"/>
        <v>45915.749999995358</v>
      </c>
      <c r="B1917" s="30">
        <f t="shared" si="2002"/>
        <v>5000</v>
      </c>
      <c r="C1917" s="8">
        <v>25000</v>
      </c>
      <c r="D1917" s="8">
        <v>0</v>
      </c>
      <c r="E1917" s="8">
        <v>700</v>
      </c>
      <c r="F1917" s="8">
        <v>15000</v>
      </c>
      <c r="G1917" s="30">
        <f t="shared" si="2003"/>
        <v>2400</v>
      </c>
      <c r="H1917" s="8">
        <v>25000</v>
      </c>
      <c r="I1917" s="30">
        <f t="shared" si="2004"/>
        <v>5000</v>
      </c>
      <c r="J1917" s="8">
        <v>25000</v>
      </c>
      <c r="K1917" s="30">
        <f t="shared" si="2005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VLOOKUP(VLOOKUP(DATEVALUE(TEXT(A1917,"m/d/yyyy")),FY24_Temp[],5,FALSE)&amp;TEXT(A1917,"-h"),Table6[],4,FALSE)</f>
        <v>1.9017142908913749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VLOOKUP(TEXT(A1917,"yy-mm")&amp;"-"&amp;IF(AND(WEEKDAY(A1917)&gt;1,WEEKDAY(A1917)&lt;7),"Wkd",TEXT(A1917,"Ddd"))&amp;"-"&amp;TEXT(A1917,"hh"),LoadTable[],5,FALSE)*0.92</f>
        <v>388.38076000000001</v>
      </c>
      <c r="U1917" s="104">
        <f>VLOOKUP(TEXT(A1917,"yy-mm")&amp;"-"&amp;IF(AND(WEEKDAY(A1917)&gt;1,WEEKDAY(A1917)&lt;7),"Wkd",TEXT(A1917,"Ddd"))&amp;"-"&amp;TEXT(A1917,"hh"),LoadTable[],6,FALSE)*T1917</f>
        <v>38316.869020080005</v>
      </c>
      <c r="V1917">
        <f t="shared" ref="V1917:W1917" si="2039">V1893</f>
        <v>2.9</v>
      </c>
      <c r="W1917">
        <f t="shared" si="2039"/>
        <v>3</v>
      </c>
      <c r="X1917" s="9">
        <v>-88.340210566668105</v>
      </c>
    </row>
    <row r="1918" spans="1:24">
      <c r="A1918" s="29">
        <f t="shared" si="1978"/>
        <v>45915.791666662022</v>
      </c>
      <c r="B1918" s="30">
        <f t="shared" si="2002"/>
        <v>5000</v>
      </c>
      <c r="C1918" s="8">
        <v>25000</v>
      </c>
      <c r="D1918" s="8">
        <v>0</v>
      </c>
      <c r="E1918" s="8">
        <v>700</v>
      </c>
      <c r="F1918" s="8">
        <v>15000</v>
      </c>
      <c r="G1918" s="30">
        <f t="shared" si="2003"/>
        <v>2400</v>
      </c>
      <c r="H1918" s="8">
        <v>25000</v>
      </c>
      <c r="I1918" s="30">
        <f t="shared" si="2004"/>
        <v>5000</v>
      </c>
      <c r="J1918" s="8">
        <v>25000</v>
      </c>
      <c r="K1918" s="30">
        <f t="shared" si="2005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VLOOKUP(VLOOKUP(DATEVALUE(TEXT(A1918,"m/d/yyyy")),FY24_Temp[],5,FALSE)&amp;TEXT(A1918,"-h"),Table6[],4,FALSE)</f>
        <v>2.2652856963021413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VLOOKUP(TEXT(A1918,"yy-mm")&amp;"-"&amp;IF(AND(WEEKDAY(A1918)&gt;1,WEEKDAY(A1918)&lt;7),"Wkd",TEXT(A1918,"Ddd"))&amp;"-"&amp;TEXT(A1918,"hh"),LoadTable[],5,FALSE)*0.92</f>
        <v>388.38076000000001</v>
      </c>
      <c r="U1918" s="104">
        <f>VLOOKUP(TEXT(A1918,"yy-mm")&amp;"-"&amp;IF(AND(WEEKDAY(A1918)&gt;1,WEEKDAY(A1918)&lt;7),"Wkd",TEXT(A1918,"Ddd"))&amp;"-"&amp;TEXT(A1918,"hh"),LoadTable[],6,FALSE)*T1918</f>
        <v>41132.241149319998</v>
      </c>
      <c r="V1918">
        <f t="shared" ref="V1918:W1918" si="2040">V1894</f>
        <v>3</v>
      </c>
      <c r="W1918">
        <f t="shared" si="2040"/>
        <v>3</v>
      </c>
      <c r="X1918" s="9">
        <v>-88.418005116668098</v>
      </c>
    </row>
    <row r="1919" spans="1:24">
      <c r="A1919" s="29">
        <f t="shared" si="1978"/>
        <v>45915.833333328686</v>
      </c>
      <c r="B1919" s="30">
        <f t="shared" si="2002"/>
        <v>5000</v>
      </c>
      <c r="C1919" s="8">
        <v>25000</v>
      </c>
      <c r="D1919" s="8">
        <v>0</v>
      </c>
      <c r="E1919" s="8">
        <v>700</v>
      </c>
      <c r="F1919" s="8">
        <v>15000</v>
      </c>
      <c r="G1919" s="30">
        <f t="shared" si="2003"/>
        <v>2400</v>
      </c>
      <c r="H1919" s="8">
        <v>25000</v>
      </c>
      <c r="I1919" s="30">
        <f t="shared" si="2004"/>
        <v>5000</v>
      </c>
      <c r="J1919" s="8">
        <v>25000</v>
      </c>
      <c r="K1919" s="30">
        <f t="shared" si="2005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VLOOKUP(VLOOKUP(DATEVALUE(TEXT(A1919,"m/d/yyyy")),FY24_Temp[],5,FALSE)&amp;TEXT(A1919,"-h"),Table6[],4,FALSE)</f>
        <v>2.4488571711948941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VLOOKUP(TEXT(A1919,"yy-mm")&amp;"-"&amp;IF(AND(WEEKDAY(A1919)&gt;1,WEEKDAY(A1919)&lt;7),"Wkd",TEXT(A1919,"Ddd"))&amp;"-"&amp;TEXT(A1919,"hh"),LoadTable[],5,FALSE)*0.92</f>
        <v>388.38076000000001</v>
      </c>
      <c r="U1919" s="104">
        <f>VLOOKUP(TEXT(A1919,"yy-mm")&amp;"-"&amp;IF(AND(WEEKDAY(A1919)&gt;1,WEEKDAY(A1919)&lt;7),"Wkd",TEXT(A1919,"Ddd"))&amp;"-"&amp;TEXT(A1919,"hh"),LoadTable[],6,FALSE)*T1919</f>
        <v>36274.762984000001</v>
      </c>
      <c r="V1919">
        <f t="shared" ref="V1919:W1919" si="2041">V1895</f>
        <v>2.8</v>
      </c>
      <c r="W1919">
        <f t="shared" si="2041"/>
        <v>3.1</v>
      </c>
      <c r="X1919" s="9">
        <v>-88.495799666668105</v>
      </c>
    </row>
    <row r="1920" spans="1:24">
      <c r="A1920" s="29">
        <f t="shared" si="1978"/>
        <v>45915.874999995351</v>
      </c>
      <c r="B1920" s="30">
        <f t="shared" si="2002"/>
        <v>5000</v>
      </c>
      <c r="C1920" s="8">
        <v>25000</v>
      </c>
      <c r="D1920" s="8">
        <v>0</v>
      </c>
      <c r="E1920" s="8">
        <v>700</v>
      </c>
      <c r="F1920" s="8">
        <v>15000</v>
      </c>
      <c r="G1920" s="30">
        <f t="shared" si="2003"/>
        <v>2400</v>
      </c>
      <c r="H1920" s="8">
        <v>25000</v>
      </c>
      <c r="I1920" s="30">
        <f t="shared" si="2004"/>
        <v>5000</v>
      </c>
      <c r="J1920" s="8">
        <v>25000</v>
      </c>
      <c r="K1920" s="30">
        <f t="shared" si="2005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VLOOKUP(VLOOKUP(DATEVALUE(TEXT(A1920,"m/d/yyyy")),FY24_Temp[],5,FALSE)&amp;TEXT(A1920,"-h"),Table6[],4,FALSE)</f>
        <v>2.5055713994162425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VLOOKUP(TEXT(A1920,"yy-mm")&amp;"-"&amp;IF(AND(WEEKDAY(A1920)&gt;1,WEEKDAY(A1920)&lt;7),"Wkd",TEXT(A1920,"Ddd"))&amp;"-"&amp;TEXT(A1920,"hh"),LoadTable[],5,FALSE)*0.92</f>
        <v>373.79416000000003</v>
      </c>
      <c r="U1920" s="104">
        <f>VLOOKUP(TEXT(A1920,"yy-mm")&amp;"-"&amp;IF(AND(WEEKDAY(A1920)&gt;1,WEEKDAY(A1920)&lt;7),"Wkd",TEXT(A1920,"Ddd"))&amp;"-"&amp;TEXT(A1920,"hh"),LoadTable[],6,FALSE)*T1920</f>
        <v>31749.328362080003</v>
      </c>
      <c r="V1920">
        <f t="shared" ref="V1920:W1920" si="2042">V1896</f>
        <v>3.5</v>
      </c>
      <c r="W1920">
        <f t="shared" si="2042"/>
        <v>3.1</v>
      </c>
      <c r="X1920" s="9">
        <v>-88.573594216668099</v>
      </c>
    </row>
    <row r="1921" spans="1:24">
      <c r="A1921" s="29">
        <f t="shared" si="1978"/>
        <v>45915.916666662015</v>
      </c>
      <c r="B1921" s="30">
        <f t="shared" si="2002"/>
        <v>5000</v>
      </c>
      <c r="C1921" s="8">
        <v>25000</v>
      </c>
      <c r="D1921" s="8">
        <v>0</v>
      </c>
      <c r="E1921" s="8">
        <v>700</v>
      </c>
      <c r="F1921" s="8">
        <v>15000</v>
      </c>
      <c r="G1921" s="30">
        <f t="shared" si="2003"/>
        <v>2400</v>
      </c>
      <c r="H1921" s="8">
        <v>25000</v>
      </c>
      <c r="I1921" s="30">
        <f t="shared" si="2004"/>
        <v>5000</v>
      </c>
      <c r="J1921" s="8">
        <v>25000</v>
      </c>
      <c r="K1921" s="30">
        <f t="shared" si="2005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VLOOKUP(VLOOKUP(DATEVALUE(TEXT(A1921,"m/d/yyyy")),FY24_Temp[],5,FALSE)&amp;TEXT(A1921,"-h"),Table6[],4,FALSE)</f>
        <v>2.4671428544180736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VLOOKUP(TEXT(A1921,"yy-mm")&amp;"-"&amp;IF(AND(WEEKDAY(A1921)&gt;1,WEEKDAY(A1921)&lt;7),"Wkd",TEXT(A1921,"Ddd"))&amp;"-"&amp;TEXT(A1921,"hh"),LoadTable[],5,FALSE)*0.92</f>
        <v>299.65044</v>
      </c>
      <c r="U1921" s="104">
        <f>VLOOKUP(TEXT(A1921,"yy-mm")&amp;"-"&amp;IF(AND(WEEKDAY(A1921)&gt;1,WEEKDAY(A1921)&lt;7),"Wkd",TEXT(A1921,"Ddd"))&amp;"-"&amp;TEXT(A1921,"hh"),LoadTable[],6,FALSE)*T1921</f>
        <v>15023.87376072</v>
      </c>
      <c r="V1921">
        <f t="shared" ref="V1921:W1921" si="2043">V1897</f>
        <v>2.9</v>
      </c>
      <c r="W1921">
        <f t="shared" si="2043"/>
        <v>3.1</v>
      </c>
      <c r="X1921" s="9">
        <v>-88.651388766668106</v>
      </c>
    </row>
    <row r="1922" spans="1:24">
      <c r="A1922" s="29">
        <f t="shared" si="1978"/>
        <v>45915.958333328679</v>
      </c>
      <c r="B1922" s="30">
        <f t="shared" si="2002"/>
        <v>5000</v>
      </c>
      <c r="C1922" s="8">
        <v>25000</v>
      </c>
      <c r="D1922" s="8">
        <v>0</v>
      </c>
      <c r="E1922" s="8">
        <v>700</v>
      </c>
      <c r="F1922" s="8">
        <v>15000</v>
      </c>
      <c r="G1922" s="30">
        <f t="shared" si="2003"/>
        <v>2400</v>
      </c>
      <c r="H1922" s="8">
        <v>25000</v>
      </c>
      <c r="I1922" s="30">
        <f t="shared" si="2004"/>
        <v>5000</v>
      </c>
      <c r="J1922" s="8">
        <v>25000</v>
      </c>
      <c r="K1922" s="30">
        <f t="shared" si="2005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VLOOKUP(VLOOKUP(DATEVALUE(TEXT(A1922,"m/d/yyyy")),FY24_Temp[],5,FALSE)&amp;TEXT(A1922,"-h"),Table6[],4,FALSE)</f>
        <v>2.4559999534061978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VLOOKUP(TEXT(A1922,"yy-mm")&amp;"-"&amp;IF(AND(WEEKDAY(A1922)&gt;1,WEEKDAY(A1922)&lt;7),"Wkd",TEXT(A1922,"Ddd"))&amp;"-"&amp;TEXT(A1922,"hh"),LoadTable[],5,FALSE)*0.92</f>
        <v>237.25788000000003</v>
      </c>
      <c r="U1922" s="104">
        <f>VLOOKUP(TEXT(A1922,"yy-mm")&amp;"-"&amp;IF(AND(WEEKDAY(A1922)&gt;1,WEEKDAY(A1922)&lt;7),"Wkd",TEXT(A1922,"Ddd"))&amp;"-"&amp;TEXT(A1922,"hh"),LoadTable[],6,FALSE)*T1922</f>
        <v>11687.323168800001</v>
      </c>
      <c r="V1922">
        <f t="shared" ref="V1922:W1922" si="2044">V1898</f>
        <v>3.6</v>
      </c>
      <c r="W1922">
        <f t="shared" si="2044"/>
        <v>3.1</v>
      </c>
      <c r="X1922" s="9">
        <v>-88.729183316668099</v>
      </c>
    </row>
    <row r="1923" spans="1:24">
      <c r="A1923" s="29">
        <f t="shared" si="1978"/>
        <v>45915.999999995343</v>
      </c>
      <c r="B1923" s="30">
        <f t="shared" si="2002"/>
        <v>5000</v>
      </c>
      <c r="C1923" s="8">
        <v>25000</v>
      </c>
      <c r="D1923" s="8">
        <v>0</v>
      </c>
      <c r="E1923" s="8">
        <v>700</v>
      </c>
      <c r="F1923" s="8">
        <v>15000</v>
      </c>
      <c r="G1923" s="30">
        <f t="shared" si="2003"/>
        <v>2400</v>
      </c>
      <c r="H1923" s="8">
        <v>25000</v>
      </c>
      <c r="I1923" s="30">
        <f t="shared" si="2004"/>
        <v>5000</v>
      </c>
      <c r="J1923" s="8">
        <v>25000</v>
      </c>
      <c r="K1923" s="30">
        <f t="shared" si="2005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VLOOKUP(VLOOKUP(DATEVALUE(TEXT(A1923,"m/d/yyyy")),FY24_Temp[],5,FALSE)&amp;TEXT(A1923,"-h"),Table6[],4,FALSE)</f>
        <v>2.4424285888671875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VLOOKUP(TEXT(A1923,"yy-mm")&amp;"-"&amp;IF(AND(WEEKDAY(A1923)&gt;1,WEEKDAY(A1923)&lt;7),"Wkd",TEXT(A1923,"Ddd"))&amp;"-"&amp;TEXT(A1923,"hh"),LoadTable[],5,FALSE)*0.92</f>
        <v>237.25788000000003</v>
      </c>
      <c r="U1923" s="104">
        <f>VLOOKUP(TEXT(A1923,"yy-mm")&amp;"-"&amp;IF(AND(WEEKDAY(A1923)&gt;1,WEEKDAY(A1923)&lt;7),"Wkd",TEXT(A1923,"Ddd"))&amp;"-"&amp;TEXT(A1923,"hh"),LoadTable[],6,FALSE)*T1923</f>
        <v>12215.696467560001</v>
      </c>
      <c r="V1923">
        <f t="shared" ref="V1923:W1923" si="2045">V1899</f>
        <v>3</v>
      </c>
      <c r="W1923">
        <f t="shared" si="2045"/>
        <v>3.2</v>
      </c>
      <c r="X1923" s="9">
        <v>-88.806977866668106</v>
      </c>
    </row>
    <row r="1924" spans="1:24">
      <c r="A1924" s="29">
        <f t="shared" si="1978"/>
        <v>45916.041666662008</v>
      </c>
      <c r="B1924" s="30">
        <f t="shared" si="2002"/>
        <v>5000</v>
      </c>
      <c r="C1924" s="8">
        <v>25000</v>
      </c>
      <c r="D1924" s="8">
        <v>0</v>
      </c>
      <c r="E1924" s="8">
        <v>700</v>
      </c>
      <c r="F1924" s="8">
        <v>15000</v>
      </c>
      <c r="G1924" s="30">
        <f t="shared" si="2003"/>
        <v>2400</v>
      </c>
      <c r="H1924" s="8">
        <v>25000</v>
      </c>
      <c r="I1924" s="30">
        <f t="shared" si="2004"/>
        <v>5000</v>
      </c>
      <c r="J1924" s="8">
        <v>25000</v>
      </c>
      <c r="K1924" s="30">
        <f t="shared" si="2005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VLOOKUP(VLOOKUP(DATEVALUE(TEXT(A1924,"m/d/yyyy")),FY24_Temp[],5,FALSE)&amp;TEXT(A1924,"-h"),Table6[],4,FALSE)</f>
        <v>2.3764285360063826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VLOOKUP(TEXT(A1924,"yy-mm")&amp;"-"&amp;IF(AND(WEEKDAY(A1924)&gt;1,WEEKDAY(A1924)&lt;7),"Wkd",TEXT(A1924,"Ddd"))&amp;"-"&amp;TEXT(A1924,"hh"),LoadTable[],5,FALSE)*0.92</f>
        <v>237.25788000000003</v>
      </c>
      <c r="U1924" s="104">
        <f>VLOOKUP(TEXT(A1924,"yy-mm")&amp;"-"&amp;IF(AND(WEEKDAY(A1924)&gt;1,WEEKDAY(A1924)&lt;7),"Wkd",TEXT(A1924,"Ddd"))&amp;"-"&amp;TEXT(A1924,"hh"),LoadTable[],6,FALSE)*T1924</f>
        <v>11905.12590264</v>
      </c>
      <c r="V1924">
        <f t="shared" ref="V1924:W1924" si="2046">V1900</f>
        <v>2.6</v>
      </c>
      <c r="W1924">
        <f t="shared" si="2046"/>
        <v>3.2</v>
      </c>
      <c r="X1924" s="9">
        <v>-88.884772416668099</v>
      </c>
    </row>
    <row r="1925" spans="1:24">
      <c r="A1925" s="29">
        <f t="shared" ref="A1925:A1988" si="2047">A1924+TIME(1,0,0)</f>
        <v>45916.083333328672</v>
      </c>
      <c r="B1925" s="30">
        <f t="shared" si="2002"/>
        <v>5000</v>
      </c>
      <c r="C1925" s="8">
        <v>25000</v>
      </c>
      <c r="D1925" s="8">
        <v>0</v>
      </c>
      <c r="E1925" s="8">
        <v>700</v>
      </c>
      <c r="F1925" s="8">
        <v>15000</v>
      </c>
      <c r="G1925" s="30">
        <f t="shared" si="2003"/>
        <v>2400</v>
      </c>
      <c r="H1925" s="8">
        <v>25000</v>
      </c>
      <c r="I1925" s="30">
        <f t="shared" si="2004"/>
        <v>5000</v>
      </c>
      <c r="J1925" s="8">
        <v>25000</v>
      </c>
      <c r="K1925" s="30">
        <f t="shared" si="2005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VLOOKUP(VLOOKUP(DATEVALUE(TEXT(A1925,"m/d/yyyy")),FY24_Temp[],5,FALSE)&amp;TEXT(A1925,"-h"),Table6[],4,FALSE)</f>
        <v>2.2488571235111783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VLOOKUP(TEXT(A1925,"yy-mm")&amp;"-"&amp;IF(AND(WEEKDAY(A1925)&gt;1,WEEKDAY(A1925)&lt;7),"Wkd",TEXT(A1925,"Ddd"))&amp;"-"&amp;TEXT(A1925,"hh"),LoadTable[],5,FALSE)*0.92</f>
        <v>237.25788000000003</v>
      </c>
      <c r="U1925" s="104">
        <f>VLOOKUP(TEXT(A1925,"yy-mm")&amp;"-"&amp;IF(AND(WEEKDAY(A1925)&gt;1,WEEKDAY(A1925)&lt;7),"Wkd",TEXT(A1925,"Ddd"))&amp;"-"&amp;TEXT(A1925,"hh"),LoadTable[],6,FALSE)*T1925</f>
        <v>11856.013521480001</v>
      </c>
      <c r="V1925">
        <f t="shared" ref="V1925:W1925" si="2048">V1901</f>
        <v>2.8</v>
      </c>
      <c r="W1925">
        <f t="shared" si="2048"/>
        <v>3.2</v>
      </c>
      <c r="X1925" s="9">
        <v>-88.962566966668106</v>
      </c>
    </row>
    <row r="1926" spans="1:24">
      <c r="A1926" s="29">
        <f t="shared" si="2047"/>
        <v>45916.124999995336</v>
      </c>
      <c r="B1926" s="30">
        <f t="shared" si="2002"/>
        <v>5000</v>
      </c>
      <c r="C1926" s="8">
        <v>25000</v>
      </c>
      <c r="D1926" s="8">
        <v>0</v>
      </c>
      <c r="E1926" s="8">
        <v>700</v>
      </c>
      <c r="F1926" s="8">
        <v>15000</v>
      </c>
      <c r="G1926" s="30">
        <f t="shared" si="2003"/>
        <v>2400</v>
      </c>
      <c r="H1926" s="8">
        <v>25000</v>
      </c>
      <c r="I1926" s="30">
        <f t="shared" si="2004"/>
        <v>5000</v>
      </c>
      <c r="J1926" s="8">
        <v>25000</v>
      </c>
      <c r="K1926" s="30">
        <f t="shared" si="2005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VLOOKUP(VLOOKUP(DATEVALUE(TEXT(A1926,"m/d/yyyy")),FY24_Temp[],5,FALSE)&amp;TEXT(A1926,"-h"),Table6[],4,FALSE)</f>
        <v>2.1057142530168806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VLOOKUP(TEXT(A1926,"yy-mm")&amp;"-"&amp;IF(AND(WEEKDAY(A1926)&gt;1,WEEKDAY(A1926)&lt;7),"Wkd",TEXT(A1926,"Ddd"))&amp;"-"&amp;TEXT(A1926,"hh"),LoadTable[],5,FALSE)*0.92</f>
        <v>237.25788000000003</v>
      </c>
      <c r="U1926" s="104">
        <f>VLOOKUP(TEXT(A1926,"yy-mm")&amp;"-"&amp;IF(AND(WEEKDAY(A1926)&gt;1,WEEKDAY(A1926)&lt;7),"Wkd",TEXT(A1926,"Ddd"))&amp;"-"&amp;TEXT(A1926,"hh"),LoadTable[],6,FALSE)*T1926</f>
        <v>11893.025750760002</v>
      </c>
      <c r="V1926">
        <f t="shared" ref="V1926:W1926" si="2049">V1902</f>
        <v>2.7</v>
      </c>
      <c r="W1926">
        <f t="shared" si="2049"/>
        <v>3.2</v>
      </c>
      <c r="X1926" s="9">
        <v>-89.040361516668099</v>
      </c>
    </row>
    <row r="1927" spans="1:24">
      <c r="A1927" s="29">
        <f t="shared" si="2047"/>
        <v>45916.166666662</v>
      </c>
      <c r="B1927" s="30">
        <f t="shared" si="2002"/>
        <v>5000</v>
      </c>
      <c r="C1927" s="8">
        <v>25000</v>
      </c>
      <c r="D1927" s="8">
        <v>0</v>
      </c>
      <c r="E1927" s="8">
        <v>700</v>
      </c>
      <c r="F1927" s="8">
        <v>15000</v>
      </c>
      <c r="G1927" s="30">
        <f t="shared" si="2003"/>
        <v>2400</v>
      </c>
      <c r="H1927" s="8">
        <v>25000</v>
      </c>
      <c r="I1927" s="30">
        <f t="shared" si="2004"/>
        <v>5000</v>
      </c>
      <c r="J1927" s="8">
        <v>25000</v>
      </c>
      <c r="K1927" s="30">
        <f t="shared" si="2005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VLOOKUP(VLOOKUP(DATEVALUE(TEXT(A1927,"m/d/yyyy")),FY24_Temp[],5,FALSE)&amp;TEXT(A1927,"-h"),Table6[],4,FALSE)</f>
        <v>1.956142851284572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VLOOKUP(TEXT(A1927,"yy-mm")&amp;"-"&amp;IF(AND(WEEKDAY(A1927)&gt;1,WEEKDAY(A1927)&lt;7),"Wkd",TEXT(A1927,"Ddd"))&amp;"-"&amp;TEXT(A1927,"hh"),LoadTable[],5,FALSE)*0.92</f>
        <v>237.25788000000003</v>
      </c>
      <c r="U1927" s="104">
        <f>VLOOKUP(TEXT(A1927,"yy-mm")&amp;"-"&amp;IF(AND(WEEKDAY(A1927)&gt;1,WEEKDAY(A1927)&lt;7),"Wkd",TEXT(A1927,"Ddd"))&amp;"-"&amp;TEXT(A1927,"hh"),LoadTable[],6,FALSE)*T1927</f>
        <v>12081.645765360001</v>
      </c>
      <c r="V1927">
        <f t="shared" ref="V1927:W1927" si="2050">V1903</f>
        <v>3</v>
      </c>
      <c r="W1927">
        <f t="shared" si="2050"/>
        <v>3.1</v>
      </c>
      <c r="X1927" s="9">
        <v>-89.118156066668107</v>
      </c>
    </row>
    <row r="1928" spans="1:24">
      <c r="A1928" s="29">
        <f t="shared" si="2047"/>
        <v>45916.208333328665</v>
      </c>
      <c r="B1928" s="30">
        <f t="shared" si="2002"/>
        <v>5000</v>
      </c>
      <c r="C1928" s="8">
        <v>25000</v>
      </c>
      <c r="D1928" s="8">
        <v>0</v>
      </c>
      <c r="E1928" s="8">
        <v>700</v>
      </c>
      <c r="F1928" s="8">
        <v>15000</v>
      </c>
      <c r="G1928" s="30">
        <f t="shared" si="2003"/>
        <v>2400</v>
      </c>
      <c r="H1928" s="8">
        <v>25000</v>
      </c>
      <c r="I1928" s="30">
        <f t="shared" si="2004"/>
        <v>5000</v>
      </c>
      <c r="J1928" s="8">
        <v>25000</v>
      </c>
      <c r="K1928" s="30">
        <f t="shared" si="2005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VLOOKUP(VLOOKUP(DATEVALUE(TEXT(A1928,"m/d/yyyy")),FY24_Temp[],5,FALSE)&amp;TEXT(A1928,"-h"),Table6[],4,FALSE)</f>
        <v>1.8435714244842529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VLOOKUP(TEXT(A1928,"yy-mm")&amp;"-"&amp;IF(AND(WEEKDAY(A1928)&gt;1,WEEKDAY(A1928)&lt;7),"Wkd",TEXT(A1928,"Ddd"))&amp;"-"&amp;TEXT(A1928,"hh"),LoadTable[],5,FALSE)*0.92</f>
        <v>237.25788000000003</v>
      </c>
      <c r="U1928" s="104">
        <f>VLOOKUP(TEXT(A1928,"yy-mm")&amp;"-"&amp;IF(AND(WEEKDAY(A1928)&gt;1,WEEKDAY(A1928)&lt;7),"Wkd",TEXT(A1928,"Ddd"))&amp;"-"&amp;TEXT(A1928,"hh"),LoadTable[],6,FALSE)*T1928</f>
        <v>12065.037713760001</v>
      </c>
      <c r="V1928">
        <f t="shared" ref="V1928:W1928" si="2051">V1904</f>
        <v>2.9</v>
      </c>
      <c r="W1928">
        <f t="shared" si="2051"/>
        <v>3.1</v>
      </c>
      <c r="X1928" s="9">
        <v>-89.1959506166681</v>
      </c>
    </row>
    <row r="1929" spans="1:24">
      <c r="A1929" s="29">
        <f t="shared" si="2047"/>
        <v>45916.249999995329</v>
      </c>
      <c r="B1929" s="30">
        <f t="shared" si="2002"/>
        <v>8000</v>
      </c>
      <c r="C1929" s="8">
        <v>25000</v>
      </c>
      <c r="D1929" s="8">
        <v>0</v>
      </c>
      <c r="E1929" s="8">
        <v>700</v>
      </c>
      <c r="F1929" s="8">
        <v>15000</v>
      </c>
      <c r="G1929" s="30">
        <f t="shared" si="2003"/>
        <v>2400</v>
      </c>
      <c r="H1929" s="8">
        <v>25000</v>
      </c>
      <c r="I1929" s="30">
        <f t="shared" si="2004"/>
        <v>8000</v>
      </c>
      <c r="J1929" s="8">
        <v>25000</v>
      </c>
      <c r="K1929" s="30">
        <f t="shared" si="2005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VLOOKUP(VLOOKUP(DATEVALUE(TEXT(A1929,"m/d/yyyy")),FY24_Temp[],5,FALSE)&amp;TEXT(A1929,"-h"),Table6[],4,FALSE)</f>
        <v>1.7435714176722936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VLOOKUP(TEXT(A1929,"yy-mm")&amp;"-"&amp;IF(AND(WEEKDAY(A1929)&gt;1,WEEKDAY(A1929)&lt;7),"Wkd",TEXT(A1929,"Ddd"))&amp;"-"&amp;TEXT(A1929,"hh"),LoadTable[],5,FALSE)*0.92</f>
        <v>237.25788000000003</v>
      </c>
      <c r="U1929" s="104">
        <f>VLOOKUP(TEXT(A1929,"yy-mm")&amp;"-"&amp;IF(AND(WEEKDAY(A1929)&gt;1,WEEKDAY(A1929)&lt;7),"Wkd",TEXT(A1929,"Ddd"))&amp;"-"&amp;TEXT(A1929,"hh"),LoadTable[],6,FALSE)*T1929</f>
        <v>18358.065722880005</v>
      </c>
      <c r="V1929">
        <f t="shared" ref="V1929:W1929" si="2052">V1905</f>
        <v>2.5</v>
      </c>
      <c r="W1929">
        <f t="shared" si="2052"/>
        <v>3.1</v>
      </c>
      <c r="X1929" s="9">
        <v>-89.273745166668107</v>
      </c>
    </row>
    <row r="1930" spans="1:24">
      <c r="A1930" s="29">
        <f t="shared" si="2047"/>
        <v>45916.291666661993</v>
      </c>
      <c r="B1930" s="30">
        <f t="shared" si="2002"/>
        <v>8000</v>
      </c>
      <c r="C1930" s="8">
        <v>25000</v>
      </c>
      <c r="D1930" s="8">
        <v>0</v>
      </c>
      <c r="E1930" s="8">
        <v>700</v>
      </c>
      <c r="F1930" s="8">
        <v>15000</v>
      </c>
      <c r="G1930" s="30">
        <f t="shared" si="2003"/>
        <v>2400</v>
      </c>
      <c r="H1930" s="8">
        <v>25000</v>
      </c>
      <c r="I1930" s="30">
        <f t="shared" si="2004"/>
        <v>8000</v>
      </c>
      <c r="J1930" s="8">
        <v>25000</v>
      </c>
      <c r="K1930" s="30">
        <f t="shared" si="2005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VLOOKUP(VLOOKUP(DATEVALUE(TEXT(A1930,"m/d/yyyy")),FY24_Temp[],5,FALSE)&amp;TEXT(A1930,"-h"),Table6[],4,FALSE)</f>
        <v>1.5834285702024187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VLOOKUP(TEXT(A1930,"yy-mm")&amp;"-"&amp;IF(AND(WEEKDAY(A1930)&gt;1,WEEKDAY(A1930)&lt;7),"Wkd",TEXT(A1930,"Ddd"))&amp;"-"&amp;TEXT(A1930,"hh"),LoadTable[],5,FALSE)*0.92</f>
        <v>237.25788000000003</v>
      </c>
      <c r="U1930" s="104">
        <f>VLOOKUP(TEXT(A1930,"yy-mm")&amp;"-"&amp;IF(AND(WEEKDAY(A1930)&gt;1,WEEKDAY(A1930)&lt;7),"Wkd",TEXT(A1930,"Ddd"))&amp;"-"&amp;TEXT(A1930,"hh"),LoadTable[],6,FALSE)*T1930</f>
        <v>16249.08042756</v>
      </c>
      <c r="V1930">
        <f t="shared" ref="V1930:W1930" si="2053">V1906</f>
        <v>2.5</v>
      </c>
      <c r="W1930">
        <f t="shared" si="2053"/>
        <v>3.1</v>
      </c>
      <c r="X1930" s="9">
        <v>-89.3515397166681</v>
      </c>
    </row>
    <row r="1931" spans="1:24">
      <c r="A1931" s="29">
        <f t="shared" si="2047"/>
        <v>45916.333333328657</v>
      </c>
      <c r="B1931" s="30">
        <f t="shared" si="2002"/>
        <v>8000</v>
      </c>
      <c r="C1931" s="8">
        <v>25000</v>
      </c>
      <c r="D1931" s="8">
        <v>0</v>
      </c>
      <c r="E1931" s="8">
        <v>700</v>
      </c>
      <c r="F1931" s="8">
        <v>15000</v>
      </c>
      <c r="G1931" s="30">
        <f t="shared" si="2003"/>
        <v>2400</v>
      </c>
      <c r="H1931" s="8">
        <v>25000</v>
      </c>
      <c r="I1931" s="30">
        <f t="shared" si="2004"/>
        <v>8000</v>
      </c>
      <c r="J1931" s="8">
        <v>25000</v>
      </c>
      <c r="K1931" s="30">
        <f t="shared" si="2005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VLOOKUP(VLOOKUP(DATEVALUE(TEXT(A1931,"m/d/yyyy")),FY24_Temp[],5,FALSE)&amp;TEXT(A1931,"-h"),Table6[],4,FALSE)</f>
        <v>1.5194285767418998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VLOOKUP(TEXT(A1931,"yy-mm")&amp;"-"&amp;IF(AND(WEEKDAY(A1931)&gt;1,WEEKDAY(A1931)&lt;7),"Wkd",TEXT(A1931,"Ddd"))&amp;"-"&amp;TEXT(A1931,"hh"),LoadTable[],5,FALSE)*0.92</f>
        <v>237.25788000000003</v>
      </c>
      <c r="U1931" s="104">
        <f>VLOOKUP(TEXT(A1931,"yy-mm")&amp;"-"&amp;IF(AND(WEEKDAY(A1931)&gt;1,WEEKDAY(A1931)&lt;7),"Wkd",TEXT(A1931,"Ddd"))&amp;"-"&amp;TEXT(A1931,"hh"),LoadTable[],6,FALSE)*T1931</f>
        <v>13068.164030400001</v>
      </c>
      <c r="V1931">
        <f t="shared" ref="V1931:W1931" si="2054">V1907</f>
        <v>3.2</v>
      </c>
      <c r="W1931">
        <f t="shared" si="2054"/>
        <v>3</v>
      </c>
      <c r="X1931" s="9">
        <v>-89.429334266668207</v>
      </c>
    </row>
    <row r="1932" spans="1:24">
      <c r="A1932" s="29">
        <f t="shared" si="2047"/>
        <v>45916.374999995322</v>
      </c>
      <c r="B1932" s="30">
        <f t="shared" si="2002"/>
        <v>8000</v>
      </c>
      <c r="C1932" s="8">
        <v>25000</v>
      </c>
      <c r="D1932" s="8">
        <v>0</v>
      </c>
      <c r="E1932" s="8">
        <v>700</v>
      </c>
      <c r="F1932" s="8">
        <v>15000</v>
      </c>
      <c r="G1932" s="30">
        <f t="shared" si="2003"/>
        <v>2400</v>
      </c>
      <c r="H1932" s="8">
        <v>25000</v>
      </c>
      <c r="I1932" s="30">
        <f t="shared" si="2004"/>
        <v>8000</v>
      </c>
      <c r="J1932" s="8">
        <v>25000</v>
      </c>
      <c r="K1932" s="30">
        <f t="shared" si="2005"/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VLOOKUP(VLOOKUP(DATEVALUE(TEXT(A1932,"m/d/yyyy")),FY24_Temp[],5,FALSE)&amp;TEXT(A1932,"-h"),Table6[],4,FALSE)</f>
        <v>1.3778571401323592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VLOOKUP(TEXT(A1932,"yy-mm")&amp;"-"&amp;IF(AND(WEEKDAY(A1932)&gt;1,WEEKDAY(A1932)&lt;7),"Wkd",TEXT(A1932,"Ddd"))&amp;"-"&amp;TEXT(A1932,"hh"),LoadTable[],5,FALSE)*0.92</f>
        <v>237.25788000000003</v>
      </c>
      <c r="U1932" s="104">
        <f>VLOOKUP(TEXT(A1932,"yy-mm")&amp;"-"&amp;IF(AND(WEEKDAY(A1932)&gt;1,WEEKDAY(A1932)&lt;7),"Wkd",TEXT(A1932,"Ddd"))&amp;"-"&amp;TEXT(A1932,"hh"),LoadTable[],6,FALSE)*T1932</f>
        <v>11518.395558240001</v>
      </c>
      <c r="V1932">
        <f t="shared" ref="V1932:W1932" si="2055">V1908</f>
        <v>2.9</v>
      </c>
      <c r="W1932">
        <f t="shared" si="2055"/>
        <v>3</v>
      </c>
      <c r="X1932" s="9">
        <v>-89.5071288166682</v>
      </c>
    </row>
    <row r="1933" spans="1:24">
      <c r="A1933" s="29">
        <f t="shared" si="2047"/>
        <v>45916.416666661986</v>
      </c>
      <c r="B1933" s="30">
        <f t="shared" si="2002"/>
        <v>8000</v>
      </c>
      <c r="C1933" s="8">
        <v>25000</v>
      </c>
      <c r="D1933" s="8">
        <v>0</v>
      </c>
      <c r="E1933" s="8">
        <v>700</v>
      </c>
      <c r="F1933" s="8">
        <v>15000</v>
      </c>
      <c r="G1933" s="30">
        <f t="shared" si="2003"/>
        <v>2400</v>
      </c>
      <c r="H1933" s="8">
        <v>25000</v>
      </c>
      <c r="I1933" s="30">
        <f t="shared" si="2004"/>
        <v>8000</v>
      </c>
      <c r="J1933" s="8">
        <v>25000</v>
      </c>
      <c r="K1933" s="30">
        <f t="shared" si="2005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VLOOKUP(VLOOKUP(DATEVALUE(TEXT(A1933,"m/d/yyyy")),FY24_Temp[],5,FALSE)&amp;TEXT(A1933,"-h"),Table6[],4,FALSE)</f>
        <v>1.2395714351109095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VLOOKUP(TEXT(A1933,"yy-mm")&amp;"-"&amp;IF(AND(WEEKDAY(A1933)&gt;1,WEEKDAY(A1933)&lt;7),"Wkd",TEXT(A1933,"Ddd"))&amp;"-"&amp;TEXT(A1933,"hh"),LoadTable[],5,FALSE)*0.92</f>
        <v>237.25788000000003</v>
      </c>
      <c r="U1933" s="104">
        <f>VLOOKUP(TEXT(A1933,"yy-mm")&amp;"-"&amp;IF(AND(WEEKDAY(A1933)&gt;1,WEEKDAY(A1933)&lt;7),"Wkd",TEXT(A1933,"Ddd"))&amp;"-"&amp;TEXT(A1933,"hh"),LoadTable[],6,FALSE)*T1933</f>
        <v>10982.667265200002</v>
      </c>
      <c r="V1933">
        <f t="shared" ref="V1933:W1933" si="2056">V1909</f>
        <v>2.9</v>
      </c>
      <c r="W1933">
        <f t="shared" si="2056"/>
        <v>3</v>
      </c>
      <c r="X1933" s="9">
        <v>-89.584923366668207</v>
      </c>
    </row>
    <row r="1934" spans="1:24">
      <c r="A1934" s="29">
        <f t="shared" si="2047"/>
        <v>45916.45833332865</v>
      </c>
      <c r="B1934" s="30">
        <f t="shared" si="2002"/>
        <v>8000</v>
      </c>
      <c r="C1934" s="8">
        <v>25000</v>
      </c>
      <c r="D1934" s="8">
        <v>0</v>
      </c>
      <c r="E1934" s="8">
        <v>700</v>
      </c>
      <c r="F1934" s="8">
        <v>15000</v>
      </c>
      <c r="G1934" s="30">
        <f t="shared" si="2003"/>
        <v>2400</v>
      </c>
      <c r="H1934" s="8">
        <v>25000</v>
      </c>
      <c r="I1934" s="30">
        <f t="shared" si="2004"/>
        <v>8000</v>
      </c>
      <c r="J1934" s="8">
        <v>25000</v>
      </c>
      <c r="K1934" s="30">
        <f t="shared" si="2005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VLOOKUP(VLOOKUP(DATEVALUE(TEXT(A1934,"m/d/yyyy")),FY24_Temp[],5,FALSE)&amp;TEXT(A1934,"-h"),Table6[],4,FALSE)</f>
        <v>1.1261428764888219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VLOOKUP(TEXT(A1934,"yy-mm")&amp;"-"&amp;IF(AND(WEEKDAY(A1934)&gt;1,WEEKDAY(A1934)&lt;7),"Wkd",TEXT(A1934,"Ddd"))&amp;"-"&amp;TEXT(A1934,"hh"),LoadTable[],5,FALSE)*0.92</f>
        <v>237.25788000000003</v>
      </c>
      <c r="U1934" s="104">
        <f>VLOOKUP(TEXT(A1934,"yy-mm")&amp;"-"&amp;IF(AND(WEEKDAY(A1934)&gt;1,WEEKDAY(A1934)&lt;7),"Wkd",TEXT(A1934,"Ddd"))&amp;"-"&amp;TEXT(A1934,"hh"),LoadTable[],6,FALSE)*T1934</f>
        <v>10974.125981520001</v>
      </c>
      <c r="V1934">
        <f t="shared" ref="V1934:W1934" si="2057">V1910</f>
        <v>3.4</v>
      </c>
      <c r="W1934">
        <f t="shared" si="2057"/>
        <v>3</v>
      </c>
      <c r="X1934" s="9">
        <v>-89.6627179166682</v>
      </c>
    </row>
    <row r="1935" spans="1:24">
      <c r="A1935" s="29">
        <f t="shared" si="2047"/>
        <v>45916.499999995314</v>
      </c>
      <c r="B1935" s="30">
        <f t="shared" si="2002"/>
        <v>8000</v>
      </c>
      <c r="C1935" s="8">
        <v>25000</v>
      </c>
      <c r="D1935" s="8">
        <v>0</v>
      </c>
      <c r="E1935" s="8">
        <v>700</v>
      </c>
      <c r="F1935" s="8">
        <v>15000</v>
      </c>
      <c r="G1935" s="30">
        <f t="shared" si="2003"/>
        <v>2400</v>
      </c>
      <c r="H1935" s="8">
        <v>25000</v>
      </c>
      <c r="I1935" s="30">
        <f t="shared" si="2004"/>
        <v>8000</v>
      </c>
      <c r="J1935" s="8">
        <v>25000</v>
      </c>
      <c r="K1935" s="30">
        <f t="shared" si="2005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VLOOKUP(VLOOKUP(DATEVALUE(TEXT(A1935,"m/d/yyyy")),FY24_Temp[],5,FALSE)&amp;TEXT(A1935,"-h"),Table6[],4,FALSE)</f>
        <v>0.97528570038931706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VLOOKUP(TEXT(A1935,"yy-mm")&amp;"-"&amp;IF(AND(WEEKDAY(A1935)&gt;1,WEEKDAY(A1935)&lt;7),"Wkd",TEXT(A1935,"Ddd"))&amp;"-"&amp;TEXT(A1935,"hh"),LoadTable[],5,FALSE)*0.92</f>
        <v>237.25788000000003</v>
      </c>
      <c r="U1935" s="104">
        <f>VLOOKUP(TEXT(A1935,"yy-mm")&amp;"-"&amp;IF(AND(WEEKDAY(A1935)&gt;1,WEEKDAY(A1935)&lt;7),"Wkd",TEXT(A1935,"Ddd"))&amp;"-"&amp;TEXT(A1935,"hh"),LoadTable[],6,FALSE)*T1935</f>
        <v>10962.974861160001</v>
      </c>
      <c r="V1935">
        <f t="shared" ref="V1935:W1935" si="2058">V1911</f>
        <v>3.1</v>
      </c>
      <c r="W1935">
        <f t="shared" si="2058"/>
        <v>2.9</v>
      </c>
      <c r="X1935" s="9">
        <v>-89.740512466668207</v>
      </c>
    </row>
    <row r="1936" spans="1:24">
      <c r="A1936" s="29">
        <f t="shared" si="2047"/>
        <v>45916.541666661979</v>
      </c>
      <c r="B1936" s="30">
        <f t="shared" si="2002"/>
        <v>8000</v>
      </c>
      <c r="C1936" s="8">
        <v>25000</v>
      </c>
      <c r="D1936" s="8">
        <v>0</v>
      </c>
      <c r="E1936" s="8">
        <v>700</v>
      </c>
      <c r="F1936" s="8">
        <v>15000</v>
      </c>
      <c r="G1936" s="30">
        <f t="shared" si="2003"/>
        <v>2400</v>
      </c>
      <c r="H1936" s="8">
        <v>25000</v>
      </c>
      <c r="I1936" s="30">
        <f t="shared" si="2004"/>
        <v>8000</v>
      </c>
      <c r="J1936" s="8">
        <v>25000</v>
      </c>
      <c r="K1936" s="30">
        <f t="shared" si="2005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VLOOKUP(VLOOKUP(DATEVALUE(TEXT(A1936,"m/d/yyyy")),FY24_Temp[],5,FALSE)&amp;TEXT(A1936,"-h"),Table6[],4,FALSE)</f>
        <v>0.83557144233158653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VLOOKUP(TEXT(A1936,"yy-mm")&amp;"-"&amp;IF(AND(WEEKDAY(A1936)&gt;1,WEEKDAY(A1936)&lt;7),"Wkd",TEXT(A1936,"Ddd"))&amp;"-"&amp;TEXT(A1936,"hh"),LoadTable[],5,FALSE)*0.92</f>
        <v>237.25788000000003</v>
      </c>
      <c r="U1936" s="104">
        <f>VLOOKUP(TEXT(A1936,"yy-mm")&amp;"-"&amp;IF(AND(WEEKDAY(A1936)&gt;1,WEEKDAY(A1936)&lt;7),"Wkd",TEXT(A1936,"Ddd"))&amp;"-"&amp;TEXT(A1936,"hh"),LoadTable[],6,FALSE)*T1936</f>
        <v>10978.39662336</v>
      </c>
      <c r="V1936">
        <f t="shared" ref="V1936:W1936" si="2059">V1912</f>
        <v>3.2</v>
      </c>
      <c r="W1936">
        <f t="shared" si="2059"/>
        <v>2.9</v>
      </c>
      <c r="X1936" s="9">
        <v>-89.8183070166682</v>
      </c>
    </row>
    <row r="1937" spans="1:24">
      <c r="A1937" s="29">
        <f t="shared" si="2047"/>
        <v>45916.583333328643</v>
      </c>
      <c r="B1937" s="30">
        <f t="shared" si="2002"/>
        <v>8000</v>
      </c>
      <c r="C1937" s="8">
        <v>25000</v>
      </c>
      <c r="D1937" s="8">
        <v>0</v>
      </c>
      <c r="E1937" s="8">
        <v>700</v>
      </c>
      <c r="F1937" s="8">
        <v>15000</v>
      </c>
      <c r="G1937" s="30">
        <f t="shared" si="2003"/>
        <v>2400</v>
      </c>
      <c r="H1937" s="8">
        <v>25000</v>
      </c>
      <c r="I1937" s="30">
        <f t="shared" si="2004"/>
        <v>8000</v>
      </c>
      <c r="J1937" s="8">
        <v>25000</v>
      </c>
      <c r="K1937" s="30">
        <f t="shared" si="2005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VLOOKUP(VLOOKUP(DATEVALUE(TEXT(A1937,"m/d/yyyy")),FY24_Temp[],5,FALSE)&amp;TEXT(A1937,"-h"),Table6[],4,FALSE)</f>
        <v>0.71842856918062481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VLOOKUP(TEXT(A1937,"yy-mm")&amp;"-"&amp;IF(AND(WEEKDAY(A1937)&gt;1,WEEKDAY(A1937)&lt;7),"Wkd",TEXT(A1937,"Ddd"))&amp;"-"&amp;TEXT(A1937,"hh"),LoadTable[],5,FALSE)*0.92</f>
        <v>269.75136000000003</v>
      </c>
      <c r="U1937" s="104">
        <f>VLOOKUP(TEXT(A1937,"yy-mm")&amp;"-"&amp;IF(AND(WEEKDAY(A1937)&gt;1,WEEKDAY(A1937)&lt;7),"Wkd",TEXT(A1937,"Ddd"))&amp;"-"&amp;TEXT(A1937,"hh"),LoadTable[],6,FALSE)*T1937</f>
        <v>12503.245287360001</v>
      </c>
      <c r="V1937">
        <f t="shared" ref="V1937:W1937" si="2060">V1913</f>
        <v>3.5</v>
      </c>
      <c r="W1937">
        <f t="shared" si="2060"/>
        <v>2.9</v>
      </c>
      <c r="X1937" s="9">
        <v>-89.896101566668193</v>
      </c>
    </row>
    <row r="1938" spans="1:24">
      <c r="A1938" s="29">
        <f t="shared" si="2047"/>
        <v>45916.624999995307</v>
      </c>
      <c r="B1938" s="30">
        <f t="shared" si="2002"/>
        <v>8000</v>
      </c>
      <c r="C1938" s="8">
        <v>25000</v>
      </c>
      <c r="D1938" s="8">
        <v>0</v>
      </c>
      <c r="E1938" s="8">
        <v>700</v>
      </c>
      <c r="F1938" s="8">
        <v>15000</v>
      </c>
      <c r="G1938" s="30">
        <f t="shared" si="2003"/>
        <v>2400</v>
      </c>
      <c r="H1938" s="8">
        <v>25000</v>
      </c>
      <c r="I1938" s="30">
        <f t="shared" si="2004"/>
        <v>8000</v>
      </c>
      <c r="J1938" s="8">
        <v>25000</v>
      </c>
      <c r="K1938" s="30">
        <f t="shared" si="2005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VLOOKUP(VLOOKUP(DATEVALUE(TEXT(A1938,"m/d/yyyy")),FY24_Temp[],5,FALSE)&amp;TEXT(A1938,"-h"),Table6[],4,FALSE)</f>
        <v>0.71542857374463764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VLOOKUP(TEXT(A1938,"yy-mm")&amp;"-"&amp;IF(AND(WEEKDAY(A1938)&gt;1,WEEKDAY(A1938)&lt;7),"Wkd",TEXT(A1938,"Ddd"))&amp;"-"&amp;TEXT(A1938,"hh"),LoadTable[],5,FALSE)*0.92</f>
        <v>388.38076000000001</v>
      </c>
      <c r="U1938" s="104">
        <f>VLOOKUP(TEXT(A1938,"yy-mm")&amp;"-"&amp;IF(AND(WEEKDAY(A1938)&gt;1,WEEKDAY(A1938)&lt;7),"Wkd",TEXT(A1938,"Ddd"))&amp;"-"&amp;TEXT(A1938,"hh"),LoadTable[],6,FALSE)*T1938</f>
        <v>19705.663000880002</v>
      </c>
      <c r="V1938">
        <f t="shared" ref="V1938:W1938" si="2061">V1914</f>
        <v>3.2</v>
      </c>
      <c r="W1938">
        <f t="shared" si="2061"/>
        <v>2.9</v>
      </c>
      <c r="X1938" s="9">
        <v>-89.9738961166682</v>
      </c>
    </row>
    <row r="1939" spans="1:24">
      <c r="A1939" s="29">
        <f t="shared" si="2047"/>
        <v>45916.666666661971</v>
      </c>
      <c r="B1939" s="30">
        <f t="shared" si="2002"/>
        <v>8000</v>
      </c>
      <c r="C1939" s="8">
        <v>25000</v>
      </c>
      <c r="D1939" s="8">
        <v>0</v>
      </c>
      <c r="E1939" s="8">
        <v>700</v>
      </c>
      <c r="F1939" s="8">
        <v>15000</v>
      </c>
      <c r="G1939" s="30">
        <f t="shared" si="2003"/>
        <v>2400</v>
      </c>
      <c r="H1939" s="8">
        <v>25000</v>
      </c>
      <c r="I1939" s="30">
        <f t="shared" si="2004"/>
        <v>8000</v>
      </c>
      <c r="J1939" s="8">
        <v>25000</v>
      </c>
      <c r="K1939" s="30">
        <f t="shared" si="2005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VLOOKUP(VLOOKUP(DATEVALUE(TEXT(A1939,"m/d/yyyy")),FY24_Temp[],5,FALSE)&amp;TEXT(A1939,"-h"),Table6[],4,FALSE)</f>
        <v>1.0005714382444109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VLOOKUP(TEXT(A1939,"yy-mm")&amp;"-"&amp;IF(AND(WEEKDAY(A1939)&gt;1,WEEKDAY(A1939)&lt;7),"Wkd",TEXT(A1939,"Ddd"))&amp;"-"&amp;TEXT(A1939,"hh"),LoadTable[],5,FALSE)*0.92</f>
        <v>388.38076000000001</v>
      </c>
      <c r="U1939" s="104">
        <f>VLOOKUP(TEXT(A1939,"yy-mm")&amp;"-"&amp;IF(AND(WEEKDAY(A1939)&gt;1,WEEKDAY(A1939)&lt;7),"Wkd",TEXT(A1939,"Ddd"))&amp;"-"&amp;TEXT(A1939,"hh"),LoadTable[],6,FALSE)*T1939</f>
        <v>23675.6911296</v>
      </c>
      <c r="V1939">
        <f t="shared" ref="V1939:W1939" si="2062">V1915</f>
        <v>3.5</v>
      </c>
      <c r="W1939">
        <f t="shared" si="2062"/>
        <v>3</v>
      </c>
      <c r="X1939" s="9">
        <v>-90.051690666668193</v>
      </c>
    </row>
    <row r="1940" spans="1:24">
      <c r="A1940" s="29">
        <f t="shared" si="2047"/>
        <v>45916.708333328635</v>
      </c>
      <c r="B1940" s="30">
        <f t="shared" si="2002"/>
        <v>8000</v>
      </c>
      <c r="C1940" s="8">
        <v>25000</v>
      </c>
      <c r="D1940" s="8">
        <v>0</v>
      </c>
      <c r="E1940" s="8">
        <v>700</v>
      </c>
      <c r="F1940" s="8">
        <v>15000</v>
      </c>
      <c r="G1940" s="30">
        <f t="shared" si="2003"/>
        <v>2400</v>
      </c>
      <c r="H1940" s="8">
        <v>25000</v>
      </c>
      <c r="I1940" s="30">
        <f t="shared" si="2004"/>
        <v>8000</v>
      </c>
      <c r="J1940" s="8">
        <v>25000</v>
      </c>
      <c r="K1940" s="30">
        <f t="shared" si="2005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VLOOKUP(VLOOKUP(DATEVALUE(TEXT(A1940,"m/d/yyyy")),FY24_Temp[],5,FALSE)&amp;TEXT(A1940,"-h"),Table6[],4,FALSE)</f>
        <v>1.4091428688594274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VLOOKUP(TEXT(A1940,"yy-mm")&amp;"-"&amp;IF(AND(WEEKDAY(A1940)&gt;1,WEEKDAY(A1940)&lt;7),"Wkd",TEXT(A1940,"Ddd"))&amp;"-"&amp;TEXT(A1940,"hh"),LoadTable[],5,FALSE)*0.92</f>
        <v>388.38076000000001</v>
      </c>
      <c r="U1940" s="104">
        <f>VLOOKUP(TEXT(A1940,"yy-mm")&amp;"-"&amp;IF(AND(WEEKDAY(A1940)&gt;1,WEEKDAY(A1940)&lt;7),"Wkd",TEXT(A1940,"Ddd"))&amp;"-"&amp;TEXT(A1940,"hh"),LoadTable[],6,FALSE)*T1940</f>
        <v>31454.180990880002</v>
      </c>
      <c r="V1940">
        <f t="shared" ref="V1940:W1940" si="2063">V1916</f>
        <v>3.6</v>
      </c>
      <c r="W1940">
        <f t="shared" si="2063"/>
        <v>3</v>
      </c>
      <c r="X1940" s="9">
        <v>-90.129485216668201</v>
      </c>
    </row>
    <row r="1941" spans="1:24">
      <c r="A1941" s="29">
        <f t="shared" si="2047"/>
        <v>45916.7499999953</v>
      </c>
      <c r="B1941" s="30">
        <f t="shared" si="2002"/>
        <v>5000</v>
      </c>
      <c r="C1941" s="8">
        <v>25000</v>
      </c>
      <c r="D1941" s="8">
        <v>0</v>
      </c>
      <c r="E1941" s="8">
        <v>700</v>
      </c>
      <c r="F1941" s="8">
        <v>15000</v>
      </c>
      <c r="G1941" s="30">
        <f t="shared" si="2003"/>
        <v>2400</v>
      </c>
      <c r="H1941" s="8">
        <v>25000</v>
      </c>
      <c r="I1941" s="30">
        <f t="shared" si="2004"/>
        <v>5000</v>
      </c>
      <c r="J1941" s="8">
        <v>25000</v>
      </c>
      <c r="K1941" s="30">
        <f t="shared" si="2005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VLOOKUP(VLOOKUP(DATEVALUE(TEXT(A1941,"m/d/yyyy")),FY24_Temp[],5,FALSE)&amp;TEXT(A1941,"-h"),Table6[],4,FALSE)</f>
        <v>1.9017142908913749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VLOOKUP(TEXT(A1941,"yy-mm")&amp;"-"&amp;IF(AND(WEEKDAY(A1941)&gt;1,WEEKDAY(A1941)&lt;7),"Wkd",TEXT(A1941,"Ddd"))&amp;"-"&amp;TEXT(A1941,"hh"),LoadTable[],5,FALSE)*0.92</f>
        <v>388.38076000000001</v>
      </c>
      <c r="U1941" s="104">
        <f>VLOOKUP(TEXT(A1941,"yy-mm")&amp;"-"&amp;IF(AND(WEEKDAY(A1941)&gt;1,WEEKDAY(A1941)&lt;7),"Wkd",TEXT(A1941,"Ddd"))&amp;"-"&amp;TEXT(A1941,"hh"),LoadTable[],6,FALSE)*T1941</f>
        <v>38316.869020080005</v>
      </c>
      <c r="V1941">
        <f t="shared" ref="V1941:W1941" si="2064">V1917</f>
        <v>2.9</v>
      </c>
      <c r="W1941">
        <f t="shared" si="2064"/>
        <v>3</v>
      </c>
      <c r="X1941" s="9">
        <v>-90.207279766668194</v>
      </c>
    </row>
    <row r="1942" spans="1:24">
      <c r="A1942" s="29">
        <f t="shared" si="2047"/>
        <v>45916.791666661964</v>
      </c>
      <c r="B1942" s="30">
        <f t="shared" si="2002"/>
        <v>5000</v>
      </c>
      <c r="C1942" s="8">
        <v>25000</v>
      </c>
      <c r="D1942" s="8">
        <v>0</v>
      </c>
      <c r="E1942" s="8">
        <v>700</v>
      </c>
      <c r="F1942" s="8">
        <v>15000</v>
      </c>
      <c r="G1942" s="30">
        <f t="shared" si="2003"/>
        <v>2400</v>
      </c>
      <c r="H1942" s="8">
        <v>25000</v>
      </c>
      <c r="I1942" s="30">
        <f t="shared" si="2004"/>
        <v>5000</v>
      </c>
      <c r="J1942" s="8">
        <v>25000</v>
      </c>
      <c r="K1942" s="30">
        <f t="shared" si="2005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VLOOKUP(VLOOKUP(DATEVALUE(TEXT(A1942,"m/d/yyyy")),FY24_Temp[],5,FALSE)&amp;TEXT(A1942,"-h"),Table6[],4,FALSE)</f>
        <v>2.2652856963021413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VLOOKUP(TEXT(A1942,"yy-mm")&amp;"-"&amp;IF(AND(WEEKDAY(A1942)&gt;1,WEEKDAY(A1942)&lt;7),"Wkd",TEXT(A1942,"Ddd"))&amp;"-"&amp;TEXT(A1942,"hh"),LoadTable[],5,FALSE)*0.92</f>
        <v>388.38076000000001</v>
      </c>
      <c r="U1942" s="104">
        <f>VLOOKUP(TEXT(A1942,"yy-mm")&amp;"-"&amp;IF(AND(WEEKDAY(A1942)&gt;1,WEEKDAY(A1942)&lt;7),"Wkd",TEXT(A1942,"Ddd"))&amp;"-"&amp;TEXT(A1942,"hh"),LoadTable[],6,FALSE)*T1942</f>
        <v>41132.241149319998</v>
      </c>
      <c r="V1942">
        <f t="shared" ref="V1942:W1942" si="2065">V1918</f>
        <v>3</v>
      </c>
      <c r="W1942">
        <f t="shared" si="2065"/>
        <v>3</v>
      </c>
      <c r="X1942" s="9">
        <v>-90.285074316668201</v>
      </c>
    </row>
    <row r="1943" spans="1:24">
      <c r="A1943" s="29">
        <f t="shared" si="2047"/>
        <v>45916.833333328628</v>
      </c>
      <c r="B1943" s="30">
        <f t="shared" si="2002"/>
        <v>5000</v>
      </c>
      <c r="C1943" s="8">
        <v>25000</v>
      </c>
      <c r="D1943" s="8">
        <v>0</v>
      </c>
      <c r="E1943" s="8">
        <v>700</v>
      </c>
      <c r="F1943" s="8">
        <v>15000</v>
      </c>
      <c r="G1943" s="30">
        <f t="shared" si="2003"/>
        <v>2400</v>
      </c>
      <c r="H1943" s="8">
        <v>25000</v>
      </c>
      <c r="I1943" s="30">
        <f t="shared" si="2004"/>
        <v>5000</v>
      </c>
      <c r="J1943" s="8">
        <v>25000</v>
      </c>
      <c r="K1943" s="30">
        <f t="shared" si="2005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VLOOKUP(VLOOKUP(DATEVALUE(TEXT(A1943,"m/d/yyyy")),FY24_Temp[],5,FALSE)&amp;TEXT(A1943,"-h"),Table6[],4,FALSE)</f>
        <v>2.4488571711948941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VLOOKUP(TEXT(A1943,"yy-mm")&amp;"-"&amp;IF(AND(WEEKDAY(A1943)&gt;1,WEEKDAY(A1943)&lt;7),"Wkd",TEXT(A1943,"Ddd"))&amp;"-"&amp;TEXT(A1943,"hh"),LoadTable[],5,FALSE)*0.92</f>
        <v>388.38076000000001</v>
      </c>
      <c r="U1943" s="104">
        <f>VLOOKUP(TEXT(A1943,"yy-mm")&amp;"-"&amp;IF(AND(WEEKDAY(A1943)&gt;1,WEEKDAY(A1943)&lt;7),"Wkd",TEXT(A1943,"Ddd"))&amp;"-"&amp;TEXT(A1943,"hh"),LoadTable[],6,FALSE)*T1943</f>
        <v>36274.762984000001</v>
      </c>
      <c r="V1943">
        <f t="shared" ref="V1943:W1943" si="2066">V1919</f>
        <v>2.8</v>
      </c>
      <c r="W1943">
        <f t="shared" si="2066"/>
        <v>3.1</v>
      </c>
      <c r="X1943" s="9">
        <v>-90.362868866668194</v>
      </c>
    </row>
    <row r="1944" spans="1:24">
      <c r="A1944" s="29">
        <f t="shared" si="2047"/>
        <v>45916.874999995292</v>
      </c>
      <c r="B1944" s="30">
        <f t="shared" si="2002"/>
        <v>5000</v>
      </c>
      <c r="C1944" s="8">
        <v>25000</v>
      </c>
      <c r="D1944" s="8">
        <v>0</v>
      </c>
      <c r="E1944" s="8">
        <v>700</v>
      </c>
      <c r="F1944" s="8">
        <v>15000</v>
      </c>
      <c r="G1944" s="30">
        <f t="shared" si="2003"/>
        <v>2400</v>
      </c>
      <c r="H1944" s="8">
        <v>25000</v>
      </c>
      <c r="I1944" s="30">
        <f t="shared" si="2004"/>
        <v>5000</v>
      </c>
      <c r="J1944" s="8">
        <v>25000</v>
      </c>
      <c r="K1944" s="30">
        <f t="shared" si="2005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VLOOKUP(VLOOKUP(DATEVALUE(TEXT(A1944,"m/d/yyyy")),FY24_Temp[],5,FALSE)&amp;TEXT(A1944,"-h"),Table6[],4,FALSE)</f>
        <v>2.5055713994162425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VLOOKUP(TEXT(A1944,"yy-mm")&amp;"-"&amp;IF(AND(WEEKDAY(A1944)&gt;1,WEEKDAY(A1944)&lt;7),"Wkd",TEXT(A1944,"Ddd"))&amp;"-"&amp;TEXT(A1944,"hh"),LoadTable[],5,FALSE)*0.92</f>
        <v>373.79416000000003</v>
      </c>
      <c r="U1944" s="104">
        <f>VLOOKUP(TEXT(A1944,"yy-mm")&amp;"-"&amp;IF(AND(WEEKDAY(A1944)&gt;1,WEEKDAY(A1944)&lt;7),"Wkd",TEXT(A1944,"Ddd"))&amp;"-"&amp;TEXT(A1944,"hh"),LoadTable[],6,FALSE)*T1944</f>
        <v>31749.328362080003</v>
      </c>
      <c r="V1944">
        <f t="shared" ref="V1944:W1944" si="2067">V1920</f>
        <v>3.5</v>
      </c>
      <c r="W1944">
        <f t="shared" si="2067"/>
        <v>3.1</v>
      </c>
      <c r="X1944" s="9">
        <v>-90.440663416668201</v>
      </c>
    </row>
    <row r="1945" spans="1:24">
      <c r="A1945" s="29">
        <f t="shared" si="2047"/>
        <v>45916.916666661957</v>
      </c>
      <c r="B1945" s="30">
        <f t="shared" si="2002"/>
        <v>5000</v>
      </c>
      <c r="C1945" s="8">
        <v>25000</v>
      </c>
      <c r="D1945" s="8">
        <v>0</v>
      </c>
      <c r="E1945" s="8">
        <v>700</v>
      </c>
      <c r="F1945" s="8">
        <v>15000</v>
      </c>
      <c r="G1945" s="30">
        <f t="shared" si="2003"/>
        <v>2400</v>
      </c>
      <c r="H1945" s="8">
        <v>25000</v>
      </c>
      <c r="I1945" s="30">
        <f t="shared" si="2004"/>
        <v>5000</v>
      </c>
      <c r="J1945" s="8">
        <v>25000</v>
      </c>
      <c r="K1945" s="30">
        <f t="shared" si="2005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VLOOKUP(VLOOKUP(DATEVALUE(TEXT(A1945,"m/d/yyyy")),FY24_Temp[],5,FALSE)&amp;TEXT(A1945,"-h"),Table6[],4,FALSE)</f>
        <v>2.4671428544180736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VLOOKUP(TEXT(A1945,"yy-mm")&amp;"-"&amp;IF(AND(WEEKDAY(A1945)&gt;1,WEEKDAY(A1945)&lt;7),"Wkd",TEXT(A1945,"Ddd"))&amp;"-"&amp;TEXT(A1945,"hh"),LoadTable[],5,FALSE)*0.92</f>
        <v>299.65044</v>
      </c>
      <c r="U1945" s="104">
        <f>VLOOKUP(TEXT(A1945,"yy-mm")&amp;"-"&amp;IF(AND(WEEKDAY(A1945)&gt;1,WEEKDAY(A1945)&lt;7),"Wkd",TEXT(A1945,"Ddd"))&amp;"-"&amp;TEXT(A1945,"hh"),LoadTable[],6,FALSE)*T1945</f>
        <v>15023.87376072</v>
      </c>
      <c r="V1945">
        <f t="shared" ref="V1945:W1945" si="2068">V1921</f>
        <v>2.9</v>
      </c>
      <c r="W1945">
        <f t="shared" si="2068"/>
        <v>3.1</v>
      </c>
      <c r="X1945" s="9">
        <v>-90.518457966668294</v>
      </c>
    </row>
    <row r="1946" spans="1:24">
      <c r="A1946" s="29">
        <f t="shared" si="2047"/>
        <v>45916.958333328621</v>
      </c>
      <c r="B1946" s="30">
        <f t="shared" si="2002"/>
        <v>5000</v>
      </c>
      <c r="C1946" s="8">
        <v>25000</v>
      </c>
      <c r="D1946" s="8">
        <v>0</v>
      </c>
      <c r="E1946" s="8">
        <v>700</v>
      </c>
      <c r="F1946" s="8">
        <v>15000</v>
      </c>
      <c r="G1946" s="30">
        <f t="shared" si="2003"/>
        <v>2400</v>
      </c>
      <c r="H1946" s="8">
        <v>25000</v>
      </c>
      <c r="I1946" s="30">
        <f t="shared" si="2004"/>
        <v>5000</v>
      </c>
      <c r="J1946" s="8">
        <v>25000</v>
      </c>
      <c r="K1946" s="30">
        <f t="shared" si="2005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VLOOKUP(VLOOKUP(DATEVALUE(TEXT(A1946,"m/d/yyyy")),FY24_Temp[],5,FALSE)&amp;TEXT(A1946,"-h"),Table6[],4,FALSE)</f>
        <v>2.4559999534061978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VLOOKUP(TEXT(A1946,"yy-mm")&amp;"-"&amp;IF(AND(WEEKDAY(A1946)&gt;1,WEEKDAY(A1946)&lt;7),"Wkd",TEXT(A1946,"Ddd"))&amp;"-"&amp;TEXT(A1946,"hh"),LoadTable[],5,FALSE)*0.92</f>
        <v>237.25788000000003</v>
      </c>
      <c r="U1946" s="104">
        <f>VLOOKUP(TEXT(A1946,"yy-mm")&amp;"-"&amp;IF(AND(WEEKDAY(A1946)&gt;1,WEEKDAY(A1946)&lt;7),"Wkd",TEXT(A1946,"Ddd"))&amp;"-"&amp;TEXT(A1946,"hh"),LoadTable[],6,FALSE)*T1946</f>
        <v>11687.323168800001</v>
      </c>
      <c r="V1946">
        <f t="shared" ref="V1946:W1946" si="2069">V1922</f>
        <v>3.6</v>
      </c>
      <c r="W1946">
        <f t="shared" si="2069"/>
        <v>3.1</v>
      </c>
      <c r="X1946" s="9">
        <v>-90.596252516668301</v>
      </c>
    </row>
    <row r="1947" spans="1:24">
      <c r="A1947" s="29">
        <f t="shared" si="2047"/>
        <v>45916.999999995285</v>
      </c>
      <c r="B1947" s="30">
        <f t="shared" si="2002"/>
        <v>5000</v>
      </c>
      <c r="C1947" s="8">
        <v>25000</v>
      </c>
      <c r="D1947" s="8">
        <v>0</v>
      </c>
      <c r="E1947" s="8">
        <v>700</v>
      </c>
      <c r="F1947" s="8">
        <v>15000</v>
      </c>
      <c r="G1947" s="30">
        <f t="shared" si="2003"/>
        <v>2400</v>
      </c>
      <c r="H1947" s="8">
        <v>25000</v>
      </c>
      <c r="I1947" s="30">
        <f t="shared" si="2004"/>
        <v>5000</v>
      </c>
      <c r="J1947" s="8">
        <v>25000</v>
      </c>
      <c r="K1947" s="30">
        <f t="shared" si="2005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VLOOKUP(VLOOKUP(DATEVALUE(TEXT(A1947,"m/d/yyyy")),FY24_Temp[],5,FALSE)&amp;TEXT(A1947,"-h"),Table6[],4,FALSE)</f>
        <v>2.4424285888671875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VLOOKUP(TEXT(A1947,"yy-mm")&amp;"-"&amp;IF(AND(WEEKDAY(A1947)&gt;1,WEEKDAY(A1947)&lt;7),"Wkd",TEXT(A1947,"Ddd"))&amp;"-"&amp;TEXT(A1947,"hh"),LoadTable[],5,FALSE)*0.92</f>
        <v>237.25788000000003</v>
      </c>
      <c r="U1947" s="104">
        <f>VLOOKUP(TEXT(A1947,"yy-mm")&amp;"-"&amp;IF(AND(WEEKDAY(A1947)&gt;1,WEEKDAY(A1947)&lt;7),"Wkd",TEXT(A1947,"Ddd"))&amp;"-"&amp;TEXT(A1947,"hh"),LoadTable[],6,FALSE)*T1947</f>
        <v>12215.696467560001</v>
      </c>
      <c r="V1947">
        <f t="shared" ref="V1947:W1947" si="2070">V1923</f>
        <v>3</v>
      </c>
      <c r="W1947">
        <f t="shared" si="2070"/>
        <v>3.2</v>
      </c>
      <c r="X1947" s="9">
        <v>-90.674047066668294</v>
      </c>
    </row>
    <row r="1948" spans="1:24">
      <c r="A1948" s="29">
        <f t="shared" si="2047"/>
        <v>45917.041666661949</v>
      </c>
      <c r="B1948" s="30">
        <f t="shared" ref="B1948:B2011" si="2071">B1924</f>
        <v>5000</v>
      </c>
      <c r="C1948" s="8">
        <v>25000</v>
      </c>
      <c r="D1948" s="8">
        <v>0</v>
      </c>
      <c r="E1948" s="8">
        <v>700</v>
      </c>
      <c r="F1948" s="8">
        <v>15000</v>
      </c>
      <c r="G1948" s="30">
        <f t="shared" ref="G1948:G2011" si="2072">G1924</f>
        <v>2400</v>
      </c>
      <c r="H1948" s="8">
        <v>25000</v>
      </c>
      <c r="I1948" s="30">
        <f t="shared" ref="I1948:I2011" si="2073">I1924</f>
        <v>5000</v>
      </c>
      <c r="J1948" s="8">
        <v>25000</v>
      </c>
      <c r="K1948" s="30">
        <f t="shared" ref="K1948:K2011" si="2074">K1924</f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VLOOKUP(VLOOKUP(DATEVALUE(TEXT(A1948,"m/d/yyyy")),FY24_Temp[],5,FALSE)&amp;TEXT(A1948,"-h"),Table6[],4,FALSE)</f>
        <v>2.3764285360063826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VLOOKUP(TEXT(A1948,"yy-mm")&amp;"-"&amp;IF(AND(WEEKDAY(A1948)&gt;1,WEEKDAY(A1948)&lt;7),"Wkd",TEXT(A1948,"Ddd"))&amp;"-"&amp;TEXT(A1948,"hh"),LoadTable[],5,FALSE)*0.92</f>
        <v>237.25788000000003</v>
      </c>
      <c r="U1948" s="104">
        <f>VLOOKUP(TEXT(A1948,"yy-mm")&amp;"-"&amp;IF(AND(WEEKDAY(A1948)&gt;1,WEEKDAY(A1948)&lt;7),"Wkd",TEXT(A1948,"Ddd"))&amp;"-"&amp;TEXT(A1948,"hh"),LoadTable[],6,FALSE)*T1948</f>
        <v>11905.12590264</v>
      </c>
      <c r="V1948">
        <f t="shared" ref="V1948:W1948" si="2075">V1924</f>
        <v>2.6</v>
      </c>
      <c r="W1948">
        <f t="shared" si="2075"/>
        <v>3.2</v>
      </c>
      <c r="X1948" s="9">
        <v>-90.751841616668301</v>
      </c>
    </row>
    <row r="1949" spans="1:24">
      <c r="A1949" s="29">
        <f t="shared" si="2047"/>
        <v>45917.083333328614</v>
      </c>
      <c r="B1949" s="30">
        <f t="shared" si="2071"/>
        <v>5000</v>
      </c>
      <c r="C1949" s="8">
        <v>25000</v>
      </c>
      <c r="D1949" s="8">
        <v>0</v>
      </c>
      <c r="E1949" s="8">
        <v>700</v>
      </c>
      <c r="F1949" s="8">
        <v>15000</v>
      </c>
      <c r="G1949" s="30">
        <f t="shared" si="2072"/>
        <v>2400</v>
      </c>
      <c r="H1949" s="8">
        <v>25000</v>
      </c>
      <c r="I1949" s="30">
        <f t="shared" si="2073"/>
        <v>5000</v>
      </c>
      <c r="J1949" s="8">
        <v>25000</v>
      </c>
      <c r="K1949" s="30">
        <f t="shared" si="2074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VLOOKUP(VLOOKUP(DATEVALUE(TEXT(A1949,"m/d/yyyy")),FY24_Temp[],5,FALSE)&amp;TEXT(A1949,"-h"),Table6[],4,FALSE)</f>
        <v>2.2488571235111783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VLOOKUP(TEXT(A1949,"yy-mm")&amp;"-"&amp;IF(AND(WEEKDAY(A1949)&gt;1,WEEKDAY(A1949)&lt;7),"Wkd",TEXT(A1949,"Ddd"))&amp;"-"&amp;TEXT(A1949,"hh"),LoadTable[],5,FALSE)*0.92</f>
        <v>237.25788000000003</v>
      </c>
      <c r="U1949" s="104">
        <f>VLOOKUP(TEXT(A1949,"yy-mm")&amp;"-"&amp;IF(AND(WEEKDAY(A1949)&gt;1,WEEKDAY(A1949)&lt;7),"Wkd",TEXT(A1949,"Ddd"))&amp;"-"&amp;TEXT(A1949,"hh"),LoadTable[],6,FALSE)*T1949</f>
        <v>11856.013521480001</v>
      </c>
      <c r="V1949">
        <f t="shared" ref="V1949:W1949" si="2076">V1925</f>
        <v>2.8</v>
      </c>
      <c r="W1949">
        <f t="shared" si="2076"/>
        <v>3.2</v>
      </c>
      <c r="X1949" s="9">
        <v>-90.829636166668294</v>
      </c>
    </row>
    <row r="1950" spans="1:24">
      <c r="A1950" s="29">
        <f t="shared" si="2047"/>
        <v>45917.124999995278</v>
      </c>
      <c r="B1950" s="30">
        <f t="shared" si="2071"/>
        <v>5000</v>
      </c>
      <c r="C1950" s="8">
        <v>25000</v>
      </c>
      <c r="D1950" s="8">
        <v>0</v>
      </c>
      <c r="E1950" s="8">
        <v>700</v>
      </c>
      <c r="F1950" s="8">
        <v>15000</v>
      </c>
      <c r="G1950" s="30">
        <f t="shared" si="2072"/>
        <v>2400</v>
      </c>
      <c r="H1950" s="8">
        <v>25000</v>
      </c>
      <c r="I1950" s="30">
        <f t="shared" si="2073"/>
        <v>5000</v>
      </c>
      <c r="J1950" s="8">
        <v>25000</v>
      </c>
      <c r="K1950" s="30">
        <f t="shared" si="2074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VLOOKUP(VLOOKUP(DATEVALUE(TEXT(A1950,"m/d/yyyy")),FY24_Temp[],5,FALSE)&amp;TEXT(A1950,"-h"),Table6[],4,FALSE)</f>
        <v>2.1057142530168806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VLOOKUP(TEXT(A1950,"yy-mm")&amp;"-"&amp;IF(AND(WEEKDAY(A1950)&gt;1,WEEKDAY(A1950)&lt;7),"Wkd",TEXT(A1950,"Ddd"))&amp;"-"&amp;TEXT(A1950,"hh"),LoadTable[],5,FALSE)*0.92</f>
        <v>237.25788000000003</v>
      </c>
      <c r="U1950" s="104">
        <f>VLOOKUP(TEXT(A1950,"yy-mm")&amp;"-"&amp;IF(AND(WEEKDAY(A1950)&gt;1,WEEKDAY(A1950)&lt;7),"Wkd",TEXT(A1950,"Ddd"))&amp;"-"&amp;TEXT(A1950,"hh"),LoadTable[],6,FALSE)*T1950</f>
        <v>11893.025750760002</v>
      </c>
      <c r="V1950">
        <f t="shared" ref="V1950:W1950" si="2077">V1926</f>
        <v>2.7</v>
      </c>
      <c r="W1950">
        <f t="shared" si="2077"/>
        <v>3.2</v>
      </c>
      <c r="X1950" s="9">
        <v>-90.907430716668301</v>
      </c>
    </row>
    <row r="1951" spans="1:24">
      <c r="A1951" s="29">
        <f t="shared" si="2047"/>
        <v>45917.166666661942</v>
      </c>
      <c r="B1951" s="30">
        <f t="shared" si="2071"/>
        <v>5000</v>
      </c>
      <c r="C1951" s="8">
        <v>25000</v>
      </c>
      <c r="D1951" s="8">
        <v>0</v>
      </c>
      <c r="E1951" s="8">
        <v>700</v>
      </c>
      <c r="F1951" s="8">
        <v>15000</v>
      </c>
      <c r="G1951" s="30">
        <f t="shared" si="2072"/>
        <v>2400</v>
      </c>
      <c r="H1951" s="8">
        <v>25000</v>
      </c>
      <c r="I1951" s="30">
        <f t="shared" si="2073"/>
        <v>5000</v>
      </c>
      <c r="J1951" s="8">
        <v>25000</v>
      </c>
      <c r="K1951" s="30">
        <f t="shared" si="2074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VLOOKUP(VLOOKUP(DATEVALUE(TEXT(A1951,"m/d/yyyy")),FY24_Temp[],5,FALSE)&amp;TEXT(A1951,"-h"),Table6[],4,FALSE)</f>
        <v>1.956142851284572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VLOOKUP(TEXT(A1951,"yy-mm")&amp;"-"&amp;IF(AND(WEEKDAY(A1951)&gt;1,WEEKDAY(A1951)&lt;7),"Wkd",TEXT(A1951,"Ddd"))&amp;"-"&amp;TEXT(A1951,"hh"),LoadTable[],5,FALSE)*0.92</f>
        <v>237.25788000000003</v>
      </c>
      <c r="U1951" s="104">
        <f>VLOOKUP(TEXT(A1951,"yy-mm")&amp;"-"&amp;IF(AND(WEEKDAY(A1951)&gt;1,WEEKDAY(A1951)&lt;7),"Wkd",TEXT(A1951,"Ddd"))&amp;"-"&amp;TEXT(A1951,"hh"),LoadTable[],6,FALSE)*T1951</f>
        <v>12081.645765360001</v>
      </c>
      <c r="V1951">
        <f t="shared" ref="V1951:W1951" si="2078">V1927</f>
        <v>3</v>
      </c>
      <c r="W1951">
        <f t="shared" si="2078"/>
        <v>3.1</v>
      </c>
      <c r="X1951" s="9">
        <v>-90.985225266668294</v>
      </c>
    </row>
    <row r="1952" spans="1:24">
      <c r="A1952" s="29">
        <f t="shared" si="2047"/>
        <v>45917.208333328606</v>
      </c>
      <c r="B1952" s="30">
        <f t="shared" si="2071"/>
        <v>5000</v>
      </c>
      <c r="C1952" s="8">
        <v>25000</v>
      </c>
      <c r="D1952" s="8">
        <v>0</v>
      </c>
      <c r="E1952" s="8">
        <v>700</v>
      </c>
      <c r="F1952" s="8">
        <v>15000</v>
      </c>
      <c r="G1952" s="30">
        <f t="shared" si="2072"/>
        <v>2400</v>
      </c>
      <c r="H1952" s="8">
        <v>25000</v>
      </c>
      <c r="I1952" s="30">
        <f t="shared" si="2073"/>
        <v>5000</v>
      </c>
      <c r="J1952" s="8">
        <v>25000</v>
      </c>
      <c r="K1952" s="30">
        <f t="shared" si="2074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VLOOKUP(VLOOKUP(DATEVALUE(TEXT(A1952,"m/d/yyyy")),FY24_Temp[],5,FALSE)&amp;TEXT(A1952,"-h"),Table6[],4,FALSE)</f>
        <v>1.8435714244842529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VLOOKUP(TEXT(A1952,"yy-mm")&amp;"-"&amp;IF(AND(WEEKDAY(A1952)&gt;1,WEEKDAY(A1952)&lt;7),"Wkd",TEXT(A1952,"Ddd"))&amp;"-"&amp;TEXT(A1952,"hh"),LoadTable[],5,FALSE)*0.92</f>
        <v>237.25788000000003</v>
      </c>
      <c r="U1952" s="104">
        <f>VLOOKUP(TEXT(A1952,"yy-mm")&amp;"-"&amp;IF(AND(WEEKDAY(A1952)&gt;1,WEEKDAY(A1952)&lt;7),"Wkd",TEXT(A1952,"Ddd"))&amp;"-"&amp;TEXT(A1952,"hh"),LoadTable[],6,FALSE)*T1952</f>
        <v>12065.037713760001</v>
      </c>
      <c r="V1952">
        <f t="shared" ref="V1952:W1952" si="2079">V1928</f>
        <v>2.9</v>
      </c>
      <c r="W1952">
        <f t="shared" si="2079"/>
        <v>3.1</v>
      </c>
      <c r="X1952" s="9">
        <v>-91.063019816668302</v>
      </c>
    </row>
    <row r="1953" spans="1:24">
      <c r="A1953" s="29">
        <f t="shared" si="2047"/>
        <v>45917.249999995271</v>
      </c>
      <c r="B1953" s="30">
        <f t="shared" si="2071"/>
        <v>8000</v>
      </c>
      <c r="C1953" s="8">
        <v>25000</v>
      </c>
      <c r="D1953" s="8">
        <v>0</v>
      </c>
      <c r="E1953" s="8">
        <v>700</v>
      </c>
      <c r="F1953" s="8">
        <v>15000</v>
      </c>
      <c r="G1953" s="30">
        <f t="shared" si="2072"/>
        <v>2400</v>
      </c>
      <c r="H1953" s="8">
        <v>25000</v>
      </c>
      <c r="I1953" s="30">
        <f t="shared" si="2073"/>
        <v>8000</v>
      </c>
      <c r="J1953" s="8">
        <v>25000</v>
      </c>
      <c r="K1953" s="30">
        <f t="shared" si="2074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VLOOKUP(VLOOKUP(DATEVALUE(TEXT(A1953,"m/d/yyyy")),FY24_Temp[],5,FALSE)&amp;TEXT(A1953,"-h"),Table6[],4,FALSE)</f>
        <v>1.7435714176722936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VLOOKUP(TEXT(A1953,"yy-mm")&amp;"-"&amp;IF(AND(WEEKDAY(A1953)&gt;1,WEEKDAY(A1953)&lt;7),"Wkd",TEXT(A1953,"Ddd"))&amp;"-"&amp;TEXT(A1953,"hh"),LoadTable[],5,FALSE)*0.92</f>
        <v>237.25788000000003</v>
      </c>
      <c r="U1953" s="104">
        <f>VLOOKUP(TEXT(A1953,"yy-mm")&amp;"-"&amp;IF(AND(WEEKDAY(A1953)&gt;1,WEEKDAY(A1953)&lt;7),"Wkd",TEXT(A1953,"Ddd"))&amp;"-"&amp;TEXT(A1953,"hh"),LoadTable[],6,FALSE)*T1953</f>
        <v>18358.065722880005</v>
      </c>
      <c r="V1953">
        <f t="shared" ref="V1953:W1953" si="2080">V1929</f>
        <v>2.5</v>
      </c>
      <c r="W1953">
        <f t="shared" si="2080"/>
        <v>3.1</v>
      </c>
      <c r="X1953" s="9">
        <v>-91.140814366668295</v>
      </c>
    </row>
    <row r="1954" spans="1:24">
      <c r="A1954" s="29">
        <f t="shared" si="2047"/>
        <v>45917.291666661935</v>
      </c>
      <c r="B1954" s="30">
        <f t="shared" si="2071"/>
        <v>8000</v>
      </c>
      <c r="C1954" s="8">
        <v>25000</v>
      </c>
      <c r="D1954" s="8">
        <v>0</v>
      </c>
      <c r="E1954" s="8">
        <v>700</v>
      </c>
      <c r="F1954" s="8">
        <v>15000</v>
      </c>
      <c r="G1954" s="30">
        <f t="shared" si="2072"/>
        <v>2400</v>
      </c>
      <c r="H1954" s="8">
        <v>25000</v>
      </c>
      <c r="I1954" s="30">
        <f t="shared" si="2073"/>
        <v>8000</v>
      </c>
      <c r="J1954" s="8">
        <v>25000</v>
      </c>
      <c r="K1954" s="30">
        <f t="shared" si="2074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VLOOKUP(VLOOKUP(DATEVALUE(TEXT(A1954,"m/d/yyyy")),FY24_Temp[],5,FALSE)&amp;TEXT(A1954,"-h"),Table6[],4,FALSE)</f>
        <v>1.5834285702024187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VLOOKUP(TEXT(A1954,"yy-mm")&amp;"-"&amp;IF(AND(WEEKDAY(A1954)&gt;1,WEEKDAY(A1954)&lt;7),"Wkd",TEXT(A1954,"Ddd"))&amp;"-"&amp;TEXT(A1954,"hh"),LoadTable[],5,FALSE)*0.92</f>
        <v>237.25788000000003</v>
      </c>
      <c r="U1954" s="104">
        <f>VLOOKUP(TEXT(A1954,"yy-mm")&amp;"-"&amp;IF(AND(WEEKDAY(A1954)&gt;1,WEEKDAY(A1954)&lt;7),"Wkd",TEXT(A1954,"Ddd"))&amp;"-"&amp;TEXT(A1954,"hh"),LoadTable[],6,FALSE)*T1954</f>
        <v>16249.08042756</v>
      </c>
      <c r="V1954">
        <f t="shared" ref="V1954:W1954" si="2081">V1930</f>
        <v>2.5</v>
      </c>
      <c r="W1954">
        <f t="shared" si="2081"/>
        <v>3.1</v>
      </c>
      <c r="X1954" s="9">
        <v>-91.218608916668302</v>
      </c>
    </row>
    <row r="1955" spans="1:24">
      <c r="A1955" s="29">
        <f t="shared" si="2047"/>
        <v>45917.333333328599</v>
      </c>
      <c r="B1955" s="30">
        <f t="shared" si="2071"/>
        <v>8000</v>
      </c>
      <c r="C1955" s="8">
        <v>25000</v>
      </c>
      <c r="D1955" s="8">
        <v>0</v>
      </c>
      <c r="E1955" s="8">
        <v>700</v>
      </c>
      <c r="F1955" s="8">
        <v>15000</v>
      </c>
      <c r="G1955" s="30">
        <f t="shared" si="2072"/>
        <v>2400</v>
      </c>
      <c r="H1955" s="8">
        <v>25000</v>
      </c>
      <c r="I1955" s="30">
        <f t="shared" si="2073"/>
        <v>8000</v>
      </c>
      <c r="J1955" s="8">
        <v>25000</v>
      </c>
      <c r="K1955" s="30">
        <f t="shared" si="2074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VLOOKUP(VLOOKUP(DATEVALUE(TEXT(A1955,"m/d/yyyy")),FY24_Temp[],5,FALSE)&amp;TEXT(A1955,"-h"),Table6[],4,FALSE)</f>
        <v>1.5194285767418998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VLOOKUP(TEXT(A1955,"yy-mm")&amp;"-"&amp;IF(AND(WEEKDAY(A1955)&gt;1,WEEKDAY(A1955)&lt;7),"Wkd",TEXT(A1955,"Ddd"))&amp;"-"&amp;TEXT(A1955,"hh"),LoadTable[],5,FALSE)*0.92</f>
        <v>237.25788000000003</v>
      </c>
      <c r="U1955" s="104">
        <f>VLOOKUP(TEXT(A1955,"yy-mm")&amp;"-"&amp;IF(AND(WEEKDAY(A1955)&gt;1,WEEKDAY(A1955)&lt;7),"Wkd",TEXT(A1955,"Ddd"))&amp;"-"&amp;TEXT(A1955,"hh"),LoadTable[],6,FALSE)*T1955</f>
        <v>13068.164030400001</v>
      </c>
      <c r="V1955">
        <f t="shared" ref="V1955:W1955" si="2082">V1931</f>
        <v>3.2</v>
      </c>
      <c r="W1955">
        <f t="shared" si="2082"/>
        <v>3</v>
      </c>
      <c r="X1955" s="9">
        <v>-91.296403466668295</v>
      </c>
    </row>
    <row r="1956" spans="1:24">
      <c r="A1956" s="29">
        <f t="shared" si="2047"/>
        <v>45917.374999995263</v>
      </c>
      <c r="B1956" s="30">
        <f t="shared" si="2071"/>
        <v>8000</v>
      </c>
      <c r="C1956" s="8">
        <v>25000</v>
      </c>
      <c r="D1956" s="8">
        <v>0</v>
      </c>
      <c r="E1956" s="8">
        <v>700</v>
      </c>
      <c r="F1956" s="8">
        <v>15000</v>
      </c>
      <c r="G1956" s="30">
        <f t="shared" si="2072"/>
        <v>2400</v>
      </c>
      <c r="H1956" s="8">
        <v>25000</v>
      </c>
      <c r="I1956" s="30">
        <f t="shared" si="2073"/>
        <v>8000</v>
      </c>
      <c r="J1956" s="8">
        <v>25000</v>
      </c>
      <c r="K1956" s="30">
        <f t="shared" si="2074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VLOOKUP(VLOOKUP(DATEVALUE(TEXT(A1956,"m/d/yyyy")),FY24_Temp[],5,FALSE)&amp;TEXT(A1956,"-h"),Table6[],4,FALSE)</f>
        <v>1.3778571401323592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VLOOKUP(TEXT(A1956,"yy-mm")&amp;"-"&amp;IF(AND(WEEKDAY(A1956)&gt;1,WEEKDAY(A1956)&lt;7),"Wkd",TEXT(A1956,"Ddd"))&amp;"-"&amp;TEXT(A1956,"hh"),LoadTable[],5,FALSE)*0.92</f>
        <v>237.25788000000003</v>
      </c>
      <c r="U1956" s="104">
        <f>VLOOKUP(TEXT(A1956,"yy-mm")&amp;"-"&amp;IF(AND(WEEKDAY(A1956)&gt;1,WEEKDAY(A1956)&lt;7),"Wkd",TEXT(A1956,"Ddd"))&amp;"-"&amp;TEXT(A1956,"hh"),LoadTable[],6,FALSE)*T1956</f>
        <v>11518.395558240001</v>
      </c>
      <c r="V1956">
        <f t="shared" ref="V1956:W1956" si="2083">V1932</f>
        <v>2.9</v>
      </c>
      <c r="W1956">
        <f t="shared" si="2083"/>
        <v>3</v>
      </c>
      <c r="X1956" s="9">
        <v>-91.374198016668302</v>
      </c>
    </row>
    <row r="1957" spans="1:24">
      <c r="A1957" s="29">
        <f t="shared" si="2047"/>
        <v>45917.416666661928</v>
      </c>
      <c r="B1957" s="30">
        <f t="shared" si="2071"/>
        <v>8000</v>
      </c>
      <c r="C1957" s="8">
        <v>25000</v>
      </c>
      <c r="D1957" s="8">
        <v>0</v>
      </c>
      <c r="E1957" s="8">
        <v>700</v>
      </c>
      <c r="F1957" s="8">
        <v>15000</v>
      </c>
      <c r="G1957" s="30">
        <f t="shared" si="2072"/>
        <v>2400</v>
      </c>
      <c r="H1957" s="8">
        <v>25000</v>
      </c>
      <c r="I1957" s="30">
        <f t="shared" si="2073"/>
        <v>8000</v>
      </c>
      <c r="J1957" s="8">
        <v>25000</v>
      </c>
      <c r="K1957" s="30">
        <f t="shared" si="2074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VLOOKUP(VLOOKUP(DATEVALUE(TEXT(A1957,"m/d/yyyy")),FY24_Temp[],5,FALSE)&amp;TEXT(A1957,"-h"),Table6[],4,FALSE)</f>
        <v>1.2395714351109095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VLOOKUP(TEXT(A1957,"yy-mm")&amp;"-"&amp;IF(AND(WEEKDAY(A1957)&gt;1,WEEKDAY(A1957)&lt;7),"Wkd",TEXT(A1957,"Ddd"))&amp;"-"&amp;TEXT(A1957,"hh"),LoadTable[],5,FALSE)*0.92</f>
        <v>237.25788000000003</v>
      </c>
      <c r="U1957" s="104">
        <f>VLOOKUP(TEXT(A1957,"yy-mm")&amp;"-"&amp;IF(AND(WEEKDAY(A1957)&gt;1,WEEKDAY(A1957)&lt;7),"Wkd",TEXT(A1957,"Ddd"))&amp;"-"&amp;TEXT(A1957,"hh"),LoadTable[],6,FALSE)*T1957</f>
        <v>10982.667265200002</v>
      </c>
      <c r="V1957">
        <f t="shared" ref="V1957:W1957" si="2084">V1933</f>
        <v>2.9</v>
      </c>
      <c r="W1957">
        <f t="shared" si="2084"/>
        <v>3</v>
      </c>
      <c r="X1957" s="9">
        <v>-91.451992566668295</v>
      </c>
    </row>
    <row r="1958" spans="1:24">
      <c r="A1958" s="29">
        <f t="shared" si="2047"/>
        <v>45917.458333328592</v>
      </c>
      <c r="B1958" s="30">
        <f t="shared" si="2071"/>
        <v>8000</v>
      </c>
      <c r="C1958" s="8">
        <v>25000</v>
      </c>
      <c r="D1958" s="8">
        <v>0</v>
      </c>
      <c r="E1958" s="8">
        <v>700</v>
      </c>
      <c r="F1958" s="8">
        <v>15000</v>
      </c>
      <c r="G1958" s="30">
        <f t="shared" si="2072"/>
        <v>2400</v>
      </c>
      <c r="H1958" s="8">
        <v>25000</v>
      </c>
      <c r="I1958" s="30">
        <f t="shared" si="2073"/>
        <v>8000</v>
      </c>
      <c r="J1958" s="8">
        <v>25000</v>
      </c>
      <c r="K1958" s="30">
        <f t="shared" si="2074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VLOOKUP(VLOOKUP(DATEVALUE(TEXT(A1958,"m/d/yyyy")),FY24_Temp[],5,FALSE)&amp;TEXT(A1958,"-h"),Table6[],4,FALSE)</f>
        <v>1.1261428764888219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VLOOKUP(TEXT(A1958,"yy-mm")&amp;"-"&amp;IF(AND(WEEKDAY(A1958)&gt;1,WEEKDAY(A1958)&lt;7),"Wkd",TEXT(A1958,"Ddd"))&amp;"-"&amp;TEXT(A1958,"hh"),LoadTable[],5,FALSE)*0.92</f>
        <v>237.25788000000003</v>
      </c>
      <c r="U1958" s="104">
        <f>VLOOKUP(TEXT(A1958,"yy-mm")&amp;"-"&amp;IF(AND(WEEKDAY(A1958)&gt;1,WEEKDAY(A1958)&lt;7),"Wkd",TEXT(A1958,"Ddd"))&amp;"-"&amp;TEXT(A1958,"hh"),LoadTable[],6,FALSE)*T1958</f>
        <v>10974.125981520001</v>
      </c>
      <c r="V1958">
        <f t="shared" ref="V1958:W1958" si="2085">V1934</f>
        <v>3.4</v>
      </c>
      <c r="W1958">
        <f t="shared" si="2085"/>
        <v>3</v>
      </c>
      <c r="X1958" s="9">
        <v>-91.529787116668302</v>
      </c>
    </row>
    <row r="1959" spans="1:24">
      <c r="A1959" s="29">
        <f t="shared" si="2047"/>
        <v>45917.499999995256</v>
      </c>
      <c r="B1959" s="30">
        <f t="shared" si="2071"/>
        <v>8000</v>
      </c>
      <c r="C1959" s="8">
        <v>25000</v>
      </c>
      <c r="D1959" s="8">
        <v>0</v>
      </c>
      <c r="E1959" s="8">
        <v>700</v>
      </c>
      <c r="F1959" s="8">
        <v>15000</v>
      </c>
      <c r="G1959" s="30">
        <f t="shared" si="2072"/>
        <v>2400</v>
      </c>
      <c r="H1959" s="8">
        <v>25000</v>
      </c>
      <c r="I1959" s="30">
        <f t="shared" si="2073"/>
        <v>8000</v>
      </c>
      <c r="J1959" s="8">
        <v>25000</v>
      </c>
      <c r="K1959" s="30">
        <f t="shared" si="2074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VLOOKUP(VLOOKUP(DATEVALUE(TEXT(A1959,"m/d/yyyy")),FY24_Temp[],5,FALSE)&amp;TEXT(A1959,"-h"),Table6[],4,FALSE)</f>
        <v>0.97528570038931706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VLOOKUP(TEXT(A1959,"yy-mm")&amp;"-"&amp;IF(AND(WEEKDAY(A1959)&gt;1,WEEKDAY(A1959)&lt;7),"Wkd",TEXT(A1959,"Ddd"))&amp;"-"&amp;TEXT(A1959,"hh"),LoadTable[],5,FALSE)*0.92</f>
        <v>237.25788000000003</v>
      </c>
      <c r="U1959" s="104">
        <f>VLOOKUP(TEXT(A1959,"yy-mm")&amp;"-"&amp;IF(AND(WEEKDAY(A1959)&gt;1,WEEKDAY(A1959)&lt;7),"Wkd",TEXT(A1959,"Ddd"))&amp;"-"&amp;TEXT(A1959,"hh"),LoadTable[],6,FALSE)*T1959</f>
        <v>10962.974861160001</v>
      </c>
      <c r="V1959">
        <f t="shared" ref="V1959:W1959" si="2086">V1935</f>
        <v>3.1</v>
      </c>
      <c r="W1959">
        <f t="shared" si="2086"/>
        <v>2.9</v>
      </c>
      <c r="X1959" s="9">
        <v>-91.607581666668395</v>
      </c>
    </row>
    <row r="1960" spans="1:24">
      <c r="A1960" s="29">
        <f t="shared" si="2047"/>
        <v>45917.54166666192</v>
      </c>
      <c r="B1960" s="30">
        <f t="shared" si="2071"/>
        <v>8000</v>
      </c>
      <c r="C1960" s="8">
        <v>25000</v>
      </c>
      <c r="D1960" s="8">
        <v>0</v>
      </c>
      <c r="E1960" s="8">
        <v>700</v>
      </c>
      <c r="F1960" s="8">
        <v>15000</v>
      </c>
      <c r="G1960" s="30">
        <f t="shared" si="2072"/>
        <v>2400</v>
      </c>
      <c r="H1960" s="8">
        <v>25000</v>
      </c>
      <c r="I1960" s="30">
        <f t="shared" si="2073"/>
        <v>8000</v>
      </c>
      <c r="J1960" s="8">
        <v>25000</v>
      </c>
      <c r="K1960" s="30">
        <f t="shared" si="2074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VLOOKUP(VLOOKUP(DATEVALUE(TEXT(A1960,"m/d/yyyy")),FY24_Temp[],5,FALSE)&amp;TEXT(A1960,"-h"),Table6[],4,FALSE)</f>
        <v>0.83557144233158653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VLOOKUP(TEXT(A1960,"yy-mm")&amp;"-"&amp;IF(AND(WEEKDAY(A1960)&gt;1,WEEKDAY(A1960)&lt;7),"Wkd",TEXT(A1960,"Ddd"))&amp;"-"&amp;TEXT(A1960,"hh"),LoadTable[],5,FALSE)*0.92</f>
        <v>237.25788000000003</v>
      </c>
      <c r="U1960" s="104">
        <f>VLOOKUP(TEXT(A1960,"yy-mm")&amp;"-"&amp;IF(AND(WEEKDAY(A1960)&gt;1,WEEKDAY(A1960)&lt;7),"Wkd",TEXT(A1960,"Ddd"))&amp;"-"&amp;TEXT(A1960,"hh"),LoadTable[],6,FALSE)*T1960</f>
        <v>10978.39662336</v>
      </c>
      <c r="V1960">
        <f t="shared" ref="V1960:W1960" si="2087">V1936</f>
        <v>3.2</v>
      </c>
      <c r="W1960">
        <f t="shared" si="2087"/>
        <v>2.9</v>
      </c>
      <c r="X1960" s="9">
        <v>-91.685376216668402</v>
      </c>
    </row>
    <row r="1961" spans="1:24">
      <c r="A1961" s="29">
        <f t="shared" si="2047"/>
        <v>45917.583333328585</v>
      </c>
      <c r="B1961" s="30">
        <f t="shared" si="2071"/>
        <v>8000</v>
      </c>
      <c r="C1961" s="8">
        <v>25000</v>
      </c>
      <c r="D1961" s="8">
        <v>0</v>
      </c>
      <c r="E1961" s="8">
        <v>700</v>
      </c>
      <c r="F1961" s="8">
        <v>15000</v>
      </c>
      <c r="G1961" s="30">
        <f t="shared" si="2072"/>
        <v>2400</v>
      </c>
      <c r="H1961" s="8">
        <v>25000</v>
      </c>
      <c r="I1961" s="30">
        <f t="shared" si="2073"/>
        <v>8000</v>
      </c>
      <c r="J1961" s="8">
        <v>25000</v>
      </c>
      <c r="K1961" s="30">
        <f t="shared" si="2074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VLOOKUP(VLOOKUP(DATEVALUE(TEXT(A1961,"m/d/yyyy")),FY24_Temp[],5,FALSE)&amp;TEXT(A1961,"-h"),Table6[],4,FALSE)</f>
        <v>0.71842856918062481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VLOOKUP(TEXT(A1961,"yy-mm")&amp;"-"&amp;IF(AND(WEEKDAY(A1961)&gt;1,WEEKDAY(A1961)&lt;7),"Wkd",TEXT(A1961,"Ddd"))&amp;"-"&amp;TEXT(A1961,"hh"),LoadTable[],5,FALSE)*0.92</f>
        <v>269.75136000000003</v>
      </c>
      <c r="U1961" s="104">
        <f>VLOOKUP(TEXT(A1961,"yy-mm")&amp;"-"&amp;IF(AND(WEEKDAY(A1961)&gt;1,WEEKDAY(A1961)&lt;7),"Wkd",TEXT(A1961,"Ddd"))&amp;"-"&amp;TEXT(A1961,"hh"),LoadTable[],6,FALSE)*T1961</f>
        <v>12503.245287360001</v>
      </c>
      <c r="V1961">
        <f t="shared" ref="V1961:W1961" si="2088">V1937</f>
        <v>3.5</v>
      </c>
      <c r="W1961">
        <f t="shared" si="2088"/>
        <v>2.9</v>
      </c>
      <c r="X1961" s="9">
        <v>-91.763170766668395</v>
      </c>
    </row>
    <row r="1962" spans="1:24">
      <c r="A1962" s="29">
        <f t="shared" si="2047"/>
        <v>45917.624999995249</v>
      </c>
      <c r="B1962" s="30">
        <f t="shared" si="2071"/>
        <v>8000</v>
      </c>
      <c r="C1962" s="8">
        <v>25000</v>
      </c>
      <c r="D1962" s="8">
        <v>0</v>
      </c>
      <c r="E1962" s="8">
        <v>700</v>
      </c>
      <c r="F1962" s="8">
        <v>15000</v>
      </c>
      <c r="G1962" s="30">
        <f t="shared" si="2072"/>
        <v>2400</v>
      </c>
      <c r="H1962" s="8">
        <v>25000</v>
      </c>
      <c r="I1962" s="30">
        <f t="shared" si="2073"/>
        <v>8000</v>
      </c>
      <c r="J1962" s="8">
        <v>25000</v>
      </c>
      <c r="K1962" s="30">
        <f t="shared" si="2074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VLOOKUP(VLOOKUP(DATEVALUE(TEXT(A1962,"m/d/yyyy")),FY24_Temp[],5,FALSE)&amp;TEXT(A1962,"-h"),Table6[],4,FALSE)</f>
        <v>0.71542857374463764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VLOOKUP(TEXT(A1962,"yy-mm")&amp;"-"&amp;IF(AND(WEEKDAY(A1962)&gt;1,WEEKDAY(A1962)&lt;7),"Wkd",TEXT(A1962,"Ddd"))&amp;"-"&amp;TEXT(A1962,"hh"),LoadTable[],5,FALSE)*0.92</f>
        <v>388.38076000000001</v>
      </c>
      <c r="U1962" s="104">
        <f>VLOOKUP(TEXT(A1962,"yy-mm")&amp;"-"&amp;IF(AND(WEEKDAY(A1962)&gt;1,WEEKDAY(A1962)&lt;7),"Wkd",TEXT(A1962,"Ddd"))&amp;"-"&amp;TEXT(A1962,"hh"),LoadTable[],6,FALSE)*T1962</f>
        <v>19705.663000880002</v>
      </c>
      <c r="V1962">
        <f t="shared" ref="V1962:W1962" si="2089">V1938</f>
        <v>3.2</v>
      </c>
      <c r="W1962">
        <f t="shared" si="2089"/>
        <v>2.9</v>
      </c>
      <c r="X1962" s="9">
        <v>-91.840965316668402</v>
      </c>
    </row>
    <row r="1963" spans="1:24">
      <c r="A1963" s="29">
        <f t="shared" si="2047"/>
        <v>45917.666666661913</v>
      </c>
      <c r="B1963" s="30">
        <f t="shared" si="2071"/>
        <v>8000</v>
      </c>
      <c r="C1963" s="8">
        <v>25000</v>
      </c>
      <c r="D1963" s="8">
        <v>0</v>
      </c>
      <c r="E1963" s="8">
        <v>700</v>
      </c>
      <c r="F1963" s="8">
        <v>15000</v>
      </c>
      <c r="G1963" s="30">
        <f t="shared" si="2072"/>
        <v>2400</v>
      </c>
      <c r="H1963" s="8">
        <v>25000</v>
      </c>
      <c r="I1963" s="30">
        <f t="shared" si="2073"/>
        <v>8000</v>
      </c>
      <c r="J1963" s="8">
        <v>25000</v>
      </c>
      <c r="K1963" s="30">
        <f t="shared" si="2074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VLOOKUP(VLOOKUP(DATEVALUE(TEXT(A1963,"m/d/yyyy")),FY24_Temp[],5,FALSE)&amp;TEXT(A1963,"-h"),Table6[],4,FALSE)</f>
        <v>1.0005714382444109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VLOOKUP(TEXT(A1963,"yy-mm")&amp;"-"&amp;IF(AND(WEEKDAY(A1963)&gt;1,WEEKDAY(A1963)&lt;7),"Wkd",TEXT(A1963,"Ddd"))&amp;"-"&amp;TEXT(A1963,"hh"),LoadTable[],5,FALSE)*0.92</f>
        <v>388.38076000000001</v>
      </c>
      <c r="U1963" s="104">
        <f>VLOOKUP(TEXT(A1963,"yy-mm")&amp;"-"&amp;IF(AND(WEEKDAY(A1963)&gt;1,WEEKDAY(A1963)&lt;7),"Wkd",TEXT(A1963,"Ddd"))&amp;"-"&amp;TEXT(A1963,"hh"),LoadTable[],6,FALSE)*T1963</f>
        <v>23675.6911296</v>
      </c>
      <c r="V1963">
        <f t="shared" ref="V1963:W1963" si="2090">V1939</f>
        <v>3.5</v>
      </c>
      <c r="W1963">
        <f t="shared" si="2090"/>
        <v>3</v>
      </c>
      <c r="X1963" s="9">
        <v>-91.918759866668395</v>
      </c>
    </row>
    <row r="1964" spans="1:24">
      <c r="A1964" s="29">
        <f t="shared" si="2047"/>
        <v>45917.708333328577</v>
      </c>
      <c r="B1964" s="30">
        <f t="shared" si="2071"/>
        <v>8000</v>
      </c>
      <c r="C1964" s="8">
        <v>25000</v>
      </c>
      <c r="D1964" s="8">
        <v>0</v>
      </c>
      <c r="E1964" s="8">
        <v>700</v>
      </c>
      <c r="F1964" s="8">
        <v>15000</v>
      </c>
      <c r="G1964" s="30">
        <f t="shared" si="2072"/>
        <v>2400</v>
      </c>
      <c r="H1964" s="8">
        <v>25000</v>
      </c>
      <c r="I1964" s="30">
        <f t="shared" si="2073"/>
        <v>8000</v>
      </c>
      <c r="J1964" s="8">
        <v>25000</v>
      </c>
      <c r="K1964" s="30">
        <f t="shared" si="2074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VLOOKUP(VLOOKUP(DATEVALUE(TEXT(A1964,"m/d/yyyy")),FY24_Temp[],5,FALSE)&amp;TEXT(A1964,"-h"),Table6[],4,FALSE)</f>
        <v>1.4091428688594274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VLOOKUP(TEXT(A1964,"yy-mm")&amp;"-"&amp;IF(AND(WEEKDAY(A1964)&gt;1,WEEKDAY(A1964)&lt;7),"Wkd",TEXT(A1964,"Ddd"))&amp;"-"&amp;TEXT(A1964,"hh"),LoadTable[],5,FALSE)*0.92</f>
        <v>388.38076000000001</v>
      </c>
      <c r="U1964" s="104">
        <f>VLOOKUP(TEXT(A1964,"yy-mm")&amp;"-"&amp;IF(AND(WEEKDAY(A1964)&gt;1,WEEKDAY(A1964)&lt;7),"Wkd",TEXT(A1964,"Ddd"))&amp;"-"&amp;TEXT(A1964,"hh"),LoadTable[],6,FALSE)*T1964</f>
        <v>31454.180990880002</v>
      </c>
      <c r="V1964">
        <f t="shared" ref="V1964:W1964" si="2091">V1940</f>
        <v>3.6</v>
      </c>
      <c r="W1964">
        <f t="shared" si="2091"/>
        <v>3</v>
      </c>
      <c r="X1964" s="9">
        <v>-91.996554416668403</v>
      </c>
    </row>
    <row r="1965" spans="1:24">
      <c r="A1965" s="29">
        <f t="shared" si="2047"/>
        <v>45917.749999995242</v>
      </c>
      <c r="B1965" s="30">
        <f t="shared" si="2071"/>
        <v>5000</v>
      </c>
      <c r="C1965" s="8">
        <v>25000</v>
      </c>
      <c r="D1965" s="8">
        <v>0</v>
      </c>
      <c r="E1965" s="8">
        <v>700</v>
      </c>
      <c r="F1965" s="8">
        <v>15000</v>
      </c>
      <c r="G1965" s="30">
        <f t="shared" si="2072"/>
        <v>2400</v>
      </c>
      <c r="H1965" s="8">
        <v>25000</v>
      </c>
      <c r="I1965" s="30">
        <f t="shared" si="2073"/>
        <v>5000</v>
      </c>
      <c r="J1965" s="8">
        <v>25000</v>
      </c>
      <c r="K1965" s="30">
        <f t="shared" si="2074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VLOOKUP(VLOOKUP(DATEVALUE(TEXT(A1965,"m/d/yyyy")),FY24_Temp[],5,FALSE)&amp;TEXT(A1965,"-h"),Table6[],4,FALSE)</f>
        <v>1.9017142908913749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VLOOKUP(TEXT(A1965,"yy-mm")&amp;"-"&amp;IF(AND(WEEKDAY(A1965)&gt;1,WEEKDAY(A1965)&lt;7),"Wkd",TEXT(A1965,"Ddd"))&amp;"-"&amp;TEXT(A1965,"hh"),LoadTable[],5,FALSE)*0.92</f>
        <v>388.38076000000001</v>
      </c>
      <c r="U1965" s="104">
        <f>VLOOKUP(TEXT(A1965,"yy-mm")&amp;"-"&amp;IF(AND(WEEKDAY(A1965)&gt;1,WEEKDAY(A1965)&lt;7),"Wkd",TEXT(A1965,"Ddd"))&amp;"-"&amp;TEXT(A1965,"hh"),LoadTable[],6,FALSE)*T1965</f>
        <v>38316.869020080005</v>
      </c>
      <c r="V1965">
        <f t="shared" ref="V1965:W1965" si="2092">V1941</f>
        <v>2.9</v>
      </c>
      <c r="W1965">
        <f t="shared" si="2092"/>
        <v>3</v>
      </c>
      <c r="X1965" s="9">
        <v>-92.074348966668396</v>
      </c>
    </row>
    <row r="1966" spans="1:24">
      <c r="A1966" s="29">
        <f t="shared" si="2047"/>
        <v>45917.791666661906</v>
      </c>
      <c r="B1966" s="30">
        <f t="shared" si="2071"/>
        <v>5000</v>
      </c>
      <c r="C1966" s="8">
        <v>25000</v>
      </c>
      <c r="D1966" s="8">
        <v>0</v>
      </c>
      <c r="E1966" s="8">
        <v>700</v>
      </c>
      <c r="F1966" s="8">
        <v>15000</v>
      </c>
      <c r="G1966" s="30">
        <f t="shared" si="2072"/>
        <v>2400</v>
      </c>
      <c r="H1966" s="8">
        <v>25000</v>
      </c>
      <c r="I1966" s="30">
        <f t="shared" si="2073"/>
        <v>5000</v>
      </c>
      <c r="J1966" s="8">
        <v>25000</v>
      </c>
      <c r="K1966" s="30">
        <f t="shared" si="2074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VLOOKUP(VLOOKUP(DATEVALUE(TEXT(A1966,"m/d/yyyy")),FY24_Temp[],5,FALSE)&amp;TEXT(A1966,"-h"),Table6[],4,FALSE)</f>
        <v>2.2652856963021413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VLOOKUP(TEXT(A1966,"yy-mm")&amp;"-"&amp;IF(AND(WEEKDAY(A1966)&gt;1,WEEKDAY(A1966)&lt;7),"Wkd",TEXT(A1966,"Ddd"))&amp;"-"&amp;TEXT(A1966,"hh"),LoadTable[],5,FALSE)*0.92</f>
        <v>388.38076000000001</v>
      </c>
      <c r="U1966" s="104">
        <f>VLOOKUP(TEXT(A1966,"yy-mm")&amp;"-"&amp;IF(AND(WEEKDAY(A1966)&gt;1,WEEKDAY(A1966)&lt;7),"Wkd",TEXT(A1966,"Ddd"))&amp;"-"&amp;TEXT(A1966,"hh"),LoadTable[],6,FALSE)*T1966</f>
        <v>41132.241149319998</v>
      </c>
      <c r="V1966">
        <f t="shared" ref="V1966:W1966" si="2093">V1942</f>
        <v>3</v>
      </c>
      <c r="W1966">
        <f t="shared" si="2093"/>
        <v>3</v>
      </c>
      <c r="X1966" s="9">
        <v>-92.152143516668403</v>
      </c>
    </row>
    <row r="1967" spans="1:24">
      <c r="A1967" s="29">
        <f t="shared" si="2047"/>
        <v>45917.83333332857</v>
      </c>
      <c r="B1967" s="30">
        <f t="shared" si="2071"/>
        <v>5000</v>
      </c>
      <c r="C1967" s="8">
        <v>25000</v>
      </c>
      <c r="D1967" s="8">
        <v>0</v>
      </c>
      <c r="E1967" s="8">
        <v>700</v>
      </c>
      <c r="F1967" s="8">
        <v>15000</v>
      </c>
      <c r="G1967" s="30">
        <f t="shared" si="2072"/>
        <v>2400</v>
      </c>
      <c r="H1967" s="8">
        <v>25000</v>
      </c>
      <c r="I1967" s="30">
        <f t="shared" si="2073"/>
        <v>5000</v>
      </c>
      <c r="J1967" s="8">
        <v>25000</v>
      </c>
      <c r="K1967" s="30">
        <f t="shared" si="2074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VLOOKUP(VLOOKUP(DATEVALUE(TEXT(A1967,"m/d/yyyy")),FY24_Temp[],5,FALSE)&amp;TEXT(A1967,"-h"),Table6[],4,FALSE)</f>
        <v>2.4488571711948941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VLOOKUP(TEXT(A1967,"yy-mm")&amp;"-"&amp;IF(AND(WEEKDAY(A1967)&gt;1,WEEKDAY(A1967)&lt;7),"Wkd",TEXT(A1967,"Ddd"))&amp;"-"&amp;TEXT(A1967,"hh"),LoadTable[],5,FALSE)*0.92</f>
        <v>388.38076000000001</v>
      </c>
      <c r="U1967" s="104">
        <f>VLOOKUP(TEXT(A1967,"yy-mm")&amp;"-"&amp;IF(AND(WEEKDAY(A1967)&gt;1,WEEKDAY(A1967)&lt;7),"Wkd",TEXT(A1967,"Ddd"))&amp;"-"&amp;TEXT(A1967,"hh"),LoadTable[],6,FALSE)*T1967</f>
        <v>36274.762984000001</v>
      </c>
      <c r="V1967">
        <f t="shared" ref="V1967:W1967" si="2094">V1943</f>
        <v>2.8</v>
      </c>
      <c r="W1967">
        <f t="shared" si="2094"/>
        <v>3.1</v>
      </c>
      <c r="X1967" s="9">
        <v>-92.229938066668396</v>
      </c>
    </row>
    <row r="1968" spans="1:24">
      <c r="A1968" s="29">
        <f t="shared" si="2047"/>
        <v>45917.874999995234</v>
      </c>
      <c r="B1968" s="30">
        <f t="shared" si="2071"/>
        <v>5000</v>
      </c>
      <c r="C1968" s="8">
        <v>25000</v>
      </c>
      <c r="D1968" s="8">
        <v>0</v>
      </c>
      <c r="E1968" s="8">
        <v>700</v>
      </c>
      <c r="F1968" s="8">
        <v>15000</v>
      </c>
      <c r="G1968" s="30">
        <f t="shared" si="2072"/>
        <v>2400</v>
      </c>
      <c r="H1968" s="8">
        <v>25000</v>
      </c>
      <c r="I1968" s="30">
        <f t="shared" si="2073"/>
        <v>5000</v>
      </c>
      <c r="J1968" s="8">
        <v>25000</v>
      </c>
      <c r="K1968" s="30">
        <f t="shared" si="2074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VLOOKUP(VLOOKUP(DATEVALUE(TEXT(A1968,"m/d/yyyy")),FY24_Temp[],5,FALSE)&amp;TEXT(A1968,"-h"),Table6[],4,FALSE)</f>
        <v>2.5055713994162425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VLOOKUP(TEXT(A1968,"yy-mm")&amp;"-"&amp;IF(AND(WEEKDAY(A1968)&gt;1,WEEKDAY(A1968)&lt;7),"Wkd",TEXT(A1968,"Ddd"))&amp;"-"&amp;TEXT(A1968,"hh"),LoadTable[],5,FALSE)*0.92</f>
        <v>373.79416000000003</v>
      </c>
      <c r="U1968" s="104">
        <f>VLOOKUP(TEXT(A1968,"yy-mm")&amp;"-"&amp;IF(AND(WEEKDAY(A1968)&gt;1,WEEKDAY(A1968)&lt;7),"Wkd",TEXT(A1968,"Ddd"))&amp;"-"&amp;TEXT(A1968,"hh"),LoadTable[],6,FALSE)*T1968</f>
        <v>31749.328362080003</v>
      </c>
      <c r="V1968">
        <f t="shared" ref="V1968:W1968" si="2095">V1944</f>
        <v>3.5</v>
      </c>
      <c r="W1968">
        <f t="shared" si="2095"/>
        <v>3.1</v>
      </c>
      <c r="X1968" s="9">
        <v>-92.307732616668403</v>
      </c>
    </row>
    <row r="1969" spans="1:24">
      <c r="A1969" s="29">
        <f t="shared" si="2047"/>
        <v>45917.916666661898</v>
      </c>
      <c r="B1969" s="30">
        <f t="shared" si="2071"/>
        <v>5000</v>
      </c>
      <c r="C1969" s="8">
        <v>25000</v>
      </c>
      <c r="D1969" s="8">
        <v>0</v>
      </c>
      <c r="E1969" s="8">
        <v>700</v>
      </c>
      <c r="F1969" s="8">
        <v>15000</v>
      </c>
      <c r="G1969" s="30">
        <f t="shared" si="2072"/>
        <v>2400</v>
      </c>
      <c r="H1969" s="8">
        <v>25000</v>
      </c>
      <c r="I1969" s="30">
        <f t="shared" si="2073"/>
        <v>5000</v>
      </c>
      <c r="J1969" s="8">
        <v>25000</v>
      </c>
      <c r="K1969" s="30">
        <f t="shared" si="2074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VLOOKUP(VLOOKUP(DATEVALUE(TEXT(A1969,"m/d/yyyy")),FY24_Temp[],5,FALSE)&amp;TEXT(A1969,"-h"),Table6[],4,FALSE)</f>
        <v>2.4671428544180736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VLOOKUP(TEXT(A1969,"yy-mm")&amp;"-"&amp;IF(AND(WEEKDAY(A1969)&gt;1,WEEKDAY(A1969)&lt;7),"Wkd",TEXT(A1969,"Ddd"))&amp;"-"&amp;TEXT(A1969,"hh"),LoadTable[],5,FALSE)*0.92</f>
        <v>299.65044</v>
      </c>
      <c r="U1969" s="104">
        <f>VLOOKUP(TEXT(A1969,"yy-mm")&amp;"-"&amp;IF(AND(WEEKDAY(A1969)&gt;1,WEEKDAY(A1969)&lt;7),"Wkd",TEXT(A1969,"Ddd"))&amp;"-"&amp;TEXT(A1969,"hh"),LoadTable[],6,FALSE)*T1969</f>
        <v>15023.87376072</v>
      </c>
      <c r="V1969">
        <f t="shared" ref="V1969:W1969" si="2096">V1945</f>
        <v>2.9</v>
      </c>
      <c r="W1969">
        <f t="shared" si="2096"/>
        <v>3.1</v>
      </c>
      <c r="X1969" s="9">
        <v>-92.385527166668396</v>
      </c>
    </row>
    <row r="1970" spans="1:24">
      <c r="A1970" s="29">
        <f t="shared" si="2047"/>
        <v>45917.958333328563</v>
      </c>
      <c r="B1970" s="30">
        <f t="shared" si="2071"/>
        <v>5000</v>
      </c>
      <c r="C1970" s="8">
        <v>25000</v>
      </c>
      <c r="D1970" s="8">
        <v>0</v>
      </c>
      <c r="E1970" s="8">
        <v>700</v>
      </c>
      <c r="F1970" s="8">
        <v>15000</v>
      </c>
      <c r="G1970" s="30">
        <f t="shared" si="2072"/>
        <v>2400</v>
      </c>
      <c r="H1970" s="8">
        <v>25000</v>
      </c>
      <c r="I1970" s="30">
        <f t="shared" si="2073"/>
        <v>5000</v>
      </c>
      <c r="J1970" s="8">
        <v>25000</v>
      </c>
      <c r="K1970" s="30">
        <f t="shared" si="2074"/>
        <v>5000</v>
      </c>
      <c r="L1970" s="8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9">
        <v>13.5</v>
      </c>
      <c r="P1970" s="9">
        <v>19.5</v>
      </c>
      <c r="Q1970" s="79">
        <f>VLOOKUP(VLOOKUP(DATEVALUE(TEXT(A1970,"m/d/yyyy")),FY24_Temp[],5,FALSE)&amp;TEXT(A1970,"-h"),Table6[],4,FALSE)</f>
        <v>2.4559999534061978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VLOOKUP(TEXT(A1970,"yy-mm")&amp;"-"&amp;IF(AND(WEEKDAY(A1970)&gt;1,WEEKDAY(A1970)&lt;7),"Wkd",TEXT(A1970,"Ddd"))&amp;"-"&amp;TEXT(A1970,"hh"),LoadTable[],5,FALSE)*0.92</f>
        <v>237.25788000000003</v>
      </c>
      <c r="U1970" s="104">
        <f>VLOOKUP(TEXT(A1970,"yy-mm")&amp;"-"&amp;IF(AND(WEEKDAY(A1970)&gt;1,WEEKDAY(A1970)&lt;7),"Wkd",TEXT(A1970,"Ddd"))&amp;"-"&amp;TEXT(A1970,"hh"),LoadTable[],6,FALSE)*T1970</f>
        <v>11687.323168800001</v>
      </c>
      <c r="V1970">
        <f t="shared" ref="V1970:W1970" si="2097">V1946</f>
        <v>3.6</v>
      </c>
      <c r="W1970">
        <f t="shared" si="2097"/>
        <v>3.1</v>
      </c>
      <c r="X1970" s="9">
        <v>-92.463321716668403</v>
      </c>
    </row>
    <row r="1971" spans="1:24">
      <c r="A1971" s="29">
        <f t="shared" si="2047"/>
        <v>45917.999999995227</v>
      </c>
      <c r="B1971" s="30">
        <f t="shared" si="2071"/>
        <v>5000</v>
      </c>
      <c r="C1971" s="8">
        <v>25000</v>
      </c>
      <c r="D1971" s="8">
        <v>0</v>
      </c>
      <c r="E1971" s="8">
        <v>700</v>
      </c>
      <c r="F1971" s="8">
        <v>15000</v>
      </c>
      <c r="G1971" s="30">
        <f t="shared" si="2072"/>
        <v>2400</v>
      </c>
      <c r="H1971" s="8">
        <v>25000</v>
      </c>
      <c r="I1971" s="30">
        <f t="shared" si="2073"/>
        <v>5000</v>
      </c>
      <c r="J1971" s="8">
        <v>25000</v>
      </c>
      <c r="K1971" s="30">
        <f t="shared" si="2074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VLOOKUP(VLOOKUP(DATEVALUE(TEXT(A1971,"m/d/yyyy")),FY24_Temp[],5,FALSE)&amp;TEXT(A1971,"-h"),Table6[],4,FALSE)</f>
        <v>2.4424285888671875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VLOOKUP(TEXT(A1971,"yy-mm")&amp;"-"&amp;IF(AND(WEEKDAY(A1971)&gt;1,WEEKDAY(A1971)&lt;7),"Wkd",TEXT(A1971,"Ddd"))&amp;"-"&amp;TEXT(A1971,"hh"),LoadTable[],5,FALSE)*0.92</f>
        <v>237.25788000000003</v>
      </c>
      <c r="U1971" s="104">
        <f>VLOOKUP(TEXT(A1971,"yy-mm")&amp;"-"&amp;IF(AND(WEEKDAY(A1971)&gt;1,WEEKDAY(A1971)&lt;7),"Wkd",TEXT(A1971,"Ddd"))&amp;"-"&amp;TEXT(A1971,"hh"),LoadTable[],6,FALSE)*T1971</f>
        <v>12215.696467560001</v>
      </c>
      <c r="V1971">
        <f t="shared" ref="V1971:W1971" si="2098">V1947</f>
        <v>3</v>
      </c>
      <c r="W1971">
        <f t="shared" si="2098"/>
        <v>3.2</v>
      </c>
      <c r="X1971" s="9">
        <v>-92.541116266668396</v>
      </c>
    </row>
    <row r="1972" spans="1:24">
      <c r="A1972" s="29">
        <f t="shared" si="2047"/>
        <v>45918.041666661891</v>
      </c>
      <c r="B1972" s="30">
        <f t="shared" si="2071"/>
        <v>5000</v>
      </c>
      <c r="C1972" s="8">
        <v>25000</v>
      </c>
      <c r="D1972" s="8">
        <v>0</v>
      </c>
      <c r="E1972" s="8">
        <v>700</v>
      </c>
      <c r="F1972" s="8">
        <v>15000</v>
      </c>
      <c r="G1972" s="30">
        <f t="shared" si="2072"/>
        <v>2400</v>
      </c>
      <c r="H1972" s="8">
        <v>25000</v>
      </c>
      <c r="I1972" s="30">
        <f t="shared" si="2073"/>
        <v>5000</v>
      </c>
      <c r="J1972" s="8">
        <v>25000</v>
      </c>
      <c r="K1972" s="30">
        <f t="shared" si="2074"/>
        <v>5000</v>
      </c>
      <c r="L1972" s="8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9">
        <v>13.5</v>
      </c>
      <c r="P1972" s="9">
        <v>19.5</v>
      </c>
      <c r="Q1972" s="79">
        <f>VLOOKUP(VLOOKUP(DATEVALUE(TEXT(A1972,"m/d/yyyy")),FY24_Temp[],5,FALSE)&amp;TEXT(A1972,"-h"),Table6[],4,FALSE)</f>
        <v>2.3764285360063826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VLOOKUP(TEXT(A1972,"yy-mm")&amp;"-"&amp;IF(AND(WEEKDAY(A1972)&gt;1,WEEKDAY(A1972)&lt;7),"Wkd",TEXT(A1972,"Ddd"))&amp;"-"&amp;TEXT(A1972,"hh"),LoadTable[],5,FALSE)*0.92</f>
        <v>237.25788000000003</v>
      </c>
      <c r="U1972" s="104">
        <f>VLOOKUP(TEXT(A1972,"yy-mm")&amp;"-"&amp;IF(AND(WEEKDAY(A1972)&gt;1,WEEKDAY(A1972)&lt;7),"Wkd",TEXT(A1972,"Ddd"))&amp;"-"&amp;TEXT(A1972,"hh"),LoadTable[],6,FALSE)*T1972</f>
        <v>11905.12590264</v>
      </c>
      <c r="V1972">
        <f t="shared" ref="V1972:W1972" si="2099">V1948</f>
        <v>2.6</v>
      </c>
      <c r="W1972">
        <f t="shared" si="2099"/>
        <v>3.2</v>
      </c>
      <c r="X1972" s="9">
        <v>-92.618910816668503</v>
      </c>
    </row>
    <row r="1973" spans="1:24">
      <c r="A1973" s="29">
        <f t="shared" si="2047"/>
        <v>45918.083333328555</v>
      </c>
      <c r="B1973" s="30">
        <f t="shared" si="2071"/>
        <v>5000</v>
      </c>
      <c r="C1973" s="8">
        <v>25000</v>
      </c>
      <c r="D1973" s="8">
        <v>0</v>
      </c>
      <c r="E1973" s="8">
        <v>700</v>
      </c>
      <c r="F1973" s="8">
        <v>15000</v>
      </c>
      <c r="G1973" s="30">
        <f t="shared" si="2072"/>
        <v>2400</v>
      </c>
      <c r="H1973" s="8">
        <v>25000</v>
      </c>
      <c r="I1973" s="30">
        <f t="shared" si="2073"/>
        <v>5000</v>
      </c>
      <c r="J1973" s="8">
        <v>25000</v>
      </c>
      <c r="K1973" s="30">
        <f t="shared" si="2074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VLOOKUP(VLOOKUP(DATEVALUE(TEXT(A1973,"m/d/yyyy")),FY24_Temp[],5,FALSE)&amp;TEXT(A1973,"-h"),Table6[],4,FALSE)</f>
        <v>2.2488571235111783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VLOOKUP(TEXT(A1973,"yy-mm")&amp;"-"&amp;IF(AND(WEEKDAY(A1973)&gt;1,WEEKDAY(A1973)&lt;7),"Wkd",TEXT(A1973,"Ddd"))&amp;"-"&amp;TEXT(A1973,"hh"),LoadTable[],5,FALSE)*0.92</f>
        <v>237.25788000000003</v>
      </c>
      <c r="U1973" s="104">
        <f>VLOOKUP(TEXT(A1973,"yy-mm")&amp;"-"&amp;IF(AND(WEEKDAY(A1973)&gt;1,WEEKDAY(A1973)&lt;7),"Wkd",TEXT(A1973,"Ddd"))&amp;"-"&amp;TEXT(A1973,"hh"),LoadTable[],6,FALSE)*T1973</f>
        <v>11856.013521480001</v>
      </c>
      <c r="V1973">
        <f t="shared" ref="V1973:W1973" si="2100">V1949</f>
        <v>2.8</v>
      </c>
      <c r="W1973">
        <f t="shared" si="2100"/>
        <v>3.2</v>
      </c>
      <c r="X1973" s="9">
        <v>-92.696705366668496</v>
      </c>
    </row>
    <row r="1974" spans="1:24">
      <c r="A1974" s="29">
        <f t="shared" si="2047"/>
        <v>45918.12499999522</v>
      </c>
      <c r="B1974" s="30">
        <f t="shared" si="2071"/>
        <v>5000</v>
      </c>
      <c r="C1974" s="8">
        <v>25000</v>
      </c>
      <c r="D1974" s="8">
        <v>0</v>
      </c>
      <c r="E1974" s="8">
        <v>700</v>
      </c>
      <c r="F1974" s="8">
        <v>15000</v>
      </c>
      <c r="G1974" s="30">
        <f t="shared" si="2072"/>
        <v>2400</v>
      </c>
      <c r="H1974" s="8">
        <v>25000</v>
      </c>
      <c r="I1974" s="30">
        <f t="shared" si="2073"/>
        <v>5000</v>
      </c>
      <c r="J1974" s="8">
        <v>25000</v>
      </c>
      <c r="K1974" s="30">
        <f t="shared" si="2074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VLOOKUP(VLOOKUP(DATEVALUE(TEXT(A1974,"m/d/yyyy")),FY24_Temp[],5,FALSE)&amp;TEXT(A1974,"-h"),Table6[],4,FALSE)</f>
        <v>2.1057142530168806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VLOOKUP(TEXT(A1974,"yy-mm")&amp;"-"&amp;IF(AND(WEEKDAY(A1974)&gt;1,WEEKDAY(A1974)&lt;7),"Wkd",TEXT(A1974,"Ddd"))&amp;"-"&amp;TEXT(A1974,"hh"),LoadTable[],5,FALSE)*0.92</f>
        <v>237.25788000000003</v>
      </c>
      <c r="U1974" s="104">
        <f>VLOOKUP(TEXT(A1974,"yy-mm")&amp;"-"&amp;IF(AND(WEEKDAY(A1974)&gt;1,WEEKDAY(A1974)&lt;7),"Wkd",TEXT(A1974,"Ddd"))&amp;"-"&amp;TEXT(A1974,"hh"),LoadTable[],6,FALSE)*T1974</f>
        <v>11893.025750760002</v>
      </c>
      <c r="V1974">
        <f t="shared" ref="V1974:W1974" si="2101">V1950</f>
        <v>2.7</v>
      </c>
      <c r="W1974">
        <f t="shared" si="2101"/>
        <v>3.2</v>
      </c>
      <c r="X1974" s="9">
        <v>-92.774499916668503</v>
      </c>
    </row>
    <row r="1975" spans="1:24">
      <c r="A1975" s="29">
        <f t="shared" si="2047"/>
        <v>45918.166666661884</v>
      </c>
      <c r="B1975" s="30">
        <f t="shared" si="2071"/>
        <v>5000</v>
      </c>
      <c r="C1975" s="8">
        <v>25000</v>
      </c>
      <c r="D1975" s="8">
        <v>0</v>
      </c>
      <c r="E1975" s="8">
        <v>700</v>
      </c>
      <c r="F1975" s="8">
        <v>15000</v>
      </c>
      <c r="G1975" s="30">
        <f t="shared" si="2072"/>
        <v>2400</v>
      </c>
      <c r="H1975" s="8">
        <v>25000</v>
      </c>
      <c r="I1975" s="30">
        <f t="shared" si="2073"/>
        <v>5000</v>
      </c>
      <c r="J1975" s="8">
        <v>25000</v>
      </c>
      <c r="K1975" s="30">
        <f t="shared" si="2074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VLOOKUP(VLOOKUP(DATEVALUE(TEXT(A1975,"m/d/yyyy")),FY24_Temp[],5,FALSE)&amp;TEXT(A1975,"-h"),Table6[],4,FALSE)</f>
        <v>1.956142851284572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VLOOKUP(TEXT(A1975,"yy-mm")&amp;"-"&amp;IF(AND(WEEKDAY(A1975)&gt;1,WEEKDAY(A1975)&lt;7),"Wkd",TEXT(A1975,"Ddd"))&amp;"-"&amp;TEXT(A1975,"hh"),LoadTable[],5,FALSE)*0.92</f>
        <v>237.25788000000003</v>
      </c>
      <c r="U1975" s="104">
        <f>VLOOKUP(TEXT(A1975,"yy-mm")&amp;"-"&amp;IF(AND(WEEKDAY(A1975)&gt;1,WEEKDAY(A1975)&lt;7),"Wkd",TEXT(A1975,"Ddd"))&amp;"-"&amp;TEXT(A1975,"hh"),LoadTable[],6,FALSE)*T1975</f>
        <v>12081.645765360001</v>
      </c>
      <c r="V1975">
        <f t="shared" ref="V1975:W1975" si="2102">V1951</f>
        <v>3</v>
      </c>
      <c r="W1975">
        <f t="shared" si="2102"/>
        <v>3.1</v>
      </c>
      <c r="X1975" s="9">
        <v>-92.852294466668496</v>
      </c>
    </row>
    <row r="1976" spans="1:24">
      <c r="A1976" s="29">
        <f t="shared" si="2047"/>
        <v>45918.208333328548</v>
      </c>
      <c r="B1976" s="30">
        <f t="shared" si="2071"/>
        <v>5000</v>
      </c>
      <c r="C1976" s="8">
        <v>25000</v>
      </c>
      <c r="D1976" s="8">
        <v>0</v>
      </c>
      <c r="E1976" s="8">
        <v>700</v>
      </c>
      <c r="F1976" s="8">
        <v>15000</v>
      </c>
      <c r="G1976" s="30">
        <f t="shared" si="2072"/>
        <v>2400</v>
      </c>
      <c r="H1976" s="8">
        <v>25000</v>
      </c>
      <c r="I1976" s="30">
        <f t="shared" si="2073"/>
        <v>5000</v>
      </c>
      <c r="J1976" s="8">
        <v>25000</v>
      </c>
      <c r="K1976" s="30">
        <f t="shared" si="2074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VLOOKUP(VLOOKUP(DATEVALUE(TEXT(A1976,"m/d/yyyy")),FY24_Temp[],5,FALSE)&amp;TEXT(A1976,"-h"),Table6[],4,FALSE)</f>
        <v>1.8435714244842529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VLOOKUP(TEXT(A1976,"yy-mm")&amp;"-"&amp;IF(AND(WEEKDAY(A1976)&gt;1,WEEKDAY(A1976)&lt;7),"Wkd",TEXT(A1976,"Ddd"))&amp;"-"&amp;TEXT(A1976,"hh"),LoadTable[],5,FALSE)*0.92</f>
        <v>237.25788000000003</v>
      </c>
      <c r="U1976" s="104">
        <f>VLOOKUP(TEXT(A1976,"yy-mm")&amp;"-"&amp;IF(AND(WEEKDAY(A1976)&gt;1,WEEKDAY(A1976)&lt;7),"Wkd",TEXT(A1976,"Ddd"))&amp;"-"&amp;TEXT(A1976,"hh"),LoadTable[],6,FALSE)*T1976</f>
        <v>12065.037713760001</v>
      </c>
      <c r="V1976">
        <f t="shared" ref="V1976:W1976" si="2103">V1952</f>
        <v>2.9</v>
      </c>
      <c r="W1976">
        <f t="shared" si="2103"/>
        <v>3.1</v>
      </c>
      <c r="X1976" s="9">
        <v>-92.930089016668504</v>
      </c>
    </row>
    <row r="1977" spans="1:24">
      <c r="A1977" s="29">
        <f t="shared" si="2047"/>
        <v>45918.249999995212</v>
      </c>
      <c r="B1977" s="30">
        <f t="shared" si="2071"/>
        <v>8000</v>
      </c>
      <c r="C1977" s="8">
        <v>25000</v>
      </c>
      <c r="D1977" s="8">
        <v>0</v>
      </c>
      <c r="E1977" s="8">
        <v>700</v>
      </c>
      <c r="F1977" s="8">
        <v>15000</v>
      </c>
      <c r="G1977" s="30">
        <f t="shared" si="2072"/>
        <v>2400</v>
      </c>
      <c r="H1977" s="8">
        <v>25000</v>
      </c>
      <c r="I1977" s="30">
        <f t="shared" si="2073"/>
        <v>8000</v>
      </c>
      <c r="J1977" s="8">
        <v>25000</v>
      </c>
      <c r="K1977" s="30">
        <f t="shared" si="2074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VLOOKUP(VLOOKUP(DATEVALUE(TEXT(A1977,"m/d/yyyy")),FY24_Temp[],5,FALSE)&amp;TEXT(A1977,"-h"),Table6[],4,FALSE)</f>
        <v>1.7435714176722936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VLOOKUP(TEXT(A1977,"yy-mm")&amp;"-"&amp;IF(AND(WEEKDAY(A1977)&gt;1,WEEKDAY(A1977)&lt;7),"Wkd",TEXT(A1977,"Ddd"))&amp;"-"&amp;TEXT(A1977,"hh"),LoadTable[],5,FALSE)*0.92</f>
        <v>237.25788000000003</v>
      </c>
      <c r="U1977" s="104">
        <f>VLOOKUP(TEXT(A1977,"yy-mm")&amp;"-"&amp;IF(AND(WEEKDAY(A1977)&gt;1,WEEKDAY(A1977)&lt;7),"Wkd",TEXT(A1977,"Ddd"))&amp;"-"&amp;TEXT(A1977,"hh"),LoadTable[],6,FALSE)*T1977</f>
        <v>18358.065722880005</v>
      </c>
      <c r="V1977">
        <f t="shared" ref="V1977:W1977" si="2104">V1953</f>
        <v>2.5</v>
      </c>
      <c r="W1977">
        <f t="shared" si="2104"/>
        <v>3.1</v>
      </c>
      <c r="X1977" s="9">
        <v>-93.007883566668497</v>
      </c>
    </row>
    <row r="1978" spans="1:24">
      <c r="A1978" s="29">
        <f t="shared" si="2047"/>
        <v>45918.291666661877</v>
      </c>
      <c r="B1978" s="30">
        <f t="shared" si="2071"/>
        <v>8000</v>
      </c>
      <c r="C1978" s="8">
        <v>25000</v>
      </c>
      <c r="D1978" s="8">
        <v>0</v>
      </c>
      <c r="E1978" s="8">
        <v>700</v>
      </c>
      <c r="F1978" s="8">
        <v>15000</v>
      </c>
      <c r="G1978" s="30">
        <f t="shared" si="2072"/>
        <v>2400</v>
      </c>
      <c r="H1978" s="8">
        <v>25000</v>
      </c>
      <c r="I1978" s="30">
        <f t="shared" si="2073"/>
        <v>8000</v>
      </c>
      <c r="J1978" s="8">
        <v>25000</v>
      </c>
      <c r="K1978" s="30">
        <f t="shared" si="2074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VLOOKUP(VLOOKUP(DATEVALUE(TEXT(A1978,"m/d/yyyy")),FY24_Temp[],5,FALSE)&amp;TEXT(A1978,"-h"),Table6[],4,FALSE)</f>
        <v>1.5834285702024187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VLOOKUP(TEXT(A1978,"yy-mm")&amp;"-"&amp;IF(AND(WEEKDAY(A1978)&gt;1,WEEKDAY(A1978)&lt;7),"Wkd",TEXT(A1978,"Ddd"))&amp;"-"&amp;TEXT(A1978,"hh"),LoadTable[],5,FALSE)*0.92</f>
        <v>237.25788000000003</v>
      </c>
      <c r="U1978" s="104">
        <f>VLOOKUP(TEXT(A1978,"yy-mm")&amp;"-"&amp;IF(AND(WEEKDAY(A1978)&gt;1,WEEKDAY(A1978)&lt;7),"Wkd",TEXT(A1978,"Ddd"))&amp;"-"&amp;TEXT(A1978,"hh"),LoadTable[],6,FALSE)*T1978</f>
        <v>16249.08042756</v>
      </c>
      <c r="V1978">
        <f t="shared" ref="V1978:W1978" si="2105">V1954</f>
        <v>2.5</v>
      </c>
      <c r="W1978">
        <f t="shared" si="2105"/>
        <v>3.1</v>
      </c>
      <c r="X1978" s="9">
        <v>-93.085678116668504</v>
      </c>
    </row>
    <row r="1979" spans="1:24">
      <c r="A1979" s="29">
        <f t="shared" si="2047"/>
        <v>45918.333333328541</v>
      </c>
      <c r="B1979" s="30">
        <f t="shared" si="2071"/>
        <v>8000</v>
      </c>
      <c r="C1979" s="8">
        <v>25000</v>
      </c>
      <c r="D1979" s="8">
        <v>0</v>
      </c>
      <c r="E1979" s="8">
        <v>700</v>
      </c>
      <c r="F1979" s="8">
        <v>15000</v>
      </c>
      <c r="G1979" s="30">
        <f t="shared" si="2072"/>
        <v>2400</v>
      </c>
      <c r="H1979" s="8">
        <v>25000</v>
      </c>
      <c r="I1979" s="30">
        <f t="shared" si="2073"/>
        <v>8000</v>
      </c>
      <c r="J1979" s="8">
        <v>25000</v>
      </c>
      <c r="K1979" s="30">
        <f t="shared" si="2074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VLOOKUP(VLOOKUP(DATEVALUE(TEXT(A1979,"m/d/yyyy")),FY24_Temp[],5,FALSE)&amp;TEXT(A1979,"-h"),Table6[],4,FALSE)</f>
        <v>1.5194285767418998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VLOOKUP(TEXT(A1979,"yy-mm")&amp;"-"&amp;IF(AND(WEEKDAY(A1979)&gt;1,WEEKDAY(A1979)&lt;7),"Wkd",TEXT(A1979,"Ddd"))&amp;"-"&amp;TEXT(A1979,"hh"),LoadTable[],5,FALSE)*0.92</f>
        <v>237.25788000000003</v>
      </c>
      <c r="U1979" s="104">
        <f>VLOOKUP(TEXT(A1979,"yy-mm")&amp;"-"&amp;IF(AND(WEEKDAY(A1979)&gt;1,WEEKDAY(A1979)&lt;7),"Wkd",TEXT(A1979,"Ddd"))&amp;"-"&amp;TEXT(A1979,"hh"),LoadTable[],6,FALSE)*T1979</f>
        <v>13068.164030400001</v>
      </c>
      <c r="V1979">
        <f t="shared" ref="V1979:W1979" si="2106">V1955</f>
        <v>3.2</v>
      </c>
      <c r="W1979">
        <f t="shared" si="2106"/>
        <v>3</v>
      </c>
      <c r="X1979" s="9">
        <v>-93.163472666668497</v>
      </c>
    </row>
    <row r="1980" spans="1:24">
      <c r="A1980" s="29">
        <f t="shared" si="2047"/>
        <v>45918.374999995205</v>
      </c>
      <c r="B1980" s="30">
        <f t="shared" si="2071"/>
        <v>8000</v>
      </c>
      <c r="C1980" s="8">
        <v>25000</v>
      </c>
      <c r="D1980" s="8">
        <v>0</v>
      </c>
      <c r="E1980" s="8">
        <v>700</v>
      </c>
      <c r="F1980" s="8">
        <v>15000</v>
      </c>
      <c r="G1980" s="30">
        <f t="shared" si="2072"/>
        <v>2400</v>
      </c>
      <c r="H1980" s="8">
        <v>25000</v>
      </c>
      <c r="I1980" s="30">
        <f t="shared" si="2073"/>
        <v>8000</v>
      </c>
      <c r="J1980" s="8">
        <v>25000</v>
      </c>
      <c r="K1980" s="30">
        <f t="shared" si="2074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VLOOKUP(VLOOKUP(DATEVALUE(TEXT(A1980,"m/d/yyyy")),FY24_Temp[],5,FALSE)&amp;TEXT(A1980,"-h"),Table6[],4,FALSE)</f>
        <v>1.3778571401323592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VLOOKUP(TEXT(A1980,"yy-mm")&amp;"-"&amp;IF(AND(WEEKDAY(A1980)&gt;1,WEEKDAY(A1980)&lt;7),"Wkd",TEXT(A1980,"Ddd"))&amp;"-"&amp;TEXT(A1980,"hh"),LoadTable[],5,FALSE)*0.92</f>
        <v>237.25788000000003</v>
      </c>
      <c r="U1980" s="104">
        <f>VLOOKUP(TEXT(A1980,"yy-mm")&amp;"-"&amp;IF(AND(WEEKDAY(A1980)&gt;1,WEEKDAY(A1980)&lt;7),"Wkd",TEXT(A1980,"Ddd"))&amp;"-"&amp;TEXT(A1980,"hh"),LoadTable[],6,FALSE)*T1980</f>
        <v>11518.395558240001</v>
      </c>
      <c r="V1980">
        <f t="shared" ref="V1980:W1980" si="2107">V1956</f>
        <v>2.9</v>
      </c>
      <c r="W1980">
        <f t="shared" si="2107"/>
        <v>3</v>
      </c>
      <c r="X1980" s="9">
        <v>-93.241267216668504</v>
      </c>
    </row>
    <row r="1981" spans="1:24">
      <c r="A1981" s="29">
        <f t="shared" si="2047"/>
        <v>45918.416666661869</v>
      </c>
      <c r="B1981" s="30">
        <f t="shared" si="2071"/>
        <v>8000</v>
      </c>
      <c r="C1981" s="8">
        <v>25000</v>
      </c>
      <c r="D1981" s="8">
        <v>0</v>
      </c>
      <c r="E1981" s="8">
        <v>700</v>
      </c>
      <c r="F1981" s="8">
        <v>15000</v>
      </c>
      <c r="G1981" s="30">
        <f t="shared" si="2072"/>
        <v>2400</v>
      </c>
      <c r="H1981" s="8">
        <v>25000</v>
      </c>
      <c r="I1981" s="30">
        <f t="shared" si="2073"/>
        <v>8000</v>
      </c>
      <c r="J1981" s="8">
        <v>25000</v>
      </c>
      <c r="K1981" s="30">
        <f t="shared" si="2074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VLOOKUP(VLOOKUP(DATEVALUE(TEXT(A1981,"m/d/yyyy")),FY24_Temp[],5,FALSE)&amp;TEXT(A1981,"-h"),Table6[],4,FALSE)</f>
        <v>1.2395714351109095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VLOOKUP(TEXT(A1981,"yy-mm")&amp;"-"&amp;IF(AND(WEEKDAY(A1981)&gt;1,WEEKDAY(A1981)&lt;7),"Wkd",TEXT(A1981,"Ddd"))&amp;"-"&amp;TEXT(A1981,"hh"),LoadTable[],5,FALSE)*0.92</f>
        <v>237.25788000000003</v>
      </c>
      <c r="U1981" s="104">
        <f>VLOOKUP(TEXT(A1981,"yy-mm")&amp;"-"&amp;IF(AND(WEEKDAY(A1981)&gt;1,WEEKDAY(A1981)&lt;7),"Wkd",TEXT(A1981,"Ddd"))&amp;"-"&amp;TEXT(A1981,"hh"),LoadTable[],6,FALSE)*T1981</f>
        <v>10982.667265200002</v>
      </c>
      <c r="V1981">
        <f t="shared" ref="V1981:W1981" si="2108">V1957</f>
        <v>2.9</v>
      </c>
      <c r="W1981">
        <f t="shared" si="2108"/>
        <v>3</v>
      </c>
      <c r="X1981" s="9">
        <v>-93.319061766668497</v>
      </c>
    </row>
    <row r="1982" spans="1:24">
      <c r="A1982" s="29">
        <f t="shared" si="2047"/>
        <v>45918.458333328534</v>
      </c>
      <c r="B1982" s="30">
        <f t="shared" si="2071"/>
        <v>8000</v>
      </c>
      <c r="C1982" s="8">
        <v>25000</v>
      </c>
      <c r="D1982" s="8">
        <v>0</v>
      </c>
      <c r="E1982" s="8">
        <v>700</v>
      </c>
      <c r="F1982" s="8">
        <v>15000</v>
      </c>
      <c r="G1982" s="30">
        <f t="shared" si="2072"/>
        <v>2400</v>
      </c>
      <c r="H1982" s="8">
        <v>25000</v>
      </c>
      <c r="I1982" s="30">
        <f t="shared" si="2073"/>
        <v>8000</v>
      </c>
      <c r="J1982" s="8">
        <v>25000</v>
      </c>
      <c r="K1982" s="30">
        <f t="shared" si="2074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VLOOKUP(VLOOKUP(DATEVALUE(TEXT(A1982,"m/d/yyyy")),FY24_Temp[],5,FALSE)&amp;TEXT(A1982,"-h"),Table6[],4,FALSE)</f>
        <v>1.1261428764888219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VLOOKUP(TEXT(A1982,"yy-mm")&amp;"-"&amp;IF(AND(WEEKDAY(A1982)&gt;1,WEEKDAY(A1982)&lt;7),"Wkd",TEXT(A1982,"Ddd"))&amp;"-"&amp;TEXT(A1982,"hh"),LoadTable[],5,FALSE)*0.92</f>
        <v>237.25788000000003</v>
      </c>
      <c r="U1982" s="104">
        <f>VLOOKUP(TEXT(A1982,"yy-mm")&amp;"-"&amp;IF(AND(WEEKDAY(A1982)&gt;1,WEEKDAY(A1982)&lt;7),"Wkd",TEXT(A1982,"Ddd"))&amp;"-"&amp;TEXT(A1982,"hh"),LoadTable[],6,FALSE)*T1982</f>
        <v>10974.125981520001</v>
      </c>
      <c r="V1982">
        <f t="shared" ref="V1982:W1982" si="2109">V1958</f>
        <v>3.4</v>
      </c>
      <c r="W1982">
        <f t="shared" si="2109"/>
        <v>3</v>
      </c>
      <c r="X1982" s="9">
        <v>-93.396856316668504</v>
      </c>
    </row>
    <row r="1983" spans="1:24">
      <c r="A1983" s="29">
        <f t="shared" si="2047"/>
        <v>45918.499999995198</v>
      </c>
      <c r="B1983" s="30">
        <f t="shared" si="2071"/>
        <v>8000</v>
      </c>
      <c r="C1983" s="8">
        <v>25000</v>
      </c>
      <c r="D1983" s="8">
        <v>0</v>
      </c>
      <c r="E1983" s="8">
        <v>700</v>
      </c>
      <c r="F1983" s="8">
        <v>15000</v>
      </c>
      <c r="G1983" s="30">
        <f t="shared" si="2072"/>
        <v>2400</v>
      </c>
      <c r="H1983" s="8">
        <v>25000</v>
      </c>
      <c r="I1983" s="30">
        <f t="shared" si="2073"/>
        <v>8000</v>
      </c>
      <c r="J1983" s="8">
        <v>25000</v>
      </c>
      <c r="K1983" s="30">
        <f t="shared" si="2074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VLOOKUP(VLOOKUP(DATEVALUE(TEXT(A1983,"m/d/yyyy")),FY24_Temp[],5,FALSE)&amp;TEXT(A1983,"-h"),Table6[],4,FALSE)</f>
        <v>0.97528570038931706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VLOOKUP(TEXT(A1983,"yy-mm")&amp;"-"&amp;IF(AND(WEEKDAY(A1983)&gt;1,WEEKDAY(A1983)&lt;7),"Wkd",TEXT(A1983,"Ddd"))&amp;"-"&amp;TEXT(A1983,"hh"),LoadTable[],5,FALSE)*0.92</f>
        <v>237.25788000000003</v>
      </c>
      <c r="U1983" s="104">
        <f>VLOOKUP(TEXT(A1983,"yy-mm")&amp;"-"&amp;IF(AND(WEEKDAY(A1983)&gt;1,WEEKDAY(A1983)&lt;7),"Wkd",TEXT(A1983,"Ddd"))&amp;"-"&amp;TEXT(A1983,"hh"),LoadTable[],6,FALSE)*T1983</f>
        <v>10962.974861160001</v>
      </c>
      <c r="V1983">
        <f t="shared" ref="V1983:W1983" si="2110">V1959</f>
        <v>3.1</v>
      </c>
      <c r="W1983">
        <f t="shared" si="2110"/>
        <v>2.9</v>
      </c>
      <c r="X1983" s="9">
        <v>-93.474650866668497</v>
      </c>
    </row>
    <row r="1984" spans="1:24">
      <c r="A1984" s="29">
        <f t="shared" si="2047"/>
        <v>45918.541666661862</v>
      </c>
      <c r="B1984" s="30">
        <f t="shared" si="2071"/>
        <v>8000</v>
      </c>
      <c r="C1984" s="8">
        <v>25000</v>
      </c>
      <c r="D1984" s="8">
        <v>0</v>
      </c>
      <c r="E1984" s="8">
        <v>700</v>
      </c>
      <c r="F1984" s="8">
        <v>15000</v>
      </c>
      <c r="G1984" s="30">
        <f t="shared" si="2072"/>
        <v>2400</v>
      </c>
      <c r="H1984" s="8">
        <v>25000</v>
      </c>
      <c r="I1984" s="30">
        <f t="shared" si="2073"/>
        <v>8000</v>
      </c>
      <c r="J1984" s="8">
        <v>25000</v>
      </c>
      <c r="K1984" s="30">
        <f t="shared" si="2074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VLOOKUP(VLOOKUP(DATEVALUE(TEXT(A1984,"m/d/yyyy")),FY24_Temp[],5,FALSE)&amp;TEXT(A1984,"-h"),Table6[],4,FALSE)</f>
        <v>0.83557144233158653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VLOOKUP(TEXT(A1984,"yy-mm")&amp;"-"&amp;IF(AND(WEEKDAY(A1984)&gt;1,WEEKDAY(A1984)&lt;7),"Wkd",TEXT(A1984,"Ddd"))&amp;"-"&amp;TEXT(A1984,"hh"),LoadTable[],5,FALSE)*0.92</f>
        <v>237.25788000000003</v>
      </c>
      <c r="U1984" s="104">
        <f>VLOOKUP(TEXT(A1984,"yy-mm")&amp;"-"&amp;IF(AND(WEEKDAY(A1984)&gt;1,WEEKDAY(A1984)&lt;7),"Wkd",TEXT(A1984,"Ddd"))&amp;"-"&amp;TEXT(A1984,"hh"),LoadTable[],6,FALSE)*T1984</f>
        <v>10978.39662336</v>
      </c>
      <c r="V1984">
        <f t="shared" ref="V1984:W1984" si="2111">V1960</f>
        <v>3.2</v>
      </c>
      <c r="W1984">
        <f t="shared" si="2111"/>
        <v>2.9</v>
      </c>
      <c r="X1984" s="9">
        <v>-93.552445416668505</v>
      </c>
    </row>
    <row r="1985" spans="1:24">
      <c r="A1985" s="29">
        <f t="shared" si="2047"/>
        <v>45918.583333328526</v>
      </c>
      <c r="B1985" s="30">
        <f t="shared" si="2071"/>
        <v>8000</v>
      </c>
      <c r="C1985" s="8">
        <v>25000</v>
      </c>
      <c r="D1985" s="8">
        <v>0</v>
      </c>
      <c r="E1985" s="8">
        <v>700</v>
      </c>
      <c r="F1985" s="8">
        <v>15000</v>
      </c>
      <c r="G1985" s="30">
        <f t="shared" si="2072"/>
        <v>2400</v>
      </c>
      <c r="H1985" s="8">
        <v>25000</v>
      </c>
      <c r="I1985" s="30">
        <f t="shared" si="2073"/>
        <v>8000</v>
      </c>
      <c r="J1985" s="8">
        <v>25000</v>
      </c>
      <c r="K1985" s="30">
        <f t="shared" si="2074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VLOOKUP(VLOOKUP(DATEVALUE(TEXT(A1985,"m/d/yyyy")),FY24_Temp[],5,FALSE)&amp;TEXT(A1985,"-h"),Table6[],4,FALSE)</f>
        <v>0.71842856918062481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VLOOKUP(TEXT(A1985,"yy-mm")&amp;"-"&amp;IF(AND(WEEKDAY(A1985)&gt;1,WEEKDAY(A1985)&lt;7),"Wkd",TEXT(A1985,"Ddd"))&amp;"-"&amp;TEXT(A1985,"hh"),LoadTable[],5,FALSE)*0.92</f>
        <v>269.75136000000003</v>
      </c>
      <c r="U1985" s="104">
        <f>VLOOKUP(TEXT(A1985,"yy-mm")&amp;"-"&amp;IF(AND(WEEKDAY(A1985)&gt;1,WEEKDAY(A1985)&lt;7),"Wkd",TEXT(A1985,"Ddd"))&amp;"-"&amp;TEXT(A1985,"hh"),LoadTable[],6,FALSE)*T1985</f>
        <v>12503.245287360001</v>
      </c>
      <c r="V1985">
        <f t="shared" ref="V1985:W1985" si="2112">V1961</f>
        <v>3.5</v>
      </c>
      <c r="W1985">
        <f t="shared" si="2112"/>
        <v>2.9</v>
      </c>
      <c r="X1985" s="9">
        <v>-93.630239966668498</v>
      </c>
    </row>
    <row r="1986" spans="1:24">
      <c r="A1986" s="29">
        <f t="shared" si="2047"/>
        <v>45918.624999995191</v>
      </c>
      <c r="B1986" s="30">
        <f t="shared" si="2071"/>
        <v>8000</v>
      </c>
      <c r="C1986" s="8">
        <v>25000</v>
      </c>
      <c r="D1986" s="8">
        <v>0</v>
      </c>
      <c r="E1986" s="8">
        <v>700</v>
      </c>
      <c r="F1986" s="8">
        <v>15000</v>
      </c>
      <c r="G1986" s="30">
        <f t="shared" si="2072"/>
        <v>2400</v>
      </c>
      <c r="H1986" s="8">
        <v>25000</v>
      </c>
      <c r="I1986" s="30">
        <f t="shared" si="2073"/>
        <v>8000</v>
      </c>
      <c r="J1986" s="8">
        <v>25000</v>
      </c>
      <c r="K1986" s="30">
        <f t="shared" si="2074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VLOOKUP(VLOOKUP(DATEVALUE(TEXT(A1986,"m/d/yyyy")),FY24_Temp[],5,FALSE)&amp;TEXT(A1986,"-h"),Table6[],4,FALSE)</f>
        <v>0.71542857374463764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VLOOKUP(TEXT(A1986,"yy-mm")&amp;"-"&amp;IF(AND(WEEKDAY(A1986)&gt;1,WEEKDAY(A1986)&lt;7),"Wkd",TEXT(A1986,"Ddd"))&amp;"-"&amp;TEXT(A1986,"hh"),LoadTable[],5,FALSE)*0.92</f>
        <v>388.38076000000001</v>
      </c>
      <c r="U1986" s="104">
        <f>VLOOKUP(TEXT(A1986,"yy-mm")&amp;"-"&amp;IF(AND(WEEKDAY(A1986)&gt;1,WEEKDAY(A1986)&lt;7),"Wkd",TEXT(A1986,"Ddd"))&amp;"-"&amp;TEXT(A1986,"hh"),LoadTable[],6,FALSE)*T1986</f>
        <v>19705.663000880002</v>
      </c>
      <c r="V1986">
        <f t="shared" ref="V1986:W1986" si="2113">V1962</f>
        <v>3.2</v>
      </c>
      <c r="W1986">
        <f t="shared" si="2113"/>
        <v>2.9</v>
      </c>
      <c r="X1986" s="9">
        <v>-93.708034516668604</v>
      </c>
    </row>
    <row r="1987" spans="1:24">
      <c r="A1987" s="29">
        <f t="shared" si="2047"/>
        <v>45918.666666661855</v>
      </c>
      <c r="B1987" s="30">
        <f t="shared" si="2071"/>
        <v>8000</v>
      </c>
      <c r="C1987" s="8">
        <v>25000</v>
      </c>
      <c r="D1987" s="8">
        <v>0</v>
      </c>
      <c r="E1987" s="8">
        <v>700</v>
      </c>
      <c r="F1987" s="8">
        <v>15000</v>
      </c>
      <c r="G1987" s="30">
        <f t="shared" si="2072"/>
        <v>2400</v>
      </c>
      <c r="H1987" s="8">
        <v>25000</v>
      </c>
      <c r="I1987" s="30">
        <f t="shared" si="2073"/>
        <v>8000</v>
      </c>
      <c r="J1987" s="8">
        <v>25000</v>
      </c>
      <c r="K1987" s="30">
        <f t="shared" si="2074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VLOOKUP(VLOOKUP(DATEVALUE(TEXT(A1987,"m/d/yyyy")),FY24_Temp[],5,FALSE)&amp;TEXT(A1987,"-h"),Table6[],4,FALSE)</f>
        <v>1.0005714382444109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VLOOKUP(TEXT(A1987,"yy-mm")&amp;"-"&amp;IF(AND(WEEKDAY(A1987)&gt;1,WEEKDAY(A1987)&lt;7),"Wkd",TEXT(A1987,"Ddd"))&amp;"-"&amp;TEXT(A1987,"hh"),LoadTable[],5,FALSE)*0.92</f>
        <v>388.38076000000001</v>
      </c>
      <c r="U1987" s="104">
        <f>VLOOKUP(TEXT(A1987,"yy-mm")&amp;"-"&amp;IF(AND(WEEKDAY(A1987)&gt;1,WEEKDAY(A1987)&lt;7),"Wkd",TEXT(A1987,"Ddd"))&amp;"-"&amp;TEXT(A1987,"hh"),LoadTable[],6,FALSE)*T1987</f>
        <v>23675.6911296</v>
      </c>
      <c r="V1987">
        <f t="shared" ref="V1987:W1987" si="2114">V1963</f>
        <v>3.5</v>
      </c>
      <c r="W1987">
        <f t="shared" si="2114"/>
        <v>3</v>
      </c>
      <c r="X1987" s="9">
        <v>-93.785829066668597</v>
      </c>
    </row>
    <row r="1988" spans="1:24">
      <c r="A1988" s="29">
        <f t="shared" si="2047"/>
        <v>45918.708333328519</v>
      </c>
      <c r="B1988" s="30">
        <f t="shared" si="2071"/>
        <v>8000</v>
      </c>
      <c r="C1988" s="8">
        <v>25000</v>
      </c>
      <c r="D1988" s="8">
        <v>0</v>
      </c>
      <c r="E1988" s="8">
        <v>700</v>
      </c>
      <c r="F1988" s="8">
        <v>15000</v>
      </c>
      <c r="G1988" s="30">
        <f t="shared" si="2072"/>
        <v>2400</v>
      </c>
      <c r="H1988" s="8">
        <v>25000</v>
      </c>
      <c r="I1988" s="30">
        <f t="shared" si="2073"/>
        <v>8000</v>
      </c>
      <c r="J1988" s="8">
        <v>25000</v>
      </c>
      <c r="K1988" s="30">
        <f t="shared" si="2074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VLOOKUP(VLOOKUP(DATEVALUE(TEXT(A1988,"m/d/yyyy")),FY24_Temp[],5,FALSE)&amp;TEXT(A1988,"-h"),Table6[],4,FALSE)</f>
        <v>1.4091428688594274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VLOOKUP(TEXT(A1988,"yy-mm")&amp;"-"&amp;IF(AND(WEEKDAY(A1988)&gt;1,WEEKDAY(A1988)&lt;7),"Wkd",TEXT(A1988,"Ddd"))&amp;"-"&amp;TEXT(A1988,"hh"),LoadTable[],5,FALSE)*0.92</f>
        <v>388.38076000000001</v>
      </c>
      <c r="U1988" s="104">
        <f>VLOOKUP(TEXT(A1988,"yy-mm")&amp;"-"&amp;IF(AND(WEEKDAY(A1988)&gt;1,WEEKDAY(A1988)&lt;7),"Wkd",TEXT(A1988,"Ddd"))&amp;"-"&amp;TEXT(A1988,"hh"),LoadTable[],6,FALSE)*T1988</f>
        <v>31454.180990880002</v>
      </c>
      <c r="V1988">
        <f t="shared" ref="V1988:W1988" si="2115">V1964</f>
        <v>3.6</v>
      </c>
      <c r="W1988">
        <f t="shared" si="2115"/>
        <v>3</v>
      </c>
      <c r="X1988" s="9">
        <v>-93.863623616668605</v>
      </c>
    </row>
    <row r="1989" spans="1:24">
      <c r="A1989" s="29">
        <f t="shared" ref="A1989:A2052" si="2116">A1988+TIME(1,0,0)</f>
        <v>45918.749999995183</v>
      </c>
      <c r="B1989" s="30">
        <f t="shared" si="2071"/>
        <v>5000</v>
      </c>
      <c r="C1989" s="8">
        <v>25000</v>
      </c>
      <c r="D1989" s="8">
        <v>0</v>
      </c>
      <c r="E1989" s="8">
        <v>700</v>
      </c>
      <c r="F1989" s="8">
        <v>15000</v>
      </c>
      <c r="G1989" s="30">
        <f t="shared" si="2072"/>
        <v>2400</v>
      </c>
      <c r="H1989" s="8">
        <v>25000</v>
      </c>
      <c r="I1989" s="30">
        <f t="shared" si="2073"/>
        <v>5000</v>
      </c>
      <c r="J1989" s="8">
        <v>25000</v>
      </c>
      <c r="K1989" s="30">
        <f t="shared" si="2074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VLOOKUP(VLOOKUP(DATEVALUE(TEXT(A1989,"m/d/yyyy")),FY24_Temp[],5,FALSE)&amp;TEXT(A1989,"-h"),Table6[],4,FALSE)</f>
        <v>1.9017142908913749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VLOOKUP(TEXT(A1989,"yy-mm")&amp;"-"&amp;IF(AND(WEEKDAY(A1989)&gt;1,WEEKDAY(A1989)&lt;7),"Wkd",TEXT(A1989,"Ddd"))&amp;"-"&amp;TEXT(A1989,"hh"),LoadTable[],5,FALSE)*0.92</f>
        <v>388.38076000000001</v>
      </c>
      <c r="U1989" s="104">
        <f>VLOOKUP(TEXT(A1989,"yy-mm")&amp;"-"&amp;IF(AND(WEEKDAY(A1989)&gt;1,WEEKDAY(A1989)&lt;7),"Wkd",TEXT(A1989,"Ddd"))&amp;"-"&amp;TEXT(A1989,"hh"),LoadTable[],6,FALSE)*T1989</f>
        <v>38316.869020080005</v>
      </c>
      <c r="V1989">
        <f t="shared" ref="V1989:W1989" si="2117">V1965</f>
        <v>2.9</v>
      </c>
      <c r="W1989">
        <f t="shared" si="2117"/>
        <v>3</v>
      </c>
      <c r="X1989" s="9">
        <v>-93.941418166668598</v>
      </c>
    </row>
    <row r="1990" spans="1:24">
      <c r="A1990" s="29">
        <f t="shared" si="2116"/>
        <v>45918.791666661848</v>
      </c>
      <c r="B1990" s="30">
        <f t="shared" si="2071"/>
        <v>5000</v>
      </c>
      <c r="C1990" s="8">
        <v>25000</v>
      </c>
      <c r="D1990" s="8">
        <v>0</v>
      </c>
      <c r="E1990" s="8">
        <v>700</v>
      </c>
      <c r="F1990" s="8">
        <v>15000</v>
      </c>
      <c r="G1990" s="30">
        <f t="shared" si="2072"/>
        <v>2400</v>
      </c>
      <c r="H1990" s="8">
        <v>25000</v>
      </c>
      <c r="I1990" s="30">
        <f t="shared" si="2073"/>
        <v>5000</v>
      </c>
      <c r="J1990" s="8">
        <v>25000</v>
      </c>
      <c r="K1990" s="30">
        <f t="shared" si="2074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VLOOKUP(VLOOKUP(DATEVALUE(TEXT(A1990,"m/d/yyyy")),FY24_Temp[],5,FALSE)&amp;TEXT(A1990,"-h"),Table6[],4,FALSE)</f>
        <v>2.2652856963021413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VLOOKUP(TEXT(A1990,"yy-mm")&amp;"-"&amp;IF(AND(WEEKDAY(A1990)&gt;1,WEEKDAY(A1990)&lt;7),"Wkd",TEXT(A1990,"Ddd"))&amp;"-"&amp;TEXT(A1990,"hh"),LoadTable[],5,FALSE)*0.92</f>
        <v>388.38076000000001</v>
      </c>
      <c r="U1990" s="104">
        <f>VLOOKUP(TEXT(A1990,"yy-mm")&amp;"-"&amp;IF(AND(WEEKDAY(A1990)&gt;1,WEEKDAY(A1990)&lt;7),"Wkd",TEXT(A1990,"Ddd"))&amp;"-"&amp;TEXT(A1990,"hh"),LoadTable[],6,FALSE)*T1990</f>
        <v>41132.241149319998</v>
      </c>
      <c r="V1990">
        <f t="shared" ref="V1990:W1990" si="2118">V1966</f>
        <v>3</v>
      </c>
      <c r="W1990">
        <f t="shared" si="2118"/>
        <v>3</v>
      </c>
      <c r="X1990" s="9">
        <v>-94.019212716668605</v>
      </c>
    </row>
    <row r="1991" spans="1:24">
      <c r="A1991" s="29">
        <f t="shared" si="2116"/>
        <v>45918.833333328512</v>
      </c>
      <c r="B1991" s="30">
        <f t="shared" si="2071"/>
        <v>5000</v>
      </c>
      <c r="C1991" s="8">
        <v>25000</v>
      </c>
      <c r="D1991" s="8">
        <v>0</v>
      </c>
      <c r="E1991" s="8">
        <v>700</v>
      </c>
      <c r="F1991" s="8">
        <v>15000</v>
      </c>
      <c r="G1991" s="30">
        <f t="shared" si="2072"/>
        <v>2400</v>
      </c>
      <c r="H1991" s="8">
        <v>25000</v>
      </c>
      <c r="I1991" s="30">
        <f t="shared" si="2073"/>
        <v>5000</v>
      </c>
      <c r="J1991" s="8">
        <v>25000</v>
      </c>
      <c r="K1991" s="30">
        <f t="shared" si="2074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VLOOKUP(VLOOKUP(DATEVALUE(TEXT(A1991,"m/d/yyyy")),FY24_Temp[],5,FALSE)&amp;TEXT(A1991,"-h"),Table6[],4,FALSE)</f>
        <v>2.4488571711948941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VLOOKUP(TEXT(A1991,"yy-mm")&amp;"-"&amp;IF(AND(WEEKDAY(A1991)&gt;1,WEEKDAY(A1991)&lt;7),"Wkd",TEXT(A1991,"Ddd"))&amp;"-"&amp;TEXT(A1991,"hh"),LoadTable[],5,FALSE)*0.92</f>
        <v>388.38076000000001</v>
      </c>
      <c r="U1991" s="104">
        <f>VLOOKUP(TEXT(A1991,"yy-mm")&amp;"-"&amp;IF(AND(WEEKDAY(A1991)&gt;1,WEEKDAY(A1991)&lt;7),"Wkd",TEXT(A1991,"Ddd"))&amp;"-"&amp;TEXT(A1991,"hh"),LoadTable[],6,FALSE)*T1991</f>
        <v>36274.762984000001</v>
      </c>
      <c r="V1991">
        <f t="shared" ref="V1991:W1991" si="2119">V1967</f>
        <v>2.8</v>
      </c>
      <c r="W1991">
        <f t="shared" si="2119"/>
        <v>3.1</v>
      </c>
      <c r="X1991" s="9">
        <v>-94.097007266668598</v>
      </c>
    </row>
    <row r="1992" spans="1:24">
      <c r="A1992" s="29">
        <f t="shared" si="2116"/>
        <v>45918.874999995176</v>
      </c>
      <c r="B1992" s="30">
        <f t="shared" si="2071"/>
        <v>5000</v>
      </c>
      <c r="C1992" s="8">
        <v>25000</v>
      </c>
      <c r="D1992" s="8">
        <v>0</v>
      </c>
      <c r="E1992" s="8">
        <v>700</v>
      </c>
      <c r="F1992" s="8">
        <v>15000</v>
      </c>
      <c r="G1992" s="30">
        <f t="shared" si="2072"/>
        <v>2400</v>
      </c>
      <c r="H1992" s="8">
        <v>25000</v>
      </c>
      <c r="I1992" s="30">
        <f t="shared" si="2073"/>
        <v>5000</v>
      </c>
      <c r="J1992" s="8">
        <v>25000</v>
      </c>
      <c r="K1992" s="30">
        <f t="shared" si="2074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VLOOKUP(VLOOKUP(DATEVALUE(TEXT(A1992,"m/d/yyyy")),FY24_Temp[],5,FALSE)&amp;TEXT(A1992,"-h"),Table6[],4,FALSE)</f>
        <v>2.5055713994162425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VLOOKUP(TEXT(A1992,"yy-mm")&amp;"-"&amp;IF(AND(WEEKDAY(A1992)&gt;1,WEEKDAY(A1992)&lt;7),"Wkd",TEXT(A1992,"Ddd"))&amp;"-"&amp;TEXT(A1992,"hh"),LoadTable[],5,FALSE)*0.92</f>
        <v>373.79416000000003</v>
      </c>
      <c r="U1992" s="104">
        <f>VLOOKUP(TEXT(A1992,"yy-mm")&amp;"-"&amp;IF(AND(WEEKDAY(A1992)&gt;1,WEEKDAY(A1992)&lt;7),"Wkd",TEXT(A1992,"Ddd"))&amp;"-"&amp;TEXT(A1992,"hh"),LoadTable[],6,FALSE)*T1992</f>
        <v>31749.328362080003</v>
      </c>
      <c r="V1992">
        <f t="shared" ref="V1992:W1992" si="2120">V1968</f>
        <v>3.5</v>
      </c>
      <c r="W1992">
        <f t="shared" si="2120"/>
        <v>3.1</v>
      </c>
      <c r="X1992" s="9">
        <v>-94.174801816668605</v>
      </c>
    </row>
    <row r="1993" spans="1:24">
      <c r="A1993" s="29">
        <f t="shared" si="2116"/>
        <v>45918.91666666184</v>
      </c>
      <c r="B1993" s="30">
        <f t="shared" si="2071"/>
        <v>5000</v>
      </c>
      <c r="C1993" s="8">
        <v>25000</v>
      </c>
      <c r="D1993" s="8">
        <v>0</v>
      </c>
      <c r="E1993" s="8">
        <v>700</v>
      </c>
      <c r="F1993" s="8">
        <v>15000</v>
      </c>
      <c r="G1993" s="30">
        <f t="shared" si="2072"/>
        <v>2400</v>
      </c>
      <c r="H1993" s="8">
        <v>25000</v>
      </c>
      <c r="I1993" s="30">
        <f t="shared" si="2073"/>
        <v>5000</v>
      </c>
      <c r="J1993" s="8">
        <v>25000</v>
      </c>
      <c r="K1993" s="30">
        <f t="shared" si="2074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VLOOKUP(VLOOKUP(DATEVALUE(TEXT(A1993,"m/d/yyyy")),FY24_Temp[],5,FALSE)&amp;TEXT(A1993,"-h"),Table6[],4,FALSE)</f>
        <v>2.4671428544180736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VLOOKUP(TEXT(A1993,"yy-mm")&amp;"-"&amp;IF(AND(WEEKDAY(A1993)&gt;1,WEEKDAY(A1993)&lt;7),"Wkd",TEXT(A1993,"Ddd"))&amp;"-"&amp;TEXT(A1993,"hh"),LoadTable[],5,FALSE)*0.92</f>
        <v>299.65044</v>
      </c>
      <c r="U1993" s="104">
        <f>VLOOKUP(TEXT(A1993,"yy-mm")&amp;"-"&amp;IF(AND(WEEKDAY(A1993)&gt;1,WEEKDAY(A1993)&lt;7),"Wkd",TEXT(A1993,"Ddd"))&amp;"-"&amp;TEXT(A1993,"hh"),LoadTable[],6,FALSE)*T1993</f>
        <v>15023.87376072</v>
      </c>
      <c r="V1993">
        <f t="shared" ref="V1993:W1993" si="2121">V1969</f>
        <v>2.9</v>
      </c>
      <c r="W1993">
        <f t="shared" si="2121"/>
        <v>3.1</v>
      </c>
      <c r="X1993" s="9">
        <v>-94.252596366668598</v>
      </c>
    </row>
    <row r="1994" spans="1:24">
      <c r="A1994" s="29">
        <f t="shared" si="2116"/>
        <v>45918.958333328505</v>
      </c>
      <c r="B1994" s="30">
        <f t="shared" si="2071"/>
        <v>5000</v>
      </c>
      <c r="C1994" s="41">
        <v>25000</v>
      </c>
      <c r="D1994" s="41">
        <v>0</v>
      </c>
      <c r="E1994" s="41">
        <v>700</v>
      </c>
      <c r="F1994" s="41">
        <v>15000</v>
      </c>
      <c r="G1994" s="30">
        <f t="shared" si="2072"/>
        <v>2400</v>
      </c>
      <c r="H1994" s="41">
        <v>25000</v>
      </c>
      <c r="I1994" s="30">
        <f t="shared" si="2073"/>
        <v>5000</v>
      </c>
      <c r="J1994" s="41">
        <v>25000</v>
      </c>
      <c r="K1994" s="30">
        <f t="shared" si="2074"/>
        <v>5000</v>
      </c>
      <c r="L1994" s="41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84">
        <v>13.5</v>
      </c>
      <c r="P1994" s="84">
        <v>19.5</v>
      </c>
      <c r="Q1994" s="85">
        <f>VLOOKUP(VLOOKUP(DATEVALUE(TEXT(A1994,"m/d/yyyy")),FY24_Temp[],5,FALSE)&amp;TEXT(A1994,"-h"),Table6[],4,FALSE)</f>
        <v>2.4559999534061978</v>
      </c>
      <c r="R1994">
        <v>10</v>
      </c>
      <c r="S1994">
        <v>1000</v>
      </c>
      <c r="T1994" s="98">
        <f>VLOOKUP(TEXT(A1994,"yy-mm")&amp;"-"&amp;IF(AND(WEEKDAY(A1994)&gt;1,WEEKDAY(A1994)&lt;7),"Wkd",TEXT(A1994,"Ddd"))&amp;"-"&amp;TEXT(A1994,"hh"),LoadTable[],5,FALSE)*0.92</f>
        <v>237.25788000000003</v>
      </c>
      <c r="U1994" s="104">
        <f>VLOOKUP(TEXT(A1994,"yy-mm")&amp;"-"&amp;IF(AND(WEEKDAY(A1994)&gt;1,WEEKDAY(A1994)&lt;7),"Wkd",TEXT(A1994,"Ddd"))&amp;"-"&amp;TEXT(A1994,"hh"),LoadTable[],6,FALSE)*T1994</f>
        <v>11687.323168800001</v>
      </c>
      <c r="V1994">
        <f t="shared" ref="V1994:W1994" si="2122">V1970</f>
        <v>3.6</v>
      </c>
      <c r="W1994">
        <f t="shared" si="2122"/>
        <v>3.1</v>
      </c>
      <c r="X1994" s="84">
        <v>-94.330390916668605</v>
      </c>
    </row>
    <row r="1995" spans="1:24">
      <c r="A1995" s="29">
        <f t="shared" si="2116"/>
        <v>45918.999999995169</v>
      </c>
      <c r="B1995" s="30">
        <f t="shared" si="2071"/>
        <v>5000</v>
      </c>
      <c r="C1995" s="8">
        <v>25000</v>
      </c>
      <c r="D1995" s="8">
        <v>0</v>
      </c>
      <c r="E1995" s="8">
        <v>700</v>
      </c>
      <c r="F1995" s="8">
        <v>15000</v>
      </c>
      <c r="G1995" s="30">
        <f t="shared" si="2072"/>
        <v>2400</v>
      </c>
      <c r="H1995" s="8">
        <v>25000</v>
      </c>
      <c r="I1995" s="30">
        <f t="shared" si="2073"/>
        <v>5000</v>
      </c>
      <c r="J1995" s="8">
        <v>25000</v>
      </c>
      <c r="K1995" s="30">
        <f t="shared" si="2074"/>
        <v>5000</v>
      </c>
      <c r="L1995" s="8">
        <v>25000</v>
      </c>
      <c r="M1995" s="9">
        <f>VLOOKUP(DATE(YEAR(A1995),MONTH(A1995),DAY(A1995)),FY24_Temp[],4,FALSE)</f>
        <v>8.5</v>
      </c>
      <c r="N1995" s="9">
        <f>VLOOKUP(DATE(YEAR(A1995),MONTH(A1995),DAY(A1995)),FY24_Temp[],3,FALSE)</f>
        <v>15.49</v>
      </c>
      <c r="O1995" s="9">
        <v>13.5</v>
      </c>
      <c r="P1995" s="9">
        <v>19.5</v>
      </c>
      <c r="Q1995" s="79">
        <f>VLOOKUP(VLOOKUP(DATEVALUE(TEXT(A1995,"m/d/yyyy")),FY24_Temp[],5,FALSE)&amp;TEXT(A1995,"-h"),Table6[],4,FALSE)</f>
        <v>2.4424285888671875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VLOOKUP(TEXT(A1995,"yy-mm")&amp;"-"&amp;IF(AND(WEEKDAY(A1995)&gt;1,WEEKDAY(A1995)&lt;7),"Wkd",TEXT(A1995,"Ddd"))&amp;"-"&amp;TEXT(A1995,"hh"),LoadTable[],5,FALSE)*0.92</f>
        <v>237.25788000000003</v>
      </c>
      <c r="U1995" s="104">
        <f>VLOOKUP(TEXT(A1995,"yy-mm")&amp;"-"&amp;IF(AND(WEEKDAY(A1995)&gt;1,WEEKDAY(A1995)&lt;7),"Wkd",TEXT(A1995,"Ddd"))&amp;"-"&amp;TEXT(A1995,"hh"),LoadTable[],6,FALSE)*T1995</f>
        <v>12215.696467560001</v>
      </c>
      <c r="V1995">
        <f t="shared" ref="V1995:W1995" si="2123">V1971</f>
        <v>3</v>
      </c>
      <c r="W1995">
        <f t="shared" si="2123"/>
        <v>3.2</v>
      </c>
      <c r="X1995" s="9">
        <v>-94.408185466668598</v>
      </c>
    </row>
    <row r="1996" spans="1:24">
      <c r="A1996" s="29">
        <f t="shared" si="2116"/>
        <v>45919.041666661833</v>
      </c>
      <c r="B1996" s="30">
        <f t="shared" si="2071"/>
        <v>5000</v>
      </c>
      <c r="C1996" s="42">
        <v>25000</v>
      </c>
      <c r="D1996" s="42">
        <v>0</v>
      </c>
      <c r="E1996" s="42">
        <v>700</v>
      </c>
      <c r="F1996" s="42">
        <v>15000</v>
      </c>
      <c r="G1996" s="30">
        <f t="shared" si="2072"/>
        <v>2400</v>
      </c>
      <c r="H1996" s="42">
        <v>25000</v>
      </c>
      <c r="I1996" s="30">
        <f t="shared" si="2073"/>
        <v>5000</v>
      </c>
      <c r="J1996" s="42">
        <v>25000</v>
      </c>
      <c r="K1996" s="30">
        <f t="shared" si="2074"/>
        <v>5000</v>
      </c>
      <c r="L1996" s="42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86">
        <v>13.5</v>
      </c>
      <c r="P1996" s="86">
        <v>19.5</v>
      </c>
      <c r="Q1996" s="87">
        <f>VLOOKUP(VLOOKUP(DATEVALUE(TEXT(A1996,"m/d/yyyy")),FY24_Temp[],5,FALSE)&amp;TEXT(A1996,"-h"),Table6[],4,FALSE)</f>
        <v>2.3764285360063826</v>
      </c>
      <c r="R1996">
        <v>10</v>
      </c>
      <c r="S1996">
        <v>1000</v>
      </c>
      <c r="T1996" s="99">
        <f>VLOOKUP(TEXT(A1996,"yy-mm")&amp;"-"&amp;IF(AND(WEEKDAY(A1996)&gt;1,WEEKDAY(A1996)&lt;7),"Wkd",TEXT(A1996,"Ddd"))&amp;"-"&amp;TEXT(A1996,"hh"),LoadTable[],5,FALSE)*0.92</f>
        <v>237.25788000000003</v>
      </c>
      <c r="U1996" s="104">
        <f>VLOOKUP(TEXT(A1996,"yy-mm")&amp;"-"&amp;IF(AND(WEEKDAY(A1996)&gt;1,WEEKDAY(A1996)&lt;7),"Wkd",TEXT(A1996,"Ddd"))&amp;"-"&amp;TEXT(A1996,"hh"),LoadTable[],6,FALSE)*T1996</f>
        <v>11905.12590264</v>
      </c>
      <c r="V1996">
        <f t="shared" ref="V1996:W1996" si="2124">V1972</f>
        <v>2.6</v>
      </c>
      <c r="W1996">
        <f t="shared" si="2124"/>
        <v>3.2</v>
      </c>
      <c r="X1996" s="86">
        <v>-94.485980016668606</v>
      </c>
    </row>
    <row r="1997" spans="1:24">
      <c r="A1997" s="29">
        <f t="shared" si="2116"/>
        <v>45919.083333328497</v>
      </c>
      <c r="B1997" s="30">
        <f t="shared" si="2071"/>
        <v>5000</v>
      </c>
      <c r="C1997" s="8">
        <v>25000</v>
      </c>
      <c r="D1997" s="8">
        <v>0</v>
      </c>
      <c r="E1997" s="8">
        <v>700</v>
      </c>
      <c r="F1997" s="8">
        <v>15000</v>
      </c>
      <c r="G1997" s="30">
        <f t="shared" si="2072"/>
        <v>2400</v>
      </c>
      <c r="H1997" s="8">
        <v>25000</v>
      </c>
      <c r="I1997" s="30">
        <f t="shared" si="2073"/>
        <v>5000</v>
      </c>
      <c r="J1997" s="8">
        <v>25000</v>
      </c>
      <c r="K1997" s="30">
        <f t="shared" si="2074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VLOOKUP(VLOOKUP(DATEVALUE(TEXT(A1997,"m/d/yyyy")),FY24_Temp[],5,FALSE)&amp;TEXT(A1997,"-h"),Table6[],4,FALSE)</f>
        <v>2.2488571235111783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VLOOKUP(TEXT(A1997,"yy-mm")&amp;"-"&amp;IF(AND(WEEKDAY(A1997)&gt;1,WEEKDAY(A1997)&lt;7),"Wkd",TEXT(A1997,"Ddd"))&amp;"-"&amp;TEXT(A1997,"hh"),LoadTable[],5,FALSE)*0.92</f>
        <v>237.25788000000003</v>
      </c>
      <c r="U1997" s="104">
        <f>VLOOKUP(TEXT(A1997,"yy-mm")&amp;"-"&amp;IF(AND(WEEKDAY(A1997)&gt;1,WEEKDAY(A1997)&lt;7),"Wkd",TEXT(A1997,"Ddd"))&amp;"-"&amp;TEXT(A1997,"hh"),LoadTable[],6,FALSE)*T1997</f>
        <v>11856.013521480001</v>
      </c>
      <c r="V1997">
        <f t="shared" ref="V1997:W1997" si="2125">V1973</f>
        <v>2.8</v>
      </c>
      <c r="W1997">
        <f t="shared" si="2125"/>
        <v>3.2</v>
      </c>
      <c r="X1997" s="9">
        <v>-94.563774566668599</v>
      </c>
    </row>
    <row r="1998" spans="1:24">
      <c r="A1998" s="29">
        <f t="shared" si="2116"/>
        <v>45919.124999995161</v>
      </c>
      <c r="B1998" s="30">
        <f t="shared" si="2071"/>
        <v>5000</v>
      </c>
      <c r="C1998" s="8">
        <v>25000</v>
      </c>
      <c r="D1998" s="8">
        <v>0</v>
      </c>
      <c r="E1998" s="8">
        <v>700</v>
      </c>
      <c r="F1998" s="8">
        <v>15000</v>
      </c>
      <c r="G1998" s="30">
        <f t="shared" si="2072"/>
        <v>2400</v>
      </c>
      <c r="H1998" s="8">
        <v>25000</v>
      </c>
      <c r="I1998" s="30">
        <f t="shared" si="2073"/>
        <v>5000</v>
      </c>
      <c r="J1998" s="8">
        <v>25000</v>
      </c>
      <c r="K1998" s="30">
        <f t="shared" si="2074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VLOOKUP(VLOOKUP(DATEVALUE(TEXT(A1998,"m/d/yyyy")),FY24_Temp[],5,FALSE)&amp;TEXT(A1998,"-h"),Table6[],4,FALSE)</f>
        <v>2.1057142530168806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VLOOKUP(TEXT(A1998,"yy-mm")&amp;"-"&amp;IF(AND(WEEKDAY(A1998)&gt;1,WEEKDAY(A1998)&lt;7),"Wkd",TEXT(A1998,"Ddd"))&amp;"-"&amp;TEXT(A1998,"hh"),LoadTable[],5,FALSE)*0.92</f>
        <v>237.25788000000003</v>
      </c>
      <c r="U1998" s="104">
        <f>VLOOKUP(TEXT(A1998,"yy-mm")&amp;"-"&amp;IF(AND(WEEKDAY(A1998)&gt;1,WEEKDAY(A1998)&lt;7),"Wkd",TEXT(A1998,"Ddd"))&amp;"-"&amp;TEXT(A1998,"hh"),LoadTable[],6,FALSE)*T1998</f>
        <v>11893.025750760002</v>
      </c>
      <c r="V1998">
        <f t="shared" ref="V1998:W1998" si="2126">V1974</f>
        <v>2.7</v>
      </c>
      <c r="W1998">
        <f t="shared" si="2126"/>
        <v>3.2</v>
      </c>
      <c r="X1998" s="9">
        <v>-94.641569116668606</v>
      </c>
    </row>
    <row r="1999" spans="1:24">
      <c r="A1999" s="29">
        <f t="shared" si="2116"/>
        <v>45919.166666661826</v>
      </c>
      <c r="B1999" s="30">
        <f t="shared" si="2071"/>
        <v>5000</v>
      </c>
      <c r="C1999" s="8">
        <v>25000</v>
      </c>
      <c r="D1999" s="8">
        <v>0</v>
      </c>
      <c r="E1999" s="8">
        <v>700</v>
      </c>
      <c r="F1999" s="8">
        <v>15000</v>
      </c>
      <c r="G1999" s="30">
        <f t="shared" si="2072"/>
        <v>2400</v>
      </c>
      <c r="H1999" s="8">
        <v>25000</v>
      </c>
      <c r="I1999" s="30">
        <f t="shared" si="2073"/>
        <v>5000</v>
      </c>
      <c r="J1999" s="8">
        <v>25000</v>
      </c>
      <c r="K1999" s="30">
        <f t="shared" si="2074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VLOOKUP(VLOOKUP(DATEVALUE(TEXT(A1999,"m/d/yyyy")),FY24_Temp[],5,FALSE)&amp;TEXT(A1999,"-h"),Table6[],4,FALSE)</f>
        <v>1.956142851284572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VLOOKUP(TEXT(A1999,"yy-mm")&amp;"-"&amp;IF(AND(WEEKDAY(A1999)&gt;1,WEEKDAY(A1999)&lt;7),"Wkd",TEXT(A1999,"Ddd"))&amp;"-"&amp;TEXT(A1999,"hh"),LoadTable[],5,FALSE)*0.92</f>
        <v>237.25788000000003</v>
      </c>
      <c r="U1999" s="104">
        <f>VLOOKUP(TEXT(A1999,"yy-mm")&amp;"-"&amp;IF(AND(WEEKDAY(A1999)&gt;1,WEEKDAY(A1999)&lt;7),"Wkd",TEXT(A1999,"Ddd"))&amp;"-"&amp;TEXT(A1999,"hh"),LoadTable[],6,FALSE)*T1999</f>
        <v>12081.645765360001</v>
      </c>
      <c r="V1999">
        <f t="shared" ref="V1999:W1999" si="2127">V1975</f>
        <v>3</v>
      </c>
      <c r="W1999">
        <f t="shared" si="2127"/>
        <v>3.1</v>
      </c>
      <c r="X1999" s="9">
        <v>-94.719363666668599</v>
      </c>
    </row>
    <row r="2000" spans="1:24">
      <c r="A2000" s="29">
        <f t="shared" si="2116"/>
        <v>45919.20833332849</v>
      </c>
      <c r="B2000" s="30">
        <f t="shared" si="2071"/>
        <v>5000</v>
      </c>
      <c r="C2000" s="8">
        <v>25000</v>
      </c>
      <c r="D2000" s="8">
        <v>0</v>
      </c>
      <c r="E2000" s="8">
        <v>700</v>
      </c>
      <c r="F2000" s="8">
        <v>15000</v>
      </c>
      <c r="G2000" s="30">
        <f t="shared" si="2072"/>
        <v>2400</v>
      </c>
      <c r="H2000" s="8">
        <v>25000</v>
      </c>
      <c r="I2000" s="30">
        <f t="shared" si="2073"/>
        <v>5000</v>
      </c>
      <c r="J2000" s="8">
        <v>25000</v>
      </c>
      <c r="K2000" s="30">
        <f t="shared" si="2074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VLOOKUP(VLOOKUP(DATEVALUE(TEXT(A2000,"m/d/yyyy")),FY24_Temp[],5,FALSE)&amp;TEXT(A2000,"-h"),Table6[],4,FALSE)</f>
        <v>1.8435714244842529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VLOOKUP(TEXT(A2000,"yy-mm")&amp;"-"&amp;IF(AND(WEEKDAY(A2000)&gt;1,WEEKDAY(A2000)&lt;7),"Wkd",TEXT(A2000,"Ddd"))&amp;"-"&amp;TEXT(A2000,"hh"),LoadTable[],5,FALSE)*0.92</f>
        <v>237.25788000000003</v>
      </c>
      <c r="U2000" s="104">
        <f>VLOOKUP(TEXT(A2000,"yy-mm")&amp;"-"&amp;IF(AND(WEEKDAY(A2000)&gt;1,WEEKDAY(A2000)&lt;7),"Wkd",TEXT(A2000,"Ddd"))&amp;"-"&amp;TEXT(A2000,"hh"),LoadTable[],6,FALSE)*T2000</f>
        <v>12065.037713760001</v>
      </c>
      <c r="V2000">
        <f t="shared" ref="V2000:W2000" si="2128">V1976</f>
        <v>2.9</v>
      </c>
      <c r="W2000">
        <f t="shared" si="2128"/>
        <v>3.1</v>
      </c>
      <c r="X2000" s="9">
        <v>-94.797158216668706</v>
      </c>
    </row>
    <row r="2001" spans="1:24">
      <c r="A2001" s="29">
        <f t="shared" si="2116"/>
        <v>45919.249999995154</v>
      </c>
      <c r="B2001" s="30">
        <f t="shared" si="2071"/>
        <v>8000</v>
      </c>
      <c r="C2001" s="8">
        <v>25000</v>
      </c>
      <c r="D2001" s="8">
        <v>0</v>
      </c>
      <c r="E2001" s="8">
        <v>700</v>
      </c>
      <c r="F2001" s="8">
        <v>15000</v>
      </c>
      <c r="G2001" s="30">
        <f t="shared" si="2072"/>
        <v>2400</v>
      </c>
      <c r="H2001" s="8">
        <v>25000</v>
      </c>
      <c r="I2001" s="30">
        <f t="shared" si="2073"/>
        <v>8000</v>
      </c>
      <c r="J2001" s="8">
        <v>25000</v>
      </c>
      <c r="K2001" s="30">
        <f t="shared" si="2074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VLOOKUP(VLOOKUP(DATEVALUE(TEXT(A2001,"m/d/yyyy")),FY24_Temp[],5,FALSE)&amp;TEXT(A2001,"-h"),Table6[],4,FALSE)</f>
        <v>1.7435714176722936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VLOOKUP(TEXT(A2001,"yy-mm")&amp;"-"&amp;IF(AND(WEEKDAY(A2001)&gt;1,WEEKDAY(A2001)&lt;7),"Wkd",TEXT(A2001,"Ddd"))&amp;"-"&amp;TEXT(A2001,"hh"),LoadTable[],5,FALSE)*0.92</f>
        <v>237.25788000000003</v>
      </c>
      <c r="U2001" s="104">
        <f>VLOOKUP(TEXT(A2001,"yy-mm")&amp;"-"&amp;IF(AND(WEEKDAY(A2001)&gt;1,WEEKDAY(A2001)&lt;7),"Wkd",TEXT(A2001,"Ddd"))&amp;"-"&amp;TEXT(A2001,"hh"),LoadTable[],6,FALSE)*T2001</f>
        <v>18358.065722880005</v>
      </c>
      <c r="V2001">
        <f t="shared" ref="V2001:W2001" si="2129">V1977</f>
        <v>2.5</v>
      </c>
      <c r="W2001">
        <f t="shared" si="2129"/>
        <v>3.1</v>
      </c>
      <c r="X2001" s="9">
        <v>-94.874952766668699</v>
      </c>
    </row>
    <row r="2002" spans="1:24">
      <c r="A2002" s="29">
        <f t="shared" si="2116"/>
        <v>45919.291666661818</v>
      </c>
      <c r="B2002" s="30">
        <f t="shared" si="2071"/>
        <v>8000</v>
      </c>
      <c r="C2002" s="8">
        <v>25000</v>
      </c>
      <c r="D2002" s="8">
        <v>0</v>
      </c>
      <c r="E2002" s="8">
        <v>700</v>
      </c>
      <c r="F2002" s="8">
        <v>15000</v>
      </c>
      <c r="G2002" s="30">
        <f t="shared" si="2072"/>
        <v>2400</v>
      </c>
      <c r="H2002" s="8">
        <v>25000</v>
      </c>
      <c r="I2002" s="30">
        <f t="shared" si="2073"/>
        <v>8000</v>
      </c>
      <c r="J2002" s="8">
        <v>25000</v>
      </c>
      <c r="K2002" s="30">
        <f t="shared" si="2074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VLOOKUP(VLOOKUP(DATEVALUE(TEXT(A2002,"m/d/yyyy")),FY24_Temp[],5,FALSE)&amp;TEXT(A2002,"-h"),Table6[],4,FALSE)</f>
        <v>1.5834285702024187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VLOOKUP(TEXT(A2002,"yy-mm")&amp;"-"&amp;IF(AND(WEEKDAY(A2002)&gt;1,WEEKDAY(A2002)&lt;7),"Wkd",TEXT(A2002,"Ddd"))&amp;"-"&amp;TEXT(A2002,"hh"),LoadTable[],5,FALSE)*0.92</f>
        <v>237.25788000000003</v>
      </c>
      <c r="U2002" s="104">
        <f>VLOOKUP(TEXT(A2002,"yy-mm")&amp;"-"&amp;IF(AND(WEEKDAY(A2002)&gt;1,WEEKDAY(A2002)&lt;7),"Wkd",TEXT(A2002,"Ddd"))&amp;"-"&amp;TEXT(A2002,"hh"),LoadTable[],6,FALSE)*T2002</f>
        <v>16249.08042756</v>
      </c>
      <c r="V2002">
        <f t="shared" ref="V2002:W2002" si="2130">V1978</f>
        <v>2.5</v>
      </c>
      <c r="W2002">
        <f t="shared" si="2130"/>
        <v>3.1</v>
      </c>
      <c r="X2002" s="9">
        <v>-94.952747316668706</v>
      </c>
    </row>
    <row r="2003" spans="1:24">
      <c r="A2003" s="29">
        <f t="shared" si="2116"/>
        <v>45919.333333328483</v>
      </c>
      <c r="B2003" s="30">
        <f t="shared" si="2071"/>
        <v>8000</v>
      </c>
      <c r="C2003" s="8">
        <v>25000</v>
      </c>
      <c r="D2003" s="8">
        <v>0</v>
      </c>
      <c r="E2003" s="8">
        <v>700</v>
      </c>
      <c r="F2003" s="8">
        <v>15000</v>
      </c>
      <c r="G2003" s="30">
        <f t="shared" si="2072"/>
        <v>2400</v>
      </c>
      <c r="H2003" s="8">
        <v>25000</v>
      </c>
      <c r="I2003" s="30">
        <f t="shared" si="2073"/>
        <v>8000</v>
      </c>
      <c r="J2003" s="8">
        <v>25000</v>
      </c>
      <c r="K2003" s="30">
        <f t="shared" si="2074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VLOOKUP(VLOOKUP(DATEVALUE(TEXT(A2003,"m/d/yyyy")),FY24_Temp[],5,FALSE)&amp;TEXT(A2003,"-h"),Table6[],4,FALSE)</f>
        <v>1.5194285767418998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VLOOKUP(TEXT(A2003,"yy-mm")&amp;"-"&amp;IF(AND(WEEKDAY(A2003)&gt;1,WEEKDAY(A2003)&lt;7),"Wkd",TEXT(A2003,"Ddd"))&amp;"-"&amp;TEXT(A2003,"hh"),LoadTable[],5,FALSE)*0.92</f>
        <v>237.25788000000003</v>
      </c>
      <c r="U2003" s="104">
        <f>VLOOKUP(TEXT(A2003,"yy-mm")&amp;"-"&amp;IF(AND(WEEKDAY(A2003)&gt;1,WEEKDAY(A2003)&lt;7),"Wkd",TEXT(A2003,"Ddd"))&amp;"-"&amp;TEXT(A2003,"hh"),LoadTable[],6,FALSE)*T2003</f>
        <v>13068.164030400001</v>
      </c>
      <c r="V2003">
        <f t="shared" ref="V2003:W2003" si="2131">V1979</f>
        <v>3.2</v>
      </c>
      <c r="W2003">
        <f t="shared" si="2131"/>
        <v>3</v>
      </c>
      <c r="X2003" s="9">
        <v>-95.030541866668699</v>
      </c>
    </row>
    <row r="2004" spans="1:24">
      <c r="A2004" s="29">
        <f t="shared" si="2116"/>
        <v>45919.374999995147</v>
      </c>
      <c r="B2004" s="30">
        <f t="shared" si="2071"/>
        <v>8000</v>
      </c>
      <c r="C2004" s="8">
        <v>25000</v>
      </c>
      <c r="D2004" s="8">
        <v>0</v>
      </c>
      <c r="E2004" s="8">
        <v>700</v>
      </c>
      <c r="F2004" s="8">
        <v>15000</v>
      </c>
      <c r="G2004" s="30">
        <f t="shared" si="2072"/>
        <v>2400</v>
      </c>
      <c r="H2004" s="8">
        <v>25000</v>
      </c>
      <c r="I2004" s="30">
        <f t="shared" si="2073"/>
        <v>8000</v>
      </c>
      <c r="J2004" s="8">
        <v>25000</v>
      </c>
      <c r="K2004" s="30">
        <f t="shared" si="2074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VLOOKUP(VLOOKUP(DATEVALUE(TEXT(A2004,"m/d/yyyy")),FY24_Temp[],5,FALSE)&amp;TEXT(A2004,"-h"),Table6[],4,FALSE)</f>
        <v>1.3778571401323592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VLOOKUP(TEXT(A2004,"yy-mm")&amp;"-"&amp;IF(AND(WEEKDAY(A2004)&gt;1,WEEKDAY(A2004)&lt;7),"Wkd",TEXT(A2004,"Ddd"))&amp;"-"&amp;TEXT(A2004,"hh"),LoadTable[],5,FALSE)*0.92</f>
        <v>237.25788000000003</v>
      </c>
      <c r="U2004" s="104">
        <f>VLOOKUP(TEXT(A2004,"yy-mm")&amp;"-"&amp;IF(AND(WEEKDAY(A2004)&gt;1,WEEKDAY(A2004)&lt;7),"Wkd",TEXT(A2004,"Ddd"))&amp;"-"&amp;TEXT(A2004,"hh"),LoadTable[],6,FALSE)*T2004</f>
        <v>11518.395558240001</v>
      </c>
      <c r="V2004">
        <f t="shared" ref="V2004:W2004" si="2132">V1980</f>
        <v>2.9</v>
      </c>
      <c r="W2004">
        <f t="shared" si="2132"/>
        <v>3</v>
      </c>
      <c r="X2004" s="9">
        <v>-95.108336416668706</v>
      </c>
    </row>
    <row r="2005" spans="1:24">
      <c r="A2005" s="29">
        <f t="shared" si="2116"/>
        <v>45919.416666661811</v>
      </c>
      <c r="B2005" s="30">
        <f t="shared" si="2071"/>
        <v>8000</v>
      </c>
      <c r="C2005" s="8">
        <v>25000</v>
      </c>
      <c r="D2005" s="8">
        <v>0</v>
      </c>
      <c r="E2005" s="8">
        <v>700</v>
      </c>
      <c r="F2005" s="8">
        <v>15000</v>
      </c>
      <c r="G2005" s="30">
        <f t="shared" si="2072"/>
        <v>2400</v>
      </c>
      <c r="H2005" s="8">
        <v>25000</v>
      </c>
      <c r="I2005" s="30">
        <f t="shared" si="2073"/>
        <v>8000</v>
      </c>
      <c r="J2005" s="8">
        <v>25000</v>
      </c>
      <c r="K2005" s="30">
        <f t="shared" si="2074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VLOOKUP(VLOOKUP(DATEVALUE(TEXT(A2005,"m/d/yyyy")),FY24_Temp[],5,FALSE)&amp;TEXT(A2005,"-h"),Table6[],4,FALSE)</f>
        <v>1.2395714351109095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VLOOKUP(TEXT(A2005,"yy-mm")&amp;"-"&amp;IF(AND(WEEKDAY(A2005)&gt;1,WEEKDAY(A2005)&lt;7),"Wkd",TEXT(A2005,"Ddd"))&amp;"-"&amp;TEXT(A2005,"hh"),LoadTable[],5,FALSE)*0.92</f>
        <v>237.25788000000003</v>
      </c>
      <c r="U2005" s="104">
        <f>VLOOKUP(TEXT(A2005,"yy-mm")&amp;"-"&amp;IF(AND(WEEKDAY(A2005)&gt;1,WEEKDAY(A2005)&lt;7),"Wkd",TEXT(A2005,"Ddd"))&amp;"-"&amp;TEXT(A2005,"hh"),LoadTable[],6,FALSE)*T2005</f>
        <v>10982.667265200002</v>
      </c>
      <c r="V2005">
        <f t="shared" ref="V2005:W2005" si="2133">V1981</f>
        <v>2.9</v>
      </c>
      <c r="W2005">
        <f t="shared" si="2133"/>
        <v>3</v>
      </c>
      <c r="X2005" s="9">
        <v>-95.186130966668699</v>
      </c>
    </row>
    <row r="2006" spans="1:24">
      <c r="A2006" s="29">
        <f t="shared" si="2116"/>
        <v>45919.458333328475</v>
      </c>
      <c r="B2006" s="30">
        <f t="shared" si="2071"/>
        <v>8000</v>
      </c>
      <c r="C2006" s="8">
        <v>25000</v>
      </c>
      <c r="D2006" s="8">
        <v>0</v>
      </c>
      <c r="E2006" s="8">
        <v>700</v>
      </c>
      <c r="F2006" s="8">
        <v>15000</v>
      </c>
      <c r="G2006" s="30">
        <f t="shared" si="2072"/>
        <v>2400</v>
      </c>
      <c r="H2006" s="8">
        <v>25000</v>
      </c>
      <c r="I2006" s="30">
        <f t="shared" si="2073"/>
        <v>8000</v>
      </c>
      <c r="J2006" s="8">
        <v>25000</v>
      </c>
      <c r="K2006" s="30">
        <f t="shared" si="2074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VLOOKUP(VLOOKUP(DATEVALUE(TEXT(A2006,"m/d/yyyy")),FY24_Temp[],5,FALSE)&amp;TEXT(A2006,"-h"),Table6[],4,FALSE)</f>
        <v>1.1261428764888219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VLOOKUP(TEXT(A2006,"yy-mm")&amp;"-"&amp;IF(AND(WEEKDAY(A2006)&gt;1,WEEKDAY(A2006)&lt;7),"Wkd",TEXT(A2006,"Ddd"))&amp;"-"&amp;TEXT(A2006,"hh"),LoadTable[],5,FALSE)*0.92</f>
        <v>237.25788000000003</v>
      </c>
      <c r="U2006" s="104">
        <f>VLOOKUP(TEXT(A2006,"yy-mm")&amp;"-"&amp;IF(AND(WEEKDAY(A2006)&gt;1,WEEKDAY(A2006)&lt;7),"Wkd",TEXT(A2006,"Ddd"))&amp;"-"&amp;TEXT(A2006,"hh"),LoadTable[],6,FALSE)*T2006</f>
        <v>10974.125981520001</v>
      </c>
      <c r="V2006">
        <f t="shared" ref="V2006:W2006" si="2134">V1982</f>
        <v>3.4</v>
      </c>
      <c r="W2006">
        <f t="shared" si="2134"/>
        <v>3</v>
      </c>
      <c r="X2006" s="9">
        <v>-95.263925516668706</v>
      </c>
    </row>
    <row r="2007" spans="1:24">
      <c r="A2007" s="29">
        <f t="shared" si="2116"/>
        <v>45919.49999999514</v>
      </c>
      <c r="B2007" s="30">
        <f t="shared" si="2071"/>
        <v>8000</v>
      </c>
      <c r="C2007" s="8">
        <v>25000</v>
      </c>
      <c r="D2007" s="8">
        <v>0</v>
      </c>
      <c r="E2007" s="8">
        <v>700</v>
      </c>
      <c r="F2007" s="8">
        <v>15000</v>
      </c>
      <c r="G2007" s="30">
        <f t="shared" si="2072"/>
        <v>2400</v>
      </c>
      <c r="H2007" s="8">
        <v>25000</v>
      </c>
      <c r="I2007" s="30">
        <f t="shared" si="2073"/>
        <v>8000</v>
      </c>
      <c r="J2007" s="8">
        <v>25000</v>
      </c>
      <c r="K2007" s="30">
        <f t="shared" si="2074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VLOOKUP(VLOOKUP(DATEVALUE(TEXT(A2007,"m/d/yyyy")),FY24_Temp[],5,FALSE)&amp;TEXT(A2007,"-h"),Table6[],4,FALSE)</f>
        <v>0.97528570038931706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VLOOKUP(TEXT(A2007,"yy-mm")&amp;"-"&amp;IF(AND(WEEKDAY(A2007)&gt;1,WEEKDAY(A2007)&lt;7),"Wkd",TEXT(A2007,"Ddd"))&amp;"-"&amp;TEXT(A2007,"hh"),LoadTable[],5,FALSE)*0.92</f>
        <v>237.25788000000003</v>
      </c>
      <c r="U2007" s="104">
        <f>VLOOKUP(TEXT(A2007,"yy-mm")&amp;"-"&amp;IF(AND(WEEKDAY(A2007)&gt;1,WEEKDAY(A2007)&lt;7),"Wkd",TEXT(A2007,"Ddd"))&amp;"-"&amp;TEXT(A2007,"hh"),LoadTable[],6,FALSE)*T2007</f>
        <v>10962.974861160001</v>
      </c>
      <c r="V2007">
        <f t="shared" ref="V2007:W2007" si="2135">V1983</f>
        <v>3.1</v>
      </c>
      <c r="W2007">
        <f t="shared" si="2135"/>
        <v>2.9</v>
      </c>
      <c r="X2007" s="9">
        <v>-95.341720066668699</v>
      </c>
    </row>
    <row r="2008" spans="1:24">
      <c r="A2008" s="29">
        <f t="shared" si="2116"/>
        <v>45919.541666661804</v>
      </c>
      <c r="B2008" s="30">
        <f t="shared" si="2071"/>
        <v>8000</v>
      </c>
      <c r="C2008" s="8">
        <v>25000</v>
      </c>
      <c r="D2008" s="8">
        <v>0</v>
      </c>
      <c r="E2008" s="8">
        <v>700</v>
      </c>
      <c r="F2008" s="8">
        <v>15000</v>
      </c>
      <c r="G2008" s="30">
        <f t="shared" si="2072"/>
        <v>2400</v>
      </c>
      <c r="H2008" s="8">
        <v>25000</v>
      </c>
      <c r="I2008" s="30">
        <f t="shared" si="2073"/>
        <v>8000</v>
      </c>
      <c r="J2008" s="8">
        <v>25000</v>
      </c>
      <c r="K2008" s="30">
        <f t="shared" si="2074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VLOOKUP(VLOOKUP(DATEVALUE(TEXT(A2008,"m/d/yyyy")),FY24_Temp[],5,FALSE)&amp;TEXT(A2008,"-h"),Table6[],4,FALSE)</f>
        <v>0.83557144233158653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VLOOKUP(TEXT(A2008,"yy-mm")&amp;"-"&amp;IF(AND(WEEKDAY(A2008)&gt;1,WEEKDAY(A2008)&lt;7),"Wkd",TEXT(A2008,"Ddd"))&amp;"-"&amp;TEXT(A2008,"hh"),LoadTable[],5,FALSE)*0.92</f>
        <v>237.25788000000003</v>
      </c>
      <c r="U2008" s="104">
        <f>VLOOKUP(TEXT(A2008,"yy-mm")&amp;"-"&amp;IF(AND(WEEKDAY(A2008)&gt;1,WEEKDAY(A2008)&lt;7),"Wkd",TEXT(A2008,"Ddd"))&amp;"-"&amp;TEXT(A2008,"hh"),LoadTable[],6,FALSE)*T2008</f>
        <v>10978.39662336</v>
      </c>
      <c r="V2008">
        <f t="shared" ref="V2008:W2008" si="2136">V1984</f>
        <v>3.2</v>
      </c>
      <c r="W2008">
        <f t="shared" si="2136"/>
        <v>2.9</v>
      </c>
      <c r="X2008" s="9">
        <v>-95.419514616668707</v>
      </c>
    </row>
    <row r="2009" spans="1:24">
      <c r="A2009" s="29">
        <f t="shared" si="2116"/>
        <v>45919.583333328468</v>
      </c>
      <c r="B2009" s="30">
        <f t="shared" si="2071"/>
        <v>8000</v>
      </c>
      <c r="C2009" s="8">
        <v>25000</v>
      </c>
      <c r="D2009" s="8">
        <v>0</v>
      </c>
      <c r="E2009" s="8">
        <v>700</v>
      </c>
      <c r="F2009" s="8">
        <v>15000</v>
      </c>
      <c r="G2009" s="30">
        <f t="shared" si="2072"/>
        <v>2400</v>
      </c>
      <c r="H2009" s="8">
        <v>25000</v>
      </c>
      <c r="I2009" s="30">
        <f t="shared" si="2073"/>
        <v>8000</v>
      </c>
      <c r="J2009" s="8">
        <v>25000</v>
      </c>
      <c r="K2009" s="30">
        <f t="shared" si="2074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VLOOKUP(VLOOKUP(DATEVALUE(TEXT(A2009,"m/d/yyyy")),FY24_Temp[],5,FALSE)&amp;TEXT(A2009,"-h"),Table6[],4,FALSE)</f>
        <v>0.71842856918062481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VLOOKUP(TEXT(A2009,"yy-mm")&amp;"-"&amp;IF(AND(WEEKDAY(A2009)&gt;1,WEEKDAY(A2009)&lt;7),"Wkd",TEXT(A2009,"Ddd"))&amp;"-"&amp;TEXT(A2009,"hh"),LoadTable[],5,FALSE)*0.92</f>
        <v>269.75136000000003</v>
      </c>
      <c r="U2009" s="104">
        <f>VLOOKUP(TEXT(A2009,"yy-mm")&amp;"-"&amp;IF(AND(WEEKDAY(A2009)&gt;1,WEEKDAY(A2009)&lt;7),"Wkd",TEXT(A2009,"Ddd"))&amp;"-"&amp;TEXT(A2009,"hh"),LoadTable[],6,FALSE)*T2009</f>
        <v>12503.245287360001</v>
      </c>
      <c r="V2009">
        <f t="shared" ref="V2009:W2009" si="2137">V1985</f>
        <v>3.5</v>
      </c>
      <c r="W2009">
        <f t="shared" si="2137"/>
        <v>2.9</v>
      </c>
      <c r="X2009" s="9">
        <v>-95.4973091666687</v>
      </c>
    </row>
    <row r="2010" spans="1:24">
      <c r="A2010" s="29">
        <f t="shared" si="2116"/>
        <v>45919.624999995132</v>
      </c>
      <c r="B2010" s="30">
        <f t="shared" si="2071"/>
        <v>8000</v>
      </c>
      <c r="C2010" s="8">
        <v>25000</v>
      </c>
      <c r="D2010" s="8">
        <v>0</v>
      </c>
      <c r="E2010" s="8">
        <v>700</v>
      </c>
      <c r="F2010" s="8">
        <v>15000</v>
      </c>
      <c r="G2010" s="30">
        <f t="shared" si="2072"/>
        <v>2400</v>
      </c>
      <c r="H2010" s="8">
        <v>25000</v>
      </c>
      <c r="I2010" s="30">
        <f t="shared" si="2073"/>
        <v>8000</v>
      </c>
      <c r="J2010" s="8">
        <v>25000</v>
      </c>
      <c r="K2010" s="30">
        <f t="shared" si="2074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VLOOKUP(VLOOKUP(DATEVALUE(TEXT(A2010,"m/d/yyyy")),FY24_Temp[],5,FALSE)&amp;TEXT(A2010,"-h"),Table6[],4,FALSE)</f>
        <v>0.71542857374463764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VLOOKUP(TEXT(A2010,"yy-mm")&amp;"-"&amp;IF(AND(WEEKDAY(A2010)&gt;1,WEEKDAY(A2010)&lt;7),"Wkd",TEXT(A2010,"Ddd"))&amp;"-"&amp;TEXT(A2010,"hh"),LoadTable[],5,FALSE)*0.92</f>
        <v>388.38076000000001</v>
      </c>
      <c r="U2010" s="104">
        <f>VLOOKUP(TEXT(A2010,"yy-mm")&amp;"-"&amp;IF(AND(WEEKDAY(A2010)&gt;1,WEEKDAY(A2010)&lt;7),"Wkd",TEXT(A2010,"Ddd"))&amp;"-"&amp;TEXT(A2010,"hh"),LoadTable[],6,FALSE)*T2010</f>
        <v>19705.663000880002</v>
      </c>
      <c r="V2010">
        <f t="shared" ref="V2010:W2010" si="2138">V1986</f>
        <v>3.2</v>
      </c>
      <c r="W2010">
        <f t="shared" si="2138"/>
        <v>2.9</v>
      </c>
      <c r="X2010" s="9">
        <v>-95.575103716668707</v>
      </c>
    </row>
    <row r="2011" spans="1:24">
      <c r="A2011" s="29">
        <f t="shared" si="2116"/>
        <v>45919.666666661797</v>
      </c>
      <c r="B2011" s="30">
        <f t="shared" si="2071"/>
        <v>8000</v>
      </c>
      <c r="C2011" s="8">
        <v>25000</v>
      </c>
      <c r="D2011" s="8">
        <v>0</v>
      </c>
      <c r="E2011" s="8">
        <v>700</v>
      </c>
      <c r="F2011" s="8">
        <v>15000</v>
      </c>
      <c r="G2011" s="30">
        <f t="shared" si="2072"/>
        <v>2400</v>
      </c>
      <c r="H2011" s="8">
        <v>25000</v>
      </c>
      <c r="I2011" s="30">
        <f t="shared" si="2073"/>
        <v>8000</v>
      </c>
      <c r="J2011" s="8">
        <v>25000</v>
      </c>
      <c r="K2011" s="30">
        <f t="shared" si="2074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VLOOKUP(VLOOKUP(DATEVALUE(TEXT(A2011,"m/d/yyyy")),FY24_Temp[],5,FALSE)&amp;TEXT(A2011,"-h"),Table6[],4,FALSE)</f>
        <v>1.0005714382444109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VLOOKUP(TEXT(A2011,"yy-mm")&amp;"-"&amp;IF(AND(WEEKDAY(A2011)&gt;1,WEEKDAY(A2011)&lt;7),"Wkd",TEXT(A2011,"Ddd"))&amp;"-"&amp;TEXT(A2011,"hh"),LoadTable[],5,FALSE)*0.92</f>
        <v>388.38076000000001</v>
      </c>
      <c r="U2011" s="104">
        <f>VLOOKUP(TEXT(A2011,"yy-mm")&amp;"-"&amp;IF(AND(WEEKDAY(A2011)&gt;1,WEEKDAY(A2011)&lt;7),"Wkd",TEXT(A2011,"Ddd"))&amp;"-"&amp;TEXT(A2011,"hh"),LoadTable[],6,FALSE)*T2011</f>
        <v>23675.6911296</v>
      </c>
      <c r="V2011">
        <f t="shared" ref="V2011:W2011" si="2139">V1987</f>
        <v>3.5</v>
      </c>
      <c r="W2011">
        <f t="shared" si="2139"/>
        <v>3</v>
      </c>
      <c r="X2011" s="9">
        <v>-95.6528982666687</v>
      </c>
    </row>
    <row r="2012" spans="1:24">
      <c r="A2012" s="29">
        <f t="shared" si="2116"/>
        <v>45919.708333328461</v>
      </c>
      <c r="B2012" s="30">
        <f t="shared" ref="B2012:B2075" si="2140">B1988</f>
        <v>8000</v>
      </c>
      <c r="C2012" s="8">
        <v>25000</v>
      </c>
      <c r="D2012" s="8">
        <v>0</v>
      </c>
      <c r="E2012" s="8">
        <v>700</v>
      </c>
      <c r="F2012" s="8">
        <v>15000</v>
      </c>
      <c r="G2012" s="30">
        <f t="shared" ref="G2012:G2075" si="2141">G1988</f>
        <v>2400</v>
      </c>
      <c r="H2012" s="8">
        <v>25000</v>
      </c>
      <c r="I2012" s="30">
        <f t="shared" ref="I2012:I2075" si="2142">I1988</f>
        <v>8000</v>
      </c>
      <c r="J2012" s="8">
        <v>25000</v>
      </c>
      <c r="K2012" s="30">
        <f t="shared" ref="K2012:K2075" si="2143">K1988</f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VLOOKUP(VLOOKUP(DATEVALUE(TEXT(A2012,"m/d/yyyy")),FY24_Temp[],5,FALSE)&amp;TEXT(A2012,"-h"),Table6[],4,FALSE)</f>
        <v>1.4091428688594274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VLOOKUP(TEXT(A2012,"yy-mm")&amp;"-"&amp;IF(AND(WEEKDAY(A2012)&gt;1,WEEKDAY(A2012)&lt;7),"Wkd",TEXT(A2012,"Ddd"))&amp;"-"&amp;TEXT(A2012,"hh"),LoadTable[],5,FALSE)*0.92</f>
        <v>388.38076000000001</v>
      </c>
      <c r="U2012" s="104">
        <f>VLOOKUP(TEXT(A2012,"yy-mm")&amp;"-"&amp;IF(AND(WEEKDAY(A2012)&gt;1,WEEKDAY(A2012)&lt;7),"Wkd",TEXT(A2012,"Ddd"))&amp;"-"&amp;TEXT(A2012,"hh"),LoadTable[],6,FALSE)*T2012</f>
        <v>31454.180990880002</v>
      </c>
      <c r="V2012">
        <f t="shared" ref="V2012:W2012" si="2144">V1988</f>
        <v>3.6</v>
      </c>
      <c r="W2012">
        <f t="shared" si="2144"/>
        <v>3</v>
      </c>
      <c r="X2012" s="9">
        <v>-95.730692816668693</v>
      </c>
    </row>
    <row r="2013" spans="1:24">
      <c r="A2013" s="29">
        <f t="shared" si="2116"/>
        <v>45919.749999995125</v>
      </c>
      <c r="B2013" s="30">
        <f t="shared" si="2140"/>
        <v>5000</v>
      </c>
      <c r="C2013" s="8">
        <v>25000</v>
      </c>
      <c r="D2013" s="8">
        <v>0</v>
      </c>
      <c r="E2013" s="8">
        <v>700</v>
      </c>
      <c r="F2013" s="8">
        <v>15000</v>
      </c>
      <c r="G2013" s="30">
        <f t="shared" si="2141"/>
        <v>2400</v>
      </c>
      <c r="H2013" s="8">
        <v>25000</v>
      </c>
      <c r="I2013" s="30">
        <f t="shared" si="2142"/>
        <v>5000</v>
      </c>
      <c r="J2013" s="8">
        <v>25000</v>
      </c>
      <c r="K2013" s="30">
        <f t="shared" si="2143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VLOOKUP(VLOOKUP(DATEVALUE(TEXT(A2013,"m/d/yyyy")),FY24_Temp[],5,FALSE)&amp;TEXT(A2013,"-h"),Table6[],4,FALSE)</f>
        <v>1.9017142908913749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VLOOKUP(TEXT(A2013,"yy-mm")&amp;"-"&amp;IF(AND(WEEKDAY(A2013)&gt;1,WEEKDAY(A2013)&lt;7),"Wkd",TEXT(A2013,"Ddd"))&amp;"-"&amp;TEXT(A2013,"hh"),LoadTable[],5,FALSE)*0.92</f>
        <v>388.38076000000001</v>
      </c>
      <c r="U2013" s="104">
        <f>VLOOKUP(TEXT(A2013,"yy-mm")&amp;"-"&amp;IF(AND(WEEKDAY(A2013)&gt;1,WEEKDAY(A2013)&lt;7),"Wkd",TEXT(A2013,"Ddd"))&amp;"-"&amp;TEXT(A2013,"hh"),LoadTable[],6,FALSE)*T2013</f>
        <v>38316.869020080005</v>
      </c>
      <c r="V2013">
        <f t="shared" ref="V2013:W2013" si="2145">V1989</f>
        <v>2.9</v>
      </c>
      <c r="W2013">
        <f t="shared" si="2145"/>
        <v>3</v>
      </c>
      <c r="X2013" s="9">
        <v>-95.8084873666687</v>
      </c>
    </row>
    <row r="2014" spans="1:24">
      <c r="A2014" s="29">
        <f t="shared" si="2116"/>
        <v>45919.791666661789</v>
      </c>
      <c r="B2014" s="30">
        <f t="shared" si="2140"/>
        <v>5000</v>
      </c>
      <c r="C2014" s="8">
        <v>25000</v>
      </c>
      <c r="D2014" s="8">
        <v>0</v>
      </c>
      <c r="E2014" s="8">
        <v>700</v>
      </c>
      <c r="F2014" s="8">
        <v>15000</v>
      </c>
      <c r="G2014" s="30">
        <f t="shared" si="2141"/>
        <v>2400</v>
      </c>
      <c r="H2014" s="8">
        <v>25000</v>
      </c>
      <c r="I2014" s="30">
        <f t="shared" si="2142"/>
        <v>5000</v>
      </c>
      <c r="J2014" s="8">
        <v>25000</v>
      </c>
      <c r="K2014" s="30">
        <f t="shared" si="2143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VLOOKUP(VLOOKUP(DATEVALUE(TEXT(A2014,"m/d/yyyy")),FY24_Temp[],5,FALSE)&amp;TEXT(A2014,"-h"),Table6[],4,FALSE)</f>
        <v>2.2652856963021413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VLOOKUP(TEXT(A2014,"yy-mm")&amp;"-"&amp;IF(AND(WEEKDAY(A2014)&gt;1,WEEKDAY(A2014)&lt;7),"Wkd",TEXT(A2014,"Ddd"))&amp;"-"&amp;TEXT(A2014,"hh"),LoadTable[],5,FALSE)*0.92</f>
        <v>388.38076000000001</v>
      </c>
      <c r="U2014" s="104">
        <f>VLOOKUP(TEXT(A2014,"yy-mm")&amp;"-"&amp;IF(AND(WEEKDAY(A2014)&gt;1,WEEKDAY(A2014)&lt;7),"Wkd",TEXT(A2014,"Ddd"))&amp;"-"&amp;TEXT(A2014,"hh"),LoadTable[],6,FALSE)*T2014</f>
        <v>41132.241149319998</v>
      </c>
      <c r="V2014">
        <f t="shared" ref="V2014:W2014" si="2146">V1990</f>
        <v>3</v>
      </c>
      <c r="W2014">
        <f t="shared" si="2146"/>
        <v>3</v>
      </c>
      <c r="X2014" s="9">
        <v>-95.886281916668807</v>
      </c>
    </row>
    <row r="2015" spans="1:24">
      <c r="A2015" s="29">
        <f t="shared" si="2116"/>
        <v>45919.833333328454</v>
      </c>
      <c r="B2015" s="30">
        <f t="shared" si="2140"/>
        <v>5000</v>
      </c>
      <c r="C2015" s="8">
        <v>25000</v>
      </c>
      <c r="D2015" s="8">
        <v>0</v>
      </c>
      <c r="E2015" s="8">
        <v>700</v>
      </c>
      <c r="F2015" s="8">
        <v>15000</v>
      </c>
      <c r="G2015" s="30">
        <f t="shared" si="2141"/>
        <v>2400</v>
      </c>
      <c r="H2015" s="8">
        <v>25000</v>
      </c>
      <c r="I2015" s="30">
        <f t="shared" si="2142"/>
        <v>5000</v>
      </c>
      <c r="J2015" s="8">
        <v>25000</v>
      </c>
      <c r="K2015" s="30">
        <f t="shared" si="2143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VLOOKUP(VLOOKUP(DATEVALUE(TEXT(A2015,"m/d/yyyy")),FY24_Temp[],5,FALSE)&amp;TEXT(A2015,"-h"),Table6[],4,FALSE)</f>
        <v>2.4488571711948941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VLOOKUP(TEXT(A2015,"yy-mm")&amp;"-"&amp;IF(AND(WEEKDAY(A2015)&gt;1,WEEKDAY(A2015)&lt;7),"Wkd",TEXT(A2015,"Ddd"))&amp;"-"&amp;TEXT(A2015,"hh"),LoadTable[],5,FALSE)*0.92</f>
        <v>388.38076000000001</v>
      </c>
      <c r="U2015" s="104">
        <f>VLOOKUP(TEXT(A2015,"yy-mm")&amp;"-"&amp;IF(AND(WEEKDAY(A2015)&gt;1,WEEKDAY(A2015)&lt;7),"Wkd",TEXT(A2015,"Ddd"))&amp;"-"&amp;TEXT(A2015,"hh"),LoadTable[],6,FALSE)*T2015</f>
        <v>36274.762984000001</v>
      </c>
      <c r="V2015">
        <f t="shared" ref="V2015:W2015" si="2147">V1991</f>
        <v>2.8</v>
      </c>
      <c r="W2015">
        <f t="shared" si="2147"/>
        <v>3.1</v>
      </c>
      <c r="X2015" s="9">
        <v>-95.9640764666688</v>
      </c>
    </row>
    <row r="2016" spans="1:24">
      <c r="A2016" s="29">
        <f t="shared" si="2116"/>
        <v>45919.874999995118</v>
      </c>
      <c r="B2016" s="30">
        <f t="shared" si="2140"/>
        <v>5000</v>
      </c>
      <c r="C2016" s="8">
        <v>25000</v>
      </c>
      <c r="D2016" s="8">
        <v>0</v>
      </c>
      <c r="E2016" s="8">
        <v>700</v>
      </c>
      <c r="F2016" s="8">
        <v>15000</v>
      </c>
      <c r="G2016" s="30">
        <f t="shared" si="2141"/>
        <v>2400</v>
      </c>
      <c r="H2016" s="8">
        <v>25000</v>
      </c>
      <c r="I2016" s="30">
        <f t="shared" si="2142"/>
        <v>5000</v>
      </c>
      <c r="J2016" s="8">
        <v>25000</v>
      </c>
      <c r="K2016" s="30">
        <f t="shared" si="2143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VLOOKUP(VLOOKUP(DATEVALUE(TEXT(A2016,"m/d/yyyy")),FY24_Temp[],5,FALSE)&amp;TEXT(A2016,"-h"),Table6[],4,FALSE)</f>
        <v>2.5055713994162425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VLOOKUP(TEXT(A2016,"yy-mm")&amp;"-"&amp;IF(AND(WEEKDAY(A2016)&gt;1,WEEKDAY(A2016)&lt;7),"Wkd",TEXT(A2016,"Ddd"))&amp;"-"&amp;TEXT(A2016,"hh"),LoadTable[],5,FALSE)*0.92</f>
        <v>373.79416000000003</v>
      </c>
      <c r="U2016" s="104">
        <f>VLOOKUP(TEXT(A2016,"yy-mm")&amp;"-"&amp;IF(AND(WEEKDAY(A2016)&gt;1,WEEKDAY(A2016)&lt;7),"Wkd",TEXT(A2016,"Ddd"))&amp;"-"&amp;TEXT(A2016,"hh"),LoadTable[],6,FALSE)*T2016</f>
        <v>31749.328362080003</v>
      </c>
      <c r="V2016">
        <f t="shared" ref="V2016:W2016" si="2148">V1992</f>
        <v>3.5</v>
      </c>
      <c r="W2016">
        <f t="shared" si="2148"/>
        <v>3.1</v>
      </c>
      <c r="X2016" s="9">
        <v>-96.041871016668793</v>
      </c>
    </row>
    <row r="2017" spans="1:24">
      <c r="A2017" s="29">
        <f t="shared" si="2116"/>
        <v>45919.916666661782</v>
      </c>
      <c r="B2017" s="30">
        <f t="shared" si="2140"/>
        <v>5000</v>
      </c>
      <c r="C2017" s="8">
        <v>25000</v>
      </c>
      <c r="D2017" s="8">
        <v>0</v>
      </c>
      <c r="E2017" s="8">
        <v>700</v>
      </c>
      <c r="F2017" s="8">
        <v>15000</v>
      </c>
      <c r="G2017" s="30">
        <f t="shared" si="2141"/>
        <v>2400</v>
      </c>
      <c r="H2017" s="8">
        <v>25000</v>
      </c>
      <c r="I2017" s="30">
        <f t="shared" si="2142"/>
        <v>5000</v>
      </c>
      <c r="J2017" s="8">
        <v>25000</v>
      </c>
      <c r="K2017" s="30">
        <f t="shared" si="2143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VLOOKUP(VLOOKUP(DATEVALUE(TEXT(A2017,"m/d/yyyy")),FY24_Temp[],5,FALSE)&amp;TEXT(A2017,"-h"),Table6[],4,FALSE)</f>
        <v>2.4671428544180736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VLOOKUP(TEXT(A2017,"yy-mm")&amp;"-"&amp;IF(AND(WEEKDAY(A2017)&gt;1,WEEKDAY(A2017)&lt;7),"Wkd",TEXT(A2017,"Ddd"))&amp;"-"&amp;TEXT(A2017,"hh"),LoadTable[],5,FALSE)*0.92</f>
        <v>299.65044</v>
      </c>
      <c r="U2017" s="104">
        <f>VLOOKUP(TEXT(A2017,"yy-mm")&amp;"-"&amp;IF(AND(WEEKDAY(A2017)&gt;1,WEEKDAY(A2017)&lt;7),"Wkd",TEXT(A2017,"Ddd"))&amp;"-"&amp;TEXT(A2017,"hh"),LoadTable[],6,FALSE)*T2017</f>
        <v>15023.87376072</v>
      </c>
      <c r="V2017">
        <f t="shared" ref="V2017:W2017" si="2149">V1993</f>
        <v>2.9</v>
      </c>
      <c r="W2017">
        <f t="shared" si="2149"/>
        <v>3.1</v>
      </c>
      <c r="X2017" s="9">
        <v>-96.1196655666688</v>
      </c>
    </row>
    <row r="2018" spans="1:24" ht="16" thickBot="1">
      <c r="A2018" s="29">
        <f t="shared" si="2116"/>
        <v>45919.958333328446</v>
      </c>
      <c r="B2018" s="30">
        <f t="shared" si="2140"/>
        <v>5000</v>
      </c>
      <c r="C2018" s="8">
        <v>25000</v>
      </c>
      <c r="D2018" s="8">
        <v>0</v>
      </c>
      <c r="E2018" s="8">
        <v>700</v>
      </c>
      <c r="F2018" s="8">
        <v>15000</v>
      </c>
      <c r="G2018" s="30">
        <f t="shared" si="2141"/>
        <v>2400</v>
      </c>
      <c r="H2018" s="8">
        <v>25000</v>
      </c>
      <c r="I2018" s="30">
        <f t="shared" si="2142"/>
        <v>5000</v>
      </c>
      <c r="J2018" s="8">
        <v>25000</v>
      </c>
      <c r="K2018" s="30">
        <f t="shared" si="2143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VLOOKUP(VLOOKUP(DATEVALUE(TEXT(A2018,"m/d/yyyy")),FY24_Temp[],5,FALSE)&amp;TEXT(A2018,"-h"),Table6[],4,FALSE)</f>
        <v>2.4559999534061978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VLOOKUP(TEXT(A2018,"yy-mm")&amp;"-"&amp;IF(AND(WEEKDAY(A2018)&gt;1,WEEKDAY(A2018)&lt;7),"Wkd",TEXT(A2018,"Ddd"))&amp;"-"&amp;TEXT(A2018,"hh"),LoadTable[],5,FALSE)*0.92</f>
        <v>237.25788000000003</v>
      </c>
      <c r="U2018" s="104">
        <f>VLOOKUP(TEXT(A2018,"yy-mm")&amp;"-"&amp;IF(AND(WEEKDAY(A2018)&gt;1,WEEKDAY(A2018)&lt;7),"Wkd",TEXT(A2018,"Ddd"))&amp;"-"&amp;TEXT(A2018,"hh"),LoadTable[],6,FALSE)*T2018</f>
        <v>11687.323168800001</v>
      </c>
      <c r="V2018">
        <f t="shared" ref="V2018:W2018" si="2150">V1994</f>
        <v>3.6</v>
      </c>
      <c r="W2018">
        <f t="shared" si="2150"/>
        <v>3.1</v>
      </c>
      <c r="X2018" s="9">
        <v>-96.197460116668793</v>
      </c>
    </row>
    <row r="2019" spans="1:24" ht="16" thickBot="1">
      <c r="A2019" s="120">
        <f t="shared" si="2116"/>
        <v>45919.999999995111</v>
      </c>
      <c r="B2019" s="121">
        <f t="shared" si="2140"/>
        <v>5000</v>
      </c>
      <c r="C2019" s="114">
        <v>25000</v>
      </c>
      <c r="D2019" s="114">
        <v>0</v>
      </c>
      <c r="E2019" s="114">
        <v>700</v>
      </c>
      <c r="F2019" s="114">
        <v>15000</v>
      </c>
      <c r="G2019" s="114">
        <f t="shared" si="2141"/>
        <v>2400</v>
      </c>
      <c r="H2019" s="114">
        <v>25000</v>
      </c>
      <c r="I2019" s="114">
        <f t="shared" si="2142"/>
        <v>5000</v>
      </c>
      <c r="J2019" s="114">
        <v>25000</v>
      </c>
      <c r="K2019" s="114">
        <f t="shared" si="2143"/>
        <v>5000</v>
      </c>
      <c r="L2019" s="114">
        <v>25000</v>
      </c>
      <c r="M2019" s="115">
        <f>VLOOKUP(DATE(YEAR(A2019),MONTH(A2019),DAY(A2019)),FY24_Temp[],4,FALSE)</f>
        <v>8.5</v>
      </c>
      <c r="N2019" s="115">
        <f>VLOOKUP(DATE(YEAR(A2019),MONTH(A2019),DAY(A2019)),FY24_Temp[],3,FALSE)</f>
        <v>15.84</v>
      </c>
      <c r="O2019" s="115">
        <v>13.5</v>
      </c>
      <c r="P2019" s="115">
        <v>19.5</v>
      </c>
      <c r="Q2019" s="116">
        <f>VLOOKUP(VLOOKUP(DATEVALUE(TEXT(A2019,"m/d/yyyy")),FY24_Temp[],5,FALSE)&amp;TEXT(A2019,"-h"),Table6[],4,FALSE)</f>
        <v>2.2702856745038713</v>
      </c>
      <c r="R2019" s="117">
        <v>10</v>
      </c>
      <c r="S2019" s="117">
        <v>1000</v>
      </c>
      <c r="T2019" s="100">
        <f>VLOOKUP(TEXT(A2019,"yy-mm")&amp;"-"&amp;IF(AND(WEEKDAY(A2019)&gt;1,WEEKDAY(A2019)&lt;7),"Wkd",TEXT(A2019,"Ddd"))&amp;"-"&amp;TEXT(A2019,"hh"),LoadTable[],5,FALSE)*0.92</f>
        <v>237.25788000000003</v>
      </c>
      <c r="U2019" s="118">
        <f>VLOOKUP(TEXT(A2019,"yy-mm")&amp;"-"&amp;IF(AND(WEEKDAY(A2019)&gt;1,WEEKDAY(A2019)&lt;7),"Wkd",TEXT(A2019,"Ddd"))&amp;"-"&amp;TEXT(A2019,"hh"),LoadTable[],6,FALSE)*T2019</f>
        <v>11614.24774176</v>
      </c>
      <c r="V2019" s="117">
        <f t="shared" ref="V2019:W2019" si="2151">V1995</f>
        <v>3</v>
      </c>
      <c r="W2019" s="117">
        <f t="shared" si="2151"/>
        <v>3.2</v>
      </c>
      <c r="X2019" s="119">
        <v>-96.2752546666688</v>
      </c>
    </row>
    <row r="2020" spans="1:24">
      <c r="A2020" s="29">
        <f t="shared" si="2116"/>
        <v>45920.041666661775</v>
      </c>
      <c r="B2020" s="30">
        <f t="shared" si="2140"/>
        <v>5000</v>
      </c>
      <c r="C2020" s="8">
        <v>25000</v>
      </c>
      <c r="D2020" s="8">
        <v>0</v>
      </c>
      <c r="E2020" s="8">
        <v>700</v>
      </c>
      <c r="F2020" s="8">
        <v>15000</v>
      </c>
      <c r="G2020" s="30">
        <f t="shared" si="2141"/>
        <v>2400</v>
      </c>
      <c r="H2020" s="8">
        <v>25000</v>
      </c>
      <c r="I2020" s="30">
        <f t="shared" si="2142"/>
        <v>5000</v>
      </c>
      <c r="J2020" s="8">
        <v>25000</v>
      </c>
      <c r="K2020" s="30">
        <f t="shared" si="2143"/>
        <v>5000</v>
      </c>
      <c r="L2020" s="8">
        <v>25000</v>
      </c>
      <c r="M2020" s="9">
        <f>VLOOKUP(DATE(YEAR(A2020),MONTH(A2020),DAY(A2020)),FY24_Temp[],4,FALSE)</f>
        <v>8.5</v>
      </c>
      <c r="N2020" s="9">
        <f>VLOOKUP(DATE(YEAR(A2020),MONTH(A2020),DAY(A2020)),FY24_Temp[],3,FALSE)</f>
        <v>15.84</v>
      </c>
      <c r="O2020" s="9">
        <v>13.5</v>
      </c>
      <c r="P2020" s="9">
        <v>19.5</v>
      </c>
      <c r="Q2020" s="79">
        <f>VLOOKUP(VLOOKUP(DATEVALUE(TEXT(A2020,"m/d/yyyy")),FY24_Temp[],5,FALSE)&amp;TEXT(A2020,"-h"),Table6[],4,FALSE)</f>
        <v>2.2084285531725203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VLOOKUP(TEXT(A2020,"yy-mm")&amp;"-"&amp;IF(AND(WEEKDAY(A2020)&gt;1,WEEKDAY(A2020)&lt;7),"Wkd",TEXT(A2020,"Ddd"))&amp;"-"&amp;TEXT(A2020,"hh"),LoadTable[],5,FALSE)*0.92</f>
        <v>237.25788000000003</v>
      </c>
      <c r="U2020" s="104">
        <f>VLOOKUP(TEXT(A2020,"yy-mm")&amp;"-"&amp;IF(AND(WEEKDAY(A2020)&gt;1,WEEKDAY(A2020)&lt;7),"Wkd",TEXT(A2020,"Ddd"))&amp;"-"&amp;TEXT(A2020,"hh"),LoadTable[],6,FALSE)*T2020</f>
        <v>11567.270681520002</v>
      </c>
      <c r="V2020">
        <f t="shared" ref="V2020:W2020" si="2152">V1996</f>
        <v>2.6</v>
      </c>
      <c r="W2020">
        <f t="shared" si="2152"/>
        <v>3.2</v>
      </c>
      <c r="X2020" s="9">
        <v>-96.353049216668794</v>
      </c>
    </row>
    <row r="2021" spans="1:24">
      <c r="A2021" s="29">
        <f t="shared" si="2116"/>
        <v>45920.083333328439</v>
      </c>
      <c r="B2021" s="30">
        <f t="shared" si="2140"/>
        <v>5000</v>
      </c>
      <c r="C2021" s="8">
        <v>25000</v>
      </c>
      <c r="D2021" s="8">
        <v>0</v>
      </c>
      <c r="E2021" s="8">
        <v>700</v>
      </c>
      <c r="F2021" s="8">
        <v>15000</v>
      </c>
      <c r="G2021" s="30">
        <f t="shared" si="2141"/>
        <v>2400</v>
      </c>
      <c r="H2021" s="8">
        <v>25000</v>
      </c>
      <c r="I2021" s="30">
        <f t="shared" si="2142"/>
        <v>5000</v>
      </c>
      <c r="J2021" s="8">
        <v>25000</v>
      </c>
      <c r="K2021" s="30">
        <f t="shared" si="2143"/>
        <v>5000</v>
      </c>
      <c r="L2021" s="8">
        <v>25000</v>
      </c>
      <c r="M2021" s="9">
        <f>VLOOKUP(DATE(YEAR(A2021),MONTH(A2021),DAY(A2021)),FY24_Temp[],4,FALSE)</f>
        <v>8.5</v>
      </c>
      <c r="N2021" s="9">
        <f>VLOOKUP(DATE(YEAR(A2021),MONTH(A2021),DAY(A2021)),FY24_Temp[],3,FALSE)</f>
        <v>15.84</v>
      </c>
      <c r="O2021" s="9">
        <v>13.5</v>
      </c>
      <c r="P2021" s="9">
        <v>19.5</v>
      </c>
      <c r="Q2021" s="79">
        <f>VLOOKUP(VLOOKUP(DATEVALUE(TEXT(A2021,"m/d/yyyy")),FY24_Temp[],5,FALSE)&amp;TEXT(A2021,"-h"),Table6[],4,FALSE)</f>
        <v>2.083142876625061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VLOOKUP(TEXT(A2021,"yy-mm")&amp;"-"&amp;IF(AND(WEEKDAY(A2021)&gt;1,WEEKDAY(A2021)&lt;7),"Wkd",TEXT(A2021,"Ddd"))&amp;"-"&amp;TEXT(A2021,"hh"),LoadTable[],5,FALSE)*0.92</f>
        <v>237.25788000000003</v>
      </c>
      <c r="U2021" s="104">
        <f>VLOOKUP(TEXT(A2021,"yy-mm")&amp;"-"&amp;IF(AND(WEEKDAY(A2021)&gt;1,WEEKDAY(A2021)&lt;7),"Wkd",TEXT(A2021,"Ddd"))&amp;"-"&amp;TEXT(A2021,"hh"),LoadTable[],6,FALSE)*T2021</f>
        <v>11654.581581360002</v>
      </c>
      <c r="V2021">
        <f t="shared" ref="V2021:W2021" si="2153">V1997</f>
        <v>2.8</v>
      </c>
      <c r="W2021">
        <f t="shared" si="2153"/>
        <v>3.2</v>
      </c>
      <c r="X2021" s="9">
        <v>-96.430843766668801</v>
      </c>
    </row>
    <row r="2022" spans="1:24">
      <c r="A2022" s="29">
        <f t="shared" si="2116"/>
        <v>45920.124999995103</v>
      </c>
      <c r="B2022" s="30">
        <f t="shared" si="2140"/>
        <v>5000</v>
      </c>
      <c r="C2022" s="8">
        <v>25000</v>
      </c>
      <c r="D2022" s="8">
        <v>0</v>
      </c>
      <c r="E2022" s="8">
        <v>700</v>
      </c>
      <c r="F2022" s="8">
        <v>15000</v>
      </c>
      <c r="G2022" s="30">
        <f t="shared" si="2141"/>
        <v>2400</v>
      </c>
      <c r="H2022" s="8">
        <v>25000</v>
      </c>
      <c r="I2022" s="30">
        <f t="shared" si="2142"/>
        <v>5000</v>
      </c>
      <c r="J2022" s="8">
        <v>25000</v>
      </c>
      <c r="K2022" s="30">
        <f t="shared" si="2143"/>
        <v>5000</v>
      </c>
      <c r="L2022" s="8">
        <v>25000</v>
      </c>
      <c r="M2022" s="9">
        <f>VLOOKUP(DATE(YEAR(A2022),MONTH(A2022),DAY(A2022)),FY24_Temp[],4,FALSE)</f>
        <v>8.5</v>
      </c>
      <c r="N2022" s="9">
        <f>VLOOKUP(DATE(YEAR(A2022),MONTH(A2022),DAY(A2022)),FY24_Temp[],3,FALSE)</f>
        <v>15.84</v>
      </c>
      <c r="O2022" s="9">
        <v>13.5</v>
      </c>
      <c r="P2022" s="9">
        <v>19.5</v>
      </c>
      <c r="Q2022" s="79">
        <f>VLOOKUP(VLOOKUP(DATEVALUE(TEXT(A2022,"m/d/yyyy")),FY24_Temp[],5,FALSE)&amp;TEXT(A2022,"-h"),Table6[],4,FALSE)</f>
        <v>1.9411428485597884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VLOOKUP(TEXT(A2022,"yy-mm")&amp;"-"&amp;IF(AND(WEEKDAY(A2022)&gt;1,WEEKDAY(A2022)&lt;7),"Wkd",TEXT(A2022,"Ddd"))&amp;"-"&amp;TEXT(A2022,"hh"),LoadTable[],5,FALSE)*0.92</f>
        <v>237.25788000000003</v>
      </c>
      <c r="U2022" s="104">
        <f>VLOOKUP(TEXT(A2022,"yy-mm")&amp;"-"&amp;IF(AND(WEEKDAY(A2022)&gt;1,WEEKDAY(A2022)&lt;7),"Wkd",TEXT(A2022,"Ddd"))&amp;"-"&amp;TEXT(A2022,"hh"),LoadTable[],6,FALSE)*T2022</f>
        <v>11699.897836440003</v>
      </c>
      <c r="V2022">
        <f t="shared" ref="V2022:W2022" si="2154">V1998</f>
        <v>2.7</v>
      </c>
      <c r="W2022">
        <f t="shared" si="2154"/>
        <v>3.2</v>
      </c>
      <c r="X2022" s="9">
        <v>-96.508638316668794</v>
      </c>
    </row>
    <row r="2023" spans="1:24">
      <c r="A2023" s="29">
        <f t="shared" si="2116"/>
        <v>45920.166666661768</v>
      </c>
      <c r="B2023" s="30">
        <f t="shared" si="2140"/>
        <v>5000</v>
      </c>
      <c r="C2023" s="8">
        <v>25000</v>
      </c>
      <c r="D2023" s="8">
        <v>0</v>
      </c>
      <c r="E2023" s="8">
        <v>700</v>
      </c>
      <c r="F2023" s="8">
        <v>15000</v>
      </c>
      <c r="G2023" s="30">
        <f t="shared" si="2141"/>
        <v>2400</v>
      </c>
      <c r="H2023" s="8">
        <v>25000</v>
      </c>
      <c r="I2023" s="30">
        <f t="shared" si="2142"/>
        <v>5000</v>
      </c>
      <c r="J2023" s="8">
        <v>25000</v>
      </c>
      <c r="K2023" s="30">
        <f t="shared" si="2143"/>
        <v>5000</v>
      </c>
      <c r="L2023" s="8">
        <v>25000</v>
      </c>
      <c r="M2023" s="9">
        <f>VLOOKUP(DATE(YEAR(A2023),MONTH(A2023),DAY(A2023)),FY24_Temp[],4,FALSE)</f>
        <v>8.5</v>
      </c>
      <c r="N2023" s="9">
        <f>VLOOKUP(DATE(YEAR(A2023),MONTH(A2023),DAY(A2023)),FY24_Temp[],3,FALSE)</f>
        <v>15.84</v>
      </c>
      <c r="O2023" s="9">
        <v>13.5</v>
      </c>
      <c r="P2023" s="9">
        <v>19.5</v>
      </c>
      <c r="Q2023" s="79">
        <f>VLOOKUP(VLOOKUP(DATEVALUE(TEXT(A2023,"m/d/yyyy")),FY24_Temp[],5,FALSE)&amp;TEXT(A2023,"-h"),Table6[],4,FALSE)</f>
        <v>1.7910000085830688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VLOOKUP(TEXT(A2023,"yy-mm")&amp;"-"&amp;IF(AND(WEEKDAY(A2023)&gt;1,WEEKDAY(A2023)&lt;7),"Wkd",TEXT(A2023,"Ddd"))&amp;"-"&amp;TEXT(A2023,"hh"),LoadTable[],5,FALSE)*0.92</f>
        <v>237.25788000000003</v>
      </c>
      <c r="U2023" s="104">
        <f>VLOOKUP(TEXT(A2023,"yy-mm")&amp;"-"&amp;IF(AND(WEEKDAY(A2023)&gt;1,WEEKDAY(A2023)&lt;7),"Wkd",TEXT(A2023,"Ddd"))&amp;"-"&amp;TEXT(A2023,"hh"),LoadTable[],6,FALSE)*T2023</f>
        <v>11587.912117080001</v>
      </c>
      <c r="V2023">
        <f t="shared" ref="V2023:W2023" si="2155">V1999</f>
        <v>3</v>
      </c>
      <c r="W2023">
        <f t="shared" si="2155"/>
        <v>3.1</v>
      </c>
      <c r="X2023" s="9">
        <v>-96.586432866668801</v>
      </c>
    </row>
    <row r="2024" spans="1:24">
      <c r="A2024" s="29">
        <f t="shared" si="2116"/>
        <v>45920.208333328432</v>
      </c>
      <c r="B2024" s="30">
        <f t="shared" si="2140"/>
        <v>5000</v>
      </c>
      <c r="C2024" s="8">
        <v>25000</v>
      </c>
      <c r="D2024" s="8">
        <v>0</v>
      </c>
      <c r="E2024" s="8">
        <v>700</v>
      </c>
      <c r="F2024" s="8">
        <v>15000</v>
      </c>
      <c r="G2024" s="30">
        <f t="shared" si="2141"/>
        <v>2400</v>
      </c>
      <c r="H2024" s="8">
        <v>25000</v>
      </c>
      <c r="I2024" s="30">
        <f t="shared" si="2142"/>
        <v>5000</v>
      </c>
      <c r="J2024" s="8">
        <v>25000</v>
      </c>
      <c r="K2024" s="30">
        <f t="shared" si="2143"/>
        <v>5000</v>
      </c>
      <c r="L2024" s="8">
        <v>25000</v>
      </c>
      <c r="M2024" s="9">
        <f>VLOOKUP(DATE(YEAR(A2024),MONTH(A2024),DAY(A2024)),FY24_Temp[],4,FALSE)</f>
        <v>8.5</v>
      </c>
      <c r="N2024" s="9">
        <f>VLOOKUP(DATE(YEAR(A2024),MONTH(A2024),DAY(A2024)),FY24_Temp[],3,FALSE)</f>
        <v>15.84</v>
      </c>
      <c r="O2024" s="9">
        <v>13.5</v>
      </c>
      <c r="P2024" s="9">
        <v>19.5</v>
      </c>
      <c r="Q2024" s="79">
        <f>VLOOKUP(VLOOKUP(DATEVALUE(TEXT(A2024,"m/d/yyyy")),FY24_Temp[],5,FALSE)&amp;TEXT(A2024,"-h"),Table6[],4,FALSE)</f>
        <v>1.6772857052939278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VLOOKUP(TEXT(A2024,"yy-mm")&amp;"-"&amp;IF(AND(WEEKDAY(A2024)&gt;1,WEEKDAY(A2024)&lt;7),"Wkd",TEXT(A2024,"Ddd"))&amp;"-"&amp;TEXT(A2024,"hh"),LoadTable[],5,FALSE)*0.92</f>
        <v>237.25788000000003</v>
      </c>
      <c r="U2024" s="104">
        <f>VLOOKUP(TEXT(A2024,"yy-mm")&amp;"-"&amp;IF(AND(WEEKDAY(A2024)&gt;1,WEEKDAY(A2024)&lt;7),"Wkd",TEXT(A2024,"Ddd"))&amp;"-"&amp;TEXT(A2024,"hh"),LoadTable[],6,FALSE)*T2024</f>
        <v>11830.864186200002</v>
      </c>
      <c r="V2024">
        <f t="shared" ref="V2024:W2024" si="2156">V2000</f>
        <v>2.9</v>
      </c>
      <c r="W2024">
        <f t="shared" si="2156"/>
        <v>3.1</v>
      </c>
      <c r="X2024" s="9">
        <v>-96.664227416668794</v>
      </c>
    </row>
    <row r="2025" spans="1:24">
      <c r="A2025" s="29">
        <f t="shared" si="2116"/>
        <v>45920.249999995096</v>
      </c>
      <c r="B2025" s="30">
        <f t="shared" si="2140"/>
        <v>8000</v>
      </c>
      <c r="C2025" s="8">
        <v>25000</v>
      </c>
      <c r="D2025" s="8">
        <v>0</v>
      </c>
      <c r="E2025" s="8">
        <v>700</v>
      </c>
      <c r="F2025" s="8">
        <v>15000</v>
      </c>
      <c r="G2025" s="30">
        <f t="shared" si="2141"/>
        <v>2400</v>
      </c>
      <c r="H2025" s="8">
        <v>25000</v>
      </c>
      <c r="I2025" s="30">
        <f t="shared" si="2142"/>
        <v>8000</v>
      </c>
      <c r="J2025" s="8">
        <v>25000</v>
      </c>
      <c r="K2025" s="30">
        <f t="shared" si="2143"/>
        <v>8000</v>
      </c>
      <c r="L2025" s="8">
        <v>25000</v>
      </c>
      <c r="M2025" s="9">
        <f>VLOOKUP(DATE(YEAR(A2025),MONTH(A2025),DAY(A2025)),FY24_Temp[],4,FALSE)</f>
        <v>8.5</v>
      </c>
      <c r="N2025" s="9">
        <f>VLOOKUP(DATE(YEAR(A2025),MONTH(A2025),DAY(A2025)),FY24_Temp[],3,FALSE)</f>
        <v>15.84</v>
      </c>
      <c r="O2025" s="9">
        <v>13.5</v>
      </c>
      <c r="P2025" s="9">
        <v>19.5</v>
      </c>
      <c r="Q2025" s="79">
        <f>VLOOKUP(VLOOKUP(DATEVALUE(TEXT(A2025,"m/d/yyyy")),FY24_Temp[],5,FALSE)&amp;TEXT(A2025,"-h"),Table6[],4,FALSE)</f>
        <v>1.5761428390230452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VLOOKUP(TEXT(A2025,"yy-mm")&amp;"-"&amp;IF(AND(WEEKDAY(A2025)&gt;1,WEEKDAY(A2025)&lt;7),"Wkd",TEXT(A2025,"Ddd"))&amp;"-"&amp;TEXT(A2025,"hh"),LoadTable[],5,FALSE)*0.92</f>
        <v>237.25788000000003</v>
      </c>
      <c r="U2025" s="104">
        <f>VLOOKUP(TEXT(A2025,"yy-mm")&amp;"-"&amp;IF(AND(WEEKDAY(A2025)&gt;1,WEEKDAY(A2025)&lt;7),"Wkd",TEXT(A2025,"Ddd"))&amp;"-"&amp;TEXT(A2025,"hh"),LoadTable[],6,FALSE)*T2025</f>
        <v>18184.867470480003</v>
      </c>
      <c r="V2025">
        <f t="shared" ref="V2025:W2025" si="2157">V2001</f>
        <v>2.5</v>
      </c>
      <c r="W2025">
        <f t="shared" si="2157"/>
        <v>3.1</v>
      </c>
      <c r="X2025" s="9">
        <v>-96.742021966668801</v>
      </c>
    </row>
    <row r="2026" spans="1:24">
      <c r="A2026" s="29">
        <f t="shared" si="2116"/>
        <v>45920.29166666176</v>
      </c>
      <c r="B2026" s="30">
        <f t="shared" si="2140"/>
        <v>8000</v>
      </c>
      <c r="C2026" s="8">
        <v>25000</v>
      </c>
      <c r="D2026" s="8">
        <v>0</v>
      </c>
      <c r="E2026" s="8">
        <v>700</v>
      </c>
      <c r="F2026" s="8">
        <v>15000</v>
      </c>
      <c r="G2026" s="30">
        <f t="shared" si="2141"/>
        <v>2400</v>
      </c>
      <c r="H2026" s="8">
        <v>25000</v>
      </c>
      <c r="I2026" s="30">
        <f t="shared" si="2142"/>
        <v>8000</v>
      </c>
      <c r="J2026" s="8">
        <v>25000</v>
      </c>
      <c r="K2026" s="30">
        <f t="shared" si="2143"/>
        <v>8000</v>
      </c>
      <c r="L2026" s="8">
        <v>25000</v>
      </c>
      <c r="M2026" s="9">
        <f>VLOOKUP(DATE(YEAR(A2026),MONTH(A2026),DAY(A2026)),FY24_Temp[],4,FALSE)</f>
        <v>8.5</v>
      </c>
      <c r="N2026" s="9">
        <f>VLOOKUP(DATE(YEAR(A2026),MONTH(A2026),DAY(A2026)),FY24_Temp[],3,FALSE)</f>
        <v>15.84</v>
      </c>
      <c r="O2026" s="9">
        <v>13.5</v>
      </c>
      <c r="P2026" s="9">
        <v>19.5</v>
      </c>
      <c r="Q2026" s="79">
        <f>VLOOKUP(VLOOKUP(DATEVALUE(TEXT(A2026,"m/d/yyyy")),FY24_Temp[],5,FALSE)&amp;TEXT(A2026,"-h"),Table6[],4,FALSE)</f>
        <v>1.4162857021604265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VLOOKUP(TEXT(A2026,"yy-mm")&amp;"-"&amp;IF(AND(WEEKDAY(A2026)&gt;1,WEEKDAY(A2026)&lt;7),"Wkd",TEXT(A2026,"Ddd"))&amp;"-"&amp;TEXT(A2026,"hh"),LoadTable[],5,FALSE)*0.92</f>
        <v>237.25788000000003</v>
      </c>
      <c r="U2026" s="104">
        <f>VLOOKUP(TEXT(A2026,"yy-mm")&amp;"-"&amp;IF(AND(WEEKDAY(A2026)&gt;1,WEEKDAY(A2026)&lt;7),"Wkd",TEXT(A2026,"Ddd"))&amp;"-"&amp;TEXT(A2026,"hh"),LoadTable[],6,FALSE)*T2026</f>
        <v>16549.448903640001</v>
      </c>
      <c r="V2026">
        <f t="shared" ref="V2026:W2026" si="2158">V2002</f>
        <v>2.5</v>
      </c>
      <c r="W2026">
        <f t="shared" si="2158"/>
        <v>3.1</v>
      </c>
      <c r="X2026" s="9">
        <v>-96.819816516668794</v>
      </c>
    </row>
    <row r="2027" spans="1:24">
      <c r="A2027" s="29">
        <f t="shared" si="2116"/>
        <v>45920.333333328424</v>
      </c>
      <c r="B2027" s="30">
        <f t="shared" si="2140"/>
        <v>8000</v>
      </c>
      <c r="C2027" s="8">
        <v>25000</v>
      </c>
      <c r="D2027" s="8">
        <v>0</v>
      </c>
      <c r="E2027" s="8">
        <v>700</v>
      </c>
      <c r="F2027" s="8">
        <v>15000</v>
      </c>
      <c r="G2027" s="30">
        <f t="shared" si="2141"/>
        <v>2400</v>
      </c>
      <c r="H2027" s="8">
        <v>25000</v>
      </c>
      <c r="I2027" s="30">
        <f t="shared" si="2142"/>
        <v>8000</v>
      </c>
      <c r="J2027" s="8">
        <v>25000</v>
      </c>
      <c r="K2027" s="30">
        <f t="shared" si="2143"/>
        <v>8000</v>
      </c>
      <c r="L2027" s="8">
        <v>25000</v>
      </c>
      <c r="M2027" s="9">
        <f>VLOOKUP(DATE(YEAR(A2027),MONTH(A2027),DAY(A2027)),FY24_Temp[],4,FALSE)</f>
        <v>8.5</v>
      </c>
      <c r="N2027" s="9">
        <f>VLOOKUP(DATE(YEAR(A2027),MONTH(A2027),DAY(A2027)),FY24_Temp[],3,FALSE)</f>
        <v>15.84</v>
      </c>
      <c r="O2027" s="9">
        <v>13.5</v>
      </c>
      <c r="P2027" s="9">
        <v>19.5</v>
      </c>
      <c r="Q2027" s="79">
        <f>VLOOKUP(VLOOKUP(DATEVALUE(TEXT(A2027,"m/d/yyyy")),FY24_Temp[],5,FALSE)&amp;TEXT(A2027,"-h"),Table6[],4,FALSE)</f>
        <v>1.3535714490073067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VLOOKUP(TEXT(A2027,"yy-mm")&amp;"-"&amp;IF(AND(WEEKDAY(A2027)&gt;1,WEEKDAY(A2027)&lt;7),"Wkd",TEXT(A2027,"Ddd"))&amp;"-"&amp;TEXT(A2027,"hh"),LoadTable[],5,FALSE)*0.92</f>
        <v>237.25788000000003</v>
      </c>
      <c r="U2027" s="104">
        <f>VLOOKUP(TEXT(A2027,"yy-mm")&amp;"-"&amp;IF(AND(WEEKDAY(A2027)&gt;1,WEEKDAY(A2027)&lt;7),"Wkd",TEXT(A2027,"Ddd"))&amp;"-"&amp;TEXT(A2027,"hh"),LoadTable[],6,FALSE)*T2027</f>
        <v>13996.31685696</v>
      </c>
      <c r="V2027">
        <f t="shared" ref="V2027:W2027" si="2159">V2003</f>
        <v>3.2</v>
      </c>
      <c r="W2027">
        <f t="shared" si="2159"/>
        <v>3</v>
      </c>
      <c r="X2027" s="9">
        <v>-96.897611066668802</v>
      </c>
    </row>
    <row r="2028" spans="1:24">
      <c r="A2028" s="29">
        <f t="shared" si="2116"/>
        <v>45920.374999995089</v>
      </c>
      <c r="B2028" s="30">
        <f t="shared" si="2140"/>
        <v>8000</v>
      </c>
      <c r="C2028" s="8">
        <v>25000</v>
      </c>
      <c r="D2028" s="8">
        <v>0</v>
      </c>
      <c r="E2028" s="8">
        <v>700</v>
      </c>
      <c r="F2028" s="8">
        <v>15000</v>
      </c>
      <c r="G2028" s="30">
        <f t="shared" si="2141"/>
        <v>2400</v>
      </c>
      <c r="H2028" s="8">
        <v>25000</v>
      </c>
      <c r="I2028" s="30">
        <f t="shared" si="2142"/>
        <v>8000</v>
      </c>
      <c r="J2028" s="8">
        <v>25000</v>
      </c>
      <c r="K2028" s="30">
        <f t="shared" si="2143"/>
        <v>8000</v>
      </c>
      <c r="L2028" s="8">
        <v>25000</v>
      </c>
      <c r="M2028" s="9">
        <f>VLOOKUP(DATE(YEAR(A2028),MONTH(A2028),DAY(A2028)),FY24_Temp[],4,FALSE)</f>
        <v>8.5</v>
      </c>
      <c r="N2028" s="9">
        <f>VLOOKUP(DATE(YEAR(A2028),MONTH(A2028),DAY(A2028)),FY24_Temp[],3,FALSE)</f>
        <v>15.84</v>
      </c>
      <c r="O2028" s="9">
        <v>13.5</v>
      </c>
      <c r="P2028" s="9">
        <v>19.5</v>
      </c>
      <c r="Q2028" s="79">
        <f>VLOOKUP(VLOOKUP(DATEVALUE(TEXT(A2028,"m/d/yyyy")),FY24_Temp[],5,FALSE)&amp;TEXT(A2028,"-h"),Table6[],4,FALSE)</f>
        <v>1.21599999495915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VLOOKUP(TEXT(A2028,"yy-mm")&amp;"-"&amp;IF(AND(WEEKDAY(A2028)&gt;1,WEEKDAY(A2028)&lt;7),"Wkd",TEXT(A2028,"Ddd"))&amp;"-"&amp;TEXT(A2028,"hh"),LoadTable[],5,FALSE)*0.92</f>
        <v>237.25788000000003</v>
      </c>
      <c r="U2028" s="104">
        <f>VLOOKUP(TEXT(A2028,"yy-mm")&amp;"-"&amp;IF(AND(WEEKDAY(A2028)&gt;1,WEEKDAY(A2028)&lt;7),"Wkd",TEXT(A2028,"Ddd"))&amp;"-"&amp;TEXT(A2028,"hh"),LoadTable[],6,FALSE)*T2028</f>
        <v>11301.541855920001</v>
      </c>
      <c r="V2028">
        <f t="shared" ref="V2028:W2028" si="2160">V2004</f>
        <v>2.9</v>
      </c>
      <c r="W2028">
        <f t="shared" si="2160"/>
        <v>3</v>
      </c>
      <c r="X2028" s="9">
        <v>-96.975405616668894</v>
      </c>
    </row>
    <row r="2029" spans="1:24">
      <c r="A2029" s="29">
        <f t="shared" si="2116"/>
        <v>45920.416666661753</v>
      </c>
      <c r="B2029" s="30">
        <f t="shared" si="2140"/>
        <v>8000</v>
      </c>
      <c r="C2029" s="8">
        <v>25000</v>
      </c>
      <c r="D2029" s="8">
        <v>0</v>
      </c>
      <c r="E2029" s="8">
        <v>700</v>
      </c>
      <c r="F2029" s="8">
        <v>15000</v>
      </c>
      <c r="G2029" s="30">
        <f t="shared" si="2141"/>
        <v>2400</v>
      </c>
      <c r="H2029" s="8">
        <v>25000</v>
      </c>
      <c r="I2029" s="30">
        <f t="shared" si="2142"/>
        <v>8000</v>
      </c>
      <c r="J2029" s="8">
        <v>25000</v>
      </c>
      <c r="K2029" s="30">
        <f t="shared" si="2143"/>
        <v>8000</v>
      </c>
      <c r="L2029" s="8">
        <v>25000</v>
      </c>
      <c r="M2029" s="9">
        <f>VLOOKUP(DATE(YEAR(A2029),MONTH(A2029),DAY(A2029)),FY24_Temp[],4,FALSE)</f>
        <v>8.5</v>
      </c>
      <c r="N2029" s="9">
        <f>VLOOKUP(DATE(YEAR(A2029),MONTH(A2029),DAY(A2029)),FY24_Temp[],3,FALSE)</f>
        <v>15.84</v>
      </c>
      <c r="O2029" s="9">
        <v>13.5</v>
      </c>
      <c r="P2029" s="9">
        <v>19.5</v>
      </c>
      <c r="Q2029" s="79">
        <f>VLOOKUP(VLOOKUP(DATEVALUE(TEXT(A2029,"m/d/yyyy")),FY24_Temp[],5,FALSE)&amp;TEXT(A2029,"-h"),Table6[],4,FALSE)</f>
        <v>1.082714285169329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VLOOKUP(TEXT(A2029,"yy-mm")&amp;"-"&amp;IF(AND(WEEKDAY(A2029)&gt;1,WEEKDAY(A2029)&lt;7),"Wkd",TEXT(A2029,"Ddd"))&amp;"-"&amp;TEXT(A2029,"hh"),LoadTable[],5,FALSE)*0.92</f>
        <v>237.25788000000003</v>
      </c>
      <c r="U2029" s="104">
        <f>VLOOKUP(TEXT(A2029,"yy-mm")&amp;"-"&amp;IF(AND(WEEKDAY(A2029)&gt;1,WEEKDAY(A2029)&lt;7),"Wkd",TEXT(A2029,"Ddd"))&amp;"-"&amp;TEXT(A2029,"hh"),LoadTable[],6,FALSE)*T2029</f>
        <v>10977.684849720001</v>
      </c>
      <c r="V2029">
        <f t="shared" ref="V2029:W2029" si="2161">V2005</f>
        <v>2.9</v>
      </c>
      <c r="W2029">
        <f t="shared" si="2161"/>
        <v>3</v>
      </c>
      <c r="X2029" s="9">
        <v>-97.053200166668901</v>
      </c>
    </row>
    <row r="2030" spans="1:24">
      <c r="A2030" s="29">
        <f t="shared" si="2116"/>
        <v>45920.458333328417</v>
      </c>
      <c r="B2030" s="30">
        <f t="shared" si="2140"/>
        <v>8000</v>
      </c>
      <c r="C2030" s="8">
        <v>25000</v>
      </c>
      <c r="D2030" s="8">
        <v>0</v>
      </c>
      <c r="E2030" s="8">
        <v>700</v>
      </c>
      <c r="F2030" s="8">
        <v>15000</v>
      </c>
      <c r="G2030" s="30">
        <f t="shared" si="2141"/>
        <v>2400</v>
      </c>
      <c r="H2030" s="8">
        <v>25000</v>
      </c>
      <c r="I2030" s="30">
        <f t="shared" si="2142"/>
        <v>8000</v>
      </c>
      <c r="J2030" s="8">
        <v>25000</v>
      </c>
      <c r="K2030" s="30">
        <f t="shared" si="2143"/>
        <v>8000</v>
      </c>
      <c r="L2030" s="8">
        <v>25000</v>
      </c>
      <c r="M2030" s="9">
        <f>VLOOKUP(DATE(YEAR(A2030),MONTH(A2030),DAY(A2030)),FY24_Temp[],4,FALSE)</f>
        <v>8.5</v>
      </c>
      <c r="N2030" s="9">
        <f>VLOOKUP(DATE(YEAR(A2030),MONTH(A2030),DAY(A2030)),FY24_Temp[],3,FALSE)</f>
        <v>15.84</v>
      </c>
      <c r="O2030" s="9">
        <v>13.5</v>
      </c>
      <c r="P2030" s="9">
        <v>19.5</v>
      </c>
      <c r="Q2030" s="79">
        <f>VLOOKUP(VLOOKUP(DATEVALUE(TEXT(A2030,"m/d/yyyy")),FY24_Temp[],5,FALSE)&amp;TEXT(A2030,"-h"),Table6[],4,FALSE)</f>
        <v>0.97514285360063824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VLOOKUP(TEXT(A2030,"yy-mm")&amp;"-"&amp;IF(AND(WEEKDAY(A2030)&gt;1,WEEKDAY(A2030)&lt;7),"Wkd",TEXT(A2030,"Ddd"))&amp;"-"&amp;TEXT(A2030,"hh"),LoadTable[],5,FALSE)*0.92</f>
        <v>237.25788000000003</v>
      </c>
      <c r="U2030" s="104">
        <f>VLOOKUP(TEXT(A2030,"yy-mm")&amp;"-"&amp;IF(AND(WEEKDAY(A2030)&gt;1,WEEKDAY(A2030)&lt;7),"Wkd",TEXT(A2030,"Ddd"))&amp;"-"&amp;TEXT(A2030,"hh"),LoadTable[],6,FALSE)*T2030</f>
        <v>10946.841325320001</v>
      </c>
      <c r="V2030">
        <f t="shared" ref="V2030:W2030" si="2162">V2006</f>
        <v>3.4</v>
      </c>
      <c r="W2030">
        <f t="shared" si="2162"/>
        <v>3</v>
      </c>
      <c r="X2030" s="9">
        <v>-97.130994716668894</v>
      </c>
    </row>
    <row r="2031" spans="1:24">
      <c r="A2031" s="29">
        <f t="shared" si="2116"/>
        <v>45920.499999995081</v>
      </c>
      <c r="B2031" s="30">
        <f t="shared" si="2140"/>
        <v>8000</v>
      </c>
      <c r="C2031" s="8">
        <v>25000</v>
      </c>
      <c r="D2031" s="8">
        <v>0</v>
      </c>
      <c r="E2031" s="8">
        <v>700</v>
      </c>
      <c r="F2031" s="8">
        <v>15000</v>
      </c>
      <c r="G2031" s="30">
        <f t="shared" si="2141"/>
        <v>2400</v>
      </c>
      <c r="H2031" s="8">
        <v>25000</v>
      </c>
      <c r="I2031" s="30">
        <f t="shared" si="2142"/>
        <v>8000</v>
      </c>
      <c r="J2031" s="8">
        <v>25000</v>
      </c>
      <c r="K2031" s="30">
        <f t="shared" si="2143"/>
        <v>8000</v>
      </c>
      <c r="L2031" s="8">
        <v>25000</v>
      </c>
      <c r="M2031" s="9">
        <f>VLOOKUP(DATE(YEAR(A2031),MONTH(A2031),DAY(A2031)),FY24_Temp[],4,FALSE)</f>
        <v>8.5</v>
      </c>
      <c r="N2031" s="9">
        <f>VLOOKUP(DATE(YEAR(A2031),MONTH(A2031),DAY(A2031)),FY24_Temp[],3,FALSE)</f>
        <v>15.84</v>
      </c>
      <c r="O2031" s="9">
        <v>13.5</v>
      </c>
      <c r="P2031" s="9">
        <v>19.5</v>
      </c>
      <c r="Q2031" s="79">
        <f>VLOOKUP(VLOOKUP(DATEVALUE(TEXT(A2031,"m/d/yyyy")),FY24_Temp[],5,FALSE)&amp;TEXT(A2031,"-h"),Table6[],4,FALSE)</f>
        <v>0.82942857061113628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VLOOKUP(TEXT(A2031,"yy-mm")&amp;"-"&amp;IF(AND(WEEKDAY(A2031)&gt;1,WEEKDAY(A2031)&lt;7),"Wkd",TEXT(A2031,"Ddd"))&amp;"-"&amp;TEXT(A2031,"hh"),LoadTable[],5,FALSE)*0.92</f>
        <v>237.25788000000003</v>
      </c>
      <c r="U2031" s="104">
        <f>VLOOKUP(TEXT(A2031,"yy-mm")&amp;"-"&amp;IF(AND(WEEKDAY(A2031)&gt;1,WEEKDAY(A2031)&lt;7),"Wkd",TEXT(A2031,"Ddd"))&amp;"-"&amp;TEXT(A2031,"hh"),LoadTable[],6,FALSE)*T2031</f>
        <v>10940.198104680001</v>
      </c>
      <c r="V2031">
        <f t="shared" ref="V2031:W2031" si="2163">V2007</f>
        <v>3.1</v>
      </c>
      <c r="W2031">
        <f t="shared" si="2163"/>
        <v>2.9</v>
      </c>
      <c r="X2031" s="9">
        <v>-97.208789266668902</v>
      </c>
    </row>
    <row r="2032" spans="1:24">
      <c r="A2032" s="29">
        <f t="shared" si="2116"/>
        <v>45920.541666661746</v>
      </c>
      <c r="B2032" s="30">
        <f t="shared" si="2140"/>
        <v>8000</v>
      </c>
      <c r="C2032" s="8">
        <v>25000</v>
      </c>
      <c r="D2032" s="8">
        <v>0</v>
      </c>
      <c r="E2032" s="8">
        <v>700</v>
      </c>
      <c r="F2032" s="8">
        <v>15000</v>
      </c>
      <c r="G2032" s="30">
        <f t="shared" si="2141"/>
        <v>2400</v>
      </c>
      <c r="H2032" s="8">
        <v>25000</v>
      </c>
      <c r="I2032" s="30">
        <f t="shared" si="2142"/>
        <v>8000</v>
      </c>
      <c r="J2032" s="8">
        <v>25000</v>
      </c>
      <c r="K2032" s="30">
        <f t="shared" si="2143"/>
        <v>8000</v>
      </c>
      <c r="L2032" s="8">
        <v>25000</v>
      </c>
      <c r="M2032" s="9">
        <f>VLOOKUP(DATE(YEAR(A2032),MONTH(A2032),DAY(A2032)),FY24_Temp[],4,FALSE)</f>
        <v>8.5</v>
      </c>
      <c r="N2032" s="9">
        <f>VLOOKUP(DATE(YEAR(A2032),MONTH(A2032),DAY(A2032)),FY24_Temp[],3,FALSE)</f>
        <v>15.84</v>
      </c>
      <c r="O2032" s="9">
        <v>13.5</v>
      </c>
      <c r="P2032" s="9">
        <v>19.5</v>
      </c>
      <c r="Q2032" s="79">
        <f>VLOOKUP(VLOOKUP(DATEVALUE(TEXT(A2032,"m/d/yyyy")),FY24_Temp[],5,FALSE)&amp;TEXT(A2032,"-h"),Table6[],4,FALSE)</f>
        <v>0.69342857599258423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VLOOKUP(TEXT(A2032,"yy-mm")&amp;"-"&amp;IF(AND(WEEKDAY(A2032)&gt;1,WEEKDAY(A2032)&lt;7),"Wkd",TEXT(A2032,"Ddd"))&amp;"-"&amp;TEXT(A2032,"hh"),LoadTable[],5,FALSE)*0.92</f>
        <v>237.25788000000003</v>
      </c>
      <c r="U2032" s="104">
        <f>VLOOKUP(TEXT(A2032,"yy-mm")&amp;"-"&amp;IF(AND(WEEKDAY(A2032)&gt;1,WEEKDAY(A2032)&lt;7),"Wkd",TEXT(A2032,"Ddd"))&amp;"-"&amp;TEXT(A2032,"hh"),LoadTable[],6,FALSE)*T2032</f>
        <v>10959.890508720002</v>
      </c>
      <c r="V2032">
        <f t="shared" ref="V2032:W2032" si="2164">V2008</f>
        <v>3.2</v>
      </c>
      <c r="W2032">
        <f t="shared" si="2164"/>
        <v>2.9</v>
      </c>
      <c r="X2032" s="9">
        <v>-97.286583816668895</v>
      </c>
    </row>
    <row r="2033" spans="1:24">
      <c r="A2033" s="29">
        <f t="shared" si="2116"/>
        <v>45920.58333332841</v>
      </c>
      <c r="B2033" s="30">
        <f t="shared" si="2140"/>
        <v>8000</v>
      </c>
      <c r="C2033" s="8">
        <v>25000</v>
      </c>
      <c r="D2033" s="8">
        <v>0</v>
      </c>
      <c r="E2033" s="8">
        <v>700</v>
      </c>
      <c r="F2033" s="8">
        <v>15000</v>
      </c>
      <c r="G2033" s="30">
        <f t="shared" si="2141"/>
        <v>2400</v>
      </c>
      <c r="H2033" s="8">
        <v>25000</v>
      </c>
      <c r="I2033" s="30">
        <f t="shared" si="2142"/>
        <v>8000</v>
      </c>
      <c r="J2033" s="8">
        <v>25000</v>
      </c>
      <c r="K2033" s="30">
        <f t="shared" si="2143"/>
        <v>8000</v>
      </c>
      <c r="L2033" s="8">
        <v>25000</v>
      </c>
      <c r="M2033" s="9">
        <f>VLOOKUP(DATE(YEAR(A2033),MONTH(A2033),DAY(A2033)),FY24_Temp[],4,FALSE)</f>
        <v>8.5</v>
      </c>
      <c r="N2033" s="9">
        <f>VLOOKUP(DATE(YEAR(A2033),MONTH(A2033),DAY(A2033)),FY24_Temp[],3,FALSE)</f>
        <v>15.84</v>
      </c>
      <c r="O2033" s="9">
        <v>13.5</v>
      </c>
      <c r="P2033" s="9">
        <v>19.5</v>
      </c>
      <c r="Q2033" s="79">
        <f>VLOOKUP(VLOOKUP(DATEVALUE(TEXT(A2033,"m/d/yyyy")),FY24_Temp[],5,FALSE)&amp;TEXT(A2033,"-h"),Table6[],4,FALSE)</f>
        <v>0.57800000480243141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VLOOKUP(TEXT(A2033,"yy-mm")&amp;"-"&amp;IF(AND(WEEKDAY(A2033)&gt;1,WEEKDAY(A2033)&lt;7),"Wkd",TEXT(A2033,"Ddd"))&amp;"-"&amp;TEXT(A2033,"hh"),LoadTable[],5,FALSE)*0.92</f>
        <v>237.25788000000003</v>
      </c>
      <c r="U2033" s="104">
        <f>VLOOKUP(TEXT(A2033,"yy-mm")&amp;"-"&amp;IF(AND(WEEKDAY(A2033)&gt;1,WEEKDAY(A2033)&lt;7),"Wkd",TEXT(A2033,"Ddd"))&amp;"-"&amp;TEXT(A2033,"hh"),LoadTable[],6,FALSE)*T2033</f>
        <v>10973.888723640001</v>
      </c>
      <c r="V2033">
        <f t="shared" ref="V2033:W2033" si="2165">V2009</f>
        <v>3.5</v>
      </c>
      <c r="W2033">
        <f t="shared" si="2165"/>
        <v>2.9</v>
      </c>
      <c r="X2033" s="9">
        <v>-97.364378366668902</v>
      </c>
    </row>
    <row r="2034" spans="1:24">
      <c r="A2034" s="29">
        <f t="shared" si="2116"/>
        <v>45920.624999995074</v>
      </c>
      <c r="B2034" s="30">
        <f t="shared" si="2140"/>
        <v>8000</v>
      </c>
      <c r="C2034" s="8">
        <v>25000</v>
      </c>
      <c r="D2034" s="8">
        <v>0</v>
      </c>
      <c r="E2034" s="8">
        <v>700</v>
      </c>
      <c r="F2034" s="8">
        <v>15000</v>
      </c>
      <c r="G2034" s="30">
        <f t="shared" si="2141"/>
        <v>2400</v>
      </c>
      <c r="H2034" s="8">
        <v>25000</v>
      </c>
      <c r="I2034" s="30">
        <f t="shared" si="2142"/>
        <v>8000</v>
      </c>
      <c r="J2034" s="8">
        <v>25000</v>
      </c>
      <c r="K2034" s="30">
        <f t="shared" si="2143"/>
        <v>8000</v>
      </c>
      <c r="L2034" s="8">
        <v>25000</v>
      </c>
      <c r="M2034" s="9">
        <f>VLOOKUP(DATE(YEAR(A2034),MONTH(A2034),DAY(A2034)),FY24_Temp[],4,FALSE)</f>
        <v>8.5</v>
      </c>
      <c r="N2034" s="9">
        <f>VLOOKUP(DATE(YEAR(A2034),MONTH(A2034),DAY(A2034)),FY24_Temp[],3,FALSE)</f>
        <v>15.84</v>
      </c>
      <c r="O2034" s="9">
        <v>13.5</v>
      </c>
      <c r="P2034" s="9">
        <v>19.5</v>
      </c>
      <c r="Q2034" s="79">
        <f>VLOOKUP(VLOOKUP(DATEVALUE(TEXT(A2034,"m/d/yyyy")),FY24_Temp[],5,FALSE)&amp;TEXT(A2034,"-h"),Table6[],4,FALSE)</f>
        <v>0.56385713389941627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VLOOKUP(TEXT(A2034,"yy-mm")&amp;"-"&amp;IF(AND(WEEKDAY(A2034)&gt;1,WEEKDAY(A2034)&lt;7),"Wkd",TEXT(A2034,"Ddd"))&amp;"-"&amp;TEXT(A2034,"hh"),LoadTable[],5,FALSE)*0.92</f>
        <v>355.88728000000003</v>
      </c>
      <c r="U2034" s="104">
        <f>VLOOKUP(TEXT(A2034,"yy-mm")&amp;"-"&amp;IF(AND(WEEKDAY(A2034)&gt;1,WEEKDAY(A2034)&lt;7),"Wkd",TEXT(A2034,"Ddd"))&amp;"-"&amp;TEXT(A2034,"hh"),LoadTable[],6,FALSE)*T2034</f>
        <v>17275.124458480001</v>
      </c>
      <c r="V2034">
        <f t="shared" ref="V2034:W2034" si="2166">V2010</f>
        <v>3.2</v>
      </c>
      <c r="W2034">
        <f t="shared" si="2166"/>
        <v>2.9</v>
      </c>
      <c r="X2034" s="9">
        <v>-97.442172916668895</v>
      </c>
    </row>
    <row r="2035" spans="1:24">
      <c r="A2035" s="29">
        <f t="shared" si="2116"/>
        <v>45920.666666661738</v>
      </c>
      <c r="B2035" s="30">
        <f t="shared" si="2140"/>
        <v>8000</v>
      </c>
      <c r="C2035" s="8">
        <v>25000</v>
      </c>
      <c r="D2035" s="8">
        <v>0</v>
      </c>
      <c r="E2035" s="8">
        <v>700</v>
      </c>
      <c r="F2035" s="8">
        <v>15000</v>
      </c>
      <c r="G2035" s="30">
        <f t="shared" si="2141"/>
        <v>2400</v>
      </c>
      <c r="H2035" s="8">
        <v>25000</v>
      </c>
      <c r="I2035" s="30">
        <f t="shared" si="2142"/>
        <v>8000</v>
      </c>
      <c r="J2035" s="8">
        <v>25000</v>
      </c>
      <c r="K2035" s="30">
        <f t="shared" si="2143"/>
        <v>8000</v>
      </c>
      <c r="L2035" s="8">
        <v>25000</v>
      </c>
      <c r="M2035" s="9">
        <f>VLOOKUP(DATE(YEAR(A2035),MONTH(A2035),DAY(A2035)),FY24_Temp[],4,FALSE)</f>
        <v>8.5</v>
      </c>
      <c r="N2035" s="9">
        <f>VLOOKUP(DATE(YEAR(A2035),MONTH(A2035),DAY(A2035)),FY24_Temp[],3,FALSE)</f>
        <v>15.84</v>
      </c>
      <c r="O2035" s="9">
        <v>13.5</v>
      </c>
      <c r="P2035" s="9">
        <v>19.5</v>
      </c>
      <c r="Q2035" s="79">
        <f>VLOOKUP(VLOOKUP(DATEVALUE(TEXT(A2035,"m/d/yyyy")),FY24_Temp[],5,FALSE)&amp;TEXT(A2035,"-h"),Table6[],4,FALSE)</f>
        <v>0.83414285523550846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VLOOKUP(TEXT(A2035,"yy-mm")&amp;"-"&amp;IF(AND(WEEKDAY(A2035)&gt;1,WEEKDAY(A2035)&lt;7),"Wkd",TEXT(A2035,"Ddd"))&amp;"-"&amp;TEXT(A2035,"hh"),LoadTable[],5,FALSE)*0.92</f>
        <v>388.38076000000001</v>
      </c>
      <c r="U2035" s="104">
        <f>VLOOKUP(TEXT(A2035,"yy-mm")&amp;"-"&amp;IF(AND(WEEKDAY(A2035)&gt;1,WEEKDAY(A2035)&lt;7),"Wkd",TEXT(A2035,"Ddd"))&amp;"-"&amp;TEXT(A2035,"hh"),LoadTable[],6,FALSE)*T2035</f>
        <v>22148.966362040002</v>
      </c>
      <c r="V2035">
        <f t="shared" ref="V2035:W2035" si="2167">V2011</f>
        <v>3.5</v>
      </c>
      <c r="W2035">
        <f t="shared" si="2167"/>
        <v>3</v>
      </c>
      <c r="X2035" s="9">
        <v>-97.519967466668902</v>
      </c>
    </row>
    <row r="2036" spans="1:24">
      <c r="A2036" s="29">
        <f t="shared" si="2116"/>
        <v>45920.708333328403</v>
      </c>
      <c r="B2036" s="30">
        <f t="shared" si="2140"/>
        <v>8000</v>
      </c>
      <c r="C2036" s="8">
        <v>25000</v>
      </c>
      <c r="D2036" s="8">
        <v>0</v>
      </c>
      <c r="E2036" s="8">
        <v>700</v>
      </c>
      <c r="F2036" s="8">
        <v>15000</v>
      </c>
      <c r="G2036" s="30">
        <f t="shared" si="2141"/>
        <v>2400</v>
      </c>
      <c r="H2036" s="8">
        <v>25000</v>
      </c>
      <c r="I2036" s="30">
        <f t="shared" si="2142"/>
        <v>8000</v>
      </c>
      <c r="J2036" s="8">
        <v>25000</v>
      </c>
      <c r="K2036" s="30">
        <f t="shared" si="2143"/>
        <v>8000</v>
      </c>
      <c r="L2036" s="8">
        <v>25000</v>
      </c>
      <c r="M2036" s="9">
        <f>VLOOKUP(DATE(YEAR(A2036),MONTH(A2036),DAY(A2036)),FY24_Temp[],4,FALSE)</f>
        <v>8.5</v>
      </c>
      <c r="N2036" s="9">
        <f>VLOOKUP(DATE(YEAR(A2036),MONTH(A2036),DAY(A2036)),FY24_Temp[],3,FALSE)</f>
        <v>15.84</v>
      </c>
      <c r="O2036" s="9">
        <v>13.5</v>
      </c>
      <c r="P2036" s="9">
        <v>19.5</v>
      </c>
      <c r="Q2036" s="79">
        <f>VLOOKUP(VLOOKUP(DATEVALUE(TEXT(A2036,"m/d/yyyy")),FY24_Temp[],5,FALSE)&amp;TEXT(A2036,"-h"),Table6[],4,FALSE)</f>
        <v>1.2335714272090368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VLOOKUP(TEXT(A2036,"yy-mm")&amp;"-"&amp;IF(AND(WEEKDAY(A2036)&gt;1,WEEKDAY(A2036)&lt;7),"Wkd",TEXT(A2036,"Ddd"))&amp;"-"&amp;TEXT(A2036,"hh"),LoadTable[],5,FALSE)*0.92</f>
        <v>388.38076000000001</v>
      </c>
      <c r="U2036" s="104">
        <f>VLOOKUP(TEXT(A2036,"yy-mm")&amp;"-"&amp;IF(AND(WEEKDAY(A2036)&gt;1,WEEKDAY(A2036)&lt;7),"Wkd",TEXT(A2036,"Ddd"))&amp;"-"&amp;TEXT(A2036,"hh"),LoadTable[],6,FALSE)*T2036</f>
        <v>30057.95215868</v>
      </c>
      <c r="V2036">
        <f t="shared" ref="V2036:W2036" si="2168">V2012</f>
        <v>3.6</v>
      </c>
      <c r="W2036">
        <f t="shared" si="2168"/>
        <v>3</v>
      </c>
      <c r="X2036" s="9">
        <v>-97.597762016668895</v>
      </c>
    </row>
    <row r="2037" spans="1:24">
      <c r="A2037" s="29">
        <f t="shared" si="2116"/>
        <v>45920.749999995067</v>
      </c>
      <c r="B2037" s="30">
        <f t="shared" si="2140"/>
        <v>5000</v>
      </c>
      <c r="C2037" s="8">
        <v>25000</v>
      </c>
      <c r="D2037" s="8">
        <v>0</v>
      </c>
      <c r="E2037" s="8">
        <v>700</v>
      </c>
      <c r="F2037" s="8">
        <v>15000</v>
      </c>
      <c r="G2037" s="30">
        <f t="shared" si="2141"/>
        <v>2400</v>
      </c>
      <c r="H2037" s="8">
        <v>25000</v>
      </c>
      <c r="I2037" s="30">
        <f t="shared" si="2142"/>
        <v>5000</v>
      </c>
      <c r="J2037" s="8">
        <v>25000</v>
      </c>
      <c r="K2037" s="30">
        <f t="shared" si="2143"/>
        <v>5000</v>
      </c>
      <c r="L2037" s="8">
        <v>25000</v>
      </c>
      <c r="M2037" s="9">
        <f>VLOOKUP(DATE(YEAR(A2037),MONTH(A2037),DAY(A2037)),FY24_Temp[],4,FALSE)</f>
        <v>8.5</v>
      </c>
      <c r="N2037" s="9">
        <f>VLOOKUP(DATE(YEAR(A2037),MONTH(A2037),DAY(A2037)),FY24_Temp[],3,FALSE)</f>
        <v>15.84</v>
      </c>
      <c r="O2037" s="9">
        <v>13.5</v>
      </c>
      <c r="P2037" s="9">
        <v>19.5</v>
      </c>
      <c r="Q2037" s="79">
        <f>VLOOKUP(VLOOKUP(DATEVALUE(TEXT(A2037,"m/d/yyyy")),FY24_Temp[],5,FALSE)&amp;TEXT(A2037,"-h"),Table6[],4,FALSE)</f>
        <v>1.6985714265278407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VLOOKUP(TEXT(A2037,"yy-mm")&amp;"-"&amp;IF(AND(WEEKDAY(A2037)&gt;1,WEEKDAY(A2037)&lt;7),"Wkd",TEXT(A2037,"Ddd"))&amp;"-"&amp;TEXT(A2037,"hh"),LoadTable[],5,FALSE)*0.92</f>
        <v>388.38076000000001</v>
      </c>
      <c r="U2037" s="104">
        <f>VLOOKUP(TEXT(A2037,"yy-mm")&amp;"-"&amp;IF(AND(WEEKDAY(A2037)&gt;1,WEEKDAY(A2037)&lt;7),"Wkd",TEXT(A2037,"Ddd"))&amp;"-"&amp;TEXT(A2037,"hh"),LoadTable[],6,FALSE)*T2037</f>
        <v>40442.476919560002</v>
      </c>
      <c r="V2037">
        <f t="shared" ref="V2037:W2037" si="2169">V2013</f>
        <v>2.9</v>
      </c>
      <c r="W2037">
        <f t="shared" si="2169"/>
        <v>3</v>
      </c>
      <c r="X2037" s="9">
        <v>-97.675556566668902</v>
      </c>
    </row>
    <row r="2038" spans="1:24">
      <c r="A2038" s="29">
        <f t="shared" si="2116"/>
        <v>45920.791666661731</v>
      </c>
      <c r="B2038" s="30">
        <f t="shared" si="2140"/>
        <v>5000</v>
      </c>
      <c r="C2038" s="8">
        <v>25000</v>
      </c>
      <c r="D2038" s="8">
        <v>0</v>
      </c>
      <c r="E2038" s="8">
        <v>700</v>
      </c>
      <c r="F2038" s="8">
        <v>15000</v>
      </c>
      <c r="G2038" s="30">
        <f t="shared" si="2141"/>
        <v>2400</v>
      </c>
      <c r="H2038" s="8">
        <v>25000</v>
      </c>
      <c r="I2038" s="30">
        <f t="shared" si="2142"/>
        <v>5000</v>
      </c>
      <c r="J2038" s="8">
        <v>25000</v>
      </c>
      <c r="K2038" s="30">
        <f t="shared" si="2143"/>
        <v>5000</v>
      </c>
      <c r="L2038" s="8">
        <v>25000</v>
      </c>
      <c r="M2038" s="9">
        <f>VLOOKUP(DATE(YEAR(A2038),MONTH(A2038),DAY(A2038)),FY24_Temp[],4,FALSE)</f>
        <v>8.5</v>
      </c>
      <c r="N2038" s="9">
        <f>VLOOKUP(DATE(YEAR(A2038),MONTH(A2038),DAY(A2038)),FY24_Temp[],3,FALSE)</f>
        <v>15.84</v>
      </c>
      <c r="O2038" s="9">
        <v>13.5</v>
      </c>
      <c r="P2038" s="9">
        <v>19.5</v>
      </c>
      <c r="Q2038" s="79">
        <f>VLOOKUP(VLOOKUP(DATEVALUE(TEXT(A2038,"m/d/yyyy")),FY24_Temp[],5,FALSE)&amp;TEXT(A2038,"-h"),Table6[],4,FALSE)</f>
        <v>2.0531428711754933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VLOOKUP(TEXT(A2038,"yy-mm")&amp;"-"&amp;IF(AND(WEEKDAY(A2038)&gt;1,WEEKDAY(A2038)&lt;7),"Wkd",TEXT(A2038,"Ddd"))&amp;"-"&amp;TEXT(A2038,"hh"),LoadTable[],5,FALSE)*0.92</f>
        <v>388.38076000000001</v>
      </c>
      <c r="U2038" s="104">
        <f>VLOOKUP(TEXT(A2038,"yy-mm")&amp;"-"&amp;IF(AND(WEEKDAY(A2038)&gt;1,WEEKDAY(A2038)&lt;7),"Wkd",TEXT(A2038,"Ddd"))&amp;"-"&amp;TEXT(A2038,"hh"),LoadTable[],6,FALSE)*T2038</f>
        <v>39451.717600800002</v>
      </c>
      <c r="V2038">
        <f t="shared" ref="V2038:W2038" si="2170">V2014</f>
        <v>3</v>
      </c>
      <c r="W2038">
        <f t="shared" si="2170"/>
        <v>3</v>
      </c>
      <c r="X2038" s="9">
        <v>-97.753351116668895</v>
      </c>
    </row>
    <row r="2039" spans="1:24">
      <c r="A2039" s="29">
        <f t="shared" si="2116"/>
        <v>45920.833333328395</v>
      </c>
      <c r="B2039" s="30">
        <f t="shared" si="2140"/>
        <v>5000</v>
      </c>
      <c r="C2039" s="8">
        <v>25000</v>
      </c>
      <c r="D2039" s="8">
        <v>0</v>
      </c>
      <c r="E2039" s="8">
        <v>700</v>
      </c>
      <c r="F2039" s="8">
        <v>15000</v>
      </c>
      <c r="G2039" s="30">
        <f t="shared" si="2141"/>
        <v>2400</v>
      </c>
      <c r="H2039" s="8">
        <v>25000</v>
      </c>
      <c r="I2039" s="30">
        <f t="shared" si="2142"/>
        <v>5000</v>
      </c>
      <c r="J2039" s="8">
        <v>25000</v>
      </c>
      <c r="K2039" s="30">
        <f t="shared" si="2143"/>
        <v>5000</v>
      </c>
      <c r="L2039" s="8">
        <v>25000</v>
      </c>
      <c r="M2039" s="9">
        <f>VLOOKUP(DATE(YEAR(A2039),MONTH(A2039),DAY(A2039)),FY24_Temp[],4,FALSE)</f>
        <v>8.5</v>
      </c>
      <c r="N2039" s="9">
        <f>VLOOKUP(DATE(YEAR(A2039),MONTH(A2039),DAY(A2039)),FY24_Temp[],3,FALSE)</f>
        <v>15.84</v>
      </c>
      <c r="O2039" s="9">
        <v>13.5</v>
      </c>
      <c r="P2039" s="9">
        <v>19.5</v>
      </c>
      <c r="Q2039" s="79">
        <f>VLOOKUP(VLOOKUP(DATEVALUE(TEXT(A2039,"m/d/yyyy")),FY24_Temp[],5,FALSE)&amp;TEXT(A2039,"-h"),Table6[],4,FALSE)</f>
        <v>2.2329999378749301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VLOOKUP(TEXT(A2039,"yy-mm")&amp;"-"&amp;IF(AND(WEEKDAY(A2039)&gt;1,WEEKDAY(A2039)&lt;7),"Wkd",TEXT(A2039,"Ddd"))&amp;"-"&amp;TEXT(A2039,"hh"),LoadTable[],5,FALSE)*0.92</f>
        <v>388.38076000000001</v>
      </c>
      <c r="U2039" s="104">
        <f>VLOOKUP(TEXT(A2039,"yy-mm")&amp;"-"&amp;IF(AND(WEEKDAY(A2039)&gt;1,WEEKDAY(A2039)&lt;7),"Wkd",TEXT(A2039,"Ddd"))&amp;"-"&amp;TEXT(A2039,"hh"),LoadTable[],6,FALSE)*T2039</f>
        <v>37145.512647919997</v>
      </c>
      <c r="V2039">
        <f t="shared" ref="V2039:W2039" si="2171">V2015</f>
        <v>2.8</v>
      </c>
      <c r="W2039">
        <f t="shared" si="2171"/>
        <v>3.1</v>
      </c>
      <c r="X2039" s="9">
        <v>-97.831145666668903</v>
      </c>
    </row>
    <row r="2040" spans="1:24">
      <c r="A2040" s="29">
        <f t="shared" si="2116"/>
        <v>45920.87499999506</v>
      </c>
      <c r="B2040" s="30">
        <f t="shared" si="2140"/>
        <v>5000</v>
      </c>
      <c r="C2040" s="8">
        <v>25000</v>
      </c>
      <c r="D2040" s="8">
        <v>0</v>
      </c>
      <c r="E2040" s="8">
        <v>700</v>
      </c>
      <c r="F2040" s="8">
        <v>15000</v>
      </c>
      <c r="G2040" s="30">
        <f t="shared" si="2141"/>
        <v>2400</v>
      </c>
      <c r="H2040" s="8">
        <v>25000</v>
      </c>
      <c r="I2040" s="30">
        <f t="shared" si="2142"/>
        <v>5000</v>
      </c>
      <c r="J2040" s="8">
        <v>25000</v>
      </c>
      <c r="K2040" s="30">
        <f t="shared" si="2143"/>
        <v>5000</v>
      </c>
      <c r="L2040" s="8">
        <v>25000</v>
      </c>
      <c r="M2040" s="9">
        <f>VLOOKUP(DATE(YEAR(A2040),MONTH(A2040),DAY(A2040)),FY24_Temp[],4,FALSE)</f>
        <v>8.5</v>
      </c>
      <c r="N2040" s="9">
        <f>VLOOKUP(DATE(YEAR(A2040),MONTH(A2040),DAY(A2040)),FY24_Temp[],3,FALSE)</f>
        <v>15.84</v>
      </c>
      <c r="O2040" s="9">
        <v>13.5</v>
      </c>
      <c r="P2040" s="9">
        <v>19.5</v>
      </c>
      <c r="Q2040" s="79">
        <f>VLOOKUP(VLOOKUP(DATEVALUE(TEXT(A2040,"m/d/yyyy")),FY24_Temp[],5,FALSE)&amp;TEXT(A2040,"-h"),Table6[],4,FALSE)</f>
        <v>2.2924285616193498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VLOOKUP(TEXT(A2040,"yy-mm")&amp;"-"&amp;IF(AND(WEEKDAY(A2040)&gt;1,WEEKDAY(A2040)&lt;7),"Wkd",TEXT(A2040,"Ddd"))&amp;"-"&amp;TEXT(A2040,"hh"),LoadTable[],5,FALSE)*0.92</f>
        <v>331.01416</v>
      </c>
      <c r="U2040" s="104">
        <f>VLOOKUP(TEXT(A2040,"yy-mm")&amp;"-"&amp;IF(AND(WEEKDAY(A2040)&gt;1,WEEKDAY(A2040)&lt;7),"Wkd",TEXT(A2040,"Ddd"))&amp;"-"&amp;TEXT(A2040,"hh"),LoadTable[],6,FALSE)*T2040</f>
        <v>28174.270228399997</v>
      </c>
      <c r="V2040">
        <f t="shared" ref="V2040:W2040" si="2172">V2016</f>
        <v>3.5</v>
      </c>
      <c r="W2040">
        <f t="shared" si="2172"/>
        <v>3.1</v>
      </c>
      <c r="X2040" s="9">
        <v>-97.908940216668896</v>
      </c>
    </row>
    <row r="2041" spans="1:24">
      <c r="A2041" s="29">
        <f t="shared" si="2116"/>
        <v>45920.916666661724</v>
      </c>
      <c r="B2041" s="30">
        <f t="shared" si="2140"/>
        <v>5000</v>
      </c>
      <c r="C2041" s="8">
        <v>25000</v>
      </c>
      <c r="D2041" s="8">
        <v>0</v>
      </c>
      <c r="E2041" s="8">
        <v>700</v>
      </c>
      <c r="F2041" s="8">
        <v>15000</v>
      </c>
      <c r="G2041" s="30">
        <f t="shared" si="2141"/>
        <v>2400</v>
      </c>
      <c r="H2041" s="8">
        <v>25000</v>
      </c>
      <c r="I2041" s="30">
        <f t="shared" si="2142"/>
        <v>5000</v>
      </c>
      <c r="J2041" s="8">
        <v>25000</v>
      </c>
      <c r="K2041" s="30">
        <f t="shared" si="2143"/>
        <v>5000</v>
      </c>
      <c r="L2041" s="8">
        <v>25000</v>
      </c>
      <c r="M2041" s="9">
        <f>VLOOKUP(DATE(YEAR(A2041),MONTH(A2041),DAY(A2041)),FY24_Temp[],4,FALSE)</f>
        <v>8.5</v>
      </c>
      <c r="N2041" s="9">
        <f>VLOOKUP(DATE(YEAR(A2041),MONTH(A2041),DAY(A2041)),FY24_Temp[],3,FALSE)</f>
        <v>15.84</v>
      </c>
      <c r="O2041" s="9">
        <v>13.5</v>
      </c>
      <c r="P2041" s="9">
        <v>19.5</v>
      </c>
      <c r="Q2041" s="79">
        <f>VLOOKUP(VLOOKUP(DATEVALUE(TEXT(A2041,"m/d/yyyy")),FY24_Temp[],5,FALSE)&amp;TEXT(A2041,"-h"),Table6[],4,FALSE)</f>
        <v>2.2601428713117326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VLOOKUP(TEXT(A2041,"yy-mm")&amp;"-"&amp;IF(AND(WEEKDAY(A2041)&gt;1,WEEKDAY(A2041)&lt;7),"Wkd",TEXT(A2041,"Ddd"))&amp;"-"&amp;TEXT(A2041,"hh"),LoadTable[],5,FALSE)*0.92</f>
        <v>256.87044000000003</v>
      </c>
      <c r="U2041" s="104">
        <f>VLOOKUP(TEXT(A2041,"yy-mm")&amp;"-"&amp;IF(AND(WEEKDAY(A2041)&gt;1,WEEKDAY(A2041)&lt;7),"Wkd",TEXT(A2041,"Ddd"))&amp;"-"&amp;TEXT(A2041,"hh"),LoadTable[],6,FALSE)*T2041</f>
        <v>13294.072751760001</v>
      </c>
      <c r="V2041">
        <f t="shared" ref="V2041:W2041" si="2173">V2017</f>
        <v>2.9</v>
      </c>
      <c r="W2041">
        <f t="shared" si="2173"/>
        <v>3.1</v>
      </c>
      <c r="X2041" s="9">
        <v>-97.986734766669002</v>
      </c>
    </row>
    <row r="2042" spans="1:24">
      <c r="A2042" s="29">
        <f t="shared" si="2116"/>
        <v>45920.958333328388</v>
      </c>
      <c r="B2042" s="30">
        <f t="shared" si="2140"/>
        <v>5000</v>
      </c>
      <c r="C2042" s="8">
        <v>25000</v>
      </c>
      <c r="D2042" s="8">
        <v>0</v>
      </c>
      <c r="E2042" s="8">
        <v>700</v>
      </c>
      <c r="F2042" s="8">
        <v>15000</v>
      </c>
      <c r="G2042" s="30">
        <f t="shared" si="2141"/>
        <v>2400</v>
      </c>
      <c r="H2042" s="8">
        <v>25000</v>
      </c>
      <c r="I2042" s="30">
        <f t="shared" si="2142"/>
        <v>5000</v>
      </c>
      <c r="J2042" s="8">
        <v>25000</v>
      </c>
      <c r="K2042" s="30">
        <f t="shared" si="2143"/>
        <v>5000</v>
      </c>
      <c r="L2042" s="8">
        <v>25000</v>
      </c>
      <c r="M2042" s="9">
        <f>VLOOKUP(DATE(YEAR(A2042),MONTH(A2042),DAY(A2042)),FY24_Temp[],4,FALSE)</f>
        <v>8.5</v>
      </c>
      <c r="N2042" s="9">
        <f>VLOOKUP(DATE(YEAR(A2042),MONTH(A2042),DAY(A2042)),FY24_Temp[],3,FALSE)</f>
        <v>15.84</v>
      </c>
      <c r="O2042" s="9">
        <v>13.5</v>
      </c>
      <c r="P2042" s="9">
        <v>19.5</v>
      </c>
      <c r="Q2042" s="79">
        <f>VLOOKUP(VLOOKUP(DATEVALUE(TEXT(A2042,"m/d/yyyy")),FY24_Temp[],5,FALSE)&amp;TEXT(A2042,"-h"),Table6[],4,FALSE)</f>
        <v>2.2548570973532542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VLOOKUP(TEXT(A2042,"yy-mm")&amp;"-"&amp;IF(AND(WEEKDAY(A2042)&gt;1,WEEKDAY(A2042)&lt;7),"Wkd",TEXT(A2042,"Ddd"))&amp;"-"&amp;TEXT(A2042,"hh"),LoadTable[],5,FALSE)*0.92</f>
        <v>237.25788000000003</v>
      </c>
      <c r="U2042" s="104">
        <f>VLOOKUP(TEXT(A2042,"yy-mm")&amp;"-"&amp;IF(AND(WEEKDAY(A2042)&gt;1,WEEKDAY(A2042)&lt;7),"Wkd",TEXT(A2042,"Ddd"))&amp;"-"&amp;TEXT(A2042,"hh"),LoadTable[],6,FALSE)*T2042</f>
        <v>11938.104747960002</v>
      </c>
      <c r="V2042">
        <f t="shared" ref="V2042:W2042" si="2174">V2018</f>
        <v>3.6</v>
      </c>
      <c r="W2042">
        <f t="shared" si="2174"/>
        <v>3.1</v>
      </c>
      <c r="X2042" s="9">
        <v>-98.064529316668995</v>
      </c>
    </row>
    <row r="2043" spans="1:24">
      <c r="A2043" s="29">
        <f t="shared" si="2116"/>
        <v>45920.999999995052</v>
      </c>
      <c r="B2043" s="30">
        <f t="shared" si="2140"/>
        <v>5000</v>
      </c>
      <c r="C2043" s="8">
        <v>25000</v>
      </c>
      <c r="D2043" s="8">
        <v>0</v>
      </c>
      <c r="E2043" s="8">
        <v>700</v>
      </c>
      <c r="F2043" s="8">
        <v>15000</v>
      </c>
      <c r="G2043" s="30">
        <f t="shared" si="2141"/>
        <v>2400</v>
      </c>
      <c r="H2043" s="8">
        <v>25000</v>
      </c>
      <c r="I2043" s="30">
        <f t="shared" si="2142"/>
        <v>5000</v>
      </c>
      <c r="J2043" s="8">
        <v>25000</v>
      </c>
      <c r="K2043" s="30">
        <f t="shared" si="2143"/>
        <v>5000</v>
      </c>
      <c r="L2043" s="8">
        <v>25000</v>
      </c>
      <c r="M2043" s="9">
        <f>VLOOKUP(DATE(YEAR(A2043),MONTH(A2043),DAY(A2043)),FY24_Temp[],4,FALSE)</f>
        <v>8.5</v>
      </c>
      <c r="N2043" s="9">
        <f>VLOOKUP(DATE(YEAR(A2043),MONTH(A2043),DAY(A2043)),FY24_Temp[],3,FALSE)</f>
        <v>15.84</v>
      </c>
      <c r="O2043" s="9">
        <v>13.5</v>
      </c>
      <c r="P2043" s="9">
        <v>19.5</v>
      </c>
      <c r="Q2043" s="79">
        <f>VLOOKUP(VLOOKUP(DATEVALUE(TEXT(A2043,"m/d/yyyy")),FY24_Temp[],5,FALSE)&amp;TEXT(A2043,"-h"),Table6[],4,FALSE)</f>
        <v>2.2702856745038713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VLOOKUP(TEXT(A2043,"yy-mm")&amp;"-"&amp;IF(AND(WEEKDAY(A2043)&gt;1,WEEKDAY(A2043)&lt;7),"Wkd",TEXT(A2043,"Ddd"))&amp;"-"&amp;TEXT(A2043,"hh"),LoadTable[],5,FALSE)*0.92</f>
        <v>237.25788000000003</v>
      </c>
      <c r="U2043" s="104">
        <f>VLOOKUP(TEXT(A2043,"yy-mm")&amp;"-"&amp;IF(AND(WEEKDAY(A2043)&gt;1,WEEKDAY(A2043)&lt;7),"Wkd",TEXT(A2043,"Ddd"))&amp;"-"&amp;TEXT(A2043,"hh"),LoadTable[],6,FALSE)*T2043</f>
        <v>11671.426890840001</v>
      </c>
      <c r="V2043">
        <f t="shared" ref="V2043:W2043" si="2175">V2019</f>
        <v>3</v>
      </c>
      <c r="W2043">
        <f t="shared" si="2175"/>
        <v>3.2</v>
      </c>
      <c r="X2043" s="9">
        <v>-98.142323866669003</v>
      </c>
    </row>
    <row r="2044" spans="1:24">
      <c r="A2044" s="29">
        <f t="shared" si="2116"/>
        <v>45921.041666661717</v>
      </c>
      <c r="B2044" s="30">
        <f t="shared" si="2140"/>
        <v>5000</v>
      </c>
      <c r="C2044" s="8">
        <v>25000</v>
      </c>
      <c r="D2044" s="8">
        <v>0</v>
      </c>
      <c r="E2044" s="8">
        <v>700</v>
      </c>
      <c r="F2044" s="8">
        <v>15000</v>
      </c>
      <c r="G2044" s="30">
        <f t="shared" si="2141"/>
        <v>2400</v>
      </c>
      <c r="H2044" s="8">
        <v>25000</v>
      </c>
      <c r="I2044" s="30">
        <f t="shared" si="2142"/>
        <v>5000</v>
      </c>
      <c r="J2044" s="8">
        <v>25000</v>
      </c>
      <c r="K2044" s="30">
        <f t="shared" si="2143"/>
        <v>5000</v>
      </c>
      <c r="L2044" s="8">
        <v>25000</v>
      </c>
      <c r="M2044" s="9">
        <f>VLOOKUP(DATE(YEAR(A2044),MONTH(A2044),DAY(A2044)),FY24_Temp[],4,FALSE)</f>
        <v>8.5</v>
      </c>
      <c r="N2044" s="9">
        <f>VLOOKUP(DATE(YEAR(A2044),MONTH(A2044),DAY(A2044)),FY24_Temp[],3,FALSE)</f>
        <v>15.84</v>
      </c>
      <c r="O2044" s="9">
        <v>13.5</v>
      </c>
      <c r="P2044" s="9">
        <v>19.5</v>
      </c>
      <c r="Q2044" s="79">
        <f>VLOOKUP(VLOOKUP(DATEVALUE(TEXT(A2044,"m/d/yyyy")),FY24_Temp[],5,FALSE)&amp;TEXT(A2044,"-h"),Table6[],4,FALSE)</f>
        <v>2.2084285531725203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VLOOKUP(TEXT(A2044,"yy-mm")&amp;"-"&amp;IF(AND(WEEKDAY(A2044)&gt;1,WEEKDAY(A2044)&lt;7),"Wkd",TEXT(A2044,"Ddd"))&amp;"-"&amp;TEXT(A2044,"hh"),LoadTable[],5,FALSE)*0.92</f>
        <v>237.25788000000003</v>
      </c>
      <c r="U2044" s="104">
        <f>VLOOKUP(TEXT(A2044,"yy-mm")&amp;"-"&amp;IF(AND(WEEKDAY(A2044)&gt;1,WEEKDAY(A2044)&lt;7),"Wkd",TEXT(A2044,"Ddd"))&amp;"-"&amp;TEXT(A2044,"hh"),LoadTable[],6,FALSE)*T2044</f>
        <v>11718.878466840002</v>
      </c>
      <c r="V2044">
        <f t="shared" ref="V2044:W2044" si="2176">V2020</f>
        <v>2.6</v>
      </c>
      <c r="W2044">
        <f t="shared" si="2176"/>
        <v>3.2</v>
      </c>
      <c r="X2044" s="9">
        <v>-98.220118416668996</v>
      </c>
    </row>
    <row r="2045" spans="1:24">
      <c r="A2045" s="29">
        <f t="shared" si="2116"/>
        <v>45921.083333328381</v>
      </c>
      <c r="B2045" s="30">
        <f t="shared" si="2140"/>
        <v>5000</v>
      </c>
      <c r="C2045" s="8">
        <v>25000</v>
      </c>
      <c r="D2045" s="8">
        <v>0</v>
      </c>
      <c r="E2045" s="8">
        <v>700</v>
      </c>
      <c r="F2045" s="8">
        <v>15000</v>
      </c>
      <c r="G2045" s="30">
        <f t="shared" si="2141"/>
        <v>2400</v>
      </c>
      <c r="H2045" s="8">
        <v>25000</v>
      </c>
      <c r="I2045" s="30">
        <f t="shared" si="2142"/>
        <v>5000</v>
      </c>
      <c r="J2045" s="8">
        <v>25000</v>
      </c>
      <c r="K2045" s="30">
        <f t="shared" si="2143"/>
        <v>5000</v>
      </c>
      <c r="L2045" s="8">
        <v>25000</v>
      </c>
      <c r="M2045" s="9">
        <f>VLOOKUP(DATE(YEAR(A2045),MONTH(A2045),DAY(A2045)),FY24_Temp[],4,FALSE)</f>
        <v>8.5</v>
      </c>
      <c r="N2045" s="9">
        <f>VLOOKUP(DATE(YEAR(A2045),MONTH(A2045),DAY(A2045)),FY24_Temp[],3,FALSE)</f>
        <v>15.84</v>
      </c>
      <c r="O2045" s="9">
        <v>13.5</v>
      </c>
      <c r="P2045" s="9">
        <v>19.5</v>
      </c>
      <c r="Q2045" s="79">
        <f>VLOOKUP(VLOOKUP(DATEVALUE(TEXT(A2045,"m/d/yyyy")),FY24_Temp[],5,FALSE)&amp;TEXT(A2045,"-h"),Table6[],4,FALSE)</f>
        <v>2.083142876625061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VLOOKUP(TEXT(A2045,"yy-mm")&amp;"-"&amp;IF(AND(WEEKDAY(A2045)&gt;1,WEEKDAY(A2045)&lt;7),"Wkd",TEXT(A2045,"Ddd"))&amp;"-"&amp;TEXT(A2045,"hh"),LoadTable[],5,FALSE)*0.92</f>
        <v>237.25788000000003</v>
      </c>
      <c r="U2045" s="104">
        <f>VLOOKUP(TEXT(A2045,"yy-mm")&amp;"-"&amp;IF(AND(WEEKDAY(A2045)&gt;1,WEEKDAY(A2045)&lt;7),"Wkd",TEXT(A2045,"Ddd"))&amp;"-"&amp;TEXT(A2045,"hh"),LoadTable[],6,FALSE)*T2045</f>
        <v>11658.852223200001</v>
      </c>
      <c r="V2045">
        <f t="shared" ref="V2045:W2045" si="2177">V2021</f>
        <v>2.8</v>
      </c>
      <c r="W2045">
        <f t="shared" si="2177"/>
        <v>3.2</v>
      </c>
      <c r="X2045" s="9">
        <v>-98.297912966669003</v>
      </c>
    </row>
    <row r="2046" spans="1:24">
      <c r="A2046" s="29">
        <f t="shared" si="2116"/>
        <v>45921.124999995045</v>
      </c>
      <c r="B2046" s="30">
        <f t="shared" si="2140"/>
        <v>5000</v>
      </c>
      <c r="C2046" s="8">
        <v>25000</v>
      </c>
      <c r="D2046" s="8">
        <v>0</v>
      </c>
      <c r="E2046" s="8">
        <v>700</v>
      </c>
      <c r="F2046" s="8">
        <v>15000</v>
      </c>
      <c r="G2046" s="30">
        <f t="shared" si="2141"/>
        <v>2400</v>
      </c>
      <c r="H2046" s="8">
        <v>25000</v>
      </c>
      <c r="I2046" s="30">
        <f t="shared" si="2142"/>
        <v>5000</v>
      </c>
      <c r="J2046" s="8">
        <v>25000</v>
      </c>
      <c r="K2046" s="30">
        <f t="shared" si="2143"/>
        <v>5000</v>
      </c>
      <c r="L2046" s="8">
        <v>25000</v>
      </c>
      <c r="M2046" s="9">
        <f>VLOOKUP(DATE(YEAR(A2046),MONTH(A2046),DAY(A2046)),FY24_Temp[],4,FALSE)</f>
        <v>8.5</v>
      </c>
      <c r="N2046" s="9">
        <f>VLOOKUP(DATE(YEAR(A2046),MONTH(A2046),DAY(A2046)),FY24_Temp[],3,FALSE)</f>
        <v>15.84</v>
      </c>
      <c r="O2046" s="9">
        <v>13.5</v>
      </c>
      <c r="P2046" s="9">
        <v>19.5</v>
      </c>
      <c r="Q2046" s="79">
        <f>VLOOKUP(VLOOKUP(DATEVALUE(TEXT(A2046,"m/d/yyyy")),FY24_Temp[],5,FALSE)&amp;TEXT(A2046,"-h"),Table6[],4,FALSE)</f>
        <v>1.9411428485597884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VLOOKUP(TEXT(A2046,"yy-mm")&amp;"-"&amp;IF(AND(WEEKDAY(A2046)&gt;1,WEEKDAY(A2046)&lt;7),"Wkd",TEXT(A2046,"Ddd"))&amp;"-"&amp;TEXT(A2046,"hh"),LoadTable[],5,FALSE)*0.92</f>
        <v>237.25788000000003</v>
      </c>
      <c r="U2046" s="104">
        <f>VLOOKUP(TEXT(A2046,"yy-mm")&amp;"-"&amp;IF(AND(WEEKDAY(A2046)&gt;1,WEEKDAY(A2046)&lt;7),"Wkd",TEXT(A2046,"Ddd"))&amp;"-"&amp;TEXT(A2046,"hh"),LoadTable[],6,FALSE)*T2046</f>
        <v>11620.653704520002</v>
      </c>
      <c r="V2046">
        <f t="shared" ref="V2046:W2046" si="2178">V2022</f>
        <v>2.7</v>
      </c>
      <c r="W2046">
        <f t="shared" si="2178"/>
        <v>3.2</v>
      </c>
      <c r="X2046" s="9">
        <v>-98.375707516668996</v>
      </c>
    </row>
    <row r="2047" spans="1:24">
      <c r="A2047" s="29">
        <f t="shared" si="2116"/>
        <v>45921.166666661709</v>
      </c>
      <c r="B2047" s="30">
        <f t="shared" si="2140"/>
        <v>5000</v>
      </c>
      <c r="C2047" s="8">
        <v>25000</v>
      </c>
      <c r="D2047" s="8">
        <v>0</v>
      </c>
      <c r="E2047" s="8">
        <v>700</v>
      </c>
      <c r="F2047" s="8">
        <v>15000</v>
      </c>
      <c r="G2047" s="30">
        <f t="shared" si="2141"/>
        <v>2400</v>
      </c>
      <c r="H2047" s="8">
        <v>25000</v>
      </c>
      <c r="I2047" s="30">
        <f t="shared" si="2142"/>
        <v>5000</v>
      </c>
      <c r="J2047" s="8">
        <v>25000</v>
      </c>
      <c r="K2047" s="30">
        <f t="shared" si="2143"/>
        <v>5000</v>
      </c>
      <c r="L2047" s="8">
        <v>25000</v>
      </c>
      <c r="M2047" s="9">
        <f>VLOOKUP(DATE(YEAR(A2047),MONTH(A2047),DAY(A2047)),FY24_Temp[],4,FALSE)</f>
        <v>8.5</v>
      </c>
      <c r="N2047" s="9">
        <f>VLOOKUP(DATE(YEAR(A2047),MONTH(A2047),DAY(A2047)),FY24_Temp[],3,FALSE)</f>
        <v>15.84</v>
      </c>
      <c r="O2047" s="9">
        <v>13.5</v>
      </c>
      <c r="P2047" s="9">
        <v>19.5</v>
      </c>
      <c r="Q2047" s="79">
        <f>VLOOKUP(VLOOKUP(DATEVALUE(TEXT(A2047,"m/d/yyyy")),FY24_Temp[],5,FALSE)&amp;TEXT(A2047,"-h"),Table6[],4,FALSE)</f>
        <v>1.7910000085830688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VLOOKUP(TEXT(A2047,"yy-mm")&amp;"-"&amp;IF(AND(WEEKDAY(A2047)&gt;1,WEEKDAY(A2047)&lt;7),"Wkd",TEXT(A2047,"Ddd"))&amp;"-"&amp;TEXT(A2047,"hh"),LoadTable[],5,FALSE)*0.92</f>
        <v>237.25788000000003</v>
      </c>
      <c r="U2047" s="104">
        <f>VLOOKUP(TEXT(A2047,"yy-mm")&amp;"-"&amp;IF(AND(WEEKDAY(A2047)&gt;1,WEEKDAY(A2047)&lt;7),"Wkd",TEXT(A2047,"Ddd"))&amp;"-"&amp;TEXT(A2047,"hh"),LoadTable[],6,FALSE)*T2047</f>
        <v>11494.195254480001</v>
      </c>
      <c r="V2047">
        <f t="shared" ref="V2047:W2047" si="2179">V2023</f>
        <v>3</v>
      </c>
      <c r="W2047">
        <f t="shared" si="2179"/>
        <v>3.1</v>
      </c>
      <c r="X2047" s="9">
        <v>-98.453502066669003</v>
      </c>
    </row>
    <row r="2048" spans="1:24">
      <c r="A2048" s="29">
        <f t="shared" si="2116"/>
        <v>45921.208333328374</v>
      </c>
      <c r="B2048" s="30">
        <f t="shared" si="2140"/>
        <v>5000</v>
      </c>
      <c r="C2048" s="8">
        <v>25000</v>
      </c>
      <c r="D2048" s="8">
        <v>0</v>
      </c>
      <c r="E2048" s="8">
        <v>700</v>
      </c>
      <c r="F2048" s="8">
        <v>15000</v>
      </c>
      <c r="G2048" s="30">
        <f t="shared" si="2141"/>
        <v>2400</v>
      </c>
      <c r="H2048" s="8">
        <v>25000</v>
      </c>
      <c r="I2048" s="30">
        <f t="shared" si="2142"/>
        <v>5000</v>
      </c>
      <c r="J2048" s="8">
        <v>25000</v>
      </c>
      <c r="K2048" s="30">
        <f t="shared" si="2143"/>
        <v>5000</v>
      </c>
      <c r="L2048" s="8">
        <v>25000</v>
      </c>
      <c r="M2048" s="9">
        <f>VLOOKUP(DATE(YEAR(A2048),MONTH(A2048),DAY(A2048)),FY24_Temp[],4,FALSE)</f>
        <v>8.5</v>
      </c>
      <c r="N2048" s="9">
        <f>VLOOKUP(DATE(YEAR(A2048),MONTH(A2048),DAY(A2048)),FY24_Temp[],3,FALSE)</f>
        <v>15.84</v>
      </c>
      <c r="O2048" s="9">
        <v>13.5</v>
      </c>
      <c r="P2048" s="9">
        <v>19.5</v>
      </c>
      <c r="Q2048" s="79">
        <f>VLOOKUP(VLOOKUP(DATEVALUE(TEXT(A2048,"m/d/yyyy")),FY24_Temp[],5,FALSE)&amp;TEXT(A2048,"-h"),Table6[],4,FALSE)</f>
        <v>1.6772857052939278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VLOOKUP(TEXT(A2048,"yy-mm")&amp;"-"&amp;IF(AND(WEEKDAY(A2048)&gt;1,WEEKDAY(A2048)&lt;7),"Wkd",TEXT(A2048,"Ddd"))&amp;"-"&amp;TEXT(A2048,"hh"),LoadTable[],5,FALSE)*0.92</f>
        <v>237.25788000000003</v>
      </c>
      <c r="U2048" s="104">
        <f>VLOOKUP(TEXT(A2048,"yy-mm")&amp;"-"&amp;IF(AND(WEEKDAY(A2048)&gt;1,WEEKDAY(A2048)&lt;7),"Wkd",TEXT(A2048,"Ddd"))&amp;"-"&amp;TEXT(A2048,"hh"),LoadTable[],6,FALSE)*T2048</f>
        <v>11623.738056960001</v>
      </c>
      <c r="V2048">
        <f t="shared" ref="V2048:W2048" si="2180">V2024</f>
        <v>2.9</v>
      </c>
      <c r="W2048">
        <f t="shared" si="2180"/>
        <v>3.1</v>
      </c>
      <c r="X2048" s="9">
        <v>-98.531296616668996</v>
      </c>
    </row>
    <row r="2049" spans="1:24">
      <c r="A2049" s="29">
        <f t="shared" si="2116"/>
        <v>45921.249999995038</v>
      </c>
      <c r="B2049" s="30">
        <f t="shared" si="2140"/>
        <v>8000</v>
      </c>
      <c r="C2049" s="8">
        <v>25000</v>
      </c>
      <c r="D2049" s="8">
        <v>0</v>
      </c>
      <c r="E2049" s="8">
        <v>700</v>
      </c>
      <c r="F2049" s="8">
        <v>15000</v>
      </c>
      <c r="G2049" s="30">
        <f t="shared" si="2141"/>
        <v>2400</v>
      </c>
      <c r="H2049" s="8">
        <v>25000</v>
      </c>
      <c r="I2049" s="30">
        <f t="shared" si="2142"/>
        <v>8000</v>
      </c>
      <c r="J2049" s="8">
        <v>25000</v>
      </c>
      <c r="K2049" s="30">
        <f t="shared" si="2143"/>
        <v>8000</v>
      </c>
      <c r="L2049" s="8">
        <v>25000</v>
      </c>
      <c r="M2049" s="9">
        <f>VLOOKUP(DATE(YEAR(A2049),MONTH(A2049),DAY(A2049)),FY24_Temp[],4,FALSE)</f>
        <v>8.5</v>
      </c>
      <c r="N2049" s="9">
        <f>VLOOKUP(DATE(YEAR(A2049),MONTH(A2049),DAY(A2049)),FY24_Temp[],3,FALSE)</f>
        <v>15.84</v>
      </c>
      <c r="O2049" s="9">
        <v>13.5</v>
      </c>
      <c r="P2049" s="9">
        <v>19.5</v>
      </c>
      <c r="Q2049" s="79">
        <f>VLOOKUP(VLOOKUP(DATEVALUE(TEXT(A2049,"m/d/yyyy")),FY24_Temp[],5,FALSE)&amp;TEXT(A2049,"-h"),Table6[],4,FALSE)</f>
        <v>1.5761428390230452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VLOOKUP(TEXT(A2049,"yy-mm")&amp;"-"&amp;IF(AND(WEEKDAY(A2049)&gt;1,WEEKDAY(A2049)&lt;7),"Wkd",TEXT(A2049,"Ddd"))&amp;"-"&amp;TEXT(A2049,"hh"),LoadTable[],5,FALSE)*0.92</f>
        <v>237.25788000000003</v>
      </c>
      <c r="U2049" s="104">
        <f>VLOOKUP(TEXT(A2049,"yy-mm")&amp;"-"&amp;IF(AND(WEEKDAY(A2049)&gt;1,WEEKDAY(A2049)&lt;7),"Wkd",TEXT(A2049,"Ddd"))&amp;"-"&amp;TEXT(A2049,"hh"),LoadTable[],6,FALSE)*T2049</f>
        <v>18385.587636960005</v>
      </c>
      <c r="V2049">
        <f t="shared" ref="V2049:W2049" si="2181">V2025</f>
        <v>2.5</v>
      </c>
      <c r="W2049">
        <f t="shared" si="2181"/>
        <v>3.1</v>
      </c>
      <c r="X2049" s="9">
        <v>-98.609091166669003</v>
      </c>
    </row>
    <row r="2050" spans="1:24">
      <c r="A2050" s="29">
        <f t="shared" si="2116"/>
        <v>45921.291666661702</v>
      </c>
      <c r="B2050" s="30">
        <f t="shared" si="2140"/>
        <v>8000</v>
      </c>
      <c r="C2050" s="8">
        <v>25000</v>
      </c>
      <c r="D2050" s="8">
        <v>0</v>
      </c>
      <c r="E2050" s="8">
        <v>700</v>
      </c>
      <c r="F2050" s="8">
        <v>15000</v>
      </c>
      <c r="G2050" s="30">
        <f t="shared" si="2141"/>
        <v>2400</v>
      </c>
      <c r="H2050" s="8">
        <v>25000</v>
      </c>
      <c r="I2050" s="30">
        <f t="shared" si="2142"/>
        <v>8000</v>
      </c>
      <c r="J2050" s="8">
        <v>25000</v>
      </c>
      <c r="K2050" s="30">
        <f t="shared" si="2143"/>
        <v>8000</v>
      </c>
      <c r="L2050" s="8">
        <v>25000</v>
      </c>
      <c r="M2050" s="9">
        <f>VLOOKUP(DATE(YEAR(A2050),MONTH(A2050),DAY(A2050)),FY24_Temp[],4,FALSE)</f>
        <v>8.5</v>
      </c>
      <c r="N2050" s="9">
        <f>VLOOKUP(DATE(YEAR(A2050),MONTH(A2050),DAY(A2050)),FY24_Temp[],3,FALSE)</f>
        <v>15.84</v>
      </c>
      <c r="O2050" s="9">
        <v>13.5</v>
      </c>
      <c r="P2050" s="9">
        <v>19.5</v>
      </c>
      <c r="Q2050" s="79">
        <f>VLOOKUP(VLOOKUP(DATEVALUE(TEXT(A2050,"m/d/yyyy")),FY24_Temp[],5,FALSE)&amp;TEXT(A2050,"-h"),Table6[],4,FALSE)</f>
        <v>1.4162857021604265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VLOOKUP(TEXT(A2050,"yy-mm")&amp;"-"&amp;IF(AND(WEEKDAY(A2050)&gt;1,WEEKDAY(A2050)&lt;7),"Wkd",TEXT(A2050,"Ddd"))&amp;"-"&amp;TEXT(A2050,"hh"),LoadTable[],5,FALSE)*0.92</f>
        <v>237.25788000000003</v>
      </c>
      <c r="U2050" s="104">
        <f>VLOOKUP(TEXT(A2050,"yy-mm")&amp;"-"&amp;IF(AND(WEEKDAY(A2050)&gt;1,WEEKDAY(A2050)&lt;7),"Wkd",TEXT(A2050,"Ddd"))&amp;"-"&amp;TEXT(A2050,"hh"),LoadTable[],6,FALSE)*T2050</f>
        <v>14061.562773960002</v>
      </c>
      <c r="V2050">
        <f t="shared" ref="V2050:W2050" si="2182">V2026</f>
        <v>2.5</v>
      </c>
      <c r="W2050">
        <f t="shared" si="2182"/>
        <v>3.1</v>
      </c>
      <c r="X2050" s="9">
        <v>-98.686885716668996</v>
      </c>
    </row>
    <row r="2051" spans="1:24">
      <c r="A2051" s="29">
        <f t="shared" si="2116"/>
        <v>45921.333333328366</v>
      </c>
      <c r="B2051" s="30">
        <f t="shared" si="2140"/>
        <v>8000</v>
      </c>
      <c r="C2051" s="8">
        <v>25000</v>
      </c>
      <c r="D2051" s="8">
        <v>0</v>
      </c>
      <c r="E2051" s="8">
        <v>700</v>
      </c>
      <c r="F2051" s="8">
        <v>15000</v>
      </c>
      <c r="G2051" s="30">
        <f t="shared" si="2141"/>
        <v>2400</v>
      </c>
      <c r="H2051" s="8">
        <v>25000</v>
      </c>
      <c r="I2051" s="30">
        <f t="shared" si="2142"/>
        <v>8000</v>
      </c>
      <c r="J2051" s="8">
        <v>25000</v>
      </c>
      <c r="K2051" s="30">
        <f t="shared" si="2143"/>
        <v>8000</v>
      </c>
      <c r="L2051" s="8">
        <v>25000</v>
      </c>
      <c r="M2051" s="9">
        <f>VLOOKUP(DATE(YEAR(A2051),MONTH(A2051),DAY(A2051)),FY24_Temp[],4,FALSE)</f>
        <v>8.5</v>
      </c>
      <c r="N2051" s="9">
        <f>VLOOKUP(DATE(YEAR(A2051),MONTH(A2051),DAY(A2051)),FY24_Temp[],3,FALSE)</f>
        <v>15.84</v>
      </c>
      <c r="O2051" s="9">
        <v>13.5</v>
      </c>
      <c r="P2051" s="9">
        <v>19.5</v>
      </c>
      <c r="Q2051" s="79">
        <f>VLOOKUP(VLOOKUP(DATEVALUE(TEXT(A2051,"m/d/yyyy")),FY24_Temp[],5,FALSE)&amp;TEXT(A2051,"-h"),Table6[],4,FALSE)</f>
        <v>1.3535714490073067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VLOOKUP(TEXT(A2051,"yy-mm")&amp;"-"&amp;IF(AND(WEEKDAY(A2051)&gt;1,WEEKDAY(A2051)&lt;7),"Wkd",TEXT(A2051,"Ddd"))&amp;"-"&amp;TEXT(A2051,"hh"),LoadTable[],5,FALSE)*0.92</f>
        <v>237.25788000000003</v>
      </c>
      <c r="U2051" s="104">
        <f>VLOOKUP(TEXT(A2051,"yy-mm")&amp;"-"&amp;IF(AND(WEEKDAY(A2051)&gt;1,WEEKDAY(A2051)&lt;7),"Wkd",TEXT(A2051,"Ddd"))&amp;"-"&amp;TEXT(A2051,"hh"),LoadTable[],6,FALSE)*T2051</f>
        <v>12063.61416648</v>
      </c>
      <c r="V2051">
        <f t="shared" ref="V2051:W2051" si="2183">V2027</f>
        <v>3.2</v>
      </c>
      <c r="W2051">
        <f t="shared" si="2183"/>
        <v>3</v>
      </c>
      <c r="X2051" s="9">
        <v>-98.764680266669004</v>
      </c>
    </row>
    <row r="2052" spans="1:24">
      <c r="A2052" s="29">
        <f t="shared" si="2116"/>
        <v>45921.374999995031</v>
      </c>
      <c r="B2052" s="30">
        <f t="shared" si="2140"/>
        <v>8000</v>
      </c>
      <c r="C2052" s="8">
        <v>25000</v>
      </c>
      <c r="D2052" s="8">
        <v>0</v>
      </c>
      <c r="E2052" s="8">
        <v>700</v>
      </c>
      <c r="F2052" s="8">
        <v>15000</v>
      </c>
      <c r="G2052" s="30">
        <f t="shared" si="2141"/>
        <v>2400</v>
      </c>
      <c r="H2052" s="8">
        <v>25000</v>
      </c>
      <c r="I2052" s="30">
        <f t="shared" si="2142"/>
        <v>8000</v>
      </c>
      <c r="J2052" s="8">
        <v>25000</v>
      </c>
      <c r="K2052" s="30">
        <f t="shared" si="2143"/>
        <v>8000</v>
      </c>
      <c r="L2052" s="8">
        <v>25000</v>
      </c>
      <c r="M2052" s="9">
        <f>VLOOKUP(DATE(YEAR(A2052),MONTH(A2052),DAY(A2052)),FY24_Temp[],4,FALSE)</f>
        <v>8.5</v>
      </c>
      <c r="N2052" s="9">
        <f>VLOOKUP(DATE(YEAR(A2052),MONTH(A2052),DAY(A2052)),FY24_Temp[],3,FALSE)</f>
        <v>15.84</v>
      </c>
      <c r="O2052" s="9">
        <v>13.5</v>
      </c>
      <c r="P2052" s="9">
        <v>19.5</v>
      </c>
      <c r="Q2052" s="79">
        <f>VLOOKUP(VLOOKUP(DATEVALUE(TEXT(A2052,"m/d/yyyy")),FY24_Temp[],5,FALSE)&amp;TEXT(A2052,"-h"),Table6[],4,FALSE)</f>
        <v>1.21599999495915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VLOOKUP(TEXT(A2052,"yy-mm")&amp;"-"&amp;IF(AND(WEEKDAY(A2052)&gt;1,WEEKDAY(A2052)&lt;7),"Wkd",TEXT(A2052,"Ddd"))&amp;"-"&amp;TEXT(A2052,"hh"),LoadTable[],5,FALSE)*0.92</f>
        <v>237.25788000000003</v>
      </c>
      <c r="U2052" s="104">
        <f>VLOOKUP(TEXT(A2052,"yy-mm")&amp;"-"&amp;IF(AND(WEEKDAY(A2052)&gt;1,WEEKDAY(A2052)&lt;7),"Wkd",TEXT(A2052,"Ddd"))&amp;"-"&amp;TEXT(A2052,"hh"),LoadTable[],6,FALSE)*T2052</f>
        <v>10984.80258612</v>
      </c>
      <c r="V2052">
        <f t="shared" ref="V2052:W2052" si="2184">V2028</f>
        <v>2.9</v>
      </c>
      <c r="W2052">
        <f t="shared" si="2184"/>
        <v>3</v>
      </c>
      <c r="X2052" s="9">
        <v>-98.842474816668997</v>
      </c>
    </row>
    <row r="2053" spans="1:24">
      <c r="A2053" s="29">
        <f t="shared" ref="A2053:A2116" si="2185">A2052+TIME(1,0,0)</f>
        <v>45921.416666661695</v>
      </c>
      <c r="B2053" s="30">
        <f t="shared" si="2140"/>
        <v>8000</v>
      </c>
      <c r="C2053" s="8">
        <v>25000</v>
      </c>
      <c r="D2053" s="8">
        <v>0</v>
      </c>
      <c r="E2053" s="8">
        <v>700</v>
      </c>
      <c r="F2053" s="8">
        <v>15000</v>
      </c>
      <c r="G2053" s="30">
        <f t="shared" si="2141"/>
        <v>2400</v>
      </c>
      <c r="H2053" s="8">
        <v>25000</v>
      </c>
      <c r="I2053" s="30">
        <f t="shared" si="2142"/>
        <v>8000</v>
      </c>
      <c r="J2053" s="8">
        <v>25000</v>
      </c>
      <c r="K2053" s="30">
        <f t="shared" si="2143"/>
        <v>8000</v>
      </c>
      <c r="L2053" s="8">
        <v>25000</v>
      </c>
      <c r="M2053" s="9">
        <f>VLOOKUP(DATE(YEAR(A2053),MONTH(A2053),DAY(A2053)),FY24_Temp[],4,FALSE)</f>
        <v>8.5</v>
      </c>
      <c r="N2053" s="9">
        <f>VLOOKUP(DATE(YEAR(A2053),MONTH(A2053),DAY(A2053)),FY24_Temp[],3,FALSE)</f>
        <v>15.84</v>
      </c>
      <c r="O2053" s="9">
        <v>13.5</v>
      </c>
      <c r="P2053" s="9">
        <v>19.5</v>
      </c>
      <c r="Q2053" s="79">
        <f>VLOOKUP(VLOOKUP(DATEVALUE(TEXT(A2053,"m/d/yyyy")),FY24_Temp[],5,FALSE)&amp;TEXT(A2053,"-h"),Table6[],4,FALSE)</f>
        <v>1.082714285169329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VLOOKUP(TEXT(A2053,"yy-mm")&amp;"-"&amp;IF(AND(WEEKDAY(A2053)&gt;1,WEEKDAY(A2053)&lt;7),"Wkd",TEXT(A2053,"Ddd"))&amp;"-"&amp;TEXT(A2053,"hh"),LoadTable[],5,FALSE)*0.92</f>
        <v>237.25788000000003</v>
      </c>
      <c r="U2053" s="104">
        <f>VLOOKUP(TEXT(A2053,"yy-mm")&amp;"-"&amp;IF(AND(WEEKDAY(A2053)&gt;1,WEEKDAY(A2053)&lt;7),"Wkd",TEXT(A2053,"Ddd"))&amp;"-"&amp;TEXT(A2053,"hh"),LoadTable[],6,FALSE)*T2053</f>
        <v>10967.245503000002</v>
      </c>
      <c r="V2053">
        <f t="shared" ref="V2053:W2053" si="2186">V2029</f>
        <v>2.9</v>
      </c>
      <c r="W2053">
        <f t="shared" si="2186"/>
        <v>3</v>
      </c>
      <c r="X2053" s="9">
        <v>-98.920269366669004</v>
      </c>
    </row>
    <row r="2054" spans="1:24">
      <c r="A2054" s="29">
        <f t="shared" si="2185"/>
        <v>45921.458333328359</v>
      </c>
      <c r="B2054" s="30">
        <f t="shared" si="2140"/>
        <v>8000</v>
      </c>
      <c r="C2054" s="8">
        <v>25000</v>
      </c>
      <c r="D2054" s="8">
        <v>0</v>
      </c>
      <c r="E2054" s="8">
        <v>700</v>
      </c>
      <c r="F2054" s="8">
        <v>15000</v>
      </c>
      <c r="G2054" s="30">
        <f t="shared" si="2141"/>
        <v>2400</v>
      </c>
      <c r="H2054" s="8">
        <v>25000</v>
      </c>
      <c r="I2054" s="30">
        <f t="shared" si="2142"/>
        <v>8000</v>
      </c>
      <c r="J2054" s="8">
        <v>25000</v>
      </c>
      <c r="K2054" s="30">
        <f t="shared" si="2143"/>
        <v>8000</v>
      </c>
      <c r="L2054" s="8">
        <v>25000</v>
      </c>
      <c r="M2054" s="9">
        <f>VLOOKUP(DATE(YEAR(A2054),MONTH(A2054),DAY(A2054)),FY24_Temp[],4,FALSE)</f>
        <v>8.5</v>
      </c>
      <c r="N2054" s="9">
        <f>VLOOKUP(DATE(YEAR(A2054),MONTH(A2054),DAY(A2054)),FY24_Temp[],3,FALSE)</f>
        <v>15.84</v>
      </c>
      <c r="O2054" s="9">
        <v>13.5</v>
      </c>
      <c r="P2054" s="9">
        <v>19.5</v>
      </c>
      <c r="Q2054" s="79">
        <f>VLOOKUP(VLOOKUP(DATEVALUE(TEXT(A2054,"m/d/yyyy")),FY24_Temp[],5,FALSE)&amp;TEXT(A2054,"-h"),Table6[],4,FALSE)</f>
        <v>0.97514285360063824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VLOOKUP(TEXT(A2054,"yy-mm")&amp;"-"&amp;IF(AND(WEEKDAY(A2054)&gt;1,WEEKDAY(A2054)&lt;7),"Wkd",TEXT(A2054,"Ddd"))&amp;"-"&amp;TEXT(A2054,"hh"),LoadTable[],5,FALSE)*0.92</f>
        <v>237.25788000000003</v>
      </c>
      <c r="U2054" s="104">
        <f>VLOOKUP(TEXT(A2054,"yy-mm")&amp;"-"&amp;IF(AND(WEEKDAY(A2054)&gt;1,WEEKDAY(A2054)&lt;7),"Wkd",TEXT(A2054,"Ddd"))&amp;"-"&amp;TEXT(A2054,"hh"),LoadTable[],6,FALSE)*T2054</f>
        <v>10967.720018760001</v>
      </c>
      <c r="V2054">
        <f t="shared" ref="V2054:W2054" si="2187">V2030</f>
        <v>3.4</v>
      </c>
      <c r="W2054">
        <f t="shared" si="2187"/>
        <v>3</v>
      </c>
      <c r="X2054" s="9">
        <v>-98.998063916668997</v>
      </c>
    </row>
    <row r="2055" spans="1:24">
      <c r="A2055" s="29">
        <f t="shared" si="2185"/>
        <v>45921.499999995023</v>
      </c>
      <c r="B2055" s="30">
        <f t="shared" si="2140"/>
        <v>8000</v>
      </c>
      <c r="C2055" s="8">
        <v>25000</v>
      </c>
      <c r="D2055" s="8">
        <v>0</v>
      </c>
      <c r="E2055" s="8">
        <v>700</v>
      </c>
      <c r="F2055" s="8">
        <v>15000</v>
      </c>
      <c r="G2055" s="30">
        <f t="shared" si="2141"/>
        <v>2400</v>
      </c>
      <c r="H2055" s="8">
        <v>25000</v>
      </c>
      <c r="I2055" s="30">
        <f t="shared" si="2142"/>
        <v>8000</v>
      </c>
      <c r="J2055" s="8">
        <v>25000</v>
      </c>
      <c r="K2055" s="30">
        <f t="shared" si="2143"/>
        <v>8000</v>
      </c>
      <c r="L2055" s="8">
        <v>25000</v>
      </c>
      <c r="M2055" s="9">
        <f>VLOOKUP(DATE(YEAR(A2055),MONTH(A2055),DAY(A2055)),FY24_Temp[],4,FALSE)</f>
        <v>8.5</v>
      </c>
      <c r="N2055" s="9">
        <f>VLOOKUP(DATE(YEAR(A2055),MONTH(A2055),DAY(A2055)),FY24_Temp[],3,FALSE)</f>
        <v>15.84</v>
      </c>
      <c r="O2055" s="9">
        <v>13.5</v>
      </c>
      <c r="P2055" s="9">
        <v>19.5</v>
      </c>
      <c r="Q2055" s="79">
        <f>VLOOKUP(VLOOKUP(DATEVALUE(TEXT(A2055,"m/d/yyyy")),FY24_Temp[],5,FALSE)&amp;TEXT(A2055,"-h"),Table6[],4,FALSE)</f>
        <v>0.82942857061113628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VLOOKUP(TEXT(A2055,"yy-mm")&amp;"-"&amp;IF(AND(WEEKDAY(A2055)&gt;1,WEEKDAY(A2055)&lt;7),"Wkd",TEXT(A2055,"Ddd"))&amp;"-"&amp;TEXT(A2055,"hh"),LoadTable[],5,FALSE)*0.92</f>
        <v>237.25788000000003</v>
      </c>
      <c r="U2055" s="104">
        <f>VLOOKUP(TEXT(A2055,"yy-mm")&amp;"-"&amp;IF(AND(WEEKDAY(A2055)&gt;1,WEEKDAY(A2055)&lt;7),"Wkd",TEXT(A2055,"Ddd"))&amp;"-"&amp;TEXT(A2055,"hh"),LoadTable[],6,FALSE)*T2055</f>
        <v>10974.600497280002</v>
      </c>
      <c r="V2055">
        <f t="shared" ref="V2055:W2055" si="2188">V2031</f>
        <v>3.1</v>
      </c>
      <c r="W2055">
        <f t="shared" si="2188"/>
        <v>2.9</v>
      </c>
      <c r="X2055" s="9">
        <v>-99.075858466669104</v>
      </c>
    </row>
    <row r="2056" spans="1:24">
      <c r="A2056" s="29">
        <f t="shared" si="2185"/>
        <v>45921.541666661687</v>
      </c>
      <c r="B2056" s="30">
        <f t="shared" si="2140"/>
        <v>8000</v>
      </c>
      <c r="C2056" s="8">
        <v>25000</v>
      </c>
      <c r="D2056" s="8">
        <v>0</v>
      </c>
      <c r="E2056" s="8">
        <v>700</v>
      </c>
      <c r="F2056" s="8">
        <v>15000</v>
      </c>
      <c r="G2056" s="30">
        <f t="shared" si="2141"/>
        <v>2400</v>
      </c>
      <c r="H2056" s="8">
        <v>25000</v>
      </c>
      <c r="I2056" s="30">
        <f t="shared" si="2142"/>
        <v>8000</v>
      </c>
      <c r="J2056" s="8">
        <v>25000</v>
      </c>
      <c r="K2056" s="30">
        <f t="shared" si="2143"/>
        <v>8000</v>
      </c>
      <c r="L2056" s="8">
        <v>25000</v>
      </c>
      <c r="M2056" s="9">
        <f>VLOOKUP(DATE(YEAR(A2056),MONTH(A2056),DAY(A2056)),FY24_Temp[],4,FALSE)</f>
        <v>8.5</v>
      </c>
      <c r="N2056" s="9">
        <f>VLOOKUP(DATE(YEAR(A2056),MONTH(A2056),DAY(A2056)),FY24_Temp[],3,FALSE)</f>
        <v>15.84</v>
      </c>
      <c r="O2056" s="9">
        <v>13.5</v>
      </c>
      <c r="P2056" s="9">
        <v>19.5</v>
      </c>
      <c r="Q2056" s="79">
        <f>VLOOKUP(VLOOKUP(DATEVALUE(TEXT(A2056,"m/d/yyyy")),FY24_Temp[],5,FALSE)&amp;TEXT(A2056,"-h"),Table6[],4,FALSE)</f>
        <v>0.69342857599258423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VLOOKUP(TEXT(A2056,"yy-mm")&amp;"-"&amp;IF(AND(WEEKDAY(A2056)&gt;1,WEEKDAY(A2056)&lt;7),"Wkd",TEXT(A2056,"Ddd"))&amp;"-"&amp;TEXT(A2056,"hh"),LoadTable[],5,FALSE)*0.92</f>
        <v>237.25788000000003</v>
      </c>
      <c r="U2056" s="104">
        <f>VLOOKUP(TEXT(A2056,"yy-mm")&amp;"-"&amp;IF(AND(WEEKDAY(A2056)&gt;1,WEEKDAY(A2056)&lt;7),"Wkd",TEXT(A2056,"Ddd"))&amp;"-"&amp;TEXT(A2056,"hh"),LoadTable[],6,FALSE)*T2056</f>
        <v>10989.785001600001</v>
      </c>
      <c r="V2056">
        <f t="shared" ref="V2056:W2056" si="2189">V2032</f>
        <v>3.2</v>
      </c>
      <c r="W2056">
        <f t="shared" si="2189"/>
        <v>2.9</v>
      </c>
      <c r="X2056" s="9">
        <v>-99.153653016669097</v>
      </c>
    </row>
    <row r="2057" spans="1:24">
      <c r="A2057" s="29">
        <f t="shared" si="2185"/>
        <v>45921.583333328352</v>
      </c>
      <c r="B2057" s="30">
        <f t="shared" si="2140"/>
        <v>8000</v>
      </c>
      <c r="C2057" s="8">
        <v>25000</v>
      </c>
      <c r="D2057" s="8">
        <v>0</v>
      </c>
      <c r="E2057" s="8">
        <v>700</v>
      </c>
      <c r="F2057" s="8">
        <v>15000</v>
      </c>
      <c r="G2057" s="30">
        <f t="shared" si="2141"/>
        <v>2400</v>
      </c>
      <c r="H2057" s="8">
        <v>25000</v>
      </c>
      <c r="I2057" s="30">
        <f t="shared" si="2142"/>
        <v>8000</v>
      </c>
      <c r="J2057" s="8">
        <v>25000</v>
      </c>
      <c r="K2057" s="30">
        <f t="shared" si="2143"/>
        <v>8000</v>
      </c>
      <c r="L2057" s="8">
        <v>25000</v>
      </c>
      <c r="M2057" s="9">
        <f>VLOOKUP(DATE(YEAR(A2057),MONTH(A2057),DAY(A2057)),FY24_Temp[],4,FALSE)</f>
        <v>8.5</v>
      </c>
      <c r="N2057" s="9">
        <f>VLOOKUP(DATE(YEAR(A2057),MONTH(A2057),DAY(A2057)),FY24_Temp[],3,FALSE)</f>
        <v>15.84</v>
      </c>
      <c r="O2057" s="9">
        <v>13.5</v>
      </c>
      <c r="P2057" s="9">
        <v>19.5</v>
      </c>
      <c r="Q2057" s="79">
        <f>VLOOKUP(VLOOKUP(DATEVALUE(TEXT(A2057,"m/d/yyyy")),FY24_Temp[],5,FALSE)&amp;TEXT(A2057,"-h"),Table6[],4,FALSE)</f>
        <v>0.57800000480243141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VLOOKUP(TEXT(A2057,"yy-mm")&amp;"-"&amp;IF(AND(WEEKDAY(A2057)&gt;1,WEEKDAY(A2057)&lt;7),"Wkd",TEXT(A2057,"Ddd"))&amp;"-"&amp;TEXT(A2057,"hh"),LoadTable[],5,FALSE)*0.92</f>
        <v>237.25788000000003</v>
      </c>
      <c r="U2057" s="104">
        <f>VLOOKUP(TEXT(A2057,"yy-mm")&amp;"-"&amp;IF(AND(WEEKDAY(A2057)&gt;1,WEEKDAY(A2057)&lt;7),"Wkd",TEXT(A2057,"Ddd"))&amp;"-"&amp;TEXT(A2057,"hh"),LoadTable[],6,FALSE)*T2057</f>
        <v>11586.014054040001</v>
      </c>
      <c r="V2057">
        <f t="shared" ref="V2057:W2057" si="2190">V2033</f>
        <v>3.5</v>
      </c>
      <c r="W2057">
        <f t="shared" si="2190"/>
        <v>2.9</v>
      </c>
      <c r="X2057" s="9">
        <v>-99.231447566669104</v>
      </c>
    </row>
    <row r="2058" spans="1:24">
      <c r="A2058" s="29">
        <f t="shared" si="2185"/>
        <v>45921.624999995016</v>
      </c>
      <c r="B2058" s="30">
        <f t="shared" si="2140"/>
        <v>8000</v>
      </c>
      <c r="C2058" s="8">
        <v>25000</v>
      </c>
      <c r="D2058" s="8">
        <v>0</v>
      </c>
      <c r="E2058" s="8">
        <v>700</v>
      </c>
      <c r="F2058" s="8">
        <v>15000</v>
      </c>
      <c r="G2058" s="30">
        <f t="shared" si="2141"/>
        <v>2400</v>
      </c>
      <c r="H2058" s="8">
        <v>25000</v>
      </c>
      <c r="I2058" s="30">
        <f t="shared" si="2142"/>
        <v>8000</v>
      </c>
      <c r="J2058" s="8">
        <v>25000</v>
      </c>
      <c r="K2058" s="30">
        <f t="shared" si="2143"/>
        <v>8000</v>
      </c>
      <c r="L2058" s="8">
        <v>25000</v>
      </c>
      <c r="M2058" s="9">
        <f>VLOOKUP(DATE(YEAR(A2058),MONTH(A2058),DAY(A2058)),FY24_Temp[],4,FALSE)</f>
        <v>8.5</v>
      </c>
      <c r="N2058" s="9">
        <f>VLOOKUP(DATE(YEAR(A2058),MONTH(A2058),DAY(A2058)),FY24_Temp[],3,FALSE)</f>
        <v>15.84</v>
      </c>
      <c r="O2058" s="9">
        <v>13.5</v>
      </c>
      <c r="P2058" s="9">
        <v>19.5</v>
      </c>
      <c r="Q2058" s="79">
        <f>VLOOKUP(VLOOKUP(DATEVALUE(TEXT(A2058,"m/d/yyyy")),FY24_Temp[],5,FALSE)&amp;TEXT(A2058,"-h"),Table6[],4,FALSE)</f>
        <v>0.56385713389941627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VLOOKUP(TEXT(A2058,"yy-mm")&amp;"-"&amp;IF(AND(WEEKDAY(A2058)&gt;1,WEEKDAY(A2058)&lt;7),"Wkd",TEXT(A2058,"Ddd"))&amp;"-"&amp;TEXT(A2058,"hh"),LoadTable[],5,FALSE)*0.92</f>
        <v>355.88728000000003</v>
      </c>
      <c r="U2058" s="104">
        <f>VLOOKUP(TEXT(A2058,"yy-mm")&amp;"-"&amp;IF(AND(WEEKDAY(A2058)&gt;1,WEEKDAY(A2058)&lt;7),"Wkd",TEXT(A2058,"Ddd"))&amp;"-"&amp;TEXT(A2058,"hh"),LoadTable[],6,FALSE)*T2058</f>
        <v>19252.078298880002</v>
      </c>
      <c r="V2058">
        <f t="shared" ref="V2058:W2058" si="2191">V2034</f>
        <v>3.2</v>
      </c>
      <c r="W2058">
        <f t="shared" si="2191"/>
        <v>2.9</v>
      </c>
      <c r="X2058" s="9">
        <v>-99.309242116669097</v>
      </c>
    </row>
    <row r="2059" spans="1:24">
      <c r="A2059" s="29">
        <f t="shared" si="2185"/>
        <v>45921.66666666168</v>
      </c>
      <c r="B2059" s="30">
        <f t="shared" si="2140"/>
        <v>8000</v>
      </c>
      <c r="C2059" s="8">
        <v>25000</v>
      </c>
      <c r="D2059" s="8">
        <v>0</v>
      </c>
      <c r="E2059" s="8">
        <v>700</v>
      </c>
      <c r="F2059" s="8">
        <v>15000</v>
      </c>
      <c r="G2059" s="30">
        <f t="shared" si="2141"/>
        <v>2400</v>
      </c>
      <c r="H2059" s="8">
        <v>25000</v>
      </c>
      <c r="I2059" s="30">
        <f t="shared" si="2142"/>
        <v>8000</v>
      </c>
      <c r="J2059" s="8">
        <v>25000</v>
      </c>
      <c r="K2059" s="30">
        <f t="shared" si="2143"/>
        <v>8000</v>
      </c>
      <c r="L2059" s="8">
        <v>25000</v>
      </c>
      <c r="M2059" s="9">
        <f>VLOOKUP(DATE(YEAR(A2059),MONTH(A2059),DAY(A2059)),FY24_Temp[],4,FALSE)</f>
        <v>8.5</v>
      </c>
      <c r="N2059" s="9">
        <f>VLOOKUP(DATE(YEAR(A2059),MONTH(A2059),DAY(A2059)),FY24_Temp[],3,FALSE)</f>
        <v>15.84</v>
      </c>
      <c r="O2059" s="9">
        <v>13.5</v>
      </c>
      <c r="P2059" s="9">
        <v>19.5</v>
      </c>
      <c r="Q2059" s="79">
        <f>VLOOKUP(VLOOKUP(DATEVALUE(TEXT(A2059,"m/d/yyyy")),FY24_Temp[],5,FALSE)&amp;TEXT(A2059,"-h"),Table6[],4,FALSE)</f>
        <v>0.83414285523550846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VLOOKUP(TEXT(A2059,"yy-mm")&amp;"-"&amp;IF(AND(WEEKDAY(A2059)&gt;1,WEEKDAY(A2059)&lt;7),"Wkd",TEXT(A2059,"Ddd"))&amp;"-"&amp;TEXT(A2059,"hh"),LoadTable[],5,FALSE)*0.92</f>
        <v>388.38076000000001</v>
      </c>
      <c r="U2059" s="104">
        <f>VLOOKUP(TEXT(A2059,"yy-mm")&amp;"-"&amp;IF(AND(WEEKDAY(A2059)&gt;1,WEEKDAY(A2059)&lt;7),"Wkd",TEXT(A2059,"Ddd"))&amp;"-"&amp;TEXT(A2059,"hh"),LoadTable[],6,FALSE)*T2059</f>
        <v>27712.520749039999</v>
      </c>
      <c r="V2059">
        <f t="shared" ref="V2059:W2059" si="2192">V2035</f>
        <v>3.5</v>
      </c>
      <c r="W2059">
        <f t="shared" si="2192"/>
        <v>3</v>
      </c>
      <c r="X2059" s="9">
        <v>-99.387036666669104</v>
      </c>
    </row>
    <row r="2060" spans="1:24">
      <c r="A2060" s="29">
        <f t="shared" si="2185"/>
        <v>45921.708333328344</v>
      </c>
      <c r="B2060" s="30">
        <f t="shared" si="2140"/>
        <v>8000</v>
      </c>
      <c r="C2060" s="8">
        <v>25000</v>
      </c>
      <c r="D2060" s="8">
        <v>0</v>
      </c>
      <c r="E2060" s="8">
        <v>700</v>
      </c>
      <c r="F2060" s="8">
        <v>15000</v>
      </c>
      <c r="G2060" s="30">
        <f t="shared" si="2141"/>
        <v>2400</v>
      </c>
      <c r="H2060" s="8">
        <v>25000</v>
      </c>
      <c r="I2060" s="30">
        <f t="shared" si="2142"/>
        <v>8000</v>
      </c>
      <c r="J2060" s="8">
        <v>25000</v>
      </c>
      <c r="K2060" s="30">
        <f t="shared" si="2143"/>
        <v>8000</v>
      </c>
      <c r="L2060" s="8">
        <v>25000</v>
      </c>
      <c r="M2060" s="9">
        <f>VLOOKUP(DATE(YEAR(A2060),MONTH(A2060),DAY(A2060)),FY24_Temp[],4,FALSE)</f>
        <v>8.5</v>
      </c>
      <c r="N2060" s="9">
        <f>VLOOKUP(DATE(YEAR(A2060),MONTH(A2060),DAY(A2060)),FY24_Temp[],3,FALSE)</f>
        <v>15.84</v>
      </c>
      <c r="O2060" s="9">
        <v>13.5</v>
      </c>
      <c r="P2060" s="9">
        <v>19.5</v>
      </c>
      <c r="Q2060" s="79">
        <f>VLOOKUP(VLOOKUP(DATEVALUE(TEXT(A2060,"m/d/yyyy")),FY24_Temp[],5,FALSE)&amp;TEXT(A2060,"-h"),Table6[],4,FALSE)</f>
        <v>1.2335714272090368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VLOOKUP(TEXT(A2060,"yy-mm")&amp;"-"&amp;IF(AND(WEEKDAY(A2060)&gt;1,WEEKDAY(A2060)&lt;7),"Wkd",TEXT(A2060,"Ddd"))&amp;"-"&amp;TEXT(A2060,"hh"),LoadTable[],5,FALSE)*0.92</f>
        <v>388.38076000000001</v>
      </c>
      <c r="U2060" s="104">
        <f>VLOOKUP(TEXT(A2060,"yy-mm")&amp;"-"&amp;IF(AND(WEEKDAY(A2060)&gt;1,WEEKDAY(A2060)&lt;7),"Wkd",TEXT(A2060,"Ddd"))&amp;"-"&amp;TEXT(A2060,"hh"),LoadTable[],6,FALSE)*T2060</f>
        <v>36453.806514360003</v>
      </c>
      <c r="V2060">
        <f t="shared" ref="V2060:W2060" si="2193">V2036</f>
        <v>3.6</v>
      </c>
      <c r="W2060">
        <f t="shared" si="2193"/>
        <v>3</v>
      </c>
      <c r="X2060" s="9">
        <v>-99.464831216669097</v>
      </c>
    </row>
    <row r="2061" spans="1:24">
      <c r="A2061" s="29">
        <f t="shared" si="2185"/>
        <v>45921.749999995009</v>
      </c>
      <c r="B2061" s="30">
        <f t="shared" si="2140"/>
        <v>5000</v>
      </c>
      <c r="C2061" s="8">
        <v>25000</v>
      </c>
      <c r="D2061" s="8">
        <v>0</v>
      </c>
      <c r="E2061" s="8">
        <v>700</v>
      </c>
      <c r="F2061" s="8">
        <v>15000</v>
      </c>
      <c r="G2061" s="30">
        <f t="shared" si="2141"/>
        <v>2400</v>
      </c>
      <c r="H2061" s="8">
        <v>25000</v>
      </c>
      <c r="I2061" s="30">
        <f t="shared" si="2142"/>
        <v>5000</v>
      </c>
      <c r="J2061" s="8">
        <v>25000</v>
      </c>
      <c r="K2061" s="30">
        <f t="shared" si="2143"/>
        <v>5000</v>
      </c>
      <c r="L2061" s="8">
        <v>25000</v>
      </c>
      <c r="M2061" s="9">
        <f>VLOOKUP(DATE(YEAR(A2061),MONTH(A2061),DAY(A2061)),FY24_Temp[],4,FALSE)</f>
        <v>8.5</v>
      </c>
      <c r="N2061" s="9">
        <f>VLOOKUP(DATE(YEAR(A2061),MONTH(A2061),DAY(A2061)),FY24_Temp[],3,FALSE)</f>
        <v>15.84</v>
      </c>
      <c r="O2061" s="9">
        <v>13.5</v>
      </c>
      <c r="P2061" s="9">
        <v>19.5</v>
      </c>
      <c r="Q2061" s="79">
        <f>VLOOKUP(VLOOKUP(DATEVALUE(TEXT(A2061,"m/d/yyyy")),FY24_Temp[],5,FALSE)&amp;TEXT(A2061,"-h"),Table6[],4,FALSE)</f>
        <v>1.6985714265278407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VLOOKUP(TEXT(A2061,"yy-mm")&amp;"-"&amp;IF(AND(WEEKDAY(A2061)&gt;1,WEEKDAY(A2061)&lt;7),"Wkd",TEXT(A2061,"Ddd"))&amp;"-"&amp;TEXT(A2061,"hh"),LoadTable[],5,FALSE)*0.92</f>
        <v>388.38076000000001</v>
      </c>
      <c r="U2061" s="104">
        <f>VLOOKUP(TEXT(A2061,"yy-mm")&amp;"-"&amp;IF(AND(WEEKDAY(A2061)&gt;1,WEEKDAY(A2061)&lt;7),"Wkd",TEXT(A2061,"Ddd"))&amp;"-"&amp;TEXT(A2061,"hh"),LoadTable[],6,FALSE)*T2061</f>
        <v>43429.124963959999</v>
      </c>
      <c r="V2061">
        <f t="shared" ref="V2061:W2061" si="2194">V2037</f>
        <v>2.9</v>
      </c>
      <c r="W2061">
        <f t="shared" si="2194"/>
        <v>3</v>
      </c>
      <c r="X2061" s="9">
        <v>-99.542625766669104</v>
      </c>
    </row>
    <row r="2062" spans="1:24">
      <c r="A2062" s="29">
        <f t="shared" si="2185"/>
        <v>45921.791666661673</v>
      </c>
      <c r="B2062" s="30">
        <f t="shared" si="2140"/>
        <v>5000</v>
      </c>
      <c r="C2062" s="8">
        <v>25000</v>
      </c>
      <c r="D2062" s="8">
        <v>0</v>
      </c>
      <c r="E2062" s="8">
        <v>700</v>
      </c>
      <c r="F2062" s="8">
        <v>15000</v>
      </c>
      <c r="G2062" s="30">
        <f t="shared" si="2141"/>
        <v>2400</v>
      </c>
      <c r="H2062" s="8">
        <v>25000</v>
      </c>
      <c r="I2062" s="30">
        <f t="shared" si="2142"/>
        <v>5000</v>
      </c>
      <c r="J2062" s="8">
        <v>25000</v>
      </c>
      <c r="K2062" s="30">
        <f t="shared" si="2143"/>
        <v>5000</v>
      </c>
      <c r="L2062" s="8">
        <v>25000</v>
      </c>
      <c r="M2062" s="9">
        <f>VLOOKUP(DATE(YEAR(A2062),MONTH(A2062),DAY(A2062)),FY24_Temp[],4,FALSE)</f>
        <v>8.5</v>
      </c>
      <c r="N2062" s="9">
        <f>VLOOKUP(DATE(YEAR(A2062),MONTH(A2062),DAY(A2062)),FY24_Temp[],3,FALSE)</f>
        <v>15.84</v>
      </c>
      <c r="O2062" s="9">
        <v>13.5</v>
      </c>
      <c r="P2062" s="9">
        <v>19.5</v>
      </c>
      <c r="Q2062" s="79">
        <f>VLOOKUP(VLOOKUP(DATEVALUE(TEXT(A2062,"m/d/yyyy")),FY24_Temp[],5,FALSE)&amp;TEXT(A2062,"-h"),Table6[],4,FALSE)</f>
        <v>2.0531428711754933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VLOOKUP(TEXT(A2062,"yy-mm")&amp;"-"&amp;IF(AND(WEEKDAY(A2062)&gt;1,WEEKDAY(A2062)&lt;7),"Wkd",TEXT(A2062,"Ddd"))&amp;"-"&amp;TEXT(A2062,"hh"),LoadTable[],5,FALSE)*0.92</f>
        <v>388.38076000000001</v>
      </c>
      <c r="U2062" s="104">
        <f>VLOOKUP(TEXT(A2062,"yy-mm")&amp;"-"&amp;IF(AND(WEEKDAY(A2062)&gt;1,WEEKDAY(A2062)&lt;7),"Wkd",TEXT(A2062,"Ddd"))&amp;"-"&amp;TEXT(A2062,"hh"),LoadTable[],6,FALSE)*T2062</f>
        <v>45035.856168079998</v>
      </c>
      <c r="V2062">
        <f t="shared" ref="V2062:W2062" si="2195">V2038</f>
        <v>3</v>
      </c>
      <c r="W2062">
        <f t="shared" si="2195"/>
        <v>3</v>
      </c>
      <c r="X2062" s="9">
        <v>-99.620420316669097</v>
      </c>
    </row>
    <row r="2063" spans="1:24">
      <c r="A2063" s="29">
        <f t="shared" si="2185"/>
        <v>45921.833333328337</v>
      </c>
      <c r="B2063" s="30">
        <f t="shared" si="2140"/>
        <v>5000</v>
      </c>
      <c r="C2063" s="8">
        <v>25000</v>
      </c>
      <c r="D2063" s="8">
        <v>0</v>
      </c>
      <c r="E2063" s="8">
        <v>700</v>
      </c>
      <c r="F2063" s="8">
        <v>15000</v>
      </c>
      <c r="G2063" s="30">
        <f t="shared" si="2141"/>
        <v>2400</v>
      </c>
      <c r="H2063" s="8">
        <v>25000</v>
      </c>
      <c r="I2063" s="30">
        <f t="shared" si="2142"/>
        <v>5000</v>
      </c>
      <c r="J2063" s="8">
        <v>25000</v>
      </c>
      <c r="K2063" s="30">
        <f t="shared" si="2143"/>
        <v>5000</v>
      </c>
      <c r="L2063" s="8">
        <v>25000</v>
      </c>
      <c r="M2063" s="9">
        <f>VLOOKUP(DATE(YEAR(A2063),MONTH(A2063),DAY(A2063)),FY24_Temp[],4,FALSE)</f>
        <v>8.5</v>
      </c>
      <c r="N2063" s="9">
        <f>VLOOKUP(DATE(YEAR(A2063),MONTH(A2063),DAY(A2063)),FY24_Temp[],3,FALSE)</f>
        <v>15.84</v>
      </c>
      <c r="O2063" s="9">
        <v>13.5</v>
      </c>
      <c r="P2063" s="9">
        <v>19.5</v>
      </c>
      <c r="Q2063" s="79">
        <f>VLOOKUP(VLOOKUP(DATEVALUE(TEXT(A2063,"m/d/yyyy")),FY24_Temp[],5,FALSE)&amp;TEXT(A2063,"-h"),Table6[],4,FALSE)</f>
        <v>2.2329999378749301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VLOOKUP(TEXT(A2063,"yy-mm")&amp;"-"&amp;IF(AND(WEEKDAY(A2063)&gt;1,WEEKDAY(A2063)&lt;7),"Wkd",TEXT(A2063,"Ddd"))&amp;"-"&amp;TEXT(A2063,"hh"),LoadTable[],5,FALSE)*0.92</f>
        <v>351.00484</v>
      </c>
      <c r="U2063" s="104">
        <f>VLOOKUP(TEXT(A2063,"yy-mm")&amp;"-"&amp;IF(AND(WEEKDAY(A2063)&gt;1,WEEKDAY(A2063)&lt;7),"Wkd",TEXT(A2063,"Ddd"))&amp;"-"&amp;TEXT(A2063,"hh"),LoadTable[],6,FALSE)*T2063</f>
        <v>38711.270789080001</v>
      </c>
      <c r="V2063">
        <f t="shared" ref="V2063:W2063" si="2196">V2039</f>
        <v>2.8</v>
      </c>
      <c r="W2063">
        <f t="shared" si="2196"/>
        <v>3.1</v>
      </c>
      <c r="X2063" s="9">
        <v>-99.698214866669105</v>
      </c>
    </row>
    <row r="2064" spans="1:24">
      <c r="A2064" s="29">
        <f t="shared" si="2185"/>
        <v>45921.874999995001</v>
      </c>
      <c r="B2064" s="30">
        <f t="shared" si="2140"/>
        <v>5000</v>
      </c>
      <c r="C2064" s="8">
        <v>25000</v>
      </c>
      <c r="D2064" s="8">
        <v>0</v>
      </c>
      <c r="E2064" s="8">
        <v>700</v>
      </c>
      <c r="F2064" s="8">
        <v>15000</v>
      </c>
      <c r="G2064" s="30">
        <f t="shared" si="2141"/>
        <v>2400</v>
      </c>
      <c r="H2064" s="8">
        <v>25000</v>
      </c>
      <c r="I2064" s="30">
        <f t="shared" si="2142"/>
        <v>5000</v>
      </c>
      <c r="J2064" s="8">
        <v>25000</v>
      </c>
      <c r="K2064" s="30">
        <f t="shared" si="2143"/>
        <v>5000</v>
      </c>
      <c r="L2064" s="8">
        <v>25000</v>
      </c>
      <c r="M2064" s="9">
        <f>VLOOKUP(DATE(YEAR(A2064),MONTH(A2064),DAY(A2064)),FY24_Temp[],4,FALSE)</f>
        <v>8.5</v>
      </c>
      <c r="N2064" s="9">
        <f>VLOOKUP(DATE(YEAR(A2064),MONTH(A2064),DAY(A2064)),FY24_Temp[],3,FALSE)</f>
        <v>15.84</v>
      </c>
      <c r="O2064" s="9">
        <v>13.5</v>
      </c>
      <c r="P2064" s="9">
        <v>19.5</v>
      </c>
      <c r="Q2064" s="79">
        <f>VLOOKUP(VLOOKUP(DATEVALUE(TEXT(A2064,"m/d/yyyy")),FY24_Temp[],5,FALSE)&amp;TEXT(A2064,"-h"),Table6[],4,FALSE)</f>
        <v>2.2924285616193498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VLOOKUP(TEXT(A2064,"yy-mm")&amp;"-"&amp;IF(AND(WEEKDAY(A2064)&gt;1,WEEKDAY(A2064)&lt;7),"Wkd",TEXT(A2064,"Ddd"))&amp;"-"&amp;TEXT(A2064,"hh"),LoadTable[],5,FALSE)*0.92</f>
        <v>299.95864</v>
      </c>
      <c r="U2064" s="104">
        <f>VLOOKUP(TEXT(A2064,"yy-mm")&amp;"-"&amp;IF(AND(WEEKDAY(A2064)&gt;1,WEEKDAY(A2064)&lt;7),"Wkd",TEXT(A2064,"Ddd"))&amp;"-"&amp;TEXT(A2064,"hh"),LoadTable[],6,FALSE)*T2064</f>
        <v>27922.849838959999</v>
      </c>
      <c r="V2064">
        <f t="shared" ref="V2064:W2064" si="2197">V2040</f>
        <v>3.5</v>
      </c>
      <c r="W2064">
        <f t="shared" si="2197"/>
        <v>3.1</v>
      </c>
      <c r="X2064" s="9">
        <v>-99.776009416669098</v>
      </c>
    </row>
    <row r="2065" spans="1:24">
      <c r="A2065" s="29">
        <f t="shared" si="2185"/>
        <v>45921.916666661666</v>
      </c>
      <c r="B2065" s="30">
        <f t="shared" si="2140"/>
        <v>5000</v>
      </c>
      <c r="C2065" s="8">
        <v>25000</v>
      </c>
      <c r="D2065" s="8">
        <v>0</v>
      </c>
      <c r="E2065" s="8">
        <v>700</v>
      </c>
      <c r="F2065" s="8">
        <v>15000</v>
      </c>
      <c r="G2065" s="30">
        <f t="shared" si="2141"/>
        <v>2400</v>
      </c>
      <c r="H2065" s="8">
        <v>25000</v>
      </c>
      <c r="I2065" s="30">
        <f t="shared" si="2142"/>
        <v>5000</v>
      </c>
      <c r="J2065" s="8">
        <v>25000</v>
      </c>
      <c r="K2065" s="30">
        <f t="shared" si="2143"/>
        <v>5000</v>
      </c>
      <c r="L2065" s="8">
        <v>25000</v>
      </c>
      <c r="M2065" s="9">
        <f>VLOOKUP(DATE(YEAR(A2065),MONTH(A2065),DAY(A2065)),FY24_Temp[],4,FALSE)</f>
        <v>8.5</v>
      </c>
      <c r="N2065" s="9">
        <f>VLOOKUP(DATE(YEAR(A2065),MONTH(A2065),DAY(A2065)),FY24_Temp[],3,FALSE)</f>
        <v>15.84</v>
      </c>
      <c r="O2065" s="9">
        <v>13.5</v>
      </c>
      <c r="P2065" s="9">
        <v>19.5</v>
      </c>
      <c r="Q2065" s="79">
        <f>VLOOKUP(VLOOKUP(DATEVALUE(TEXT(A2065,"m/d/yyyy")),FY24_Temp[],5,FALSE)&amp;TEXT(A2065,"-h"),Table6[],4,FALSE)</f>
        <v>2.2601428713117326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VLOOKUP(TEXT(A2065,"yy-mm")&amp;"-"&amp;IF(AND(WEEKDAY(A2065)&gt;1,WEEKDAY(A2065)&lt;7),"Wkd",TEXT(A2065,"Ddd"))&amp;"-"&amp;TEXT(A2065,"hh"),LoadTable[],5,FALSE)*0.92</f>
        <v>237.25788000000003</v>
      </c>
      <c r="U2065" s="104">
        <f>VLOOKUP(TEXT(A2065,"yy-mm")&amp;"-"&amp;IF(AND(WEEKDAY(A2065)&gt;1,WEEKDAY(A2065)&lt;7),"Wkd",TEXT(A2065,"Ddd"))&amp;"-"&amp;TEXT(A2065,"hh"),LoadTable[],6,FALSE)*T2065</f>
        <v>13362.838317360001</v>
      </c>
      <c r="V2065">
        <f t="shared" ref="V2065:W2065" si="2198">V2041</f>
        <v>2.9</v>
      </c>
      <c r="W2065">
        <f t="shared" si="2198"/>
        <v>3.1</v>
      </c>
      <c r="X2065" s="9">
        <v>-99.853803966669105</v>
      </c>
    </row>
    <row r="2066" spans="1:24">
      <c r="A2066" s="29">
        <f t="shared" si="2185"/>
        <v>45921.95833332833</v>
      </c>
      <c r="B2066" s="30">
        <f t="shared" si="2140"/>
        <v>5000</v>
      </c>
      <c r="C2066" s="8">
        <v>25000</v>
      </c>
      <c r="D2066" s="8">
        <v>0</v>
      </c>
      <c r="E2066" s="8">
        <v>700</v>
      </c>
      <c r="F2066" s="8">
        <v>15000</v>
      </c>
      <c r="G2066" s="30">
        <f t="shared" si="2141"/>
        <v>2400</v>
      </c>
      <c r="H2066" s="8">
        <v>25000</v>
      </c>
      <c r="I2066" s="30">
        <f t="shared" si="2142"/>
        <v>5000</v>
      </c>
      <c r="J2066" s="8">
        <v>25000</v>
      </c>
      <c r="K2066" s="30">
        <f t="shared" si="2143"/>
        <v>5000</v>
      </c>
      <c r="L2066" s="8">
        <v>25000</v>
      </c>
      <c r="M2066" s="9">
        <f>VLOOKUP(DATE(YEAR(A2066),MONTH(A2066),DAY(A2066)),FY24_Temp[],4,FALSE)</f>
        <v>8.5</v>
      </c>
      <c r="N2066" s="9">
        <f>VLOOKUP(DATE(YEAR(A2066),MONTH(A2066),DAY(A2066)),FY24_Temp[],3,FALSE)</f>
        <v>15.84</v>
      </c>
      <c r="O2066" s="9">
        <v>13.5</v>
      </c>
      <c r="P2066" s="9">
        <v>19.5</v>
      </c>
      <c r="Q2066" s="79">
        <f>VLOOKUP(VLOOKUP(DATEVALUE(TEXT(A2066,"m/d/yyyy")),FY24_Temp[],5,FALSE)&amp;TEXT(A2066,"-h"),Table6[],4,FALSE)</f>
        <v>2.2548570973532542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VLOOKUP(TEXT(A2066,"yy-mm")&amp;"-"&amp;IF(AND(WEEKDAY(A2066)&gt;1,WEEKDAY(A2066)&lt;7),"Wkd",TEXT(A2066,"Ddd"))&amp;"-"&amp;TEXT(A2066,"hh"),LoadTable[],5,FALSE)*0.92</f>
        <v>237.25788000000003</v>
      </c>
      <c r="U2066" s="104">
        <f>VLOOKUP(TEXT(A2066,"yy-mm")&amp;"-"&amp;IF(AND(WEEKDAY(A2066)&gt;1,WEEKDAY(A2066)&lt;7),"Wkd",TEXT(A2066,"Ddd"))&amp;"-"&amp;TEXT(A2066,"hh"),LoadTable[],6,FALSE)*T2066</f>
        <v>13015.255523160002</v>
      </c>
      <c r="V2066">
        <f t="shared" ref="V2066:W2066" si="2199">V2042</f>
        <v>3.6</v>
      </c>
      <c r="W2066">
        <f t="shared" si="2199"/>
        <v>3.1</v>
      </c>
      <c r="X2066" s="9">
        <v>-99.931598516669098</v>
      </c>
    </row>
    <row r="2067" spans="1:24">
      <c r="A2067" s="29">
        <f t="shared" si="2185"/>
        <v>45921.999999994994</v>
      </c>
      <c r="B2067" s="30">
        <f t="shared" si="2140"/>
        <v>5000</v>
      </c>
      <c r="C2067" s="8">
        <v>25000</v>
      </c>
      <c r="D2067" s="8">
        <v>0</v>
      </c>
      <c r="E2067" s="8">
        <v>700</v>
      </c>
      <c r="F2067" s="8">
        <v>15000</v>
      </c>
      <c r="G2067" s="30">
        <f t="shared" si="2141"/>
        <v>2400</v>
      </c>
      <c r="H2067" s="8">
        <v>25000</v>
      </c>
      <c r="I2067" s="30">
        <f t="shared" si="2142"/>
        <v>5000</v>
      </c>
      <c r="J2067" s="8">
        <v>25000</v>
      </c>
      <c r="K2067" s="30">
        <f t="shared" si="2143"/>
        <v>5000</v>
      </c>
      <c r="L2067" s="8">
        <v>25000</v>
      </c>
      <c r="M2067" s="9">
        <f>VLOOKUP(DATE(YEAR(A2067),MONTH(A2067),DAY(A2067)),FY24_Temp[],4,FALSE)</f>
        <v>8.5</v>
      </c>
      <c r="N2067" s="9">
        <f>VLOOKUP(DATE(YEAR(A2067),MONTH(A2067),DAY(A2067)),FY24_Temp[],3,FALSE)</f>
        <v>15.84</v>
      </c>
      <c r="O2067" s="9">
        <v>13.5</v>
      </c>
      <c r="P2067" s="9">
        <v>19.5</v>
      </c>
      <c r="Q2067" s="79">
        <f>VLOOKUP(VLOOKUP(DATEVALUE(TEXT(A2067,"m/d/yyyy")),FY24_Temp[],5,FALSE)&amp;TEXT(A2067,"-h"),Table6[],4,FALSE)</f>
        <v>2.2702856745038713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VLOOKUP(TEXT(A2067,"yy-mm")&amp;"-"&amp;IF(AND(WEEKDAY(A2067)&gt;1,WEEKDAY(A2067)&lt;7),"Wkd",TEXT(A2067,"Ddd"))&amp;"-"&amp;TEXT(A2067,"hh"),LoadTable[],5,FALSE)*0.92</f>
        <v>237.25788000000003</v>
      </c>
      <c r="U2067" s="104">
        <f>VLOOKUP(TEXT(A2067,"yy-mm")&amp;"-"&amp;IF(AND(WEEKDAY(A2067)&gt;1,WEEKDAY(A2067)&lt;7),"Wkd",TEXT(A2067,"Ddd"))&amp;"-"&amp;TEXT(A2067,"hh"),LoadTable[],6,FALSE)*T2067</f>
        <v>12215.696467560001</v>
      </c>
      <c r="V2067">
        <f t="shared" ref="V2067:W2067" si="2200">V2043</f>
        <v>3</v>
      </c>
      <c r="W2067">
        <f t="shared" si="2200"/>
        <v>3.2</v>
      </c>
      <c r="X2067" s="9">
        <v>-100.00939306666901</v>
      </c>
    </row>
    <row r="2068" spans="1:24">
      <c r="A2068" s="29">
        <f t="shared" si="2185"/>
        <v>45922.041666661658</v>
      </c>
      <c r="B2068" s="30">
        <f t="shared" si="2140"/>
        <v>5000</v>
      </c>
      <c r="C2068" s="8">
        <v>25000</v>
      </c>
      <c r="D2068" s="8">
        <v>0</v>
      </c>
      <c r="E2068" s="8">
        <v>700</v>
      </c>
      <c r="F2068" s="8">
        <v>15000</v>
      </c>
      <c r="G2068" s="30">
        <f t="shared" si="2141"/>
        <v>2400</v>
      </c>
      <c r="H2068" s="8">
        <v>25000</v>
      </c>
      <c r="I2068" s="30">
        <f t="shared" si="2142"/>
        <v>5000</v>
      </c>
      <c r="J2068" s="8">
        <v>25000</v>
      </c>
      <c r="K2068" s="30">
        <f t="shared" si="2143"/>
        <v>5000</v>
      </c>
      <c r="L2068" s="8">
        <v>25000</v>
      </c>
      <c r="M2068" s="9">
        <f>VLOOKUP(DATE(YEAR(A2068),MONTH(A2068),DAY(A2068)),FY24_Temp[],4,FALSE)</f>
        <v>8.5</v>
      </c>
      <c r="N2068" s="9">
        <f>VLOOKUP(DATE(YEAR(A2068),MONTH(A2068),DAY(A2068)),FY24_Temp[],3,FALSE)</f>
        <v>15.84</v>
      </c>
      <c r="O2068" s="9">
        <v>13.5</v>
      </c>
      <c r="P2068" s="9">
        <v>19.5</v>
      </c>
      <c r="Q2068" s="79">
        <f>VLOOKUP(VLOOKUP(DATEVALUE(TEXT(A2068,"m/d/yyyy")),FY24_Temp[],5,FALSE)&amp;TEXT(A2068,"-h"),Table6[],4,FALSE)</f>
        <v>2.2084285531725203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VLOOKUP(TEXT(A2068,"yy-mm")&amp;"-"&amp;IF(AND(WEEKDAY(A2068)&gt;1,WEEKDAY(A2068)&lt;7),"Wkd",TEXT(A2068,"Ddd"))&amp;"-"&amp;TEXT(A2068,"hh"),LoadTable[],5,FALSE)*0.92</f>
        <v>237.25788000000003</v>
      </c>
      <c r="U2068" s="104">
        <f>VLOOKUP(TEXT(A2068,"yy-mm")&amp;"-"&amp;IF(AND(WEEKDAY(A2068)&gt;1,WEEKDAY(A2068)&lt;7),"Wkd",TEXT(A2068,"Ddd"))&amp;"-"&amp;TEXT(A2068,"hh"),LoadTable[],6,FALSE)*T2068</f>
        <v>11905.12590264</v>
      </c>
      <c r="V2068">
        <f t="shared" ref="V2068:W2068" si="2201">V2044</f>
        <v>2.6</v>
      </c>
      <c r="W2068">
        <f t="shared" si="2201"/>
        <v>3.2</v>
      </c>
      <c r="X2068" s="9">
        <v>-100.087187616669</v>
      </c>
    </row>
    <row r="2069" spans="1:24">
      <c r="A2069" s="29">
        <f t="shared" si="2185"/>
        <v>45922.083333328323</v>
      </c>
      <c r="B2069" s="30">
        <f t="shared" si="2140"/>
        <v>5000</v>
      </c>
      <c r="C2069" s="8">
        <v>25000</v>
      </c>
      <c r="D2069" s="8">
        <v>0</v>
      </c>
      <c r="E2069" s="8">
        <v>700</v>
      </c>
      <c r="F2069" s="8">
        <v>15000</v>
      </c>
      <c r="G2069" s="30">
        <f t="shared" si="2141"/>
        <v>2400</v>
      </c>
      <c r="H2069" s="8">
        <v>25000</v>
      </c>
      <c r="I2069" s="30">
        <f t="shared" si="2142"/>
        <v>5000</v>
      </c>
      <c r="J2069" s="8">
        <v>25000</v>
      </c>
      <c r="K2069" s="30">
        <f t="shared" si="2143"/>
        <v>5000</v>
      </c>
      <c r="L2069" s="8">
        <v>25000</v>
      </c>
      <c r="M2069" s="9">
        <f>VLOOKUP(DATE(YEAR(A2069),MONTH(A2069),DAY(A2069)),FY24_Temp[],4,FALSE)</f>
        <v>8.5</v>
      </c>
      <c r="N2069" s="9">
        <f>VLOOKUP(DATE(YEAR(A2069),MONTH(A2069),DAY(A2069)),FY24_Temp[],3,FALSE)</f>
        <v>15.84</v>
      </c>
      <c r="O2069" s="9">
        <v>13.5</v>
      </c>
      <c r="P2069" s="9">
        <v>19.5</v>
      </c>
      <c r="Q2069" s="79">
        <f>VLOOKUP(VLOOKUP(DATEVALUE(TEXT(A2069,"m/d/yyyy")),FY24_Temp[],5,FALSE)&amp;TEXT(A2069,"-h"),Table6[],4,FALSE)</f>
        <v>2.083142876625061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VLOOKUP(TEXT(A2069,"yy-mm")&amp;"-"&amp;IF(AND(WEEKDAY(A2069)&gt;1,WEEKDAY(A2069)&lt;7),"Wkd",TEXT(A2069,"Ddd"))&amp;"-"&amp;TEXT(A2069,"hh"),LoadTable[],5,FALSE)*0.92</f>
        <v>237.25788000000003</v>
      </c>
      <c r="U2069" s="104">
        <f>VLOOKUP(TEXT(A2069,"yy-mm")&amp;"-"&amp;IF(AND(WEEKDAY(A2069)&gt;1,WEEKDAY(A2069)&lt;7),"Wkd",TEXT(A2069,"Ddd"))&amp;"-"&amp;TEXT(A2069,"hh"),LoadTable[],6,FALSE)*T2069</f>
        <v>11856.013521480001</v>
      </c>
      <c r="V2069">
        <f t="shared" ref="V2069:W2069" si="2202">V2045</f>
        <v>2.8</v>
      </c>
      <c r="W2069">
        <f t="shared" si="2202"/>
        <v>3.2</v>
      </c>
      <c r="X2069" s="9">
        <v>-100.16498216666901</v>
      </c>
    </row>
    <row r="2070" spans="1:24">
      <c r="A2070" s="29">
        <f t="shared" si="2185"/>
        <v>45922.124999994987</v>
      </c>
      <c r="B2070" s="30">
        <f t="shared" si="2140"/>
        <v>5000</v>
      </c>
      <c r="C2070" s="8">
        <v>25000</v>
      </c>
      <c r="D2070" s="8">
        <v>0</v>
      </c>
      <c r="E2070" s="8">
        <v>700</v>
      </c>
      <c r="F2070" s="8">
        <v>15000</v>
      </c>
      <c r="G2070" s="30">
        <f t="shared" si="2141"/>
        <v>2400</v>
      </c>
      <c r="H2070" s="8">
        <v>25000</v>
      </c>
      <c r="I2070" s="30">
        <f t="shared" si="2142"/>
        <v>5000</v>
      </c>
      <c r="J2070" s="8">
        <v>25000</v>
      </c>
      <c r="K2070" s="30">
        <f t="shared" si="2143"/>
        <v>5000</v>
      </c>
      <c r="L2070" s="8">
        <v>25000</v>
      </c>
      <c r="M2070" s="9">
        <f>VLOOKUP(DATE(YEAR(A2070),MONTH(A2070),DAY(A2070)),FY24_Temp[],4,FALSE)</f>
        <v>8.5</v>
      </c>
      <c r="N2070" s="9">
        <f>VLOOKUP(DATE(YEAR(A2070),MONTH(A2070),DAY(A2070)),FY24_Temp[],3,FALSE)</f>
        <v>15.84</v>
      </c>
      <c r="O2070" s="9">
        <v>13.5</v>
      </c>
      <c r="P2070" s="9">
        <v>19.5</v>
      </c>
      <c r="Q2070" s="79">
        <f>VLOOKUP(VLOOKUP(DATEVALUE(TEXT(A2070,"m/d/yyyy")),FY24_Temp[],5,FALSE)&amp;TEXT(A2070,"-h"),Table6[],4,FALSE)</f>
        <v>1.9411428485597884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VLOOKUP(TEXT(A2070,"yy-mm")&amp;"-"&amp;IF(AND(WEEKDAY(A2070)&gt;1,WEEKDAY(A2070)&lt;7),"Wkd",TEXT(A2070,"Ddd"))&amp;"-"&amp;TEXT(A2070,"hh"),LoadTable[],5,FALSE)*0.92</f>
        <v>237.25788000000003</v>
      </c>
      <c r="U2070" s="104">
        <f>VLOOKUP(TEXT(A2070,"yy-mm")&amp;"-"&amp;IF(AND(WEEKDAY(A2070)&gt;1,WEEKDAY(A2070)&lt;7),"Wkd",TEXT(A2070,"Ddd"))&amp;"-"&amp;TEXT(A2070,"hh"),LoadTable[],6,FALSE)*T2070</f>
        <v>11893.025750760002</v>
      </c>
      <c r="V2070">
        <f t="shared" ref="V2070:W2070" si="2203">V2046</f>
        <v>2.7</v>
      </c>
      <c r="W2070">
        <f t="shared" si="2203"/>
        <v>3.2</v>
      </c>
      <c r="X2070" s="9">
        <v>-100.242776716669</v>
      </c>
    </row>
    <row r="2071" spans="1:24">
      <c r="A2071" s="29">
        <f t="shared" si="2185"/>
        <v>45922.166666661651</v>
      </c>
      <c r="B2071" s="30">
        <f t="shared" si="2140"/>
        <v>5000</v>
      </c>
      <c r="C2071" s="8">
        <v>25000</v>
      </c>
      <c r="D2071" s="8">
        <v>0</v>
      </c>
      <c r="E2071" s="8">
        <v>700</v>
      </c>
      <c r="F2071" s="8">
        <v>15000</v>
      </c>
      <c r="G2071" s="30">
        <f t="shared" si="2141"/>
        <v>2400</v>
      </c>
      <c r="H2071" s="8">
        <v>25000</v>
      </c>
      <c r="I2071" s="30">
        <f t="shared" si="2142"/>
        <v>5000</v>
      </c>
      <c r="J2071" s="8">
        <v>25000</v>
      </c>
      <c r="K2071" s="30">
        <f t="shared" si="2143"/>
        <v>5000</v>
      </c>
      <c r="L2071" s="8">
        <v>25000</v>
      </c>
      <c r="M2071" s="9">
        <f>VLOOKUP(DATE(YEAR(A2071),MONTH(A2071),DAY(A2071)),FY24_Temp[],4,FALSE)</f>
        <v>8.5</v>
      </c>
      <c r="N2071" s="9">
        <f>VLOOKUP(DATE(YEAR(A2071),MONTH(A2071),DAY(A2071)),FY24_Temp[],3,FALSE)</f>
        <v>15.84</v>
      </c>
      <c r="O2071" s="9">
        <v>13.5</v>
      </c>
      <c r="P2071" s="9">
        <v>19.5</v>
      </c>
      <c r="Q2071" s="79">
        <f>VLOOKUP(VLOOKUP(DATEVALUE(TEXT(A2071,"m/d/yyyy")),FY24_Temp[],5,FALSE)&amp;TEXT(A2071,"-h"),Table6[],4,FALSE)</f>
        <v>1.7910000085830688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VLOOKUP(TEXT(A2071,"yy-mm")&amp;"-"&amp;IF(AND(WEEKDAY(A2071)&gt;1,WEEKDAY(A2071)&lt;7),"Wkd",TEXT(A2071,"Ddd"))&amp;"-"&amp;TEXT(A2071,"hh"),LoadTable[],5,FALSE)*0.92</f>
        <v>237.25788000000003</v>
      </c>
      <c r="U2071" s="104">
        <f>VLOOKUP(TEXT(A2071,"yy-mm")&amp;"-"&amp;IF(AND(WEEKDAY(A2071)&gt;1,WEEKDAY(A2071)&lt;7),"Wkd",TEXT(A2071,"Ddd"))&amp;"-"&amp;TEXT(A2071,"hh"),LoadTable[],6,FALSE)*T2071</f>
        <v>12081.645765360001</v>
      </c>
      <c r="V2071">
        <f t="shared" ref="V2071:W2071" si="2204">V2047</f>
        <v>3</v>
      </c>
      <c r="W2071">
        <f t="shared" si="2204"/>
        <v>3.1</v>
      </c>
      <c r="X2071" s="9">
        <v>-100.32057126666901</v>
      </c>
    </row>
    <row r="2072" spans="1:24">
      <c r="A2072" s="29">
        <f t="shared" si="2185"/>
        <v>45922.208333328315</v>
      </c>
      <c r="B2072" s="30">
        <f t="shared" si="2140"/>
        <v>5000</v>
      </c>
      <c r="C2072" s="8">
        <v>25000</v>
      </c>
      <c r="D2072" s="8">
        <v>0</v>
      </c>
      <c r="E2072" s="8">
        <v>700</v>
      </c>
      <c r="F2072" s="8">
        <v>15000</v>
      </c>
      <c r="G2072" s="30">
        <f t="shared" si="2141"/>
        <v>2400</v>
      </c>
      <c r="H2072" s="8">
        <v>25000</v>
      </c>
      <c r="I2072" s="30">
        <f t="shared" si="2142"/>
        <v>5000</v>
      </c>
      <c r="J2072" s="8">
        <v>25000</v>
      </c>
      <c r="K2072" s="30">
        <f t="shared" si="2143"/>
        <v>5000</v>
      </c>
      <c r="L2072" s="8">
        <v>25000</v>
      </c>
      <c r="M2072" s="9">
        <f>VLOOKUP(DATE(YEAR(A2072),MONTH(A2072),DAY(A2072)),FY24_Temp[],4,FALSE)</f>
        <v>8.5</v>
      </c>
      <c r="N2072" s="9">
        <f>VLOOKUP(DATE(YEAR(A2072),MONTH(A2072),DAY(A2072)),FY24_Temp[],3,FALSE)</f>
        <v>15.84</v>
      </c>
      <c r="O2072" s="9">
        <v>13.5</v>
      </c>
      <c r="P2072" s="9">
        <v>19.5</v>
      </c>
      <c r="Q2072" s="79">
        <f>VLOOKUP(VLOOKUP(DATEVALUE(TEXT(A2072,"m/d/yyyy")),FY24_Temp[],5,FALSE)&amp;TEXT(A2072,"-h"),Table6[],4,FALSE)</f>
        <v>1.6772857052939278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VLOOKUP(TEXT(A2072,"yy-mm")&amp;"-"&amp;IF(AND(WEEKDAY(A2072)&gt;1,WEEKDAY(A2072)&lt;7),"Wkd",TEXT(A2072,"Ddd"))&amp;"-"&amp;TEXT(A2072,"hh"),LoadTable[],5,FALSE)*0.92</f>
        <v>237.25788000000003</v>
      </c>
      <c r="U2072" s="104">
        <f>VLOOKUP(TEXT(A2072,"yy-mm")&amp;"-"&amp;IF(AND(WEEKDAY(A2072)&gt;1,WEEKDAY(A2072)&lt;7),"Wkd",TEXT(A2072,"Ddd"))&amp;"-"&amp;TEXT(A2072,"hh"),LoadTable[],6,FALSE)*T2072</f>
        <v>12065.037713760001</v>
      </c>
      <c r="V2072">
        <f t="shared" ref="V2072:W2072" si="2205">V2048</f>
        <v>2.9</v>
      </c>
      <c r="W2072">
        <f t="shared" si="2205"/>
        <v>3.1</v>
      </c>
      <c r="X2072" s="9">
        <v>-100.398365816669</v>
      </c>
    </row>
    <row r="2073" spans="1:24">
      <c r="A2073" s="29">
        <f t="shared" si="2185"/>
        <v>45922.24999999498</v>
      </c>
      <c r="B2073" s="30">
        <f t="shared" si="2140"/>
        <v>8000</v>
      </c>
      <c r="C2073" s="8">
        <v>25000</v>
      </c>
      <c r="D2073" s="8">
        <v>0</v>
      </c>
      <c r="E2073" s="8">
        <v>700</v>
      </c>
      <c r="F2073" s="8">
        <v>15000</v>
      </c>
      <c r="G2073" s="30">
        <f t="shared" si="2141"/>
        <v>2400</v>
      </c>
      <c r="H2073" s="8">
        <v>25000</v>
      </c>
      <c r="I2073" s="30">
        <f t="shared" si="2142"/>
        <v>8000</v>
      </c>
      <c r="J2073" s="8">
        <v>25000</v>
      </c>
      <c r="K2073" s="30">
        <f t="shared" si="2143"/>
        <v>8000</v>
      </c>
      <c r="L2073" s="8">
        <v>25000</v>
      </c>
      <c r="M2073" s="9">
        <f>VLOOKUP(DATE(YEAR(A2073),MONTH(A2073),DAY(A2073)),FY24_Temp[],4,FALSE)</f>
        <v>8.5</v>
      </c>
      <c r="N2073" s="9">
        <f>VLOOKUP(DATE(YEAR(A2073),MONTH(A2073),DAY(A2073)),FY24_Temp[],3,FALSE)</f>
        <v>15.84</v>
      </c>
      <c r="O2073" s="9">
        <v>13.5</v>
      </c>
      <c r="P2073" s="9">
        <v>19.5</v>
      </c>
      <c r="Q2073" s="79">
        <f>VLOOKUP(VLOOKUP(DATEVALUE(TEXT(A2073,"m/d/yyyy")),FY24_Temp[],5,FALSE)&amp;TEXT(A2073,"-h"),Table6[],4,FALSE)</f>
        <v>1.5761428390230452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VLOOKUP(TEXT(A2073,"yy-mm")&amp;"-"&amp;IF(AND(WEEKDAY(A2073)&gt;1,WEEKDAY(A2073)&lt;7),"Wkd",TEXT(A2073,"Ddd"))&amp;"-"&amp;TEXT(A2073,"hh"),LoadTable[],5,FALSE)*0.92</f>
        <v>237.25788000000003</v>
      </c>
      <c r="U2073" s="104">
        <f>VLOOKUP(TEXT(A2073,"yy-mm")&amp;"-"&amp;IF(AND(WEEKDAY(A2073)&gt;1,WEEKDAY(A2073)&lt;7),"Wkd",TEXT(A2073,"Ddd"))&amp;"-"&amp;TEXT(A2073,"hh"),LoadTable[],6,FALSE)*T2073</f>
        <v>18358.065722880005</v>
      </c>
      <c r="V2073">
        <f t="shared" ref="V2073:W2073" si="2206">V2049</f>
        <v>2.5</v>
      </c>
      <c r="W2073">
        <f t="shared" si="2206"/>
        <v>3.1</v>
      </c>
      <c r="X2073" s="9">
        <v>-100.47616036666901</v>
      </c>
    </row>
    <row r="2074" spans="1:24">
      <c r="A2074" s="29">
        <f t="shared" si="2185"/>
        <v>45922.291666661644</v>
      </c>
      <c r="B2074" s="30">
        <f t="shared" si="2140"/>
        <v>8000</v>
      </c>
      <c r="C2074" s="8">
        <v>25000</v>
      </c>
      <c r="D2074" s="8">
        <v>0</v>
      </c>
      <c r="E2074" s="8">
        <v>700</v>
      </c>
      <c r="F2074" s="8">
        <v>15000</v>
      </c>
      <c r="G2074" s="30">
        <f t="shared" si="2141"/>
        <v>2400</v>
      </c>
      <c r="H2074" s="8">
        <v>25000</v>
      </c>
      <c r="I2074" s="30">
        <f t="shared" si="2142"/>
        <v>8000</v>
      </c>
      <c r="J2074" s="8">
        <v>25000</v>
      </c>
      <c r="K2074" s="30">
        <f t="shared" si="2143"/>
        <v>8000</v>
      </c>
      <c r="L2074" s="8">
        <v>25000</v>
      </c>
      <c r="M2074" s="9">
        <f>VLOOKUP(DATE(YEAR(A2074),MONTH(A2074),DAY(A2074)),FY24_Temp[],4,FALSE)</f>
        <v>8.5</v>
      </c>
      <c r="N2074" s="9">
        <f>VLOOKUP(DATE(YEAR(A2074),MONTH(A2074),DAY(A2074)),FY24_Temp[],3,FALSE)</f>
        <v>15.84</v>
      </c>
      <c r="O2074" s="9">
        <v>13.5</v>
      </c>
      <c r="P2074" s="9">
        <v>19.5</v>
      </c>
      <c r="Q2074" s="79">
        <f>VLOOKUP(VLOOKUP(DATEVALUE(TEXT(A2074,"m/d/yyyy")),FY24_Temp[],5,FALSE)&amp;TEXT(A2074,"-h"),Table6[],4,FALSE)</f>
        <v>1.4162857021604265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VLOOKUP(TEXT(A2074,"yy-mm")&amp;"-"&amp;IF(AND(WEEKDAY(A2074)&gt;1,WEEKDAY(A2074)&lt;7),"Wkd",TEXT(A2074,"Ddd"))&amp;"-"&amp;TEXT(A2074,"hh"),LoadTable[],5,FALSE)*0.92</f>
        <v>237.25788000000003</v>
      </c>
      <c r="U2074" s="104">
        <f>VLOOKUP(TEXT(A2074,"yy-mm")&amp;"-"&amp;IF(AND(WEEKDAY(A2074)&gt;1,WEEKDAY(A2074)&lt;7),"Wkd",TEXT(A2074,"Ddd"))&amp;"-"&amp;TEXT(A2074,"hh"),LoadTable[],6,FALSE)*T2074</f>
        <v>16249.08042756</v>
      </c>
      <c r="V2074">
        <f t="shared" ref="V2074:W2074" si="2207">V2050</f>
        <v>2.5</v>
      </c>
      <c r="W2074">
        <f t="shared" si="2207"/>
        <v>3.1</v>
      </c>
      <c r="X2074" s="9">
        <v>-100.553954916669</v>
      </c>
    </row>
    <row r="2075" spans="1:24">
      <c r="A2075" s="29">
        <f t="shared" si="2185"/>
        <v>45922.333333328308</v>
      </c>
      <c r="B2075" s="30">
        <f t="shared" si="2140"/>
        <v>8000</v>
      </c>
      <c r="C2075" s="8">
        <v>25000</v>
      </c>
      <c r="D2075" s="8">
        <v>0</v>
      </c>
      <c r="E2075" s="8">
        <v>700</v>
      </c>
      <c r="F2075" s="8">
        <v>15000</v>
      </c>
      <c r="G2075" s="30">
        <f t="shared" si="2141"/>
        <v>2400</v>
      </c>
      <c r="H2075" s="8">
        <v>25000</v>
      </c>
      <c r="I2075" s="30">
        <f t="shared" si="2142"/>
        <v>8000</v>
      </c>
      <c r="J2075" s="8">
        <v>25000</v>
      </c>
      <c r="K2075" s="30">
        <f t="shared" si="2143"/>
        <v>8000</v>
      </c>
      <c r="L2075" s="8">
        <v>25000</v>
      </c>
      <c r="M2075" s="9">
        <f>VLOOKUP(DATE(YEAR(A2075),MONTH(A2075),DAY(A2075)),FY24_Temp[],4,FALSE)</f>
        <v>8.5</v>
      </c>
      <c r="N2075" s="9">
        <f>VLOOKUP(DATE(YEAR(A2075),MONTH(A2075),DAY(A2075)),FY24_Temp[],3,FALSE)</f>
        <v>15.84</v>
      </c>
      <c r="O2075" s="9">
        <v>13.5</v>
      </c>
      <c r="P2075" s="9">
        <v>19.5</v>
      </c>
      <c r="Q2075" s="79">
        <f>VLOOKUP(VLOOKUP(DATEVALUE(TEXT(A2075,"m/d/yyyy")),FY24_Temp[],5,FALSE)&amp;TEXT(A2075,"-h"),Table6[],4,FALSE)</f>
        <v>1.3535714490073067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VLOOKUP(TEXT(A2075,"yy-mm")&amp;"-"&amp;IF(AND(WEEKDAY(A2075)&gt;1,WEEKDAY(A2075)&lt;7),"Wkd",TEXT(A2075,"Ddd"))&amp;"-"&amp;TEXT(A2075,"hh"),LoadTable[],5,FALSE)*0.92</f>
        <v>237.25788000000003</v>
      </c>
      <c r="U2075" s="104">
        <f>VLOOKUP(TEXT(A2075,"yy-mm")&amp;"-"&amp;IF(AND(WEEKDAY(A2075)&gt;1,WEEKDAY(A2075)&lt;7),"Wkd",TEXT(A2075,"Ddd"))&amp;"-"&amp;TEXT(A2075,"hh"),LoadTable[],6,FALSE)*T2075</f>
        <v>13068.164030400001</v>
      </c>
      <c r="V2075">
        <f t="shared" ref="V2075:W2075" si="2208">V2051</f>
        <v>3.2</v>
      </c>
      <c r="W2075">
        <f t="shared" si="2208"/>
        <v>3</v>
      </c>
      <c r="X2075" s="9">
        <v>-100.63174946666901</v>
      </c>
    </row>
    <row r="2076" spans="1:24">
      <c r="A2076" s="29">
        <f t="shared" si="2185"/>
        <v>45922.374999994972</v>
      </c>
      <c r="B2076" s="30">
        <f t="shared" ref="B2076:B2139" si="2209">B2052</f>
        <v>8000</v>
      </c>
      <c r="C2076" s="8">
        <v>25000</v>
      </c>
      <c r="D2076" s="8">
        <v>0</v>
      </c>
      <c r="E2076" s="8">
        <v>700</v>
      </c>
      <c r="F2076" s="8">
        <v>15000</v>
      </c>
      <c r="G2076" s="30">
        <f t="shared" ref="G2076:G2139" si="2210">G2052</f>
        <v>2400</v>
      </c>
      <c r="H2076" s="8">
        <v>25000</v>
      </c>
      <c r="I2076" s="30">
        <f t="shared" ref="I2076:I2139" si="2211">I2052</f>
        <v>8000</v>
      </c>
      <c r="J2076" s="8">
        <v>25000</v>
      </c>
      <c r="K2076" s="30">
        <f t="shared" ref="K2076:K2139" si="2212">K2052</f>
        <v>8000</v>
      </c>
      <c r="L2076" s="8">
        <v>25000</v>
      </c>
      <c r="M2076" s="9">
        <f>VLOOKUP(DATE(YEAR(A2076),MONTH(A2076),DAY(A2076)),FY24_Temp[],4,FALSE)</f>
        <v>8.5</v>
      </c>
      <c r="N2076" s="9">
        <f>VLOOKUP(DATE(YEAR(A2076),MONTH(A2076),DAY(A2076)),FY24_Temp[],3,FALSE)</f>
        <v>15.84</v>
      </c>
      <c r="O2076" s="9">
        <v>13.5</v>
      </c>
      <c r="P2076" s="9">
        <v>19.5</v>
      </c>
      <c r="Q2076" s="79">
        <f>VLOOKUP(VLOOKUP(DATEVALUE(TEXT(A2076,"m/d/yyyy")),FY24_Temp[],5,FALSE)&amp;TEXT(A2076,"-h"),Table6[],4,FALSE)</f>
        <v>1.21599999495915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VLOOKUP(TEXT(A2076,"yy-mm")&amp;"-"&amp;IF(AND(WEEKDAY(A2076)&gt;1,WEEKDAY(A2076)&lt;7),"Wkd",TEXT(A2076,"Ddd"))&amp;"-"&amp;TEXT(A2076,"hh"),LoadTable[],5,FALSE)*0.92</f>
        <v>237.25788000000003</v>
      </c>
      <c r="U2076" s="104">
        <f>VLOOKUP(TEXT(A2076,"yy-mm")&amp;"-"&amp;IF(AND(WEEKDAY(A2076)&gt;1,WEEKDAY(A2076)&lt;7),"Wkd",TEXT(A2076,"Ddd"))&amp;"-"&amp;TEXT(A2076,"hh"),LoadTable[],6,FALSE)*T2076</f>
        <v>11518.395558240001</v>
      </c>
      <c r="V2076">
        <f t="shared" ref="V2076:W2076" si="2213">V2052</f>
        <v>2.9</v>
      </c>
      <c r="W2076">
        <f t="shared" si="2213"/>
        <v>3</v>
      </c>
      <c r="X2076" s="9">
        <v>-100.709544016669</v>
      </c>
    </row>
    <row r="2077" spans="1:24">
      <c r="A2077" s="29">
        <f t="shared" si="2185"/>
        <v>45922.416666661637</v>
      </c>
      <c r="B2077" s="30">
        <f t="shared" si="2209"/>
        <v>8000</v>
      </c>
      <c r="C2077" s="8">
        <v>25000</v>
      </c>
      <c r="D2077" s="8">
        <v>0</v>
      </c>
      <c r="E2077" s="8">
        <v>700</v>
      </c>
      <c r="F2077" s="8">
        <v>15000</v>
      </c>
      <c r="G2077" s="30">
        <f t="shared" si="2210"/>
        <v>2400</v>
      </c>
      <c r="H2077" s="8">
        <v>25000</v>
      </c>
      <c r="I2077" s="30">
        <f t="shared" si="2211"/>
        <v>8000</v>
      </c>
      <c r="J2077" s="8">
        <v>25000</v>
      </c>
      <c r="K2077" s="30">
        <f t="shared" si="2212"/>
        <v>8000</v>
      </c>
      <c r="L2077" s="8">
        <v>25000</v>
      </c>
      <c r="M2077" s="9">
        <f>VLOOKUP(DATE(YEAR(A2077),MONTH(A2077),DAY(A2077)),FY24_Temp[],4,FALSE)</f>
        <v>8.5</v>
      </c>
      <c r="N2077" s="9">
        <f>VLOOKUP(DATE(YEAR(A2077),MONTH(A2077),DAY(A2077)),FY24_Temp[],3,FALSE)</f>
        <v>15.84</v>
      </c>
      <c r="O2077" s="9">
        <v>13.5</v>
      </c>
      <c r="P2077" s="9">
        <v>19.5</v>
      </c>
      <c r="Q2077" s="79">
        <f>VLOOKUP(VLOOKUP(DATEVALUE(TEXT(A2077,"m/d/yyyy")),FY24_Temp[],5,FALSE)&amp;TEXT(A2077,"-h"),Table6[],4,FALSE)</f>
        <v>1.082714285169329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VLOOKUP(TEXT(A2077,"yy-mm")&amp;"-"&amp;IF(AND(WEEKDAY(A2077)&gt;1,WEEKDAY(A2077)&lt;7),"Wkd",TEXT(A2077,"Ddd"))&amp;"-"&amp;TEXT(A2077,"hh"),LoadTable[],5,FALSE)*0.92</f>
        <v>237.25788000000003</v>
      </c>
      <c r="U2077" s="104">
        <f>VLOOKUP(TEXT(A2077,"yy-mm")&amp;"-"&amp;IF(AND(WEEKDAY(A2077)&gt;1,WEEKDAY(A2077)&lt;7),"Wkd",TEXT(A2077,"Ddd"))&amp;"-"&amp;TEXT(A2077,"hh"),LoadTable[],6,FALSE)*T2077</f>
        <v>10982.667265200002</v>
      </c>
      <c r="V2077">
        <f t="shared" ref="V2077:W2077" si="2214">V2053</f>
        <v>2.9</v>
      </c>
      <c r="W2077">
        <f t="shared" si="2214"/>
        <v>3</v>
      </c>
      <c r="X2077" s="9">
        <v>-100.78733856666901</v>
      </c>
    </row>
    <row r="2078" spans="1:24">
      <c r="A2078" s="29">
        <f t="shared" si="2185"/>
        <v>45922.458333328301</v>
      </c>
      <c r="B2078" s="30">
        <f t="shared" si="2209"/>
        <v>8000</v>
      </c>
      <c r="C2078" s="8">
        <v>25000</v>
      </c>
      <c r="D2078" s="8">
        <v>0</v>
      </c>
      <c r="E2078" s="8">
        <v>700</v>
      </c>
      <c r="F2078" s="8">
        <v>15000</v>
      </c>
      <c r="G2078" s="30">
        <f t="shared" si="2210"/>
        <v>2400</v>
      </c>
      <c r="H2078" s="8">
        <v>25000</v>
      </c>
      <c r="I2078" s="30">
        <f t="shared" si="2211"/>
        <v>8000</v>
      </c>
      <c r="J2078" s="8">
        <v>25000</v>
      </c>
      <c r="K2078" s="30">
        <f t="shared" si="2212"/>
        <v>8000</v>
      </c>
      <c r="L2078" s="8">
        <v>25000</v>
      </c>
      <c r="M2078" s="9">
        <f>VLOOKUP(DATE(YEAR(A2078),MONTH(A2078),DAY(A2078)),FY24_Temp[],4,FALSE)</f>
        <v>8.5</v>
      </c>
      <c r="N2078" s="9">
        <f>VLOOKUP(DATE(YEAR(A2078),MONTH(A2078),DAY(A2078)),FY24_Temp[],3,FALSE)</f>
        <v>15.84</v>
      </c>
      <c r="O2078" s="9">
        <v>13.5</v>
      </c>
      <c r="P2078" s="9">
        <v>19.5</v>
      </c>
      <c r="Q2078" s="79">
        <f>VLOOKUP(VLOOKUP(DATEVALUE(TEXT(A2078,"m/d/yyyy")),FY24_Temp[],5,FALSE)&amp;TEXT(A2078,"-h"),Table6[],4,FALSE)</f>
        <v>0.97514285360063824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VLOOKUP(TEXT(A2078,"yy-mm")&amp;"-"&amp;IF(AND(WEEKDAY(A2078)&gt;1,WEEKDAY(A2078)&lt;7),"Wkd",TEXT(A2078,"Ddd"))&amp;"-"&amp;TEXT(A2078,"hh"),LoadTable[],5,FALSE)*0.92</f>
        <v>237.25788000000003</v>
      </c>
      <c r="U2078" s="104">
        <f>VLOOKUP(TEXT(A2078,"yy-mm")&amp;"-"&amp;IF(AND(WEEKDAY(A2078)&gt;1,WEEKDAY(A2078)&lt;7),"Wkd",TEXT(A2078,"Ddd"))&amp;"-"&amp;TEXT(A2078,"hh"),LoadTable[],6,FALSE)*T2078</f>
        <v>10974.125981520001</v>
      </c>
      <c r="V2078">
        <f t="shared" ref="V2078:W2078" si="2215">V2054</f>
        <v>3.4</v>
      </c>
      <c r="W2078">
        <f t="shared" si="2215"/>
        <v>3</v>
      </c>
      <c r="X2078" s="9">
        <v>-100.865133116669</v>
      </c>
    </row>
    <row r="2079" spans="1:24">
      <c r="A2079" s="29">
        <f t="shared" si="2185"/>
        <v>45922.499999994965</v>
      </c>
      <c r="B2079" s="30">
        <f t="shared" si="2209"/>
        <v>8000</v>
      </c>
      <c r="C2079" s="8">
        <v>25000</v>
      </c>
      <c r="D2079" s="8">
        <v>0</v>
      </c>
      <c r="E2079" s="8">
        <v>700</v>
      </c>
      <c r="F2079" s="8">
        <v>15000</v>
      </c>
      <c r="G2079" s="30">
        <f t="shared" si="2210"/>
        <v>2400</v>
      </c>
      <c r="H2079" s="8">
        <v>25000</v>
      </c>
      <c r="I2079" s="30">
        <f t="shared" si="2211"/>
        <v>8000</v>
      </c>
      <c r="J2079" s="8">
        <v>25000</v>
      </c>
      <c r="K2079" s="30">
        <f t="shared" si="2212"/>
        <v>8000</v>
      </c>
      <c r="L2079" s="8">
        <v>25000</v>
      </c>
      <c r="M2079" s="9">
        <f>VLOOKUP(DATE(YEAR(A2079),MONTH(A2079),DAY(A2079)),FY24_Temp[],4,FALSE)</f>
        <v>8.5</v>
      </c>
      <c r="N2079" s="9">
        <f>VLOOKUP(DATE(YEAR(A2079),MONTH(A2079),DAY(A2079)),FY24_Temp[],3,FALSE)</f>
        <v>15.84</v>
      </c>
      <c r="O2079" s="9">
        <v>13.5</v>
      </c>
      <c r="P2079" s="9">
        <v>19.5</v>
      </c>
      <c r="Q2079" s="79">
        <f>VLOOKUP(VLOOKUP(DATEVALUE(TEXT(A2079,"m/d/yyyy")),FY24_Temp[],5,FALSE)&amp;TEXT(A2079,"-h"),Table6[],4,FALSE)</f>
        <v>0.82942857061113628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VLOOKUP(TEXT(A2079,"yy-mm")&amp;"-"&amp;IF(AND(WEEKDAY(A2079)&gt;1,WEEKDAY(A2079)&lt;7),"Wkd",TEXT(A2079,"Ddd"))&amp;"-"&amp;TEXT(A2079,"hh"),LoadTable[],5,FALSE)*0.92</f>
        <v>237.25788000000003</v>
      </c>
      <c r="U2079" s="104">
        <f>VLOOKUP(TEXT(A2079,"yy-mm")&amp;"-"&amp;IF(AND(WEEKDAY(A2079)&gt;1,WEEKDAY(A2079)&lt;7),"Wkd",TEXT(A2079,"Ddd"))&amp;"-"&amp;TEXT(A2079,"hh"),LoadTable[],6,FALSE)*T2079</f>
        <v>10962.974861160001</v>
      </c>
      <c r="V2079">
        <f t="shared" ref="V2079:W2079" si="2216">V2055</f>
        <v>3.1</v>
      </c>
      <c r="W2079">
        <f t="shared" si="2216"/>
        <v>2.9</v>
      </c>
      <c r="X2079" s="9">
        <v>-100.94292766666899</v>
      </c>
    </row>
    <row r="2080" spans="1:24">
      <c r="A2080" s="29">
        <f t="shared" si="2185"/>
        <v>45922.541666661629</v>
      </c>
      <c r="B2080" s="30">
        <f t="shared" si="2209"/>
        <v>8000</v>
      </c>
      <c r="C2080" s="8">
        <v>25000</v>
      </c>
      <c r="D2080" s="8">
        <v>0</v>
      </c>
      <c r="E2080" s="8">
        <v>700</v>
      </c>
      <c r="F2080" s="8">
        <v>15000</v>
      </c>
      <c r="G2080" s="30">
        <f t="shared" si="2210"/>
        <v>2400</v>
      </c>
      <c r="H2080" s="8">
        <v>25000</v>
      </c>
      <c r="I2080" s="30">
        <f t="shared" si="2211"/>
        <v>8000</v>
      </c>
      <c r="J2080" s="8">
        <v>25000</v>
      </c>
      <c r="K2080" s="30">
        <f t="shared" si="2212"/>
        <v>8000</v>
      </c>
      <c r="L2080" s="8">
        <v>25000</v>
      </c>
      <c r="M2080" s="9">
        <f>VLOOKUP(DATE(YEAR(A2080),MONTH(A2080),DAY(A2080)),FY24_Temp[],4,FALSE)</f>
        <v>8.5</v>
      </c>
      <c r="N2080" s="9">
        <f>VLOOKUP(DATE(YEAR(A2080),MONTH(A2080),DAY(A2080)),FY24_Temp[],3,FALSE)</f>
        <v>15.84</v>
      </c>
      <c r="O2080" s="9">
        <v>13.5</v>
      </c>
      <c r="P2080" s="9">
        <v>19.5</v>
      </c>
      <c r="Q2080" s="79">
        <f>VLOOKUP(VLOOKUP(DATEVALUE(TEXT(A2080,"m/d/yyyy")),FY24_Temp[],5,FALSE)&amp;TEXT(A2080,"-h"),Table6[],4,FALSE)</f>
        <v>0.69342857599258423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VLOOKUP(TEXT(A2080,"yy-mm")&amp;"-"&amp;IF(AND(WEEKDAY(A2080)&gt;1,WEEKDAY(A2080)&lt;7),"Wkd",TEXT(A2080,"Ddd"))&amp;"-"&amp;TEXT(A2080,"hh"),LoadTable[],5,FALSE)*0.92</f>
        <v>237.25788000000003</v>
      </c>
      <c r="U2080" s="104">
        <f>VLOOKUP(TEXT(A2080,"yy-mm")&amp;"-"&amp;IF(AND(WEEKDAY(A2080)&gt;1,WEEKDAY(A2080)&lt;7),"Wkd",TEXT(A2080,"Ddd"))&amp;"-"&amp;TEXT(A2080,"hh"),LoadTable[],6,FALSE)*T2080</f>
        <v>10978.39662336</v>
      </c>
      <c r="V2080">
        <f t="shared" ref="V2080:W2080" si="2217">V2056</f>
        <v>3.2</v>
      </c>
      <c r="W2080">
        <f t="shared" si="2217"/>
        <v>2.9</v>
      </c>
      <c r="X2080" s="9">
        <v>-101.020722216669</v>
      </c>
    </row>
    <row r="2081" spans="1:24">
      <c r="A2081" s="29">
        <f t="shared" si="2185"/>
        <v>45922.583333328294</v>
      </c>
      <c r="B2081" s="30">
        <f t="shared" si="2209"/>
        <v>8000</v>
      </c>
      <c r="C2081" s="8">
        <v>25000</v>
      </c>
      <c r="D2081" s="8">
        <v>0</v>
      </c>
      <c r="E2081" s="8">
        <v>700</v>
      </c>
      <c r="F2081" s="8">
        <v>15000</v>
      </c>
      <c r="G2081" s="30">
        <f t="shared" si="2210"/>
        <v>2400</v>
      </c>
      <c r="H2081" s="8">
        <v>25000</v>
      </c>
      <c r="I2081" s="30">
        <f t="shared" si="2211"/>
        <v>8000</v>
      </c>
      <c r="J2081" s="8">
        <v>25000</v>
      </c>
      <c r="K2081" s="30">
        <f t="shared" si="2212"/>
        <v>8000</v>
      </c>
      <c r="L2081" s="8">
        <v>25000</v>
      </c>
      <c r="M2081" s="9">
        <f>VLOOKUP(DATE(YEAR(A2081),MONTH(A2081),DAY(A2081)),FY24_Temp[],4,FALSE)</f>
        <v>8.5</v>
      </c>
      <c r="N2081" s="9">
        <f>VLOOKUP(DATE(YEAR(A2081),MONTH(A2081),DAY(A2081)),FY24_Temp[],3,FALSE)</f>
        <v>15.84</v>
      </c>
      <c r="O2081" s="9">
        <v>13.5</v>
      </c>
      <c r="P2081" s="9">
        <v>19.5</v>
      </c>
      <c r="Q2081" s="79">
        <f>VLOOKUP(VLOOKUP(DATEVALUE(TEXT(A2081,"m/d/yyyy")),FY24_Temp[],5,FALSE)&amp;TEXT(A2081,"-h"),Table6[],4,FALSE)</f>
        <v>0.57800000480243141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VLOOKUP(TEXT(A2081,"yy-mm")&amp;"-"&amp;IF(AND(WEEKDAY(A2081)&gt;1,WEEKDAY(A2081)&lt;7),"Wkd",TEXT(A2081,"Ddd"))&amp;"-"&amp;TEXT(A2081,"hh"),LoadTable[],5,FALSE)*0.92</f>
        <v>269.75136000000003</v>
      </c>
      <c r="U2081" s="104">
        <f>VLOOKUP(TEXT(A2081,"yy-mm")&amp;"-"&amp;IF(AND(WEEKDAY(A2081)&gt;1,WEEKDAY(A2081)&lt;7),"Wkd",TEXT(A2081,"Ddd"))&amp;"-"&amp;TEXT(A2081,"hh"),LoadTable[],6,FALSE)*T2081</f>
        <v>12503.245287360001</v>
      </c>
      <c r="V2081">
        <f t="shared" ref="V2081:W2081" si="2218">V2057</f>
        <v>3.5</v>
      </c>
      <c r="W2081">
        <f t="shared" si="2218"/>
        <v>2.9</v>
      </c>
      <c r="X2081" s="9">
        <v>-101.09851676666899</v>
      </c>
    </row>
    <row r="2082" spans="1:24">
      <c r="A2082" s="29">
        <f t="shared" si="2185"/>
        <v>45922.624999994958</v>
      </c>
      <c r="B2082" s="30">
        <f t="shared" si="2209"/>
        <v>8000</v>
      </c>
      <c r="C2082" s="8">
        <v>25000</v>
      </c>
      <c r="D2082" s="8">
        <v>0</v>
      </c>
      <c r="E2082" s="8">
        <v>700</v>
      </c>
      <c r="F2082" s="8">
        <v>15000</v>
      </c>
      <c r="G2082" s="30">
        <f t="shared" si="2210"/>
        <v>2400</v>
      </c>
      <c r="H2082" s="8">
        <v>25000</v>
      </c>
      <c r="I2082" s="30">
        <f t="shared" si="2211"/>
        <v>8000</v>
      </c>
      <c r="J2082" s="8">
        <v>25000</v>
      </c>
      <c r="K2082" s="30">
        <f t="shared" si="2212"/>
        <v>8000</v>
      </c>
      <c r="L2082" s="8">
        <v>25000</v>
      </c>
      <c r="M2082" s="9">
        <f>VLOOKUP(DATE(YEAR(A2082),MONTH(A2082),DAY(A2082)),FY24_Temp[],4,FALSE)</f>
        <v>8.5</v>
      </c>
      <c r="N2082" s="9">
        <f>VLOOKUP(DATE(YEAR(A2082),MONTH(A2082),DAY(A2082)),FY24_Temp[],3,FALSE)</f>
        <v>15.84</v>
      </c>
      <c r="O2082" s="9">
        <v>13.5</v>
      </c>
      <c r="P2082" s="9">
        <v>19.5</v>
      </c>
      <c r="Q2082" s="79">
        <f>VLOOKUP(VLOOKUP(DATEVALUE(TEXT(A2082,"m/d/yyyy")),FY24_Temp[],5,FALSE)&amp;TEXT(A2082,"-h"),Table6[],4,FALSE)</f>
        <v>0.56385713389941627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VLOOKUP(TEXT(A2082,"yy-mm")&amp;"-"&amp;IF(AND(WEEKDAY(A2082)&gt;1,WEEKDAY(A2082)&lt;7),"Wkd",TEXT(A2082,"Ddd"))&amp;"-"&amp;TEXT(A2082,"hh"),LoadTable[],5,FALSE)*0.92</f>
        <v>388.38076000000001</v>
      </c>
      <c r="U2082" s="104">
        <f>VLOOKUP(TEXT(A2082,"yy-mm")&amp;"-"&amp;IF(AND(WEEKDAY(A2082)&gt;1,WEEKDAY(A2082)&lt;7),"Wkd",TEXT(A2082,"Ddd"))&amp;"-"&amp;TEXT(A2082,"hh"),LoadTable[],6,FALSE)*T2082</f>
        <v>19705.663000880002</v>
      </c>
      <c r="V2082">
        <f t="shared" ref="V2082:W2082" si="2219">V2058</f>
        <v>3.2</v>
      </c>
      <c r="W2082">
        <f t="shared" si="2219"/>
        <v>2.9</v>
      </c>
      <c r="X2082" s="9">
        <v>-101.176311316669</v>
      </c>
    </row>
    <row r="2083" spans="1:24">
      <c r="A2083" s="29">
        <f t="shared" si="2185"/>
        <v>45922.666666661622</v>
      </c>
      <c r="B2083" s="30">
        <f t="shared" si="2209"/>
        <v>8000</v>
      </c>
      <c r="C2083" s="8">
        <v>25000</v>
      </c>
      <c r="D2083" s="8">
        <v>0</v>
      </c>
      <c r="E2083" s="8">
        <v>700</v>
      </c>
      <c r="F2083" s="8">
        <v>15000</v>
      </c>
      <c r="G2083" s="30">
        <f t="shared" si="2210"/>
        <v>2400</v>
      </c>
      <c r="H2083" s="8">
        <v>25000</v>
      </c>
      <c r="I2083" s="30">
        <f t="shared" si="2211"/>
        <v>8000</v>
      </c>
      <c r="J2083" s="8">
        <v>25000</v>
      </c>
      <c r="K2083" s="30">
        <f t="shared" si="2212"/>
        <v>8000</v>
      </c>
      <c r="L2083" s="8">
        <v>25000</v>
      </c>
      <c r="M2083" s="9">
        <f>VLOOKUP(DATE(YEAR(A2083),MONTH(A2083),DAY(A2083)),FY24_Temp[],4,FALSE)</f>
        <v>8.5</v>
      </c>
      <c r="N2083" s="9">
        <f>VLOOKUP(DATE(YEAR(A2083),MONTH(A2083),DAY(A2083)),FY24_Temp[],3,FALSE)</f>
        <v>15.84</v>
      </c>
      <c r="O2083" s="9">
        <v>13.5</v>
      </c>
      <c r="P2083" s="9">
        <v>19.5</v>
      </c>
      <c r="Q2083" s="79">
        <f>VLOOKUP(VLOOKUP(DATEVALUE(TEXT(A2083,"m/d/yyyy")),FY24_Temp[],5,FALSE)&amp;TEXT(A2083,"-h"),Table6[],4,FALSE)</f>
        <v>0.83414285523550846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VLOOKUP(TEXT(A2083,"yy-mm")&amp;"-"&amp;IF(AND(WEEKDAY(A2083)&gt;1,WEEKDAY(A2083)&lt;7),"Wkd",TEXT(A2083,"Ddd"))&amp;"-"&amp;TEXT(A2083,"hh"),LoadTable[],5,FALSE)*0.92</f>
        <v>388.38076000000001</v>
      </c>
      <c r="U2083" s="104">
        <f>VLOOKUP(TEXT(A2083,"yy-mm")&amp;"-"&amp;IF(AND(WEEKDAY(A2083)&gt;1,WEEKDAY(A2083)&lt;7),"Wkd",TEXT(A2083,"Ddd"))&amp;"-"&amp;TEXT(A2083,"hh"),LoadTable[],6,FALSE)*T2083</f>
        <v>23675.6911296</v>
      </c>
      <c r="V2083">
        <f t="shared" ref="V2083:W2083" si="2220">V2059</f>
        <v>3.5</v>
      </c>
      <c r="W2083">
        <f t="shared" si="2220"/>
        <v>3</v>
      </c>
      <c r="X2083" s="9">
        <v>-101.25410586666899</v>
      </c>
    </row>
    <row r="2084" spans="1:24">
      <c r="A2084" s="29">
        <f t="shared" si="2185"/>
        <v>45922.708333328286</v>
      </c>
      <c r="B2084" s="30">
        <f t="shared" si="2209"/>
        <v>8000</v>
      </c>
      <c r="C2084" s="8">
        <v>25000</v>
      </c>
      <c r="D2084" s="8">
        <v>0</v>
      </c>
      <c r="E2084" s="8">
        <v>700</v>
      </c>
      <c r="F2084" s="8">
        <v>15000</v>
      </c>
      <c r="G2084" s="30">
        <f t="shared" si="2210"/>
        <v>2400</v>
      </c>
      <c r="H2084" s="8">
        <v>25000</v>
      </c>
      <c r="I2084" s="30">
        <f t="shared" si="2211"/>
        <v>8000</v>
      </c>
      <c r="J2084" s="8">
        <v>25000</v>
      </c>
      <c r="K2084" s="30">
        <f t="shared" si="2212"/>
        <v>8000</v>
      </c>
      <c r="L2084" s="8">
        <v>25000</v>
      </c>
      <c r="M2084" s="9">
        <f>VLOOKUP(DATE(YEAR(A2084),MONTH(A2084),DAY(A2084)),FY24_Temp[],4,FALSE)</f>
        <v>8.5</v>
      </c>
      <c r="N2084" s="9">
        <f>VLOOKUP(DATE(YEAR(A2084),MONTH(A2084),DAY(A2084)),FY24_Temp[],3,FALSE)</f>
        <v>15.84</v>
      </c>
      <c r="O2084" s="9">
        <v>13.5</v>
      </c>
      <c r="P2084" s="9">
        <v>19.5</v>
      </c>
      <c r="Q2084" s="79">
        <f>VLOOKUP(VLOOKUP(DATEVALUE(TEXT(A2084,"m/d/yyyy")),FY24_Temp[],5,FALSE)&amp;TEXT(A2084,"-h"),Table6[],4,FALSE)</f>
        <v>1.2335714272090368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VLOOKUP(TEXT(A2084,"yy-mm")&amp;"-"&amp;IF(AND(WEEKDAY(A2084)&gt;1,WEEKDAY(A2084)&lt;7),"Wkd",TEXT(A2084,"Ddd"))&amp;"-"&amp;TEXT(A2084,"hh"),LoadTable[],5,FALSE)*0.92</f>
        <v>388.38076000000001</v>
      </c>
      <c r="U2084" s="104">
        <f>VLOOKUP(TEXT(A2084,"yy-mm")&amp;"-"&amp;IF(AND(WEEKDAY(A2084)&gt;1,WEEKDAY(A2084)&lt;7),"Wkd",TEXT(A2084,"Ddd"))&amp;"-"&amp;TEXT(A2084,"hh"),LoadTable[],6,FALSE)*T2084</f>
        <v>31454.180990880002</v>
      </c>
      <c r="V2084">
        <f t="shared" ref="V2084:W2084" si="2221">V2060</f>
        <v>3.6</v>
      </c>
      <c r="W2084">
        <f t="shared" si="2221"/>
        <v>3</v>
      </c>
      <c r="X2084" s="9">
        <v>-101.331900416669</v>
      </c>
    </row>
    <row r="2085" spans="1:24">
      <c r="A2085" s="29">
        <f t="shared" si="2185"/>
        <v>45922.74999999495</v>
      </c>
      <c r="B2085" s="30">
        <f t="shared" si="2209"/>
        <v>5000</v>
      </c>
      <c r="C2085" s="8">
        <v>25000</v>
      </c>
      <c r="D2085" s="8">
        <v>0</v>
      </c>
      <c r="E2085" s="8">
        <v>700</v>
      </c>
      <c r="F2085" s="8">
        <v>15000</v>
      </c>
      <c r="G2085" s="30">
        <f t="shared" si="2210"/>
        <v>2400</v>
      </c>
      <c r="H2085" s="8">
        <v>25000</v>
      </c>
      <c r="I2085" s="30">
        <f t="shared" si="2211"/>
        <v>5000</v>
      </c>
      <c r="J2085" s="8">
        <v>25000</v>
      </c>
      <c r="K2085" s="30">
        <f t="shared" si="2212"/>
        <v>5000</v>
      </c>
      <c r="L2085" s="8">
        <v>25000</v>
      </c>
      <c r="M2085" s="9">
        <f>VLOOKUP(DATE(YEAR(A2085),MONTH(A2085),DAY(A2085)),FY24_Temp[],4,FALSE)</f>
        <v>8.5</v>
      </c>
      <c r="N2085" s="9">
        <f>VLOOKUP(DATE(YEAR(A2085),MONTH(A2085),DAY(A2085)),FY24_Temp[],3,FALSE)</f>
        <v>15.84</v>
      </c>
      <c r="O2085" s="9">
        <v>13.5</v>
      </c>
      <c r="P2085" s="9">
        <v>19.5</v>
      </c>
      <c r="Q2085" s="79">
        <f>VLOOKUP(VLOOKUP(DATEVALUE(TEXT(A2085,"m/d/yyyy")),FY24_Temp[],5,FALSE)&amp;TEXT(A2085,"-h"),Table6[],4,FALSE)</f>
        <v>1.6985714265278407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VLOOKUP(TEXT(A2085,"yy-mm")&amp;"-"&amp;IF(AND(WEEKDAY(A2085)&gt;1,WEEKDAY(A2085)&lt;7),"Wkd",TEXT(A2085,"Ddd"))&amp;"-"&amp;TEXT(A2085,"hh"),LoadTable[],5,FALSE)*0.92</f>
        <v>388.38076000000001</v>
      </c>
      <c r="U2085" s="104">
        <f>VLOOKUP(TEXT(A2085,"yy-mm")&amp;"-"&amp;IF(AND(WEEKDAY(A2085)&gt;1,WEEKDAY(A2085)&lt;7),"Wkd",TEXT(A2085,"Ddd"))&amp;"-"&amp;TEXT(A2085,"hh"),LoadTable[],6,FALSE)*T2085</f>
        <v>38316.869020080005</v>
      </c>
      <c r="V2085">
        <f t="shared" ref="V2085:W2085" si="2222">V2061</f>
        <v>2.9</v>
      </c>
      <c r="W2085">
        <f t="shared" si="2222"/>
        <v>3</v>
      </c>
      <c r="X2085" s="9">
        <v>-101.40969496666899</v>
      </c>
    </row>
    <row r="2086" spans="1:24">
      <c r="A2086" s="29">
        <f t="shared" si="2185"/>
        <v>45922.791666661615</v>
      </c>
      <c r="B2086" s="30">
        <f t="shared" si="2209"/>
        <v>5000</v>
      </c>
      <c r="C2086" s="8">
        <v>25000</v>
      </c>
      <c r="D2086" s="8">
        <v>0</v>
      </c>
      <c r="E2086" s="8">
        <v>700</v>
      </c>
      <c r="F2086" s="8">
        <v>15000</v>
      </c>
      <c r="G2086" s="30">
        <f t="shared" si="2210"/>
        <v>2400</v>
      </c>
      <c r="H2086" s="8">
        <v>25000</v>
      </c>
      <c r="I2086" s="30">
        <f t="shared" si="2211"/>
        <v>5000</v>
      </c>
      <c r="J2086" s="8">
        <v>25000</v>
      </c>
      <c r="K2086" s="30">
        <f t="shared" si="2212"/>
        <v>5000</v>
      </c>
      <c r="L2086" s="8">
        <v>25000</v>
      </c>
      <c r="M2086" s="9">
        <f>VLOOKUP(DATE(YEAR(A2086),MONTH(A2086),DAY(A2086)),FY24_Temp[],4,FALSE)</f>
        <v>8.5</v>
      </c>
      <c r="N2086" s="9">
        <f>VLOOKUP(DATE(YEAR(A2086),MONTH(A2086),DAY(A2086)),FY24_Temp[],3,FALSE)</f>
        <v>15.84</v>
      </c>
      <c r="O2086" s="9">
        <v>13.5</v>
      </c>
      <c r="P2086" s="9">
        <v>19.5</v>
      </c>
      <c r="Q2086" s="79">
        <f>VLOOKUP(VLOOKUP(DATEVALUE(TEXT(A2086,"m/d/yyyy")),FY24_Temp[],5,FALSE)&amp;TEXT(A2086,"-h"),Table6[],4,FALSE)</f>
        <v>2.0531428711754933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VLOOKUP(TEXT(A2086,"yy-mm")&amp;"-"&amp;IF(AND(WEEKDAY(A2086)&gt;1,WEEKDAY(A2086)&lt;7),"Wkd",TEXT(A2086,"Ddd"))&amp;"-"&amp;TEXT(A2086,"hh"),LoadTable[],5,FALSE)*0.92</f>
        <v>388.38076000000001</v>
      </c>
      <c r="U2086" s="104">
        <f>VLOOKUP(TEXT(A2086,"yy-mm")&amp;"-"&amp;IF(AND(WEEKDAY(A2086)&gt;1,WEEKDAY(A2086)&lt;7),"Wkd",TEXT(A2086,"Ddd"))&amp;"-"&amp;TEXT(A2086,"hh"),LoadTable[],6,FALSE)*T2086</f>
        <v>41132.241149319998</v>
      </c>
      <c r="V2086">
        <f t="shared" ref="V2086:W2086" si="2223">V2062</f>
        <v>3</v>
      </c>
      <c r="W2086">
        <f t="shared" si="2223"/>
        <v>3</v>
      </c>
      <c r="X2086" s="9">
        <v>-101.487489516669</v>
      </c>
    </row>
    <row r="2087" spans="1:24">
      <c r="A2087" s="29">
        <f t="shared" si="2185"/>
        <v>45922.833333328279</v>
      </c>
      <c r="B2087" s="30">
        <f t="shared" si="2209"/>
        <v>5000</v>
      </c>
      <c r="C2087" s="8">
        <v>25000</v>
      </c>
      <c r="D2087" s="8">
        <v>0</v>
      </c>
      <c r="E2087" s="8">
        <v>700</v>
      </c>
      <c r="F2087" s="8">
        <v>15000</v>
      </c>
      <c r="G2087" s="30">
        <f t="shared" si="2210"/>
        <v>2400</v>
      </c>
      <c r="H2087" s="8">
        <v>25000</v>
      </c>
      <c r="I2087" s="30">
        <f t="shared" si="2211"/>
        <v>5000</v>
      </c>
      <c r="J2087" s="8">
        <v>25000</v>
      </c>
      <c r="K2087" s="30">
        <f t="shared" si="2212"/>
        <v>5000</v>
      </c>
      <c r="L2087" s="8">
        <v>25000</v>
      </c>
      <c r="M2087" s="9">
        <f>VLOOKUP(DATE(YEAR(A2087),MONTH(A2087),DAY(A2087)),FY24_Temp[],4,FALSE)</f>
        <v>8.5</v>
      </c>
      <c r="N2087" s="9">
        <f>VLOOKUP(DATE(YEAR(A2087),MONTH(A2087),DAY(A2087)),FY24_Temp[],3,FALSE)</f>
        <v>15.84</v>
      </c>
      <c r="O2087" s="9">
        <v>13.5</v>
      </c>
      <c r="P2087" s="9">
        <v>19.5</v>
      </c>
      <c r="Q2087" s="79">
        <f>VLOOKUP(VLOOKUP(DATEVALUE(TEXT(A2087,"m/d/yyyy")),FY24_Temp[],5,FALSE)&amp;TEXT(A2087,"-h"),Table6[],4,FALSE)</f>
        <v>2.2329999378749301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VLOOKUP(TEXT(A2087,"yy-mm")&amp;"-"&amp;IF(AND(WEEKDAY(A2087)&gt;1,WEEKDAY(A2087)&lt;7),"Wkd",TEXT(A2087,"Ddd"))&amp;"-"&amp;TEXT(A2087,"hh"),LoadTable[],5,FALSE)*0.92</f>
        <v>388.38076000000001</v>
      </c>
      <c r="U2087" s="104">
        <f>VLOOKUP(TEXT(A2087,"yy-mm")&amp;"-"&amp;IF(AND(WEEKDAY(A2087)&gt;1,WEEKDAY(A2087)&lt;7),"Wkd",TEXT(A2087,"Ddd"))&amp;"-"&amp;TEXT(A2087,"hh"),LoadTable[],6,FALSE)*T2087</f>
        <v>36274.762984000001</v>
      </c>
      <c r="V2087">
        <f t="shared" ref="V2087:W2087" si="2224">V2063</f>
        <v>2.8</v>
      </c>
      <c r="W2087">
        <f t="shared" si="2224"/>
        <v>3.1</v>
      </c>
      <c r="X2087" s="9">
        <v>-101.56528406666899</v>
      </c>
    </row>
    <row r="2088" spans="1:24">
      <c r="A2088" s="29">
        <f t="shared" si="2185"/>
        <v>45922.874999994943</v>
      </c>
      <c r="B2088" s="30">
        <f t="shared" si="2209"/>
        <v>5000</v>
      </c>
      <c r="C2088" s="8">
        <v>25000</v>
      </c>
      <c r="D2088" s="8">
        <v>0</v>
      </c>
      <c r="E2088" s="8">
        <v>700</v>
      </c>
      <c r="F2088" s="8">
        <v>15000</v>
      </c>
      <c r="G2088" s="30">
        <f t="shared" si="2210"/>
        <v>2400</v>
      </c>
      <c r="H2088" s="8">
        <v>25000</v>
      </c>
      <c r="I2088" s="30">
        <f t="shared" si="2211"/>
        <v>5000</v>
      </c>
      <c r="J2088" s="8">
        <v>25000</v>
      </c>
      <c r="K2088" s="30">
        <f t="shared" si="2212"/>
        <v>5000</v>
      </c>
      <c r="L2088" s="8">
        <v>25000</v>
      </c>
      <c r="M2088" s="9">
        <f>VLOOKUP(DATE(YEAR(A2088),MONTH(A2088),DAY(A2088)),FY24_Temp[],4,FALSE)</f>
        <v>8.5</v>
      </c>
      <c r="N2088" s="9">
        <f>VLOOKUP(DATE(YEAR(A2088),MONTH(A2088),DAY(A2088)),FY24_Temp[],3,FALSE)</f>
        <v>15.84</v>
      </c>
      <c r="O2088" s="9">
        <v>13.5</v>
      </c>
      <c r="P2088" s="9">
        <v>19.5</v>
      </c>
      <c r="Q2088" s="79">
        <f>VLOOKUP(VLOOKUP(DATEVALUE(TEXT(A2088,"m/d/yyyy")),FY24_Temp[],5,FALSE)&amp;TEXT(A2088,"-h"),Table6[],4,FALSE)</f>
        <v>2.2924285616193498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VLOOKUP(TEXT(A2088,"yy-mm")&amp;"-"&amp;IF(AND(WEEKDAY(A2088)&gt;1,WEEKDAY(A2088)&lt;7),"Wkd",TEXT(A2088,"Ddd"))&amp;"-"&amp;TEXT(A2088,"hh"),LoadTable[],5,FALSE)*0.92</f>
        <v>373.79416000000003</v>
      </c>
      <c r="U2088" s="104">
        <f>VLOOKUP(TEXT(A2088,"yy-mm")&amp;"-"&amp;IF(AND(WEEKDAY(A2088)&gt;1,WEEKDAY(A2088)&lt;7),"Wkd",TEXT(A2088,"Ddd"))&amp;"-"&amp;TEXT(A2088,"hh"),LoadTable[],6,FALSE)*T2088</f>
        <v>31749.328362080003</v>
      </c>
      <c r="V2088">
        <f t="shared" ref="V2088:W2088" si="2225">V2064</f>
        <v>3.5</v>
      </c>
      <c r="W2088">
        <f t="shared" si="2225"/>
        <v>3.1</v>
      </c>
      <c r="X2088" s="9">
        <v>-101.643078616669</v>
      </c>
    </row>
    <row r="2089" spans="1:24">
      <c r="A2089" s="29">
        <f t="shared" si="2185"/>
        <v>45922.916666661607</v>
      </c>
      <c r="B2089" s="30">
        <f t="shared" si="2209"/>
        <v>5000</v>
      </c>
      <c r="C2089" s="8">
        <v>25000</v>
      </c>
      <c r="D2089" s="8">
        <v>0</v>
      </c>
      <c r="E2089" s="8">
        <v>700</v>
      </c>
      <c r="F2089" s="8">
        <v>15000</v>
      </c>
      <c r="G2089" s="30">
        <f t="shared" si="2210"/>
        <v>2400</v>
      </c>
      <c r="H2089" s="8">
        <v>25000</v>
      </c>
      <c r="I2089" s="30">
        <f t="shared" si="2211"/>
        <v>5000</v>
      </c>
      <c r="J2089" s="8">
        <v>25000</v>
      </c>
      <c r="K2089" s="30">
        <f t="shared" si="2212"/>
        <v>5000</v>
      </c>
      <c r="L2089" s="8">
        <v>25000</v>
      </c>
      <c r="M2089" s="9">
        <f>VLOOKUP(DATE(YEAR(A2089),MONTH(A2089),DAY(A2089)),FY24_Temp[],4,FALSE)</f>
        <v>8.5</v>
      </c>
      <c r="N2089" s="9">
        <f>VLOOKUP(DATE(YEAR(A2089),MONTH(A2089),DAY(A2089)),FY24_Temp[],3,FALSE)</f>
        <v>15.84</v>
      </c>
      <c r="O2089" s="9">
        <v>13.5</v>
      </c>
      <c r="P2089" s="9">
        <v>19.5</v>
      </c>
      <c r="Q2089" s="79">
        <f>VLOOKUP(VLOOKUP(DATEVALUE(TEXT(A2089,"m/d/yyyy")),FY24_Temp[],5,FALSE)&amp;TEXT(A2089,"-h"),Table6[],4,FALSE)</f>
        <v>2.2601428713117326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VLOOKUP(TEXT(A2089,"yy-mm")&amp;"-"&amp;IF(AND(WEEKDAY(A2089)&gt;1,WEEKDAY(A2089)&lt;7),"Wkd",TEXT(A2089,"Ddd"))&amp;"-"&amp;TEXT(A2089,"hh"),LoadTable[],5,FALSE)*0.92</f>
        <v>299.65044</v>
      </c>
      <c r="U2089" s="104">
        <f>VLOOKUP(TEXT(A2089,"yy-mm")&amp;"-"&amp;IF(AND(WEEKDAY(A2089)&gt;1,WEEKDAY(A2089)&lt;7),"Wkd",TEXT(A2089,"Ddd"))&amp;"-"&amp;TEXT(A2089,"hh"),LoadTable[],6,FALSE)*T2089</f>
        <v>15023.87376072</v>
      </c>
      <c r="V2089">
        <f t="shared" ref="V2089:W2089" si="2226">V2065</f>
        <v>2.9</v>
      </c>
      <c r="W2089">
        <f t="shared" si="2226"/>
        <v>3.1</v>
      </c>
      <c r="X2089" s="9">
        <v>-101.72087316666899</v>
      </c>
    </row>
    <row r="2090" spans="1:24">
      <c r="A2090" s="29">
        <f t="shared" si="2185"/>
        <v>45922.958333328272</v>
      </c>
      <c r="B2090" s="30">
        <f t="shared" si="2209"/>
        <v>5000</v>
      </c>
      <c r="C2090" s="8">
        <v>25000</v>
      </c>
      <c r="D2090" s="8">
        <v>0</v>
      </c>
      <c r="E2090" s="8">
        <v>700</v>
      </c>
      <c r="F2090" s="8">
        <v>15000</v>
      </c>
      <c r="G2090" s="30">
        <f t="shared" si="2210"/>
        <v>2400</v>
      </c>
      <c r="H2090" s="8">
        <v>25000</v>
      </c>
      <c r="I2090" s="30">
        <f t="shared" si="2211"/>
        <v>5000</v>
      </c>
      <c r="J2090" s="8">
        <v>25000</v>
      </c>
      <c r="K2090" s="30">
        <f t="shared" si="2212"/>
        <v>5000</v>
      </c>
      <c r="L2090" s="8">
        <v>25000</v>
      </c>
      <c r="M2090" s="9">
        <f>VLOOKUP(DATE(YEAR(A2090),MONTH(A2090),DAY(A2090)),FY24_Temp[],4,FALSE)</f>
        <v>8.5</v>
      </c>
      <c r="N2090" s="9">
        <f>VLOOKUP(DATE(YEAR(A2090),MONTH(A2090),DAY(A2090)),FY24_Temp[],3,FALSE)</f>
        <v>15.84</v>
      </c>
      <c r="O2090" s="9">
        <v>13.5</v>
      </c>
      <c r="P2090" s="9">
        <v>19.5</v>
      </c>
      <c r="Q2090" s="79">
        <f>VLOOKUP(VLOOKUP(DATEVALUE(TEXT(A2090,"m/d/yyyy")),FY24_Temp[],5,FALSE)&amp;TEXT(A2090,"-h"),Table6[],4,FALSE)</f>
        <v>2.2548570973532542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VLOOKUP(TEXT(A2090,"yy-mm")&amp;"-"&amp;IF(AND(WEEKDAY(A2090)&gt;1,WEEKDAY(A2090)&lt;7),"Wkd",TEXT(A2090,"Ddd"))&amp;"-"&amp;TEXT(A2090,"hh"),LoadTable[],5,FALSE)*0.92</f>
        <v>237.25788000000003</v>
      </c>
      <c r="U2090" s="104">
        <f>VLOOKUP(TEXT(A2090,"yy-mm")&amp;"-"&amp;IF(AND(WEEKDAY(A2090)&gt;1,WEEKDAY(A2090)&lt;7),"Wkd",TEXT(A2090,"Ddd"))&amp;"-"&amp;TEXT(A2090,"hh"),LoadTable[],6,FALSE)*T2090</f>
        <v>11687.323168800001</v>
      </c>
      <c r="V2090">
        <f t="shared" ref="V2090:W2090" si="2227">V2066</f>
        <v>3.6</v>
      </c>
      <c r="W2090">
        <f t="shared" si="2227"/>
        <v>3.1</v>
      </c>
      <c r="X2090" s="9">
        <v>-101.798667716669</v>
      </c>
    </row>
    <row r="2091" spans="1:24">
      <c r="A2091" s="29">
        <f t="shared" si="2185"/>
        <v>45922.999999994936</v>
      </c>
      <c r="B2091" s="30">
        <f t="shared" si="2209"/>
        <v>5000</v>
      </c>
      <c r="C2091" s="8">
        <v>25000</v>
      </c>
      <c r="D2091" s="8">
        <v>0</v>
      </c>
      <c r="E2091" s="8">
        <v>700</v>
      </c>
      <c r="F2091" s="8">
        <v>15000</v>
      </c>
      <c r="G2091" s="30">
        <f t="shared" si="2210"/>
        <v>2400</v>
      </c>
      <c r="H2091" s="8">
        <v>25000</v>
      </c>
      <c r="I2091" s="30">
        <f t="shared" si="2211"/>
        <v>5000</v>
      </c>
      <c r="J2091" s="8">
        <v>25000</v>
      </c>
      <c r="K2091" s="30">
        <f t="shared" si="2212"/>
        <v>5000</v>
      </c>
      <c r="L2091" s="8">
        <v>25000</v>
      </c>
      <c r="M2091" s="9">
        <f>VLOOKUP(DATE(YEAR(A2091),MONTH(A2091),DAY(A2091)),FY24_Temp[],4,FALSE)</f>
        <v>8.5</v>
      </c>
      <c r="N2091" s="9">
        <f>VLOOKUP(DATE(YEAR(A2091),MONTH(A2091),DAY(A2091)),FY24_Temp[],3,FALSE)</f>
        <v>15.84</v>
      </c>
      <c r="O2091" s="9">
        <v>13.5</v>
      </c>
      <c r="P2091" s="9">
        <v>19.5</v>
      </c>
      <c r="Q2091" s="79">
        <f>VLOOKUP(VLOOKUP(DATEVALUE(TEXT(A2091,"m/d/yyyy")),FY24_Temp[],5,FALSE)&amp;TEXT(A2091,"-h"),Table6[],4,FALSE)</f>
        <v>2.2702856745038713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VLOOKUP(TEXT(A2091,"yy-mm")&amp;"-"&amp;IF(AND(WEEKDAY(A2091)&gt;1,WEEKDAY(A2091)&lt;7),"Wkd",TEXT(A2091,"Ddd"))&amp;"-"&amp;TEXT(A2091,"hh"),LoadTable[],5,FALSE)*0.92</f>
        <v>237.25788000000003</v>
      </c>
      <c r="U2091" s="104">
        <f>VLOOKUP(TEXT(A2091,"yy-mm")&amp;"-"&amp;IF(AND(WEEKDAY(A2091)&gt;1,WEEKDAY(A2091)&lt;7),"Wkd",TEXT(A2091,"Ddd"))&amp;"-"&amp;TEXT(A2091,"hh"),LoadTable[],6,FALSE)*T2091</f>
        <v>12215.696467560001</v>
      </c>
      <c r="V2091">
        <f t="shared" ref="V2091:W2091" si="2228">V2067</f>
        <v>3</v>
      </c>
      <c r="W2091">
        <f t="shared" si="2228"/>
        <v>3.2</v>
      </c>
      <c r="X2091" s="9">
        <v>-101.87646226666899</v>
      </c>
    </row>
    <row r="2092" spans="1:24">
      <c r="A2092" s="29">
        <f t="shared" si="2185"/>
        <v>45923.0416666616</v>
      </c>
      <c r="B2092" s="30">
        <f t="shared" si="2209"/>
        <v>5000</v>
      </c>
      <c r="C2092" s="8">
        <v>25000</v>
      </c>
      <c r="D2092" s="8">
        <v>0</v>
      </c>
      <c r="E2092" s="8">
        <v>700</v>
      </c>
      <c r="F2092" s="8">
        <v>15000</v>
      </c>
      <c r="G2092" s="30">
        <f t="shared" si="2210"/>
        <v>2400</v>
      </c>
      <c r="H2092" s="8">
        <v>25000</v>
      </c>
      <c r="I2092" s="30">
        <f t="shared" si="2211"/>
        <v>5000</v>
      </c>
      <c r="J2092" s="8">
        <v>25000</v>
      </c>
      <c r="K2092" s="30">
        <f t="shared" si="2212"/>
        <v>5000</v>
      </c>
      <c r="L2092" s="8">
        <v>25000</v>
      </c>
      <c r="M2092" s="9">
        <f>VLOOKUP(DATE(YEAR(A2092),MONTH(A2092),DAY(A2092)),FY24_Temp[],4,FALSE)</f>
        <v>8.5</v>
      </c>
      <c r="N2092" s="9">
        <f>VLOOKUP(DATE(YEAR(A2092),MONTH(A2092),DAY(A2092)),FY24_Temp[],3,FALSE)</f>
        <v>15.84</v>
      </c>
      <c r="O2092" s="9">
        <v>13.5</v>
      </c>
      <c r="P2092" s="9">
        <v>19.5</v>
      </c>
      <c r="Q2092" s="79">
        <f>VLOOKUP(VLOOKUP(DATEVALUE(TEXT(A2092,"m/d/yyyy")),FY24_Temp[],5,FALSE)&amp;TEXT(A2092,"-h"),Table6[],4,FALSE)</f>
        <v>2.2084285531725203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VLOOKUP(TEXT(A2092,"yy-mm")&amp;"-"&amp;IF(AND(WEEKDAY(A2092)&gt;1,WEEKDAY(A2092)&lt;7),"Wkd",TEXT(A2092,"Ddd"))&amp;"-"&amp;TEXT(A2092,"hh"),LoadTable[],5,FALSE)*0.92</f>
        <v>237.25788000000003</v>
      </c>
      <c r="U2092" s="104">
        <f>VLOOKUP(TEXT(A2092,"yy-mm")&amp;"-"&amp;IF(AND(WEEKDAY(A2092)&gt;1,WEEKDAY(A2092)&lt;7),"Wkd",TEXT(A2092,"Ddd"))&amp;"-"&amp;TEXT(A2092,"hh"),LoadTable[],6,FALSE)*T2092</f>
        <v>11905.12590264</v>
      </c>
      <c r="V2092">
        <f t="shared" ref="V2092:W2092" si="2229">V2068</f>
        <v>2.6</v>
      </c>
      <c r="W2092">
        <f t="shared" si="2229"/>
        <v>3.2</v>
      </c>
      <c r="X2092" s="9">
        <v>-101.954256816669</v>
      </c>
    </row>
    <row r="2093" spans="1:24">
      <c r="A2093" s="29">
        <f t="shared" si="2185"/>
        <v>45923.083333328264</v>
      </c>
      <c r="B2093" s="30">
        <f t="shared" si="2209"/>
        <v>5000</v>
      </c>
      <c r="C2093" s="8">
        <v>25000</v>
      </c>
      <c r="D2093" s="8">
        <v>0</v>
      </c>
      <c r="E2093" s="8">
        <v>700</v>
      </c>
      <c r="F2093" s="8">
        <v>15000</v>
      </c>
      <c r="G2093" s="30">
        <f t="shared" si="2210"/>
        <v>2400</v>
      </c>
      <c r="H2093" s="8">
        <v>25000</v>
      </c>
      <c r="I2093" s="30">
        <f t="shared" si="2211"/>
        <v>5000</v>
      </c>
      <c r="J2093" s="8">
        <v>25000</v>
      </c>
      <c r="K2093" s="30">
        <f t="shared" si="2212"/>
        <v>5000</v>
      </c>
      <c r="L2093" s="8">
        <v>25000</v>
      </c>
      <c r="M2093" s="9">
        <f>VLOOKUP(DATE(YEAR(A2093),MONTH(A2093),DAY(A2093)),FY24_Temp[],4,FALSE)</f>
        <v>8.5</v>
      </c>
      <c r="N2093" s="9">
        <f>VLOOKUP(DATE(YEAR(A2093),MONTH(A2093),DAY(A2093)),FY24_Temp[],3,FALSE)</f>
        <v>15.84</v>
      </c>
      <c r="O2093" s="9">
        <v>13.5</v>
      </c>
      <c r="P2093" s="9">
        <v>19.5</v>
      </c>
      <c r="Q2093" s="79">
        <f>VLOOKUP(VLOOKUP(DATEVALUE(TEXT(A2093,"m/d/yyyy")),FY24_Temp[],5,FALSE)&amp;TEXT(A2093,"-h"),Table6[],4,FALSE)</f>
        <v>2.083142876625061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VLOOKUP(TEXT(A2093,"yy-mm")&amp;"-"&amp;IF(AND(WEEKDAY(A2093)&gt;1,WEEKDAY(A2093)&lt;7),"Wkd",TEXT(A2093,"Ddd"))&amp;"-"&amp;TEXT(A2093,"hh"),LoadTable[],5,FALSE)*0.92</f>
        <v>237.25788000000003</v>
      </c>
      <c r="U2093" s="104">
        <f>VLOOKUP(TEXT(A2093,"yy-mm")&amp;"-"&amp;IF(AND(WEEKDAY(A2093)&gt;1,WEEKDAY(A2093)&lt;7),"Wkd",TEXT(A2093,"Ddd"))&amp;"-"&amp;TEXT(A2093,"hh"),LoadTable[],6,FALSE)*T2093</f>
        <v>11856.013521480001</v>
      </c>
      <c r="V2093">
        <f t="shared" ref="V2093:W2093" si="2230">V2069</f>
        <v>2.8</v>
      </c>
      <c r="W2093">
        <f t="shared" si="2230"/>
        <v>3.2</v>
      </c>
      <c r="X2093" s="9">
        <v>-102.03205136666899</v>
      </c>
    </row>
    <row r="2094" spans="1:24">
      <c r="A2094" s="29">
        <f t="shared" si="2185"/>
        <v>45923.124999994929</v>
      </c>
      <c r="B2094" s="30">
        <f t="shared" si="2209"/>
        <v>5000</v>
      </c>
      <c r="C2094" s="8">
        <v>25000</v>
      </c>
      <c r="D2094" s="8">
        <v>0</v>
      </c>
      <c r="E2094" s="8">
        <v>700</v>
      </c>
      <c r="F2094" s="8">
        <v>15000</v>
      </c>
      <c r="G2094" s="30">
        <f t="shared" si="2210"/>
        <v>2400</v>
      </c>
      <c r="H2094" s="8">
        <v>25000</v>
      </c>
      <c r="I2094" s="30">
        <f t="shared" si="2211"/>
        <v>5000</v>
      </c>
      <c r="J2094" s="8">
        <v>25000</v>
      </c>
      <c r="K2094" s="30">
        <f t="shared" si="2212"/>
        <v>5000</v>
      </c>
      <c r="L2094" s="8">
        <v>25000</v>
      </c>
      <c r="M2094" s="9">
        <f>VLOOKUP(DATE(YEAR(A2094),MONTH(A2094),DAY(A2094)),FY24_Temp[],4,FALSE)</f>
        <v>8.5</v>
      </c>
      <c r="N2094" s="9">
        <f>VLOOKUP(DATE(YEAR(A2094),MONTH(A2094),DAY(A2094)),FY24_Temp[],3,FALSE)</f>
        <v>15.84</v>
      </c>
      <c r="O2094" s="9">
        <v>13.5</v>
      </c>
      <c r="P2094" s="9">
        <v>19.5</v>
      </c>
      <c r="Q2094" s="79">
        <f>VLOOKUP(VLOOKUP(DATEVALUE(TEXT(A2094,"m/d/yyyy")),FY24_Temp[],5,FALSE)&amp;TEXT(A2094,"-h"),Table6[],4,FALSE)</f>
        <v>1.9411428485597884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VLOOKUP(TEXT(A2094,"yy-mm")&amp;"-"&amp;IF(AND(WEEKDAY(A2094)&gt;1,WEEKDAY(A2094)&lt;7),"Wkd",TEXT(A2094,"Ddd"))&amp;"-"&amp;TEXT(A2094,"hh"),LoadTable[],5,FALSE)*0.92</f>
        <v>237.25788000000003</v>
      </c>
      <c r="U2094" s="104">
        <f>VLOOKUP(TEXT(A2094,"yy-mm")&amp;"-"&amp;IF(AND(WEEKDAY(A2094)&gt;1,WEEKDAY(A2094)&lt;7),"Wkd",TEXT(A2094,"Ddd"))&amp;"-"&amp;TEXT(A2094,"hh"),LoadTable[],6,FALSE)*T2094</f>
        <v>11893.025750760002</v>
      </c>
      <c r="V2094">
        <f t="shared" ref="V2094:W2094" si="2231">V2070</f>
        <v>2.7</v>
      </c>
      <c r="W2094">
        <f t="shared" si="2231"/>
        <v>3.2</v>
      </c>
      <c r="X2094" s="9">
        <v>-102.109845916669</v>
      </c>
    </row>
    <row r="2095" spans="1:24">
      <c r="A2095" s="29">
        <f t="shared" si="2185"/>
        <v>45923.166666661593</v>
      </c>
      <c r="B2095" s="30">
        <f t="shared" si="2209"/>
        <v>5000</v>
      </c>
      <c r="C2095" s="8">
        <v>25000</v>
      </c>
      <c r="D2095" s="8">
        <v>0</v>
      </c>
      <c r="E2095" s="8">
        <v>700</v>
      </c>
      <c r="F2095" s="8">
        <v>15000</v>
      </c>
      <c r="G2095" s="30">
        <f t="shared" si="2210"/>
        <v>2400</v>
      </c>
      <c r="H2095" s="8">
        <v>25000</v>
      </c>
      <c r="I2095" s="30">
        <f t="shared" si="2211"/>
        <v>5000</v>
      </c>
      <c r="J2095" s="8">
        <v>25000</v>
      </c>
      <c r="K2095" s="30">
        <f t="shared" si="2212"/>
        <v>5000</v>
      </c>
      <c r="L2095" s="8">
        <v>25000</v>
      </c>
      <c r="M2095" s="9">
        <f>VLOOKUP(DATE(YEAR(A2095),MONTH(A2095),DAY(A2095)),FY24_Temp[],4,FALSE)</f>
        <v>8.5</v>
      </c>
      <c r="N2095" s="9">
        <f>VLOOKUP(DATE(YEAR(A2095),MONTH(A2095),DAY(A2095)),FY24_Temp[],3,FALSE)</f>
        <v>15.84</v>
      </c>
      <c r="O2095" s="9">
        <v>13.5</v>
      </c>
      <c r="P2095" s="9">
        <v>19.5</v>
      </c>
      <c r="Q2095" s="79">
        <f>VLOOKUP(VLOOKUP(DATEVALUE(TEXT(A2095,"m/d/yyyy")),FY24_Temp[],5,FALSE)&amp;TEXT(A2095,"-h"),Table6[],4,FALSE)</f>
        <v>1.7910000085830688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VLOOKUP(TEXT(A2095,"yy-mm")&amp;"-"&amp;IF(AND(WEEKDAY(A2095)&gt;1,WEEKDAY(A2095)&lt;7),"Wkd",TEXT(A2095,"Ddd"))&amp;"-"&amp;TEXT(A2095,"hh"),LoadTable[],5,FALSE)*0.92</f>
        <v>237.25788000000003</v>
      </c>
      <c r="U2095" s="104">
        <f>VLOOKUP(TEXT(A2095,"yy-mm")&amp;"-"&amp;IF(AND(WEEKDAY(A2095)&gt;1,WEEKDAY(A2095)&lt;7),"Wkd",TEXT(A2095,"Ddd"))&amp;"-"&amp;TEXT(A2095,"hh"),LoadTable[],6,FALSE)*T2095</f>
        <v>12081.645765360001</v>
      </c>
      <c r="V2095">
        <f t="shared" ref="V2095:W2095" si="2232">V2071</f>
        <v>3</v>
      </c>
      <c r="W2095">
        <f t="shared" si="2232"/>
        <v>3.1</v>
      </c>
      <c r="X2095" s="9">
        <v>-102.187640466669</v>
      </c>
    </row>
    <row r="2096" spans="1:24">
      <c r="A2096" s="29">
        <f t="shared" si="2185"/>
        <v>45923.208333328257</v>
      </c>
      <c r="B2096" s="30">
        <f t="shared" si="2209"/>
        <v>5000</v>
      </c>
      <c r="C2096" s="8">
        <v>25000</v>
      </c>
      <c r="D2096" s="8">
        <v>0</v>
      </c>
      <c r="E2096" s="8">
        <v>700</v>
      </c>
      <c r="F2096" s="8">
        <v>15000</v>
      </c>
      <c r="G2096" s="30">
        <f t="shared" si="2210"/>
        <v>2400</v>
      </c>
      <c r="H2096" s="8">
        <v>25000</v>
      </c>
      <c r="I2096" s="30">
        <f t="shared" si="2211"/>
        <v>5000</v>
      </c>
      <c r="J2096" s="8">
        <v>25000</v>
      </c>
      <c r="K2096" s="30">
        <f t="shared" si="2212"/>
        <v>5000</v>
      </c>
      <c r="L2096" s="8">
        <v>25000</v>
      </c>
      <c r="M2096" s="9">
        <f>VLOOKUP(DATE(YEAR(A2096),MONTH(A2096),DAY(A2096)),FY24_Temp[],4,FALSE)</f>
        <v>8.5</v>
      </c>
      <c r="N2096" s="9">
        <f>VLOOKUP(DATE(YEAR(A2096),MONTH(A2096),DAY(A2096)),FY24_Temp[],3,FALSE)</f>
        <v>15.84</v>
      </c>
      <c r="O2096" s="9">
        <v>13.5</v>
      </c>
      <c r="P2096" s="9">
        <v>19.5</v>
      </c>
      <c r="Q2096" s="79">
        <f>VLOOKUP(VLOOKUP(DATEVALUE(TEXT(A2096,"m/d/yyyy")),FY24_Temp[],5,FALSE)&amp;TEXT(A2096,"-h"),Table6[],4,FALSE)</f>
        <v>1.6772857052939278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VLOOKUP(TEXT(A2096,"yy-mm")&amp;"-"&amp;IF(AND(WEEKDAY(A2096)&gt;1,WEEKDAY(A2096)&lt;7),"Wkd",TEXT(A2096,"Ddd"))&amp;"-"&amp;TEXT(A2096,"hh"),LoadTable[],5,FALSE)*0.92</f>
        <v>237.25788000000003</v>
      </c>
      <c r="U2096" s="104">
        <f>VLOOKUP(TEXT(A2096,"yy-mm")&amp;"-"&amp;IF(AND(WEEKDAY(A2096)&gt;1,WEEKDAY(A2096)&lt;7),"Wkd",TEXT(A2096,"Ddd"))&amp;"-"&amp;TEXT(A2096,"hh"),LoadTable[],6,FALSE)*T2096</f>
        <v>12065.037713760001</v>
      </c>
      <c r="V2096">
        <f t="shared" ref="V2096:W2096" si="2233">V2072</f>
        <v>2.9</v>
      </c>
      <c r="W2096">
        <f t="shared" si="2233"/>
        <v>3.1</v>
      </c>
      <c r="X2096" s="9">
        <v>-102.265435016669</v>
      </c>
    </row>
    <row r="2097" spans="1:24">
      <c r="A2097" s="29">
        <f t="shared" si="2185"/>
        <v>45923.249999994921</v>
      </c>
      <c r="B2097" s="30">
        <f t="shared" si="2209"/>
        <v>8000</v>
      </c>
      <c r="C2097" s="8">
        <v>25000</v>
      </c>
      <c r="D2097" s="8">
        <v>0</v>
      </c>
      <c r="E2097" s="8">
        <v>700</v>
      </c>
      <c r="F2097" s="8">
        <v>15000</v>
      </c>
      <c r="G2097" s="30">
        <f t="shared" si="2210"/>
        <v>2400</v>
      </c>
      <c r="H2097" s="8">
        <v>25000</v>
      </c>
      <c r="I2097" s="30">
        <f t="shared" si="2211"/>
        <v>8000</v>
      </c>
      <c r="J2097" s="8">
        <v>25000</v>
      </c>
      <c r="K2097" s="30">
        <f t="shared" si="2212"/>
        <v>8000</v>
      </c>
      <c r="L2097" s="8">
        <v>25000</v>
      </c>
      <c r="M2097" s="9">
        <f>VLOOKUP(DATE(YEAR(A2097),MONTH(A2097),DAY(A2097)),FY24_Temp[],4,FALSE)</f>
        <v>8.5</v>
      </c>
      <c r="N2097" s="9">
        <f>VLOOKUP(DATE(YEAR(A2097),MONTH(A2097),DAY(A2097)),FY24_Temp[],3,FALSE)</f>
        <v>15.84</v>
      </c>
      <c r="O2097" s="9">
        <v>13.5</v>
      </c>
      <c r="P2097" s="9">
        <v>19.5</v>
      </c>
      <c r="Q2097" s="79">
        <f>VLOOKUP(VLOOKUP(DATEVALUE(TEXT(A2097,"m/d/yyyy")),FY24_Temp[],5,FALSE)&amp;TEXT(A2097,"-h"),Table6[],4,FALSE)</f>
        <v>1.5761428390230452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VLOOKUP(TEXT(A2097,"yy-mm")&amp;"-"&amp;IF(AND(WEEKDAY(A2097)&gt;1,WEEKDAY(A2097)&lt;7),"Wkd",TEXT(A2097,"Ddd"))&amp;"-"&amp;TEXT(A2097,"hh"),LoadTable[],5,FALSE)*0.92</f>
        <v>237.25788000000003</v>
      </c>
      <c r="U2097" s="104">
        <f>VLOOKUP(TEXT(A2097,"yy-mm")&amp;"-"&amp;IF(AND(WEEKDAY(A2097)&gt;1,WEEKDAY(A2097)&lt;7),"Wkd",TEXT(A2097,"Ddd"))&amp;"-"&amp;TEXT(A2097,"hh"),LoadTable[],6,FALSE)*T2097</f>
        <v>18358.065722880005</v>
      </c>
      <c r="V2097">
        <f t="shared" ref="V2097:W2097" si="2234">V2073</f>
        <v>2.5</v>
      </c>
      <c r="W2097">
        <f t="shared" si="2234"/>
        <v>3.1</v>
      </c>
      <c r="X2097" s="9">
        <v>-102.343229566669</v>
      </c>
    </row>
    <row r="2098" spans="1:24">
      <c r="A2098" s="29">
        <f t="shared" si="2185"/>
        <v>45923.291666661586</v>
      </c>
      <c r="B2098" s="30">
        <f t="shared" si="2209"/>
        <v>8000</v>
      </c>
      <c r="C2098" s="8">
        <v>25000</v>
      </c>
      <c r="D2098" s="8">
        <v>0</v>
      </c>
      <c r="E2098" s="8">
        <v>700</v>
      </c>
      <c r="F2098" s="8">
        <v>15000</v>
      </c>
      <c r="G2098" s="30">
        <f t="shared" si="2210"/>
        <v>2400</v>
      </c>
      <c r="H2098" s="8">
        <v>25000</v>
      </c>
      <c r="I2098" s="30">
        <f t="shared" si="2211"/>
        <v>8000</v>
      </c>
      <c r="J2098" s="8">
        <v>25000</v>
      </c>
      <c r="K2098" s="30">
        <f t="shared" si="2212"/>
        <v>8000</v>
      </c>
      <c r="L2098" s="8">
        <v>25000</v>
      </c>
      <c r="M2098" s="9">
        <f>VLOOKUP(DATE(YEAR(A2098),MONTH(A2098),DAY(A2098)),FY24_Temp[],4,FALSE)</f>
        <v>8.5</v>
      </c>
      <c r="N2098" s="9">
        <f>VLOOKUP(DATE(YEAR(A2098),MONTH(A2098),DAY(A2098)),FY24_Temp[],3,FALSE)</f>
        <v>15.84</v>
      </c>
      <c r="O2098" s="9">
        <v>13.5</v>
      </c>
      <c r="P2098" s="9">
        <v>19.5</v>
      </c>
      <c r="Q2098" s="79">
        <f>VLOOKUP(VLOOKUP(DATEVALUE(TEXT(A2098,"m/d/yyyy")),FY24_Temp[],5,FALSE)&amp;TEXT(A2098,"-h"),Table6[],4,FALSE)</f>
        <v>1.4162857021604265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VLOOKUP(TEXT(A2098,"yy-mm")&amp;"-"&amp;IF(AND(WEEKDAY(A2098)&gt;1,WEEKDAY(A2098)&lt;7),"Wkd",TEXT(A2098,"Ddd"))&amp;"-"&amp;TEXT(A2098,"hh"),LoadTable[],5,FALSE)*0.92</f>
        <v>237.25788000000003</v>
      </c>
      <c r="U2098" s="104">
        <f>VLOOKUP(TEXT(A2098,"yy-mm")&amp;"-"&amp;IF(AND(WEEKDAY(A2098)&gt;1,WEEKDAY(A2098)&lt;7),"Wkd",TEXT(A2098,"Ddd"))&amp;"-"&amp;TEXT(A2098,"hh"),LoadTable[],6,FALSE)*T2098</f>
        <v>16249.08042756</v>
      </c>
      <c r="V2098">
        <f t="shared" ref="V2098:W2098" si="2235">V2074</f>
        <v>2.5</v>
      </c>
      <c r="W2098">
        <f t="shared" si="2235"/>
        <v>3.1</v>
      </c>
      <c r="X2098" s="9">
        <v>-102.421024116669</v>
      </c>
    </row>
    <row r="2099" spans="1:24">
      <c r="A2099" s="29">
        <f t="shared" si="2185"/>
        <v>45923.33333332825</v>
      </c>
      <c r="B2099" s="30">
        <f t="shared" si="2209"/>
        <v>8000</v>
      </c>
      <c r="C2099" s="8">
        <v>25000</v>
      </c>
      <c r="D2099" s="8">
        <v>0</v>
      </c>
      <c r="E2099" s="8">
        <v>700</v>
      </c>
      <c r="F2099" s="8">
        <v>15000</v>
      </c>
      <c r="G2099" s="30">
        <f t="shared" si="2210"/>
        <v>2400</v>
      </c>
      <c r="H2099" s="8">
        <v>25000</v>
      </c>
      <c r="I2099" s="30">
        <f t="shared" si="2211"/>
        <v>8000</v>
      </c>
      <c r="J2099" s="8">
        <v>25000</v>
      </c>
      <c r="K2099" s="30">
        <f t="shared" si="2212"/>
        <v>8000</v>
      </c>
      <c r="L2099" s="8">
        <v>25000</v>
      </c>
      <c r="M2099" s="9">
        <f>VLOOKUP(DATE(YEAR(A2099),MONTH(A2099),DAY(A2099)),FY24_Temp[],4,FALSE)</f>
        <v>8.5</v>
      </c>
      <c r="N2099" s="9">
        <f>VLOOKUP(DATE(YEAR(A2099),MONTH(A2099),DAY(A2099)),FY24_Temp[],3,FALSE)</f>
        <v>15.84</v>
      </c>
      <c r="O2099" s="9">
        <v>13.5</v>
      </c>
      <c r="P2099" s="9">
        <v>19.5</v>
      </c>
      <c r="Q2099" s="79">
        <f>VLOOKUP(VLOOKUP(DATEVALUE(TEXT(A2099,"m/d/yyyy")),FY24_Temp[],5,FALSE)&amp;TEXT(A2099,"-h"),Table6[],4,FALSE)</f>
        <v>1.3535714490073067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VLOOKUP(TEXT(A2099,"yy-mm")&amp;"-"&amp;IF(AND(WEEKDAY(A2099)&gt;1,WEEKDAY(A2099)&lt;7),"Wkd",TEXT(A2099,"Ddd"))&amp;"-"&amp;TEXT(A2099,"hh"),LoadTable[],5,FALSE)*0.92</f>
        <v>237.25788000000003</v>
      </c>
      <c r="U2099" s="104">
        <f>VLOOKUP(TEXT(A2099,"yy-mm")&amp;"-"&amp;IF(AND(WEEKDAY(A2099)&gt;1,WEEKDAY(A2099)&lt;7),"Wkd",TEXT(A2099,"Ddd"))&amp;"-"&amp;TEXT(A2099,"hh"),LoadTable[],6,FALSE)*T2099</f>
        <v>13068.164030400001</v>
      </c>
      <c r="V2099">
        <f t="shared" ref="V2099:W2099" si="2236">V2075</f>
        <v>3.2</v>
      </c>
      <c r="W2099">
        <f t="shared" si="2236"/>
        <v>3</v>
      </c>
      <c r="X2099" s="9">
        <v>-102.498818666669</v>
      </c>
    </row>
    <row r="2100" spans="1:24">
      <c r="A2100" s="29">
        <f t="shared" si="2185"/>
        <v>45923.374999994914</v>
      </c>
      <c r="B2100" s="30">
        <f t="shared" si="2209"/>
        <v>8000</v>
      </c>
      <c r="C2100" s="8">
        <v>25000</v>
      </c>
      <c r="D2100" s="8">
        <v>0</v>
      </c>
      <c r="E2100" s="8">
        <v>700</v>
      </c>
      <c r="F2100" s="8">
        <v>15000</v>
      </c>
      <c r="G2100" s="30">
        <f t="shared" si="2210"/>
        <v>2400</v>
      </c>
      <c r="H2100" s="8">
        <v>25000</v>
      </c>
      <c r="I2100" s="30">
        <f t="shared" si="2211"/>
        <v>8000</v>
      </c>
      <c r="J2100" s="8">
        <v>25000</v>
      </c>
      <c r="K2100" s="30">
        <f t="shared" si="2212"/>
        <v>8000</v>
      </c>
      <c r="L2100" s="8">
        <v>25000</v>
      </c>
      <c r="M2100" s="9">
        <f>VLOOKUP(DATE(YEAR(A2100),MONTH(A2100),DAY(A2100)),FY24_Temp[],4,FALSE)</f>
        <v>8.5</v>
      </c>
      <c r="N2100" s="9">
        <f>VLOOKUP(DATE(YEAR(A2100),MONTH(A2100),DAY(A2100)),FY24_Temp[],3,FALSE)</f>
        <v>15.84</v>
      </c>
      <c r="O2100" s="9">
        <v>13.5</v>
      </c>
      <c r="P2100" s="9">
        <v>19.5</v>
      </c>
      <c r="Q2100" s="79">
        <f>VLOOKUP(VLOOKUP(DATEVALUE(TEXT(A2100,"m/d/yyyy")),FY24_Temp[],5,FALSE)&amp;TEXT(A2100,"-h"),Table6[],4,FALSE)</f>
        <v>1.21599999495915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VLOOKUP(TEXT(A2100,"yy-mm")&amp;"-"&amp;IF(AND(WEEKDAY(A2100)&gt;1,WEEKDAY(A2100)&lt;7),"Wkd",TEXT(A2100,"Ddd"))&amp;"-"&amp;TEXT(A2100,"hh"),LoadTable[],5,FALSE)*0.92</f>
        <v>237.25788000000003</v>
      </c>
      <c r="U2100" s="104">
        <f>VLOOKUP(TEXT(A2100,"yy-mm")&amp;"-"&amp;IF(AND(WEEKDAY(A2100)&gt;1,WEEKDAY(A2100)&lt;7),"Wkd",TEXT(A2100,"Ddd"))&amp;"-"&amp;TEXT(A2100,"hh"),LoadTable[],6,FALSE)*T2100</f>
        <v>11518.395558240001</v>
      </c>
      <c r="V2100">
        <f t="shared" ref="V2100:W2100" si="2237">V2076</f>
        <v>2.9</v>
      </c>
      <c r="W2100">
        <f t="shared" si="2237"/>
        <v>3</v>
      </c>
      <c r="X2100" s="9">
        <v>-102.576613216669</v>
      </c>
    </row>
    <row r="2101" spans="1:24">
      <c r="A2101" s="29">
        <f t="shared" si="2185"/>
        <v>45923.416666661578</v>
      </c>
      <c r="B2101" s="30">
        <f t="shared" si="2209"/>
        <v>8000</v>
      </c>
      <c r="C2101" s="8">
        <v>25000</v>
      </c>
      <c r="D2101" s="8">
        <v>0</v>
      </c>
      <c r="E2101" s="8">
        <v>700</v>
      </c>
      <c r="F2101" s="8">
        <v>15000</v>
      </c>
      <c r="G2101" s="30">
        <f t="shared" si="2210"/>
        <v>2400</v>
      </c>
      <c r="H2101" s="8">
        <v>25000</v>
      </c>
      <c r="I2101" s="30">
        <f t="shared" si="2211"/>
        <v>8000</v>
      </c>
      <c r="J2101" s="8">
        <v>25000</v>
      </c>
      <c r="K2101" s="30">
        <f t="shared" si="2212"/>
        <v>8000</v>
      </c>
      <c r="L2101" s="8">
        <v>25000</v>
      </c>
      <c r="M2101" s="9">
        <f>VLOOKUP(DATE(YEAR(A2101),MONTH(A2101),DAY(A2101)),FY24_Temp[],4,FALSE)</f>
        <v>8.5</v>
      </c>
      <c r="N2101" s="9">
        <f>VLOOKUP(DATE(YEAR(A2101),MONTH(A2101),DAY(A2101)),FY24_Temp[],3,FALSE)</f>
        <v>15.84</v>
      </c>
      <c r="O2101" s="9">
        <v>13.5</v>
      </c>
      <c r="P2101" s="9">
        <v>19.5</v>
      </c>
      <c r="Q2101" s="79">
        <f>VLOOKUP(VLOOKUP(DATEVALUE(TEXT(A2101,"m/d/yyyy")),FY24_Temp[],5,FALSE)&amp;TEXT(A2101,"-h"),Table6[],4,FALSE)</f>
        <v>1.082714285169329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VLOOKUP(TEXT(A2101,"yy-mm")&amp;"-"&amp;IF(AND(WEEKDAY(A2101)&gt;1,WEEKDAY(A2101)&lt;7),"Wkd",TEXT(A2101,"Ddd"))&amp;"-"&amp;TEXT(A2101,"hh"),LoadTable[],5,FALSE)*0.92</f>
        <v>237.25788000000003</v>
      </c>
      <c r="U2101" s="104">
        <f>VLOOKUP(TEXT(A2101,"yy-mm")&amp;"-"&amp;IF(AND(WEEKDAY(A2101)&gt;1,WEEKDAY(A2101)&lt;7),"Wkd",TEXT(A2101,"Ddd"))&amp;"-"&amp;TEXT(A2101,"hh"),LoadTable[],6,FALSE)*T2101</f>
        <v>10982.667265200002</v>
      </c>
      <c r="V2101">
        <f t="shared" ref="V2101:W2101" si="2238">V2077</f>
        <v>2.9</v>
      </c>
      <c r="W2101">
        <f t="shared" si="2238"/>
        <v>3</v>
      </c>
      <c r="X2101" s="9">
        <v>-102.654407766669</v>
      </c>
    </row>
    <row r="2102" spans="1:24">
      <c r="A2102" s="29">
        <f t="shared" si="2185"/>
        <v>45923.458333328243</v>
      </c>
      <c r="B2102" s="30">
        <f t="shared" si="2209"/>
        <v>8000</v>
      </c>
      <c r="C2102" s="8">
        <v>25000</v>
      </c>
      <c r="D2102" s="8">
        <v>0</v>
      </c>
      <c r="E2102" s="8">
        <v>700</v>
      </c>
      <c r="F2102" s="8">
        <v>15000</v>
      </c>
      <c r="G2102" s="30">
        <f t="shared" si="2210"/>
        <v>2400</v>
      </c>
      <c r="H2102" s="8">
        <v>25000</v>
      </c>
      <c r="I2102" s="30">
        <f t="shared" si="2211"/>
        <v>8000</v>
      </c>
      <c r="J2102" s="8">
        <v>25000</v>
      </c>
      <c r="K2102" s="30">
        <f t="shared" si="2212"/>
        <v>8000</v>
      </c>
      <c r="L2102" s="8">
        <v>25000</v>
      </c>
      <c r="M2102" s="9">
        <f>VLOOKUP(DATE(YEAR(A2102),MONTH(A2102),DAY(A2102)),FY24_Temp[],4,FALSE)</f>
        <v>8.5</v>
      </c>
      <c r="N2102" s="9">
        <f>VLOOKUP(DATE(YEAR(A2102),MONTH(A2102),DAY(A2102)),FY24_Temp[],3,FALSE)</f>
        <v>15.84</v>
      </c>
      <c r="O2102" s="9">
        <v>13.5</v>
      </c>
      <c r="P2102" s="9">
        <v>19.5</v>
      </c>
      <c r="Q2102" s="79">
        <f>VLOOKUP(VLOOKUP(DATEVALUE(TEXT(A2102,"m/d/yyyy")),FY24_Temp[],5,FALSE)&amp;TEXT(A2102,"-h"),Table6[],4,FALSE)</f>
        <v>0.97514285360063824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VLOOKUP(TEXT(A2102,"yy-mm")&amp;"-"&amp;IF(AND(WEEKDAY(A2102)&gt;1,WEEKDAY(A2102)&lt;7),"Wkd",TEXT(A2102,"Ddd"))&amp;"-"&amp;TEXT(A2102,"hh"),LoadTable[],5,FALSE)*0.92</f>
        <v>237.25788000000003</v>
      </c>
      <c r="U2102" s="104">
        <f>VLOOKUP(TEXT(A2102,"yy-mm")&amp;"-"&amp;IF(AND(WEEKDAY(A2102)&gt;1,WEEKDAY(A2102)&lt;7),"Wkd",TEXT(A2102,"Ddd"))&amp;"-"&amp;TEXT(A2102,"hh"),LoadTable[],6,FALSE)*T2102</f>
        <v>10974.125981520001</v>
      </c>
      <c r="V2102">
        <f t="shared" ref="V2102:W2102" si="2239">V2078</f>
        <v>3.4</v>
      </c>
      <c r="W2102">
        <f t="shared" si="2239"/>
        <v>3</v>
      </c>
      <c r="X2102" s="9">
        <v>-102.732202316669</v>
      </c>
    </row>
    <row r="2103" spans="1:24">
      <c r="A2103" s="29">
        <f t="shared" si="2185"/>
        <v>45923.499999994907</v>
      </c>
      <c r="B2103" s="30">
        <f t="shared" si="2209"/>
        <v>8000</v>
      </c>
      <c r="C2103" s="8">
        <v>25000</v>
      </c>
      <c r="D2103" s="8">
        <v>0</v>
      </c>
      <c r="E2103" s="8">
        <v>700</v>
      </c>
      <c r="F2103" s="8">
        <v>15000</v>
      </c>
      <c r="G2103" s="30">
        <f t="shared" si="2210"/>
        <v>2400</v>
      </c>
      <c r="H2103" s="8">
        <v>25000</v>
      </c>
      <c r="I2103" s="30">
        <f t="shared" si="2211"/>
        <v>8000</v>
      </c>
      <c r="J2103" s="8">
        <v>25000</v>
      </c>
      <c r="K2103" s="30">
        <f t="shared" si="2212"/>
        <v>8000</v>
      </c>
      <c r="L2103" s="8">
        <v>25000</v>
      </c>
      <c r="M2103" s="9">
        <f>VLOOKUP(DATE(YEAR(A2103),MONTH(A2103),DAY(A2103)),FY24_Temp[],4,FALSE)</f>
        <v>8.5</v>
      </c>
      <c r="N2103" s="9">
        <f>VLOOKUP(DATE(YEAR(A2103),MONTH(A2103),DAY(A2103)),FY24_Temp[],3,FALSE)</f>
        <v>15.84</v>
      </c>
      <c r="O2103" s="9">
        <v>13.5</v>
      </c>
      <c r="P2103" s="9">
        <v>19.5</v>
      </c>
      <c r="Q2103" s="79">
        <f>VLOOKUP(VLOOKUP(DATEVALUE(TEXT(A2103,"m/d/yyyy")),FY24_Temp[],5,FALSE)&amp;TEXT(A2103,"-h"),Table6[],4,FALSE)</f>
        <v>0.82942857061113628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VLOOKUP(TEXT(A2103,"yy-mm")&amp;"-"&amp;IF(AND(WEEKDAY(A2103)&gt;1,WEEKDAY(A2103)&lt;7),"Wkd",TEXT(A2103,"Ddd"))&amp;"-"&amp;TEXT(A2103,"hh"),LoadTable[],5,FALSE)*0.92</f>
        <v>237.25788000000003</v>
      </c>
      <c r="U2103" s="104">
        <f>VLOOKUP(TEXT(A2103,"yy-mm")&amp;"-"&amp;IF(AND(WEEKDAY(A2103)&gt;1,WEEKDAY(A2103)&lt;7),"Wkd",TEXT(A2103,"Ddd"))&amp;"-"&amp;TEXT(A2103,"hh"),LoadTable[],6,FALSE)*T2103</f>
        <v>10962.974861160001</v>
      </c>
      <c r="V2103">
        <f t="shared" ref="V2103:W2103" si="2240">V2079</f>
        <v>3.1</v>
      </c>
      <c r="W2103">
        <f t="shared" si="2240"/>
        <v>2.9</v>
      </c>
      <c r="X2103" s="9">
        <v>-102.809996866669</v>
      </c>
    </row>
    <row r="2104" spans="1:24">
      <c r="A2104" s="29">
        <f t="shared" si="2185"/>
        <v>45923.541666661571</v>
      </c>
      <c r="B2104" s="30">
        <f t="shared" si="2209"/>
        <v>8000</v>
      </c>
      <c r="C2104" s="8">
        <v>25000</v>
      </c>
      <c r="D2104" s="8">
        <v>0</v>
      </c>
      <c r="E2104" s="8">
        <v>700</v>
      </c>
      <c r="F2104" s="8">
        <v>15000</v>
      </c>
      <c r="G2104" s="30">
        <f t="shared" si="2210"/>
        <v>2400</v>
      </c>
      <c r="H2104" s="8">
        <v>25000</v>
      </c>
      <c r="I2104" s="30">
        <f t="shared" si="2211"/>
        <v>8000</v>
      </c>
      <c r="J2104" s="8">
        <v>25000</v>
      </c>
      <c r="K2104" s="30">
        <f t="shared" si="2212"/>
        <v>8000</v>
      </c>
      <c r="L2104" s="8">
        <v>25000</v>
      </c>
      <c r="M2104" s="9">
        <f>VLOOKUP(DATE(YEAR(A2104),MONTH(A2104),DAY(A2104)),FY24_Temp[],4,FALSE)</f>
        <v>8.5</v>
      </c>
      <c r="N2104" s="9">
        <f>VLOOKUP(DATE(YEAR(A2104),MONTH(A2104),DAY(A2104)),FY24_Temp[],3,FALSE)</f>
        <v>15.84</v>
      </c>
      <c r="O2104" s="9">
        <v>13.5</v>
      </c>
      <c r="P2104" s="9">
        <v>19.5</v>
      </c>
      <c r="Q2104" s="79">
        <f>VLOOKUP(VLOOKUP(DATEVALUE(TEXT(A2104,"m/d/yyyy")),FY24_Temp[],5,FALSE)&amp;TEXT(A2104,"-h"),Table6[],4,FALSE)</f>
        <v>0.69342857599258423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VLOOKUP(TEXT(A2104,"yy-mm")&amp;"-"&amp;IF(AND(WEEKDAY(A2104)&gt;1,WEEKDAY(A2104)&lt;7),"Wkd",TEXT(A2104,"Ddd"))&amp;"-"&amp;TEXT(A2104,"hh"),LoadTable[],5,FALSE)*0.92</f>
        <v>237.25788000000003</v>
      </c>
      <c r="U2104" s="104">
        <f>VLOOKUP(TEXT(A2104,"yy-mm")&amp;"-"&amp;IF(AND(WEEKDAY(A2104)&gt;1,WEEKDAY(A2104)&lt;7),"Wkd",TEXT(A2104,"Ddd"))&amp;"-"&amp;TEXT(A2104,"hh"),LoadTable[],6,FALSE)*T2104</f>
        <v>10978.39662336</v>
      </c>
      <c r="V2104">
        <f t="shared" ref="V2104:W2104" si="2241">V2080</f>
        <v>3.2</v>
      </c>
      <c r="W2104">
        <f t="shared" si="2241"/>
        <v>2.9</v>
      </c>
      <c r="X2104" s="9">
        <v>-102.887791416669</v>
      </c>
    </row>
    <row r="2105" spans="1:24">
      <c r="A2105" s="29">
        <f t="shared" si="2185"/>
        <v>45923.583333328235</v>
      </c>
      <c r="B2105" s="30">
        <f t="shared" si="2209"/>
        <v>8000</v>
      </c>
      <c r="C2105" s="8">
        <v>25000</v>
      </c>
      <c r="D2105" s="8">
        <v>0</v>
      </c>
      <c r="E2105" s="8">
        <v>700</v>
      </c>
      <c r="F2105" s="8">
        <v>15000</v>
      </c>
      <c r="G2105" s="30">
        <f t="shared" si="2210"/>
        <v>2400</v>
      </c>
      <c r="H2105" s="8">
        <v>25000</v>
      </c>
      <c r="I2105" s="30">
        <f t="shared" si="2211"/>
        <v>8000</v>
      </c>
      <c r="J2105" s="8">
        <v>25000</v>
      </c>
      <c r="K2105" s="30">
        <f t="shared" si="2212"/>
        <v>8000</v>
      </c>
      <c r="L2105" s="8">
        <v>25000</v>
      </c>
      <c r="M2105" s="9">
        <f>VLOOKUP(DATE(YEAR(A2105),MONTH(A2105),DAY(A2105)),FY24_Temp[],4,FALSE)</f>
        <v>8.5</v>
      </c>
      <c r="N2105" s="9">
        <f>VLOOKUP(DATE(YEAR(A2105),MONTH(A2105),DAY(A2105)),FY24_Temp[],3,FALSE)</f>
        <v>15.84</v>
      </c>
      <c r="O2105" s="9">
        <v>13.5</v>
      </c>
      <c r="P2105" s="9">
        <v>19.5</v>
      </c>
      <c r="Q2105" s="79">
        <f>VLOOKUP(VLOOKUP(DATEVALUE(TEXT(A2105,"m/d/yyyy")),FY24_Temp[],5,FALSE)&amp;TEXT(A2105,"-h"),Table6[],4,FALSE)</f>
        <v>0.57800000480243141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VLOOKUP(TEXT(A2105,"yy-mm")&amp;"-"&amp;IF(AND(WEEKDAY(A2105)&gt;1,WEEKDAY(A2105)&lt;7),"Wkd",TEXT(A2105,"Ddd"))&amp;"-"&amp;TEXT(A2105,"hh"),LoadTable[],5,FALSE)*0.92</f>
        <v>269.75136000000003</v>
      </c>
      <c r="U2105" s="104">
        <f>VLOOKUP(TEXT(A2105,"yy-mm")&amp;"-"&amp;IF(AND(WEEKDAY(A2105)&gt;1,WEEKDAY(A2105)&lt;7),"Wkd",TEXT(A2105,"Ddd"))&amp;"-"&amp;TEXT(A2105,"hh"),LoadTable[],6,FALSE)*T2105</f>
        <v>12503.245287360001</v>
      </c>
      <c r="V2105">
        <f t="shared" ref="V2105:W2105" si="2242">V2081</f>
        <v>3.5</v>
      </c>
      <c r="W2105">
        <f t="shared" si="2242"/>
        <v>2.9</v>
      </c>
      <c r="X2105" s="9">
        <v>-102.965585966669</v>
      </c>
    </row>
    <row r="2106" spans="1:24">
      <c r="A2106" s="29">
        <f t="shared" si="2185"/>
        <v>45923.6249999949</v>
      </c>
      <c r="B2106" s="30">
        <f t="shared" si="2209"/>
        <v>8000</v>
      </c>
      <c r="C2106" s="8">
        <v>25000</v>
      </c>
      <c r="D2106" s="8">
        <v>0</v>
      </c>
      <c r="E2106" s="8">
        <v>700</v>
      </c>
      <c r="F2106" s="8">
        <v>15000</v>
      </c>
      <c r="G2106" s="30">
        <f t="shared" si="2210"/>
        <v>2400</v>
      </c>
      <c r="H2106" s="8">
        <v>25000</v>
      </c>
      <c r="I2106" s="30">
        <f t="shared" si="2211"/>
        <v>8000</v>
      </c>
      <c r="J2106" s="8">
        <v>25000</v>
      </c>
      <c r="K2106" s="30">
        <f t="shared" si="2212"/>
        <v>8000</v>
      </c>
      <c r="L2106" s="8">
        <v>25000</v>
      </c>
      <c r="M2106" s="9">
        <f>VLOOKUP(DATE(YEAR(A2106),MONTH(A2106),DAY(A2106)),FY24_Temp[],4,FALSE)</f>
        <v>8.5</v>
      </c>
      <c r="N2106" s="9">
        <f>VLOOKUP(DATE(YEAR(A2106),MONTH(A2106),DAY(A2106)),FY24_Temp[],3,FALSE)</f>
        <v>15.84</v>
      </c>
      <c r="O2106" s="9">
        <v>13.5</v>
      </c>
      <c r="P2106" s="9">
        <v>19.5</v>
      </c>
      <c r="Q2106" s="79">
        <f>VLOOKUP(VLOOKUP(DATEVALUE(TEXT(A2106,"m/d/yyyy")),FY24_Temp[],5,FALSE)&amp;TEXT(A2106,"-h"),Table6[],4,FALSE)</f>
        <v>0.56385713389941627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VLOOKUP(TEXT(A2106,"yy-mm")&amp;"-"&amp;IF(AND(WEEKDAY(A2106)&gt;1,WEEKDAY(A2106)&lt;7),"Wkd",TEXT(A2106,"Ddd"))&amp;"-"&amp;TEXT(A2106,"hh"),LoadTable[],5,FALSE)*0.92</f>
        <v>388.38076000000001</v>
      </c>
      <c r="U2106" s="104">
        <f>VLOOKUP(TEXT(A2106,"yy-mm")&amp;"-"&amp;IF(AND(WEEKDAY(A2106)&gt;1,WEEKDAY(A2106)&lt;7),"Wkd",TEXT(A2106,"Ddd"))&amp;"-"&amp;TEXT(A2106,"hh"),LoadTable[],6,FALSE)*T2106</f>
        <v>19705.663000880002</v>
      </c>
      <c r="V2106">
        <f t="shared" ref="V2106:W2106" si="2243">V2082</f>
        <v>3.2</v>
      </c>
      <c r="W2106">
        <f t="shared" si="2243"/>
        <v>2.9</v>
      </c>
      <c r="X2106" s="9">
        <v>-103.043380516669</v>
      </c>
    </row>
    <row r="2107" spans="1:24">
      <c r="A2107" s="29">
        <f t="shared" si="2185"/>
        <v>45923.666666661564</v>
      </c>
      <c r="B2107" s="30">
        <f t="shared" si="2209"/>
        <v>8000</v>
      </c>
      <c r="C2107" s="8">
        <v>25000</v>
      </c>
      <c r="D2107" s="8">
        <v>0</v>
      </c>
      <c r="E2107" s="8">
        <v>700</v>
      </c>
      <c r="F2107" s="8">
        <v>15000</v>
      </c>
      <c r="G2107" s="30">
        <f t="shared" si="2210"/>
        <v>2400</v>
      </c>
      <c r="H2107" s="8">
        <v>25000</v>
      </c>
      <c r="I2107" s="30">
        <f t="shared" si="2211"/>
        <v>8000</v>
      </c>
      <c r="J2107" s="8">
        <v>25000</v>
      </c>
      <c r="K2107" s="30">
        <f t="shared" si="2212"/>
        <v>8000</v>
      </c>
      <c r="L2107" s="8">
        <v>25000</v>
      </c>
      <c r="M2107" s="9">
        <f>VLOOKUP(DATE(YEAR(A2107),MONTH(A2107),DAY(A2107)),FY24_Temp[],4,FALSE)</f>
        <v>8.5</v>
      </c>
      <c r="N2107" s="9">
        <f>VLOOKUP(DATE(YEAR(A2107),MONTH(A2107),DAY(A2107)),FY24_Temp[],3,FALSE)</f>
        <v>15.84</v>
      </c>
      <c r="O2107" s="9">
        <v>13.5</v>
      </c>
      <c r="P2107" s="9">
        <v>19.5</v>
      </c>
      <c r="Q2107" s="79">
        <f>VLOOKUP(VLOOKUP(DATEVALUE(TEXT(A2107,"m/d/yyyy")),FY24_Temp[],5,FALSE)&amp;TEXT(A2107,"-h"),Table6[],4,FALSE)</f>
        <v>0.83414285523550846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VLOOKUP(TEXT(A2107,"yy-mm")&amp;"-"&amp;IF(AND(WEEKDAY(A2107)&gt;1,WEEKDAY(A2107)&lt;7),"Wkd",TEXT(A2107,"Ddd"))&amp;"-"&amp;TEXT(A2107,"hh"),LoadTable[],5,FALSE)*0.92</f>
        <v>388.38076000000001</v>
      </c>
      <c r="U2107" s="104">
        <f>VLOOKUP(TEXT(A2107,"yy-mm")&amp;"-"&amp;IF(AND(WEEKDAY(A2107)&gt;1,WEEKDAY(A2107)&lt;7),"Wkd",TEXT(A2107,"Ddd"))&amp;"-"&amp;TEXT(A2107,"hh"),LoadTable[],6,FALSE)*T2107</f>
        <v>23675.6911296</v>
      </c>
      <c r="V2107">
        <f t="shared" ref="V2107:W2107" si="2244">V2083</f>
        <v>3.5</v>
      </c>
      <c r="W2107">
        <f t="shared" si="2244"/>
        <v>3</v>
      </c>
      <c r="X2107" s="9">
        <v>-103.121175066669</v>
      </c>
    </row>
    <row r="2108" spans="1:24">
      <c r="A2108" s="29">
        <f t="shared" si="2185"/>
        <v>45923.708333328228</v>
      </c>
      <c r="B2108" s="30">
        <f t="shared" si="2209"/>
        <v>8000</v>
      </c>
      <c r="C2108" s="8">
        <v>25000</v>
      </c>
      <c r="D2108" s="8">
        <v>0</v>
      </c>
      <c r="E2108" s="8">
        <v>700</v>
      </c>
      <c r="F2108" s="8">
        <v>15000</v>
      </c>
      <c r="G2108" s="30">
        <f t="shared" si="2210"/>
        <v>2400</v>
      </c>
      <c r="H2108" s="8">
        <v>25000</v>
      </c>
      <c r="I2108" s="30">
        <f t="shared" si="2211"/>
        <v>8000</v>
      </c>
      <c r="J2108" s="8">
        <v>25000</v>
      </c>
      <c r="K2108" s="30">
        <f t="shared" si="2212"/>
        <v>8000</v>
      </c>
      <c r="L2108" s="8">
        <v>25000</v>
      </c>
      <c r="M2108" s="9">
        <f>VLOOKUP(DATE(YEAR(A2108),MONTH(A2108),DAY(A2108)),FY24_Temp[],4,FALSE)</f>
        <v>8.5</v>
      </c>
      <c r="N2108" s="9">
        <f>VLOOKUP(DATE(YEAR(A2108),MONTH(A2108),DAY(A2108)),FY24_Temp[],3,FALSE)</f>
        <v>15.84</v>
      </c>
      <c r="O2108" s="9">
        <v>13.5</v>
      </c>
      <c r="P2108" s="9">
        <v>19.5</v>
      </c>
      <c r="Q2108" s="79">
        <f>VLOOKUP(VLOOKUP(DATEVALUE(TEXT(A2108,"m/d/yyyy")),FY24_Temp[],5,FALSE)&amp;TEXT(A2108,"-h"),Table6[],4,FALSE)</f>
        <v>1.2335714272090368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VLOOKUP(TEXT(A2108,"yy-mm")&amp;"-"&amp;IF(AND(WEEKDAY(A2108)&gt;1,WEEKDAY(A2108)&lt;7),"Wkd",TEXT(A2108,"Ddd"))&amp;"-"&amp;TEXT(A2108,"hh"),LoadTable[],5,FALSE)*0.92</f>
        <v>388.38076000000001</v>
      </c>
      <c r="U2108" s="104">
        <f>VLOOKUP(TEXT(A2108,"yy-mm")&amp;"-"&amp;IF(AND(WEEKDAY(A2108)&gt;1,WEEKDAY(A2108)&lt;7),"Wkd",TEXT(A2108,"Ddd"))&amp;"-"&amp;TEXT(A2108,"hh"),LoadTable[],6,FALSE)*T2108</f>
        <v>31454.180990880002</v>
      </c>
      <c r="V2108">
        <f t="shared" ref="V2108:W2108" si="2245">V2084</f>
        <v>3.6</v>
      </c>
      <c r="W2108">
        <f t="shared" si="2245"/>
        <v>3</v>
      </c>
      <c r="X2108" s="9">
        <v>-103.198969616669</v>
      </c>
    </row>
    <row r="2109" spans="1:24">
      <c r="A2109" s="29">
        <f t="shared" si="2185"/>
        <v>45923.749999994892</v>
      </c>
      <c r="B2109" s="30">
        <f t="shared" si="2209"/>
        <v>5000</v>
      </c>
      <c r="C2109" s="8">
        <v>25000</v>
      </c>
      <c r="D2109" s="8">
        <v>0</v>
      </c>
      <c r="E2109" s="8">
        <v>700</v>
      </c>
      <c r="F2109" s="8">
        <v>15000</v>
      </c>
      <c r="G2109" s="30">
        <f t="shared" si="2210"/>
        <v>2400</v>
      </c>
      <c r="H2109" s="8">
        <v>25000</v>
      </c>
      <c r="I2109" s="30">
        <f t="shared" si="2211"/>
        <v>5000</v>
      </c>
      <c r="J2109" s="8">
        <v>25000</v>
      </c>
      <c r="K2109" s="30">
        <f t="shared" si="2212"/>
        <v>5000</v>
      </c>
      <c r="L2109" s="8">
        <v>25000</v>
      </c>
      <c r="M2109" s="9">
        <f>VLOOKUP(DATE(YEAR(A2109),MONTH(A2109),DAY(A2109)),FY24_Temp[],4,FALSE)</f>
        <v>8.5</v>
      </c>
      <c r="N2109" s="9">
        <f>VLOOKUP(DATE(YEAR(A2109),MONTH(A2109),DAY(A2109)),FY24_Temp[],3,FALSE)</f>
        <v>15.84</v>
      </c>
      <c r="O2109" s="9">
        <v>13.5</v>
      </c>
      <c r="P2109" s="9">
        <v>19.5</v>
      </c>
      <c r="Q2109" s="79">
        <f>VLOOKUP(VLOOKUP(DATEVALUE(TEXT(A2109,"m/d/yyyy")),FY24_Temp[],5,FALSE)&amp;TEXT(A2109,"-h"),Table6[],4,FALSE)</f>
        <v>1.6985714265278407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VLOOKUP(TEXT(A2109,"yy-mm")&amp;"-"&amp;IF(AND(WEEKDAY(A2109)&gt;1,WEEKDAY(A2109)&lt;7),"Wkd",TEXT(A2109,"Ddd"))&amp;"-"&amp;TEXT(A2109,"hh"),LoadTable[],5,FALSE)*0.92</f>
        <v>388.38076000000001</v>
      </c>
      <c r="U2109" s="104">
        <f>VLOOKUP(TEXT(A2109,"yy-mm")&amp;"-"&amp;IF(AND(WEEKDAY(A2109)&gt;1,WEEKDAY(A2109)&lt;7),"Wkd",TEXT(A2109,"Ddd"))&amp;"-"&amp;TEXT(A2109,"hh"),LoadTable[],6,FALSE)*T2109</f>
        <v>38316.869020080005</v>
      </c>
      <c r="V2109">
        <f t="shared" ref="V2109:W2109" si="2246">V2085</f>
        <v>2.9</v>
      </c>
      <c r="W2109">
        <f t="shared" si="2246"/>
        <v>3</v>
      </c>
      <c r="X2109" s="9">
        <v>-103.276764166669</v>
      </c>
    </row>
    <row r="2110" spans="1:24">
      <c r="A2110" s="29">
        <f t="shared" si="2185"/>
        <v>45923.791666661557</v>
      </c>
      <c r="B2110" s="30">
        <f t="shared" si="2209"/>
        <v>5000</v>
      </c>
      <c r="C2110" s="8">
        <v>25000</v>
      </c>
      <c r="D2110" s="8">
        <v>0</v>
      </c>
      <c r="E2110" s="8">
        <v>700</v>
      </c>
      <c r="F2110" s="8">
        <v>15000</v>
      </c>
      <c r="G2110" s="30">
        <f t="shared" si="2210"/>
        <v>2400</v>
      </c>
      <c r="H2110" s="8">
        <v>25000</v>
      </c>
      <c r="I2110" s="30">
        <f t="shared" si="2211"/>
        <v>5000</v>
      </c>
      <c r="J2110" s="8">
        <v>25000</v>
      </c>
      <c r="K2110" s="30">
        <f t="shared" si="2212"/>
        <v>5000</v>
      </c>
      <c r="L2110" s="8">
        <v>25000</v>
      </c>
      <c r="M2110" s="9">
        <f>VLOOKUP(DATE(YEAR(A2110),MONTH(A2110),DAY(A2110)),FY24_Temp[],4,FALSE)</f>
        <v>8.5</v>
      </c>
      <c r="N2110" s="9">
        <f>VLOOKUP(DATE(YEAR(A2110),MONTH(A2110),DAY(A2110)),FY24_Temp[],3,FALSE)</f>
        <v>15.84</v>
      </c>
      <c r="O2110" s="9">
        <v>13.5</v>
      </c>
      <c r="P2110" s="9">
        <v>19.5</v>
      </c>
      <c r="Q2110" s="79">
        <f>VLOOKUP(VLOOKUP(DATEVALUE(TEXT(A2110,"m/d/yyyy")),FY24_Temp[],5,FALSE)&amp;TEXT(A2110,"-h"),Table6[],4,FALSE)</f>
        <v>2.0531428711754933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VLOOKUP(TEXT(A2110,"yy-mm")&amp;"-"&amp;IF(AND(WEEKDAY(A2110)&gt;1,WEEKDAY(A2110)&lt;7),"Wkd",TEXT(A2110,"Ddd"))&amp;"-"&amp;TEXT(A2110,"hh"),LoadTable[],5,FALSE)*0.92</f>
        <v>388.38076000000001</v>
      </c>
      <c r="U2110" s="104">
        <f>VLOOKUP(TEXT(A2110,"yy-mm")&amp;"-"&amp;IF(AND(WEEKDAY(A2110)&gt;1,WEEKDAY(A2110)&lt;7),"Wkd",TEXT(A2110,"Ddd"))&amp;"-"&amp;TEXT(A2110,"hh"),LoadTable[],6,FALSE)*T2110</f>
        <v>41132.241149319998</v>
      </c>
      <c r="V2110">
        <f t="shared" ref="V2110:W2110" si="2247">V2086</f>
        <v>3</v>
      </c>
      <c r="W2110">
        <f t="shared" si="2247"/>
        <v>3</v>
      </c>
      <c r="X2110" s="9">
        <v>-103.354558716669</v>
      </c>
    </row>
    <row r="2111" spans="1:24">
      <c r="A2111" s="29">
        <f t="shared" si="2185"/>
        <v>45923.833333328221</v>
      </c>
      <c r="B2111" s="30">
        <f t="shared" si="2209"/>
        <v>5000</v>
      </c>
      <c r="C2111" s="8">
        <v>25000</v>
      </c>
      <c r="D2111" s="8">
        <v>0</v>
      </c>
      <c r="E2111" s="8">
        <v>700</v>
      </c>
      <c r="F2111" s="8">
        <v>15000</v>
      </c>
      <c r="G2111" s="30">
        <f t="shared" si="2210"/>
        <v>2400</v>
      </c>
      <c r="H2111" s="8">
        <v>25000</v>
      </c>
      <c r="I2111" s="30">
        <f t="shared" si="2211"/>
        <v>5000</v>
      </c>
      <c r="J2111" s="8">
        <v>25000</v>
      </c>
      <c r="K2111" s="30">
        <f t="shared" si="2212"/>
        <v>5000</v>
      </c>
      <c r="L2111" s="8">
        <v>25000</v>
      </c>
      <c r="M2111" s="9">
        <f>VLOOKUP(DATE(YEAR(A2111),MONTH(A2111),DAY(A2111)),FY24_Temp[],4,FALSE)</f>
        <v>8.5</v>
      </c>
      <c r="N2111" s="9">
        <f>VLOOKUP(DATE(YEAR(A2111),MONTH(A2111),DAY(A2111)),FY24_Temp[],3,FALSE)</f>
        <v>15.84</v>
      </c>
      <c r="O2111" s="9">
        <v>13.5</v>
      </c>
      <c r="P2111" s="9">
        <v>19.5</v>
      </c>
      <c r="Q2111" s="79">
        <f>VLOOKUP(VLOOKUP(DATEVALUE(TEXT(A2111,"m/d/yyyy")),FY24_Temp[],5,FALSE)&amp;TEXT(A2111,"-h"),Table6[],4,FALSE)</f>
        <v>2.2329999378749301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VLOOKUP(TEXT(A2111,"yy-mm")&amp;"-"&amp;IF(AND(WEEKDAY(A2111)&gt;1,WEEKDAY(A2111)&lt;7),"Wkd",TEXT(A2111,"Ddd"))&amp;"-"&amp;TEXT(A2111,"hh"),LoadTable[],5,FALSE)*0.92</f>
        <v>388.38076000000001</v>
      </c>
      <c r="U2111" s="104">
        <f>VLOOKUP(TEXT(A2111,"yy-mm")&amp;"-"&amp;IF(AND(WEEKDAY(A2111)&gt;1,WEEKDAY(A2111)&lt;7),"Wkd",TEXT(A2111,"Ddd"))&amp;"-"&amp;TEXT(A2111,"hh"),LoadTable[],6,FALSE)*T2111</f>
        <v>36274.762984000001</v>
      </c>
      <c r="V2111">
        <f t="shared" ref="V2111:W2111" si="2248">V2087</f>
        <v>2.8</v>
      </c>
      <c r="W2111">
        <f t="shared" si="2248"/>
        <v>3.1</v>
      </c>
      <c r="X2111" s="9">
        <v>-103.432353266669</v>
      </c>
    </row>
    <row r="2112" spans="1:24">
      <c r="A2112" s="29">
        <f t="shared" si="2185"/>
        <v>45923.874999994885</v>
      </c>
      <c r="B2112" s="30">
        <f t="shared" si="2209"/>
        <v>5000</v>
      </c>
      <c r="C2112" s="8">
        <v>25000</v>
      </c>
      <c r="D2112" s="8">
        <v>0</v>
      </c>
      <c r="E2112" s="8">
        <v>700</v>
      </c>
      <c r="F2112" s="8">
        <v>15000</v>
      </c>
      <c r="G2112" s="30">
        <f t="shared" si="2210"/>
        <v>2400</v>
      </c>
      <c r="H2112" s="8">
        <v>25000</v>
      </c>
      <c r="I2112" s="30">
        <f t="shared" si="2211"/>
        <v>5000</v>
      </c>
      <c r="J2112" s="8">
        <v>25000</v>
      </c>
      <c r="K2112" s="30">
        <f t="shared" si="2212"/>
        <v>5000</v>
      </c>
      <c r="L2112" s="8">
        <v>25000</v>
      </c>
      <c r="M2112" s="9">
        <f>VLOOKUP(DATE(YEAR(A2112),MONTH(A2112),DAY(A2112)),FY24_Temp[],4,FALSE)</f>
        <v>8.5</v>
      </c>
      <c r="N2112" s="9">
        <f>VLOOKUP(DATE(YEAR(A2112),MONTH(A2112),DAY(A2112)),FY24_Temp[],3,FALSE)</f>
        <v>15.84</v>
      </c>
      <c r="O2112" s="9">
        <v>13.5</v>
      </c>
      <c r="P2112" s="9">
        <v>19.5</v>
      </c>
      <c r="Q2112" s="79">
        <f>VLOOKUP(VLOOKUP(DATEVALUE(TEXT(A2112,"m/d/yyyy")),FY24_Temp[],5,FALSE)&amp;TEXT(A2112,"-h"),Table6[],4,FALSE)</f>
        <v>2.2924285616193498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VLOOKUP(TEXT(A2112,"yy-mm")&amp;"-"&amp;IF(AND(WEEKDAY(A2112)&gt;1,WEEKDAY(A2112)&lt;7),"Wkd",TEXT(A2112,"Ddd"))&amp;"-"&amp;TEXT(A2112,"hh"),LoadTable[],5,FALSE)*0.92</f>
        <v>373.79416000000003</v>
      </c>
      <c r="U2112" s="104">
        <f>VLOOKUP(TEXT(A2112,"yy-mm")&amp;"-"&amp;IF(AND(WEEKDAY(A2112)&gt;1,WEEKDAY(A2112)&lt;7),"Wkd",TEXT(A2112,"Ddd"))&amp;"-"&amp;TEXT(A2112,"hh"),LoadTable[],6,FALSE)*T2112</f>
        <v>31749.328362080003</v>
      </c>
      <c r="V2112">
        <f t="shared" ref="V2112:W2112" si="2249">V2088</f>
        <v>3.5</v>
      </c>
      <c r="W2112">
        <f t="shared" si="2249"/>
        <v>3.1</v>
      </c>
      <c r="X2112" s="9">
        <v>-103.51014781667</v>
      </c>
    </row>
    <row r="2113" spans="1:24">
      <c r="A2113" s="29">
        <f t="shared" si="2185"/>
        <v>45923.916666661549</v>
      </c>
      <c r="B2113" s="30">
        <f t="shared" si="2209"/>
        <v>5000</v>
      </c>
      <c r="C2113" s="8">
        <v>25000</v>
      </c>
      <c r="D2113" s="8">
        <v>0</v>
      </c>
      <c r="E2113" s="8">
        <v>700</v>
      </c>
      <c r="F2113" s="8">
        <v>15000</v>
      </c>
      <c r="G2113" s="30">
        <f t="shared" si="2210"/>
        <v>2400</v>
      </c>
      <c r="H2113" s="8">
        <v>25000</v>
      </c>
      <c r="I2113" s="30">
        <f t="shared" si="2211"/>
        <v>5000</v>
      </c>
      <c r="J2113" s="8">
        <v>25000</v>
      </c>
      <c r="K2113" s="30">
        <f t="shared" si="2212"/>
        <v>5000</v>
      </c>
      <c r="L2113" s="8">
        <v>25000</v>
      </c>
      <c r="M2113" s="9">
        <f>VLOOKUP(DATE(YEAR(A2113),MONTH(A2113),DAY(A2113)),FY24_Temp[],4,FALSE)</f>
        <v>8.5</v>
      </c>
      <c r="N2113" s="9">
        <f>VLOOKUP(DATE(YEAR(A2113),MONTH(A2113),DAY(A2113)),FY24_Temp[],3,FALSE)</f>
        <v>15.84</v>
      </c>
      <c r="O2113" s="9">
        <v>13.5</v>
      </c>
      <c r="P2113" s="9">
        <v>19.5</v>
      </c>
      <c r="Q2113" s="79">
        <f>VLOOKUP(VLOOKUP(DATEVALUE(TEXT(A2113,"m/d/yyyy")),FY24_Temp[],5,FALSE)&amp;TEXT(A2113,"-h"),Table6[],4,FALSE)</f>
        <v>2.2601428713117326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VLOOKUP(TEXT(A2113,"yy-mm")&amp;"-"&amp;IF(AND(WEEKDAY(A2113)&gt;1,WEEKDAY(A2113)&lt;7),"Wkd",TEXT(A2113,"Ddd"))&amp;"-"&amp;TEXT(A2113,"hh"),LoadTable[],5,FALSE)*0.92</f>
        <v>299.65044</v>
      </c>
      <c r="U2113" s="104">
        <f>VLOOKUP(TEXT(A2113,"yy-mm")&amp;"-"&amp;IF(AND(WEEKDAY(A2113)&gt;1,WEEKDAY(A2113)&lt;7),"Wkd",TEXT(A2113,"Ddd"))&amp;"-"&amp;TEXT(A2113,"hh"),LoadTable[],6,FALSE)*T2113</f>
        <v>15023.87376072</v>
      </c>
      <c r="V2113">
        <f t="shared" ref="V2113:W2113" si="2250">V2089</f>
        <v>2.9</v>
      </c>
      <c r="W2113">
        <f t="shared" si="2250"/>
        <v>3.1</v>
      </c>
      <c r="X2113" s="9">
        <v>-103.587942366669</v>
      </c>
    </row>
    <row r="2114" spans="1:24">
      <c r="A2114" s="29">
        <f t="shared" si="2185"/>
        <v>45923.958333328213</v>
      </c>
      <c r="B2114" s="30">
        <f t="shared" si="2209"/>
        <v>5000</v>
      </c>
      <c r="C2114" s="8">
        <v>25000</v>
      </c>
      <c r="D2114" s="8">
        <v>0</v>
      </c>
      <c r="E2114" s="8">
        <v>700</v>
      </c>
      <c r="F2114" s="8">
        <v>15000</v>
      </c>
      <c r="G2114" s="30">
        <f t="shared" si="2210"/>
        <v>2400</v>
      </c>
      <c r="H2114" s="8">
        <v>25000</v>
      </c>
      <c r="I2114" s="30">
        <f t="shared" si="2211"/>
        <v>5000</v>
      </c>
      <c r="J2114" s="8">
        <v>25000</v>
      </c>
      <c r="K2114" s="30">
        <f t="shared" si="2212"/>
        <v>5000</v>
      </c>
      <c r="L2114" s="8">
        <v>25000</v>
      </c>
      <c r="M2114" s="9">
        <f>VLOOKUP(DATE(YEAR(A2114),MONTH(A2114),DAY(A2114)),FY24_Temp[],4,FALSE)</f>
        <v>8.5</v>
      </c>
      <c r="N2114" s="9">
        <f>VLOOKUP(DATE(YEAR(A2114),MONTH(A2114),DAY(A2114)),FY24_Temp[],3,FALSE)</f>
        <v>15.84</v>
      </c>
      <c r="O2114" s="9">
        <v>13.5</v>
      </c>
      <c r="P2114" s="9">
        <v>19.5</v>
      </c>
      <c r="Q2114" s="79">
        <f>VLOOKUP(VLOOKUP(DATEVALUE(TEXT(A2114,"m/d/yyyy")),FY24_Temp[],5,FALSE)&amp;TEXT(A2114,"-h"),Table6[],4,FALSE)</f>
        <v>2.2548570973532542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VLOOKUP(TEXT(A2114,"yy-mm")&amp;"-"&amp;IF(AND(WEEKDAY(A2114)&gt;1,WEEKDAY(A2114)&lt;7),"Wkd",TEXT(A2114,"Ddd"))&amp;"-"&amp;TEXT(A2114,"hh"),LoadTable[],5,FALSE)*0.92</f>
        <v>237.25788000000003</v>
      </c>
      <c r="U2114" s="104">
        <f>VLOOKUP(TEXT(A2114,"yy-mm")&amp;"-"&amp;IF(AND(WEEKDAY(A2114)&gt;1,WEEKDAY(A2114)&lt;7),"Wkd",TEXT(A2114,"Ddd"))&amp;"-"&amp;TEXT(A2114,"hh"),LoadTable[],6,FALSE)*T2114</f>
        <v>11687.323168800001</v>
      </c>
      <c r="V2114">
        <f t="shared" ref="V2114:W2114" si="2251">V2090</f>
        <v>3.6</v>
      </c>
      <c r="W2114">
        <f t="shared" si="2251"/>
        <v>3.1</v>
      </c>
      <c r="X2114" s="9">
        <v>-103.665736916669</v>
      </c>
    </row>
    <row r="2115" spans="1:24">
      <c r="A2115" s="29">
        <f t="shared" si="2185"/>
        <v>45923.999999994878</v>
      </c>
      <c r="B2115" s="30">
        <f t="shared" si="2209"/>
        <v>5000</v>
      </c>
      <c r="C2115" s="8">
        <v>25000</v>
      </c>
      <c r="D2115" s="8">
        <v>0</v>
      </c>
      <c r="E2115" s="8">
        <v>700</v>
      </c>
      <c r="F2115" s="8">
        <v>15000</v>
      </c>
      <c r="G2115" s="30">
        <f t="shared" si="2210"/>
        <v>2400</v>
      </c>
      <c r="H2115" s="8">
        <v>25000</v>
      </c>
      <c r="I2115" s="30">
        <f t="shared" si="2211"/>
        <v>5000</v>
      </c>
      <c r="J2115" s="8">
        <v>25000</v>
      </c>
      <c r="K2115" s="30">
        <f t="shared" si="2212"/>
        <v>5000</v>
      </c>
      <c r="L2115" s="8">
        <v>25000</v>
      </c>
      <c r="M2115" s="9">
        <f>VLOOKUP(DATE(YEAR(A2115),MONTH(A2115),DAY(A2115)),FY24_Temp[],4,FALSE)</f>
        <v>8.5</v>
      </c>
      <c r="N2115" s="9">
        <f>VLOOKUP(DATE(YEAR(A2115),MONTH(A2115),DAY(A2115)),FY24_Temp[],3,FALSE)</f>
        <v>15.84</v>
      </c>
      <c r="O2115" s="9">
        <v>13.5</v>
      </c>
      <c r="P2115" s="9">
        <v>19.5</v>
      </c>
      <c r="Q2115" s="79">
        <f>VLOOKUP(VLOOKUP(DATEVALUE(TEXT(A2115,"m/d/yyyy")),FY24_Temp[],5,FALSE)&amp;TEXT(A2115,"-h"),Table6[],4,FALSE)</f>
        <v>2.2702856745038713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VLOOKUP(TEXT(A2115,"yy-mm")&amp;"-"&amp;IF(AND(WEEKDAY(A2115)&gt;1,WEEKDAY(A2115)&lt;7),"Wkd",TEXT(A2115,"Ddd"))&amp;"-"&amp;TEXT(A2115,"hh"),LoadTable[],5,FALSE)*0.92</f>
        <v>237.25788000000003</v>
      </c>
      <c r="U2115" s="104">
        <f>VLOOKUP(TEXT(A2115,"yy-mm")&amp;"-"&amp;IF(AND(WEEKDAY(A2115)&gt;1,WEEKDAY(A2115)&lt;7),"Wkd",TEXT(A2115,"Ddd"))&amp;"-"&amp;TEXT(A2115,"hh"),LoadTable[],6,FALSE)*T2115</f>
        <v>12215.696467560001</v>
      </c>
      <c r="V2115">
        <f t="shared" ref="V2115:W2115" si="2252">V2091</f>
        <v>3</v>
      </c>
      <c r="W2115">
        <f t="shared" si="2252"/>
        <v>3.2</v>
      </c>
      <c r="X2115" s="9">
        <v>-103.743531466669</v>
      </c>
    </row>
    <row r="2116" spans="1:24">
      <c r="A2116" s="29">
        <f t="shared" si="2185"/>
        <v>45924.041666661542</v>
      </c>
      <c r="B2116" s="30">
        <f t="shared" si="2209"/>
        <v>5000</v>
      </c>
      <c r="C2116" s="8">
        <v>25000</v>
      </c>
      <c r="D2116" s="8">
        <v>0</v>
      </c>
      <c r="E2116" s="8">
        <v>700</v>
      </c>
      <c r="F2116" s="8">
        <v>15000</v>
      </c>
      <c r="G2116" s="30">
        <f t="shared" si="2210"/>
        <v>2400</v>
      </c>
      <c r="H2116" s="8">
        <v>25000</v>
      </c>
      <c r="I2116" s="30">
        <f t="shared" si="2211"/>
        <v>5000</v>
      </c>
      <c r="J2116" s="8">
        <v>25000</v>
      </c>
      <c r="K2116" s="30">
        <f t="shared" si="2212"/>
        <v>5000</v>
      </c>
      <c r="L2116" s="8">
        <v>25000</v>
      </c>
      <c r="M2116" s="9">
        <f>VLOOKUP(DATE(YEAR(A2116),MONTH(A2116),DAY(A2116)),FY24_Temp[],4,FALSE)</f>
        <v>8.5</v>
      </c>
      <c r="N2116" s="9">
        <f>VLOOKUP(DATE(YEAR(A2116),MONTH(A2116),DAY(A2116)),FY24_Temp[],3,FALSE)</f>
        <v>15.84</v>
      </c>
      <c r="O2116" s="9">
        <v>13.5</v>
      </c>
      <c r="P2116" s="9">
        <v>19.5</v>
      </c>
      <c r="Q2116" s="79">
        <f>VLOOKUP(VLOOKUP(DATEVALUE(TEXT(A2116,"m/d/yyyy")),FY24_Temp[],5,FALSE)&amp;TEXT(A2116,"-h"),Table6[],4,FALSE)</f>
        <v>2.2084285531725203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VLOOKUP(TEXT(A2116,"yy-mm")&amp;"-"&amp;IF(AND(WEEKDAY(A2116)&gt;1,WEEKDAY(A2116)&lt;7),"Wkd",TEXT(A2116,"Ddd"))&amp;"-"&amp;TEXT(A2116,"hh"),LoadTable[],5,FALSE)*0.92</f>
        <v>237.25788000000003</v>
      </c>
      <c r="U2116" s="104">
        <f>VLOOKUP(TEXT(A2116,"yy-mm")&amp;"-"&amp;IF(AND(WEEKDAY(A2116)&gt;1,WEEKDAY(A2116)&lt;7),"Wkd",TEXT(A2116,"Ddd"))&amp;"-"&amp;TEXT(A2116,"hh"),LoadTable[],6,FALSE)*T2116</f>
        <v>11905.12590264</v>
      </c>
      <c r="V2116">
        <f t="shared" ref="V2116:W2116" si="2253">V2092</f>
        <v>2.6</v>
      </c>
      <c r="W2116">
        <f t="shared" si="2253"/>
        <v>3.2</v>
      </c>
      <c r="X2116" s="9">
        <v>-103.82132601667</v>
      </c>
    </row>
    <row r="2117" spans="1:24">
      <c r="A2117" s="29">
        <f t="shared" ref="A2117:A2180" si="2254">A2116+TIME(1,0,0)</f>
        <v>45924.083333328206</v>
      </c>
      <c r="B2117" s="30">
        <f t="shared" si="2209"/>
        <v>5000</v>
      </c>
      <c r="C2117" s="8">
        <v>25000</v>
      </c>
      <c r="D2117" s="8">
        <v>0</v>
      </c>
      <c r="E2117" s="8">
        <v>700</v>
      </c>
      <c r="F2117" s="8">
        <v>15000</v>
      </c>
      <c r="G2117" s="30">
        <f t="shared" si="2210"/>
        <v>2400</v>
      </c>
      <c r="H2117" s="8">
        <v>25000</v>
      </c>
      <c r="I2117" s="30">
        <f t="shared" si="2211"/>
        <v>5000</v>
      </c>
      <c r="J2117" s="8">
        <v>25000</v>
      </c>
      <c r="K2117" s="30">
        <f t="shared" si="2212"/>
        <v>5000</v>
      </c>
      <c r="L2117" s="8">
        <v>25000</v>
      </c>
      <c r="M2117" s="9">
        <f>VLOOKUP(DATE(YEAR(A2117),MONTH(A2117),DAY(A2117)),FY24_Temp[],4,FALSE)</f>
        <v>8.5</v>
      </c>
      <c r="N2117" s="9">
        <f>VLOOKUP(DATE(YEAR(A2117),MONTH(A2117),DAY(A2117)),FY24_Temp[],3,FALSE)</f>
        <v>15.84</v>
      </c>
      <c r="O2117" s="9">
        <v>13.5</v>
      </c>
      <c r="P2117" s="9">
        <v>19.5</v>
      </c>
      <c r="Q2117" s="79">
        <f>VLOOKUP(VLOOKUP(DATEVALUE(TEXT(A2117,"m/d/yyyy")),FY24_Temp[],5,FALSE)&amp;TEXT(A2117,"-h"),Table6[],4,FALSE)</f>
        <v>2.083142876625061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VLOOKUP(TEXT(A2117,"yy-mm")&amp;"-"&amp;IF(AND(WEEKDAY(A2117)&gt;1,WEEKDAY(A2117)&lt;7),"Wkd",TEXT(A2117,"Ddd"))&amp;"-"&amp;TEXT(A2117,"hh"),LoadTable[],5,FALSE)*0.92</f>
        <v>237.25788000000003</v>
      </c>
      <c r="U2117" s="104">
        <f>VLOOKUP(TEXT(A2117,"yy-mm")&amp;"-"&amp;IF(AND(WEEKDAY(A2117)&gt;1,WEEKDAY(A2117)&lt;7),"Wkd",TEXT(A2117,"Ddd"))&amp;"-"&amp;TEXT(A2117,"hh"),LoadTable[],6,FALSE)*T2117</f>
        <v>11856.013521480001</v>
      </c>
      <c r="V2117">
        <f t="shared" ref="V2117:W2117" si="2255">V2093</f>
        <v>2.8</v>
      </c>
      <c r="W2117">
        <f t="shared" si="2255"/>
        <v>3.2</v>
      </c>
      <c r="X2117" s="9">
        <v>-103.899120566669</v>
      </c>
    </row>
    <row r="2118" spans="1:24">
      <c r="A2118" s="29">
        <f t="shared" si="2254"/>
        <v>45924.12499999487</v>
      </c>
      <c r="B2118" s="30">
        <f t="shared" si="2209"/>
        <v>5000</v>
      </c>
      <c r="C2118" s="8">
        <v>25000</v>
      </c>
      <c r="D2118" s="8">
        <v>0</v>
      </c>
      <c r="E2118" s="8">
        <v>700</v>
      </c>
      <c r="F2118" s="8">
        <v>15000</v>
      </c>
      <c r="G2118" s="30">
        <f t="shared" si="2210"/>
        <v>2400</v>
      </c>
      <c r="H2118" s="8">
        <v>25000</v>
      </c>
      <c r="I2118" s="30">
        <f t="shared" si="2211"/>
        <v>5000</v>
      </c>
      <c r="J2118" s="8">
        <v>25000</v>
      </c>
      <c r="K2118" s="30">
        <f t="shared" si="2212"/>
        <v>5000</v>
      </c>
      <c r="L2118" s="8">
        <v>25000</v>
      </c>
      <c r="M2118" s="9">
        <f>VLOOKUP(DATE(YEAR(A2118),MONTH(A2118),DAY(A2118)),FY24_Temp[],4,FALSE)</f>
        <v>8.5</v>
      </c>
      <c r="N2118" s="9">
        <f>VLOOKUP(DATE(YEAR(A2118),MONTH(A2118),DAY(A2118)),FY24_Temp[],3,FALSE)</f>
        <v>15.84</v>
      </c>
      <c r="O2118" s="9">
        <v>13.5</v>
      </c>
      <c r="P2118" s="9">
        <v>19.5</v>
      </c>
      <c r="Q2118" s="79">
        <f>VLOOKUP(VLOOKUP(DATEVALUE(TEXT(A2118,"m/d/yyyy")),FY24_Temp[],5,FALSE)&amp;TEXT(A2118,"-h"),Table6[],4,FALSE)</f>
        <v>1.9411428485597884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VLOOKUP(TEXT(A2118,"yy-mm")&amp;"-"&amp;IF(AND(WEEKDAY(A2118)&gt;1,WEEKDAY(A2118)&lt;7),"Wkd",TEXT(A2118,"Ddd"))&amp;"-"&amp;TEXT(A2118,"hh"),LoadTable[],5,FALSE)*0.92</f>
        <v>237.25788000000003</v>
      </c>
      <c r="U2118" s="104">
        <f>VLOOKUP(TEXT(A2118,"yy-mm")&amp;"-"&amp;IF(AND(WEEKDAY(A2118)&gt;1,WEEKDAY(A2118)&lt;7),"Wkd",TEXT(A2118,"Ddd"))&amp;"-"&amp;TEXT(A2118,"hh"),LoadTable[],6,FALSE)*T2118</f>
        <v>11893.025750760002</v>
      </c>
      <c r="V2118">
        <f t="shared" ref="V2118:W2118" si="2256">V2094</f>
        <v>2.7</v>
      </c>
      <c r="W2118">
        <f t="shared" si="2256"/>
        <v>3.2</v>
      </c>
      <c r="X2118" s="9">
        <v>-103.97691511666901</v>
      </c>
    </row>
    <row r="2119" spans="1:24">
      <c r="A2119" s="29">
        <f t="shared" si="2254"/>
        <v>45924.166666661535</v>
      </c>
      <c r="B2119" s="30">
        <f t="shared" si="2209"/>
        <v>5000</v>
      </c>
      <c r="C2119" s="8">
        <v>25000</v>
      </c>
      <c r="D2119" s="8">
        <v>0</v>
      </c>
      <c r="E2119" s="8">
        <v>700</v>
      </c>
      <c r="F2119" s="8">
        <v>15000</v>
      </c>
      <c r="G2119" s="30">
        <f t="shared" si="2210"/>
        <v>2400</v>
      </c>
      <c r="H2119" s="8">
        <v>25000</v>
      </c>
      <c r="I2119" s="30">
        <f t="shared" si="2211"/>
        <v>5000</v>
      </c>
      <c r="J2119" s="8">
        <v>25000</v>
      </c>
      <c r="K2119" s="30">
        <f t="shared" si="2212"/>
        <v>5000</v>
      </c>
      <c r="L2119" s="8">
        <v>25000</v>
      </c>
      <c r="M2119" s="9">
        <f>VLOOKUP(DATE(YEAR(A2119),MONTH(A2119),DAY(A2119)),FY24_Temp[],4,FALSE)</f>
        <v>8.5</v>
      </c>
      <c r="N2119" s="9">
        <f>VLOOKUP(DATE(YEAR(A2119),MONTH(A2119),DAY(A2119)),FY24_Temp[],3,FALSE)</f>
        <v>15.84</v>
      </c>
      <c r="O2119" s="9">
        <v>13.5</v>
      </c>
      <c r="P2119" s="9">
        <v>19.5</v>
      </c>
      <c r="Q2119" s="79">
        <f>VLOOKUP(VLOOKUP(DATEVALUE(TEXT(A2119,"m/d/yyyy")),FY24_Temp[],5,FALSE)&amp;TEXT(A2119,"-h"),Table6[],4,FALSE)</f>
        <v>1.7910000085830688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VLOOKUP(TEXT(A2119,"yy-mm")&amp;"-"&amp;IF(AND(WEEKDAY(A2119)&gt;1,WEEKDAY(A2119)&lt;7),"Wkd",TEXT(A2119,"Ddd"))&amp;"-"&amp;TEXT(A2119,"hh"),LoadTable[],5,FALSE)*0.92</f>
        <v>237.25788000000003</v>
      </c>
      <c r="U2119" s="104">
        <f>VLOOKUP(TEXT(A2119,"yy-mm")&amp;"-"&amp;IF(AND(WEEKDAY(A2119)&gt;1,WEEKDAY(A2119)&lt;7),"Wkd",TEXT(A2119,"Ddd"))&amp;"-"&amp;TEXT(A2119,"hh"),LoadTable[],6,FALSE)*T2119</f>
        <v>12081.645765360001</v>
      </c>
      <c r="V2119">
        <f t="shared" ref="V2119:W2119" si="2257">V2095</f>
        <v>3</v>
      </c>
      <c r="W2119">
        <f t="shared" si="2257"/>
        <v>3.1</v>
      </c>
      <c r="X2119" s="9">
        <v>-104.054709666669</v>
      </c>
    </row>
    <row r="2120" spans="1:24">
      <c r="A2120" s="29">
        <f t="shared" si="2254"/>
        <v>45924.208333328199</v>
      </c>
      <c r="B2120" s="30">
        <f t="shared" si="2209"/>
        <v>5000</v>
      </c>
      <c r="C2120" s="8">
        <v>25000</v>
      </c>
      <c r="D2120" s="8">
        <v>0</v>
      </c>
      <c r="E2120" s="8">
        <v>700</v>
      </c>
      <c r="F2120" s="8">
        <v>15000</v>
      </c>
      <c r="G2120" s="30">
        <f t="shared" si="2210"/>
        <v>2400</v>
      </c>
      <c r="H2120" s="8">
        <v>25000</v>
      </c>
      <c r="I2120" s="30">
        <f t="shared" si="2211"/>
        <v>5000</v>
      </c>
      <c r="J2120" s="8">
        <v>25000</v>
      </c>
      <c r="K2120" s="30">
        <f t="shared" si="2212"/>
        <v>5000</v>
      </c>
      <c r="L2120" s="8">
        <v>25000</v>
      </c>
      <c r="M2120" s="9">
        <f>VLOOKUP(DATE(YEAR(A2120),MONTH(A2120),DAY(A2120)),FY24_Temp[],4,FALSE)</f>
        <v>8.5</v>
      </c>
      <c r="N2120" s="9">
        <f>VLOOKUP(DATE(YEAR(A2120),MONTH(A2120),DAY(A2120)),FY24_Temp[],3,FALSE)</f>
        <v>15.84</v>
      </c>
      <c r="O2120" s="9">
        <v>13.5</v>
      </c>
      <c r="P2120" s="9">
        <v>19.5</v>
      </c>
      <c r="Q2120" s="79">
        <f>VLOOKUP(VLOOKUP(DATEVALUE(TEXT(A2120,"m/d/yyyy")),FY24_Temp[],5,FALSE)&amp;TEXT(A2120,"-h"),Table6[],4,FALSE)</f>
        <v>1.6772857052939278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VLOOKUP(TEXT(A2120,"yy-mm")&amp;"-"&amp;IF(AND(WEEKDAY(A2120)&gt;1,WEEKDAY(A2120)&lt;7),"Wkd",TEXT(A2120,"Ddd"))&amp;"-"&amp;TEXT(A2120,"hh"),LoadTable[],5,FALSE)*0.92</f>
        <v>237.25788000000003</v>
      </c>
      <c r="U2120" s="104">
        <f>VLOOKUP(TEXT(A2120,"yy-mm")&amp;"-"&amp;IF(AND(WEEKDAY(A2120)&gt;1,WEEKDAY(A2120)&lt;7),"Wkd",TEXT(A2120,"Ddd"))&amp;"-"&amp;TEXT(A2120,"hh"),LoadTable[],6,FALSE)*T2120</f>
        <v>12065.037713760001</v>
      </c>
      <c r="V2120">
        <f t="shared" ref="V2120:W2120" si="2258">V2096</f>
        <v>2.9</v>
      </c>
      <c r="W2120">
        <f t="shared" si="2258"/>
        <v>3.1</v>
      </c>
      <c r="X2120" s="9">
        <v>-104.13250421667</v>
      </c>
    </row>
    <row r="2121" spans="1:24">
      <c r="A2121" s="29">
        <f t="shared" si="2254"/>
        <v>45924.249999994863</v>
      </c>
      <c r="B2121" s="30">
        <f t="shared" si="2209"/>
        <v>8000</v>
      </c>
      <c r="C2121" s="8">
        <v>25000</v>
      </c>
      <c r="D2121" s="8">
        <v>0</v>
      </c>
      <c r="E2121" s="8">
        <v>700</v>
      </c>
      <c r="F2121" s="8">
        <v>15000</v>
      </c>
      <c r="G2121" s="30">
        <f t="shared" si="2210"/>
        <v>2400</v>
      </c>
      <c r="H2121" s="8">
        <v>25000</v>
      </c>
      <c r="I2121" s="30">
        <f t="shared" si="2211"/>
        <v>8000</v>
      </c>
      <c r="J2121" s="8">
        <v>25000</v>
      </c>
      <c r="K2121" s="30">
        <f t="shared" si="2212"/>
        <v>8000</v>
      </c>
      <c r="L2121" s="8">
        <v>25000</v>
      </c>
      <c r="M2121" s="9">
        <f>VLOOKUP(DATE(YEAR(A2121),MONTH(A2121),DAY(A2121)),FY24_Temp[],4,FALSE)</f>
        <v>8.5</v>
      </c>
      <c r="N2121" s="9">
        <f>VLOOKUP(DATE(YEAR(A2121),MONTH(A2121),DAY(A2121)),FY24_Temp[],3,FALSE)</f>
        <v>15.84</v>
      </c>
      <c r="O2121" s="9">
        <v>13.5</v>
      </c>
      <c r="P2121" s="9">
        <v>19.5</v>
      </c>
      <c r="Q2121" s="79">
        <f>VLOOKUP(VLOOKUP(DATEVALUE(TEXT(A2121,"m/d/yyyy")),FY24_Temp[],5,FALSE)&amp;TEXT(A2121,"-h"),Table6[],4,FALSE)</f>
        <v>1.5761428390230452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VLOOKUP(TEXT(A2121,"yy-mm")&amp;"-"&amp;IF(AND(WEEKDAY(A2121)&gt;1,WEEKDAY(A2121)&lt;7),"Wkd",TEXT(A2121,"Ddd"))&amp;"-"&amp;TEXT(A2121,"hh"),LoadTable[],5,FALSE)*0.92</f>
        <v>237.25788000000003</v>
      </c>
      <c r="U2121" s="104">
        <f>VLOOKUP(TEXT(A2121,"yy-mm")&amp;"-"&amp;IF(AND(WEEKDAY(A2121)&gt;1,WEEKDAY(A2121)&lt;7),"Wkd",TEXT(A2121,"Ddd"))&amp;"-"&amp;TEXT(A2121,"hh"),LoadTable[],6,FALSE)*T2121</f>
        <v>18358.065722880005</v>
      </c>
      <c r="V2121">
        <f t="shared" ref="V2121:W2121" si="2259">V2097</f>
        <v>2.5</v>
      </c>
      <c r="W2121">
        <f t="shared" si="2259"/>
        <v>3.1</v>
      </c>
      <c r="X2121" s="9">
        <v>-104.210298766669</v>
      </c>
    </row>
    <row r="2122" spans="1:24">
      <c r="A2122" s="29">
        <f t="shared" si="2254"/>
        <v>45924.291666661527</v>
      </c>
      <c r="B2122" s="30">
        <f t="shared" si="2209"/>
        <v>8000</v>
      </c>
      <c r="C2122" s="8">
        <v>25000</v>
      </c>
      <c r="D2122" s="8">
        <v>0</v>
      </c>
      <c r="E2122" s="8">
        <v>700</v>
      </c>
      <c r="F2122" s="8">
        <v>15000</v>
      </c>
      <c r="G2122" s="30">
        <f t="shared" si="2210"/>
        <v>2400</v>
      </c>
      <c r="H2122" s="8">
        <v>25000</v>
      </c>
      <c r="I2122" s="30">
        <f t="shared" si="2211"/>
        <v>8000</v>
      </c>
      <c r="J2122" s="8">
        <v>25000</v>
      </c>
      <c r="K2122" s="30">
        <f t="shared" si="2212"/>
        <v>8000</v>
      </c>
      <c r="L2122" s="8">
        <v>25000</v>
      </c>
      <c r="M2122" s="9">
        <f>VLOOKUP(DATE(YEAR(A2122),MONTH(A2122),DAY(A2122)),FY24_Temp[],4,FALSE)</f>
        <v>8.5</v>
      </c>
      <c r="N2122" s="9">
        <f>VLOOKUP(DATE(YEAR(A2122),MONTH(A2122),DAY(A2122)),FY24_Temp[],3,FALSE)</f>
        <v>15.84</v>
      </c>
      <c r="O2122" s="9">
        <v>13.5</v>
      </c>
      <c r="P2122" s="9">
        <v>19.5</v>
      </c>
      <c r="Q2122" s="79">
        <f>VLOOKUP(VLOOKUP(DATEVALUE(TEXT(A2122,"m/d/yyyy")),FY24_Temp[],5,FALSE)&amp;TEXT(A2122,"-h"),Table6[],4,FALSE)</f>
        <v>1.4162857021604265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VLOOKUP(TEXT(A2122,"yy-mm")&amp;"-"&amp;IF(AND(WEEKDAY(A2122)&gt;1,WEEKDAY(A2122)&lt;7),"Wkd",TEXT(A2122,"Ddd"))&amp;"-"&amp;TEXT(A2122,"hh"),LoadTable[],5,FALSE)*0.92</f>
        <v>237.25788000000003</v>
      </c>
      <c r="U2122" s="104">
        <f>VLOOKUP(TEXT(A2122,"yy-mm")&amp;"-"&amp;IF(AND(WEEKDAY(A2122)&gt;1,WEEKDAY(A2122)&lt;7),"Wkd",TEXT(A2122,"Ddd"))&amp;"-"&amp;TEXT(A2122,"hh"),LoadTable[],6,FALSE)*T2122</f>
        <v>16249.08042756</v>
      </c>
      <c r="V2122">
        <f t="shared" ref="V2122:W2122" si="2260">V2098</f>
        <v>2.5</v>
      </c>
      <c r="W2122">
        <f t="shared" si="2260"/>
        <v>3.1</v>
      </c>
      <c r="X2122" s="9">
        <v>-104.28809331666901</v>
      </c>
    </row>
    <row r="2123" spans="1:24">
      <c r="A2123" s="29">
        <f t="shared" si="2254"/>
        <v>45924.333333328192</v>
      </c>
      <c r="B2123" s="30">
        <f t="shared" si="2209"/>
        <v>8000</v>
      </c>
      <c r="C2123" s="8">
        <v>25000</v>
      </c>
      <c r="D2123" s="8">
        <v>0</v>
      </c>
      <c r="E2123" s="8">
        <v>700</v>
      </c>
      <c r="F2123" s="8">
        <v>15000</v>
      </c>
      <c r="G2123" s="30">
        <f t="shared" si="2210"/>
        <v>2400</v>
      </c>
      <c r="H2123" s="8">
        <v>25000</v>
      </c>
      <c r="I2123" s="30">
        <f t="shared" si="2211"/>
        <v>8000</v>
      </c>
      <c r="J2123" s="8">
        <v>25000</v>
      </c>
      <c r="K2123" s="30">
        <f t="shared" si="2212"/>
        <v>8000</v>
      </c>
      <c r="L2123" s="8">
        <v>25000</v>
      </c>
      <c r="M2123" s="9">
        <f>VLOOKUP(DATE(YEAR(A2123),MONTH(A2123),DAY(A2123)),FY24_Temp[],4,FALSE)</f>
        <v>8.5</v>
      </c>
      <c r="N2123" s="9">
        <f>VLOOKUP(DATE(YEAR(A2123),MONTH(A2123),DAY(A2123)),FY24_Temp[],3,FALSE)</f>
        <v>15.84</v>
      </c>
      <c r="O2123" s="9">
        <v>13.5</v>
      </c>
      <c r="P2123" s="9">
        <v>19.5</v>
      </c>
      <c r="Q2123" s="79">
        <f>VLOOKUP(VLOOKUP(DATEVALUE(TEXT(A2123,"m/d/yyyy")),FY24_Temp[],5,FALSE)&amp;TEXT(A2123,"-h"),Table6[],4,FALSE)</f>
        <v>1.3535714490073067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VLOOKUP(TEXT(A2123,"yy-mm")&amp;"-"&amp;IF(AND(WEEKDAY(A2123)&gt;1,WEEKDAY(A2123)&lt;7),"Wkd",TEXT(A2123,"Ddd"))&amp;"-"&amp;TEXT(A2123,"hh"),LoadTable[],5,FALSE)*0.92</f>
        <v>237.25788000000003</v>
      </c>
      <c r="U2123" s="104">
        <f>VLOOKUP(TEXT(A2123,"yy-mm")&amp;"-"&amp;IF(AND(WEEKDAY(A2123)&gt;1,WEEKDAY(A2123)&lt;7),"Wkd",TEXT(A2123,"Ddd"))&amp;"-"&amp;TEXT(A2123,"hh"),LoadTable[],6,FALSE)*T2123</f>
        <v>13068.164030400001</v>
      </c>
      <c r="V2123">
        <f t="shared" ref="V2123:W2123" si="2261">V2099</f>
        <v>3.2</v>
      </c>
      <c r="W2123">
        <f t="shared" si="2261"/>
        <v>3</v>
      </c>
      <c r="X2123" s="9">
        <v>-104.365887866669</v>
      </c>
    </row>
    <row r="2124" spans="1:24">
      <c r="A2124" s="29">
        <f t="shared" si="2254"/>
        <v>45924.374999994856</v>
      </c>
      <c r="B2124" s="30">
        <f t="shared" si="2209"/>
        <v>8000</v>
      </c>
      <c r="C2124" s="8">
        <v>25000</v>
      </c>
      <c r="D2124" s="8">
        <v>0</v>
      </c>
      <c r="E2124" s="8">
        <v>700</v>
      </c>
      <c r="F2124" s="8">
        <v>15000</v>
      </c>
      <c r="G2124" s="30">
        <f t="shared" si="2210"/>
        <v>2400</v>
      </c>
      <c r="H2124" s="8">
        <v>25000</v>
      </c>
      <c r="I2124" s="30">
        <f t="shared" si="2211"/>
        <v>8000</v>
      </c>
      <c r="J2124" s="8">
        <v>25000</v>
      </c>
      <c r="K2124" s="30">
        <f t="shared" si="2212"/>
        <v>8000</v>
      </c>
      <c r="L2124" s="8">
        <v>25000</v>
      </c>
      <c r="M2124" s="9">
        <f>VLOOKUP(DATE(YEAR(A2124),MONTH(A2124),DAY(A2124)),FY24_Temp[],4,FALSE)</f>
        <v>8.5</v>
      </c>
      <c r="N2124" s="9">
        <f>VLOOKUP(DATE(YEAR(A2124),MONTH(A2124),DAY(A2124)),FY24_Temp[],3,FALSE)</f>
        <v>15.84</v>
      </c>
      <c r="O2124" s="9">
        <v>13.5</v>
      </c>
      <c r="P2124" s="9">
        <v>19.5</v>
      </c>
      <c r="Q2124" s="79">
        <f>VLOOKUP(VLOOKUP(DATEVALUE(TEXT(A2124,"m/d/yyyy")),FY24_Temp[],5,FALSE)&amp;TEXT(A2124,"-h"),Table6[],4,FALSE)</f>
        <v>1.21599999495915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VLOOKUP(TEXT(A2124,"yy-mm")&amp;"-"&amp;IF(AND(WEEKDAY(A2124)&gt;1,WEEKDAY(A2124)&lt;7),"Wkd",TEXT(A2124,"Ddd"))&amp;"-"&amp;TEXT(A2124,"hh"),LoadTable[],5,FALSE)*0.92</f>
        <v>237.25788000000003</v>
      </c>
      <c r="U2124" s="104">
        <f>VLOOKUP(TEXT(A2124,"yy-mm")&amp;"-"&amp;IF(AND(WEEKDAY(A2124)&gt;1,WEEKDAY(A2124)&lt;7),"Wkd",TEXT(A2124,"Ddd"))&amp;"-"&amp;TEXT(A2124,"hh"),LoadTable[],6,FALSE)*T2124</f>
        <v>11518.395558240001</v>
      </c>
      <c r="V2124">
        <f t="shared" ref="V2124:W2124" si="2262">V2100</f>
        <v>2.9</v>
      </c>
      <c r="W2124">
        <f t="shared" si="2262"/>
        <v>3</v>
      </c>
      <c r="X2124" s="9">
        <v>-104.44368241667</v>
      </c>
    </row>
    <row r="2125" spans="1:24">
      <c r="A2125" s="29">
        <f t="shared" si="2254"/>
        <v>45924.41666666152</v>
      </c>
      <c r="B2125" s="30">
        <f t="shared" si="2209"/>
        <v>8000</v>
      </c>
      <c r="C2125" s="8">
        <v>25000</v>
      </c>
      <c r="D2125" s="8">
        <v>0</v>
      </c>
      <c r="E2125" s="8">
        <v>700</v>
      </c>
      <c r="F2125" s="8">
        <v>15000</v>
      </c>
      <c r="G2125" s="30">
        <f t="shared" si="2210"/>
        <v>2400</v>
      </c>
      <c r="H2125" s="8">
        <v>25000</v>
      </c>
      <c r="I2125" s="30">
        <f t="shared" si="2211"/>
        <v>8000</v>
      </c>
      <c r="J2125" s="8">
        <v>25000</v>
      </c>
      <c r="K2125" s="30">
        <f t="shared" si="2212"/>
        <v>8000</v>
      </c>
      <c r="L2125" s="8">
        <v>25000</v>
      </c>
      <c r="M2125" s="9">
        <f>VLOOKUP(DATE(YEAR(A2125),MONTH(A2125),DAY(A2125)),FY24_Temp[],4,FALSE)</f>
        <v>8.5</v>
      </c>
      <c r="N2125" s="9">
        <f>VLOOKUP(DATE(YEAR(A2125),MONTH(A2125),DAY(A2125)),FY24_Temp[],3,FALSE)</f>
        <v>15.84</v>
      </c>
      <c r="O2125" s="9">
        <v>13.5</v>
      </c>
      <c r="P2125" s="9">
        <v>19.5</v>
      </c>
      <c r="Q2125" s="79">
        <f>VLOOKUP(VLOOKUP(DATEVALUE(TEXT(A2125,"m/d/yyyy")),FY24_Temp[],5,FALSE)&amp;TEXT(A2125,"-h"),Table6[],4,FALSE)</f>
        <v>1.082714285169329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VLOOKUP(TEXT(A2125,"yy-mm")&amp;"-"&amp;IF(AND(WEEKDAY(A2125)&gt;1,WEEKDAY(A2125)&lt;7),"Wkd",TEXT(A2125,"Ddd"))&amp;"-"&amp;TEXT(A2125,"hh"),LoadTable[],5,FALSE)*0.92</f>
        <v>237.25788000000003</v>
      </c>
      <c r="U2125" s="104">
        <f>VLOOKUP(TEXT(A2125,"yy-mm")&amp;"-"&amp;IF(AND(WEEKDAY(A2125)&gt;1,WEEKDAY(A2125)&lt;7),"Wkd",TEXT(A2125,"Ddd"))&amp;"-"&amp;TEXT(A2125,"hh"),LoadTable[],6,FALSE)*T2125</f>
        <v>10982.667265200002</v>
      </c>
      <c r="V2125">
        <f t="shared" ref="V2125:W2125" si="2263">V2101</f>
        <v>2.9</v>
      </c>
      <c r="W2125">
        <f t="shared" si="2263"/>
        <v>3</v>
      </c>
      <c r="X2125" s="9">
        <v>-104.52147696666999</v>
      </c>
    </row>
    <row r="2126" spans="1:24">
      <c r="A2126" s="29">
        <f t="shared" si="2254"/>
        <v>45924.458333328184</v>
      </c>
      <c r="B2126" s="30">
        <f t="shared" si="2209"/>
        <v>8000</v>
      </c>
      <c r="C2126" s="8">
        <v>25000</v>
      </c>
      <c r="D2126" s="8">
        <v>0</v>
      </c>
      <c r="E2126" s="8">
        <v>700</v>
      </c>
      <c r="F2126" s="8">
        <v>15000</v>
      </c>
      <c r="G2126" s="30">
        <f t="shared" si="2210"/>
        <v>2400</v>
      </c>
      <c r="H2126" s="8">
        <v>25000</v>
      </c>
      <c r="I2126" s="30">
        <f t="shared" si="2211"/>
        <v>8000</v>
      </c>
      <c r="J2126" s="8">
        <v>25000</v>
      </c>
      <c r="K2126" s="30">
        <f t="shared" si="2212"/>
        <v>8000</v>
      </c>
      <c r="L2126" s="8">
        <v>25000</v>
      </c>
      <c r="M2126" s="9">
        <f>VLOOKUP(DATE(YEAR(A2126),MONTH(A2126),DAY(A2126)),FY24_Temp[],4,FALSE)</f>
        <v>8.5</v>
      </c>
      <c r="N2126" s="9">
        <f>VLOOKUP(DATE(YEAR(A2126),MONTH(A2126),DAY(A2126)),FY24_Temp[],3,FALSE)</f>
        <v>15.84</v>
      </c>
      <c r="O2126" s="9">
        <v>13.5</v>
      </c>
      <c r="P2126" s="9">
        <v>19.5</v>
      </c>
      <c r="Q2126" s="79">
        <f>VLOOKUP(VLOOKUP(DATEVALUE(TEXT(A2126,"m/d/yyyy")),FY24_Temp[],5,FALSE)&amp;TEXT(A2126,"-h"),Table6[],4,FALSE)</f>
        <v>0.97514285360063824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VLOOKUP(TEXT(A2126,"yy-mm")&amp;"-"&amp;IF(AND(WEEKDAY(A2126)&gt;1,WEEKDAY(A2126)&lt;7),"Wkd",TEXT(A2126,"Ddd"))&amp;"-"&amp;TEXT(A2126,"hh"),LoadTable[],5,FALSE)*0.92</f>
        <v>237.25788000000003</v>
      </c>
      <c r="U2126" s="104">
        <f>VLOOKUP(TEXT(A2126,"yy-mm")&amp;"-"&amp;IF(AND(WEEKDAY(A2126)&gt;1,WEEKDAY(A2126)&lt;7),"Wkd",TEXT(A2126,"Ddd"))&amp;"-"&amp;TEXT(A2126,"hh"),LoadTable[],6,FALSE)*T2126</f>
        <v>10974.125981520001</v>
      </c>
      <c r="V2126">
        <f t="shared" ref="V2126:W2126" si="2264">V2102</f>
        <v>3.4</v>
      </c>
      <c r="W2126">
        <f t="shared" si="2264"/>
        <v>3</v>
      </c>
      <c r="X2126" s="9">
        <v>-104.59927151667</v>
      </c>
    </row>
    <row r="2127" spans="1:24">
      <c r="A2127" s="29">
        <f t="shared" si="2254"/>
        <v>45924.499999994849</v>
      </c>
      <c r="B2127" s="30">
        <f t="shared" si="2209"/>
        <v>8000</v>
      </c>
      <c r="C2127" s="8">
        <v>25000</v>
      </c>
      <c r="D2127" s="8">
        <v>0</v>
      </c>
      <c r="E2127" s="8">
        <v>700</v>
      </c>
      <c r="F2127" s="8">
        <v>15000</v>
      </c>
      <c r="G2127" s="30">
        <f t="shared" si="2210"/>
        <v>2400</v>
      </c>
      <c r="H2127" s="8">
        <v>25000</v>
      </c>
      <c r="I2127" s="30">
        <f t="shared" si="2211"/>
        <v>8000</v>
      </c>
      <c r="J2127" s="8">
        <v>25000</v>
      </c>
      <c r="K2127" s="30">
        <f t="shared" si="2212"/>
        <v>8000</v>
      </c>
      <c r="L2127" s="8">
        <v>25000</v>
      </c>
      <c r="M2127" s="9">
        <f>VLOOKUP(DATE(YEAR(A2127),MONTH(A2127),DAY(A2127)),FY24_Temp[],4,FALSE)</f>
        <v>8.5</v>
      </c>
      <c r="N2127" s="9">
        <f>VLOOKUP(DATE(YEAR(A2127),MONTH(A2127),DAY(A2127)),FY24_Temp[],3,FALSE)</f>
        <v>15.84</v>
      </c>
      <c r="O2127" s="9">
        <v>13.5</v>
      </c>
      <c r="P2127" s="9">
        <v>19.5</v>
      </c>
      <c r="Q2127" s="79">
        <f>VLOOKUP(VLOOKUP(DATEVALUE(TEXT(A2127,"m/d/yyyy")),FY24_Temp[],5,FALSE)&amp;TEXT(A2127,"-h"),Table6[],4,FALSE)</f>
        <v>0.82942857061113628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VLOOKUP(TEXT(A2127,"yy-mm")&amp;"-"&amp;IF(AND(WEEKDAY(A2127)&gt;1,WEEKDAY(A2127)&lt;7),"Wkd",TEXT(A2127,"Ddd"))&amp;"-"&amp;TEXT(A2127,"hh"),LoadTable[],5,FALSE)*0.92</f>
        <v>237.25788000000003</v>
      </c>
      <c r="U2127" s="104">
        <f>VLOOKUP(TEXT(A2127,"yy-mm")&amp;"-"&amp;IF(AND(WEEKDAY(A2127)&gt;1,WEEKDAY(A2127)&lt;7),"Wkd",TEXT(A2127,"Ddd"))&amp;"-"&amp;TEXT(A2127,"hh"),LoadTable[],6,FALSE)*T2127</f>
        <v>10962.974861160001</v>
      </c>
      <c r="V2127">
        <f t="shared" ref="V2127:W2127" si="2265">V2103</f>
        <v>3.1</v>
      </c>
      <c r="W2127">
        <f t="shared" si="2265"/>
        <v>2.9</v>
      </c>
      <c r="X2127" s="9">
        <v>-104.67706606666999</v>
      </c>
    </row>
    <row r="2128" spans="1:24">
      <c r="A2128" s="29">
        <f t="shared" si="2254"/>
        <v>45924.541666661513</v>
      </c>
      <c r="B2128" s="30">
        <f t="shared" si="2209"/>
        <v>8000</v>
      </c>
      <c r="C2128" s="8">
        <v>25000</v>
      </c>
      <c r="D2128" s="8">
        <v>0</v>
      </c>
      <c r="E2128" s="8">
        <v>700</v>
      </c>
      <c r="F2128" s="8">
        <v>15000</v>
      </c>
      <c r="G2128" s="30">
        <f t="shared" si="2210"/>
        <v>2400</v>
      </c>
      <c r="H2128" s="8">
        <v>25000</v>
      </c>
      <c r="I2128" s="30">
        <f t="shared" si="2211"/>
        <v>8000</v>
      </c>
      <c r="J2128" s="8">
        <v>25000</v>
      </c>
      <c r="K2128" s="30">
        <f t="shared" si="2212"/>
        <v>8000</v>
      </c>
      <c r="L2128" s="8">
        <v>25000</v>
      </c>
      <c r="M2128" s="9">
        <f>VLOOKUP(DATE(YEAR(A2128),MONTH(A2128),DAY(A2128)),FY24_Temp[],4,FALSE)</f>
        <v>8.5</v>
      </c>
      <c r="N2128" s="9">
        <f>VLOOKUP(DATE(YEAR(A2128),MONTH(A2128),DAY(A2128)),FY24_Temp[],3,FALSE)</f>
        <v>15.84</v>
      </c>
      <c r="O2128" s="9">
        <v>13.5</v>
      </c>
      <c r="P2128" s="9">
        <v>19.5</v>
      </c>
      <c r="Q2128" s="79">
        <f>VLOOKUP(VLOOKUP(DATEVALUE(TEXT(A2128,"m/d/yyyy")),FY24_Temp[],5,FALSE)&amp;TEXT(A2128,"-h"),Table6[],4,FALSE)</f>
        <v>0.69342857599258423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VLOOKUP(TEXT(A2128,"yy-mm")&amp;"-"&amp;IF(AND(WEEKDAY(A2128)&gt;1,WEEKDAY(A2128)&lt;7),"Wkd",TEXT(A2128,"Ddd"))&amp;"-"&amp;TEXT(A2128,"hh"),LoadTable[],5,FALSE)*0.92</f>
        <v>237.25788000000003</v>
      </c>
      <c r="U2128" s="104">
        <f>VLOOKUP(TEXT(A2128,"yy-mm")&amp;"-"&amp;IF(AND(WEEKDAY(A2128)&gt;1,WEEKDAY(A2128)&lt;7),"Wkd",TEXT(A2128,"Ddd"))&amp;"-"&amp;TEXT(A2128,"hh"),LoadTable[],6,FALSE)*T2128</f>
        <v>10978.39662336</v>
      </c>
      <c r="V2128">
        <f t="shared" ref="V2128:W2128" si="2266">V2104</f>
        <v>3.2</v>
      </c>
      <c r="W2128">
        <f t="shared" si="2266"/>
        <v>2.9</v>
      </c>
      <c r="X2128" s="9">
        <v>-104.75486061667</v>
      </c>
    </row>
    <row r="2129" spans="1:24">
      <c r="A2129" s="29">
        <f t="shared" si="2254"/>
        <v>45924.583333328177</v>
      </c>
      <c r="B2129" s="30">
        <f t="shared" si="2209"/>
        <v>8000</v>
      </c>
      <c r="C2129" s="8">
        <v>25000</v>
      </c>
      <c r="D2129" s="8">
        <v>0</v>
      </c>
      <c r="E2129" s="8">
        <v>700</v>
      </c>
      <c r="F2129" s="8">
        <v>15000</v>
      </c>
      <c r="G2129" s="30">
        <f t="shared" si="2210"/>
        <v>2400</v>
      </c>
      <c r="H2129" s="8">
        <v>25000</v>
      </c>
      <c r="I2129" s="30">
        <f t="shared" si="2211"/>
        <v>8000</v>
      </c>
      <c r="J2129" s="8">
        <v>25000</v>
      </c>
      <c r="K2129" s="30">
        <f t="shared" si="2212"/>
        <v>8000</v>
      </c>
      <c r="L2129" s="8">
        <v>25000</v>
      </c>
      <c r="M2129" s="9">
        <f>VLOOKUP(DATE(YEAR(A2129),MONTH(A2129),DAY(A2129)),FY24_Temp[],4,FALSE)</f>
        <v>8.5</v>
      </c>
      <c r="N2129" s="9">
        <f>VLOOKUP(DATE(YEAR(A2129),MONTH(A2129),DAY(A2129)),FY24_Temp[],3,FALSE)</f>
        <v>15.84</v>
      </c>
      <c r="O2129" s="9">
        <v>13.5</v>
      </c>
      <c r="P2129" s="9">
        <v>19.5</v>
      </c>
      <c r="Q2129" s="79">
        <f>VLOOKUP(VLOOKUP(DATEVALUE(TEXT(A2129,"m/d/yyyy")),FY24_Temp[],5,FALSE)&amp;TEXT(A2129,"-h"),Table6[],4,FALSE)</f>
        <v>0.57800000480243141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VLOOKUP(TEXT(A2129,"yy-mm")&amp;"-"&amp;IF(AND(WEEKDAY(A2129)&gt;1,WEEKDAY(A2129)&lt;7),"Wkd",TEXT(A2129,"Ddd"))&amp;"-"&amp;TEXT(A2129,"hh"),LoadTable[],5,FALSE)*0.92</f>
        <v>269.75136000000003</v>
      </c>
      <c r="U2129" s="104">
        <f>VLOOKUP(TEXT(A2129,"yy-mm")&amp;"-"&amp;IF(AND(WEEKDAY(A2129)&gt;1,WEEKDAY(A2129)&lt;7),"Wkd",TEXT(A2129,"Ddd"))&amp;"-"&amp;TEXT(A2129,"hh"),LoadTable[],6,FALSE)*T2129</f>
        <v>12503.245287360001</v>
      </c>
      <c r="V2129">
        <f t="shared" ref="V2129:W2129" si="2267">V2105</f>
        <v>3.5</v>
      </c>
      <c r="W2129">
        <f t="shared" si="2267"/>
        <v>2.9</v>
      </c>
      <c r="X2129" s="9">
        <v>-104.83265516666999</v>
      </c>
    </row>
    <row r="2130" spans="1:24">
      <c r="A2130" s="29">
        <f t="shared" si="2254"/>
        <v>45924.624999994841</v>
      </c>
      <c r="B2130" s="30">
        <f t="shared" si="2209"/>
        <v>8000</v>
      </c>
      <c r="C2130" s="8">
        <v>25000</v>
      </c>
      <c r="D2130" s="8">
        <v>0</v>
      </c>
      <c r="E2130" s="8">
        <v>700</v>
      </c>
      <c r="F2130" s="8">
        <v>15000</v>
      </c>
      <c r="G2130" s="30">
        <f t="shared" si="2210"/>
        <v>2400</v>
      </c>
      <c r="H2130" s="8">
        <v>25000</v>
      </c>
      <c r="I2130" s="30">
        <f t="shared" si="2211"/>
        <v>8000</v>
      </c>
      <c r="J2130" s="8">
        <v>25000</v>
      </c>
      <c r="K2130" s="30">
        <f t="shared" si="2212"/>
        <v>8000</v>
      </c>
      <c r="L2130" s="8">
        <v>25000</v>
      </c>
      <c r="M2130" s="9">
        <f>VLOOKUP(DATE(YEAR(A2130),MONTH(A2130),DAY(A2130)),FY24_Temp[],4,FALSE)</f>
        <v>8.5</v>
      </c>
      <c r="N2130" s="9">
        <f>VLOOKUP(DATE(YEAR(A2130),MONTH(A2130),DAY(A2130)),FY24_Temp[],3,FALSE)</f>
        <v>15.84</v>
      </c>
      <c r="O2130" s="9">
        <v>13.5</v>
      </c>
      <c r="P2130" s="9">
        <v>19.5</v>
      </c>
      <c r="Q2130" s="79">
        <f>VLOOKUP(VLOOKUP(DATEVALUE(TEXT(A2130,"m/d/yyyy")),FY24_Temp[],5,FALSE)&amp;TEXT(A2130,"-h"),Table6[],4,FALSE)</f>
        <v>0.56385713389941627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VLOOKUP(TEXT(A2130,"yy-mm")&amp;"-"&amp;IF(AND(WEEKDAY(A2130)&gt;1,WEEKDAY(A2130)&lt;7),"Wkd",TEXT(A2130,"Ddd"))&amp;"-"&amp;TEXT(A2130,"hh"),LoadTable[],5,FALSE)*0.92</f>
        <v>388.38076000000001</v>
      </c>
      <c r="U2130" s="104">
        <f>VLOOKUP(TEXT(A2130,"yy-mm")&amp;"-"&amp;IF(AND(WEEKDAY(A2130)&gt;1,WEEKDAY(A2130)&lt;7),"Wkd",TEXT(A2130,"Ddd"))&amp;"-"&amp;TEXT(A2130,"hh"),LoadTable[],6,FALSE)*T2130</f>
        <v>19705.663000880002</v>
      </c>
      <c r="V2130">
        <f t="shared" ref="V2130:W2130" si="2268">V2106</f>
        <v>3.2</v>
      </c>
      <c r="W2130">
        <f t="shared" si="2268"/>
        <v>2.9</v>
      </c>
      <c r="X2130" s="9">
        <v>-104.91044971667</v>
      </c>
    </row>
    <row r="2131" spans="1:24">
      <c r="A2131" s="29">
        <f t="shared" si="2254"/>
        <v>45924.666666661506</v>
      </c>
      <c r="B2131" s="30">
        <f t="shared" si="2209"/>
        <v>8000</v>
      </c>
      <c r="C2131" s="8">
        <v>25000</v>
      </c>
      <c r="D2131" s="8">
        <v>0</v>
      </c>
      <c r="E2131" s="8">
        <v>700</v>
      </c>
      <c r="F2131" s="8">
        <v>15000</v>
      </c>
      <c r="G2131" s="30">
        <f t="shared" si="2210"/>
        <v>2400</v>
      </c>
      <c r="H2131" s="8">
        <v>25000</v>
      </c>
      <c r="I2131" s="30">
        <f t="shared" si="2211"/>
        <v>8000</v>
      </c>
      <c r="J2131" s="8">
        <v>25000</v>
      </c>
      <c r="K2131" s="30">
        <f t="shared" si="2212"/>
        <v>8000</v>
      </c>
      <c r="L2131" s="8">
        <v>25000</v>
      </c>
      <c r="M2131" s="9">
        <f>VLOOKUP(DATE(YEAR(A2131),MONTH(A2131),DAY(A2131)),FY24_Temp[],4,FALSE)</f>
        <v>8.5</v>
      </c>
      <c r="N2131" s="9">
        <f>VLOOKUP(DATE(YEAR(A2131),MONTH(A2131),DAY(A2131)),FY24_Temp[],3,FALSE)</f>
        <v>15.84</v>
      </c>
      <c r="O2131" s="9">
        <v>13.5</v>
      </c>
      <c r="P2131" s="9">
        <v>19.5</v>
      </c>
      <c r="Q2131" s="79">
        <f>VLOOKUP(VLOOKUP(DATEVALUE(TEXT(A2131,"m/d/yyyy")),FY24_Temp[],5,FALSE)&amp;TEXT(A2131,"-h"),Table6[],4,FALSE)</f>
        <v>0.83414285523550846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VLOOKUP(TEXT(A2131,"yy-mm")&amp;"-"&amp;IF(AND(WEEKDAY(A2131)&gt;1,WEEKDAY(A2131)&lt;7),"Wkd",TEXT(A2131,"Ddd"))&amp;"-"&amp;TEXT(A2131,"hh"),LoadTable[],5,FALSE)*0.92</f>
        <v>388.38076000000001</v>
      </c>
      <c r="U2131" s="104">
        <f>VLOOKUP(TEXT(A2131,"yy-mm")&amp;"-"&amp;IF(AND(WEEKDAY(A2131)&gt;1,WEEKDAY(A2131)&lt;7),"Wkd",TEXT(A2131,"Ddd"))&amp;"-"&amp;TEXT(A2131,"hh"),LoadTable[],6,FALSE)*T2131</f>
        <v>23675.6911296</v>
      </c>
      <c r="V2131">
        <f t="shared" ref="V2131:W2131" si="2269">V2107</f>
        <v>3.5</v>
      </c>
      <c r="W2131">
        <f t="shared" si="2269"/>
        <v>3</v>
      </c>
      <c r="X2131" s="9">
        <v>-104.98824426666999</v>
      </c>
    </row>
    <row r="2132" spans="1:24">
      <c r="A2132" s="29">
        <f t="shared" si="2254"/>
        <v>45924.70833332817</v>
      </c>
      <c r="B2132" s="30">
        <f t="shared" si="2209"/>
        <v>8000</v>
      </c>
      <c r="C2132" s="8">
        <v>25000</v>
      </c>
      <c r="D2132" s="8">
        <v>0</v>
      </c>
      <c r="E2132" s="8">
        <v>700</v>
      </c>
      <c r="F2132" s="8">
        <v>15000</v>
      </c>
      <c r="G2132" s="30">
        <f t="shared" si="2210"/>
        <v>2400</v>
      </c>
      <c r="H2132" s="8">
        <v>25000</v>
      </c>
      <c r="I2132" s="30">
        <f t="shared" si="2211"/>
        <v>8000</v>
      </c>
      <c r="J2132" s="8">
        <v>25000</v>
      </c>
      <c r="K2132" s="30">
        <f t="shared" si="2212"/>
        <v>8000</v>
      </c>
      <c r="L2132" s="8">
        <v>25000</v>
      </c>
      <c r="M2132" s="9">
        <f>VLOOKUP(DATE(YEAR(A2132),MONTH(A2132),DAY(A2132)),FY24_Temp[],4,FALSE)</f>
        <v>8.5</v>
      </c>
      <c r="N2132" s="9">
        <f>VLOOKUP(DATE(YEAR(A2132),MONTH(A2132),DAY(A2132)),FY24_Temp[],3,FALSE)</f>
        <v>15.84</v>
      </c>
      <c r="O2132" s="9">
        <v>13.5</v>
      </c>
      <c r="P2132" s="9">
        <v>19.5</v>
      </c>
      <c r="Q2132" s="79">
        <f>VLOOKUP(VLOOKUP(DATEVALUE(TEXT(A2132,"m/d/yyyy")),FY24_Temp[],5,FALSE)&amp;TEXT(A2132,"-h"),Table6[],4,FALSE)</f>
        <v>1.2335714272090368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VLOOKUP(TEXT(A2132,"yy-mm")&amp;"-"&amp;IF(AND(WEEKDAY(A2132)&gt;1,WEEKDAY(A2132)&lt;7),"Wkd",TEXT(A2132,"Ddd"))&amp;"-"&amp;TEXT(A2132,"hh"),LoadTable[],5,FALSE)*0.92</f>
        <v>388.38076000000001</v>
      </c>
      <c r="U2132" s="104">
        <f>VLOOKUP(TEXT(A2132,"yy-mm")&amp;"-"&amp;IF(AND(WEEKDAY(A2132)&gt;1,WEEKDAY(A2132)&lt;7),"Wkd",TEXT(A2132,"Ddd"))&amp;"-"&amp;TEXT(A2132,"hh"),LoadTable[],6,FALSE)*T2132</f>
        <v>31454.180990880002</v>
      </c>
      <c r="V2132">
        <f t="shared" ref="V2132:W2132" si="2270">V2108</f>
        <v>3.6</v>
      </c>
      <c r="W2132">
        <f t="shared" si="2270"/>
        <v>3</v>
      </c>
      <c r="X2132" s="9">
        <v>-105.06603881667</v>
      </c>
    </row>
    <row r="2133" spans="1:24">
      <c r="A2133" s="29">
        <f t="shared" si="2254"/>
        <v>45924.749999994834</v>
      </c>
      <c r="B2133" s="30">
        <f t="shared" si="2209"/>
        <v>5000</v>
      </c>
      <c r="C2133" s="8">
        <v>25000</v>
      </c>
      <c r="D2133" s="8">
        <v>0</v>
      </c>
      <c r="E2133" s="8">
        <v>700</v>
      </c>
      <c r="F2133" s="8">
        <v>15000</v>
      </c>
      <c r="G2133" s="30">
        <f t="shared" si="2210"/>
        <v>2400</v>
      </c>
      <c r="H2133" s="8">
        <v>25000</v>
      </c>
      <c r="I2133" s="30">
        <f t="shared" si="2211"/>
        <v>5000</v>
      </c>
      <c r="J2133" s="8">
        <v>25000</v>
      </c>
      <c r="K2133" s="30">
        <f t="shared" si="2212"/>
        <v>5000</v>
      </c>
      <c r="L2133" s="8">
        <v>25000</v>
      </c>
      <c r="M2133" s="9">
        <f>VLOOKUP(DATE(YEAR(A2133),MONTH(A2133),DAY(A2133)),FY24_Temp[],4,FALSE)</f>
        <v>8.5</v>
      </c>
      <c r="N2133" s="9">
        <f>VLOOKUP(DATE(YEAR(A2133),MONTH(A2133),DAY(A2133)),FY24_Temp[],3,FALSE)</f>
        <v>15.84</v>
      </c>
      <c r="O2133" s="9">
        <v>13.5</v>
      </c>
      <c r="P2133" s="9">
        <v>19.5</v>
      </c>
      <c r="Q2133" s="79">
        <f>VLOOKUP(VLOOKUP(DATEVALUE(TEXT(A2133,"m/d/yyyy")),FY24_Temp[],5,FALSE)&amp;TEXT(A2133,"-h"),Table6[],4,FALSE)</f>
        <v>1.6985714265278407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VLOOKUP(TEXT(A2133,"yy-mm")&amp;"-"&amp;IF(AND(WEEKDAY(A2133)&gt;1,WEEKDAY(A2133)&lt;7),"Wkd",TEXT(A2133,"Ddd"))&amp;"-"&amp;TEXT(A2133,"hh"),LoadTable[],5,FALSE)*0.92</f>
        <v>388.38076000000001</v>
      </c>
      <c r="U2133" s="104">
        <f>VLOOKUP(TEXT(A2133,"yy-mm")&amp;"-"&amp;IF(AND(WEEKDAY(A2133)&gt;1,WEEKDAY(A2133)&lt;7),"Wkd",TEXT(A2133,"Ddd"))&amp;"-"&amp;TEXT(A2133,"hh"),LoadTable[],6,FALSE)*T2133</f>
        <v>38316.869020080005</v>
      </c>
      <c r="V2133">
        <f t="shared" ref="V2133:W2133" si="2271">V2109</f>
        <v>2.9</v>
      </c>
      <c r="W2133">
        <f t="shared" si="2271"/>
        <v>3</v>
      </c>
      <c r="X2133" s="9">
        <v>-105.14383336666999</v>
      </c>
    </row>
    <row r="2134" spans="1:24">
      <c r="A2134" s="29">
        <f t="shared" si="2254"/>
        <v>45924.791666661498</v>
      </c>
      <c r="B2134" s="30">
        <f t="shared" si="2209"/>
        <v>5000</v>
      </c>
      <c r="C2134" s="8">
        <v>25000</v>
      </c>
      <c r="D2134" s="8">
        <v>0</v>
      </c>
      <c r="E2134" s="8">
        <v>700</v>
      </c>
      <c r="F2134" s="8">
        <v>15000</v>
      </c>
      <c r="G2134" s="30">
        <f t="shared" si="2210"/>
        <v>2400</v>
      </c>
      <c r="H2134" s="8">
        <v>25000</v>
      </c>
      <c r="I2134" s="30">
        <f t="shared" si="2211"/>
        <v>5000</v>
      </c>
      <c r="J2134" s="8">
        <v>25000</v>
      </c>
      <c r="K2134" s="30">
        <f t="shared" si="2212"/>
        <v>5000</v>
      </c>
      <c r="L2134" s="8">
        <v>25000</v>
      </c>
      <c r="M2134" s="9">
        <f>VLOOKUP(DATE(YEAR(A2134),MONTH(A2134),DAY(A2134)),FY24_Temp[],4,FALSE)</f>
        <v>8.5</v>
      </c>
      <c r="N2134" s="9">
        <f>VLOOKUP(DATE(YEAR(A2134),MONTH(A2134),DAY(A2134)),FY24_Temp[],3,FALSE)</f>
        <v>15.84</v>
      </c>
      <c r="O2134" s="9">
        <v>13.5</v>
      </c>
      <c r="P2134" s="9">
        <v>19.5</v>
      </c>
      <c r="Q2134" s="79">
        <f>VLOOKUP(VLOOKUP(DATEVALUE(TEXT(A2134,"m/d/yyyy")),FY24_Temp[],5,FALSE)&amp;TEXT(A2134,"-h"),Table6[],4,FALSE)</f>
        <v>2.0531428711754933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VLOOKUP(TEXT(A2134,"yy-mm")&amp;"-"&amp;IF(AND(WEEKDAY(A2134)&gt;1,WEEKDAY(A2134)&lt;7),"Wkd",TEXT(A2134,"Ddd"))&amp;"-"&amp;TEXT(A2134,"hh"),LoadTable[],5,FALSE)*0.92</f>
        <v>388.38076000000001</v>
      </c>
      <c r="U2134" s="104">
        <f>VLOOKUP(TEXT(A2134,"yy-mm")&amp;"-"&amp;IF(AND(WEEKDAY(A2134)&gt;1,WEEKDAY(A2134)&lt;7),"Wkd",TEXT(A2134,"Ddd"))&amp;"-"&amp;TEXT(A2134,"hh"),LoadTable[],6,FALSE)*T2134</f>
        <v>41132.241149319998</v>
      </c>
      <c r="V2134">
        <f t="shared" ref="V2134:W2134" si="2272">V2110</f>
        <v>3</v>
      </c>
      <c r="W2134">
        <f t="shared" si="2272"/>
        <v>3</v>
      </c>
      <c r="X2134" s="9">
        <v>-105.22162791667</v>
      </c>
    </row>
    <row r="2135" spans="1:24">
      <c r="A2135" s="29">
        <f t="shared" si="2254"/>
        <v>45924.833333328163</v>
      </c>
      <c r="B2135" s="30">
        <f t="shared" si="2209"/>
        <v>5000</v>
      </c>
      <c r="C2135" s="8">
        <v>25000</v>
      </c>
      <c r="D2135" s="8">
        <v>0</v>
      </c>
      <c r="E2135" s="8">
        <v>700</v>
      </c>
      <c r="F2135" s="8">
        <v>15000</v>
      </c>
      <c r="G2135" s="30">
        <f t="shared" si="2210"/>
        <v>2400</v>
      </c>
      <c r="H2135" s="8">
        <v>25000</v>
      </c>
      <c r="I2135" s="30">
        <f t="shared" si="2211"/>
        <v>5000</v>
      </c>
      <c r="J2135" s="8">
        <v>25000</v>
      </c>
      <c r="K2135" s="30">
        <f t="shared" si="2212"/>
        <v>5000</v>
      </c>
      <c r="L2135" s="8">
        <v>25000</v>
      </c>
      <c r="M2135" s="9">
        <f>VLOOKUP(DATE(YEAR(A2135),MONTH(A2135),DAY(A2135)),FY24_Temp[],4,FALSE)</f>
        <v>8.5</v>
      </c>
      <c r="N2135" s="9">
        <f>VLOOKUP(DATE(YEAR(A2135),MONTH(A2135),DAY(A2135)),FY24_Temp[],3,FALSE)</f>
        <v>15.84</v>
      </c>
      <c r="O2135" s="9">
        <v>13.5</v>
      </c>
      <c r="P2135" s="9">
        <v>19.5</v>
      </c>
      <c r="Q2135" s="79">
        <f>VLOOKUP(VLOOKUP(DATEVALUE(TEXT(A2135,"m/d/yyyy")),FY24_Temp[],5,FALSE)&amp;TEXT(A2135,"-h"),Table6[],4,FALSE)</f>
        <v>2.2329999378749301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VLOOKUP(TEXT(A2135,"yy-mm")&amp;"-"&amp;IF(AND(WEEKDAY(A2135)&gt;1,WEEKDAY(A2135)&lt;7),"Wkd",TEXT(A2135,"Ddd"))&amp;"-"&amp;TEXT(A2135,"hh"),LoadTable[],5,FALSE)*0.92</f>
        <v>388.38076000000001</v>
      </c>
      <c r="U2135" s="104">
        <f>VLOOKUP(TEXT(A2135,"yy-mm")&amp;"-"&amp;IF(AND(WEEKDAY(A2135)&gt;1,WEEKDAY(A2135)&lt;7),"Wkd",TEXT(A2135,"Ddd"))&amp;"-"&amp;TEXT(A2135,"hh"),LoadTable[],6,FALSE)*T2135</f>
        <v>36274.762984000001</v>
      </c>
      <c r="V2135">
        <f t="shared" ref="V2135:W2135" si="2273">V2111</f>
        <v>2.8</v>
      </c>
      <c r="W2135">
        <f t="shared" si="2273"/>
        <v>3.1</v>
      </c>
      <c r="X2135" s="9">
        <v>-105.29942246666999</v>
      </c>
    </row>
    <row r="2136" spans="1:24">
      <c r="A2136" s="29">
        <f t="shared" si="2254"/>
        <v>45924.874999994827</v>
      </c>
      <c r="B2136" s="30">
        <f t="shared" si="2209"/>
        <v>5000</v>
      </c>
      <c r="C2136" s="8">
        <v>25000</v>
      </c>
      <c r="D2136" s="8">
        <v>0</v>
      </c>
      <c r="E2136" s="8">
        <v>700</v>
      </c>
      <c r="F2136" s="8">
        <v>15000</v>
      </c>
      <c r="G2136" s="30">
        <f t="shared" si="2210"/>
        <v>2400</v>
      </c>
      <c r="H2136" s="8">
        <v>25000</v>
      </c>
      <c r="I2136" s="30">
        <f t="shared" si="2211"/>
        <v>5000</v>
      </c>
      <c r="J2136" s="8">
        <v>25000</v>
      </c>
      <c r="K2136" s="30">
        <f t="shared" si="2212"/>
        <v>5000</v>
      </c>
      <c r="L2136" s="8">
        <v>25000</v>
      </c>
      <c r="M2136" s="9">
        <f>VLOOKUP(DATE(YEAR(A2136),MONTH(A2136),DAY(A2136)),FY24_Temp[],4,FALSE)</f>
        <v>8.5</v>
      </c>
      <c r="N2136" s="9">
        <f>VLOOKUP(DATE(YEAR(A2136),MONTH(A2136),DAY(A2136)),FY24_Temp[],3,FALSE)</f>
        <v>15.84</v>
      </c>
      <c r="O2136" s="9">
        <v>13.5</v>
      </c>
      <c r="P2136" s="9">
        <v>19.5</v>
      </c>
      <c r="Q2136" s="79">
        <f>VLOOKUP(VLOOKUP(DATEVALUE(TEXT(A2136,"m/d/yyyy")),FY24_Temp[],5,FALSE)&amp;TEXT(A2136,"-h"),Table6[],4,FALSE)</f>
        <v>2.2924285616193498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VLOOKUP(TEXT(A2136,"yy-mm")&amp;"-"&amp;IF(AND(WEEKDAY(A2136)&gt;1,WEEKDAY(A2136)&lt;7),"Wkd",TEXT(A2136,"Ddd"))&amp;"-"&amp;TEXT(A2136,"hh"),LoadTable[],5,FALSE)*0.92</f>
        <v>373.79416000000003</v>
      </c>
      <c r="U2136" s="104">
        <f>VLOOKUP(TEXT(A2136,"yy-mm")&amp;"-"&amp;IF(AND(WEEKDAY(A2136)&gt;1,WEEKDAY(A2136)&lt;7),"Wkd",TEXT(A2136,"Ddd"))&amp;"-"&amp;TEXT(A2136,"hh"),LoadTable[],6,FALSE)*T2136</f>
        <v>31749.328362080003</v>
      </c>
      <c r="V2136">
        <f t="shared" ref="V2136:W2136" si="2274">V2112</f>
        <v>3.5</v>
      </c>
      <c r="W2136">
        <f t="shared" si="2274"/>
        <v>3.1</v>
      </c>
      <c r="X2136" s="9">
        <v>-105.37721701667</v>
      </c>
    </row>
    <row r="2137" spans="1:24">
      <c r="A2137" s="29">
        <f t="shared" si="2254"/>
        <v>45924.916666661491</v>
      </c>
      <c r="B2137" s="30">
        <f t="shared" si="2209"/>
        <v>5000</v>
      </c>
      <c r="C2137" s="8">
        <v>25000</v>
      </c>
      <c r="D2137" s="8">
        <v>0</v>
      </c>
      <c r="E2137" s="8">
        <v>700</v>
      </c>
      <c r="F2137" s="8">
        <v>15000</v>
      </c>
      <c r="G2137" s="30">
        <f t="shared" si="2210"/>
        <v>2400</v>
      </c>
      <c r="H2137" s="8">
        <v>25000</v>
      </c>
      <c r="I2137" s="30">
        <f t="shared" si="2211"/>
        <v>5000</v>
      </c>
      <c r="J2137" s="8">
        <v>25000</v>
      </c>
      <c r="K2137" s="30">
        <f t="shared" si="2212"/>
        <v>5000</v>
      </c>
      <c r="L2137" s="8">
        <v>25000</v>
      </c>
      <c r="M2137" s="9">
        <f>VLOOKUP(DATE(YEAR(A2137),MONTH(A2137),DAY(A2137)),FY24_Temp[],4,FALSE)</f>
        <v>8.5</v>
      </c>
      <c r="N2137" s="9">
        <f>VLOOKUP(DATE(YEAR(A2137),MONTH(A2137),DAY(A2137)),FY24_Temp[],3,FALSE)</f>
        <v>15.84</v>
      </c>
      <c r="O2137" s="9">
        <v>13.5</v>
      </c>
      <c r="P2137" s="9">
        <v>19.5</v>
      </c>
      <c r="Q2137" s="79">
        <f>VLOOKUP(VLOOKUP(DATEVALUE(TEXT(A2137,"m/d/yyyy")),FY24_Temp[],5,FALSE)&amp;TEXT(A2137,"-h"),Table6[],4,FALSE)</f>
        <v>2.2601428713117326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VLOOKUP(TEXT(A2137,"yy-mm")&amp;"-"&amp;IF(AND(WEEKDAY(A2137)&gt;1,WEEKDAY(A2137)&lt;7),"Wkd",TEXT(A2137,"Ddd"))&amp;"-"&amp;TEXT(A2137,"hh"),LoadTable[],5,FALSE)*0.92</f>
        <v>299.65044</v>
      </c>
      <c r="U2137" s="104">
        <f>VLOOKUP(TEXT(A2137,"yy-mm")&amp;"-"&amp;IF(AND(WEEKDAY(A2137)&gt;1,WEEKDAY(A2137)&lt;7),"Wkd",TEXT(A2137,"Ddd"))&amp;"-"&amp;TEXT(A2137,"hh"),LoadTable[],6,FALSE)*T2137</f>
        <v>15023.87376072</v>
      </c>
      <c r="V2137">
        <f t="shared" ref="V2137:W2137" si="2275">V2113</f>
        <v>2.9</v>
      </c>
      <c r="W2137">
        <f t="shared" si="2275"/>
        <v>3.1</v>
      </c>
      <c r="X2137" s="9">
        <v>-105.45501156667</v>
      </c>
    </row>
    <row r="2138" spans="1:24">
      <c r="A2138" s="29">
        <f t="shared" si="2254"/>
        <v>45924.958333328155</v>
      </c>
      <c r="B2138" s="30">
        <f t="shared" si="2209"/>
        <v>5000</v>
      </c>
      <c r="C2138" s="8">
        <v>25000</v>
      </c>
      <c r="D2138" s="8">
        <v>0</v>
      </c>
      <c r="E2138" s="8">
        <v>700</v>
      </c>
      <c r="F2138" s="8">
        <v>15000</v>
      </c>
      <c r="G2138" s="30">
        <f t="shared" si="2210"/>
        <v>2400</v>
      </c>
      <c r="H2138" s="8">
        <v>25000</v>
      </c>
      <c r="I2138" s="30">
        <f t="shared" si="2211"/>
        <v>5000</v>
      </c>
      <c r="J2138" s="8">
        <v>25000</v>
      </c>
      <c r="K2138" s="30">
        <f t="shared" si="2212"/>
        <v>5000</v>
      </c>
      <c r="L2138" s="8">
        <v>25000</v>
      </c>
      <c r="M2138" s="9">
        <f>VLOOKUP(DATE(YEAR(A2138),MONTH(A2138),DAY(A2138)),FY24_Temp[],4,FALSE)</f>
        <v>8.5</v>
      </c>
      <c r="N2138" s="9">
        <f>VLOOKUP(DATE(YEAR(A2138),MONTH(A2138),DAY(A2138)),FY24_Temp[],3,FALSE)</f>
        <v>15.84</v>
      </c>
      <c r="O2138" s="9">
        <v>13.5</v>
      </c>
      <c r="P2138" s="9">
        <v>19.5</v>
      </c>
      <c r="Q2138" s="79">
        <f>VLOOKUP(VLOOKUP(DATEVALUE(TEXT(A2138,"m/d/yyyy")),FY24_Temp[],5,FALSE)&amp;TEXT(A2138,"-h"),Table6[],4,FALSE)</f>
        <v>2.2548570973532542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VLOOKUP(TEXT(A2138,"yy-mm")&amp;"-"&amp;IF(AND(WEEKDAY(A2138)&gt;1,WEEKDAY(A2138)&lt;7),"Wkd",TEXT(A2138,"Ddd"))&amp;"-"&amp;TEXT(A2138,"hh"),LoadTable[],5,FALSE)*0.92</f>
        <v>237.25788000000003</v>
      </c>
      <c r="U2138" s="104">
        <f>VLOOKUP(TEXT(A2138,"yy-mm")&amp;"-"&amp;IF(AND(WEEKDAY(A2138)&gt;1,WEEKDAY(A2138)&lt;7),"Wkd",TEXT(A2138,"Ddd"))&amp;"-"&amp;TEXT(A2138,"hh"),LoadTable[],6,FALSE)*T2138</f>
        <v>11687.323168800001</v>
      </c>
      <c r="V2138">
        <f t="shared" ref="V2138:W2138" si="2276">V2114</f>
        <v>3.6</v>
      </c>
      <c r="W2138">
        <f t="shared" si="2276"/>
        <v>3.1</v>
      </c>
      <c r="X2138" s="9">
        <v>-105.53280611667</v>
      </c>
    </row>
    <row r="2139" spans="1:24">
      <c r="A2139" s="29">
        <f t="shared" si="2254"/>
        <v>45924.99999999482</v>
      </c>
      <c r="B2139" s="30">
        <f t="shared" si="2209"/>
        <v>5000</v>
      </c>
      <c r="C2139" s="8">
        <v>25000</v>
      </c>
      <c r="D2139" s="8">
        <v>0</v>
      </c>
      <c r="E2139" s="8">
        <v>700</v>
      </c>
      <c r="F2139" s="8">
        <v>15000</v>
      </c>
      <c r="G2139" s="30">
        <f t="shared" si="2210"/>
        <v>2400</v>
      </c>
      <c r="H2139" s="8">
        <v>25000</v>
      </c>
      <c r="I2139" s="30">
        <f t="shared" si="2211"/>
        <v>5000</v>
      </c>
      <c r="J2139" s="8">
        <v>25000</v>
      </c>
      <c r="K2139" s="30">
        <f t="shared" si="2212"/>
        <v>5000</v>
      </c>
      <c r="L2139" s="8">
        <v>25000</v>
      </c>
      <c r="M2139" s="9">
        <f>VLOOKUP(DATE(YEAR(A2139),MONTH(A2139),DAY(A2139)),FY24_Temp[],4,FALSE)</f>
        <v>8.5</v>
      </c>
      <c r="N2139" s="9">
        <f>VLOOKUP(DATE(YEAR(A2139),MONTH(A2139),DAY(A2139)),FY24_Temp[],3,FALSE)</f>
        <v>15.84</v>
      </c>
      <c r="O2139" s="9">
        <v>13.5</v>
      </c>
      <c r="P2139" s="9">
        <v>19.5</v>
      </c>
      <c r="Q2139" s="79">
        <f>VLOOKUP(VLOOKUP(DATEVALUE(TEXT(A2139,"m/d/yyyy")),FY24_Temp[],5,FALSE)&amp;TEXT(A2139,"-h"),Table6[],4,FALSE)</f>
        <v>2.2702856745038713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VLOOKUP(TEXT(A2139,"yy-mm")&amp;"-"&amp;IF(AND(WEEKDAY(A2139)&gt;1,WEEKDAY(A2139)&lt;7),"Wkd",TEXT(A2139,"Ddd"))&amp;"-"&amp;TEXT(A2139,"hh"),LoadTable[],5,FALSE)*0.92</f>
        <v>237.25788000000003</v>
      </c>
      <c r="U2139" s="104">
        <f>VLOOKUP(TEXT(A2139,"yy-mm")&amp;"-"&amp;IF(AND(WEEKDAY(A2139)&gt;1,WEEKDAY(A2139)&lt;7),"Wkd",TEXT(A2139,"Ddd"))&amp;"-"&amp;TEXT(A2139,"hh"),LoadTable[],6,FALSE)*T2139</f>
        <v>12215.696467560001</v>
      </c>
      <c r="V2139">
        <f t="shared" ref="V2139:W2139" si="2277">V2115</f>
        <v>3</v>
      </c>
      <c r="W2139">
        <f t="shared" si="2277"/>
        <v>3.2</v>
      </c>
      <c r="X2139" s="9">
        <v>-105.61060066667</v>
      </c>
    </row>
    <row r="2140" spans="1:24">
      <c r="A2140" s="29">
        <f t="shared" si="2254"/>
        <v>45925.041666661484</v>
      </c>
      <c r="B2140" s="30">
        <f t="shared" ref="B2140:B2203" si="2278">B2116</f>
        <v>5000</v>
      </c>
      <c r="C2140" s="8">
        <v>25000</v>
      </c>
      <c r="D2140" s="8">
        <v>0</v>
      </c>
      <c r="E2140" s="8">
        <v>700</v>
      </c>
      <c r="F2140" s="8">
        <v>15000</v>
      </c>
      <c r="G2140" s="30">
        <f t="shared" ref="G2140:G2203" si="2279">G2116</f>
        <v>2400</v>
      </c>
      <c r="H2140" s="8">
        <v>25000</v>
      </c>
      <c r="I2140" s="30">
        <f t="shared" ref="I2140:I2203" si="2280">I2116</f>
        <v>5000</v>
      </c>
      <c r="J2140" s="8">
        <v>25000</v>
      </c>
      <c r="K2140" s="30">
        <f t="shared" ref="K2140:K2203" si="2281">K2116</f>
        <v>5000</v>
      </c>
      <c r="L2140" s="8">
        <v>25000</v>
      </c>
      <c r="M2140" s="9">
        <f>VLOOKUP(DATE(YEAR(A2140),MONTH(A2140),DAY(A2140)),FY24_Temp[],4,FALSE)</f>
        <v>8.5</v>
      </c>
      <c r="N2140" s="9">
        <f>VLOOKUP(DATE(YEAR(A2140),MONTH(A2140),DAY(A2140)),FY24_Temp[],3,FALSE)</f>
        <v>15.84</v>
      </c>
      <c r="O2140" s="9">
        <v>13.5</v>
      </c>
      <c r="P2140" s="9">
        <v>19.5</v>
      </c>
      <c r="Q2140" s="79">
        <f>VLOOKUP(VLOOKUP(DATEVALUE(TEXT(A2140,"m/d/yyyy")),FY24_Temp[],5,FALSE)&amp;TEXT(A2140,"-h"),Table6[],4,FALSE)</f>
        <v>2.2084285531725203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VLOOKUP(TEXT(A2140,"yy-mm")&amp;"-"&amp;IF(AND(WEEKDAY(A2140)&gt;1,WEEKDAY(A2140)&lt;7),"Wkd",TEXT(A2140,"Ddd"))&amp;"-"&amp;TEXT(A2140,"hh"),LoadTable[],5,FALSE)*0.92</f>
        <v>237.25788000000003</v>
      </c>
      <c r="U2140" s="104">
        <f>VLOOKUP(TEXT(A2140,"yy-mm")&amp;"-"&amp;IF(AND(WEEKDAY(A2140)&gt;1,WEEKDAY(A2140)&lt;7),"Wkd",TEXT(A2140,"Ddd"))&amp;"-"&amp;TEXT(A2140,"hh"),LoadTable[],6,FALSE)*T2140</f>
        <v>11905.12590264</v>
      </c>
      <c r="V2140">
        <f t="shared" ref="V2140:W2140" si="2282">V2116</f>
        <v>2.6</v>
      </c>
      <c r="W2140">
        <f t="shared" si="2282"/>
        <v>3.2</v>
      </c>
      <c r="X2140" s="9">
        <v>-105.68839521667</v>
      </c>
    </row>
    <row r="2141" spans="1:24">
      <c r="A2141" s="29">
        <f t="shared" si="2254"/>
        <v>45925.083333328148</v>
      </c>
      <c r="B2141" s="30">
        <f t="shared" si="2278"/>
        <v>5000</v>
      </c>
      <c r="C2141" s="8">
        <v>25000</v>
      </c>
      <c r="D2141" s="8">
        <v>0</v>
      </c>
      <c r="E2141" s="8">
        <v>700</v>
      </c>
      <c r="F2141" s="8">
        <v>15000</v>
      </c>
      <c r="G2141" s="30">
        <f t="shared" si="2279"/>
        <v>2400</v>
      </c>
      <c r="H2141" s="8">
        <v>25000</v>
      </c>
      <c r="I2141" s="30">
        <f t="shared" si="2280"/>
        <v>5000</v>
      </c>
      <c r="J2141" s="8">
        <v>25000</v>
      </c>
      <c r="K2141" s="30">
        <f t="shared" si="2281"/>
        <v>5000</v>
      </c>
      <c r="L2141" s="8">
        <v>25000</v>
      </c>
      <c r="M2141" s="9">
        <f>VLOOKUP(DATE(YEAR(A2141),MONTH(A2141),DAY(A2141)),FY24_Temp[],4,FALSE)</f>
        <v>8.5</v>
      </c>
      <c r="N2141" s="9">
        <f>VLOOKUP(DATE(YEAR(A2141),MONTH(A2141),DAY(A2141)),FY24_Temp[],3,FALSE)</f>
        <v>15.84</v>
      </c>
      <c r="O2141" s="9">
        <v>13.5</v>
      </c>
      <c r="P2141" s="9">
        <v>19.5</v>
      </c>
      <c r="Q2141" s="79">
        <f>VLOOKUP(VLOOKUP(DATEVALUE(TEXT(A2141,"m/d/yyyy")),FY24_Temp[],5,FALSE)&amp;TEXT(A2141,"-h"),Table6[],4,FALSE)</f>
        <v>2.083142876625061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VLOOKUP(TEXT(A2141,"yy-mm")&amp;"-"&amp;IF(AND(WEEKDAY(A2141)&gt;1,WEEKDAY(A2141)&lt;7),"Wkd",TEXT(A2141,"Ddd"))&amp;"-"&amp;TEXT(A2141,"hh"),LoadTable[],5,FALSE)*0.92</f>
        <v>237.25788000000003</v>
      </c>
      <c r="U2141" s="104">
        <f>VLOOKUP(TEXT(A2141,"yy-mm")&amp;"-"&amp;IF(AND(WEEKDAY(A2141)&gt;1,WEEKDAY(A2141)&lt;7),"Wkd",TEXT(A2141,"Ddd"))&amp;"-"&amp;TEXT(A2141,"hh"),LoadTable[],6,FALSE)*T2141</f>
        <v>11856.013521480001</v>
      </c>
      <c r="V2141">
        <f t="shared" ref="V2141:W2141" si="2283">V2117</f>
        <v>2.8</v>
      </c>
      <c r="W2141">
        <f t="shared" si="2283"/>
        <v>3.2</v>
      </c>
      <c r="X2141" s="9">
        <v>-105.76618976667</v>
      </c>
    </row>
    <row r="2142" spans="1:24">
      <c r="A2142" s="29">
        <f t="shared" si="2254"/>
        <v>45925.124999994812</v>
      </c>
      <c r="B2142" s="30">
        <f t="shared" si="2278"/>
        <v>5000</v>
      </c>
      <c r="C2142" s="8">
        <v>25000</v>
      </c>
      <c r="D2142" s="8">
        <v>0</v>
      </c>
      <c r="E2142" s="8">
        <v>700</v>
      </c>
      <c r="F2142" s="8">
        <v>15000</v>
      </c>
      <c r="G2142" s="30">
        <f t="shared" si="2279"/>
        <v>2400</v>
      </c>
      <c r="H2142" s="8">
        <v>25000</v>
      </c>
      <c r="I2142" s="30">
        <f t="shared" si="2280"/>
        <v>5000</v>
      </c>
      <c r="J2142" s="8">
        <v>25000</v>
      </c>
      <c r="K2142" s="30">
        <f t="shared" si="2281"/>
        <v>5000</v>
      </c>
      <c r="L2142" s="8">
        <v>25000</v>
      </c>
      <c r="M2142" s="9">
        <f>VLOOKUP(DATE(YEAR(A2142),MONTH(A2142),DAY(A2142)),FY24_Temp[],4,FALSE)</f>
        <v>8.5</v>
      </c>
      <c r="N2142" s="9">
        <f>VLOOKUP(DATE(YEAR(A2142),MONTH(A2142),DAY(A2142)),FY24_Temp[],3,FALSE)</f>
        <v>15.84</v>
      </c>
      <c r="O2142" s="9">
        <v>13.5</v>
      </c>
      <c r="P2142" s="9">
        <v>19.5</v>
      </c>
      <c r="Q2142" s="79">
        <f>VLOOKUP(VLOOKUP(DATEVALUE(TEXT(A2142,"m/d/yyyy")),FY24_Temp[],5,FALSE)&amp;TEXT(A2142,"-h"),Table6[],4,FALSE)</f>
        <v>1.9411428485597884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VLOOKUP(TEXT(A2142,"yy-mm")&amp;"-"&amp;IF(AND(WEEKDAY(A2142)&gt;1,WEEKDAY(A2142)&lt;7),"Wkd",TEXT(A2142,"Ddd"))&amp;"-"&amp;TEXT(A2142,"hh"),LoadTable[],5,FALSE)*0.92</f>
        <v>237.25788000000003</v>
      </c>
      <c r="U2142" s="104">
        <f>VLOOKUP(TEXT(A2142,"yy-mm")&amp;"-"&amp;IF(AND(WEEKDAY(A2142)&gt;1,WEEKDAY(A2142)&lt;7),"Wkd",TEXT(A2142,"Ddd"))&amp;"-"&amp;TEXT(A2142,"hh"),LoadTable[],6,FALSE)*T2142</f>
        <v>11893.025750760002</v>
      </c>
      <c r="V2142">
        <f t="shared" ref="V2142:W2142" si="2284">V2118</f>
        <v>2.7</v>
      </c>
      <c r="W2142">
        <f t="shared" si="2284"/>
        <v>3.2</v>
      </c>
      <c r="X2142" s="9">
        <v>-105.84398431667</v>
      </c>
    </row>
    <row r="2143" spans="1:24">
      <c r="A2143" s="29">
        <f t="shared" si="2254"/>
        <v>45925.166666661476</v>
      </c>
      <c r="B2143" s="30">
        <f t="shared" si="2278"/>
        <v>5000</v>
      </c>
      <c r="C2143" s="8">
        <v>25000</v>
      </c>
      <c r="D2143" s="8">
        <v>0</v>
      </c>
      <c r="E2143" s="8">
        <v>700</v>
      </c>
      <c r="F2143" s="8">
        <v>15000</v>
      </c>
      <c r="G2143" s="30">
        <f t="shared" si="2279"/>
        <v>2400</v>
      </c>
      <c r="H2143" s="8">
        <v>25000</v>
      </c>
      <c r="I2143" s="30">
        <f t="shared" si="2280"/>
        <v>5000</v>
      </c>
      <c r="J2143" s="8">
        <v>25000</v>
      </c>
      <c r="K2143" s="30">
        <f t="shared" si="2281"/>
        <v>5000</v>
      </c>
      <c r="L2143" s="8">
        <v>25000</v>
      </c>
      <c r="M2143" s="9">
        <f>VLOOKUP(DATE(YEAR(A2143),MONTH(A2143),DAY(A2143)),FY24_Temp[],4,FALSE)</f>
        <v>8.5</v>
      </c>
      <c r="N2143" s="9">
        <f>VLOOKUP(DATE(YEAR(A2143),MONTH(A2143),DAY(A2143)),FY24_Temp[],3,FALSE)</f>
        <v>15.84</v>
      </c>
      <c r="O2143" s="9">
        <v>13.5</v>
      </c>
      <c r="P2143" s="9">
        <v>19.5</v>
      </c>
      <c r="Q2143" s="79">
        <f>VLOOKUP(VLOOKUP(DATEVALUE(TEXT(A2143,"m/d/yyyy")),FY24_Temp[],5,FALSE)&amp;TEXT(A2143,"-h"),Table6[],4,FALSE)</f>
        <v>1.7910000085830688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VLOOKUP(TEXT(A2143,"yy-mm")&amp;"-"&amp;IF(AND(WEEKDAY(A2143)&gt;1,WEEKDAY(A2143)&lt;7),"Wkd",TEXT(A2143,"Ddd"))&amp;"-"&amp;TEXT(A2143,"hh"),LoadTable[],5,FALSE)*0.92</f>
        <v>237.25788000000003</v>
      </c>
      <c r="U2143" s="104">
        <f>VLOOKUP(TEXT(A2143,"yy-mm")&amp;"-"&amp;IF(AND(WEEKDAY(A2143)&gt;1,WEEKDAY(A2143)&lt;7),"Wkd",TEXT(A2143,"Ddd"))&amp;"-"&amp;TEXT(A2143,"hh"),LoadTable[],6,FALSE)*T2143</f>
        <v>12081.645765360001</v>
      </c>
      <c r="V2143">
        <f t="shared" ref="V2143:W2143" si="2285">V2119</f>
        <v>3</v>
      </c>
      <c r="W2143">
        <f t="shared" si="2285"/>
        <v>3.1</v>
      </c>
      <c r="X2143" s="9">
        <v>-105.92177886667</v>
      </c>
    </row>
    <row r="2144" spans="1:24">
      <c r="A2144" s="29">
        <f t="shared" si="2254"/>
        <v>45925.208333328141</v>
      </c>
      <c r="B2144" s="30">
        <f t="shared" si="2278"/>
        <v>5000</v>
      </c>
      <c r="C2144" s="8">
        <v>25000</v>
      </c>
      <c r="D2144" s="8">
        <v>0</v>
      </c>
      <c r="E2144" s="8">
        <v>700</v>
      </c>
      <c r="F2144" s="8">
        <v>15000</v>
      </c>
      <c r="G2144" s="30">
        <f t="shared" si="2279"/>
        <v>2400</v>
      </c>
      <c r="H2144" s="8">
        <v>25000</v>
      </c>
      <c r="I2144" s="30">
        <f t="shared" si="2280"/>
        <v>5000</v>
      </c>
      <c r="J2144" s="8">
        <v>25000</v>
      </c>
      <c r="K2144" s="30">
        <f t="shared" si="2281"/>
        <v>5000</v>
      </c>
      <c r="L2144" s="8">
        <v>25000</v>
      </c>
      <c r="M2144" s="9">
        <f>VLOOKUP(DATE(YEAR(A2144),MONTH(A2144),DAY(A2144)),FY24_Temp[],4,FALSE)</f>
        <v>8.5</v>
      </c>
      <c r="N2144" s="9">
        <f>VLOOKUP(DATE(YEAR(A2144),MONTH(A2144),DAY(A2144)),FY24_Temp[],3,FALSE)</f>
        <v>15.84</v>
      </c>
      <c r="O2144" s="9">
        <v>13.5</v>
      </c>
      <c r="P2144" s="9">
        <v>19.5</v>
      </c>
      <c r="Q2144" s="79">
        <f>VLOOKUP(VLOOKUP(DATEVALUE(TEXT(A2144,"m/d/yyyy")),FY24_Temp[],5,FALSE)&amp;TEXT(A2144,"-h"),Table6[],4,FALSE)</f>
        <v>1.6772857052939278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VLOOKUP(TEXT(A2144,"yy-mm")&amp;"-"&amp;IF(AND(WEEKDAY(A2144)&gt;1,WEEKDAY(A2144)&lt;7),"Wkd",TEXT(A2144,"Ddd"))&amp;"-"&amp;TEXT(A2144,"hh"),LoadTable[],5,FALSE)*0.92</f>
        <v>237.25788000000003</v>
      </c>
      <c r="U2144" s="104">
        <f>VLOOKUP(TEXT(A2144,"yy-mm")&amp;"-"&amp;IF(AND(WEEKDAY(A2144)&gt;1,WEEKDAY(A2144)&lt;7),"Wkd",TEXT(A2144,"Ddd"))&amp;"-"&amp;TEXT(A2144,"hh"),LoadTable[],6,FALSE)*T2144</f>
        <v>12065.037713760001</v>
      </c>
      <c r="V2144">
        <f t="shared" ref="V2144:W2144" si="2286">V2120</f>
        <v>2.9</v>
      </c>
      <c r="W2144">
        <f t="shared" si="2286"/>
        <v>3.1</v>
      </c>
      <c r="X2144" s="9">
        <v>-105.99957341667</v>
      </c>
    </row>
    <row r="2145" spans="1:24">
      <c r="A2145" s="29">
        <f t="shared" si="2254"/>
        <v>45925.249999994805</v>
      </c>
      <c r="B2145" s="30">
        <f t="shared" si="2278"/>
        <v>8000</v>
      </c>
      <c r="C2145" s="8">
        <v>25000</v>
      </c>
      <c r="D2145" s="8">
        <v>0</v>
      </c>
      <c r="E2145" s="8">
        <v>700</v>
      </c>
      <c r="F2145" s="8">
        <v>15000</v>
      </c>
      <c r="G2145" s="30">
        <f t="shared" si="2279"/>
        <v>2400</v>
      </c>
      <c r="H2145" s="8">
        <v>25000</v>
      </c>
      <c r="I2145" s="30">
        <f t="shared" si="2280"/>
        <v>8000</v>
      </c>
      <c r="J2145" s="8">
        <v>25000</v>
      </c>
      <c r="K2145" s="30">
        <f t="shared" si="2281"/>
        <v>8000</v>
      </c>
      <c r="L2145" s="8">
        <v>25000</v>
      </c>
      <c r="M2145" s="9">
        <f>VLOOKUP(DATE(YEAR(A2145),MONTH(A2145),DAY(A2145)),FY24_Temp[],4,FALSE)</f>
        <v>8.5</v>
      </c>
      <c r="N2145" s="9">
        <f>VLOOKUP(DATE(YEAR(A2145),MONTH(A2145),DAY(A2145)),FY24_Temp[],3,FALSE)</f>
        <v>15.84</v>
      </c>
      <c r="O2145" s="9">
        <v>13.5</v>
      </c>
      <c r="P2145" s="9">
        <v>19.5</v>
      </c>
      <c r="Q2145" s="79">
        <f>VLOOKUP(VLOOKUP(DATEVALUE(TEXT(A2145,"m/d/yyyy")),FY24_Temp[],5,FALSE)&amp;TEXT(A2145,"-h"),Table6[],4,FALSE)</f>
        <v>1.5761428390230452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VLOOKUP(TEXT(A2145,"yy-mm")&amp;"-"&amp;IF(AND(WEEKDAY(A2145)&gt;1,WEEKDAY(A2145)&lt;7),"Wkd",TEXT(A2145,"Ddd"))&amp;"-"&amp;TEXT(A2145,"hh"),LoadTable[],5,FALSE)*0.92</f>
        <v>237.25788000000003</v>
      </c>
      <c r="U2145" s="104">
        <f>VLOOKUP(TEXT(A2145,"yy-mm")&amp;"-"&amp;IF(AND(WEEKDAY(A2145)&gt;1,WEEKDAY(A2145)&lt;7),"Wkd",TEXT(A2145,"Ddd"))&amp;"-"&amp;TEXT(A2145,"hh"),LoadTable[],6,FALSE)*T2145</f>
        <v>18358.065722880005</v>
      </c>
      <c r="V2145">
        <f t="shared" ref="V2145:W2145" si="2287">V2121</f>
        <v>2.5</v>
      </c>
      <c r="W2145">
        <f t="shared" si="2287"/>
        <v>3.1</v>
      </c>
      <c r="X2145" s="9">
        <v>-106.07736796667</v>
      </c>
    </row>
    <row r="2146" spans="1:24">
      <c r="A2146" s="29">
        <f t="shared" si="2254"/>
        <v>45925.291666661469</v>
      </c>
      <c r="B2146" s="30">
        <f t="shared" si="2278"/>
        <v>8000</v>
      </c>
      <c r="C2146" s="8">
        <v>25000</v>
      </c>
      <c r="D2146" s="8">
        <v>0</v>
      </c>
      <c r="E2146" s="8">
        <v>700</v>
      </c>
      <c r="F2146" s="8">
        <v>15000</v>
      </c>
      <c r="G2146" s="30">
        <f t="shared" si="2279"/>
        <v>2400</v>
      </c>
      <c r="H2146" s="8">
        <v>25000</v>
      </c>
      <c r="I2146" s="30">
        <f t="shared" si="2280"/>
        <v>8000</v>
      </c>
      <c r="J2146" s="8">
        <v>25000</v>
      </c>
      <c r="K2146" s="30">
        <f t="shared" si="2281"/>
        <v>8000</v>
      </c>
      <c r="L2146" s="8">
        <v>25000</v>
      </c>
      <c r="M2146" s="9">
        <f>VLOOKUP(DATE(YEAR(A2146),MONTH(A2146),DAY(A2146)),FY24_Temp[],4,FALSE)</f>
        <v>8.5</v>
      </c>
      <c r="N2146" s="9">
        <f>VLOOKUP(DATE(YEAR(A2146),MONTH(A2146),DAY(A2146)),FY24_Temp[],3,FALSE)</f>
        <v>15.84</v>
      </c>
      <c r="O2146" s="9">
        <v>13.5</v>
      </c>
      <c r="P2146" s="9">
        <v>19.5</v>
      </c>
      <c r="Q2146" s="79">
        <f>VLOOKUP(VLOOKUP(DATEVALUE(TEXT(A2146,"m/d/yyyy")),FY24_Temp[],5,FALSE)&amp;TEXT(A2146,"-h"),Table6[],4,FALSE)</f>
        <v>1.4162857021604265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VLOOKUP(TEXT(A2146,"yy-mm")&amp;"-"&amp;IF(AND(WEEKDAY(A2146)&gt;1,WEEKDAY(A2146)&lt;7),"Wkd",TEXT(A2146,"Ddd"))&amp;"-"&amp;TEXT(A2146,"hh"),LoadTable[],5,FALSE)*0.92</f>
        <v>237.25788000000003</v>
      </c>
      <c r="U2146" s="104">
        <f>VLOOKUP(TEXT(A2146,"yy-mm")&amp;"-"&amp;IF(AND(WEEKDAY(A2146)&gt;1,WEEKDAY(A2146)&lt;7),"Wkd",TEXT(A2146,"Ddd"))&amp;"-"&amp;TEXT(A2146,"hh"),LoadTable[],6,FALSE)*T2146</f>
        <v>16249.08042756</v>
      </c>
      <c r="V2146">
        <f t="shared" ref="V2146:W2146" si="2288">V2122</f>
        <v>2.5</v>
      </c>
      <c r="W2146">
        <f t="shared" si="2288"/>
        <v>3.1</v>
      </c>
      <c r="X2146" s="9">
        <v>-106.15516251667</v>
      </c>
    </row>
    <row r="2147" spans="1:24">
      <c r="A2147" s="29">
        <f t="shared" si="2254"/>
        <v>45925.333333328133</v>
      </c>
      <c r="B2147" s="30">
        <f t="shared" si="2278"/>
        <v>8000</v>
      </c>
      <c r="C2147" s="8">
        <v>25000</v>
      </c>
      <c r="D2147" s="8">
        <v>0</v>
      </c>
      <c r="E2147" s="8">
        <v>700</v>
      </c>
      <c r="F2147" s="8">
        <v>15000</v>
      </c>
      <c r="G2147" s="30">
        <f t="shared" si="2279"/>
        <v>2400</v>
      </c>
      <c r="H2147" s="8">
        <v>25000</v>
      </c>
      <c r="I2147" s="30">
        <f t="shared" si="2280"/>
        <v>8000</v>
      </c>
      <c r="J2147" s="8">
        <v>25000</v>
      </c>
      <c r="K2147" s="30">
        <f t="shared" si="2281"/>
        <v>8000</v>
      </c>
      <c r="L2147" s="8">
        <v>25000</v>
      </c>
      <c r="M2147" s="9">
        <f>VLOOKUP(DATE(YEAR(A2147),MONTH(A2147),DAY(A2147)),FY24_Temp[],4,FALSE)</f>
        <v>8.5</v>
      </c>
      <c r="N2147" s="9">
        <f>VLOOKUP(DATE(YEAR(A2147),MONTH(A2147),DAY(A2147)),FY24_Temp[],3,FALSE)</f>
        <v>15.84</v>
      </c>
      <c r="O2147" s="9">
        <v>13.5</v>
      </c>
      <c r="P2147" s="9">
        <v>19.5</v>
      </c>
      <c r="Q2147" s="79">
        <f>VLOOKUP(VLOOKUP(DATEVALUE(TEXT(A2147,"m/d/yyyy")),FY24_Temp[],5,FALSE)&amp;TEXT(A2147,"-h"),Table6[],4,FALSE)</f>
        <v>1.3535714490073067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VLOOKUP(TEXT(A2147,"yy-mm")&amp;"-"&amp;IF(AND(WEEKDAY(A2147)&gt;1,WEEKDAY(A2147)&lt;7),"Wkd",TEXT(A2147,"Ddd"))&amp;"-"&amp;TEXT(A2147,"hh"),LoadTable[],5,FALSE)*0.92</f>
        <v>237.25788000000003</v>
      </c>
      <c r="U2147" s="104">
        <f>VLOOKUP(TEXT(A2147,"yy-mm")&amp;"-"&amp;IF(AND(WEEKDAY(A2147)&gt;1,WEEKDAY(A2147)&lt;7),"Wkd",TEXT(A2147,"Ddd"))&amp;"-"&amp;TEXT(A2147,"hh"),LoadTable[],6,FALSE)*T2147</f>
        <v>13068.164030400001</v>
      </c>
      <c r="V2147">
        <f t="shared" ref="V2147:W2147" si="2289">V2123</f>
        <v>3.2</v>
      </c>
      <c r="W2147">
        <f t="shared" si="2289"/>
        <v>3</v>
      </c>
      <c r="X2147" s="9">
        <v>-106.23295706667</v>
      </c>
    </row>
    <row r="2148" spans="1:24">
      <c r="A2148" s="29">
        <f t="shared" si="2254"/>
        <v>45925.374999994798</v>
      </c>
      <c r="B2148" s="30">
        <f t="shared" si="2278"/>
        <v>8000</v>
      </c>
      <c r="C2148" s="8">
        <v>25000</v>
      </c>
      <c r="D2148" s="8">
        <v>0</v>
      </c>
      <c r="E2148" s="8">
        <v>700</v>
      </c>
      <c r="F2148" s="8">
        <v>15000</v>
      </c>
      <c r="G2148" s="30">
        <f t="shared" si="2279"/>
        <v>2400</v>
      </c>
      <c r="H2148" s="8">
        <v>25000</v>
      </c>
      <c r="I2148" s="30">
        <f t="shared" si="2280"/>
        <v>8000</v>
      </c>
      <c r="J2148" s="8">
        <v>25000</v>
      </c>
      <c r="K2148" s="30">
        <f t="shared" si="2281"/>
        <v>8000</v>
      </c>
      <c r="L2148" s="8">
        <v>25000</v>
      </c>
      <c r="M2148" s="9">
        <f>VLOOKUP(DATE(YEAR(A2148),MONTH(A2148),DAY(A2148)),FY24_Temp[],4,FALSE)</f>
        <v>8.5</v>
      </c>
      <c r="N2148" s="9">
        <f>VLOOKUP(DATE(YEAR(A2148),MONTH(A2148),DAY(A2148)),FY24_Temp[],3,FALSE)</f>
        <v>15.84</v>
      </c>
      <c r="O2148" s="9">
        <v>13.5</v>
      </c>
      <c r="P2148" s="9">
        <v>19.5</v>
      </c>
      <c r="Q2148" s="79">
        <f>VLOOKUP(VLOOKUP(DATEVALUE(TEXT(A2148,"m/d/yyyy")),FY24_Temp[],5,FALSE)&amp;TEXT(A2148,"-h"),Table6[],4,FALSE)</f>
        <v>1.21599999495915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VLOOKUP(TEXT(A2148,"yy-mm")&amp;"-"&amp;IF(AND(WEEKDAY(A2148)&gt;1,WEEKDAY(A2148)&lt;7),"Wkd",TEXT(A2148,"Ddd"))&amp;"-"&amp;TEXT(A2148,"hh"),LoadTable[],5,FALSE)*0.92</f>
        <v>237.25788000000003</v>
      </c>
      <c r="U2148" s="104">
        <f>VLOOKUP(TEXT(A2148,"yy-mm")&amp;"-"&amp;IF(AND(WEEKDAY(A2148)&gt;1,WEEKDAY(A2148)&lt;7),"Wkd",TEXT(A2148,"Ddd"))&amp;"-"&amp;TEXT(A2148,"hh"),LoadTable[],6,FALSE)*T2148</f>
        <v>11518.395558240001</v>
      </c>
      <c r="V2148">
        <f t="shared" ref="V2148:W2148" si="2290">V2124</f>
        <v>2.9</v>
      </c>
      <c r="W2148">
        <f t="shared" si="2290"/>
        <v>3</v>
      </c>
      <c r="X2148" s="9">
        <v>-106.31075161667</v>
      </c>
    </row>
    <row r="2149" spans="1:24">
      <c r="A2149" s="29">
        <f t="shared" si="2254"/>
        <v>45925.416666661462</v>
      </c>
      <c r="B2149" s="30">
        <f t="shared" si="2278"/>
        <v>8000</v>
      </c>
      <c r="C2149" s="8">
        <v>25000</v>
      </c>
      <c r="D2149" s="8">
        <v>0</v>
      </c>
      <c r="E2149" s="8">
        <v>700</v>
      </c>
      <c r="F2149" s="8">
        <v>15000</v>
      </c>
      <c r="G2149" s="30">
        <f t="shared" si="2279"/>
        <v>2400</v>
      </c>
      <c r="H2149" s="8">
        <v>25000</v>
      </c>
      <c r="I2149" s="30">
        <f t="shared" si="2280"/>
        <v>8000</v>
      </c>
      <c r="J2149" s="8">
        <v>25000</v>
      </c>
      <c r="K2149" s="30">
        <f t="shared" si="2281"/>
        <v>8000</v>
      </c>
      <c r="L2149" s="8">
        <v>25000</v>
      </c>
      <c r="M2149" s="9">
        <f>VLOOKUP(DATE(YEAR(A2149),MONTH(A2149),DAY(A2149)),FY24_Temp[],4,FALSE)</f>
        <v>8.5</v>
      </c>
      <c r="N2149" s="9">
        <f>VLOOKUP(DATE(YEAR(A2149),MONTH(A2149),DAY(A2149)),FY24_Temp[],3,FALSE)</f>
        <v>15.84</v>
      </c>
      <c r="O2149" s="9">
        <v>13.5</v>
      </c>
      <c r="P2149" s="9">
        <v>19.5</v>
      </c>
      <c r="Q2149" s="79">
        <f>VLOOKUP(VLOOKUP(DATEVALUE(TEXT(A2149,"m/d/yyyy")),FY24_Temp[],5,FALSE)&amp;TEXT(A2149,"-h"),Table6[],4,FALSE)</f>
        <v>1.082714285169329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VLOOKUP(TEXT(A2149,"yy-mm")&amp;"-"&amp;IF(AND(WEEKDAY(A2149)&gt;1,WEEKDAY(A2149)&lt;7),"Wkd",TEXT(A2149,"Ddd"))&amp;"-"&amp;TEXT(A2149,"hh"),LoadTable[],5,FALSE)*0.92</f>
        <v>237.25788000000003</v>
      </c>
      <c r="U2149" s="104">
        <f>VLOOKUP(TEXT(A2149,"yy-mm")&amp;"-"&amp;IF(AND(WEEKDAY(A2149)&gt;1,WEEKDAY(A2149)&lt;7),"Wkd",TEXT(A2149,"Ddd"))&amp;"-"&amp;TEXT(A2149,"hh"),LoadTable[],6,FALSE)*T2149</f>
        <v>10982.667265200002</v>
      </c>
      <c r="V2149">
        <f t="shared" ref="V2149:W2149" si="2291">V2125</f>
        <v>2.9</v>
      </c>
      <c r="W2149">
        <f t="shared" si="2291"/>
        <v>3</v>
      </c>
      <c r="X2149" s="9">
        <v>-106.38854616667</v>
      </c>
    </row>
    <row r="2150" spans="1:24">
      <c r="A2150" s="29">
        <f t="shared" si="2254"/>
        <v>45925.458333328126</v>
      </c>
      <c r="B2150" s="30">
        <f t="shared" si="2278"/>
        <v>8000</v>
      </c>
      <c r="C2150" s="8">
        <v>25000</v>
      </c>
      <c r="D2150" s="8">
        <v>0</v>
      </c>
      <c r="E2150" s="8">
        <v>700</v>
      </c>
      <c r="F2150" s="8">
        <v>15000</v>
      </c>
      <c r="G2150" s="30">
        <f t="shared" si="2279"/>
        <v>2400</v>
      </c>
      <c r="H2150" s="8">
        <v>25000</v>
      </c>
      <c r="I2150" s="30">
        <f t="shared" si="2280"/>
        <v>8000</v>
      </c>
      <c r="J2150" s="8">
        <v>25000</v>
      </c>
      <c r="K2150" s="30">
        <f t="shared" si="2281"/>
        <v>8000</v>
      </c>
      <c r="L2150" s="8">
        <v>25000</v>
      </c>
      <c r="M2150" s="9">
        <f>VLOOKUP(DATE(YEAR(A2150),MONTH(A2150),DAY(A2150)),FY24_Temp[],4,FALSE)</f>
        <v>8.5</v>
      </c>
      <c r="N2150" s="9">
        <f>VLOOKUP(DATE(YEAR(A2150),MONTH(A2150),DAY(A2150)),FY24_Temp[],3,FALSE)</f>
        <v>15.84</v>
      </c>
      <c r="O2150" s="9">
        <v>13.5</v>
      </c>
      <c r="P2150" s="9">
        <v>19.5</v>
      </c>
      <c r="Q2150" s="79">
        <f>VLOOKUP(VLOOKUP(DATEVALUE(TEXT(A2150,"m/d/yyyy")),FY24_Temp[],5,FALSE)&amp;TEXT(A2150,"-h"),Table6[],4,FALSE)</f>
        <v>0.97514285360063824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VLOOKUP(TEXT(A2150,"yy-mm")&amp;"-"&amp;IF(AND(WEEKDAY(A2150)&gt;1,WEEKDAY(A2150)&lt;7),"Wkd",TEXT(A2150,"Ddd"))&amp;"-"&amp;TEXT(A2150,"hh"),LoadTable[],5,FALSE)*0.92</f>
        <v>237.25788000000003</v>
      </c>
      <c r="U2150" s="104">
        <f>VLOOKUP(TEXT(A2150,"yy-mm")&amp;"-"&amp;IF(AND(WEEKDAY(A2150)&gt;1,WEEKDAY(A2150)&lt;7),"Wkd",TEXT(A2150,"Ddd"))&amp;"-"&amp;TEXT(A2150,"hh"),LoadTable[],6,FALSE)*T2150</f>
        <v>10974.125981520001</v>
      </c>
      <c r="V2150">
        <f t="shared" ref="V2150:W2150" si="2292">V2126</f>
        <v>3.4</v>
      </c>
      <c r="W2150">
        <f t="shared" si="2292"/>
        <v>3</v>
      </c>
      <c r="X2150" s="9">
        <v>-106.46634071667</v>
      </c>
    </row>
    <row r="2151" spans="1:24">
      <c r="A2151" s="29">
        <f t="shared" si="2254"/>
        <v>45925.49999999479</v>
      </c>
      <c r="B2151" s="30">
        <f t="shared" si="2278"/>
        <v>8000</v>
      </c>
      <c r="C2151" s="8">
        <v>25000</v>
      </c>
      <c r="D2151" s="8">
        <v>0</v>
      </c>
      <c r="E2151" s="8">
        <v>700</v>
      </c>
      <c r="F2151" s="8">
        <v>15000</v>
      </c>
      <c r="G2151" s="30">
        <f t="shared" si="2279"/>
        <v>2400</v>
      </c>
      <c r="H2151" s="8">
        <v>25000</v>
      </c>
      <c r="I2151" s="30">
        <f t="shared" si="2280"/>
        <v>8000</v>
      </c>
      <c r="J2151" s="8">
        <v>25000</v>
      </c>
      <c r="K2151" s="30">
        <f t="shared" si="2281"/>
        <v>8000</v>
      </c>
      <c r="L2151" s="8">
        <v>25000</v>
      </c>
      <c r="M2151" s="9">
        <f>VLOOKUP(DATE(YEAR(A2151),MONTH(A2151),DAY(A2151)),FY24_Temp[],4,FALSE)</f>
        <v>8.5</v>
      </c>
      <c r="N2151" s="9">
        <f>VLOOKUP(DATE(YEAR(A2151),MONTH(A2151),DAY(A2151)),FY24_Temp[],3,FALSE)</f>
        <v>15.84</v>
      </c>
      <c r="O2151" s="9">
        <v>13.5</v>
      </c>
      <c r="P2151" s="9">
        <v>19.5</v>
      </c>
      <c r="Q2151" s="79">
        <f>VLOOKUP(VLOOKUP(DATEVALUE(TEXT(A2151,"m/d/yyyy")),FY24_Temp[],5,FALSE)&amp;TEXT(A2151,"-h"),Table6[],4,FALSE)</f>
        <v>0.82942857061113628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VLOOKUP(TEXT(A2151,"yy-mm")&amp;"-"&amp;IF(AND(WEEKDAY(A2151)&gt;1,WEEKDAY(A2151)&lt;7),"Wkd",TEXT(A2151,"Ddd"))&amp;"-"&amp;TEXT(A2151,"hh"),LoadTable[],5,FALSE)*0.92</f>
        <v>237.25788000000003</v>
      </c>
      <c r="U2151" s="104">
        <f>VLOOKUP(TEXT(A2151,"yy-mm")&amp;"-"&amp;IF(AND(WEEKDAY(A2151)&gt;1,WEEKDAY(A2151)&lt;7),"Wkd",TEXT(A2151,"Ddd"))&amp;"-"&amp;TEXT(A2151,"hh"),LoadTable[],6,FALSE)*T2151</f>
        <v>10962.974861160001</v>
      </c>
      <c r="V2151">
        <f t="shared" ref="V2151:W2151" si="2293">V2127</f>
        <v>3.1</v>
      </c>
      <c r="W2151">
        <f t="shared" si="2293"/>
        <v>2.9</v>
      </c>
      <c r="X2151" s="9">
        <v>-106.54413526667</v>
      </c>
    </row>
    <row r="2152" spans="1:24">
      <c r="A2152" s="29">
        <f t="shared" si="2254"/>
        <v>45925.541666661455</v>
      </c>
      <c r="B2152" s="30">
        <f t="shared" si="2278"/>
        <v>8000</v>
      </c>
      <c r="C2152" s="8">
        <v>25000</v>
      </c>
      <c r="D2152" s="8">
        <v>0</v>
      </c>
      <c r="E2152" s="8">
        <v>700</v>
      </c>
      <c r="F2152" s="8">
        <v>15000</v>
      </c>
      <c r="G2152" s="30">
        <f t="shared" si="2279"/>
        <v>2400</v>
      </c>
      <c r="H2152" s="8">
        <v>25000</v>
      </c>
      <c r="I2152" s="30">
        <f t="shared" si="2280"/>
        <v>8000</v>
      </c>
      <c r="J2152" s="8">
        <v>25000</v>
      </c>
      <c r="K2152" s="30">
        <f t="shared" si="2281"/>
        <v>8000</v>
      </c>
      <c r="L2152" s="8">
        <v>25000</v>
      </c>
      <c r="M2152" s="9">
        <f>VLOOKUP(DATE(YEAR(A2152),MONTH(A2152),DAY(A2152)),FY24_Temp[],4,FALSE)</f>
        <v>8.5</v>
      </c>
      <c r="N2152" s="9">
        <f>VLOOKUP(DATE(YEAR(A2152),MONTH(A2152),DAY(A2152)),FY24_Temp[],3,FALSE)</f>
        <v>15.84</v>
      </c>
      <c r="O2152" s="9">
        <v>13.5</v>
      </c>
      <c r="P2152" s="9">
        <v>19.5</v>
      </c>
      <c r="Q2152" s="79">
        <f>VLOOKUP(VLOOKUP(DATEVALUE(TEXT(A2152,"m/d/yyyy")),FY24_Temp[],5,FALSE)&amp;TEXT(A2152,"-h"),Table6[],4,FALSE)</f>
        <v>0.69342857599258423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VLOOKUP(TEXT(A2152,"yy-mm")&amp;"-"&amp;IF(AND(WEEKDAY(A2152)&gt;1,WEEKDAY(A2152)&lt;7),"Wkd",TEXT(A2152,"Ddd"))&amp;"-"&amp;TEXT(A2152,"hh"),LoadTable[],5,FALSE)*0.92</f>
        <v>237.25788000000003</v>
      </c>
      <c r="U2152" s="104">
        <f>VLOOKUP(TEXT(A2152,"yy-mm")&amp;"-"&amp;IF(AND(WEEKDAY(A2152)&gt;1,WEEKDAY(A2152)&lt;7),"Wkd",TEXT(A2152,"Ddd"))&amp;"-"&amp;TEXT(A2152,"hh"),LoadTable[],6,FALSE)*T2152</f>
        <v>10978.39662336</v>
      </c>
      <c r="V2152">
        <f t="shared" ref="V2152:W2152" si="2294">V2128</f>
        <v>3.2</v>
      </c>
      <c r="W2152">
        <f t="shared" si="2294"/>
        <v>2.9</v>
      </c>
      <c r="X2152" s="9">
        <v>-106.62192981667</v>
      </c>
    </row>
    <row r="2153" spans="1:24">
      <c r="A2153" s="29">
        <f t="shared" si="2254"/>
        <v>45925.583333328119</v>
      </c>
      <c r="B2153" s="30">
        <f t="shared" si="2278"/>
        <v>8000</v>
      </c>
      <c r="C2153" s="8">
        <v>25000</v>
      </c>
      <c r="D2153" s="8">
        <v>0</v>
      </c>
      <c r="E2153" s="8">
        <v>700</v>
      </c>
      <c r="F2153" s="8">
        <v>15000</v>
      </c>
      <c r="G2153" s="30">
        <f t="shared" si="2279"/>
        <v>2400</v>
      </c>
      <c r="H2153" s="8">
        <v>25000</v>
      </c>
      <c r="I2153" s="30">
        <f t="shared" si="2280"/>
        <v>8000</v>
      </c>
      <c r="J2153" s="8">
        <v>25000</v>
      </c>
      <c r="K2153" s="30">
        <f t="shared" si="2281"/>
        <v>8000</v>
      </c>
      <c r="L2153" s="8">
        <v>25000</v>
      </c>
      <c r="M2153" s="9">
        <f>VLOOKUP(DATE(YEAR(A2153),MONTH(A2153),DAY(A2153)),FY24_Temp[],4,FALSE)</f>
        <v>8.5</v>
      </c>
      <c r="N2153" s="9">
        <f>VLOOKUP(DATE(YEAR(A2153),MONTH(A2153),DAY(A2153)),FY24_Temp[],3,FALSE)</f>
        <v>15.84</v>
      </c>
      <c r="O2153" s="9">
        <v>13.5</v>
      </c>
      <c r="P2153" s="9">
        <v>19.5</v>
      </c>
      <c r="Q2153" s="79">
        <f>VLOOKUP(VLOOKUP(DATEVALUE(TEXT(A2153,"m/d/yyyy")),FY24_Temp[],5,FALSE)&amp;TEXT(A2153,"-h"),Table6[],4,FALSE)</f>
        <v>0.57800000480243141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VLOOKUP(TEXT(A2153,"yy-mm")&amp;"-"&amp;IF(AND(WEEKDAY(A2153)&gt;1,WEEKDAY(A2153)&lt;7),"Wkd",TEXT(A2153,"Ddd"))&amp;"-"&amp;TEXT(A2153,"hh"),LoadTable[],5,FALSE)*0.92</f>
        <v>269.75136000000003</v>
      </c>
      <c r="U2153" s="104">
        <f>VLOOKUP(TEXT(A2153,"yy-mm")&amp;"-"&amp;IF(AND(WEEKDAY(A2153)&gt;1,WEEKDAY(A2153)&lt;7),"Wkd",TEXT(A2153,"Ddd"))&amp;"-"&amp;TEXT(A2153,"hh"),LoadTable[],6,FALSE)*T2153</f>
        <v>12503.245287360001</v>
      </c>
      <c r="V2153">
        <f t="shared" ref="V2153:W2153" si="2295">V2129</f>
        <v>3.5</v>
      </c>
      <c r="W2153">
        <f t="shared" si="2295"/>
        <v>2.9</v>
      </c>
      <c r="X2153" s="9">
        <v>-106.69972436667</v>
      </c>
    </row>
    <row r="2154" spans="1:24">
      <c r="A2154" s="29">
        <f t="shared" si="2254"/>
        <v>45925.624999994783</v>
      </c>
      <c r="B2154" s="30">
        <f t="shared" si="2278"/>
        <v>8000</v>
      </c>
      <c r="C2154" s="8">
        <v>25000</v>
      </c>
      <c r="D2154" s="8">
        <v>0</v>
      </c>
      <c r="E2154" s="8">
        <v>700</v>
      </c>
      <c r="F2154" s="8">
        <v>15000</v>
      </c>
      <c r="G2154" s="30">
        <f t="shared" si="2279"/>
        <v>2400</v>
      </c>
      <c r="H2154" s="8">
        <v>25000</v>
      </c>
      <c r="I2154" s="30">
        <f t="shared" si="2280"/>
        <v>8000</v>
      </c>
      <c r="J2154" s="8">
        <v>25000</v>
      </c>
      <c r="K2154" s="30">
        <f t="shared" si="2281"/>
        <v>8000</v>
      </c>
      <c r="L2154" s="8">
        <v>25000</v>
      </c>
      <c r="M2154" s="9">
        <f>VLOOKUP(DATE(YEAR(A2154),MONTH(A2154),DAY(A2154)),FY24_Temp[],4,FALSE)</f>
        <v>8.5</v>
      </c>
      <c r="N2154" s="9">
        <f>VLOOKUP(DATE(YEAR(A2154),MONTH(A2154),DAY(A2154)),FY24_Temp[],3,FALSE)</f>
        <v>15.84</v>
      </c>
      <c r="O2154" s="9">
        <v>13.5</v>
      </c>
      <c r="P2154" s="9">
        <v>19.5</v>
      </c>
      <c r="Q2154" s="79">
        <f>VLOOKUP(VLOOKUP(DATEVALUE(TEXT(A2154,"m/d/yyyy")),FY24_Temp[],5,FALSE)&amp;TEXT(A2154,"-h"),Table6[],4,FALSE)</f>
        <v>0.56385713389941627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VLOOKUP(TEXT(A2154,"yy-mm")&amp;"-"&amp;IF(AND(WEEKDAY(A2154)&gt;1,WEEKDAY(A2154)&lt;7),"Wkd",TEXT(A2154,"Ddd"))&amp;"-"&amp;TEXT(A2154,"hh"),LoadTable[],5,FALSE)*0.92</f>
        <v>388.38076000000001</v>
      </c>
      <c r="U2154" s="104">
        <f>VLOOKUP(TEXT(A2154,"yy-mm")&amp;"-"&amp;IF(AND(WEEKDAY(A2154)&gt;1,WEEKDAY(A2154)&lt;7),"Wkd",TEXT(A2154,"Ddd"))&amp;"-"&amp;TEXT(A2154,"hh"),LoadTable[],6,FALSE)*T2154</f>
        <v>19705.663000880002</v>
      </c>
      <c r="V2154">
        <f t="shared" ref="V2154:W2154" si="2296">V2130</f>
        <v>3.2</v>
      </c>
      <c r="W2154">
        <f t="shared" si="2296"/>
        <v>2.9</v>
      </c>
      <c r="X2154" s="9">
        <v>-106.77751891667</v>
      </c>
    </row>
    <row r="2155" spans="1:24">
      <c r="A2155" s="29">
        <f t="shared" si="2254"/>
        <v>45925.666666661447</v>
      </c>
      <c r="B2155" s="30">
        <f t="shared" si="2278"/>
        <v>8000</v>
      </c>
      <c r="C2155" s="8">
        <v>25000</v>
      </c>
      <c r="D2155" s="8">
        <v>0</v>
      </c>
      <c r="E2155" s="8">
        <v>700</v>
      </c>
      <c r="F2155" s="8">
        <v>15000</v>
      </c>
      <c r="G2155" s="30">
        <f t="shared" si="2279"/>
        <v>2400</v>
      </c>
      <c r="H2155" s="8">
        <v>25000</v>
      </c>
      <c r="I2155" s="30">
        <f t="shared" si="2280"/>
        <v>8000</v>
      </c>
      <c r="J2155" s="8">
        <v>25000</v>
      </c>
      <c r="K2155" s="30">
        <f t="shared" si="2281"/>
        <v>8000</v>
      </c>
      <c r="L2155" s="8">
        <v>25000</v>
      </c>
      <c r="M2155" s="9">
        <f>VLOOKUP(DATE(YEAR(A2155),MONTH(A2155),DAY(A2155)),FY24_Temp[],4,FALSE)</f>
        <v>8.5</v>
      </c>
      <c r="N2155" s="9">
        <f>VLOOKUP(DATE(YEAR(A2155),MONTH(A2155),DAY(A2155)),FY24_Temp[],3,FALSE)</f>
        <v>15.84</v>
      </c>
      <c r="O2155" s="9">
        <v>13.5</v>
      </c>
      <c r="P2155" s="9">
        <v>19.5</v>
      </c>
      <c r="Q2155" s="79">
        <f>VLOOKUP(VLOOKUP(DATEVALUE(TEXT(A2155,"m/d/yyyy")),FY24_Temp[],5,FALSE)&amp;TEXT(A2155,"-h"),Table6[],4,FALSE)</f>
        <v>0.83414285523550846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VLOOKUP(TEXT(A2155,"yy-mm")&amp;"-"&amp;IF(AND(WEEKDAY(A2155)&gt;1,WEEKDAY(A2155)&lt;7),"Wkd",TEXT(A2155,"Ddd"))&amp;"-"&amp;TEXT(A2155,"hh"),LoadTable[],5,FALSE)*0.92</f>
        <v>388.38076000000001</v>
      </c>
      <c r="U2155" s="104">
        <f>VLOOKUP(TEXT(A2155,"yy-mm")&amp;"-"&amp;IF(AND(WEEKDAY(A2155)&gt;1,WEEKDAY(A2155)&lt;7),"Wkd",TEXT(A2155,"Ddd"))&amp;"-"&amp;TEXT(A2155,"hh"),LoadTable[],6,FALSE)*T2155</f>
        <v>23675.6911296</v>
      </c>
      <c r="V2155">
        <f t="shared" ref="V2155:W2155" si="2297">V2131</f>
        <v>3.5</v>
      </c>
      <c r="W2155">
        <f t="shared" si="2297"/>
        <v>3</v>
      </c>
      <c r="X2155" s="9">
        <v>-106.85531346667</v>
      </c>
    </row>
    <row r="2156" spans="1:24">
      <c r="A2156" s="29">
        <f t="shared" si="2254"/>
        <v>45925.708333328112</v>
      </c>
      <c r="B2156" s="30">
        <f t="shared" si="2278"/>
        <v>8000</v>
      </c>
      <c r="C2156" s="8">
        <v>25000</v>
      </c>
      <c r="D2156" s="8">
        <v>0</v>
      </c>
      <c r="E2156" s="8">
        <v>700</v>
      </c>
      <c r="F2156" s="8">
        <v>15000</v>
      </c>
      <c r="G2156" s="30">
        <f t="shared" si="2279"/>
        <v>2400</v>
      </c>
      <c r="H2156" s="8">
        <v>25000</v>
      </c>
      <c r="I2156" s="30">
        <f t="shared" si="2280"/>
        <v>8000</v>
      </c>
      <c r="J2156" s="8">
        <v>25000</v>
      </c>
      <c r="K2156" s="30">
        <f t="shared" si="2281"/>
        <v>8000</v>
      </c>
      <c r="L2156" s="8">
        <v>25000</v>
      </c>
      <c r="M2156" s="9">
        <f>VLOOKUP(DATE(YEAR(A2156),MONTH(A2156),DAY(A2156)),FY24_Temp[],4,FALSE)</f>
        <v>8.5</v>
      </c>
      <c r="N2156" s="9">
        <f>VLOOKUP(DATE(YEAR(A2156),MONTH(A2156),DAY(A2156)),FY24_Temp[],3,FALSE)</f>
        <v>15.84</v>
      </c>
      <c r="O2156" s="9">
        <v>13.5</v>
      </c>
      <c r="P2156" s="9">
        <v>19.5</v>
      </c>
      <c r="Q2156" s="79">
        <f>VLOOKUP(VLOOKUP(DATEVALUE(TEXT(A2156,"m/d/yyyy")),FY24_Temp[],5,FALSE)&amp;TEXT(A2156,"-h"),Table6[],4,FALSE)</f>
        <v>1.2335714272090368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VLOOKUP(TEXT(A2156,"yy-mm")&amp;"-"&amp;IF(AND(WEEKDAY(A2156)&gt;1,WEEKDAY(A2156)&lt;7),"Wkd",TEXT(A2156,"Ddd"))&amp;"-"&amp;TEXT(A2156,"hh"),LoadTable[],5,FALSE)*0.92</f>
        <v>388.38076000000001</v>
      </c>
      <c r="U2156" s="104">
        <f>VLOOKUP(TEXT(A2156,"yy-mm")&amp;"-"&amp;IF(AND(WEEKDAY(A2156)&gt;1,WEEKDAY(A2156)&lt;7),"Wkd",TEXT(A2156,"Ddd"))&amp;"-"&amp;TEXT(A2156,"hh"),LoadTable[],6,FALSE)*T2156</f>
        <v>31454.180990880002</v>
      </c>
      <c r="V2156">
        <f t="shared" ref="V2156:W2156" si="2298">V2132</f>
        <v>3.6</v>
      </c>
      <c r="W2156">
        <f t="shared" si="2298"/>
        <v>3</v>
      </c>
      <c r="X2156" s="9">
        <v>-106.93310801667</v>
      </c>
    </row>
    <row r="2157" spans="1:24">
      <c r="A2157" s="29">
        <f t="shared" si="2254"/>
        <v>45925.749999994776</v>
      </c>
      <c r="B2157" s="30">
        <f t="shared" si="2278"/>
        <v>5000</v>
      </c>
      <c r="C2157" s="8">
        <v>25000</v>
      </c>
      <c r="D2157" s="8">
        <v>0</v>
      </c>
      <c r="E2157" s="8">
        <v>700</v>
      </c>
      <c r="F2157" s="8">
        <v>15000</v>
      </c>
      <c r="G2157" s="30">
        <f t="shared" si="2279"/>
        <v>2400</v>
      </c>
      <c r="H2157" s="8">
        <v>25000</v>
      </c>
      <c r="I2157" s="30">
        <f t="shared" si="2280"/>
        <v>5000</v>
      </c>
      <c r="J2157" s="8">
        <v>25000</v>
      </c>
      <c r="K2157" s="30">
        <f t="shared" si="2281"/>
        <v>5000</v>
      </c>
      <c r="L2157" s="8">
        <v>25000</v>
      </c>
      <c r="M2157" s="9">
        <f>VLOOKUP(DATE(YEAR(A2157),MONTH(A2157),DAY(A2157)),FY24_Temp[],4,FALSE)</f>
        <v>8.5</v>
      </c>
      <c r="N2157" s="9">
        <f>VLOOKUP(DATE(YEAR(A2157),MONTH(A2157),DAY(A2157)),FY24_Temp[],3,FALSE)</f>
        <v>15.84</v>
      </c>
      <c r="O2157" s="9">
        <v>13.5</v>
      </c>
      <c r="P2157" s="9">
        <v>19.5</v>
      </c>
      <c r="Q2157" s="79">
        <f>VLOOKUP(VLOOKUP(DATEVALUE(TEXT(A2157,"m/d/yyyy")),FY24_Temp[],5,FALSE)&amp;TEXT(A2157,"-h"),Table6[],4,FALSE)</f>
        <v>1.6985714265278407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VLOOKUP(TEXT(A2157,"yy-mm")&amp;"-"&amp;IF(AND(WEEKDAY(A2157)&gt;1,WEEKDAY(A2157)&lt;7),"Wkd",TEXT(A2157,"Ddd"))&amp;"-"&amp;TEXT(A2157,"hh"),LoadTable[],5,FALSE)*0.92</f>
        <v>388.38076000000001</v>
      </c>
      <c r="U2157" s="104">
        <f>VLOOKUP(TEXT(A2157,"yy-mm")&amp;"-"&amp;IF(AND(WEEKDAY(A2157)&gt;1,WEEKDAY(A2157)&lt;7),"Wkd",TEXT(A2157,"Ddd"))&amp;"-"&amp;TEXT(A2157,"hh"),LoadTable[],6,FALSE)*T2157</f>
        <v>38316.869020080005</v>
      </c>
      <c r="V2157">
        <f t="shared" ref="V2157:W2157" si="2299">V2133</f>
        <v>2.9</v>
      </c>
      <c r="W2157">
        <f t="shared" si="2299"/>
        <v>3</v>
      </c>
      <c r="X2157" s="9">
        <v>-107.01090256667</v>
      </c>
    </row>
    <row r="2158" spans="1:24">
      <c r="A2158" s="29">
        <f t="shared" si="2254"/>
        <v>45925.79166666144</v>
      </c>
      <c r="B2158" s="30">
        <f t="shared" si="2278"/>
        <v>5000</v>
      </c>
      <c r="C2158" s="8">
        <v>25000</v>
      </c>
      <c r="D2158" s="8">
        <v>0</v>
      </c>
      <c r="E2158" s="8">
        <v>700</v>
      </c>
      <c r="F2158" s="8">
        <v>15000</v>
      </c>
      <c r="G2158" s="30">
        <f t="shared" si="2279"/>
        <v>2400</v>
      </c>
      <c r="H2158" s="8">
        <v>25000</v>
      </c>
      <c r="I2158" s="30">
        <f t="shared" si="2280"/>
        <v>5000</v>
      </c>
      <c r="J2158" s="8">
        <v>25000</v>
      </c>
      <c r="K2158" s="30">
        <f t="shared" si="2281"/>
        <v>5000</v>
      </c>
      <c r="L2158" s="8">
        <v>25000</v>
      </c>
      <c r="M2158" s="9">
        <f>VLOOKUP(DATE(YEAR(A2158),MONTH(A2158),DAY(A2158)),FY24_Temp[],4,FALSE)</f>
        <v>8.5</v>
      </c>
      <c r="N2158" s="9">
        <f>VLOOKUP(DATE(YEAR(A2158),MONTH(A2158),DAY(A2158)),FY24_Temp[],3,FALSE)</f>
        <v>15.84</v>
      </c>
      <c r="O2158" s="9">
        <v>13.5</v>
      </c>
      <c r="P2158" s="9">
        <v>19.5</v>
      </c>
      <c r="Q2158" s="79">
        <f>VLOOKUP(VLOOKUP(DATEVALUE(TEXT(A2158,"m/d/yyyy")),FY24_Temp[],5,FALSE)&amp;TEXT(A2158,"-h"),Table6[],4,FALSE)</f>
        <v>2.0531428711754933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VLOOKUP(TEXT(A2158,"yy-mm")&amp;"-"&amp;IF(AND(WEEKDAY(A2158)&gt;1,WEEKDAY(A2158)&lt;7),"Wkd",TEXT(A2158,"Ddd"))&amp;"-"&amp;TEXT(A2158,"hh"),LoadTable[],5,FALSE)*0.92</f>
        <v>388.38076000000001</v>
      </c>
      <c r="U2158" s="104">
        <f>VLOOKUP(TEXT(A2158,"yy-mm")&amp;"-"&amp;IF(AND(WEEKDAY(A2158)&gt;1,WEEKDAY(A2158)&lt;7),"Wkd",TEXT(A2158,"Ddd"))&amp;"-"&amp;TEXT(A2158,"hh"),LoadTable[],6,FALSE)*T2158</f>
        <v>41132.241149319998</v>
      </c>
      <c r="V2158">
        <f t="shared" ref="V2158:W2158" si="2300">V2134</f>
        <v>3</v>
      </c>
      <c r="W2158">
        <f t="shared" si="2300"/>
        <v>3</v>
      </c>
      <c r="X2158" s="9">
        <v>-107.08869711667001</v>
      </c>
    </row>
    <row r="2159" spans="1:24">
      <c r="A2159" s="29">
        <f t="shared" si="2254"/>
        <v>45925.833333328104</v>
      </c>
      <c r="B2159" s="30">
        <f t="shared" si="2278"/>
        <v>5000</v>
      </c>
      <c r="C2159" s="8">
        <v>25000</v>
      </c>
      <c r="D2159" s="8">
        <v>0</v>
      </c>
      <c r="E2159" s="8">
        <v>700</v>
      </c>
      <c r="F2159" s="8">
        <v>15000</v>
      </c>
      <c r="G2159" s="30">
        <f t="shared" si="2279"/>
        <v>2400</v>
      </c>
      <c r="H2159" s="8">
        <v>25000</v>
      </c>
      <c r="I2159" s="30">
        <f t="shared" si="2280"/>
        <v>5000</v>
      </c>
      <c r="J2159" s="8">
        <v>25000</v>
      </c>
      <c r="K2159" s="30">
        <f t="shared" si="2281"/>
        <v>5000</v>
      </c>
      <c r="L2159" s="8">
        <v>25000</v>
      </c>
      <c r="M2159" s="9">
        <f>VLOOKUP(DATE(YEAR(A2159),MONTH(A2159),DAY(A2159)),FY24_Temp[],4,FALSE)</f>
        <v>8.5</v>
      </c>
      <c r="N2159" s="9">
        <f>VLOOKUP(DATE(YEAR(A2159),MONTH(A2159),DAY(A2159)),FY24_Temp[],3,FALSE)</f>
        <v>15.84</v>
      </c>
      <c r="O2159" s="9">
        <v>13.5</v>
      </c>
      <c r="P2159" s="9">
        <v>19.5</v>
      </c>
      <c r="Q2159" s="79">
        <f>VLOOKUP(VLOOKUP(DATEVALUE(TEXT(A2159,"m/d/yyyy")),FY24_Temp[],5,FALSE)&amp;TEXT(A2159,"-h"),Table6[],4,FALSE)</f>
        <v>2.2329999378749301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VLOOKUP(TEXT(A2159,"yy-mm")&amp;"-"&amp;IF(AND(WEEKDAY(A2159)&gt;1,WEEKDAY(A2159)&lt;7),"Wkd",TEXT(A2159,"Ddd"))&amp;"-"&amp;TEXT(A2159,"hh"),LoadTable[],5,FALSE)*0.92</f>
        <v>388.38076000000001</v>
      </c>
      <c r="U2159" s="104">
        <f>VLOOKUP(TEXT(A2159,"yy-mm")&amp;"-"&amp;IF(AND(WEEKDAY(A2159)&gt;1,WEEKDAY(A2159)&lt;7),"Wkd",TEXT(A2159,"Ddd"))&amp;"-"&amp;TEXT(A2159,"hh"),LoadTable[],6,FALSE)*T2159</f>
        <v>36274.762984000001</v>
      </c>
      <c r="V2159">
        <f t="shared" ref="V2159:W2159" si="2301">V2135</f>
        <v>2.8</v>
      </c>
      <c r="W2159">
        <f t="shared" si="2301"/>
        <v>3.1</v>
      </c>
      <c r="X2159" s="9">
        <v>-107.16649166667</v>
      </c>
    </row>
    <row r="2160" spans="1:24">
      <c r="A2160" s="29">
        <f t="shared" si="2254"/>
        <v>45925.874999994769</v>
      </c>
      <c r="B2160" s="30">
        <f t="shared" si="2278"/>
        <v>5000</v>
      </c>
      <c r="C2160" s="8">
        <v>25000</v>
      </c>
      <c r="D2160" s="8">
        <v>0</v>
      </c>
      <c r="E2160" s="8">
        <v>700</v>
      </c>
      <c r="F2160" s="8">
        <v>15000</v>
      </c>
      <c r="G2160" s="30">
        <f t="shared" si="2279"/>
        <v>2400</v>
      </c>
      <c r="H2160" s="8">
        <v>25000</v>
      </c>
      <c r="I2160" s="30">
        <f t="shared" si="2280"/>
        <v>5000</v>
      </c>
      <c r="J2160" s="8">
        <v>25000</v>
      </c>
      <c r="K2160" s="30">
        <f t="shared" si="2281"/>
        <v>5000</v>
      </c>
      <c r="L2160" s="8">
        <v>25000</v>
      </c>
      <c r="M2160" s="9">
        <f>VLOOKUP(DATE(YEAR(A2160),MONTH(A2160),DAY(A2160)),FY24_Temp[],4,FALSE)</f>
        <v>8.5</v>
      </c>
      <c r="N2160" s="9">
        <f>VLOOKUP(DATE(YEAR(A2160),MONTH(A2160),DAY(A2160)),FY24_Temp[],3,FALSE)</f>
        <v>15.84</v>
      </c>
      <c r="O2160" s="9">
        <v>13.5</v>
      </c>
      <c r="P2160" s="9">
        <v>19.5</v>
      </c>
      <c r="Q2160" s="79">
        <f>VLOOKUP(VLOOKUP(DATEVALUE(TEXT(A2160,"m/d/yyyy")),FY24_Temp[],5,FALSE)&amp;TEXT(A2160,"-h"),Table6[],4,FALSE)</f>
        <v>2.2924285616193498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VLOOKUP(TEXT(A2160,"yy-mm")&amp;"-"&amp;IF(AND(WEEKDAY(A2160)&gt;1,WEEKDAY(A2160)&lt;7),"Wkd",TEXT(A2160,"Ddd"))&amp;"-"&amp;TEXT(A2160,"hh"),LoadTable[],5,FALSE)*0.92</f>
        <v>373.79416000000003</v>
      </c>
      <c r="U2160" s="104">
        <f>VLOOKUP(TEXT(A2160,"yy-mm")&amp;"-"&amp;IF(AND(WEEKDAY(A2160)&gt;1,WEEKDAY(A2160)&lt;7),"Wkd",TEXT(A2160,"Ddd"))&amp;"-"&amp;TEXT(A2160,"hh"),LoadTable[],6,FALSE)*T2160</f>
        <v>31749.328362080003</v>
      </c>
      <c r="V2160">
        <f t="shared" ref="V2160:W2160" si="2302">V2136</f>
        <v>3.5</v>
      </c>
      <c r="W2160">
        <f t="shared" si="2302"/>
        <v>3.1</v>
      </c>
      <c r="X2160" s="9">
        <v>-107.24428621667001</v>
      </c>
    </row>
    <row r="2161" spans="1:24">
      <c r="A2161" s="29">
        <f t="shared" si="2254"/>
        <v>45925.916666661433</v>
      </c>
      <c r="B2161" s="30">
        <f t="shared" si="2278"/>
        <v>5000</v>
      </c>
      <c r="C2161" s="8">
        <v>25000</v>
      </c>
      <c r="D2161" s="8">
        <v>0</v>
      </c>
      <c r="E2161" s="8">
        <v>700</v>
      </c>
      <c r="F2161" s="8">
        <v>15000</v>
      </c>
      <c r="G2161" s="30">
        <f t="shared" si="2279"/>
        <v>2400</v>
      </c>
      <c r="H2161" s="8">
        <v>25000</v>
      </c>
      <c r="I2161" s="30">
        <f t="shared" si="2280"/>
        <v>5000</v>
      </c>
      <c r="J2161" s="8">
        <v>25000</v>
      </c>
      <c r="K2161" s="30">
        <f t="shared" si="2281"/>
        <v>5000</v>
      </c>
      <c r="L2161" s="8">
        <v>25000</v>
      </c>
      <c r="M2161" s="9">
        <f>VLOOKUP(DATE(YEAR(A2161),MONTH(A2161),DAY(A2161)),FY24_Temp[],4,FALSE)</f>
        <v>8.5</v>
      </c>
      <c r="N2161" s="9">
        <f>VLOOKUP(DATE(YEAR(A2161),MONTH(A2161),DAY(A2161)),FY24_Temp[],3,FALSE)</f>
        <v>15.84</v>
      </c>
      <c r="O2161" s="9">
        <v>13.5</v>
      </c>
      <c r="P2161" s="9">
        <v>19.5</v>
      </c>
      <c r="Q2161" s="79">
        <f>VLOOKUP(VLOOKUP(DATEVALUE(TEXT(A2161,"m/d/yyyy")),FY24_Temp[],5,FALSE)&amp;TEXT(A2161,"-h"),Table6[],4,FALSE)</f>
        <v>2.2601428713117326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VLOOKUP(TEXT(A2161,"yy-mm")&amp;"-"&amp;IF(AND(WEEKDAY(A2161)&gt;1,WEEKDAY(A2161)&lt;7),"Wkd",TEXT(A2161,"Ddd"))&amp;"-"&amp;TEXT(A2161,"hh"),LoadTable[],5,FALSE)*0.92</f>
        <v>299.65044</v>
      </c>
      <c r="U2161" s="104">
        <f>VLOOKUP(TEXT(A2161,"yy-mm")&amp;"-"&amp;IF(AND(WEEKDAY(A2161)&gt;1,WEEKDAY(A2161)&lt;7),"Wkd",TEXT(A2161,"Ddd"))&amp;"-"&amp;TEXT(A2161,"hh"),LoadTable[],6,FALSE)*T2161</f>
        <v>15023.87376072</v>
      </c>
      <c r="V2161">
        <f t="shared" ref="V2161:W2161" si="2303">V2137</f>
        <v>2.9</v>
      </c>
      <c r="W2161">
        <f t="shared" si="2303"/>
        <v>3.1</v>
      </c>
      <c r="X2161" s="9">
        <v>-107.32208076667</v>
      </c>
    </row>
    <row r="2162" spans="1:24">
      <c r="A2162" s="29">
        <f t="shared" si="2254"/>
        <v>45925.958333328097</v>
      </c>
      <c r="B2162" s="30">
        <f t="shared" si="2278"/>
        <v>5000</v>
      </c>
      <c r="C2162" s="41">
        <v>25000</v>
      </c>
      <c r="D2162" s="41">
        <v>0</v>
      </c>
      <c r="E2162" s="41">
        <v>700</v>
      </c>
      <c r="F2162" s="41">
        <v>15000</v>
      </c>
      <c r="G2162" s="30">
        <f t="shared" si="2279"/>
        <v>2400</v>
      </c>
      <c r="H2162" s="41">
        <v>25000</v>
      </c>
      <c r="I2162" s="30">
        <f t="shared" si="2280"/>
        <v>5000</v>
      </c>
      <c r="J2162" s="41">
        <v>25000</v>
      </c>
      <c r="K2162" s="30">
        <f t="shared" si="2281"/>
        <v>5000</v>
      </c>
      <c r="L2162" s="41">
        <v>25000</v>
      </c>
      <c r="M2162" s="9">
        <f>VLOOKUP(DATE(YEAR(A2162),MONTH(A2162),DAY(A2162)),FY24_Temp[],4,FALSE)</f>
        <v>8.5</v>
      </c>
      <c r="N2162" s="9">
        <f>VLOOKUP(DATE(YEAR(A2162),MONTH(A2162),DAY(A2162)),FY24_Temp[],3,FALSE)</f>
        <v>15.84</v>
      </c>
      <c r="O2162" s="84">
        <v>13.5</v>
      </c>
      <c r="P2162" s="84">
        <v>19.5</v>
      </c>
      <c r="Q2162" s="85">
        <f>VLOOKUP(VLOOKUP(DATEVALUE(TEXT(A2162,"m/d/yyyy")),FY24_Temp[],5,FALSE)&amp;TEXT(A2162,"-h"),Table6[],4,FALSE)</f>
        <v>2.2548570973532542</v>
      </c>
      <c r="R2162">
        <v>10</v>
      </c>
      <c r="S2162">
        <v>1000</v>
      </c>
      <c r="T2162" s="98">
        <f>VLOOKUP(TEXT(A2162,"yy-mm")&amp;"-"&amp;IF(AND(WEEKDAY(A2162)&gt;1,WEEKDAY(A2162)&lt;7),"Wkd",TEXT(A2162,"Ddd"))&amp;"-"&amp;TEXT(A2162,"hh"),LoadTable[],5,FALSE)*0.92</f>
        <v>237.25788000000003</v>
      </c>
      <c r="U2162" s="104">
        <f>VLOOKUP(TEXT(A2162,"yy-mm")&amp;"-"&amp;IF(AND(WEEKDAY(A2162)&gt;1,WEEKDAY(A2162)&lt;7),"Wkd",TEXT(A2162,"Ddd"))&amp;"-"&amp;TEXT(A2162,"hh"),LoadTable[],6,FALSE)*T2162</f>
        <v>11687.323168800001</v>
      </c>
      <c r="V2162">
        <f t="shared" ref="V2162:W2162" si="2304">V2138</f>
        <v>3.6</v>
      </c>
      <c r="W2162">
        <f t="shared" si="2304"/>
        <v>3.1</v>
      </c>
      <c r="X2162" s="84">
        <v>-107.39987531667001</v>
      </c>
    </row>
    <row r="2163" spans="1:24">
      <c r="A2163" s="29">
        <f t="shared" si="2254"/>
        <v>45925.999999994761</v>
      </c>
      <c r="B2163" s="30">
        <f t="shared" si="2278"/>
        <v>5000</v>
      </c>
      <c r="C2163" s="8">
        <v>25000</v>
      </c>
      <c r="D2163" s="8">
        <v>0</v>
      </c>
      <c r="E2163" s="8">
        <v>700</v>
      </c>
      <c r="F2163" s="8">
        <v>15000</v>
      </c>
      <c r="G2163" s="30">
        <f t="shared" si="2279"/>
        <v>2400</v>
      </c>
      <c r="H2163" s="8">
        <v>25000</v>
      </c>
      <c r="I2163" s="30">
        <f t="shared" si="2280"/>
        <v>5000</v>
      </c>
      <c r="J2163" s="8">
        <v>25000</v>
      </c>
      <c r="K2163" s="30">
        <f t="shared" si="2281"/>
        <v>5000</v>
      </c>
      <c r="L2163" s="8">
        <v>25000</v>
      </c>
      <c r="M2163" s="9">
        <f>VLOOKUP(DATE(YEAR(A2163),MONTH(A2163),DAY(A2163)),FY24_Temp[],4,FALSE)</f>
        <v>8.5</v>
      </c>
      <c r="N2163" s="9">
        <f>VLOOKUP(DATE(YEAR(A2163),MONTH(A2163),DAY(A2163)),FY24_Temp[],3,FALSE)</f>
        <v>15.84</v>
      </c>
      <c r="O2163" s="9">
        <v>13.5</v>
      </c>
      <c r="P2163" s="9">
        <v>19.5</v>
      </c>
      <c r="Q2163" s="79">
        <f>VLOOKUP(VLOOKUP(DATEVALUE(TEXT(A2163,"m/d/yyyy")),FY24_Temp[],5,FALSE)&amp;TEXT(A2163,"-h"),Table6[],4,FALSE)</f>
        <v>2.2702856745038713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VLOOKUP(TEXT(A2163,"yy-mm")&amp;"-"&amp;IF(AND(WEEKDAY(A2163)&gt;1,WEEKDAY(A2163)&lt;7),"Wkd",TEXT(A2163,"Ddd"))&amp;"-"&amp;TEXT(A2163,"hh"),LoadTable[],5,FALSE)*0.92</f>
        <v>237.25788000000003</v>
      </c>
      <c r="U2163" s="104">
        <f>VLOOKUP(TEXT(A2163,"yy-mm")&amp;"-"&amp;IF(AND(WEEKDAY(A2163)&gt;1,WEEKDAY(A2163)&lt;7),"Wkd",TEXT(A2163,"Ddd"))&amp;"-"&amp;TEXT(A2163,"hh"),LoadTable[],6,FALSE)*T2163</f>
        <v>12215.696467560001</v>
      </c>
      <c r="V2163">
        <f t="shared" ref="V2163:W2163" si="2305">V2139</f>
        <v>3</v>
      </c>
      <c r="W2163">
        <f t="shared" si="2305"/>
        <v>3.2</v>
      </c>
      <c r="X2163" s="9">
        <v>-107.47766986667</v>
      </c>
    </row>
    <row r="2164" spans="1:24">
      <c r="A2164" s="29">
        <f t="shared" si="2254"/>
        <v>45926.041666661426</v>
      </c>
      <c r="B2164" s="30">
        <f t="shared" si="2278"/>
        <v>5000</v>
      </c>
      <c r="C2164" s="42">
        <v>25000</v>
      </c>
      <c r="D2164" s="42">
        <v>0</v>
      </c>
      <c r="E2164" s="42">
        <v>700</v>
      </c>
      <c r="F2164" s="42">
        <v>15000</v>
      </c>
      <c r="G2164" s="30">
        <f t="shared" si="2279"/>
        <v>2400</v>
      </c>
      <c r="H2164" s="42">
        <v>25000</v>
      </c>
      <c r="I2164" s="30">
        <f t="shared" si="2280"/>
        <v>5000</v>
      </c>
      <c r="J2164" s="42">
        <v>25000</v>
      </c>
      <c r="K2164" s="30">
        <f t="shared" si="2281"/>
        <v>5000</v>
      </c>
      <c r="L2164" s="42">
        <v>25000</v>
      </c>
      <c r="M2164" s="9">
        <f>VLOOKUP(DATE(YEAR(A2164),MONTH(A2164),DAY(A2164)),FY24_Temp[],4,FALSE)</f>
        <v>8.5</v>
      </c>
      <c r="N2164" s="9">
        <f>VLOOKUP(DATE(YEAR(A2164),MONTH(A2164),DAY(A2164)),FY24_Temp[],3,FALSE)</f>
        <v>15.84</v>
      </c>
      <c r="O2164" s="86">
        <v>13.5</v>
      </c>
      <c r="P2164" s="86">
        <v>19.5</v>
      </c>
      <c r="Q2164" s="87">
        <f>VLOOKUP(VLOOKUP(DATEVALUE(TEXT(A2164,"m/d/yyyy")),FY24_Temp[],5,FALSE)&amp;TEXT(A2164,"-h"),Table6[],4,FALSE)</f>
        <v>2.2084285531725203</v>
      </c>
      <c r="R2164">
        <v>10</v>
      </c>
      <c r="S2164">
        <v>1000</v>
      </c>
      <c r="T2164" s="99">
        <f>VLOOKUP(TEXT(A2164,"yy-mm")&amp;"-"&amp;IF(AND(WEEKDAY(A2164)&gt;1,WEEKDAY(A2164)&lt;7),"Wkd",TEXT(A2164,"Ddd"))&amp;"-"&amp;TEXT(A2164,"hh"),LoadTable[],5,FALSE)*0.92</f>
        <v>237.25788000000003</v>
      </c>
      <c r="U2164" s="104">
        <f>VLOOKUP(TEXT(A2164,"yy-mm")&amp;"-"&amp;IF(AND(WEEKDAY(A2164)&gt;1,WEEKDAY(A2164)&lt;7),"Wkd",TEXT(A2164,"Ddd"))&amp;"-"&amp;TEXT(A2164,"hh"),LoadTable[],6,FALSE)*T2164</f>
        <v>11905.12590264</v>
      </c>
      <c r="V2164">
        <f t="shared" ref="V2164:W2164" si="2306">V2140</f>
        <v>2.6</v>
      </c>
      <c r="W2164">
        <f t="shared" si="2306"/>
        <v>3.2</v>
      </c>
      <c r="X2164" s="86">
        <v>-107.55546441667001</v>
      </c>
    </row>
    <row r="2165" spans="1:24">
      <c r="A2165" s="29">
        <f t="shared" si="2254"/>
        <v>45926.08333332809</v>
      </c>
      <c r="B2165" s="30">
        <f t="shared" si="2278"/>
        <v>5000</v>
      </c>
      <c r="C2165" s="8">
        <v>25000</v>
      </c>
      <c r="D2165" s="8">
        <v>0</v>
      </c>
      <c r="E2165" s="8">
        <v>700</v>
      </c>
      <c r="F2165" s="8">
        <v>15000</v>
      </c>
      <c r="G2165" s="30">
        <f t="shared" si="2279"/>
        <v>2400</v>
      </c>
      <c r="H2165" s="8">
        <v>25000</v>
      </c>
      <c r="I2165" s="30">
        <f t="shared" si="2280"/>
        <v>5000</v>
      </c>
      <c r="J2165" s="8">
        <v>25000</v>
      </c>
      <c r="K2165" s="30">
        <f t="shared" si="2281"/>
        <v>5000</v>
      </c>
      <c r="L2165" s="8">
        <v>25000</v>
      </c>
      <c r="M2165" s="9">
        <f>VLOOKUP(DATE(YEAR(A2165),MONTH(A2165),DAY(A2165)),FY24_Temp[],4,FALSE)</f>
        <v>8.5</v>
      </c>
      <c r="N2165" s="9">
        <f>VLOOKUP(DATE(YEAR(A2165),MONTH(A2165),DAY(A2165)),FY24_Temp[],3,FALSE)</f>
        <v>15.84</v>
      </c>
      <c r="O2165" s="9">
        <v>13.5</v>
      </c>
      <c r="P2165" s="9">
        <v>19.5</v>
      </c>
      <c r="Q2165" s="79">
        <f>VLOOKUP(VLOOKUP(DATEVALUE(TEXT(A2165,"m/d/yyyy")),FY24_Temp[],5,FALSE)&amp;TEXT(A2165,"-h"),Table6[],4,FALSE)</f>
        <v>2.083142876625061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VLOOKUP(TEXT(A2165,"yy-mm")&amp;"-"&amp;IF(AND(WEEKDAY(A2165)&gt;1,WEEKDAY(A2165)&lt;7),"Wkd",TEXT(A2165,"Ddd"))&amp;"-"&amp;TEXT(A2165,"hh"),LoadTable[],5,FALSE)*0.92</f>
        <v>237.25788000000003</v>
      </c>
      <c r="U2165" s="104">
        <f>VLOOKUP(TEXT(A2165,"yy-mm")&amp;"-"&amp;IF(AND(WEEKDAY(A2165)&gt;1,WEEKDAY(A2165)&lt;7),"Wkd",TEXT(A2165,"Ddd"))&amp;"-"&amp;TEXT(A2165,"hh"),LoadTable[],6,FALSE)*T2165</f>
        <v>11856.013521480001</v>
      </c>
      <c r="V2165">
        <f t="shared" ref="V2165:W2165" si="2307">V2141</f>
        <v>2.8</v>
      </c>
      <c r="W2165">
        <f t="shared" si="2307"/>
        <v>3.2</v>
      </c>
      <c r="X2165" s="9">
        <v>-107.63325896667</v>
      </c>
    </row>
    <row r="2166" spans="1:24">
      <c r="A2166" s="29">
        <f t="shared" si="2254"/>
        <v>45926.124999994754</v>
      </c>
      <c r="B2166" s="30">
        <f t="shared" si="2278"/>
        <v>5000</v>
      </c>
      <c r="C2166" s="8">
        <v>25000</v>
      </c>
      <c r="D2166" s="8">
        <v>0</v>
      </c>
      <c r="E2166" s="8">
        <v>700</v>
      </c>
      <c r="F2166" s="8">
        <v>15000</v>
      </c>
      <c r="G2166" s="30">
        <f t="shared" si="2279"/>
        <v>2400</v>
      </c>
      <c r="H2166" s="8">
        <v>25000</v>
      </c>
      <c r="I2166" s="30">
        <f t="shared" si="2280"/>
        <v>5000</v>
      </c>
      <c r="J2166" s="8">
        <v>25000</v>
      </c>
      <c r="K2166" s="30">
        <f t="shared" si="2281"/>
        <v>5000</v>
      </c>
      <c r="L2166" s="8">
        <v>25000</v>
      </c>
      <c r="M2166" s="9">
        <f>VLOOKUP(DATE(YEAR(A2166),MONTH(A2166),DAY(A2166)),FY24_Temp[],4,FALSE)</f>
        <v>8.5</v>
      </c>
      <c r="N2166" s="9">
        <f>VLOOKUP(DATE(YEAR(A2166),MONTH(A2166),DAY(A2166)),FY24_Temp[],3,FALSE)</f>
        <v>15.84</v>
      </c>
      <c r="O2166" s="9">
        <v>13.5</v>
      </c>
      <c r="P2166" s="9">
        <v>19.5</v>
      </c>
      <c r="Q2166" s="79">
        <f>VLOOKUP(VLOOKUP(DATEVALUE(TEXT(A2166,"m/d/yyyy")),FY24_Temp[],5,FALSE)&amp;TEXT(A2166,"-h"),Table6[],4,FALSE)</f>
        <v>1.9411428485597884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VLOOKUP(TEXT(A2166,"yy-mm")&amp;"-"&amp;IF(AND(WEEKDAY(A2166)&gt;1,WEEKDAY(A2166)&lt;7),"Wkd",TEXT(A2166,"Ddd"))&amp;"-"&amp;TEXT(A2166,"hh"),LoadTable[],5,FALSE)*0.92</f>
        <v>237.25788000000003</v>
      </c>
      <c r="U2166" s="104">
        <f>VLOOKUP(TEXT(A2166,"yy-mm")&amp;"-"&amp;IF(AND(WEEKDAY(A2166)&gt;1,WEEKDAY(A2166)&lt;7),"Wkd",TEXT(A2166,"Ddd"))&amp;"-"&amp;TEXT(A2166,"hh"),LoadTable[],6,FALSE)*T2166</f>
        <v>11893.025750760002</v>
      </c>
      <c r="V2166">
        <f t="shared" ref="V2166:W2166" si="2308">V2142</f>
        <v>2.7</v>
      </c>
      <c r="W2166">
        <f t="shared" si="2308"/>
        <v>3.2</v>
      </c>
      <c r="X2166" s="9">
        <v>-107.71105351667001</v>
      </c>
    </row>
    <row r="2167" spans="1:24">
      <c r="A2167" s="29">
        <f t="shared" si="2254"/>
        <v>45926.166666661418</v>
      </c>
      <c r="B2167" s="30">
        <f t="shared" si="2278"/>
        <v>5000</v>
      </c>
      <c r="C2167" s="8">
        <v>25000</v>
      </c>
      <c r="D2167" s="8">
        <v>0</v>
      </c>
      <c r="E2167" s="8">
        <v>700</v>
      </c>
      <c r="F2167" s="8">
        <v>15000</v>
      </c>
      <c r="G2167" s="30">
        <f t="shared" si="2279"/>
        <v>2400</v>
      </c>
      <c r="H2167" s="8">
        <v>25000</v>
      </c>
      <c r="I2167" s="30">
        <f t="shared" si="2280"/>
        <v>5000</v>
      </c>
      <c r="J2167" s="8">
        <v>25000</v>
      </c>
      <c r="K2167" s="30">
        <f t="shared" si="2281"/>
        <v>5000</v>
      </c>
      <c r="L2167" s="8">
        <v>25000</v>
      </c>
      <c r="M2167" s="9">
        <f>VLOOKUP(DATE(YEAR(A2167),MONTH(A2167),DAY(A2167)),FY24_Temp[],4,FALSE)</f>
        <v>8.5</v>
      </c>
      <c r="N2167" s="9">
        <f>VLOOKUP(DATE(YEAR(A2167),MONTH(A2167),DAY(A2167)),FY24_Temp[],3,FALSE)</f>
        <v>15.84</v>
      </c>
      <c r="O2167" s="9">
        <v>13.5</v>
      </c>
      <c r="P2167" s="9">
        <v>19.5</v>
      </c>
      <c r="Q2167" s="79">
        <f>VLOOKUP(VLOOKUP(DATEVALUE(TEXT(A2167,"m/d/yyyy")),FY24_Temp[],5,FALSE)&amp;TEXT(A2167,"-h"),Table6[],4,FALSE)</f>
        <v>1.7910000085830688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VLOOKUP(TEXT(A2167,"yy-mm")&amp;"-"&amp;IF(AND(WEEKDAY(A2167)&gt;1,WEEKDAY(A2167)&lt;7),"Wkd",TEXT(A2167,"Ddd"))&amp;"-"&amp;TEXT(A2167,"hh"),LoadTable[],5,FALSE)*0.92</f>
        <v>237.25788000000003</v>
      </c>
      <c r="U2167" s="104">
        <f>VLOOKUP(TEXT(A2167,"yy-mm")&amp;"-"&amp;IF(AND(WEEKDAY(A2167)&gt;1,WEEKDAY(A2167)&lt;7),"Wkd",TEXT(A2167,"Ddd"))&amp;"-"&amp;TEXT(A2167,"hh"),LoadTable[],6,FALSE)*T2167</f>
        <v>12081.645765360001</v>
      </c>
      <c r="V2167">
        <f t="shared" ref="V2167:W2167" si="2309">V2143</f>
        <v>3</v>
      </c>
      <c r="W2167">
        <f t="shared" si="2309"/>
        <v>3.1</v>
      </c>
      <c r="X2167" s="9">
        <v>-107.78884806667</v>
      </c>
    </row>
    <row r="2168" spans="1:24">
      <c r="A2168" s="29">
        <f t="shared" si="2254"/>
        <v>45926.208333328083</v>
      </c>
      <c r="B2168" s="30">
        <f t="shared" si="2278"/>
        <v>5000</v>
      </c>
      <c r="C2168" s="8">
        <v>25000</v>
      </c>
      <c r="D2168" s="8">
        <v>0</v>
      </c>
      <c r="E2168" s="8">
        <v>700</v>
      </c>
      <c r="F2168" s="8">
        <v>15000</v>
      </c>
      <c r="G2168" s="30">
        <f t="shared" si="2279"/>
        <v>2400</v>
      </c>
      <c r="H2168" s="8">
        <v>25000</v>
      </c>
      <c r="I2168" s="30">
        <f t="shared" si="2280"/>
        <v>5000</v>
      </c>
      <c r="J2168" s="8">
        <v>25000</v>
      </c>
      <c r="K2168" s="30">
        <f t="shared" si="2281"/>
        <v>5000</v>
      </c>
      <c r="L2168" s="8">
        <v>25000</v>
      </c>
      <c r="M2168" s="9">
        <f>VLOOKUP(DATE(YEAR(A2168),MONTH(A2168),DAY(A2168)),FY24_Temp[],4,FALSE)</f>
        <v>8.5</v>
      </c>
      <c r="N2168" s="9">
        <f>VLOOKUP(DATE(YEAR(A2168),MONTH(A2168),DAY(A2168)),FY24_Temp[],3,FALSE)</f>
        <v>15.84</v>
      </c>
      <c r="O2168" s="9">
        <v>13.5</v>
      </c>
      <c r="P2168" s="9">
        <v>19.5</v>
      </c>
      <c r="Q2168" s="79">
        <f>VLOOKUP(VLOOKUP(DATEVALUE(TEXT(A2168,"m/d/yyyy")),FY24_Temp[],5,FALSE)&amp;TEXT(A2168,"-h"),Table6[],4,FALSE)</f>
        <v>1.6772857052939278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VLOOKUP(TEXT(A2168,"yy-mm")&amp;"-"&amp;IF(AND(WEEKDAY(A2168)&gt;1,WEEKDAY(A2168)&lt;7),"Wkd",TEXT(A2168,"Ddd"))&amp;"-"&amp;TEXT(A2168,"hh"),LoadTable[],5,FALSE)*0.92</f>
        <v>237.25788000000003</v>
      </c>
      <c r="U2168" s="104">
        <f>VLOOKUP(TEXT(A2168,"yy-mm")&amp;"-"&amp;IF(AND(WEEKDAY(A2168)&gt;1,WEEKDAY(A2168)&lt;7),"Wkd",TEXT(A2168,"Ddd"))&amp;"-"&amp;TEXT(A2168,"hh"),LoadTable[],6,FALSE)*T2168</f>
        <v>12065.037713760001</v>
      </c>
      <c r="V2168">
        <f t="shared" ref="V2168:W2168" si="2310">V2144</f>
        <v>2.9</v>
      </c>
      <c r="W2168">
        <f t="shared" si="2310"/>
        <v>3.1</v>
      </c>
      <c r="X2168" s="9">
        <v>-107.86664261667001</v>
      </c>
    </row>
    <row r="2169" spans="1:24">
      <c r="A2169" s="29">
        <f t="shared" si="2254"/>
        <v>45926.249999994747</v>
      </c>
      <c r="B2169" s="30">
        <f t="shared" si="2278"/>
        <v>8000</v>
      </c>
      <c r="C2169" s="8">
        <v>25000</v>
      </c>
      <c r="D2169" s="8">
        <v>0</v>
      </c>
      <c r="E2169" s="8">
        <v>700</v>
      </c>
      <c r="F2169" s="8">
        <v>15000</v>
      </c>
      <c r="G2169" s="30">
        <f t="shared" si="2279"/>
        <v>2400</v>
      </c>
      <c r="H2169" s="8">
        <v>25000</v>
      </c>
      <c r="I2169" s="30">
        <f t="shared" si="2280"/>
        <v>8000</v>
      </c>
      <c r="J2169" s="8">
        <v>25000</v>
      </c>
      <c r="K2169" s="30">
        <f t="shared" si="2281"/>
        <v>8000</v>
      </c>
      <c r="L2169" s="8">
        <v>25000</v>
      </c>
      <c r="M2169" s="9">
        <f>VLOOKUP(DATE(YEAR(A2169),MONTH(A2169),DAY(A2169)),FY24_Temp[],4,FALSE)</f>
        <v>8.5</v>
      </c>
      <c r="N2169" s="9">
        <f>VLOOKUP(DATE(YEAR(A2169),MONTH(A2169),DAY(A2169)),FY24_Temp[],3,FALSE)</f>
        <v>15.84</v>
      </c>
      <c r="O2169" s="9">
        <v>13.5</v>
      </c>
      <c r="P2169" s="9">
        <v>19.5</v>
      </c>
      <c r="Q2169" s="79">
        <f>VLOOKUP(VLOOKUP(DATEVALUE(TEXT(A2169,"m/d/yyyy")),FY24_Temp[],5,FALSE)&amp;TEXT(A2169,"-h"),Table6[],4,FALSE)</f>
        <v>1.5761428390230452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VLOOKUP(TEXT(A2169,"yy-mm")&amp;"-"&amp;IF(AND(WEEKDAY(A2169)&gt;1,WEEKDAY(A2169)&lt;7),"Wkd",TEXT(A2169,"Ddd"))&amp;"-"&amp;TEXT(A2169,"hh"),LoadTable[],5,FALSE)*0.92</f>
        <v>237.25788000000003</v>
      </c>
      <c r="U2169" s="104">
        <f>VLOOKUP(TEXT(A2169,"yy-mm")&amp;"-"&amp;IF(AND(WEEKDAY(A2169)&gt;1,WEEKDAY(A2169)&lt;7),"Wkd",TEXT(A2169,"Ddd"))&amp;"-"&amp;TEXT(A2169,"hh"),LoadTable[],6,FALSE)*T2169</f>
        <v>18358.065722880005</v>
      </c>
      <c r="V2169">
        <f t="shared" ref="V2169:W2169" si="2311">V2145</f>
        <v>2.5</v>
      </c>
      <c r="W2169">
        <f t="shared" si="2311"/>
        <v>3.1</v>
      </c>
      <c r="X2169" s="9">
        <v>-107.94443716667</v>
      </c>
    </row>
    <row r="2170" spans="1:24">
      <c r="A2170" s="29">
        <f t="shared" si="2254"/>
        <v>45926.291666661411</v>
      </c>
      <c r="B2170" s="30">
        <f t="shared" si="2278"/>
        <v>8000</v>
      </c>
      <c r="C2170" s="8">
        <v>25000</v>
      </c>
      <c r="D2170" s="8">
        <v>0</v>
      </c>
      <c r="E2170" s="8">
        <v>700</v>
      </c>
      <c r="F2170" s="8">
        <v>15000</v>
      </c>
      <c r="G2170" s="30">
        <f t="shared" si="2279"/>
        <v>2400</v>
      </c>
      <c r="H2170" s="8">
        <v>25000</v>
      </c>
      <c r="I2170" s="30">
        <f t="shared" si="2280"/>
        <v>8000</v>
      </c>
      <c r="J2170" s="8">
        <v>25000</v>
      </c>
      <c r="K2170" s="30">
        <f t="shared" si="2281"/>
        <v>8000</v>
      </c>
      <c r="L2170" s="8">
        <v>25000</v>
      </c>
      <c r="M2170" s="9">
        <f>VLOOKUP(DATE(YEAR(A2170),MONTH(A2170),DAY(A2170)),FY24_Temp[],4,FALSE)</f>
        <v>8.5</v>
      </c>
      <c r="N2170" s="9">
        <f>VLOOKUP(DATE(YEAR(A2170),MONTH(A2170),DAY(A2170)),FY24_Temp[],3,FALSE)</f>
        <v>15.84</v>
      </c>
      <c r="O2170" s="9">
        <v>13.5</v>
      </c>
      <c r="P2170" s="9">
        <v>19.5</v>
      </c>
      <c r="Q2170" s="79">
        <f>VLOOKUP(VLOOKUP(DATEVALUE(TEXT(A2170,"m/d/yyyy")),FY24_Temp[],5,FALSE)&amp;TEXT(A2170,"-h"),Table6[],4,FALSE)</f>
        <v>1.4162857021604265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VLOOKUP(TEXT(A2170,"yy-mm")&amp;"-"&amp;IF(AND(WEEKDAY(A2170)&gt;1,WEEKDAY(A2170)&lt;7),"Wkd",TEXT(A2170,"Ddd"))&amp;"-"&amp;TEXT(A2170,"hh"),LoadTable[],5,FALSE)*0.92</f>
        <v>237.25788000000003</v>
      </c>
      <c r="U2170" s="104">
        <f>VLOOKUP(TEXT(A2170,"yy-mm")&amp;"-"&amp;IF(AND(WEEKDAY(A2170)&gt;1,WEEKDAY(A2170)&lt;7),"Wkd",TEXT(A2170,"Ddd"))&amp;"-"&amp;TEXT(A2170,"hh"),LoadTable[],6,FALSE)*T2170</f>
        <v>16249.08042756</v>
      </c>
      <c r="V2170">
        <f t="shared" ref="V2170:W2170" si="2312">V2146</f>
        <v>2.5</v>
      </c>
      <c r="W2170">
        <f t="shared" si="2312"/>
        <v>3.1</v>
      </c>
      <c r="X2170" s="9">
        <v>-108.02223171667001</v>
      </c>
    </row>
    <row r="2171" spans="1:24">
      <c r="A2171" s="29">
        <f t="shared" si="2254"/>
        <v>45926.333333328075</v>
      </c>
      <c r="B2171" s="30">
        <f t="shared" si="2278"/>
        <v>8000</v>
      </c>
      <c r="C2171" s="8">
        <v>25000</v>
      </c>
      <c r="D2171" s="8">
        <v>0</v>
      </c>
      <c r="E2171" s="8">
        <v>700</v>
      </c>
      <c r="F2171" s="8">
        <v>15000</v>
      </c>
      <c r="G2171" s="30">
        <f t="shared" si="2279"/>
        <v>2400</v>
      </c>
      <c r="H2171" s="8">
        <v>25000</v>
      </c>
      <c r="I2171" s="30">
        <f t="shared" si="2280"/>
        <v>8000</v>
      </c>
      <c r="J2171" s="8">
        <v>25000</v>
      </c>
      <c r="K2171" s="30">
        <f t="shared" si="2281"/>
        <v>8000</v>
      </c>
      <c r="L2171" s="8">
        <v>25000</v>
      </c>
      <c r="M2171" s="9">
        <f>VLOOKUP(DATE(YEAR(A2171),MONTH(A2171),DAY(A2171)),FY24_Temp[],4,FALSE)</f>
        <v>8.5</v>
      </c>
      <c r="N2171" s="9">
        <f>VLOOKUP(DATE(YEAR(A2171),MONTH(A2171),DAY(A2171)),FY24_Temp[],3,FALSE)</f>
        <v>15.84</v>
      </c>
      <c r="O2171" s="9">
        <v>13.5</v>
      </c>
      <c r="P2171" s="9">
        <v>19.5</v>
      </c>
      <c r="Q2171" s="79">
        <f>VLOOKUP(VLOOKUP(DATEVALUE(TEXT(A2171,"m/d/yyyy")),FY24_Temp[],5,FALSE)&amp;TEXT(A2171,"-h"),Table6[],4,FALSE)</f>
        <v>1.3535714490073067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VLOOKUP(TEXT(A2171,"yy-mm")&amp;"-"&amp;IF(AND(WEEKDAY(A2171)&gt;1,WEEKDAY(A2171)&lt;7),"Wkd",TEXT(A2171,"Ddd"))&amp;"-"&amp;TEXT(A2171,"hh"),LoadTable[],5,FALSE)*0.92</f>
        <v>237.25788000000003</v>
      </c>
      <c r="U2171" s="104">
        <f>VLOOKUP(TEXT(A2171,"yy-mm")&amp;"-"&amp;IF(AND(WEEKDAY(A2171)&gt;1,WEEKDAY(A2171)&lt;7),"Wkd",TEXT(A2171,"Ddd"))&amp;"-"&amp;TEXT(A2171,"hh"),LoadTable[],6,FALSE)*T2171</f>
        <v>13068.164030400001</v>
      </c>
      <c r="V2171">
        <f t="shared" ref="V2171:W2171" si="2313">V2147</f>
        <v>3.2</v>
      </c>
      <c r="W2171">
        <f t="shared" si="2313"/>
        <v>3</v>
      </c>
      <c r="X2171" s="9">
        <v>-108.10002626667</v>
      </c>
    </row>
    <row r="2172" spans="1:24">
      <c r="A2172" s="29">
        <f t="shared" si="2254"/>
        <v>45926.374999994739</v>
      </c>
      <c r="B2172" s="30">
        <f t="shared" si="2278"/>
        <v>8000</v>
      </c>
      <c r="C2172" s="8">
        <v>25000</v>
      </c>
      <c r="D2172" s="8">
        <v>0</v>
      </c>
      <c r="E2172" s="8">
        <v>700</v>
      </c>
      <c r="F2172" s="8">
        <v>15000</v>
      </c>
      <c r="G2172" s="30">
        <f t="shared" si="2279"/>
        <v>2400</v>
      </c>
      <c r="H2172" s="8">
        <v>25000</v>
      </c>
      <c r="I2172" s="30">
        <f t="shared" si="2280"/>
        <v>8000</v>
      </c>
      <c r="J2172" s="8">
        <v>25000</v>
      </c>
      <c r="K2172" s="30">
        <f t="shared" si="2281"/>
        <v>8000</v>
      </c>
      <c r="L2172" s="8">
        <v>25000</v>
      </c>
      <c r="M2172" s="9">
        <f>VLOOKUP(DATE(YEAR(A2172),MONTH(A2172),DAY(A2172)),FY24_Temp[],4,FALSE)</f>
        <v>8.5</v>
      </c>
      <c r="N2172" s="9">
        <f>VLOOKUP(DATE(YEAR(A2172),MONTH(A2172),DAY(A2172)),FY24_Temp[],3,FALSE)</f>
        <v>15.84</v>
      </c>
      <c r="O2172" s="9">
        <v>13.5</v>
      </c>
      <c r="P2172" s="9">
        <v>19.5</v>
      </c>
      <c r="Q2172" s="79">
        <f>VLOOKUP(VLOOKUP(DATEVALUE(TEXT(A2172,"m/d/yyyy")),FY24_Temp[],5,FALSE)&amp;TEXT(A2172,"-h"),Table6[],4,FALSE)</f>
        <v>1.21599999495915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VLOOKUP(TEXT(A2172,"yy-mm")&amp;"-"&amp;IF(AND(WEEKDAY(A2172)&gt;1,WEEKDAY(A2172)&lt;7),"Wkd",TEXT(A2172,"Ddd"))&amp;"-"&amp;TEXT(A2172,"hh"),LoadTable[],5,FALSE)*0.92</f>
        <v>237.25788000000003</v>
      </c>
      <c r="U2172" s="104">
        <f>VLOOKUP(TEXT(A2172,"yy-mm")&amp;"-"&amp;IF(AND(WEEKDAY(A2172)&gt;1,WEEKDAY(A2172)&lt;7),"Wkd",TEXT(A2172,"Ddd"))&amp;"-"&amp;TEXT(A2172,"hh"),LoadTable[],6,FALSE)*T2172</f>
        <v>11518.395558240001</v>
      </c>
      <c r="V2172">
        <f t="shared" ref="V2172:W2172" si="2314">V2148</f>
        <v>2.9</v>
      </c>
      <c r="W2172">
        <f t="shared" si="2314"/>
        <v>3</v>
      </c>
      <c r="X2172" s="9">
        <v>-108.17782081667001</v>
      </c>
    </row>
    <row r="2173" spans="1:24">
      <c r="A2173" s="29">
        <f t="shared" si="2254"/>
        <v>45926.416666661404</v>
      </c>
      <c r="B2173" s="30">
        <f t="shared" si="2278"/>
        <v>8000</v>
      </c>
      <c r="C2173" s="8">
        <v>25000</v>
      </c>
      <c r="D2173" s="8">
        <v>0</v>
      </c>
      <c r="E2173" s="8">
        <v>700</v>
      </c>
      <c r="F2173" s="8">
        <v>15000</v>
      </c>
      <c r="G2173" s="30">
        <f t="shared" si="2279"/>
        <v>2400</v>
      </c>
      <c r="H2173" s="8">
        <v>25000</v>
      </c>
      <c r="I2173" s="30">
        <f t="shared" si="2280"/>
        <v>8000</v>
      </c>
      <c r="J2173" s="8">
        <v>25000</v>
      </c>
      <c r="K2173" s="30">
        <f t="shared" si="2281"/>
        <v>8000</v>
      </c>
      <c r="L2173" s="8">
        <v>25000</v>
      </c>
      <c r="M2173" s="9">
        <f>VLOOKUP(DATE(YEAR(A2173),MONTH(A2173),DAY(A2173)),FY24_Temp[],4,FALSE)</f>
        <v>8.5</v>
      </c>
      <c r="N2173" s="9">
        <f>VLOOKUP(DATE(YEAR(A2173),MONTH(A2173),DAY(A2173)),FY24_Temp[],3,FALSE)</f>
        <v>15.84</v>
      </c>
      <c r="O2173" s="9">
        <v>13.5</v>
      </c>
      <c r="P2173" s="9">
        <v>19.5</v>
      </c>
      <c r="Q2173" s="79">
        <f>VLOOKUP(VLOOKUP(DATEVALUE(TEXT(A2173,"m/d/yyyy")),FY24_Temp[],5,FALSE)&amp;TEXT(A2173,"-h"),Table6[],4,FALSE)</f>
        <v>1.082714285169329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VLOOKUP(TEXT(A2173,"yy-mm")&amp;"-"&amp;IF(AND(WEEKDAY(A2173)&gt;1,WEEKDAY(A2173)&lt;7),"Wkd",TEXT(A2173,"Ddd"))&amp;"-"&amp;TEXT(A2173,"hh"),LoadTable[],5,FALSE)*0.92</f>
        <v>237.25788000000003</v>
      </c>
      <c r="U2173" s="104">
        <f>VLOOKUP(TEXT(A2173,"yy-mm")&amp;"-"&amp;IF(AND(WEEKDAY(A2173)&gt;1,WEEKDAY(A2173)&lt;7),"Wkd",TEXT(A2173,"Ddd"))&amp;"-"&amp;TEXT(A2173,"hh"),LoadTable[],6,FALSE)*T2173</f>
        <v>10982.667265200002</v>
      </c>
      <c r="V2173">
        <f t="shared" ref="V2173:W2173" si="2315">V2149</f>
        <v>2.9</v>
      </c>
      <c r="W2173">
        <f t="shared" si="2315"/>
        <v>3</v>
      </c>
      <c r="X2173" s="9">
        <v>-108.25561536667</v>
      </c>
    </row>
    <row r="2174" spans="1:24">
      <c r="A2174" s="29">
        <f t="shared" si="2254"/>
        <v>45926.458333328068</v>
      </c>
      <c r="B2174" s="30">
        <f t="shared" si="2278"/>
        <v>8000</v>
      </c>
      <c r="C2174" s="8">
        <v>25000</v>
      </c>
      <c r="D2174" s="8">
        <v>0</v>
      </c>
      <c r="E2174" s="8">
        <v>700</v>
      </c>
      <c r="F2174" s="8">
        <v>15000</v>
      </c>
      <c r="G2174" s="30">
        <f t="shared" si="2279"/>
        <v>2400</v>
      </c>
      <c r="H2174" s="8">
        <v>25000</v>
      </c>
      <c r="I2174" s="30">
        <f t="shared" si="2280"/>
        <v>8000</v>
      </c>
      <c r="J2174" s="8">
        <v>25000</v>
      </c>
      <c r="K2174" s="30">
        <f t="shared" si="2281"/>
        <v>8000</v>
      </c>
      <c r="L2174" s="8">
        <v>25000</v>
      </c>
      <c r="M2174" s="9">
        <f>VLOOKUP(DATE(YEAR(A2174),MONTH(A2174),DAY(A2174)),FY24_Temp[],4,FALSE)</f>
        <v>8.5</v>
      </c>
      <c r="N2174" s="9">
        <f>VLOOKUP(DATE(YEAR(A2174),MONTH(A2174),DAY(A2174)),FY24_Temp[],3,FALSE)</f>
        <v>15.84</v>
      </c>
      <c r="O2174" s="9">
        <v>13.5</v>
      </c>
      <c r="P2174" s="9">
        <v>19.5</v>
      </c>
      <c r="Q2174" s="79">
        <f>VLOOKUP(VLOOKUP(DATEVALUE(TEXT(A2174,"m/d/yyyy")),FY24_Temp[],5,FALSE)&amp;TEXT(A2174,"-h"),Table6[],4,FALSE)</f>
        <v>0.97514285360063824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VLOOKUP(TEXT(A2174,"yy-mm")&amp;"-"&amp;IF(AND(WEEKDAY(A2174)&gt;1,WEEKDAY(A2174)&lt;7),"Wkd",TEXT(A2174,"Ddd"))&amp;"-"&amp;TEXT(A2174,"hh"),LoadTable[],5,FALSE)*0.92</f>
        <v>237.25788000000003</v>
      </c>
      <c r="U2174" s="104">
        <f>VLOOKUP(TEXT(A2174,"yy-mm")&amp;"-"&amp;IF(AND(WEEKDAY(A2174)&gt;1,WEEKDAY(A2174)&lt;7),"Wkd",TEXT(A2174,"Ddd"))&amp;"-"&amp;TEXT(A2174,"hh"),LoadTable[],6,FALSE)*T2174</f>
        <v>10974.125981520001</v>
      </c>
      <c r="V2174">
        <f t="shared" ref="V2174:W2174" si="2316">V2150</f>
        <v>3.4</v>
      </c>
      <c r="W2174">
        <f t="shared" si="2316"/>
        <v>3</v>
      </c>
      <c r="X2174" s="9">
        <v>-108.33340991667001</v>
      </c>
    </row>
    <row r="2175" spans="1:24">
      <c r="A2175" s="29">
        <f t="shared" si="2254"/>
        <v>45926.499999994732</v>
      </c>
      <c r="B2175" s="30">
        <f t="shared" si="2278"/>
        <v>8000</v>
      </c>
      <c r="C2175" s="8">
        <v>25000</v>
      </c>
      <c r="D2175" s="8">
        <v>0</v>
      </c>
      <c r="E2175" s="8">
        <v>700</v>
      </c>
      <c r="F2175" s="8">
        <v>15000</v>
      </c>
      <c r="G2175" s="30">
        <f t="shared" si="2279"/>
        <v>2400</v>
      </c>
      <c r="H2175" s="8">
        <v>25000</v>
      </c>
      <c r="I2175" s="30">
        <f t="shared" si="2280"/>
        <v>8000</v>
      </c>
      <c r="J2175" s="8">
        <v>25000</v>
      </c>
      <c r="K2175" s="30">
        <f t="shared" si="2281"/>
        <v>8000</v>
      </c>
      <c r="L2175" s="8">
        <v>25000</v>
      </c>
      <c r="M2175" s="9">
        <f>VLOOKUP(DATE(YEAR(A2175),MONTH(A2175),DAY(A2175)),FY24_Temp[],4,FALSE)</f>
        <v>8.5</v>
      </c>
      <c r="N2175" s="9">
        <f>VLOOKUP(DATE(YEAR(A2175),MONTH(A2175),DAY(A2175)),FY24_Temp[],3,FALSE)</f>
        <v>15.84</v>
      </c>
      <c r="O2175" s="9">
        <v>13.5</v>
      </c>
      <c r="P2175" s="9">
        <v>19.5</v>
      </c>
      <c r="Q2175" s="79">
        <f>VLOOKUP(VLOOKUP(DATEVALUE(TEXT(A2175,"m/d/yyyy")),FY24_Temp[],5,FALSE)&amp;TEXT(A2175,"-h"),Table6[],4,FALSE)</f>
        <v>0.82942857061113628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VLOOKUP(TEXT(A2175,"yy-mm")&amp;"-"&amp;IF(AND(WEEKDAY(A2175)&gt;1,WEEKDAY(A2175)&lt;7),"Wkd",TEXT(A2175,"Ddd"))&amp;"-"&amp;TEXT(A2175,"hh"),LoadTable[],5,FALSE)*0.92</f>
        <v>237.25788000000003</v>
      </c>
      <c r="U2175" s="104">
        <f>VLOOKUP(TEXT(A2175,"yy-mm")&amp;"-"&amp;IF(AND(WEEKDAY(A2175)&gt;1,WEEKDAY(A2175)&lt;7),"Wkd",TEXT(A2175,"Ddd"))&amp;"-"&amp;TEXT(A2175,"hh"),LoadTable[],6,FALSE)*T2175</f>
        <v>10962.974861160001</v>
      </c>
      <c r="V2175">
        <f t="shared" ref="V2175:W2175" si="2317">V2151</f>
        <v>3.1</v>
      </c>
      <c r="W2175">
        <f t="shared" si="2317"/>
        <v>2.9</v>
      </c>
      <c r="X2175" s="9">
        <v>-108.41120446667</v>
      </c>
    </row>
    <row r="2176" spans="1:24">
      <c r="A2176" s="29">
        <f t="shared" si="2254"/>
        <v>45926.541666661396</v>
      </c>
      <c r="B2176" s="30">
        <f t="shared" si="2278"/>
        <v>8000</v>
      </c>
      <c r="C2176" s="8">
        <v>25000</v>
      </c>
      <c r="D2176" s="8">
        <v>0</v>
      </c>
      <c r="E2176" s="8">
        <v>700</v>
      </c>
      <c r="F2176" s="8">
        <v>15000</v>
      </c>
      <c r="G2176" s="30">
        <f t="shared" si="2279"/>
        <v>2400</v>
      </c>
      <c r="H2176" s="8">
        <v>25000</v>
      </c>
      <c r="I2176" s="30">
        <f t="shared" si="2280"/>
        <v>8000</v>
      </c>
      <c r="J2176" s="8">
        <v>25000</v>
      </c>
      <c r="K2176" s="30">
        <f t="shared" si="2281"/>
        <v>8000</v>
      </c>
      <c r="L2176" s="8">
        <v>25000</v>
      </c>
      <c r="M2176" s="9">
        <f>VLOOKUP(DATE(YEAR(A2176),MONTH(A2176),DAY(A2176)),FY24_Temp[],4,FALSE)</f>
        <v>8.5</v>
      </c>
      <c r="N2176" s="9">
        <f>VLOOKUP(DATE(YEAR(A2176),MONTH(A2176),DAY(A2176)),FY24_Temp[],3,FALSE)</f>
        <v>15.84</v>
      </c>
      <c r="O2176" s="9">
        <v>13.5</v>
      </c>
      <c r="P2176" s="9">
        <v>19.5</v>
      </c>
      <c r="Q2176" s="79">
        <f>VLOOKUP(VLOOKUP(DATEVALUE(TEXT(A2176,"m/d/yyyy")),FY24_Temp[],5,FALSE)&amp;TEXT(A2176,"-h"),Table6[],4,FALSE)</f>
        <v>0.69342857599258423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VLOOKUP(TEXT(A2176,"yy-mm")&amp;"-"&amp;IF(AND(WEEKDAY(A2176)&gt;1,WEEKDAY(A2176)&lt;7),"Wkd",TEXT(A2176,"Ddd"))&amp;"-"&amp;TEXT(A2176,"hh"),LoadTable[],5,FALSE)*0.92</f>
        <v>237.25788000000003</v>
      </c>
      <c r="U2176" s="104">
        <f>VLOOKUP(TEXT(A2176,"yy-mm")&amp;"-"&amp;IF(AND(WEEKDAY(A2176)&gt;1,WEEKDAY(A2176)&lt;7),"Wkd",TEXT(A2176,"Ddd"))&amp;"-"&amp;TEXT(A2176,"hh"),LoadTable[],6,FALSE)*T2176</f>
        <v>10978.39662336</v>
      </c>
      <c r="V2176">
        <f t="shared" ref="V2176:W2176" si="2318">V2152</f>
        <v>3.2</v>
      </c>
      <c r="W2176">
        <f t="shared" si="2318"/>
        <v>2.9</v>
      </c>
      <c r="X2176" s="9">
        <v>-108.48899901666999</v>
      </c>
    </row>
    <row r="2177" spans="1:24">
      <c r="A2177" s="29">
        <f t="shared" si="2254"/>
        <v>45926.583333328061</v>
      </c>
      <c r="B2177" s="30">
        <f t="shared" si="2278"/>
        <v>8000</v>
      </c>
      <c r="C2177" s="8">
        <v>25000</v>
      </c>
      <c r="D2177" s="8">
        <v>0</v>
      </c>
      <c r="E2177" s="8">
        <v>700</v>
      </c>
      <c r="F2177" s="8">
        <v>15000</v>
      </c>
      <c r="G2177" s="30">
        <f t="shared" si="2279"/>
        <v>2400</v>
      </c>
      <c r="H2177" s="8">
        <v>25000</v>
      </c>
      <c r="I2177" s="30">
        <f t="shared" si="2280"/>
        <v>8000</v>
      </c>
      <c r="J2177" s="8">
        <v>25000</v>
      </c>
      <c r="K2177" s="30">
        <f t="shared" si="2281"/>
        <v>8000</v>
      </c>
      <c r="L2177" s="8">
        <v>25000</v>
      </c>
      <c r="M2177" s="9">
        <f>VLOOKUP(DATE(YEAR(A2177),MONTH(A2177),DAY(A2177)),FY24_Temp[],4,FALSE)</f>
        <v>8.5</v>
      </c>
      <c r="N2177" s="9">
        <f>VLOOKUP(DATE(YEAR(A2177),MONTH(A2177),DAY(A2177)),FY24_Temp[],3,FALSE)</f>
        <v>15.84</v>
      </c>
      <c r="O2177" s="9">
        <v>13.5</v>
      </c>
      <c r="P2177" s="9">
        <v>19.5</v>
      </c>
      <c r="Q2177" s="79">
        <f>VLOOKUP(VLOOKUP(DATEVALUE(TEXT(A2177,"m/d/yyyy")),FY24_Temp[],5,FALSE)&amp;TEXT(A2177,"-h"),Table6[],4,FALSE)</f>
        <v>0.57800000480243141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VLOOKUP(TEXT(A2177,"yy-mm")&amp;"-"&amp;IF(AND(WEEKDAY(A2177)&gt;1,WEEKDAY(A2177)&lt;7),"Wkd",TEXT(A2177,"Ddd"))&amp;"-"&amp;TEXT(A2177,"hh"),LoadTable[],5,FALSE)*0.92</f>
        <v>269.75136000000003</v>
      </c>
      <c r="U2177" s="104">
        <f>VLOOKUP(TEXT(A2177,"yy-mm")&amp;"-"&amp;IF(AND(WEEKDAY(A2177)&gt;1,WEEKDAY(A2177)&lt;7),"Wkd",TEXT(A2177,"Ddd"))&amp;"-"&amp;TEXT(A2177,"hh"),LoadTable[],6,FALSE)*T2177</f>
        <v>12503.245287360001</v>
      </c>
      <c r="V2177">
        <f t="shared" ref="V2177:W2177" si="2319">V2153</f>
        <v>3.5</v>
      </c>
      <c r="W2177">
        <f t="shared" si="2319"/>
        <v>2.9</v>
      </c>
      <c r="X2177" s="9">
        <v>-108.56679356667</v>
      </c>
    </row>
    <row r="2178" spans="1:24">
      <c r="A2178" s="29">
        <f t="shared" si="2254"/>
        <v>45926.624999994725</v>
      </c>
      <c r="B2178" s="30">
        <f t="shared" si="2278"/>
        <v>8000</v>
      </c>
      <c r="C2178" s="8">
        <v>25000</v>
      </c>
      <c r="D2178" s="8">
        <v>0</v>
      </c>
      <c r="E2178" s="8">
        <v>700</v>
      </c>
      <c r="F2178" s="8">
        <v>15000</v>
      </c>
      <c r="G2178" s="30">
        <f t="shared" si="2279"/>
        <v>2400</v>
      </c>
      <c r="H2178" s="8">
        <v>25000</v>
      </c>
      <c r="I2178" s="30">
        <f t="shared" si="2280"/>
        <v>8000</v>
      </c>
      <c r="J2178" s="8">
        <v>25000</v>
      </c>
      <c r="K2178" s="30">
        <f t="shared" si="2281"/>
        <v>8000</v>
      </c>
      <c r="L2178" s="8">
        <v>25000</v>
      </c>
      <c r="M2178" s="9">
        <f>VLOOKUP(DATE(YEAR(A2178),MONTH(A2178),DAY(A2178)),FY24_Temp[],4,FALSE)</f>
        <v>8.5</v>
      </c>
      <c r="N2178" s="9">
        <f>VLOOKUP(DATE(YEAR(A2178),MONTH(A2178),DAY(A2178)),FY24_Temp[],3,FALSE)</f>
        <v>15.84</v>
      </c>
      <c r="O2178" s="9">
        <v>13.5</v>
      </c>
      <c r="P2178" s="9">
        <v>19.5</v>
      </c>
      <c r="Q2178" s="79">
        <f>VLOOKUP(VLOOKUP(DATEVALUE(TEXT(A2178,"m/d/yyyy")),FY24_Temp[],5,FALSE)&amp;TEXT(A2178,"-h"),Table6[],4,FALSE)</f>
        <v>0.56385713389941627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VLOOKUP(TEXT(A2178,"yy-mm")&amp;"-"&amp;IF(AND(WEEKDAY(A2178)&gt;1,WEEKDAY(A2178)&lt;7),"Wkd",TEXT(A2178,"Ddd"))&amp;"-"&amp;TEXT(A2178,"hh"),LoadTable[],5,FALSE)*0.92</f>
        <v>388.38076000000001</v>
      </c>
      <c r="U2178" s="104">
        <f>VLOOKUP(TEXT(A2178,"yy-mm")&amp;"-"&amp;IF(AND(WEEKDAY(A2178)&gt;1,WEEKDAY(A2178)&lt;7),"Wkd",TEXT(A2178,"Ddd"))&amp;"-"&amp;TEXT(A2178,"hh"),LoadTable[],6,FALSE)*T2178</f>
        <v>19705.663000880002</v>
      </c>
      <c r="V2178">
        <f t="shared" ref="V2178:W2178" si="2320">V2154</f>
        <v>3.2</v>
      </c>
      <c r="W2178">
        <f t="shared" si="2320"/>
        <v>2.9</v>
      </c>
      <c r="X2178" s="9">
        <v>-108.64458811666999</v>
      </c>
    </row>
    <row r="2179" spans="1:24">
      <c r="A2179" s="29">
        <f t="shared" si="2254"/>
        <v>45926.666666661389</v>
      </c>
      <c r="B2179" s="30">
        <f t="shared" si="2278"/>
        <v>8000</v>
      </c>
      <c r="C2179" s="8">
        <v>25000</v>
      </c>
      <c r="D2179" s="8">
        <v>0</v>
      </c>
      <c r="E2179" s="8">
        <v>700</v>
      </c>
      <c r="F2179" s="8">
        <v>15000</v>
      </c>
      <c r="G2179" s="30">
        <f t="shared" si="2279"/>
        <v>2400</v>
      </c>
      <c r="H2179" s="8">
        <v>25000</v>
      </c>
      <c r="I2179" s="30">
        <f t="shared" si="2280"/>
        <v>8000</v>
      </c>
      <c r="J2179" s="8">
        <v>25000</v>
      </c>
      <c r="K2179" s="30">
        <f t="shared" si="2281"/>
        <v>8000</v>
      </c>
      <c r="L2179" s="8">
        <v>25000</v>
      </c>
      <c r="M2179" s="9">
        <f>VLOOKUP(DATE(YEAR(A2179),MONTH(A2179),DAY(A2179)),FY24_Temp[],4,FALSE)</f>
        <v>8.5</v>
      </c>
      <c r="N2179" s="9">
        <f>VLOOKUP(DATE(YEAR(A2179),MONTH(A2179),DAY(A2179)),FY24_Temp[],3,FALSE)</f>
        <v>15.84</v>
      </c>
      <c r="O2179" s="9">
        <v>13.5</v>
      </c>
      <c r="P2179" s="9">
        <v>19.5</v>
      </c>
      <c r="Q2179" s="79">
        <f>VLOOKUP(VLOOKUP(DATEVALUE(TEXT(A2179,"m/d/yyyy")),FY24_Temp[],5,FALSE)&amp;TEXT(A2179,"-h"),Table6[],4,FALSE)</f>
        <v>0.83414285523550846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VLOOKUP(TEXT(A2179,"yy-mm")&amp;"-"&amp;IF(AND(WEEKDAY(A2179)&gt;1,WEEKDAY(A2179)&lt;7),"Wkd",TEXT(A2179,"Ddd"))&amp;"-"&amp;TEXT(A2179,"hh"),LoadTable[],5,FALSE)*0.92</f>
        <v>388.38076000000001</v>
      </c>
      <c r="U2179" s="104">
        <f>VLOOKUP(TEXT(A2179,"yy-mm")&amp;"-"&amp;IF(AND(WEEKDAY(A2179)&gt;1,WEEKDAY(A2179)&lt;7),"Wkd",TEXT(A2179,"Ddd"))&amp;"-"&amp;TEXT(A2179,"hh"),LoadTable[],6,FALSE)*T2179</f>
        <v>23675.6911296</v>
      </c>
      <c r="V2179">
        <f t="shared" ref="V2179:W2179" si="2321">V2155</f>
        <v>3.5</v>
      </c>
      <c r="W2179">
        <f t="shared" si="2321"/>
        <v>3</v>
      </c>
      <c r="X2179" s="9">
        <v>-108.72238266667</v>
      </c>
    </row>
    <row r="2180" spans="1:24">
      <c r="A2180" s="29">
        <f t="shared" si="2254"/>
        <v>45926.708333328053</v>
      </c>
      <c r="B2180" s="30">
        <f t="shared" si="2278"/>
        <v>8000</v>
      </c>
      <c r="C2180" s="8">
        <v>25000</v>
      </c>
      <c r="D2180" s="8">
        <v>0</v>
      </c>
      <c r="E2180" s="8">
        <v>700</v>
      </c>
      <c r="F2180" s="8">
        <v>15000</v>
      </c>
      <c r="G2180" s="30">
        <f t="shared" si="2279"/>
        <v>2400</v>
      </c>
      <c r="H2180" s="8">
        <v>25000</v>
      </c>
      <c r="I2180" s="30">
        <f t="shared" si="2280"/>
        <v>8000</v>
      </c>
      <c r="J2180" s="8">
        <v>25000</v>
      </c>
      <c r="K2180" s="30">
        <f t="shared" si="2281"/>
        <v>8000</v>
      </c>
      <c r="L2180" s="8">
        <v>25000</v>
      </c>
      <c r="M2180" s="9">
        <f>VLOOKUP(DATE(YEAR(A2180),MONTH(A2180),DAY(A2180)),FY24_Temp[],4,FALSE)</f>
        <v>8.5</v>
      </c>
      <c r="N2180" s="9">
        <f>VLOOKUP(DATE(YEAR(A2180),MONTH(A2180),DAY(A2180)),FY24_Temp[],3,FALSE)</f>
        <v>15.84</v>
      </c>
      <c r="O2180" s="9">
        <v>13.5</v>
      </c>
      <c r="P2180" s="9">
        <v>19.5</v>
      </c>
      <c r="Q2180" s="79">
        <f>VLOOKUP(VLOOKUP(DATEVALUE(TEXT(A2180,"m/d/yyyy")),FY24_Temp[],5,FALSE)&amp;TEXT(A2180,"-h"),Table6[],4,FALSE)</f>
        <v>1.2335714272090368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VLOOKUP(TEXT(A2180,"yy-mm")&amp;"-"&amp;IF(AND(WEEKDAY(A2180)&gt;1,WEEKDAY(A2180)&lt;7),"Wkd",TEXT(A2180,"Ddd"))&amp;"-"&amp;TEXT(A2180,"hh"),LoadTable[],5,FALSE)*0.92</f>
        <v>388.38076000000001</v>
      </c>
      <c r="U2180" s="104">
        <f>VLOOKUP(TEXT(A2180,"yy-mm")&amp;"-"&amp;IF(AND(WEEKDAY(A2180)&gt;1,WEEKDAY(A2180)&lt;7),"Wkd",TEXT(A2180,"Ddd"))&amp;"-"&amp;TEXT(A2180,"hh"),LoadTable[],6,FALSE)*T2180</f>
        <v>31454.180990880002</v>
      </c>
      <c r="V2180">
        <f t="shared" ref="V2180:W2180" si="2322">V2156</f>
        <v>3.6</v>
      </c>
      <c r="W2180">
        <f t="shared" si="2322"/>
        <v>3</v>
      </c>
      <c r="X2180" s="9">
        <v>-108.80017721666999</v>
      </c>
    </row>
    <row r="2181" spans="1:24">
      <c r="A2181" s="29">
        <f t="shared" ref="A2181:A2244" si="2323">A2180+TIME(1,0,0)</f>
        <v>45926.749999994718</v>
      </c>
      <c r="B2181" s="30">
        <f t="shared" si="2278"/>
        <v>5000</v>
      </c>
      <c r="C2181" s="8">
        <v>25000</v>
      </c>
      <c r="D2181" s="8">
        <v>0</v>
      </c>
      <c r="E2181" s="8">
        <v>700</v>
      </c>
      <c r="F2181" s="8">
        <v>15000</v>
      </c>
      <c r="G2181" s="30">
        <f t="shared" si="2279"/>
        <v>2400</v>
      </c>
      <c r="H2181" s="8">
        <v>25000</v>
      </c>
      <c r="I2181" s="30">
        <f t="shared" si="2280"/>
        <v>5000</v>
      </c>
      <c r="J2181" s="8">
        <v>25000</v>
      </c>
      <c r="K2181" s="30">
        <f t="shared" si="2281"/>
        <v>5000</v>
      </c>
      <c r="L2181" s="8">
        <v>25000</v>
      </c>
      <c r="M2181" s="9">
        <f>VLOOKUP(DATE(YEAR(A2181),MONTH(A2181),DAY(A2181)),FY24_Temp[],4,FALSE)</f>
        <v>8.5</v>
      </c>
      <c r="N2181" s="9">
        <f>VLOOKUP(DATE(YEAR(A2181),MONTH(A2181),DAY(A2181)),FY24_Temp[],3,FALSE)</f>
        <v>15.84</v>
      </c>
      <c r="O2181" s="9">
        <v>13.5</v>
      </c>
      <c r="P2181" s="9">
        <v>19.5</v>
      </c>
      <c r="Q2181" s="79">
        <f>VLOOKUP(VLOOKUP(DATEVALUE(TEXT(A2181,"m/d/yyyy")),FY24_Temp[],5,FALSE)&amp;TEXT(A2181,"-h"),Table6[],4,FALSE)</f>
        <v>1.6985714265278407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VLOOKUP(TEXT(A2181,"yy-mm")&amp;"-"&amp;IF(AND(WEEKDAY(A2181)&gt;1,WEEKDAY(A2181)&lt;7),"Wkd",TEXT(A2181,"Ddd"))&amp;"-"&amp;TEXT(A2181,"hh"),LoadTable[],5,FALSE)*0.92</f>
        <v>388.38076000000001</v>
      </c>
      <c r="U2181" s="104">
        <f>VLOOKUP(TEXT(A2181,"yy-mm")&amp;"-"&amp;IF(AND(WEEKDAY(A2181)&gt;1,WEEKDAY(A2181)&lt;7),"Wkd",TEXT(A2181,"Ddd"))&amp;"-"&amp;TEXT(A2181,"hh"),LoadTable[],6,FALSE)*T2181</f>
        <v>38316.869020080005</v>
      </c>
      <c r="V2181">
        <f t="shared" ref="V2181:W2181" si="2324">V2157</f>
        <v>2.9</v>
      </c>
      <c r="W2181">
        <f t="shared" si="2324"/>
        <v>3</v>
      </c>
      <c r="X2181" s="9">
        <v>-108.87797176667</v>
      </c>
    </row>
    <row r="2182" spans="1:24">
      <c r="A2182" s="29">
        <f t="shared" si="2323"/>
        <v>45926.791666661382</v>
      </c>
      <c r="B2182" s="30">
        <f t="shared" si="2278"/>
        <v>5000</v>
      </c>
      <c r="C2182" s="8">
        <v>25000</v>
      </c>
      <c r="D2182" s="8">
        <v>0</v>
      </c>
      <c r="E2182" s="8">
        <v>700</v>
      </c>
      <c r="F2182" s="8">
        <v>15000</v>
      </c>
      <c r="G2182" s="30">
        <f t="shared" si="2279"/>
        <v>2400</v>
      </c>
      <c r="H2182" s="8">
        <v>25000</v>
      </c>
      <c r="I2182" s="30">
        <f t="shared" si="2280"/>
        <v>5000</v>
      </c>
      <c r="J2182" s="8">
        <v>25000</v>
      </c>
      <c r="K2182" s="30">
        <f t="shared" si="2281"/>
        <v>5000</v>
      </c>
      <c r="L2182" s="8">
        <v>25000</v>
      </c>
      <c r="M2182" s="9">
        <f>VLOOKUP(DATE(YEAR(A2182),MONTH(A2182),DAY(A2182)),FY24_Temp[],4,FALSE)</f>
        <v>8.5</v>
      </c>
      <c r="N2182" s="9">
        <f>VLOOKUP(DATE(YEAR(A2182),MONTH(A2182),DAY(A2182)),FY24_Temp[],3,FALSE)</f>
        <v>15.84</v>
      </c>
      <c r="O2182" s="9">
        <v>13.5</v>
      </c>
      <c r="P2182" s="9">
        <v>19.5</v>
      </c>
      <c r="Q2182" s="79">
        <f>VLOOKUP(VLOOKUP(DATEVALUE(TEXT(A2182,"m/d/yyyy")),FY24_Temp[],5,FALSE)&amp;TEXT(A2182,"-h"),Table6[],4,FALSE)</f>
        <v>2.0531428711754933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VLOOKUP(TEXT(A2182,"yy-mm")&amp;"-"&amp;IF(AND(WEEKDAY(A2182)&gt;1,WEEKDAY(A2182)&lt;7),"Wkd",TEXT(A2182,"Ddd"))&amp;"-"&amp;TEXT(A2182,"hh"),LoadTable[],5,FALSE)*0.92</f>
        <v>388.38076000000001</v>
      </c>
      <c r="U2182" s="104">
        <f>VLOOKUP(TEXT(A2182,"yy-mm")&amp;"-"&amp;IF(AND(WEEKDAY(A2182)&gt;1,WEEKDAY(A2182)&lt;7),"Wkd",TEXT(A2182,"Ddd"))&amp;"-"&amp;TEXT(A2182,"hh"),LoadTable[],6,FALSE)*T2182</f>
        <v>41132.241149319998</v>
      </c>
      <c r="V2182">
        <f t="shared" ref="V2182:W2182" si="2325">V2158</f>
        <v>3</v>
      </c>
      <c r="W2182">
        <f t="shared" si="2325"/>
        <v>3</v>
      </c>
      <c r="X2182" s="9">
        <v>-108.95576631666999</v>
      </c>
    </row>
    <row r="2183" spans="1:24">
      <c r="A2183" s="29">
        <f t="shared" si="2323"/>
        <v>45926.833333328046</v>
      </c>
      <c r="B2183" s="30">
        <f t="shared" si="2278"/>
        <v>5000</v>
      </c>
      <c r="C2183" s="8">
        <v>25000</v>
      </c>
      <c r="D2183" s="8">
        <v>0</v>
      </c>
      <c r="E2183" s="8">
        <v>700</v>
      </c>
      <c r="F2183" s="8">
        <v>15000</v>
      </c>
      <c r="G2183" s="30">
        <f t="shared" si="2279"/>
        <v>2400</v>
      </c>
      <c r="H2183" s="8">
        <v>25000</v>
      </c>
      <c r="I2183" s="30">
        <f t="shared" si="2280"/>
        <v>5000</v>
      </c>
      <c r="J2183" s="8">
        <v>25000</v>
      </c>
      <c r="K2183" s="30">
        <f t="shared" si="2281"/>
        <v>5000</v>
      </c>
      <c r="L2183" s="8">
        <v>25000</v>
      </c>
      <c r="M2183" s="9">
        <f>VLOOKUP(DATE(YEAR(A2183),MONTH(A2183),DAY(A2183)),FY24_Temp[],4,FALSE)</f>
        <v>8.5</v>
      </c>
      <c r="N2183" s="9">
        <f>VLOOKUP(DATE(YEAR(A2183),MONTH(A2183),DAY(A2183)),FY24_Temp[],3,FALSE)</f>
        <v>15.84</v>
      </c>
      <c r="O2183" s="9">
        <v>13.5</v>
      </c>
      <c r="P2183" s="9">
        <v>19.5</v>
      </c>
      <c r="Q2183" s="79">
        <f>VLOOKUP(VLOOKUP(DATEVALUE(TEXT(A2183,"m/d/yyyy")),FY24_Temp[],5,FALSE)&amp;TEXT(A2183,"-h"),Table6[],4,FALSE)</f>
        <v>2.2329999378749301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VLOOKUP(TEXT(A2183,"yy-mm")&amp;"-"&amp;IF(AND(WEEKDAY(A2183)&gt;1,WEEKDAY(A2183)&lt;7),"Wkd",TEXT(A2183,"Ddd"))&amp;"-"&amp;TEXT(A2183,"hh"),LoadTable[],5,FALSE)*0.92</f>
        <v>388.38076000000001</v>
      </c>
      <c r="U2183" s="104">
        <f>VLOOKUP(TEXT(A2183,"yy-mm")&amp;"-"&amp;IF(AND(WEEKDAY(A2183)&gt;1,WEEKDAY(A2183)&lt;7),"Wkd",TEXT(A2183,"Ddd"))&amp;"-"&amp;TEXT(A2183,"hh"),LoadTable[],6,FALSE)*T2183</f>
        <v>36274.762984000001</v>
      </c>
      <c r="V2183">
        <f t="shared" ref="V2183:W2183" si="2326">V2159</f>
        <v>2.8</v>
      </c>
      <c r="W2183">
        <f t="shared" si="2326"/>
        <v>3.1</v>
      </c>
      <c r="X2183" s="9">
        <v>-109.03356086667</v>
      </c>
    </row>
    <row r="2184" spans="1:24">
      <c r="A2184" s="29">
        <f t="shared" si="2323"/>
        <v>45926.87499999471</v>
      </c>
      <c r="B2184" s="30">
        <f t="shared" si="2278"/>
        <v>5000</v>
      </c>
      <c r="C2184" s="8">
        <v>25000</v>
      </c>
      <c r="D2184" s="8">
        <v>0</v>
      </c>
      <c r="E2184" s="8">
        <v>700</v>
      </c>
      <c r="F2184" s="8">
        <v>15000</v>
      </c>
      <c r="G2184" s="30">
        <f t="shared" si="2279"/>
        <v>2400</v>
      </c>
      <c r="H2184" s="8">
        <v>25000</v>
      </c>
      <c r="I2184" s="30">
        <f t="shared" si="2280"/>
        <v>5000</v>
      </c>
      <c r="J2184" s="8">
        <v>25000</v>
      </c>
      <c r="K2184" s="30">
        <f t="shared" si="2281"/>
        <v>5000</v>
      </c>
      <c r="L2184" s="8">
        <v>25000</v>
      </c>
      <c r="M2184" s="9">
        <f>VLOOKUP(DATE(YEAR(A2184),MONTH(A2184),DAY(A2184)),FY24_Temp[],4,FALSE)</f>
        <v>8.5</v>
      </c>
      <c r="N2184" s="9">
        <f>VLOOKUP(DATE(YEAR(A2184),MONTH(A2184),DAY(A2184)),FY24_Temp[],3,FALSE)</f>
        <v>15.84</v>
      </c>
      <c r="O2184" s="9">
        <v>13.5</v>
      </c>
      <c r="P2184" s="9">
        <v>19.5</v>
      </c>
      <c r="Q2184" s="79">
        <f>VLOOKUP(VLOOKUP(DATEVALUE(TEXT(A2184,"m/d/yyyy")),FY24_Temp[],5,FALSE)&amp;TEXT(A2184,"-h"),Table6[],4,FALSE)</f>
        <v>2.2924285616193498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VLOOKUP(TEXT(A2184,"yy-mm")&amp;"-"&amp;IF(AND(WEEKDAY(A2184)&gt;1,WEEKDAY(A2184)&lt;7),"Wkd",TEXT(A2184,"Ddd"))&amp;"-"&amp;TEXT(A2184,"hh"),LoadTable[],5,FALSE)*0.92</f>
        <v>373.79416000000003</v>
      </c>
      <c r="U2184" s="104">
        <f>VLOOKUP(TEXT(A2184,"yy-mm")&amp;"-"&amp;IF(AND(WEEKDAY(A2184)&gt;1,WEEKDAY(A2184)&lt;7),"Wkd",TEXT(A2184,"Ddd"))&amp;"-"&amp;TEXT(A2184,"hh"),LoadTable[],6,FALSE)*T2184</f>
        <v>31749.328362080003</v>
      </c>
      <c r="V2184">
        <f t="shared" ref="V2184:W2184" si="2327">V2160</f>
        <v>3.5</v>
      </c>
      <c r="W2184">
        <f t="shared" si="2327"/>
        <v>3.1</v>
      </c>
      <c r="X2184" s="9">
        <v>-109.11135541666999</v>
      </c>
    </row>
    <row r="2185" spans="1:24">
      <c r="A2185" s="29">
        <f t="shared" si="2323"/>
        <v>45926.916666661375</v>
      </c>
      <c r="B2185" s="30">
        <f t="shared" si="2278"/>
        <v>5000</v>
      </c>
      <c r="C2185" s="8">
        <v>25000</v>
      </c>
      <c r="D2185" s="8">
        <v>0</v>
      </c>
      <c r="E2185" s="8">
        <v>700</v>
      </c>
      <c r="F2185" s="8">
        <v>15000</v>
      </c>
      <c r="G2185" s="30">
        <f t="shared" si="2279"/>
        <v>2400</v>
      </c>
      <c r="H2185" s="8">
        <v>25000</v>
      </c>
      <c r="I2185" s="30">
        <f t="shared" si="2280"/>
        <v>5000</v>
      </c>
      <c r="J2185" s="8">
        <v>25000</v>
      </c>
      <c r="K2185" s="30">
        <f t="shared" si="2281"/>
        <v>5000</v>
      </c>
      <c r="L2185" s="8">
        <v>25000</v>
      </c>
      <c r="M2185" s="9">
        <f>VLOOKUP(DATE(YEAR(A2185),MONTH(A2185),DAY(A2185)),FY24_Temp[],4,FALSE)</f>
        <v>8.5</v>
      </c>
      <c r="N2185" s="9">
        <f>VLOOKUP(DATE(YEAR(A2185),MONTH(A2185),DAY(A2185)),FY24_Temp[],3,FALSE)</f>
        <v>15.84</v>
      </c>
      <c r="O2185" s="9">
        <v>13.5</v>
      </c>
      <c r="P2185" s="9">
        <v>19.5</v>
      </c>
      <c r="Q2185" s="79">
        <f>VLOOKUP(VLOOKUP(DATEVALUE(TEXT(A2185,"m/d/yyyy")),FY24_Temp[],5,FALSE)&amp;TEXT(A2185,"-h"),Table6[],4,FALSE)</f>
        <v>2.2601428713117326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VLOOKUP(TEXT(A2185,"yy-mm")&amp;"-"&amp;IF(AND(WEEKDAY(A2185)&gt;1,WEEKDAY(A2185)&lt;7),"Wkd",TEXT(A2185,"Ddd"))&amp;"-"&amp;TEXT(A2185,"hh"),LoadTable[],5,FALSE)*0.92</f>
        <v>299.65044</v>
      </c>
      <c r="U2185" s="104">
        <f>VLOOKUP(TEXT(A2185,"yy-mm")&amp;"-"&amp;IF(AND(WEEKDAY(A2185)&gt;1,WEEKDAY(A2185)&lt;7),"Wkd",TEXT(A2185,"Ddd"))&amp;"-"&amp;TEXT(A2185,"hh"),LoadTable[],6,FALSE)*T2185</f>
        <v>15023.87376072</v>
      </c>
      <c r="V2185">
        <f t="shared" ref="V2185:W2185" si="2328">V2161</f>
        <v>2.9</v>
      </c>
      <c r="W2185">
        <f t="shared" si="2328"/>
        <v>3.1</v>
      </c>
      <c r="X2185" s="9">
        <v>-109.18914996667</v>
      </c>
    </row>
    <row r="2186" spans="1:24" ht="16" thickBot="1">
      <c r="A2186" s="29">
        <f t="shared" si="2323"/>
        <v>45926.958333328039</v>
      </c>
      <c r="B2186" s="30">
        <f t="shared" si="2278"/>
        <v>5000</v>
      </c>
      <c r="C2186" s="8">
        <v>25000</v>
      </c>
      <c r="D2186" s="8">
        <v>0</v>
      </c>
      <c r="E2186" s="8">
        <v>700</v>
      </c>
      <c r="F2186" s="8">
        <v>15000</v>
      </c>
      <c r="G2186" s="30">
        <f t="shared" si="2279"/>
        <v>2400</v>
      </c>
      <c r="H2186" s="8">
        <v>25000</v>
      </c>
      <c r="I2186" s="30">
        <f t="shared" si="2280"/>
        <v>5000</v>
      </c>
      <c r="J2186" s="8">
        <v>25000</v>
      </c>
      <c r="K2186" s="30">
        <f t="shared" si="2281"/>
        <v>5000</v>
      </c>
      <c r="L2186" s="8">
        <v>25000</v>
      </c>
      <c r="M2186" s="9">
        <f>VLOOKUP(DATE(YEAR(A2186),MONTH(A2186),DAY(A2186)),FY24_Temp[],4,FALSE)</f>
        <v>8.5</v>
      </c>
      <c r="N2186" s="9">
        <f>VLOOKUP(DATE(YEAR(A2186),MONTH(A2186),DAY(A2186)),FY24_Temp[],3,FALSE)</f>
        <v>15.84</v>
      </c>
      <c r="O2186" s="9">
        <v>13.5</v>
      </c>
      <c r="P2186" s="9">
        <v>19.5</v>
      </c>
      <c r="Q2186" s="79">
        <f>VLOOKUP(VLOOKUP(DATEVALUE(TEXT(A2186,"m/d/yyyy")),FY24_Temp[],5,FALSE)&amp;TEXT(A2186,"-h"),Table6[],4,FALSE)</f>
        <v>2.2548570973532542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VLOOKUP(TEXT(A2186,"yy-mm")&amp;"-"&amp;IF(AND(WEEKDAY(A2186)&gt;1,WEEKDAY(A2186)&lt;7),"Wkd",TEXT(A2186,"Ddd"))&amp;"-"&amp;TEXT(A2186,"hh"),LoadTable[],5,FALSE)*0.92</f>
        <v>237.25788000000003</v>
      </c>
      <c r="U2186" s="104">
        <f>VLOOKUP(TEXT(A2186,"yy-mm")&amp;"-"&amp;IF(AND(WEEKDAY(A2186)&gt;1,WEEKDAY(A2186)&lt;7),"Wkd",TEXT(A2186,"Ddd"))&amp;"-"&amp;TEXT(A2186,"hh"),LoadTable[],6,FALSE)*T2186</f>
        <v>11687.323168800001</v>
      </c>
      <c r="V2186">
        <f t="shared" ref="V2186:W2186" si="2329">V2162</f>
        <v>3.6</v>
      </c>
      <c r="W2186">
        <f t="shared" si="2329"/>
        <v>3.1</v>
      </c>
      <c r="X2186" s="9">
        <v>-109.26694451666999</v>
      </c>
    </row>
    <row r="2187" spans="1:24" ht="16" thickBot="1">
      <c r="A2187" s="120">
        <f t="shared" si="2323"/>
        <v>45926.999999994703</v>
      </c>
      <c r="B2187" s="121">
        <f t="shared" si="2278"/>
        <v>5000</v>
      </c>
      <c r="C2187" s="114">
        <v>25000</v>
      </c>
      <c r="D2187" s="114">
        <v>0</v>
      </c>
      <c r="E2187" s="114">
        <v>700</v>
      </c>
      <c r="F2187" s="114">
        <v>15000</v>
      </c>
      <c r="G2187" s="114">
        <f t="shared" si="2279"/>
        <v>2400</v>
      </c>
      <c r="H2187" s="114">
        <v>25000</v>
      </c>
      <c r="I2187" s="114">
        <f t="shared" si="2280"/>
        <v>5000</v>
      </c>
      <c r="J2187" s="114">
        <v>25000</v>
      </c>
      <c r="K2187" s="114">
        <f t="shared" si="2281"/>
        <v>5000</v>
      </c>
      <c r="L2187" s="114">
        <v>25000</v>
      </c>
      <c r="M2187" s="115">
        <f>VLOOKUP(DATE(YEAR(A2187),MONTH(A2187),DAY(A2187)),FY24_Temp[],4,FALSE)</f>
        <v>8.9</v>
      </c>
      <c r="N2187" s="115">
        <f>VLOOKUP(DATE(YEAR(A2187),MONTH(A2187),DAY(A2187)),FY24_Temp[],3,FALSE)</f>
        <v>16.8</v>
      </c>
      <c r="O2187" s="115">
        <v>13.5</v>
      </c>
      <c r="P2187" s="115">
        <v>19.5</v>
      </c>
      <c r="Q2187" s="116">
        <f>VLOOKUP(VLOOKUP(DATEVALUE(TEXT(A2187,"m/d/yyyy")),FY24_Temp[],5,FALSE)&amp;TEXT(A2187,"-h"),Table6[],4,FALSE)</f>
        <v>2.023857150759016</v>
      </c>
      <c r="R2187" s="117">
        <v>10</v>
      </c>
      <c r="S2187" s="117">
        <v>1000</v>
      </c>
      <c r="T2187" s="100">
        <f>VLOOKUP(TEXT(A2187,"yy-mm")&amp;"-"&amp;IF(AND(WEEKDAY(A2187)&gt;1,WEEKDAY(A2187)&lt;7),"Wkd",TEXT(A2187,"Ddd"))&amp;"-"&amp;TEXT(A2187,"hh"),LoadTable[],5,FALSE)*0.92</f>
        <v>237.25788000000003</v>
      </c>
      <c r="U2187" s="118">
        <f>VLOOKUP(TEXT(A2187,"yy-mm")&amp;"-"&amp;IF(AND(WEEKDAY(A2187)&gt;1,WEEKDAY(A2187)&lt;7),"Wkd",TEXT(A2187,"Ddd"))&amp;"-"&amp;TEXT(A2187,"hh"),LoadTable[],6,FALSE)*T2187</f>
        <v>11614.24774176</v>
      </c>
      <c r="V2187" s="117">
        <f t="shared" ref="V2187:W2187" si="2330">V2163</f>
        <v>3</v>
      </c>
      <c r="W2187" s="117">
        <f t="shared" si="2330"/>
        <v>3.2</v>
      </c>
      <c r="X2187" s="119">
        <v>-109.34473906667</v>
      </c>
    </row>
    <row r="2188" spans="1:24">
      <c r="A2188" s="29">
        <f t="shared" si="2323"/>
        <v>45927.041666661367</v>
      </c>
      <c r="B2188" s="30">
        <f t="shared" si="2278"/>
        <v>5000</v>
      </c>
      <c r="C2188" s="8">
        <v>25000</v>
      </c>
      <c r="D2188" s="8">
        <v>0</v>
      </c>
      <c r="E2188" s="8">
        <v>700</v>
      </c>
      <c r="F2188" s="8">
        <v>15000</v>
      </c>
      <c r="G2188" s="30">
        <f t="shared" si="2279"/>
        <v>2400</v>
      </c>
      <c r="H2188" s="8">
        <v>25000</v>
      </c>
      <c r="I2188" s="30">
        <f t="shared" si="2280"/>
        <v>5000</v>
      </c>
      <c r="J2188" s="8">
        <v>25000</v>
      </c>
      <c r="K2188" s="30">
        <f t="shared" si="2281"/>
        <v>5000</v>
      </c>
      <c r="L2188" s="8">
        <v>25000</v>
      </c>
      <c r="M2188" s="9">
        <f>VLOOKUP(DATE(YEAR(A2188),MONTH(A2188),DAY(A2188)),FY24_Temp[],4,FALSE)</f>
        <v>8.9</v>
      </c>
      <c r="N2188" s="9">
        <f>VLOOKUP(DATE(YEAR(A2188),MONTH(A2188),DAY(A2188)),FY24_Temp[],3,FALSE)</f>
        <v>16.8</v>
      </c>
      <c r="O2188" s="9">
        <v>13.5</v>
      </c>
      <c r="P2188" s="9">
        <v>19.5</v>
      </c>
      <c r="Q2188" s="79">
        <f>VLOOKUP(VLOOKUP(DATEVALUE(TEXT(A2188,"m/d/yyyy")),FY24_Temp[],5,FALSE)&amp;TEXT(A2188,"-h"),Table6[],4,FALSE)</f>
        <v>1.9687142712729317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VLOOKUP(TEXT(A2188,"yy-mm")&amp;"-"&amp;IF(AND(WEEKDAY(A2188)&gt;1,WEEKDAY(A2188)&lt;7),"Wkd",TEXT(A2188,"Ddd"))&amp;"-"&amp;TEXT(A2188,"hh"),LoadTable[],5,FALSE)*0.92</f>
        <v>237.25788000000003</v>
      </c>
      <c r="U2188" s="104">
        <f>VLOOKUP(TEXT(A2188,"yy-mm")&amp;"-"&amp;IF(AND(WEEKDAY(A2188)&gt;1,WEEKDAY(A2188)&lt;7),"Wkd",TEXT(A2188,"Ddd"))&amp;"-"&amp;TEXT(A2188,"hh"),LoadTable[],6,FALSE)*T2188</f>
        <v>11567.270681520002</v>
      </c>
      <c r="V2188">
        <f t="shared" ref="V2188:W2188" si="2331">V2164</f>
        <v>2.6</v>
      </c>
      <c r="W2188">
        <f t="shared" si="2331"/>
        <v>3.2</v>
      </c>
      <c r="X2188" s="9">
        <v>-109.42253361666999</v>
      </c>
    </row>
    <row r="2189" spans="1:24">
      <c r="A2189" s="29">
        <f t="shared" si="2323"/>
        <v>45927.083333328032</v>
      </c>
      <c r="B2189" s="30">
        <f t="shared" si="2278"/>
        <v>5000</v>
      </c>
      <c r="C2189" s="8">
        <v>25000</v>
      </c>
      <c r="D2189" s="8">
        <v>0</v>
      </c>
      <c r="E2189" s="8">
        <v>700</v>
      </c>
      <c r="F2189" s="8">
        <v>15000</v>
      </c>
      <c r="G2189" s="30">
        <f t="shared" si="2279"/>
        <v>2400</v>
      </c>
      <c r="H2189" s="8">
        <v>25000</v>
      </c>
      <c r="I2189" s="30">
        <f t="shared" si="2280"/>
        <v>5000</v>
      </c>
      <c r="J2189" s="8">
        <v>25000</v>
      </c>
      <c r="K2189" s="30">
        <f t="shared" si="2281"/>
        <v>5000</v>
      </c>
      <c r="L2189" s="8">
        <v>25000</v>
      </c>
      <c r="M2189" s="9">
        <f>VLOOKUP(DATE(YEAR(A2189),MONTH(A2189),DAY(A2189)),FY24_Temp[],4,FALSE)</f>
        <v>8.9</v>
      </c>
      <c r="N2189" s="9">
        <f>VLOOKUP(DATE(YEAR(A2189),MONTH(A2189),DAY(A2189)),FY24_Temp[],3,FALSE)</f>
        <v>16.8</v>
      </c>
      <c r="O2189" s="9">
        <v>13.5</v>
      </c>
      <c r="P2189" s="9">
        <v>19.5</v>
      </c>
      <c r="Q2189" s="79">
        <f>VLOOKUP(VLOOKUP(DATEVALUE(TEXT(A2189,"m/d/yyyy")),FY24_Temp[],5,FALSE)&amp;TEXT(A2189,"-h"),Table6[],4,FALSE)</f>
        <v>1.8430000032697404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VLOOKUP(TEXT(A2189,"yy-mm")&amp;"-"&amp;IF(AND(WEEKDAY(A2189)&gt;1,WEEKDAY(A2189)&lt;7),"Wkd",TEXT(A2189,"Ddd"))&amp;"-"&amp;TEXT(A2189,"hh"),LoadTable[],5,FALSE)*0.92</f>
        <v>237.25788000000003</v>
      </c>
      <c r="U2189" s="104">
        <f>VLOOKUP(TEXT(A2189,"yy-mm")&amp;"-"&amp;IF(AND(WEEKDAY(A2189)&gt;1,WEEKDAY(A2189)&lt;7),"Wkd",TEXT(A2189,"Ddd"))&amp;"-"&amp;TEXT(A2189,"hh"),LoadTable[],6,FALSE)*T2189</f>
        <v>11654.581581360002</v>
      </c>
      <c r="V2189">
        <f t="shared" ref="V2189:W2189" si="2332">V2165</f>
        <v>2.8</v>
      </c>
      <c r="W2189">
        <f t="shared" si="2332"/>
        <v>3.2</v>
      </c>
      <c r="X2189" s="9">
        <v>-109.50032816667</v>
      </c>
    </row>
    <row r="2190" spans="1:24">
      <c r="A2190" s="29">
        <f t="shared" si="2323"/>
        <v>45927.124999994696</v>
      </c>
      <c r="B2190" s="30">
        <f t="shared" si="2278"/>
        <v>5000</v>
      </c>
      <c r="C2190" s="8">
        <v>25000</v>
      </c>
      <c r="D2190" s="8">
        <v>0</v>
      </c>
      <c r="E2190" s="8">
        <v>700</v>
      </c>
      <c r="F2190" s="8">
        <v>15000</v>
      </c>
      <c r="G2190" s="30">
        <f t="shared" si="2279"/>
        <v>2400</v>
      </c>
      <c r="H2190" s="8">
        <v>25000</v>
      </c>
      <c r="I2190" s="30">
        <f t="shared" si="2280"/>
        <v>5000</v>
      </c>
      <c r="J2190" s="8">
        <v>25000</v>
      </c>
      <c r="K2190" s="30">
        <f t="shared" si="2281"/>
        <v>5000</v>
      </c>
      <c r="L2190" s="8">
        <v>25000</v>
      </c>
      <c r="M2190" s="9">
        <f>VLOOKUP(DATE(YEAR(A2190),MONTH(A2190),DAY(A2190)),FY24_Temp[],4,FALSE)</f>
        <v>8.9</v>
      </c>
      <c r="N2190" s="9">
        <f>VLOOKUP(DATE(YEAR(A2190),MONTH(A2190),DAY(A2190)),FY24_Temp[],3,FALSE)</f>
        <v>16.8</v>
      </c>
      <c r="O2190" s="9">
        <v>13.5</v>
      </c>
      <c r="P2190" s="9">
        <v>19.5</v>
      </c>
      <c r="Q2190" s="79">
        <f>VLOOKUP(VLOOKUP(DATEVALUE(TEXT(A2190,"m/d/yyyy")),FY24_Temp[],5,FALSE)&amp;TEXT(A2190,"-h"),Table6[],4,FALSE)</f>
        <v>1.7025714431490218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VLOOKUP(TEXT(A2190,"yy-mm")&amp;"-"&amp;IF(AND(WEEKDAY(A2190)&gt;1,WEEKDAY(A2190)&lt;7),"Wkd",TEXT(A2190,"Ddd"))&amp;"-"&amp;TEXT(A2190,"hh"),LoadTable[],5,FALSE)*0.92</f>
        <v>237.25788000000003</v>
      </c>
      <c r="U2190" s="104">
        <f>VLOOKUP(TEXT(A2190,"yy-mm")&amp;"-"&amp;IF(AND(WEEKDAY(A2190)&gt;1,WEEKDAY(A2190)&lt;7),"Wkd",TEXT(A2190,"Ddd"))&amp;"-"&amp;TEXT(A2190,"hh"),LoadTable[],6,FALSE)*T2190</f>
        <v>11699.897836440003</v>
      </c>
      <c r="V2190">
        <f t="shared" ref="V2190:W2190" si="2333">V2166</f>
        <v>2.7</v>
      </c>
      <c r="W2190">
        <f t="shared" si="2333"/>
        <v>3.2</v>
      </c>
      <c r="X2190" s="9">
        <v>-109.57812271666999</v>
      </c>
    </row>
    <row r="2191" spans="1:24">
      <c r="A2191" s="29">
        <f t="shared" si="2323"/>
        <v>45927.16666666136</v>
      </c>
      <c r="B2191" s="30">
        <f t="shared" si="2278"/>
        <v>5000</v>
      </c>
      <c r="C2191" s="8">
        <v>25000</v>
      </c>
      <c r="D2191" s="8">
        <v>0</v>
      </c>
      <c r="E2191" s="8">
        <v>700</v>
      </c>
      <c r="F2191" s="8">
        <v>15000</v>
      </c>
      <c r="G2191" s="30">
        <f t="shared" si="2279"/>
        <v>2400</v>
      </c>
      <c r="H2191" s="8">
        <v>25000</v>
      </c>
      <c r="I2191" s="30">
        <f t="shared" si="2280"/>
        <v>5000</v>
      </c>
      <c r="J2191" s="8">
        <v>25000</v>
      </c>
      <c r="K2191" s="30">
        <f t="shared" si="2281"/>
        <v>5000</v>
      </c>
      <c r="L2191" s="8">
        <v>25000</v>
      </c>
      <c r="M2191" s="9">
        <f>VLOOKUP(DATE(YEAR(A2191),MONTH(A2191),DAY(A2191)),FY24_Temp[],4,FALSE)</f>
        <v>8.9</v>
      </c>
      <c r="N2191" s="9">
        <f>VLOOKUP(DATE(YEAR(A2191),MONTH(A2191),DAY(A2191)),FY24_Temp[],3,FALSE)</f>
        <v>16.8</v>
      </c>
      <c r="O2191" s="9">
        <v>13.5</v>
      </c>
      <c r="P2191" s="9">
        <v>19.5</v>
      </c>
      <c r="Q2191" s="79">
        <f>VLOOKUP(VLOOKUP(DATEVALUE(TEXT(A2191,"m/d/yyyy")),FY24_Temp[],5,FALSE)&amp;TEXT(A2191,"-h"),Table6[],4,FALSE)</f>
        <v>1.5532857179641724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VLOOKUP(TEXT(A2191,"yy-mm")&amp;"-"&amp;IF(AND(WEEKDAY(A2191)&gt;1,WEEKDAY(A2191)&lt;7),"Wkd",TEXT(A2191,"Ddd"))&amp;"-"&amp;TEXT(A2191,"hh"),LoadTable[],5,FALSE)*0.92</f>
        <v>237.25788000000003</v>
      </c>
      <c r="U2191" s="104">
        <f>VLOOKUP(TEXT(A2191,"yy-mm")&amp;"-"&amp;IF(AND(WEEKDAY(A2191)&gt;1,WEEKDAY(A2191)&lt;7),"Wkd",TEXT(A2191,"Ddd"))&amp;"-"&amp;TEXT(A2191,"hh"),LoadTable[],6,FALSE)*T2191</f>
        <v>11587.912117080001</v>
      </c>
      <c r="V2191">
        <f t="shared" ref="V2191:W2191" si="2334">V2167</f>
        <v>3</v>
      </c>
      <c r="W2191">
        <f t="shared" si="2334"/>
        <v>3.1</v>
      </c>
      <c r="X2191" s="9">
        <v>-109.65591726667</v>
      </c>
    </row>
    <row r="2192" spans="1:24">
      <c r="A2192" s="29">
        <f t="shared" si="2323"/>
        <v>45927.208333328024</v>
      </c>
      <c r="B2192" s="30">
        <f t="shared" si="2278"/>
        <v>5000</v>
      </c>
      <c r="C2192" s="8">
        <v>25000</v>
      </c>
      <c r="D2192" s="8">
        <v>0</v>
      </c>
      <c r="E2192" s="8">
        <v>700</v>
      </c>
      <c r="F2192" s="8">
        <v>15000</v>
      </c>
      <c r="G2192" s="30">
        <f t="shared" si="2279"/>
        <v>2400</v>
      </c>
      <c r="H2192" s="8">
        <v>25000</v>
      </c>
      <c r="I2192" s="30">
        <f t="shared" si="2280"/>
        <v>5000</v>
      </c>
      <c r="J2192" s="8">
        <v>25000</v>
      </c>
      <c r="K2192" s="30">
        <f t="shared" si="2281"/>
        <v>5000</v>
      </c>
      <c r="L2192" s="8">
        <v>25000</v>
      </c>
      <c r="M2192" s="9">
        <f>VLOOKUP(DATE(YEAR(A2192),MONTH(A2192),DAY(A2192)),FY24_Temp[],4,FALSE)</f>
        <v>8.9</v>
      </c>
      <c r="N2192" s="9">
        <f>VLOOKUP(DATE(YEAR(A2192),MONTH(A2192),DAY(A2192)),FY24_Temp[],3,FALSE)</f>
        <v>16.8</v>
      </c>
      <c r="O2192" s="9">
        <v>13.5</v>
      </c>
      <c r="P2192" s="9">
        <v>19.5</v>
      </c>
      <c r="Q2192" s="79">
        <f>VLOOKUP(VLOOKUP(DATEVALUE(TEXT(A2192,"m/d/yyyy")),FY24_Temp[],5,FALSE)&amp;TEXT(A2192,"-h"),Table6[],4,FALSE)</f>
        <v>1.4412857123783656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VLOOKUP(TEXT(A2192,"yy-mm")&amp;"-"&amp;IF(AND(WEEKDAY(A2192)&gt;1,WEEKDAY(A2192)&lt;7),"Wkd",TEXT(A2192,"Ddd"))&amp;"-"&amp;TEXT(A2192,"hh"),LoadTable[],5,FALSE)*0.92</f>
        <v>237.25788000000003</v>
      </c>
      <c r="U2192" s="104">
        <f>VLOOKUP(TEXT(A2192,"yy-mm")&amp;"-"&amp;IF(AND(WEEKDAY(A2192)&gt;1,WEEKDAY(A2192)&lt;7),"Wkd",TEXT(A2192,"Ddd"))&amp;"-"&amp;TEXT(A2192,"hh"),LoadTable[],6,FALSE)*T2192</f>
        <v>11830.864186200002</v>
      </c>
      <c r="V2192">
        <f t="shared" ref="V2192:W2192" si="2335">V2168</f>
        <v>2.9</v>
      </c>
      <c r="W2192">
        <f t="shared" si="2335"/>
        <v>3.1</v>
      </c>
      <c r="X2192" s="9">
        <v>-109.73371181667</v>
      </c>
    </row>
    <row r="2193" spans="1:24">
      <c r="A2193" s="29">
        <f t="shared" si="2323"/>
        <v>45927.249999994689</v>
      </c>
      <c r="B2193" s="30">
        <f t="shared" si="2278"/>
        <v>8000</v>
      </c>
      <c r="C2193" s="8">
        <v>25000</v>
      </c>
      <c r="D2193" s="8">
        <v>0</v>
      </c>
      <c r="E2193" s="8">
        <v>700</v>
      </c>
      <c r="F2193" s="8">
        <v>15000</v>
      </c>
      <c r="G2193" s="30">
        <f t="shared" si="2279"/>
        <v>2400</v>
      </c>
      <c r="H2193" s="8">
        <v>25000</v>
      </c>
      <c r="I2193" s="30">
        <f t="shared" si="2280"/>
        <v>8000</v>
      </c>
      <c r="J2193" s="8">
        <v>25000</v>
      </c>
      <c r="K2193" s="30">
        <f t="shared" si="2281"/>
        <v>8000</v>
      </c>
      <c r="L2193" s="8">
        <v>25000</v>
      </c>
      <c r="M2193" s="9">
        <f>VLOOKUP(DATE(YEAR(A2193),MONTH(A2193),DAY(A2193)),FY24_Temp[],4,FALSE)</f>
        <v>8.9</v>
      </c>
      <c r="N2193" s="9">
        <f>VLOOKUP(DATE(YEAR(A2193),MONTH(A2193),DAY(A2193)),FY24_Temp[],3,FALSE)</f>
        <v>16.8</v>
      </c>
      <c r="O2193" s="9">
        <v>13.5</v>
      </c>
      <c r="P2193" s="9">
        <v>19.5</v>
      </c>
      <c r="Q2193" s="79">
        <f>VLOOKUP(VLOOKUP(DATEVALUE(TEXT(A2193,"m/d/yyyy")),FY24_Temp[],5,FALSE)&amp;TEXT(A2193,"-h"),Table6[],4,FALSE)</f>
        <v>1.3392857142857142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VLOOKUP(TEXT(A2193,"yy-mm")&amp;"-"&amp;IF(AND(WEEKDAY(A2193)&gt;1,WEEKDAY(A2193)&lt;7),"Wkd",TEXT(A2193,"Ddd"))&amp;"-"&amp;TEXT(A2193,"hh"),LoadTable[],5,FALSE)*0.92</f>
        <v>237.25788000000003</v>
      </c>
      <c r="U2193" s="104">
        <f>VLOOKUP(TEXT(A2193,"yy-mm")&amp;"-"&amp;IF(AND(WEEKDAY(A2193)&gt;1,WEEKDAY(A2193)&lt;7),"Wkd",TEXT(A2193,"Ddd"))&amp;"-"&amp;TEXT(A2193,"hh"),LoadTable[],6,FALSE)*T2193</f>
        <v>18184.867470480003</v>
      </c>
      <c r="V2193">
        <f t="shared" ref="V2193:W2193" si="2336">V2169</f>
        <v>2.5</v>
      </c>
      <c r="W2193">
        <f t="shared" si="2336"/>
        <v>3.1</v>
      </c>
      <c r="X2193" s="9">
        <v>-109.81150636667</v>
      </c>
    </row>
    <row r="2194" spans="1:24">
      <c r="A2194" s="29">
        <f t="shared" si="2323"/>
        <v>45927.291666661353</v>
      </c>
      <c r="B2194" s="30">
        <f t="shared" si="2278"/>
        <v>8000</v>
      </c>
      <c r="C2194" s="8">
        <v>25000</v>
      </c>
      <c r="D2194" s="8">
        <v>0</v>
      </c>
      <c r="E2194" s="8">
        <v>700</v>
      </c>
      <c r="F2194" s="8">
        <v>15000</v>
      </c>
      <c r="G2194" s="30">
        <f t="shared" si="2279"/>
        <v>2400</v>
      </c>
      <c r="H2194" s="8">
        <v>25000</v>
      </c>
      <c r="I2194" s="30">
        <f t="shared" si="2280"/>
        <v>8000</v>
      </c>
      <c r="J2194" s="8">
        <v>25000</v>
      </c>
      <c r="K2194" s="30">
        <f t="shared" si="2281"/>
        <v>8000</v>
      </c>
      <c r="L2194" s="8">
        <v>25000</v>
      </c>
      <c r="M2194" s="9">
        <f>VLOOKUP(DATE(YEAR(A2194),MONTH(A2194),DAY(A2194)),FY24_Temp[],4,FALSE)</f>
        <v>8.9</v>
      </c>
      <c r="N2194" s="9">
        <f>VLOOKUP(DATE(YEAR(A2194),MONTH(A2194),DAY(A2194)),FY24_Temp[],3,FALSE)</f>
        <v>16.8</v>
      </c>
      <c r="O2194" s="9">
        <v>13.5</v>
      </c>
      <c r="P2194" s="9">
        <v>19.5</v>
      </c>
      <c r="Q2194" s="79">
        <f>VLOOKUP(VLOOKUP(DATEVALUE(TEXT(A2194,"m/d/yyyy")),FY24_Temp[],5,FALSE)&amp;TEXT(A2194,"-h"),Table6[],4,FALSE)</f>
        <v>1.180142845426287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VLOOKUP(TEXT(A2194,"yy-mm")&amp;"-"&amp;IF(AND(WEEKDAY(A2194)&gt;1,WEEKDAY(A2194)&lt;7),"Wkd",TEXT(A2194,"Ddd"))&amp;"-"&amp;TEXT(A2194,"hh"),LoadTable[],5,FALSE)*0.92</f>
        <v>237.25788000000003</v>
      </c>
      <c r="U2194" s="104">
        <f>VLOOKUP(TEXT(A2194,"yy-mm")&amp;"-"&amp;IF(AND(WEEKDAY(A2194)&gt;1,WEEKDAY(A2194)&lt;7),"Wkd",TEXT(A2194,"Ddd"))&amp;"-"&amp;TEXT(A2194,"hh"),LoadTable[],6,FALSE)*T2194</f>
        <v>16549.448903640001</v>
      </c>
      <c r="V2194">
        <f t="shared" ref="V2194:W2194" si="2337">V2170</f>
        <v>2.5</v>
      </c>
      <c r="W2194">
        <f t="shared" si="2337"/>
        <v>3.1</v>
      </c>
      <c r="X2194" s="9">
        <v>-109.88930091667</v>
      </c>
    </row>
    <row r="2195" spans="1:24">
      <c r="A2195" s="29">
        <f t="shared" si="2323"/>
        <v>45927.333333328017</v>
      </c>
      <c r="B2195" s="30">
        <f t="shared" si="2278"/>
        <v>8000</v>
      </c>
      <c r="C2195" s="8">
        <v>25000</v>
      </c>
      <c r="D2195" s="8">
        <v>0</v>
      </c>
      <c r="E2195" s="8">
        <v>700</v>
      </c>
      <c r="F2195" s="8">
        <v>15000</v>
      </c>
      <c r="G2195" s="30">
        <f t="shared" si="2279"/>
        <v>2400</v>
      </c>
      <c r="H2195" s="8">
        <v>25000</v>
      </c>
      <c r="I2195" s="30">
        <f t="shared" si="2280"/>
        <v>8000</v>
      </c>
      <c r="J2195" s="8">
        <v>25000</v>
      </c>
      <c r="K2195" s="30">
        <f t="shared" si="2281"/>
        <v>8000</v>
      </c>
      <c r="L2195" s="8">
        <v>25000</v>
      </c>
      <c r="M2195" s="9">
        <f>VLOOKUP(DATE(YEAR(A2195),MONTH(A2195),DAY(A2195)),FY24_Temp[],4,FALSE)</f>
        <v>8.9</v>
      </c>
      <c r="N2195" s="9">
        <f>VLOOKUP(DATE(YEAR(A2195),MONTH(A2195),DAY(A2195)),FY24_Temp[],3,FALSE)</f>
        <v>16.8</v>
      </c>
      <c r="O2195" s="9">
        <v>13.5</v>
      </c>
      <c r="P2195" s="9">
        <v>19.5</v>
      </c>
      <c r="Q2195" s="79">
        <f>VLOOKUP(VLOOKUP(DATEVALUE(TEXT(A2195,"m/d/yyyy")),FY24_Temp[],5,FALSE)&amp;TEXT(A2195,"-h"),Table6[],4,FALSE)</f>
        <v>1.1274285657065255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VLOOKUP(TEXT(A2195,"yy-mm")&amp;"-"&amp;IF(AND(WEEKDAY(A2195)&gt;1,WEEKDAY(A2195)&lt;7),"Wkd",TEXT(A2195,"Ddd"))&amp;"-"&amp;TEXT(A2195,"hh"),LoadTable[],5,FALSE)*0.92</f>
        <v>237.25788000000003</v>
      </c>
      <c r="U2195" s="104">
        <f>VLOOKUP(TEXT(A2195,"yy-mm")&amp;"-"&amp;IF(AND(WEEKDAY(A2195)&gt;1,WEEKDAY(A2195)&lt;7),"Wkd",TEXT(A2195,"Ddd"))&amp;"-"&amp;TEXT(A2195,"hh"),LoadTable[],6,FALSE)*T2195</f>
        <v>13996.31685696</v>
      </c>
      <c r="V2195">
        <f t="shared" ref="V2195:W2195" si="2338">V2171</f>
        <v>3.2</v>
      </c>
      <c r="W2195">
        <f t="shared" si="2338"/>
        <v>3</v>
      </c>
      <c r="X2195" s="9">
        <v>-109.96709546667</v>
      </c>
    </row>
    <row r="2196" spans="1:24">
      <c r="A2196" s="29">
        <f t="shared" si="2323"/>
        <v>45927.374999994681</v>
      </c>
      <c r="B2196" s="30">
        <f t="shared" si="2278"/>
        <v>8000</v>
      </c>
      <c r="C2196" s="8">
        <v>25000</v>
      </c>
      <c r="D2196" s="8">
        <v>0</v>
      </c>
      <c r="E2196" s="8">
        <v>700</v>
      </c>
      <c r="F2196" s="8">
        <v>15000</v>
      </c>
      <c r="G2196" s="30">
        <f t="shared" si="2279"/>
        <v>2400</v>
      </c>
      <c r="H2196" s="8">
        <v>25000</v>
      </c>
      <c r="I2196" s="30">
        <f t="shared" si="2280"/>
        <v>8000</v>
      </c>
      <c r="J2196" s="8">
        <v>25000</v>
      </c>
      <c r="K2196" s="30">
        <f t="shared" si="2281"/>
        <v>8000</v>
      </c>
      <c r="L2196" s="8">
        <v>25000</v>
      </c>
      <c r="M2196" s="9">
        <f>VLOOKUP(DATE(YEAR(A2196),MONTH(A2196),DAY(A2196)),FY24_Temp[],4,FALSE)</f>
        <v>8.9</v>
      </c>
      <c r="N2196" s="9">
        <f>VLOOKUP(DATE(YEAR(A2196),MONTH(A2196),DAY(A2196)),FY24_Temp[],3,FALSE)</f>
        <v>16.8</v>
      </c>
      <c r="O2196" s="9">
        <v>13.5</v>
      </c>
      <c r="P2196" s="9">
        <v>19.5</v>
      </c>
      <c r="Q2196" s="79">
        <f>VLOOKUP(VLOOKUP(DATEVALUE(TEXT(A2196,"m/d/yyyy")),FY24_Temp[],5,FALSE)&amp;TEXT(A2196,"-h"),Table6[],4,FALSE)</f>
        <v>0.99485715797969276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VLOOKUP(TEXT(A2196,"yy-mm")&amp;"-"&amp;IF(AND(WEEKDAY(A2196)&gt;1,WEEKDAY(A2196)&lt;7),"Wkd",TEXT(A2196,"Ddd"))&amp;"-"&amp;TEXT(A2196,"hh"),LoadTable[],5,FALSE)*0.92</f>
        <v>237.25788000000003</v>
      </c>
      <c r="U2196" s="104">
        <f>VLOOKUP(TEXT(A2196,"yy-mm")&amp;"-"&amp;IF(AND(WEEKDAY(A2196)&gt;1,WEEKDAY(A2196)&lt;7),"Wkd",TEXT(A2196,"Ddd"))&amp;"-"&amp;TEXT(A2196,"hh"),LoadTable[],6,FALSE)*T2196</f>
        <v>11301.541855920001</v>
      </c>
      <c r="V2196">
        <f t="shared" ref="V2196:W2196" si="2339">V2172</f>
        <v>2.9</v>
      </c>
      <c r="W2196">
        <f t="shared" si="2339"/>
        <v>3</v>
      </c>
      <c r="X2196" s="9">
        <v>-110.04489001667</v>
      </c>
    </row>
    <row r="2197" spans="1:24">
      <c r="A2197" s="29">
        <f t="shared" si="2323"/>
        <v>45927.416666661346</v>
      </c>
      <c r="B2197" s="30">
        <f t="shared" si="2278"/>
        <v>8000</v>
      </c>
      <c r="C2197" s="8">
        <v>25000</v>
      </c>
      <c r="D2197" s="8">
        <v>0</v>
      </c>
      <c r="E2197" s="8">
        <v>700</v>
      </c>
      <c r="F2197" s="8">
        <v>15000</v>
      </c>
      <c r="G2197" s="30">
        <f t="shared" si="2279"/>
        <v>2400</v>
      </c>
      <c r="H2197" s="8">
        <v>25000</v>
      </c>
      <c r="I2197" s="30">
        <f t="shared" si="2280"/>
        <v>8000</v>
      </c>
      <c r="J2197" s="8">
        <v>25000</v>
      </c>
      <c r="K2197" s="30">
        <f t="shared" si="2281"/>
        <v>8000</v>
      </c>
      <c r="L2197" s="8">
        <v>25000</v>
      </c>
      <c r="M2197" s="9">
        <f>VLOOKUP(DATE(YEAR(A2197),MONTH(A2197),DAY(A2197)),FY24_Temp[],4,FALSE)</f>
        <v>8.9</v>
      </c>
      <c r="N2197" s="9">
        <f>VLOOKUP(DATE(YEAR(A2197),MONTH(A2197),DAY(A2197)),FY24_Temp[],3,FALSE)</f>
        <v>16.8</v>
      </c>
      <c r="O2197" s="9">
        <v>13.5</v>
      </c>
      <c r="P2197" s="9">
        <v>19.5</v>
      </c>
      <c r="Q2197" s="79">
        <f>VLOOKUP(VLOOKUP(DATEVALUE(TEXT(A2197,"m/d/yyyy")),FY24_Temp[],5,FALSE)&amp;TEXT(A2197,"-h"),Table6[],4,FALSE)</f>
        <v>0.87171429395675659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VLOOKUP(TEXT(A2197,"yy-mm")&amp;"-"&amp;IF(AND(WEEKDAY(A2197)&gt;1,WEEKDAY(A2197)&lt;7),"Wkd",TEXT(A2197,"Ddd"))&amp;"-"&amp;TEXT(A2197,"hh"),LoadTable[],5,FALSE)*0.92</f>
        <v>237.25788000000003</v>
      </c>
      <c r="U2197" s="104">
        <f>VLOOKUP(TEXT(A2197,"yy-mm")&amp;"-"&amp;IF(AND(WEEKDAY(A2197)&gt;1,WEEKDAY(A2197)&lt;7),"Wkd",TEXT(A2197,"Ddd"))&amp;"-"&amp;TEXT(A2197,"hh"),LoadTable[],6,FALSE)*T2197</f>
        <v>10977.684849720001</v>
      </c>
      <c r="V2197">
        <f t="shared" ref="V2197:W2197" si="2340">V2173</f>
        <v>2.9</v>
      </c>
      <c r="W2197">
        <f t="shared" si="2340"/>
        <v>3</v>
      </c>
      <c r="X2197" s="9">
        <v>-110.12268456667</v>
      </c>
    </row>
    <row r="2198" spans="1:24">
      <c r="A2198" s="29">
        <f t="shared" si="2323"/>
        <v>45927.45833332801</v>
      </c>
      <c r="B2198" s="30">
        <f t="shared" si="2278"/>
        <v>8000</v>
      </c>
      <c r="C2198" s="8">
        <v>25000</v>
      </c>
      <c r="D2198" s="8">
        <v>0</v>
      </c>
      <c r="E2198" s="8">
        <v>700</v>
      </c>
      <c r="F2198" s="8">
        <v>15000</v>
      </c>
      <c r="G2198" s="30">
        <f t="shared" si="2279"/>
        <v>2400</v>
      </c>
      <c r="H2198" s="8">
        <v>25000</v>
      </c>
      <c r="I2198" s="30">
        <f t="shared" si="2280"/>
        <v>8000</v>
      </c>
      <c r="J2198" s="8">
        <v>25000</v>
      </c>
      <c r="K2198" s="30">
        <f t="shared" si="2281"/>
        <v>8000</v>
      </c>
      <c r="L2198" s="8">
        <v>25000</v>
      </c>
      <c r="M2198" s="9">
        <f>VLOOKUP(DATE(YEAR(A2198),MONTH(A2198),DAY(A2198)),FY24_Temp[],4,FALSE)</f>
        <v>8.9</v>
      </c>
      <c r="N2198" s="9">
        <f>VLOOKUP(DATE(YEAR(A2198),MONTH(A2198),DAY(A2198)),FY24_Temp[],3,FALSE)</f>
        <v>16.8</v>
      </c>
      <c r="O2198" s="9">
        <v>13.5</v>
      </c>
      <c r="P2198" s="9">
        <v>19.5</v>
      </c>
      <c r="Q2198" s="79">
        <f>VLOOKUP(VLOOKUP(DATEVALUE(TEXT(A2198,"m/d/yyyy")),FY24_Temp[],5,FALSE)&amp;TEXT(A2198,"-h"),Table6[],4,FALSE)</f>
        <v>0.77757143974304199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VLOOKUP(TEXT(A2198,"yy-mm")&amp;"-"&amp;IF(AND(WEEKDAY(A2198)&gt;1,WEEKDAY(A2198)&lt;7),"Wkd",TEXT(A2198,"Ddd"))&amp;"-"&amp;TEXT(A2198,"hh"),LoadTable[],5,FALSE)*0.92</f>
        <v>237.25788000000003</v>
      </c>
      <c r="U2198" s="104">
        <f>VLOOKUP(TEXT(A2198,"yy-mm")&amp;"-"&amp;IF(AND(WEEKDAY(A2198)&gt;1,WEEKDAY(A2198)&lt;7),"Wkd",TEXT(A2198,"Ddd"))&amp;"-"&amp;TEXT(A2198,"hh"),LoadTable[],6,FALSE)*T2198</f>
        <v>10946.841325320001</v>
      </c>
      <c r="V2198">
        <f t="shared" ref="V2198:W2198" si="2341">V2174</f>
        <v>3.4</v>
      </c>
      <c r="W2198">
        <f t="shared" si="2341"/>
        <v>3</v>
      </c>
      <c r="X2198" s="9">
        <v>-110.20047911667</v>
      </c>
    </row>
    <row r="2199" spans="1:24">
      <c r="A2199" s="29">
        <f t="shared" si="2323"/>
        <v>45927.499999994674</v>
      </c>
      <c r="B2199" s="30">
        <f t="shared" si="2278"/>
        <v>8000</v>
      </c>
      <c r="C2199" s="8">
        <v>25000</v>
      </c>
      <c r="D2199" s="8">
        <v>0</v>
      </c>
      <c r="E2199" s="8">
        <v>700</v>
      </c>
      <c r="F2199" s="8">
        <v>15000</v>
      </c>
      <c r="G2199" s="30">
        <f t="shared" si="2279"/>
        <v>2400</v>
      </c>
      <c r="H2199" s="8">
        <v>25000</v>
      </c>
      <c r="I2199" s="30">
        <f t="shared" si="2280"/>
        <v>8000</v>
      </c>
      <c r="J2199" s="8">
        <v>25000</v>
      </c>
      <c r="K2199" s="30">
        <f t="shared" si="2281"/>
        <v>8000</v>
      </c>
      <c r="L2199" s="8">
        <v>25000</v>
      </c>
      <c r="M2199" s="9">
        <f>VLOOKUP(DATE(YEAR(A2199),MONTH(A2199),DAY(A2199)),FY24_Temp[],4,FALSE)</f>
        <v>8.9</v>
      </c>
      <c r="N2199" s="9">
        <f>VLOOKUP(DATE(YEAR(A2199),MONTH(A2199),DAY(A2199)),FY24_Temp[],3,FALSE)</f>
        <v>16.8</v>
      </c>
      <c r="O2199" s="9">
        <v>13.5</v>
      </c>
      <c r="P2199" s="9">
        <v>19.5</v>
      </c>
      <c r="Q2199" s="79">
        <f>VLOOKUP(VLOOKUP(DATEVALUE(TEXT(A2199,"m/d/yyyy")),FY24_Temp[],5,FALSE)&amp;TEXT(A2199,"-h"),Table6[],4,FALSE)</f>
        <v>0.64328571728297645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VLOOKUP(TEXT(A2199,"yy-mm")&amp;"-"&amp;IF(AND(WEEKDAY(A2199)&gt;1,WEEKDAY(A2199)&lt;7),"Wkd",TEXT(A2199,"Ddd"))&amp;"-"&amp;TEXT(A2199,"hh"),LoadTable[],5,FALSE)*0.92</f>
        <v>237.25788000000003</v>
      </c>
      <c r="U2199" s="104">
        <f>VLOOKUP(TEXT(A2199,"yy-mm")&amp;"-"&amp;IF(AND(WEEKDAY(A2199)&gt;1,WEEKDAY(A2199)&lt;7),"Wkd",TEXT(A2199,"Ddd"))&amp;"-"&amp;TEXT(A2199,"hh"),LoadTable[],6,FALSE)*T2199</f>
        <v>10940.198104680001</v>
      </c>
      <c r="V2199">
        <f t="shared" ref="V2199:W2199" si="2342">V2175</f>
        <v>3.1</v>
      </c>
      <c r="W2199">
        <f t="shared" si="2342"/>
        <v>2.9</v>
      </c>
      <c r="X2199" s="9">
        <v>-110.27827366667</v>
      </c>
    </row>
    <row r="2200" spans="1:24">
      <c r="A2200" s="29">
        <f t="shared" si="2323"/>
        <v>45927.541666661338</v>
      </c>
      <c r="B2200" s="30">
        <f t="shared" si="2278"/>
        <v>8000</v>
      </c>
      <c r="C2200" s="8">
        <v>25000</v>
      </c>
      <c r="D2200" s="8">
        <v>0</v>
      </c>
      <c r="E2200" s="8">
        <v>700</v>
      </c>
      <c r="F2200" s="8">
        <v>15000</v>
      </c>
      <c r="G2200" s="30">
        <f t="shared" si="2279"/>
        <v>2400</v>
      </c>
      <c r="H2200" s="8">
        <v>25000</v>
      </c>
      <c r="I2200" s="30">
        <f t="shared" si="2280"/>
        <v>8000</v>
      </c>
      <c r="J2200" s="8">
        <v>25000</v>
      </c>
      <c r="K2200" s="30">
        <f t="shared" si="2281"/>
        <v>8000</v>
      </c>
      <c r="L2200" s="8">
        <v>25000</v>
      </c>
      <c r="M2200" s="9">
        <f>VLOOKUP(DATE(YEAR(A2200),MONTH(A2200),DAY(A2200)),FY24_Temp[],4,FALSE)</f>
        <v>8.9</v>
      </c>
      <c r="N2200" s="9">
        <f>VLOOKUP(DATE(YEAR(A2200),MONTH(A2200),DAY(A2200)),FY24_Temp[],3,FALSE)</f>
        <v>16.8</v>
      </c>
      <c r="O2200" s="9">
        <v>13.5</v>
      </c>
      <c r="P2200" s="9">
        <v>19.5</v>
      </c>
      <c r="Q2200" s="79">
        <f>VLOOKUP(VLOOKUP(DATEVALUE(TEXT(A2200,"m/d/yyyy")),FY24_Temp[],5,FALSE)&amp;TEXT(A2200,"-h"),Table6[],4,FALSE)</f>
        <v>0.51885714275496342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VLOOKUP(TEXT(A2200,"yy-mm")&amp;"-"&amp;IF(AND(WEEKDAY(A2200)&gt;1,WEEKDAY(A2200)&lt;7),"Wkd",TEXT(A2200,"Ddd"))&amp;"-"&amp;TEXT(A2200,"hh"),LoadTable[],5,FALSE)*0.92</f>
        <v>237.25788000000003</v>
      </c>
      <c r="U2200" s="104">
        <f>VLOOKUP(TEXT(A2200,"yy-mm")&amp;"-"&amp;IF(AND(WEEKDAY(A2200)&gt;1,WEEKDAY(A2200)&lt;7),"Wkd",TEXT(A2200,"Ddd"))&amp;"-"&amp;TEXT(A2200,"hh"),LoadTable[],6,FALSE)*T2200</f>
        <v>10959.890508720002</v>
      </c>
      <c r="V2200">
        <f t="shared" ref="V2200:W2200" si="2343">V2176</f>
        <v>3.2</v>
      </c>
      <c r="W2200">
        <f t="shared" si="2343"/>
        <v>2.9</v>
      </c>
      <c r="X2200" s="9">
        <v>-110.35606821667</v>
      </c>
    </row>
    <row r="2201" spans="1:24">
      <c r="A2201" s="29">
        <f t="shared" si="2323"/>
        <v>45927.583333328002</v>
      </c>
      <c r="B2201" s="30">
        <f t="shared" si="2278"/>
        <v>8000</v>
      </c>
      <c r="C2201" s="8">
        <v>25000</v>
      </c>
      <c r="D2201" s="8">
        <v>0</v>
      </c>
      <c r="E2201" s="8">
        <v>700</v>
      </c>
      <c r="F2201" s="8">
        <v>15000</v>
      </c>
      <c r="G2201" s="30">
        <f t="shared" si="2279"/>
        <v>2400</v>
      </c>
      <c r="H2201" s="8">
        <v>25000</v>
      </c>
      <c r="I2201" s="30">
        <f t="shared" si="2280"/>
        <v>8000</v>
      </c>
      <c r="J2201" s="8">
        <v>25000</v>
      </c>
      <c r="K2201" s="30">
        <f t="shared" si="2281"/>
        <v>8000</v>
      </c>
      <c r="L2201" s="8">
        <v>25000</v>
      </c>
      <c r="M2201" s="9">
        <f>VLOOKUP(DATE(YEAR(A2201),MONTH(A2201),DAY(A2201)),FY24_Temp[],4,FALSE)</f>
        <v>8.9</v>
      </c>
      <c r="N2201" s="9">
        <f>VLOOKUP(DATE(YEAR(A2201),MONTH(A2201),DAY(A2201)),FY24_Temp[],3,FALSE)</f>
        <v>16.8</v>
      </c>
      <c r="O2201" s="9">
        <v>13.5</v>
      </c>
      <c r="P2201" s="9">
        <v>19.5</v>
      </c>
      <c r="Q2201" s="79">
        <f>VLOOKUP(VLOOKUP(DATEVALUE(TEXT(A2201,"m/d/yyyy")),FY24_Temp[],5,FALSE)&amp;TEXT(A2201,"-h"),Table6[],4,FALSE)</f>
        <v>0.4115714303084782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VLOOKUP(TEXT(A2201,"yy-mm")&amp;"-"&amp;IF(AND(WEEKDAY(A2201)&gt;1,WEEKDAY(A2201)&lt;7),"Wkd",TEXT(A2201,"Ddd"))&amp;"-"&amp;TEXT(A2201,"hh"),LoadTable[],5,FALSE)*0.92</f>
        <v>237.25788000000003</v>
      </c>
      <c r="U2201" s="104">
        <f>VLOOKUP(TEXT(A2201,"yy-mm")&amp;"-"&amp;IF(AND(WEEKDAY(A2201)&gt;1,WEEKDAY(A2201)&lt;7),"Wkd",TEXT(A2201,"Ddd"))&amp;"-"&amp;TEXT(A2201,"hh"),LoadTable[],6,FALSE)*T2201</f>
        <v>10973.888723640001</v>
      </c>
      <c r="V2201">
        <f t="shared" ref="V2201:W2201" si="2344">V2177</f>
        <v>3.5</v>
      </c>
      <c r="W2201">
        <f t="shared" si="2344"/>
        <v>2.9</v>
      </c>
      <c r="X2201" s="9">
        <v>-110.43386276667</v>
      </c>
    </row>
    <row r="2202" spans="1:24">
      <c r="A2202" s="29">
        <f t="shared" si="2323"/>
        <v>45927.624999994667</v>
      </c>
      <c r="B2202" s="30">
        <f t="shared" si="2278"/>
        <v>8000</v>
      </c>
      <c r="C2202" s="8">
        <v>25000</v>
      </c>
      <c r="D2202" s="8">
        <v>0</v>
      </c>
      <c r="E2202" s="8">
        <v>700</v>
      </c>
      <c r="F2202" s="8">
        <v>15000</v>
      </c>
      <c r="G2202" s="30">
        <f t="shared" si="2279"/>
        <v>2400</v>
      </c>
      <c r="H2202" s="8">
        <v>25000</v>
      </c>
      <c r="I2202" s="30">
        <f t="shared" si="2280"/>
        <v>8000</v>
      </c>
      <c r="J2202" s="8">
        <v>25000</v>
      </c>
      <c r="K2202" s="30">
        <f t="shared" si="2281"/>
        <v>8000</v>
      </c>
      <c r="L2202" s="8">
        <v>25000</v>
      </c>
      <c r="M2202" s="9">
        <f>VLOOKUP(DATE(YEAR(A2202),MONTH(A2202),DAY(A2202)),FY24_Temp[],4,FALSE)</f>
        <v>8.9</v>
      </c>
      <c r="N2202" s="9">
        <f>VLOOKUP(DATE(YEAR(A2202),MONTH(A2202),DAY(A2202)),FY24_Temp[],3,FALSE)</f>
        <v>16.8</v>
      </c>
      <c r="O2202" s="9">
        <v>13.5</v>
      </c>
      <c r="P2202" s="9">
        <v>19.5</v>
      </c>
      <c r="Q2202" s="79">
        <f>VLOOKUP(VLOOKUP(DATEVALUE(TEXT(A2202,"m/d/yyyy")),FY24_Temp[],5,FALSE)&amp;TEXT(A2202,"-h"),Table6[],4,FALSE)</f>
        <v>0.39228571312768118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VLOOKUP(TEXT(A2202,"yy-mm")&amp;"-"&amp;IF(AND(WEEKDAY(A2202)&gt;1,WEEKDAY(A2202)&lt;7),"Wkd",TEXT(A2202,"Ddd"))&amp;"-"&amp;TEXT(A2202,"hh"),LoadTable[],5,FALSE)*0.92</f>
        <v>355.88728000000003</v>
      </c>
      <c r="U2202" s="104">
        <f>VLOOKUP(TEXT(A2202,"yy-mm")&amp;"-"&amp;IF(AND(WEEKDAY(A2202)&gt;1,WEEKDAY(A2202)&lt;7),"Wkd",TEXT(A2202,"Ddd"))&amp;"-"&amp;TEXT(A2202,"hh"),LoadTable[],6,FALSE)*T2202</f>
        <v>17275.124458480001</v>
      </c>
      <c r="V2202">
        <f t="shared" ref="V2202:W2202" si="2345">V2178</f>
        <v>3.2</v>
      </c>
      <c r="W2202">
        <f t="shared" si="2345"/>
        <v>2.9</v>
      </c>
      <c r="X2202" s="9">
        <v>-110.51165731667</v>
      </c>
    </row>
    <row r="2203" spans="1:24">
      <c r="A2203" s="29">
        <f t="shared" si="2323"/>
        <v>45927.666666661331</v>
      </c>
      <c r="B2203" s="30">
        <f t="shared" si="2278"/>
        <v>8000</v>
      </c>
      <c r="C2203" s="8">
        <v>25000</v>
      </c>
      <c r="D2203" s="8">
        <v>0</v>
      </c>
      <c r="E2203" s="8">
        <v>700</v>
      </c>
      <c r="F2203" s="8">
        <v>15000</v>
      </c>
      <c r="G2203" s="30">
        <f t="shared" si="2279"/>
        <v>2400</v>
      </c>
      <c r="H2203" s="8">
        <v>25000</v>
      </c>
      <c r="I2203" s="30">
        <f t="shared" si="2280"/>
        <v>8000</v>
      </c>
      <c r="J2203" s="8">
        <v>25000</v>
      </c>
      <c r="K2203" s="30">
        <f t="shared" si="2281"/>
        <v>8000</v>
      </c>
      <c r="L2203" s="8">
        <v>25000</v>
      </c>
      <c r="M2203" s="9">
        <f>VLOOKUP(DATE(YEAR(A2203),MONTH(A2203),DAY(A2203)),FY24_Temp[],4,FALSE)</f>
        <v>8.9</v>
      </c>
      <c r="N2203" s="9">
        <f>VLOOKUP(DATE(YEAR(A2203),MONTH(A2203),DAY(A2203)),FY24_Temp[],3,FALSE)</f>
        <v>16.8</v>
      </c>
      <c r="O2203" s="9">
        <v>13.5</v>
      </c>
      <c r="P2203" s="9">
        <v>19.5</v>
      </c>
      <c r="Q2203" s="79">
        <f>VLOOKUP(VLOOKUP(DATEVALUE(TEXT(A2203,"m/d/yyyy")),FY24_Temp[],5,FALSE)&amp;TEXT(A2203,"-h"),Table6[],4,FALSE)</f>
        <v>0.64628571271896362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VLOOKUP(TEXT(A2203,"yy-mm")&amp;"-"&amp;IF(AND(WEEKDAY(A2203)&gt;1,WEEKDAY(A2203)&lt;7),"Wkd",TEXT(A2203,"Ddd"))&amp;"-"&amp;TEXT(A2203,"hh"),LoadTable[],5,FALSE)*0.92</f>
        <v>388.38076000000001</v>
      </c>
      <c r="U2203" s="104">
        <f>VLOOKUP(TEXT(A2203,"yy-mm")&amp;"-"&amp;IF(AND(WEEKDAY(A2203)&gt;1,WEEKDAY(A2203)&lt;7),"Wkd",TEXT(A2203,"Ddd"))&amp;"-"&amp;TEXT(A2203,"hh"),LoadTable[],6,FALSE)*T2203</f>
        <v>22148.966362040002</v>
      </c>
      <c r="V2203">
        <f t="shared" ref="V2203:W2203" si="2346">V2179</f>
        <v>3.5</v>
      </c>
      <c r="W2203">
        <f t="shared" si="2346"/>
        <v>3</v>
      </c>
      <c r="X2203" s="9">
        <v>-110.58945186667</v>
      </c>
    </row>
    <row r="2204" spans="1:24">
      <c r="A2204" s="29">
        <f t="shared" si="2323"/>
        <v>45927.708333327995</v>
      </c>
      <c r="B2204" s="30">
        <f t="shared" ref="B2204:B2267" si="2347">B2180</f>
        <v>8000</v>
      </c>
      <c r="C2204" s="8">
        <v>25000</v>
      </c>
      <c r="D2204" s="8">
        <v>0</v>
      </c>
      <c r="E2204" s="8">
        <v>700</v>
      </c>
      <c r="F2204" s="8">
        <v>15000</v>
      </c>
      <c r="G2204" s="30">
        <f t="shared" ref="G2204:G2267" si="2348">G2180</f>
        <v>2400</v>
      </c>
      <c r="H2204" s="8">
        <v>25000</v>
      </c>
      <c r="I2204" s="30">
        <f t="shared" ref="I2204:I2267" si="2349">I2180</f>
        <v>8000</v>
      </c>
      <c r="J2204" s="8">
        <v>25000</v>
      </c>
      <c r="K2204" s="30">
        <f t="shared" ref="K2204:K2267" si="2350">K2180</f>
        <v>8000</v>
      </c>
      <c r="L2204" s="8">
        <v>25000</v>
      </c>
      <c r="M2204" s="9">
        <f>VLOOKUP(DATE(YEAR(A2204),MONTH(A2204),DAY(A2204)),FY24_Temp[],4,FALSE)</f>
        <v>8.9</v>
      </c>
      <c r="N2204" s="9">
        <f>VLOOKUP(DATE(YEAR(A2204),MONTH(A2204),DAY(A2204)),FY24_Temp[],3,FALSE)</f>
        <v>16.8</v>
      </c>
      <c r="O2204" s="9">
        <v>13.5</v>
      </c>
      <c r="P2204" s="9">
        <v>19.5</v>
      </c>
      <c r="Q2204" s="79">
        <f>VLOOKUP(VLOOKUP(DATEVALUE(TEXT(A2204,"m/d/yyyy")),FY24_Temp[],5,FALSE)&amp;TEXT(A2204,"-h"),Table6[],4,FALSE)</f>
        <v>1.0399999873978751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VLOOKUP(TEXT(A2204,"yy-mm")&amp;"-"&amp;IF(AND(WEEKDAY(A2204)&gt;1,WEEKDAY(A2204)&lt;7),"Wkd",TEXT(A2204,"Ddd"))&amp;"-"&amp;TEXT(A2204,"hh"),LoadTable[],5,FALSE)*0.92</f>
        <v>388.38076000000001</v>
      </c>
      <c r="U2204" s="104">
        <f>VLOOKUP(TEXT(A2204,"yy-mm")&amp;"-"&amp;IF(AND(WEEKDAY(A2204)&gt;1,WEEKDAY(A2204)&lt;7),"Wkd",TEXT(A2204,"Ddd"))&amp;"-"&amp;TEXT(A2204,"hh"),LoadTable[],6,FALSE)*T2204</f>
        <v>30057.95215868</v>
      </c>
      <c r="V2204">
        <f t="shared" ref="V2204:W2204" si="2351">V2180</f>
        <v>3.6</v>
      </c>
      <c r="W2204">
        <f t="shared" si="2351"/>
        <v>3</v>
      </c>
      <c r="X2204" s="9">
        <v>-110.66724641667</v>
      </c>
    </row>
    <row r="2205" spans="1:24">
      <c r="A2205" s="29">
        <f t="shared" si="2323"/>
        <v>45927.749999994659</v>
      </c>
      <c r="B2205" s="30">
        <f t="shared" si="2347"/>
        <v>5000</v>
      </c>
      <c r="C2205" s="8">
        <v>25000</v>
      </c>
      <c r="D2205" s="8">
        <v>0</v>
      </c>
      <c r="E2205" s="8">
        <v>700</v>
      </c>
      <c r="F2205" s="8">
        <v>15000</v>
      </c>
      <c r="G2205" s="30">
        <f t="shared" si="2348"/>
        <v>2400</v>
      </c>
      <c r="H2205" s="8">
        <v>25000</v>
      </c>
      <c r="I2205" s="30">
        <f t="shared" si="2349"/>
        <v>5000</v>
      </c>
      <c r="J2205" s="8">
        <v>25000</v>
      </c>
      <c r="K2205" s="30">
        <f t="shared" si="2350"/>
        <v>5000</v>
      </c>
      <c r="L2205" s="8">
        <v>25000</v>
      </c>
      <c r="M2205" s="9">
        <f>VLOOKUP(DATE(YEAR(A2205),MONTH(A2205),DAY(A2205)),FY24_Temp[],4,FALSE)</f>
        <v>8.9</v>
      </c>
      <c r="N2205" s="9">
        <f>VLOOKUP(DATE(YEAR(A2205),MONTH(A2205),DAY(A2205)),FY24_Temp[],3,FALSE)</f>
        <v>16.8</v>
      </c>
      <c r="O2205" s="9">
        <v>13.5</v>
      </c>
      <c r="P2205" s="9">
        <v>19.5</v>
      </c>
      <c r="Q2205" s="79">
        <f>VLOOKUP(VLOOKUP(DATEVALUE(TEXT(A2205,"m/d/yyyy")),FY24_Temp[],5,FALSE)&amp;TEXT(A2205,"-h"),Table6[],4,FALSE)</f>
        <v>1.47700001512255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VLOOKUP(TEXT(A2205,"yy-mm")&amp;"-"&amp;IF(AND(WEEKDAY(A2205)&gt;1,WEEKDAY(A2205)&lt;7),"Wkd",TEXT(A2205,"Ddd"))&amp;"-"&amp;TEXT(A2205,"hh"),LoadTable[],5,FALSE)*0.92</f>
        <v>388.38076000000001</v>
      </c>
      <c r="U2205" s="104">
        <f>VLOOKUP(TEXT(A2205,"yy-mm")&amp;"-"&amp;IF(AND(WEEKDAY(A2205)&gt;1,WEEKDAY(A2205)&lt;7),"Wkd",TEXT(A2205,"Ddd"))&amp;"-"&amp;TEXT(A2205,"hh"),LoadTable[],6,FALSE)*T2205</f>
        <v>40442.476919560002</v>
      </c>
      <c r="V2205">
        <f t="shared" ref="V2205:W2205" si="2352">V2181</f>
        <v>2.9</v>
      </c>
      <c r="W2205">
        <f t="shared" si="2352"/>
        <v>3</v>
      </c>
      <c r="X2205" s="9">
        <v>-110.74504096667</v>
      </c>
    </row>
    <row r="2206" spans="1:24">
      <c r="A2206" s="29">
        <f t="shared" si="2323"/>
        <v>45927.791666661324</v>
      </c>
      <c r="B2206" s="30">
        <f t="shared" si="2347"/>
        <v>5000</v>
      </c>
      <c r="C2206" s="8">
        <v>25000</v>
      </c>
      <c r="D2206" s="8">
        <v>0</v>
      </c>
      <c r="E2206" s="8">
        <v>700</v>
      </c>
      <c r="F2206" s="8">
        <v>15000</v>
      </c>
      <c r="G2206" s="30">
        <f t="shared" si="2348"/>
        <v>2400</v>
      </c>
      <c r="H2206" s="8">
        <v>25000</v>
      </c>
      <c r="I2206" s="30">
        <f t="shared" si="2349"/>
        <v>5000</v>
      </c>
      <c r="J2206" s="8">
        <v>25000</v>
      </c>
      <c r="K2206" s="30">
        <f t="shared" si="2350"/>
        <v>5000</v>
      </c>
      <c r="L2206" s="8">
        <v>25000</v>
      </c>
      <c r="M2206" s="9">
        <f>VLOOKUP(DATE(YEAR(A2206),MONTH(A2206),DAY(A2206)),FY24_Temp[],4,FALSE)</f>
        <v>8.9</v>
      </c>
      <c r="N2206" s="9">
        <f>VLOOKUP(DATE(YEAR(A2206),MONTH(A2206),DAY(A2206)),FY24_Temp[],3,FALSE)</f>
        <v>16.8</v>
      </c>
      <c r="O2206" s="9">
        <v>13.5</v>
      </c>
      <c r="P2206" s="9">
        <v>19.5</v>
      </c>
      <c r="Q2206" s="79">
        <f>VLOOKUP(VLOOKUP(DATEVALUE(TEXT(A2206,"m/d/yyyy")),FY24_Temp[],5,FALSE)&amp;TEXT(A2206,"-h"),Table6[],4,FALSE)</f>
        <v>1.8152856826782227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VLOOKUP(TEXT(A2206,"yy-mm")&amp;"-"&amp;IF(AND(WEEKDAY(A2206)&gt;1,WEEKDAY(A2206)&lt;7),"Wkd",TEXT(A2206,"Ddd"))&amp;"-"&amp;TEXT(A2206,"hh"),LoadTable[],5,FALSE)*0.92</f>
        <v>388.38076000000001</v>
      </c>
      <c r="U2206" s="104">
        <f>VLOOKUP(TEXT(A2206,"yy-mm")&amp;"-"&amp;IF(AND(WEEKDAY(A2206)&gt;1,WEEKDAY(A2206)&lt;7),"Wkd",TEXT(A2206,"Ddd"))&amp;"-"&amp;TEXT(A2206,"hh"),LoadTable[],6,FALSE)*T2206</f>
        <v>39451.717600800002</v>
      </c>
      <c r="V2206">
        <f t="shared" ref="V2206:W2206" si="2353">V2182</f>
        <v>3</v>
      </c>
      <c r="W2206">
        <f t="shared" si="2353"/>
        <v>3</v>
      </c>
      <c r="X2206" s="9">
        <v>-110.82283551667</v>
      </c>
    </row>
    <row r="2207" spans="1:24">
      <c r="A2207" s="29">
        <f t="shared" si="2323"/>
        <v>45927.833333327988</v>
      </c>
      <c r="B2207" s="30">
        <f t="shared" si="2347"/>
        <v>5000</v>
      </c>
      <c r="C2207" s="8">
        <v>25000</v>
      </c>
      <c r="D2207" s="8">
        <v>0</v>
      </c>
      <c r="E2207" s="8">
        <v>700</v>
      </c>
      <c r="F2207" s="8">
        <v>15000</v>
      </c>
      <c r="G2207" s="30">
        <f t="shared" si="2348"/>
        <v>2400</v>
      </c>
      <c r="H2207" s="8">
        <v>25000</v>
      </c>
      <c r="I2207" s="30">
        <f t="shared" si="2349"/>
        <v>5000</v>
      </c>
      <c r="J2207" s="8">
        <v>25000</v>
      </c>
      <c r="K2207" s="30">
        <f t="shared" si="2350"/>
        <v>5000</v>
      </c>
      <c r="L2207" s="8">
        <v>25000</v>
      </c>
      <c r="M2207" s="9">
        <f>VLOOKUP(DATE(YEAR(A2207),MONTH(A2207),DAY(A2207)),FY24_Temp[],4,FALSE)</f>
        <v>8.9</v>
      </c>
      <c r="N2207" s="9">
        <f>VLOOKUP(DATE(YEAR(A2207),MONTH(A2207),DAY(A2207)),FY24_Temp[],3,FALSE)</f>
        <v>16.8</v>
      </c>
      <c r="O2207" s="9">
        <v>13.5</v>
      </c>
      <c r="P2207" s="9">
        <v>19.5</v>
      </c>
      <c r="Q2207" s="79">
        <f>VLOOKUP(VLOOKUP(DATEVALUE(TEXT(A2207,"m/d/yyyy")),FY24_Temp[],5,FALSE)&amp;TEXT(A2207,"-h"),Table6[],4,FALSE)</f>
        <v>1.9898571627480643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VLOOKUP(TEXT(A2207,"yy-mm")&amp;"-"&amp;IF(AND(WEEKDAY(A2207)&gt;1,WEEKDAY(A2207)&lt;7),"Wkd",TEXT(A2207,"Ddd"))&amp;"-"&amp;TEXT(A2207,"hh"),LoadTable[],5,FALSE)*0.92</f>
        <v>388.38076000000001</v>
      </c>
      <c r="U2207" s="104">
        <f>VLOOKUP(TEXT(A2207,"yy-mm")&amp;"-"&amp;IF(AND(WEEKDAY(A2207)&gt;1,WEEKDAY(A2207)&lt;7),"Wkd",TEXT(A2207,"Ddd"))&amp;"-"&amp;TEXT(A2207,"hh"),LoadTable[],6,FALSE)*T2207</f>
        <v>37145.512647919997</v>
      </c>
      <c r="V2207">
        <f t="shared" ref="V2207:W2207" si="2354">V2183</f>
        <v>2.8</v>
      </c>
      <c r="W2207">
        <f t="shared" si="2354"/>
        <v>3.1</v>
      </c>
      <c r="X2207" s="9">
        <v>-110.90063006667</v>
      </c>
    </row>
    <row r="2208" spans="1:24">
      <c r="A2208" s="29">
        <f t="shared" si="2323"/>
        <v>45927.874999994652</v>
      </c>
      <c r="B2208" s="30">
        <f t="shared" si="2347"/>
        <v>5000</v>
      </c>
      <c r="C2208" s="8">
        <v>25000</v>
      </c>
      <c r="D2208" s="8">
        <v>0</v>
      </c>
      <c r="E2208" s="8">
        <v>700</v>
      </c>
      <c r="F2208" s="8">
        <v>15000</v>
      </c>
      <c r="G2208" s="30">
        <f t="shared" si="2348"/>
        <v>2400</v>
      </c>
      <c r="H2208" s="8">
        <v>25000</v>
      </c>
      <c r="I2208" s="30">
        <f t="shared" si="2349"/>
        <v>5000</v>
      </c>
      <c r="J2208" s="8">
        <v>25000</v>
      </c>
      <c r="K2208" s="30">
        <f t="shared" si="2350"/>
        <v>5000</v>
      </c>
      <c r="L2208" s="8">
        <v>25000</v>
      </c>
      <c r="M2208" s="9">
        <f>VLOOKUP(DATE(YEAR(A2208),MONTH(A2208),DAY(A2208)),FY24_Temp[],4,FALSE)</f>
        <v>8.9</v>
      </c>
      <c r="N2208" s="9">
        <f>VLOOKUP(DATE(YEAR(A2208),MONTH(A2208),DAY(A2208)),FY24_Temp[],3,FALSE)</f>
        <v>16.8</v>
      </c>
      <c r="O2208" s="9">
        <v>13.5</v>
      </c>
      <c r="P2208" s="9">
        <v>19.5</v>
      </c>
      <c r="Q2208" s="79">
        <f>VLOOKUP(VLOOKUP(DATEVALUE(TEXT(A2208,"m/d/yyyy")),FY24_Temp[],5,FALSE)&amp;TEXT(A2208,"-h"),Table6[],4,FALSE)</f>
        <v>2.0539999689374651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VLOOKUP(TEXT(A2208,"yy-mm")&amp;"-"&amp;IF(AND(WEEKDAY(A2208)&gt;1,WEEKDAY(A2208)&lt;7),"Wkd",TEXT(A2208,"Ddd"))&amp;"-"&amp;TEXT(A2208,"hh"),LoadTable[],5,FALSE)*0.92</f>
        <v>331.01416</v>
      </c>
      <c r="U2208" s="104">
        <f>VLOOKUP(TEXT(A2208,"yy-mm")&amp;"-"&amp;IF(AND(WEEKDAY(A2208)&gt;1,WEEKDAY(A2208)&lt;7),"Wkd",TEXT(A2208,"Ddd"))&amp;"-"&amp;TEXT(A2208,"hh"),LoadTable[],6,FALSE)*T2208</f>
        <v>28174.270228399997</v>
      </c>
      <c r="V2208">
        <f t="shared" ref="V2208:W2208" si="2355">V2184</f>
        <v>3.5</v>
      </c>
      <c r="W2208">
        <f t="shared" si="2355"/>
        <v>3.1</v>
      </c>
      <c r="X2208" s="9">
        <v>-110.97842461667</v>
      </c>
    </row>
    <row r="2209" spans="1:24">
      <c r="A2209" s="29">
        <f t="shared" si="2323"/>
        <v>45927.916666661316</v>
      </c>
      <c r="B2209" s="30">
        <f t="shared" si="2347"/>
        <v>5000</v>
      </c>
      <c r="C2209" s="8">
        <v>25000</v>
      </c>
      <c r="D2209" s="8">
        <v>0</v>
      </c>
      <c r="E2209" s="8">
        <v>700</v>
      </c>
      <c r="F2209" s="8">
        <v>15000</v>
      </c>
      <c r="G2209" s="30">
        <f t="shared" si="2348"/>
        <v>2400</v>
      </c>
      <c r="H2209" s="8">
        <v>25000</v>
      </c>
      <c r="I2209" s="30">
        <f t="shared" si="2349"/>
        <v>5000</v>
      </c>
      <c r="J2209" s="8">
        <v>25000</v>
      </c>
      <c r="K2209" s="30">
        <f t="shared" si="2350"/>
        <v>5000</v>
      </c>
      <c r="L2209" s="8">
        <v>25000</v>
      </c>
      <c r="M2209" s="9">
        <f>VLOOKUP(DATE(YEAR(A2209),MONTH(A2209),DAY(A2209)),FY24_Temp[],4,FALSE)</f>
        <v>8.9</v>
      </c>
      <c r="N2209" s="9">
        <f>VLOOKUP(DATE(YEAR(A2209),MONTH(A2209),DAY(A2209)),FY24_Temp[],3,FALSE)</f>
        <v>16.8</v>
      </c>
      <c r="O2209" s="9">
        <v>13.5</v>
      </c>
      <c r="P2209" s="9">
        <v>19.5</v>
      </c>
      <c r="Q2209" s="79">
        <f>VLOOKUP(VLOOKUP(DATEVALUE(TEXT(A2209,"m/d/yyyy")),FY24_Temp[],5,FALSE)&amp;TEXT(A2209,"-h"),Table6[],4,FALSE)</f>
        <v>2.032142860548837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VLOOKUP(TEXT(A2209,"yy-mm")&amp;"-"&amp;IF(AND(WEEKDAY(A2209)&gt;1,WEEKDAY(A2209)&lt;7),"Wkd",TEXT(A2209,"Ddd"))&amp;"-"&amp;TEXT(A2209,"hh"),LoadTable[],5,FALSE)*0.92</f>
        <v>256.87044000000003</v>
      </c>
      <c r="U2209" s="104">
        <f>VLOOKUP(TEXT(A2209,"yy-mm")&amp;"-"&amp;IF(AND(WEEKDAY(A2209)&gt;1,WEEKDAY(A2209)&lt;7),"Wkd",TEXT(A2209,"Ddd"))&amp;"-"&amp;TEXT(A2209,"hh"),LoadTable[],6,FALSE)*T2209</f>
        <v>13294.072751760001</v>
      </c>
      <c r="V2209">
        <f t="shared" ref="V2209:W2209" si="2356">V2185</f>
        <v>2.9</v>
      </c>
      <c r="W2209">
        <f t="shared" si="2356"/>
        <v>3.1</v>
      </c>
      <c r="X2209" s="9">
        <v>-111.05621916667</v>
      </c>
    </row>
    <row r="2210" spans="1:24">
      <c r="A2210" s="29">
        <f t="shared" si="2323"/>
        <v>45927.958333327981</v>
      </c>
      <c r="B2210" s="30">
        <f t="shared" si="2347"/>
        <v>5000</v>
      </c>
      <c r="C2210" s="8">
        <v>25000</v>
      </c>
      <c r="D2210" s="8">
        <v>0</v>
      </c>
      <c r="E2210" s="8">
        <v>700</v>
      </c>
      <c r="F2210" s="8">
        <v>15000</v>
      </c>
      <c r="G2210" s="30">
        <f t="shared" si="2348"/>
        <v>2400</v>
      </c>
      <c r="H2210" s="8">
        <v>25000</v>
      </c>
      <c r="I2210" s="30">
        <f t="shared" si="2349"/>
        <v>5000</v>
      </c>
      <c r="J2210" s="8">
        <v>25000</v>
      </c>
      <c r="K2210" s="30">
        <f t="shared" si="2350"/>
        <v>5000</v>
      </c>
      <c r="L2210" s="8">
        <v>25000</v>
      </c>
      <c r="M2210" s="9">
        <f>VLOOKUP(DATE(YEAR(A2210),MONTH(A2210),DAY(A2210)),FY24_Temp[],4,FALSE)</f>
        <v>8.9</v>
      </c>
      <c r="N2210" s="9">
        <f>VLOOKUP(DATE(YEAR(A2210),MONTH(A2210),DAY(A2210)),FY24_Temp[],3,FALSE)</f>
        <v>16.8</v>
      </c>
      <c r="O2210" s="9">
        <v>13.5</v>
      </c>
      <c r="P2210" s="9">
        <v>19.5</v>
      </c>
      <c r="Q2210" s="79">
        <f>VLOOKUP(VLOOKUP(DATEVALUE(TEXT(A2210,"m/d/yyyy")),FY24_Temp[],5,FALSE)&amp;TEXT(A2210,"-h"),Table6[],4,FALSE)</f>
        <v>2.0300000224794661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VLOOKUP(TEXT(A2210,"yy-mm")&amp;"-"&amp;IF(AND(WEEKDAY(A2210)&gt;1,WEEKDAY(A2210)&lt;7),"Wkd",TEXT(A2210,"Ddd"))&amp;"-"&amp;TEXT(A2210,"hh"),LoadTable[],5,FALSE)*0.92</f>
        <v>237.25788000000003</v>
      </c>
      <c r="U2210" s="104">
        <f>VLOOKUP(TEXT(A2210,"yy-mm")&amp;"-"&amp;IF(AND(WEEKDAY(A2210)&gt;1,WEEKDAY(A2210)&lt;7),"Wkd",TEXT(A2210,"Ddd"))&amp;"-"&amp;TEXT(A2210,"hh"),LoadTable[],6,FALSE)*T2210</f>
        <v>11938.104747960002</v>
      </c>
      <c r="V2210">
        <f t="shared" ref="V2210:W2210" si="2357">V2186</f>
        <v>3.6</v>
      </c>
      <c r="W2210">
        <f t="shared" si="2357"/>
        <v>3.1</v>
      </c>
      <c r="X2210" s="9">
        <v>-111.13401371667</v>
      </c>
    </row>
    <row r="2211" spans="1:24">
      <c r="A2211" s="29">
        <f t="shared" si="2323"/>
        <v>45927.999999994645</v>
      </c>
      <c r="B2211" s="30">
        <f t="shared" si="2347"/>
        <v>5000</v>
      </c>
      <c r="C2211" s="8">
        <v>25000</v>
      </c>
      <c r="D2211" s="8">
        <v>0</v>
      </c>
      <c r="E2211" s="8">
        <v>700</v>
      </c>
      <c r="F2211" s="8">
        <v>15000</v>
      </c>
      <c r="G2211" s="30">
        <f t="shared" si="2348"/>
        <v>2400</v>
      </c>
      <c r="H2211" s="8">
        <v>25000</v>
      </c>
      <c r="I2211" s="30">
        <f t="shared" si="2349"/>
        <v>5000</v>
      </c>
      <c r="J2211" s="8">
        <v>25000</v>
      </c>
      <c r="K2211" s="30">
        <f t="shared" si="2350"/>
        <v>5000</v>
      </c>
      <c r="L2211" s="8">
        <v>25000</v>
      </c>
      <c r="M2211" s="9">
        <f>VLOOKUP(DATE(YEAR(A2211),MONTH(A2211),DAY(A2211)),FY24_Temp[],4,FALSE)</f>
        <v>8.9</v>
      </c>
      <c r="N2211" s="9">
        <f>VLOOKUP(DATE(YEAR(A2211),MONTH(A2211),DAY(A2211)),FY24_Temp[],3,FALSE)</f>
        <v>16.8</v>
      </c>
      <c r="O2211" s="9">
        <v>13.5</v>
      </c>
      <c r="P2211" s="9">
        <v>19.5</v>
      </c>
      <c r="Q2211" s="79">
        <f>VLOOKUP(VLOOKUP(DATEVALUE(TEXT(A2211,"m/d/yyyy")),FY24_Temp[],5,FALSE)&amp;TEXT(A2211,"-h"),Table6[],4,FALSE)</f>
        <v>2.023857150759016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VLOOKUP(TEXT(A2211,"yy-mm")&amp;"-"&amp;IF(AND(WEEKDAY(A2211)&gt;1,WEEKDAY(A2211)&lt;7),"Wkd",TEXT(A2211,"Ddd"))&amp;"-"&amp;TEXT(A2211,"hh"),LoadTable[],5,FALSE)*0.92</f>
        <v>237.25788000000003</v>
      </c>
      <c r="U2211" s="104">
        <f>VLOOKUP(TEXT(A2211,"yy-mm")&amp;"-"&amp;IF(AND(WEEKDAY(A2211)&gt;1,WEEKDAY(A2211)&lt;7),"Wkd",TEXT(A2211,"Ddd"))&amp;"-"&amp;TEXT(A2211,"hh"),LoadTable[],6,FALSE)*T2211</f>
        <v>11671.426890840001</v>
      </c>
      <c r="V2211">
        <f t="shared" ref="V2211:W2211" si="2358">V2187</f>
        <v>3</v>
      </c>
      <c r="W2211">
        <f t="shared" si="2358"/>
        <v>3.2</v>
      </c>
      <c r="X2211" s="9">
        <v>-111.21180826667</v>
      </c>
    </row>
    <row r="2212" spans="1:24">
      <c r="A2212" s="29">
        <f t="shared" si="2323"/>
        <v>45928.041666661309</v>
      </c>
      <c r="B2212" s="30">
        <f t="shared" si="2347"/>
        <v>5000</v>
      </c>
      <c r="C2212" s="8">
        <v>25000</v>
      </c>
      <c r="D2212" s="8">
        <v>0</v>
      </c>
      <c r="E2212" s="8">
        <v>700</v>
      </c>
      <c r="F2212" s="8">
        <v>15000</v>
      </c>
      <c r="G2212" s="30">
        <f t="shared" si="2348"/>
        <v>2400</v>
      </c>
      <c r="H2212" s="8">
        <v>25000</v>
      </c>
      <c r="I2212" s="30">
        <f t="shared" si="2349"/>
        <v>5000</v>
      </c>
      <c r="J2212" s="8">
        <v>25000</v>
      </c>
      <c r="K2212" s="30">
        <f t="shared" si="2350"/>
        <v>5000</v>
      </c>
      <c r="L2212" s="8">
        <v>25000</v>
      </c>
      <c r="M2212" s="9">
        <f>VLOOKUP(DATE(YEAR(A2212),MONTH(A2212),DAY(A2212)),FY24_Temp[],4,FALSE)</f>
        <v>8.9</v>
      </c>
      <c r="N2212" s="9">
        <f>VLOOKUP(DATE(YEAR(A2212),MONTH(A2212),DAY(A2212)),FY24_Temp[],3,FALSE)</f>
        <v>16.8</v>
      </c>
      <c r="O2212" s="9">
        <v>13.5</v>
      </c>
      <c r="P2212" s="9">
        <v>19.5</v>
      </c>
      <c r="Q2212" s="79">
        <f>VLOOKUP(VLOOKUP(DATEVALUE(TEXT(A2212,"m/d/yyyy")),FY24_Temp[],5,FALSE)&amp;TEXT(A2212,"-h"),Table6[],4,FALSE)</f>
        <v>1.9687142712729317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VLOOKUP(TEXT(A2212,"yy-mm")&amp;"-"&amp;IF(AND(WEEKDAY(A2212)&gt;1,WEEKDAY(A2212)&lt;7),"Wkd",TEXT(A2212,"Ddd"))&amp;"-"&amp;TEXT(A2212,"hh"),LoadTable[],5,FALSE)*0.92</f>
        <v>237.25788000000003</v>
      </c>
      <c r="U2212" s="104">
        <f>VLOOKUP(TEXT(A2212,"yy-mm")&amp;"-"&amp;IF(AND(WEEKDAY(A2212)&gt;1,WEEKDAY(A2212)&lt;7),"Wkd",TEXT(A2212,"Ddd"))&amp;"-"&amp;TEXT(A2212,"hh"),LoadTable[],6,FALSE)*T2212</f>
        <v>11718.878466840002</v>
      </c>
      <c r="V2212">
        <f t="shared" ref="V2212:W2212" si="2359">V2188</f>
        <v>2.6</v>
      </c>
      <c r="W2212">
        <f t="shared" si="2359"/>
        <v>3.2</v>
      </c>
      <c r="X2212" s="9">
        <v>-111.28960281667</v>
      </c>
    </row>
    <row r="2213" spans="1:24">
      <c r="A2213" s="29">
        <f t="shared" si="2323"/>
        <v>45928.083333327973</v>
      </c>
      <c r="B2213" s="30">
        <f t="shared" si="2347"/>
        <v>5000</v>
      </c>
      <c r="C2213" s="8">
        <v>25000</v>
      </c>
      <c r="D2213" s="8">
        <v>0</v>
      </c>
      <c r="E2213" s="8">
        <v>700</v>
      </c>
      <c r="F2213" s="8">
        <v>15000</v>
      </c>
      <c r="G2213" s="30">
        <f t="shared" si="2348"/>
        <v>2400</v>
      </c>
      <c r="H2213" s="8">
        <v>25000</v>
      </c>
      <c r="I2213" s="30">
        <f t="shared" si="2349"/>
        <v>5000</v>
      </c>
      <c r="J2213" s="8">
        <v>25000</v>
      </c>
      <c r="K2213" s="30">
        <f t="shared" si="2350"/>
        <v>5000</v>
      </c>
      <c r="L2213" s="8">
        <v>25000</v>
      </c>
      <c r="M2213" s="9">
        <f>VLOOKUP(DATE(YEAR(A2213),MONTH(A2213),DAY(A2213)),FY24_Temp[],4,FALSE)</f>
        <v>8.9</v>
      </c>
      <c r="N2213" s="9">
        <f>VLOOKUP(DATE(YEAR(A2213),MONTH(A2213),DAY(A2213)),FY24_Temp[],3,FALSE)</f>
        <v>16.8</v>
      </c>
      <c r="O2213" s="9">
        <v>13.5</v>
      </c>
      <c r="P2213" s="9">
        <v>19.5</v>
      </c>
      <c r="Q2213" s="79">
        <f>VLOOKUP(VLOOKUP(DATEVALUE(TEXT(A2213,"m/d/yyyy")),FY24_Temp[],5,FALSE)&amp;TEXT(A2213,"-h"),Table6[],4,FALSE)</f>
        <v>1.8430000032697404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VLOOKUP(TEXT(A2213,"yy-mm")&amp;"-"&amp;IF(AND(WEEKDAY(A2213)&gt;1,WEEKDAY(A2213)&lt;7),"Wkd",TEXT(A2213,"Ddd"))&amp;"-"&amp;TEXT(A2213,"hh"),LoadTable[],5,FALSE)*0.92</f>
        <v>237.25788000000003</v>
      </c>
      <c r="U2213" s="104">
        <f>VLOOKUP(TEXT(A2213,"yy-mm")&amp;"-"&amp;IF(AND(WEEKDAY(A2213)&gt;1,WEEKDAY(A2213)&lt;7),"Wkd",TEXT(A2213,"Ddd"))&amp;"-"&amp;TEXT(A2213,"hh"),LoadTable[],6,FALSE)*T2213</f>
        <v>11658.852223200001</v>
      </c>
      <c r="V2213">
        <f t="shared" ref="V2213:W2213" si="2360">V2189</f>
        <v>2.8</v>
      </c>
      <c r="W2213">
        <f t="shared" si="2360"/>
        <v>3.2</v>
      </c>
      <c r="X2213" s="9">
        <v>-111.36739736667</v>
      </c>
    </row>
    <row r="2214" spans="1:24">
      <c r="A2214" s="29">
        <f t="shared" si="2323"/>
        <v>45928.124999994638</v>
      </c>
      <c r="B2214" s="30">
        <f t="shared" si="2347"/>
        <v>5000</v>
      </c>
      <c r="C2214" s="8">
        <v>25000</v>
      </c>
      <c r="D2214" s="8">
        <v>0</v>
      </c>
      <c r="E2214" s="8">
        <v>700</v>
      </c>
      <c r="F2214" s="8">
        <v>15000</v>
      </c>
      <c r="G2214" s="30">
        <f t="shared" si="2348"/>
        <v>2400</v>
      </c>
      <c r="H2214" s="8">
        <v>25000</v>
      </c>
      <c r="I2214" s="30">
        <f t="shared" si="2349"/>
        <v>5000</v>
      </c>
      <c r="J2214" s="8">
        <v>25000</v>
      </c>
      <c r="K2214" s="30">
        <f t="shared" si="2350"/>
        <v>5000</v>
      </c>
      <c r="L2214" s="8">
        <v>25000</v>
      </c>
      <c r="M2214" s="9">
        <f>VLOOKUP(DATE(YEAR(A2214),MONTH(A2214),DAY(A2214)),FY24_Temp[],4,FALSE)</f>
        <v>8.9</v>
      </c>
      <c r="N2214" s="9">
        <f>VLOOKUP(DATE(YEAR(A2214),MONTH(A2214),DAY(A2214)),FY24_Temp[],3,FALSE)</f>
        <v>16.8</v>
      </c>
      <c r="O2214" s="9">
        <v>13.5</v>
      </c>
      <c r="P2214" s="9">
        <v>19.5</v>
      </c>
      <c r="Q2214" s="79">
        <f>VLOOKUP(VLOOKUP(DATEVALUE(TEXT(A2214,"m/d/yyyy")),FY24_Temp[],5,FALSE)&amp;TEXT(A2214,"-h"),Table6[],4,FALSE)</f>
        <v>1.7025714431490218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VLOOKUP(TEXT(A2214,"yy-mm")&amp;"-"&amp;IF(AND(WEEKDAY(A2214)&gt;1,WEEKDAY(A2214)&lt;7),"Wkd",TEXT(A2214,"Ddd"))&amp;"-"&amp;TEXT(A2214,"hh"),LoadTable[],5,FALSE)*0.92</f>
        <v>237.25788000000003</v>
      </c>
      <c r="U2214" s="104">
        <f>VLOOKUP(TEXT(A2214,"yy-mm")&amp;"-"&amp;IF(AND(WEEKDAY(A2214)&gt;1,WEEKDAY(A2214)&lt;7),"Wkd",TEXT(A2214,"Ddd"))&amp;"-"&amp;TEXT(A2214,"hh"),LoadTable[],6,FALSE)*T2214</f>
        <v>11620.653704520002</v>
      </c>
      <c r="V2214">
        <f t="shared" ref="V2214:W2214" si="2361">V2190</f>
        <v>2.7</v>
      </c>
      <c r="W2214">
        <f t="shared" si="2361"/>
        <v>3.2</v>
      </c>
      <c r="X2214" s="9">
        <v>-111.44519191667</v>
      </c>
    </row>
    <row r="2215" spans="1:24">
      <c r="A2215" s="29">
        <f t="shared" si="2323"/>
        <v>45928.166666661302</v>
      </c>
      <c r="B2215" s="30">
        <f t="shared" si="2347"/>
        <v>5000</v>
      </c>
      <c r="C2215" s="8">
        <v>25000</v>
      </c>
      <c r="D2215" s="8">
        <v>0</v>
      </c>
      <c r="E2215" s="8">
        <v>700</v>
      </c>
      <c r="F2215" s="8">
        <v>15000</v>
      </c>
      <c r="G2215" s="30">
        <f t="shared" si="2348"/>
        <v>2400</v>
      </c>
      <c r="H2215" s="8">
        <v>25000</v>
      </c>
      <c r="I2215" s="30">
        <f t="shared" si="2349"/>
        <v>5000</v>
      </c>
      <c r="J2215" s="8">
        <v>25000</v>
      </c>
      <c r="K2215" s="30">
        <f t="shared" si="2350"/>
        <v>5000</v>
      </c>
      <c r="L2215" s="8">
        <v>25000</v>
      </c>
      <c r="M2215" s="9">
        <f>VLOOKUP(DATE(YEAR(A2215),MONTH(A2215),DAY(A2215)),FY24_Temp[],4,FALSE)</f>
        <v>8.9</v>
      </c>
      <c r="N2215" s="9">
        <f>VLOOKUP(DATE(YEAR(A2215),MONTH(A2215),DAY(A2215)),FY24_Temp[],3,FALSE)</f>
        <v>16.8</v>
      </c>
      <c r="O2215" s="9">
        <v>13.5</v>
      </c>
      <c r="P2215" s="9">
        <v>19.5</v>
      </c>
      <c r="Q2215" s="79">
        <f>VLOOKUP(VLOOKUP(DATEVALUE(TEXT(A2215,"m/d/yyyy")),FY24_Temp[],5,FALSE)&amp;TEXT(A2215,"-h"),Table6[],4,FALSE)</f>
        <v>1.5532857179641724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VLOOKUP(TEXT(A2215,"yy-mm")&amp;"-"&amp;IF(AND(WEEKDAY(A2215)&gt;1,WEEKDAY(A2215)&lt;7),"Wkd",TEXT(A2215,"Ddd"))&amp;"-"&amp;TEXT(A2215,"hh"),LoadTable[],5,FALSE)*0.92</f>
        <v>237.25788000000003</v>
      </c>
      <c r="U2215" s="104">
        <f>VLOOKUP(TEXT(A2215,"yy-mm")&amp;"-"&amp;IF(AND(WEEKDAY(A2215)&gt;1,WEEKDAY(A2215)&lt;7),"Wkd",TEXT(A2215,"Ddd"))&amp;"-"&amp;TEXT(A2215,"hh"),LoadTable[],6,FALSE)*T2215</f>
        <v>11494.195254480001</v>
      </c>
      <c r="V2215">
        <f t="shared" ref="V2215:W2215" si="2362">V2191</f>
        <v>3</v>
      </c>
      <c r="W2215">
        <f t="shared" si="2362"/>
        <v>3.1</v>
      </c>
      <c r="X2215" s="9">
        <v>-111.52298646667001</v>
      </c>
    </row>
    <row r="2216" spans="1:24">
      <c r="A2216" s="29">
        <f t="shared" si="2323"/>
        <v>45928.208333327966</v>
      </c>
      <c r="B2216" s="30">
        <f t="shared" si="2347"/>
        <v>5000</v>
      </c>
      <c r="C2216" s="8">
        <v>25000</v>
      </c>
      <c r="D2216" s="8">
        <v>0</v>
      </c>
      <c r="E2216" s="8">
        <v>700</v>
      </c>
      <c r="F2216" s="8">
        <v>15000</v>
      </c>
      <c r="G2216" s="30">
        <f t="shared" si="2348"/>
        <v>2400</v>
      </c>
      <c r="H2216" s="8">
        <v>25000</v>
      </c>
      <c r="I2216" s="30">
        <f t="shared" si="2349"/>
        <v>5000</v>
      </c>
      <c r="J2216" s="8">
        <v>25000</v>
      </c>
      <c r="K2216" s="30">
        <f t="shared" si="2350"/>
        <v>5000</v>
      </c>
      <c r="L2216" s="8">
        <v>25000</v>
      </c>
      <c r="M2216" s="9">
        <f>VLOOKUP(DATE(YEAR(A2216),MONTH(A2216),DAY(A2216)),FY24_Temp[],4,FALSE)</f>
        <v>8.9</v>
      </c>
      <c r="N2216" s="9">
        <f>VLOOKUP(DATE(YEAR(A2216),MONTH(A2216),DAY(A2216)),FY24_Temp[],3,FALSE)</f>
        <v>16.8</v>
      </c>
      <c r="O2216" s="9">
        <v>13.5</v>
      </c>
      <c r="P2216" s="9">
        <v>19.5</v>
      </c>
      <c r="Q2216" s="79">
        <f>VLOOKUP(VLOOKUP(DATEVALUE(TEXT(A2216,"m/d/yyyy")),FY24_Temp[],5,FALSE)&amp;TEXT(A2216,"-h"),Table6[],4,FALSE)</f>
        <v>1.4412857123783656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VLOOKUP(TEXT(A2216,"yy-mm")&amp;"-"&amp;IF(AND(WEEKDAY(A2216)&gt;1,WEEKDAY(A2216)&lt;7),"Wkd",TEXT(A2216,"Ddd"))&amp;"-"&amp;TEXT(A2216,"hh"),LoadTable[],5,FALSE)*0.92</f>
        <v>237.25788000000003</v>
      </c>
      <c r="U2216" s="104">
        <f>VLOOKUP(TEXT(A2216,"yy-mm")&amp;"-"&amp;IF(AND(WEEKDAY(A2216)&gt;1,WEEKDAY(A2216)&lt;7),"Wkd",TEXT(A2216,"Ddd"))&amp;"-"&amp;TEXT(A2216,"hh"),LoadTable[],6,FALSE)*T2216</f>
        <v>11623.738056960001</v>
      </c>
      <c r="V2216">
        <f t="shared" ref="V2216:W2216" si="2363">V2192</f>
        <v>2.9</v>
      </c>
      <c r="W2216">
        <f t="shared" si="2363"/>
        <v>3.1</v>
      </c>
      <c r="X2216" s="9">
        <v>-111.60078101667</v>
      </c>
    </row>
    <row r="2217" spans="1:24">
      <c r="A2217" s="29">
        <f t="shared" si="2323"/>
        <v>45928.24999999463</v>
      </c>
      <c r="B2217" s="30">
        <f t="shared" si="2347"/>
        <v>8000</v>
      </c>
      <c r="C2217" s="8">
        <v>25000</v>
      </c>
      <c r="D2217" s="8">
        <v>0</v>
      </c>
      <c r="E2217" s="8">
        <v>700</v>
      </c>
      <c r="F2217" s="8">
        <v>15000</v>
      </c>
      <c r="G2217" s="30">
        <f t="shared" si="2348"/>
        <v>2400</v>
      </c>
      <c r="H2217" s="8">
        <v>25000</v>
      </c>
      <c r="I2217" s="30">
        <f t="shared" si="2349"/>
        <v>8000</v>
      </c>
      <c r="J2217" s="8">
        <v>25000</v>
      </c>
      <c r="K2217" s="30">
        <f t="shared" si="2350"/>
        <v>8000</v>
      </c>
      <c r="L2217" s="8">
        <v>25000</v>
      </c>
      <c r="M2217" s="9">
        <f>VLOOKUP(DATE(YEAR(A2217),MONTH(A2217),DAY(A2217)),FY24_Temp[],4,FALSE)</f>
        <v>8.9</v>
      </c>
      <c r="N2217" s="9">
        <f>VLOOKUP(DATE(YEAR(A2217),MONTH(A2217),DAY(A2217)),FY24_Temp[],3,FALSE)</f>
        <v>16.8</v>
      </c>
      <c r="O2217" s="9">
        <v>13.5</v>
      </c>
      <c r="P2217" s="9">
        <v>19.5</v>
      </c>
      <c r="Q2217" s="79">
        <f>VLOOKUP(VLOOKUP(DATEVALUE(TEXT(A2217,"m/d/yyyy")),FY24_Temp[],5,FALSE)&amp;TEXT(A2217,"-h"),Table6[],4,FALSE)</f>
        <v>1.3392857142857142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VLOOKUP(TEXT(A2217,"yy-mm")&amp;"-"&amp;IF(AND(WEEKDAY(A2217)&gt;1,WEEKDAY(A2217)&lt;7),"Wkd",TEXT(A2217,"Ddd"))&amp;"-"&amp;TEXT(A2217,"hh"),LoadTable[],5,FALSE)*0.92</f>
        <v>237.25788000000003</v>
      </c>
      <c r="U2217" s="104">
        <f>VLOOKUP(TEXT(A2217,"yy-mm")&amp;"-"&amp;IF(AND(WEEKDAY(A2217)&gt;1,WEEKDAY(A2217)&lt;7),"Wkd",TEXT(A2217,"Ddd"))&amp;"-"&amp;TEXT(A2217,"hh"),LoadTable[],6,FALSE)*T2217</f>
        <v>18385.587636960005</v>
      </c>
      <c r="V2217">
        <f t="shared" ref="V2217:W2217" si="2364">V2193</f>
        <v>2.5</v>
      </c>
      <c r="W2217">
        <f t="shared" si="2364"/>
        <v>3.1</v>
      </c>
      <c r="X2217" s="9">
        <v>-111.67857556667001</v>
      </c>
    </row>
    <row r="2218" spans="1:24">
      <c r="A2218" s="29">
        <f t="shared" si="2323"/>
        <v>45928.291666661295</v>
      </c>
      <c r="B2218" s="30">
        <f t="shared" si="2347"/>
        <v>8000</v>
      </c>
      <c r="C2218" s="8">
        <v>25000</v>
      </c>
      <c r="D2218" s="8">
        <v>0</v>
      </c>
      <c r="E2218" s="8">
        <v>700</v>
      </c>
      <c r="F2218" s="8">
        <v>15000</v>
      </c>
      <c r="G2218" s="30">
        <f t="shared" si="2348"/>
        <v>2400</v>
      </c>
      <c r="H2218" s="8">
        <v>25000</v>
      </c>
      <c r="I2218" s="30">
        <f t="shared" si="2349"/>
        <v>8000</v>
      </c>
      <c r="J2218" s="8">
        <v>25000</v>
      </c>
      <c r="K2218" s="30">
        <f t="shared" si="2350"/>
        <v>8000</v>
      </c>
      <c r="L2218" s="8">
        <v>25000</v>
      </c>
      <c r="M2218" s="9">
        <f>VLOOKUP(DATE(YEAR(A2218),MONTH(A2218),DAY(A2218)),FY24_Temp[],4,FALSE)</f>
        <v>8.9</v>
      </c>
      <c r="N2218" s="9">
        <f>VLOOKUP(DATE(YEAR(A2218),MONTH(A2218),DAY(A2218)),FY24_Temp[],3,FALSE)</f>
        <v>16.8</v>
      </c>
      <c r="O2218" s="9">
        <v>13.5</v>
      </c>
      <c r="P2218" s="9">
        <v>19.5</v>
      </c>
      <c r="Q2218" s="79">
        <f>VLOOKUP(VLOOKUP(DATEVALUE(TEXT(A2218,"m/d/yyyy")),FY24_Temp[],5,FALSE)&amp;TEXT(A2218,"-h"),Table6[],4,FALSE)</f>
        <v>1.180142845426287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VLOOKUP(TEXT(A2218,"yy-mm")&amp;"-"&amp;IF(AND(WEEKDAY(A2218)&gt;1,WEEKDAY(A2218)&lt;7),"Wkd",TEXT(A2218,"Ddd"))&amp;"-"&amp;TEXT(A2218,"hh"),LoadTable[],5,FALSE)*0.92</f>
        <v>237.25788000000003</v>
      </c>
      <c r="U2218" s="104">
        <f>VLOOKUP(TEXT(A2218,"yy-mm")&amp;"-"&amp;IF(AND(WEEKDAY(A2218)&gt;1,WEEKDAY(A2218)&lt;7),"Wkd",TEXT(A2218,"Ddd"))&amp;"-"&amp;TEXT(A2218,"hh"),LoadTable[],6,FALSE)*T2218</f>
        <v>14061.562773960002</v>
      </c>
      <c r="V2218">
        <f t="shared" ref="V2218:W2218" si="2365">V2194</f>
        <v>2.5</v>
      </c>
      <c r="W2218">
        <f t="shared" si="2365"/>
        <v>3.1</v>
      </c>
      <c r="X2218" s="9">
        <v>-111.75637011667</v>
      </c>
    </row>
    <row r="2219" spans="1:24">
      <c r="A2219" s="29">
        <f t="shared" si="2323"/>
        <v>45928.333333327959</v>
      </c>
      <c r="B2219" s="30">
        <f t="shared" si="2347"/>
        <v>8000</v>
      </c>
      <c r="C2219" s="8">
        <v>25000</v>
      </c>
      <c r="D2219" s="8">
        <v>0</v>
      </c>
      <c r="E2219" s="8">
        <v>700</v>
      </c>
      <c r="F2219" s="8">
        <v>15000</v>
      </c>
      <c r="G2219" s="30">
        <f t="shared" si="2348"/>
        <v>2400</v>
      </c>
      <c r="H2219" s="8">
        <v>25000</v>
      </c>
      <c r="I2219" s="30">
        <f t="shared" si="2349"/>
        <v>8000</v>
      </c>
      <c r="J2219" s="8">
        <v>25000</v>
      </c>
      <c r="K2219" s="30">
        <f t="shared" si="2350"/>
        <v>8000</v>
      </c>
      <c r="L2219" s="8">
        <v>25000</v>
      </c>
      <c r="M2219" s="9">
        <f>VLOOKUP(DATE(YEAR(A2219),MONTH(A2219),DAY(A2219)),FY24_Temp[],4,FALSE)</f>
        <v>8.9</v>
      </c>
      <c r="N2219" s="9">
        <f>VLOOKUP(DATE(YEAR(A2219),MONTH(A2219),DAY(A2219)),FY24_Temp[],3,FALSE)</f>
        <v>16.8</v>
      </c>
      <c r="O2219" s="9">
        <v>13.5</v>
      </c>
      <c r="P2219" s="9">
        <v>19.5</v>
      </c>
      <c r="Q2219" s="79">
        <f>VLOOKUP(VLOOKUP(DATEVALUE(TEXT(A2219,"m/d/yyyy")),FY24_Temp[],5,FALSE)&amp;TEXT(A2219,"-h"),Table6[],4,FALSE)</f>
        <v>1.1274285657065255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VLOOKUP(TEXT(A2219,"yy-mm")&amp;"-"&amp;IF(AND(WEEKDAY(A2219)&gt;1,WEEKDAY(A2219)&lt;7),"Wkd",TEXT(A2219,"Ddd"))&amp;"-"&amp;TEXT(A2219,"hh"),LoadTable[],5,FALSE)*0.92</f>
        <v>237.25788000000003</v>
      </c>
      <c r="U2219" s="104">
        <f>VLOOKUP(TEXT(A2219,"yy-mm")&amp;"-"&amp;IF(AND(WEEKDAY(A2219)&gt;1,WEEKDAY(A2219)&lt;7),"Wkd",TEXT(A2219,"Ddd"))&amp;"-"&amp;TEXT(A2219,"hh"),LoadTable[],6,FALSE)*T2219</f>
        <v>12063.61416648</v>
      </c>
      <c r="V2219">
        <f t="shared" ref="V2219:W2219" si="2366">V2195</f>
        <v>3.2</v>
      </c>
      <c r="W2219">
        <f t="shared" si="2366"/>
        <v>3</v>
      </c>
      <c r="X2219" s="9">
        <v>-111.83416466667001</v>
      </c>
    </row>
    <row r="2220" spans="1:24">
      <c r="A2220" s="29">
        <f t="shared" si="2323"/>
        <v>45928.374999994623</v>
      </c>
      <c r="B2220" s="30">
        <f t="shared" si="2347"/>
        <v>8000</v>
      </c>
      <c r="C2220" s="8">
        <v>25000</v>
      </c>
      <c r="D2220" s="8">
        <v>0</v>
      </c>
      <c r="E2220" s="8">
        <v>700</v>
      </c>
      <c r="F2220" s="8">
        <v>15000</v>
      </c>
      <c r="G2220" s="30">
        <f t="shared" si="2348"/>
        <v>2400</v>
      </c>
      <c r="H2220" s="8">
        <v>25000</v>
      </c>
      <c r="I2220" s="30">
        <f t="shared" si="2349"/>
        <v>8000</v>
      </c>
      <c r="J2220" s="8">
        <v>25000</v>
      </c>
      <c r="K2220" s="30">
        <f t="shared" si="2350"/>
        <v>8000</v>
      </c>
      <c r="L2220" s="8">
        <v>25000</v>
      </c>
      <c r="M2220" s="9">
        <f>VLOOKUP(DATE(YEAR(A2220),MONTH(A2220),DAY(A2220)),FY24_Temp[],4,FALSE)</f>
        <v>8.9</v>
      </c>
      <c r="N2220" s="9">
        <f>VLOOKUP(DATE(YEAR(A2220),MONTH(A2220),DAY(A2220)),FY24_Temp[],3,FALSE)</f>
        <v>16.8</v>
      </c>
      <c r="O2220" s="9">
        <v>13.5</v>
      </c>
      <c r="P2220" s="9">
        <v>19.5</v>
      </c>
      <c r="Q2220" s="79">
        <f>VLOOKUP(VLOOKUP(DATEVALUE(TEXT(A2220,"m/d/yyyy")),FY24_Temp[],5,FALSE)&amp;TEXT(A2220,"-h"),Table6[],4,FALSE)</f>
        <v>0.99485715797969276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VLOOKUP(TEXT(A2220,"yy-mm")&amp;"-"&amp;IF(AND(WEEKDAY(A2220)&gt;1,WEEKDAY(A2220)&lt;7),"Wkd",TEXT(A2220,"Ddd"))&amp;"-"&amp;TEXT(A2220,"hh"),LoadTable[],5,FALSE)*0.92</f>
        <v>237.25788000000003</v>
      </c>
      <c r="U2220" s="104">
        <f>VLOOKUP(TEXT(A2220,"yy-mm")&amp;"-"&amp;IF(AND(WEEKDAY(A2220)&gt;1,WEEKDAY(A2220)&lt;7),"Wkd",TEXT(A2220,"Ddd"))&amp;"-"&amp;TEXT(A2220,"hh"),LoadTable[],6,FALSE)*T2220</f>
        <v>10984.80258612</v>
      </c>
      <c r="V2220">
        <f t="shared" ref="V2220:W2220" si="2367">V2196</f>
        <v>2.9</v>
      </c>
      <c r="W2220">
        <f t="shared" si="2367"/>
        <v>3</v>
      </c>
      <c r="X2220" s="9">
        <v>-111.91195921667</v>
      </c>
    </row>
    <row r="2221" spans="1:24">
      <c r="A2221" s="29">
        <f t="shared" si="2323"/>
        <v>45928.416666661287</v>
      </c>
      <c r="B2221" s="30">
        <f t="shared" si="2347"/>
        <v>8000</v>
      </c>
      <c r="C2221" s="8">
        <v>25000</v>
      </c>
      <c r="D2221" s="8">
        <v>0</v>
      </c>
      <c r="E2221" s="8">
        <v>700</v>
      </c>
      <c r="F2221" s="8">
        <v>15000</v>
      </c>
      <c r="G2221" s="30">
        <f t="shared" si="2348"/>
        <v>2400</v>
      </c>
      <c r="H2221" s="8">
        <v>25000</v>
      </c>
      <c r="I2221" s="30">
        <f t="shared" si="2349"/>
        <v>8000</v>
      </c>
      <c r="J2221" s="8">
        <v>25000</v>
      </c>
      <c r="K2221" s="30">
        <f t="shared" si="2350"/>
        <v>8000</v>
      </c>
      <c r="L2221" s="8">
        <v>25000</v>
      </c>
      <c r="M2221" s="9">
        <f>VLOOKUP(DATE(YEAR(A2221),MONTH(A2221),DAY(A2221)),FY24_Temp[],4,FALSE)</f>
        <v>8.9</v>
      </c>
      <c r="N2221" s="9">
        <f>VLOOKUP(DATE(YEAR(A2221),MONTH(A2221),DAY(A2221)),FY24_Temp[],3,FALSE)</f>
        <v>16.8</v>
      </c>
      <c r="O2221" s="9">
        <v>13.5</v>
      </c>
      <c r="P2221" s="9">
        <v>19.5</v>
      </c>
      <c r="Q2221" s="79">
        <f>VLOOKUP(VLOOKUP(DATEVALUE(TEXT(A2221,"m/d/yyyy")),FY24_Temp[],5,FALSE)&amp;TEXT(A2221,"-h"),Table6[],4,FALSE)</f>
        <v>0.87171429395675659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VLOOKUP(TEXT(A2221,"yy-mm")&amp;"-"&amp;IF(AND(WEEKDAY(A2221)&gt;1,WEEKDAY(A2221)&lt;7),"Wkd",TEXT(A2221,"Ddd"))&amp;"-"&amp;TEXT(A2221,"hh"),LoadTable[],5,FALSE)*0.92</f>
        <v>237.25788000000003</v>
      </c>
      <c r="U2221" s="104">
        <f>VLOOKUP(TEXT(A2221,"yy-mm")&amp;"-"&amp;IF(AND(WEEKDAY(A2221)&gt;1,WEEKDAY(A2221)&lt;7),"Wkd",TEXT(A2221,"Ddd"))&amp;"-"&amp;TEXT(A2221,"hh"),LoadTable[],6,FALSE)*T2221</f>
        <v>10967.245503000002</v>
      </c>
      <c r="V2221">
        <f t="shared" ref="V2221:W2221" si="2368">V2197</f>
        <v>2.9</v>
      </c>
      <c r="W2221">
        <f t="shared" si="2368"/>
        <v>3</v>
      </c>
      <c r="X2221" s="9">
        <v>-111.98975376667001</v>
      </c>
    </row>
    <row r="2222" spans="1:24">
      <c r="A2222" s="29">
        <f t="shared" si="2323"/>
        <v>45928.458333327952</v>
      </c>
      <c r="B2222" s="30">
        <f t="shared" si="2347"/>
        <v>8000</v>
      </c>
      <c r="C2222" s="8">
        <v>25000</v>
      </c>
      <c r="D2222" s="8">
        <v>0</v>
      </c>
      <c r="E2222" s="8">
        <v>700</v>
      </c>
      <c r="F2222" s="8">
        <v>15000</v>
      </c>
      <c r="G2222" s="30">
        <f t="shared" si="2348"/>
        <v>2400</v>
      </c>
      <c r="H2222" s="8">
        <v>25000</v>
      </c>
      <c r="I2222" s="30">
        <f t="shared" si="2349"/>
        <v>8000</v>
      </c>
      <c r="J2222" s="8">
        <v>25000</v>
      </c>
      <c r="K2222" s="30">
        <f t="shared" si="2350"/>
        <v>8000</v>
      </c>
      <c r="L2222" s="8">
        <v>25000</v>
      </c>
      <c r="M2222" s="9">
        <f>VLOOKUP(DATE(YEAR(A2222),MONTH(A2222),DAY(A2222)),FY24_Temp[],4,FALSE)</f>
        <v>8.9</v>
      </c>
      <c r="N2222" s="9">
        <f>VLOOKUP(DATE(YEAR(A2222),MONTH(A2222),DAY(A2222)),FY24_Temp[],3,FALSE)</f>
        <v>16.8</v>
      </c>
      <c r="O2222" s="9">
        <v>13.5</v>
      </c>
      <c r="P2222" s="9">
        <v>19.5</v>
      </c>
      <c r="Q2222" s="79">
        <f>VLOOKUP(VLOOKUP(DATEVALUE(TEXT(A2222,"m/d/yyyy")),FY24_Temp[],5,FALSE)&amp;TEXT(A2222,"-h"),Table6[],4,FALSE)</f>
        <v>0.77757143974304199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VLOOKUP(TEXT(A2222,"yy-mm")&amp;"-"&amp;IF(AND(WEEKDAY(A2222)&gt;1,WEEKDAY(A2222)&lt;7),"Wkd",TEXT(A2222,"Ddd"))&amp;"-"&amp;TEXT(A2222,"hh"),LoadTable[],5,FALSE)*0.92</f>
        <v>237.25788000000003</v>
      </c>
      <c r="U2222" s="104">
        <f>VLOOKUP(TEXT(A2222,"yy-mm")&amp;"-"&amp;IF(AND(WEEKDAY(A2222)&gt;1,WEEKDAY(A2222)&lt;7),"Wkd",TEXT(A2222,"Ddd"))&amp;"-"&amp;TEXT(A2222,"hh"),LoadTable[],6,FALSE)*T2222</f>
        <v>10967.720018760001</v>
      </c>
      <c r="V2222">
        <f t="shared" ref="V2222:W2222" si="2369">V2198</f>
        <v>3.4</v>
      </c>
      <c r="W2222">
        <f t="shared" si="2369"/>
        <v>3</v>
      </c>
      <c r="X2222" s="9">
        <v>-112.06754831667</v>
      </c>
    </row>
    <row r="2223" spans="1:24">
      <c r="A2223" s="29">
        <f t="shared" si="2323"/>
        <v>45928.499999994616</v>
      </c>
      <c r="B2223" s="30">
        <f t="shared" si="2347"/>
        <v>8000</v>
      </c>
      <c r="C2223" s="8">
        <v>25000</v>
      </c>
      <c r="D2223" s="8">
        <v>0</v>
      </c>
      <c r="E2223" s="8">
        <v>700</v>
      </c>
      <c r="F2223" s="8">
        <v>15000</v>
      </c>
      <c r="G2223" s="30">
        <f t="shared" si="2348"/>
        <v>2400</v>
      </c>
      <c r="H2223" s="8">
        <v>25000</v>
      </c>
      <c r="I2223" s="30">
        <f t="shared" si="2349"/>
        <v>8000</v>
      </c>
      <c r="J2223" s="8">
        <v>25000</v>
      </c>
      <c r="K2223" s="30">
        <f t="shared" si="2350"/>
        <v>8000</v>
      </c>
      <c r="L2223" s="8">
        <v>25000</v>
      </c>
      <c r="M2223" s="9">
        <f>VLOOKUP(DATE(YEAR(A2223),MONTH(A2223),DAY(A2223)),FY24_Temp[],4,FALSE)</f>
        <v>8.9</v>
      </c>
      <c r="N2223" s="9">
        <f>VLOOKUP(DATE(YEAR(A2223),MONTH(A2223),DAY(A2223)),FY24_Temp[],3,FALSE)</f>
        <v>16.8</v>
      </c>
      <c r="O2223" s="9">
        <v>13.5</v>
      </c>
      <c r="P2223" s="9">
        <v>19.5</v>
      </c>
      <c r="Q2223" s="79">
        <f>VLOOKUP(VLOOKUP(DATEVALUE(TEXT(A2223,"m/d/yyyy")),FY24_Temp[],5,FALSE)&amp;TEXT(A2223,"-h"),Table6[],4,FALSE)</f>
        <v>0.64328571728297645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VLOOKUP(TEXT(A2223,"yy-mm")&amp;"-"&amp;IF(AND(WEEKDAY(A2223)&gt;1,WEEKDAY(A2223)&lt;7),"Wkd",TEXT(A2223,"Ddd"))&amp;"-"&amp;TEXT(A2223,"hh"),LoadTable[],5,FALSE)*0.92</f>
        <v>237.25788000000003</v>
      </c>
      <c r="U2223" s="104">
        <f>VLOOKUP(TEXT(A2223,"yy-mm")&amp;"-"&amp;IF(AND(WEEKDAY(A2223)&gt;1,WEEKDAY(A2223)&lt;7),"Wkd",TEXT(A2223,"Ddd"))&amp;"-"&amp;TEXT(A2223,"hh"),LoadTable[],6,FALSE)*T2223</f>
        <v>10974.600497280002</v>
      </c>
      <c r="V2223">
        <f t="shared" ref="V2223:W2223" si="2370">V2199</f>
        <v>3.1</v>
      </c>
      <c r="W2223">
        <f t="shared" si="2370"/>
        <v>2.9</v>
      </c>
      <c r="X2223" s="9">
        <v>-112.14534286667001</v>
      </c>
    </row>
    <row r="2224" spans="1:24">
      <c r="A2224" s="29">
        <f t="shared" si="2323"/>
        <v>45928.54166666128</v>
      </c>
      <c r="B2224" s="30">
        <f t="shared" si="2347"/>
        <v>8000</v>
      </c>
      <c r="C2224" s="8">
        <v>25000</v>
      </c>
      <c r="D2224" s="8">
        <v>0</v>
      </c>
      <c r="E2224" s="8">
        <v>700</v>
      </c>
      <c r="F2224" s="8">
        <v>15000</v>
      </c>
      <c r="G2224" s="30">
        <f t="shared" si="2348"/>
        <v>2400</v>
      </c>
      <c r="H2224" s="8">
        <v>25000</v>
      </c>
      <c r="I2224" s="30">
        <f t="shared" si="2349"/>
        <v>8000</v>
      </c>
      <c r="J2224" s="8">
        <v>25000</v>
      </c>
      <c r="K2224" s="30">
        <f t="shared" si="2350"/>
        <v>8000</v>
      </c>
      <c r="L2224" s="8">
        <v>25000</v>
      </c>
      <c r="M2224" s="9">
        <f>VLOOKUP(DATE(YEAR(A2224),MONTH(A2224),DAY(A2224)),FY24_Temp[],4,FALSE)</f>
        <v>8.9</v>
      </c>
      <c r="N2224" s="9">
        <f>VLOOKUP(DATE(YEAR(A2224),MONTH(A2224),DAY(A2224)),FY24_Temp[],3,FALSE)</f>
        <v>16.8</v>
      </c>
      <c r="O2224" s="9">
        <v>13.5</v>
      </c>
      <c r="P2224" s="9">
        <v>19.5</v>
      </c>
      <c r="Q2224" s="79">
        <f>VLOOKUP(VLOOKUP(DATEVALUE(TEXT(A2224,"m/d/yyyy")),FY24_Temp[],5,FALSE)&amp;TEXT(A2224,"-h"),Table6[],4,FALSE)</f>
        <v>0.51885714275496342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VLOOKUP(TEXT(A2224,"yy-mm")&amp;"-"&amp;IF(AND(WEEKDAY(A2224)&gt;1,WEEKDAY(A2224)&lt;7),"Wkd",TEXT(A2224,"Ddd"))&amp;"-"&amp;TEXT(A2224,"hh"),LoadTable[],5,FALSE)*0.92</f>
        <v>237.25788000000003</v>
      </c>
      <c r="U2224" s="104">
        <f>VLOOKUP(TEXT(A2224,"yy-mm")&amp;"-"&amp;IF(AND(WEEKDAY(A2224)&gt;1,WEEKDAY(A2224)&lt;7),"Wkd",TEXT(A2224,"Ddd"))&amp;"-"&amp;TEXT(A2224,"hh"),LoadTable[],6,FALSE)*T2224</f>
        <v>10989.785001600001</v>
      </c>
      <c r="V2224">
        <f t="shared" ref="V2224:W2224" si="2371">V2200</f>
        <v>3.2</v>
      </c>
      <c r="W2224">
        <f t="shared" si="2371"/>
        <v>2.9</v>
      </c>
      <c r="X2224" s="9">
        <v>-112.22313741667</v>
      </c>
    </row>
    <row r="2225" spans="1:24">
      <c r="A2225" s="29">
        <f t="shared" si="2323"/>
        <v>45928.583333327944</v>
      </c>
      <c r="B2225" s="30">
        <f t="shared" si="2347"/>
        <v>8000</v>
      </c>
      <c r="C2225" s="8">
        <v>25000</v>
      </c>
      <c r="D2225" s="8">
        <v>0</v>
      </c>
      <c r="E2225" s="8">
        <v>700</v>
      </c>
      <c r="F2225" s="8">
        <v>15000</v>
      </c>
      <c r="G2225" s="30">
        <f t="shared" si="2348"/>
        <v>2400</v>
      </c>
      <c r="H2225" s="8">
        <v>25000</v>
      </c>
      <c r="I2225" s="30">
        <f t="shared" si="2349"/>
        <v>8000</v>
      </c>
      <c r="J2225" s="8">
        <v>25000</v>
      </c>
      <c r="K2225" s="30">
        <f t="shared" si="2350"/>
        <v>8000</v>
      </c>
      <c r="L2225" s="8">
        <v>25000</v>
      </c>
      <c r="M2225" s="9">
        <f>VLOOKUP(DATE(YEAR(A2225),MONTH(A2225),DAY(A2225)),FY24_Temp[],4,FALSE)</f>
        <v>8.9</v>
      </c>
      <c r="N2225" s="9">
        <f>VLOOKUP(DATE(YEAR(A2225),MONTH(A2225),DAY(A2225)),FY24_Temp[],3,FALSE)</f>
        <v>16.8</v>
      </c>
      <c r="O2225" s="9">
        <v>13.5</v>
      </c>
      <c r="P2225" s="9">
        <v>19.5</v>
      </c>
      <c r="Q2225" s="79">
        <f>VLOOKUP(VLOOKUP(DATEVALUE(TEXT(A2225,"m/d/yyyy")),FY24_Temp[],5,FALSE)&amp;TEXT(A2225,"-h"),Table6[],4,FALSE)</f>
        <v>0.4115714303084782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VLOOKUP(TEXT(A2225,"yy-mm")&amp;"-"&amp;IF(AND(WEEKDAY(A2225)&gt;1,WEEKDAY(A2225)&lt;7),"Wkd",TEXT(A2225,"Ddd"))&amp;"-"&amp;TEXT(A2225,"hh"),LoadTable[],5,FALSE)*0.92</f>
        <v>237.25788000000003</v>
      </c>
      <c r="U2225" s="104">
        <f>VLOOKUP(TEXT(A2225,"yy-mm")&amp;"-"&amp;IF(AND(WEEKDAY(A2225)&gt;1,WEEKDAY(A2225)&lt;7),"Wkd",TEXT(A2225,"Ddd"))&amp;"-"&amp;TEXT(A2225,"hh"),LoadTable[],6,FALSE)*T2225</f>
        <v>11586.014054040001</v>
      </c>
      <c r="V2225">
        <f t="shared" ref="V2225:W2225" si="2372">V2201</f>
        <v>3.5</v>
      </c>
      <c r="W2225">
        <f t="shared" si="2372"/>
        <v>2.9</v>
      </c>
      <c r="X2225" s="9">
        <v>-112.30093196667001</v>
      </c>
    </row>
    <row r="2226" spans="1:24">
      <c r="A2226" s="29">
        <f t="shared" si="2323"/>
        <v>45928.624999994609</v>
      </c>
      <c r="B2226" s="30">
        <f t="shared" si="2347"/>
        <v>8000</v>
      </c>
      <c r="C2226" s="8">
        <v>25000</v>
      </c>
      <c r="D2226" s="8">
        <v>0</v>
      </c>
      <c r="E2226" s="8">
        <v>700</v>
      </c>
      <c r="F2226" s="8">
        <v>15000</v>
      </c>
      <c r="G2226" s="30">
        <f t="shared" si="2348"/>
        <v>2400</v>
      </c>
      <c r="H2226" s="8">
        <v>25000</v>
      </c>
      <c r="I2226" s="30">
        <f t="shared" si="2349"/>
        <v>8000</v>
      </c>
      <c r="J2226" s="8">
        <v>25000</v>
      </c>
      <c r="K2226" s="30">
        <f t="shared" si="2350"/>
        <v>8000</v>
      </c>
      <c r="L2226" s="8">
        <v>25000</v>
      </c>
      <c r="M2226" s="9">
        <f>VLOOKUP(DATE(YEAR(A2226),MONTH(A2226),DAY(A2226)),FY24_Temp[],4,FALSE)</f>
        <v>8.9</v>
      </c>
      <c r="N2226" s="9">
        <f>VLOOKUP(DATE(YEAR(A2226),MONTH(A2226),DAY(A2226)),FY24_Temp[],3,FALSE)</f>
        <v>16.8</v>
      </c>
      <c r="O2226" s="9">
        <v>13.5</v>
      </c>
      <c r="P2226" s="9">
        <v>19.5</v>
      </c>
      <c r="Q2226" s="79">
        <f>VLOOKUP(VLOOKUP(DATEVALUE(TEXT(A2226,"m/d/yyyy")),FY24_Temp[],5,FALSE)&amp;TEXT(A2226,"-h"),Table6[],4,FALSE)</f>
        <v>0.39228571312768118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VLOOKUP(TEXT(A2226,"yy-mm")&amp;"-"&amp;IF(AND(WEEKDAY(A2226)&gt;1,WEEKDAY(A2226)&lt;7),"Wkd",TEXT(A2226,"Ddd"))&amp;"-"&amp;TEXT(A2226,"hh"),LoadTable[],5,FALSE)*0.92</f>
        <v>355.88728000000003</v>
      </c>
      <c r="U2226" s="104">
        <f>VLOOKUP(TEXT(A2226,"yy-mm")&amp;"-"&amp;IF(AND(WEEKDAY(A2226)&gt;1,WEEKDAY(A2226)&lt;7),"Wkd",TEXT(A2226,"Ddd"))&amp;"-"&amp;TEXT(A2226,"hh"),LoadTable[],6,FALSE)*T2226</f>
        <v>19252.078298880002</v>
      </c>
      <c r="V2226">
        <f t="shared" ref="V2226:W2226" si="2373">V2202</f>
        <v>3.2</v>
      </c>
      <c r="W2226">
        <f t="shared" si="2373"/>
        <v>2.9</v>
      </c>
      <c r="X2226" s="9">
        <v>-112.37872651667</v>
      </c>
    </row>
    <row r="2227" spans="1:24">
      <c r="A2227" s="29">
        <f t="shared" si="2323"/>
        <v>45928.666666661273</v>
      </c>
      <c r="B2227" s="30">
        <f t="shared" si="2347"/>
        <v>8000</v>
      </c>
      <c r="C2227" s="8">
        <v>25000</v>
      </c>
      <c r="D2227" s="8">
        <v>0</v>
      </c>
      <c r="E2227" s="8">
        <v>700</v>
      </c>
      <c r="F2227" s="8">
        <v>15000</v>
      </c>
      <c r="G2227" s="30">
        <f t="shared" si="2348"/>
        <v>2400</v>
      </c>
      <c r="H2227" s="8">
        <v>25000</v>
      </c>
      <c r="I2227" s="30">
        <f t="shared" si="2349"/>
        <v>8000</v>
      </c>
      <c r="J2227" s="8">
        <v>25000</v>
      </c>
      <c r="K2227" s="30">
        <f t="shared" si="2350"/>
        <v>8000</v>
      </c>
      <c r="L2227" s="8">
        <v>25000</v>
      </c>
      <c r="M2227" s="9">
        <f>VLOOKUP(DATE(YEAR(A2227),MONTH(A2227),DAY(A2227)),FY24_Temp[],4,FALSE)</f>
        <v>8.9</v>
      </c>
      <c r="N2227" s="9">
        <f>VLOOKUP(DATE(YEAR(A2227),MONTH(A2227),DAY(A2227)),FY24_Temp[],3,FALSE)</f>
        <v>16.8</v>
      </c>
      <c r="O2227" s="9">
        <v>13.5</v>
      </c>
      <c r="P2227" s="9">
        <v>19.5</v>
      </c>
      <c r="Q2227" s="79">
        <f>VLOOKUP(VLOOKUP(DATEVALUE(TEXT(A2227,"m/d/yyyy")),FY24_Temp[],5,FALSE)&amp;TEXT(A2227,"-h"),Table6[],4,FALSE)</f>
        <v>0.64628571271896362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VLOOKUP(TEXT(A2227,"yy-mm")&amp;"-"&amp;IF(AND(WEEKDAY(A2227)&gt;1,WEEKDAY(A2227)&lt;7),"Wkd",TEXT(A2227,"Ddd"))&amp;"-"&amp;TEXT(A2227,"hh"),LoadTable[],5,FALSE)*0.92</f>
        <v>388.38076000000001</v>
      </c>
      <c r="U2227" s="104">
        <f>VLOOKUP(TEXT(A2227,"yy-mm")&amp;"-"&amp;IF(AND(WEEKDAY(A2227)&gt;1,WEEKDAY(A2227)&lt;7),"Wkd",TEXT(A2227,"Ddd"))&amp;"-"&amp;TEXT(A2227,"hh"),LoadTable[],6,FALSE)*T2227</f>
        <v>27712.520749039999</v>
      </c>
      <c r="V2227">
        <f t="shared" ref="V2227:W2227" si="2374">V2203</f>
        <v>3.5</v>
      </c>
      <c r="W2227">
        <f t="shared" si="2374"/>
        <v>3</v>
      </c>
      <c r="X2227" s="9">
        <v>-112.45652106667001</v>
      </c>
    </row>
    <row r="2228" spans="1:24">
      <c r="A2228" s="29">
        <f t="shared" si="2323"/>
        <v>45928.708333327937</v>
      </c>
      <c r="B2228" s="30">
        <f t="shared" si="2347"/>
        <v>8000</v>
      </c>
      <c r="C2228" s="8">
        <v>25000</v>
      </c>
      <c r="D2228" s="8">
        <v>0</v>
      </c>
      <c r="E2228" s="8">
        <v>700</v>
      </c>
      <c r="F2228" s="8">
        <v>15000</v>
      </c>
      <c r="G2228" s="30">
        <f t="shared" si="2348"/>
        <v>2400</v>
      </c>
      <c r="H2228" s="8">
        <v>25000</v>
      </c>
      <c r="I2228" s="30">
        <f t="shared" si="2349"/>
        <v>8000</v>
      </c>
      <c r="J2228" s="8">
        <v>25000</v>
      </c>
      <c r="K2228" s="30">
        <f t="shared" si="2350"/>
        <v>8000</v>
      </c>
      <c r="L2228" s="8">
        <v>25000</v>
      </c>
      <c r="M2228" s="9">
        <f>VLOOKUP(DATE(YEAR(A2228),MONTH(A2228),DAY(A2228)),FY24_Temp[],4,FALSE)</f>
        <v>8.9</v>
      </c>
      <c r="N2228" s="9">
        <f>VLOOKUP(DATE(YEAR(A2228),MONTH(A2228),DAY(A2228)),FY24_Temp[],3,FALSE)</f>
        <v>16.8</v>
      </c>
      <c r="O2228" s="9">
        <v>13.5</v>
      </c>
      <c r="P2228" s="9">
        <v>19.5</v>
      </c>
      <c r="Q2228" s="79">
        <f>VLOOKUP(VLOOKUP(DATEVALUE(TEXT(A2228,"m/d/yyyy")),FY24_Temp[],5,FALSE)&amp;TEXT(A2228,"-h"),Table6[],4,FALSE)</f>
        <v>1.0399999873978751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VLOOKUP(TEXT(A2228,"yy-mm")&amp;"-"&amp;IF(AND(WEEKDAY(A2228)&gt;1,WEEKDAY(A2228)&lt;7),"Wkd",TEXT(A2228,"Ddd"))&amp;"-"&amp;TEXT(A2228,"hh"),LoadTable[],5,FALSE)*0.92</f>
        <v>388.38076000000001</v>
      </c>
      <c r="U2228" s="104">
        <f>VLOOKUP(TEXT(A2228,"yy-mm")&amp;"-"&amp;IF(AND(WEEKDAY(A2228)&gt;1,WEEKDAY(A2228)&lt;7),"Wkd",TEXT(A2228,"Ddd"))&amp;"-"&amp;TEXT(A2228,"hh"),LoadTable[],6,FALSE)*T2228</f>
        <v>36453.806514360003</v>
      </c>
      <c r="V2228">
        <f t="shared" ref="V2228:W2228" si="2375">V2204</f>
        <v>3.6</v>
      </c>
      <c r="W2228">
        <f t="shared" si="2375"/>
        <v>3</v>
      </c>
      <c r="X2228" s="9">
        <v>-112.53431561667</v>
      </c>
    </row>
    <row r="2229" spans="1:24">
      <c r="A2229" s="29">
        <f t="shared" si="2323"/>
        <v>45928.749999994601</v>
      </c>
      <c r="B2229" s="30">
        <f t="shared" si="2347"/>
        <v>5000</v>
      </c>
      <c r="C2229" s="8">
        <v>25000</v>
      </c>
      <c r="D2229" s="8">
        <v>0</v>
      </c>
      <c r="E2229" s="8">
        <v>700</v>
      </c>
      <c r="F2229" s="8">
        <v>15000</v>
      </c>
      <c r="G2229" s="30">
        <f t="shared" si="2348"/>
        <v>2400</v>
      </c>
      <c r="H2229" s="8">
        <v>25000</v>
      </c>
      <c r="I2229" s="30">
        <f t="shared" si="2349"/>
        <v>5000</v>
      </c>
      <c r="J2229" s="8">
        <v>25000</v>
      </c>
      <c r="K2229" s="30">
        <f t="shared" si="2350"/>
        <v>5000</v>
      </c>
      <c r="L2229" s="8">
        <v>25000</v>
      </c>
      <c r="M2229" s="9">
        <f>VLOOKUP(DATE(YEAR(A2229),MONTH(A2229),DAY(A2229)),FY24_Temp[],4,FALSE)</f>
        <v>8.9</v>
      </c>
      <c r="N2229" s="9">
        <f>VLOOKUP(DATE(YEAR(A2229),MONTH(A2229),DAY(A2229)),FY24_Temp[],3,FALSE)</f>
        <v>16.8</v>
      </c>
      <c r="O2229" s="9">
        <v>13.5</v>
      </c>
      <c r="P2229" s="9">
        <v>19.5</v>
      </c>
      <c r="Q2229" s="79">
        <f>VLOOKUP(VLOOKUP(DATEVALUE(TEXT(A2229,"m/d/yyyy")),FY24_Temp[],5,FALSE)&amp;TEXT(A2229,"-h"),Table6[],4,FALSE)</f>
        <v>1.47700001512255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VLOOKUP(TEXT(A2229,"yy-mm")&amp;"-"&amp;IF(AND(WEEKDAY(A2229)&gt;1,WEEKDAY(A2229)&lt;7),"Wkd",TEXT(A2229,"Ddd"))&amp;"-"&amp;TEXT(A2229,"hh"),LoadTable[],5,FALSE)*0.92</f>
        <v>388.38076000000001</v>
      </c>
      <c r="U2229" s="104">
        <f>VLOOKUP(TEXT(A2229,"yy-mm")&amp;"-"&amp;IF(AND(WEEKDAY(A2229)&gt;1,WEEKDAY(A2229)&lt;7),"Wkd",TEXT(A2229,"Ddd"))&amp;"-"&amp;TEXT(A2229,"hh"),LoadTable[],6,FALSE)*T2229</f>
        <v>43429.124963959999</v>
      </c>
      <c r="V2229">
        <f t="shared" ref="V2229:W2229" si="2376">V2205</f>
        <v>2.9</v>
      </c>
      <c r="W2229">
        <f t="shared" si="2376"/>
        <v>3</v>
      </c>
      <c r="X2229" s="9">
        <v>-112.61211016667001</v>
      </c>
    </row>
    <row r="2230" spans="1:24">
      <c r="A2230" s="29">
        <f t="shared" si="2323"/>
        <v>45928.791666661265</v>
      </c>
      <c r="B2230" s="30">
        <f t="shared" si="2347"/>
        <v>5000</v>
      </c>
      <c r="C2230" s="8">
        <v>25000</v>
      </c>
      <c r="D2230" s="8">
        <v>0</v>
      </c>
      <c r="E2230" s="8">
        <v>700</v>
      </c>
      <c r="F2230" s="8">
        <v>15000</v>
      </c>
      <c r="G2230" s="30">
        <f t="shared" si="2348"/>
        <v>2400</v>
      </c>
      <c r="H2230" s="8">
        <v>25000</v>
      </c>
      <c r="I2230" s="30">
        <f t="shared" si="2349"/>
        <v>5000</v>
      </c>
      <c r="J2230" s="8">
        <v>25000</v>
      </c>
      <c r="K2230" s="30">
        <f t="shared" si="2350"/>
        <v>5000</v>
      </c>
      <c r="L2230" s="8">
        <v>25000</v>
      </c>
      <c r="M2230" s="9">
        <f>VLOOKUP(DATE(YEAR(A2230),MONTH(A2230),DAY(A2230)),FY24_Temp[],4,FALSE)</f>
        <v>8.9</v>
      </c>
      <c r="N2230" s="9">
        <f>VLOOKUP(DATE(YEAR(A2230),MONTH(A2230),DAY(A2230)),FY24_Temp[],3,FALSE)</f>
        <v>16.8</v>
      </c>
      <c r="O2230" s="9">
        <v>13.5</v>
      </c>
      <c r="P2230" s="9">
        <v>19.5</v>
      </c>
      <c r="Q2230" s="79">
        <f>VLOOKUP(VLOOKUP(DATEVALUE(TEXT(A2230,"m/d/yyyy")),FY24_Temp[],5,FALSE)&amp;TEXT(A2230,"-h"),Table6[],4,FALSE)</f>
        <v>1.8152856826782227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VLOOKUP(TEXT(A2230,"yy-mm")&amp;"-"&amp;IF(AND(WEEKDAY(A2230)&gt;1,WEEKDAY(A2230)&lt;7),"Wkd",TEXT(A2230,"Ddd"))&amp;"-"&amp;TEXT(A2230,"hh"),LoadTable[],5,FALSE)*0.92</f>
        <v>388.38076000000001</v>
      </c>
      <c r="U2230" s="104">
        <f>VLOOKUP(TEXT(A2230,"yy-mm")&amp;"-"&amp;IF(AND(WEEKDAY(A2230)&gt;1,WEEKDAY(A2230)&lt;7),"Wkd",TEXT(A2230,"Ddd"))&amp;"-"&amp;TEXT(A2230,"hh"),LoadTable[],6,FALSE)*T2230</f>
        <v>45035.856168079998</v>
      </c>
      <c r="V2230">
        <f t="shared" ref="V2230:W2230" si="2377">V2206</f>
        <v>3</v>
      </c>
      <c r="W2230">
        <f t="shared" si="2377"/>
        <v>3</v>
      </c>
      <c r="X2230" s="9">
        <v>-112.68990471667</v>
      </c>
    </row>
    <row r="2231" spans="1:24">
      <c r="A2231" s="29">
        <f t="shared" si="2323"/>
        <v>45928.83333332793</v>
      </c>
      <c r="B2231" s="30">
        <f t="shared" si="2347"/>
        <v>5000</v>
      </c>
      <c r="C2231" s="8">
        <v>25000</v>
      </c>
      <c r="D2231" s="8">
        <v>0</v>
      </c>
      <c r="E2231" s="8">
        <v>700</v>
      </c>
      <c r="F2231" s="8">
        <v>15000</v>
      </c>
      <c r="G2231" s="30">
        <f t="shared" si="2348"/>
        <v>2400</v>
      </c>
      <c r="H2231" s="8">
        <v>25000</v>
      </c>
      <c r="I2231" s="30">
        <f t="shared" si="2349"/>
        <v>5000</v>
      </c>
      <c r="J2231" s="8">
        <v>25000</v>
      </c>
      <c r="K2231" s="30">
        <f t="shared" si="2350"/>
        <v>5000</v>
      </c>
      <c r="L2231" s="8">
        <v>25000</v>
      </c>
      <c r="M2231" s="9">
        <f>VLOOKUP(DATE(YEAR(A2231),MONTH(A2231),DAY(A2231)),FY24_Temp[],4,FALSE)</f>
        <v>8.9</v>
      </c>
      <c r="N2231" s="9">
        <f>VLOOKUP(DATE(YEAR(A2231),MONTH(A2231),DAY(A2231)),FY24_Temp[],3,FALSE)</f>
        <v>16.8</v>
      </c>
      <c r="O2231" s="9">
        <v>13.5</v>
      </c>
      <c r="P2231" s="9">
        <v>19.5</v>
      </c>
      <c r="Q2231" s="79">
        <f>VLOOKUP(VLOOKUP(DATEVALUE(TEXT(A2231,"m/d/yyyy")),FY24_Temp[],5,FALSE)&amp;TEXT(A2231,"-h"),Table6[],4,FALSE)</f>
        <v>1.9898571627480643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VLOOKUP(TEXT(A2231,"yy-mm")&amp;"-"&amp;IF(AND(WEEKDAY(A2231)&gt;1,WEEKDAY(A2231)&lt;7),"Wkd",TEXT(A2231,"Ddd"))&amp;"-"&amp;TEXT(A2231,"hh"),LoadTable[],5,FALSE)*0.92</f>
        <v>351.00484</v>
      </c>
      <c r="U2231" s="104">
        <f>VLOOKUP(TEXT(A2231,"yy-mm")&amp;"-"&amp;IF(AND(WEEKDAY(A2231)&gt;1,WEEKDAY(A2231)&lt;7),"Wkd",TEXT(A2231,"Ddd"))&amp;"-"&amp;TEXT(A2231,"hh"),LoadTable[],6,FALSE)*T2231</f>
        <v>38711.270789080001</v>
      </c>
      <c r="V2231">
        <f t="shared" ref="V2231:W2231" si="2378">V2207</f>
        <v>2.8</v>
      </c>
      <c r="W2231">
        <f t="shared" si="2378"/>
        <v>3.1</v>
      </c>
      <c r="X2231" s="9">
        <v>-112.76769926666999</v>
      </c>
    </row>
    <row r="2232" spans="1:24">
      <c r="A2232" s="29">
        <f t="shared" si="2323"/>
        <v>45928.874999994594</v>
      </c>
      <c r="B2232" s="30">
        <f t="shared" si="2347"/>
        <v>5000</v>
      </c>
      <c r="C2232" s="8">
        <v>25000</v>
      </c>
      <c r="D2232" s="8">
        <v>0</v>
      </c>
      <c r="E2232" s="8">
        <v>700</v>
      </c>
      <c r="F2232" s="8">
        <v>15000</v>
      </c>
      <c r="G2232" s="30">
        <f t="shared" si="2348"/>
        <v>2400</v>
      </c>
      <c r="H2232" s="8">
        <v>25000</v>
      </c>
      <c r="I2232" s="30">
        <f t="shared" si="2349"/>
        <v>5000</v>
      </c>
      <c r="J2232" s="8">
        <v>25000</v>
      </c>
      <c r="K2232" s="30">
        <f t="shared" si="2350"/>
        <v>5000</v>
      </c>
      <c r="L2232" s="8">
        <v>25000</v>
      </c>
      <c r="M2232" s="9">
        <f>VLOOKUP(DATE(YEAR(A2232),MONTH(A2232),DAY(A2232)),FY24_Temp[],4,FALSE)</f>
        <v>8.9</v>
      </c>
      <c r="N2232" s="9">
        <f>VLOOKUP(DATE(YEAR(A2232),MONTH(A2232),DAY(A2232)),FY24_Temp[],3,FALSE)</f>
        <v>16.8</v>
      </c>
      <c r="O2232" s="9">
        <v>13.5</v>
      </c>
      <c r="P2232" s="9">
        <v>19.5</v>
      </c>
      <c r="Q2232" s="79">
        <f>VLOOKUP(VLOOKUP(DATEVALUE(TEXT(A2232,"m/d/yyyy")),FY24_Temp[],5,FALSE)&amp;TEXT(A2232,"-h"),Table6[],4,FALSE)</f>
        <v>2.0539999689374651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VLOOKUP(TEXT(A2232,"yy-mm")&amp;"-"&amp;IF(AND(WEEKDAY(A2232)&gt;1,WEEKDAY(A2232)&lt;7),"Wkd",TEXT(A2232,"Ddd"))&amp;"-"&amp;TEXT(A2232,"hh"),LoadTable[],5,FALSE)*0.92</f>
        <v>299.95864</v>
      </c>
      <c r="U2232" s="104">
        <f>VLOOKUP(TEXT(A2232,"yy-mm")&amp;"-"&amp;IF(AND(WEEKDAY(A2232)&gt;1,WEEKDAY(A2232)&lt;7),"Wkd",TEXT(A2232,"Ddd"))&amp;"-"&amp;TEXT(A2232,"hh"),LoadTable[],6,FALSE)*T2232</f>
        <v>27922.849838959999</v>
      </c>
      <c r="V2232">
        <f t="shared" ref="V2232:W2232" si="2379">V2208</f>
        <v>3.5</v>
      </c>
      <c r="W2232">
        <f t="shared" si="2379"/>
        <v>3.1</v>
      </c>
      <c r="X2232" s="9">
        <v>-112.84549381667</v>
      </c>
    </row>
    <row r="2233" spans="1:24">
      <c r="A2233" s="29">
        <f t="shared" si="2323"/>
        <v>45928.916666661258</v>
      </c>
      <c r="B2233" s="30">
        <f t="shared" si="2347"/>
        <v>5000</v>
      </c>
      <c r="C2233" s="8">
        <v>25000</v>
      </c>
      <c r="D2233" s="8">
        <v>0</v>
      </c>
      <c r="E2233" s="8">
        <v>700</v>
      </c>
      <c r="F2233" s="8">
        <v>15000</v>
      </c>
      <c r="G2233" s="30">
        <f t="shared" si="2348"/>
        <v>2400</v>
      </c>
      <c r="H2233" s="8">
        <v>25000</v>
      </c>
      <c r="I2233" s="30">
        <f t="shared" si="2349"/>
        <v>5000</v>
      </c>
      <c r="J2233" s="8">
        <v>25000</v>
      </c>
      <c r="K2233" s="30">
        <f t="shared" si="2350"/>
        <v>5000</v>
      </c>
      <c r="L2233" s="8">
        <v>25000</v>
      </c>
      <c r="M2233" s="9">
        <f>VLOOKUP(DATE(YEAR(A2233),MONTH(A2233),DAY(A2233)),FY24_Temp[],4,FALSE)</f>
        <v>8.9</v>
      </c>
      <c r="N2233" s="9">
        <f>VLOOKUP(DATE(YEAR(A2233),MONTH(A2233),DAY(A2233)),FY24_Temp[],3,FALSE)</f>
        <v>16.8</v>
      </c>
      <c r="O2233" s="9">
        <v>13.5</v>
      </c>
      <c r="P2233" s="9">
        <v>19.5</v>
      </c>
      <c r="Q2233" s="79">
        <f>VLOOKUP(VLOOKUP(DATEVALUE(TEXT(A2233,"m/d/yyyy")),FY24_Temp[],5,FALSE)&amp;TEXT(A2233,"-h"),Table6[],4,FALSE)</f>
        <v>2.032142860548837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VLOOKUP(TEXT(A2233,"yy-mm")&amp;"-"&amp;IF(AND(WEEKDAY(A2233)&gt;1,WEEKDAY(A2233)&lt;7),"Wkd",TEXT(A2233,"Ddd"))&amp;"-"&amp;TEXT(A2233,"hh"),LoadTable[],5,FALSE)*0.92</f>
        <v>237.25788000000003</v>
      </c>
      <c r="U2233" s="104">
        <f>VLOOKUP(TEXT(A2233,"yy-mm")&amp;"-"&amp;IF(AND(WEEKDAY(A2233)&gt;1,WEEKDAY(A2233)&lt;7),"Wkd",TEXT(A2233,"Ddd"))&amp;"-"&amp;TEXT(A2233,"hh"),LoadTable[],6,FALSE)*T2233</f>
        <v>13362.838317360001</v>
      </c>
      <c r="V2233">
        <f t="shared" ref="V2233:W2233" si="2380">V2209</f>
        <v>2.9</v>
      </c>
      <c r="W2233">
        <f t="shared" si="2380"/>
        <v>3.1</v>
      </c>
      <c r="X2233" s="9">
        <v>-112.92328836666999</v>
      </c>
    </row>
    <row r="2234" spans="1:24">
      <c r="A2234" s="29">
        <f t="shared" si="2323"/>
        <v>45928.958333327922</v>
      </c>
      <c r="B2234" s="30">
        <f t="shared" si="2347"/>
        <v>5000</v>
      </c>
      <c r="C2234" s="8">
        <v>25000</v>
      </c>
      <c r="D2234" s="8">
        <v>0</v>
      </c>
      <c r="E2234" s="8">
        <v>700</v>
      </c>
      <c r="F2234" s="8">
        <v>15000</v>
      </c>
      <c r="G2234" s="30">
        <f t="shared" si="2348"/>
        <v>2400</v>
      </c>
      <c r="H2234" s="8">
        <v>25000</v>
      </c>
      <c r="I2234" s="30">
        <f t="shared" si="2349"/>
        <v>5000</v>
      </c>
      <c r="J2234" s="8">
        <v>25000</v>
      </c>
      <c r="K2234" s="30">
        <f t="shared" si="2350"/>
        <v>5000</v>
      </c>
      <c r="L2234" s="8">
        <v>25000</v>
      </c>
      <c r="M2234" s="9">
        <f>VLOOKUP(DATE(YEAR(A2234),MONTH(A2234),DAY(A2234)),FY24_Temp[],4,FALSE)</f>
        <v>8.9</v>
      </c>
      <c r="N2234" s="9">
        <f>VLOOKUP(DATE(YEAR(A2234),MONTH(A2234),DAY(A2234)),FY24_Temp[],3,FALSE)</f>
        <v>16.8</v>
      </c>
      <c r="O2234" s="9">
        <v>13.5</v>
      </c>
      <c r="P2234" s="9">
        <v>19.5</v>
      </c>
      <c r="Q2234" s="79">
        <f>VLOOKUP(VLOOKUP(DATEVALUE(TEXT(A2234,"m/d/yyyy")),FY24_Temp[],5,FALSE)&amp;TEXT(A2234,"-h"),Table6[],4,FALSE)</f>
        <v>2.0300000224794661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VLOOKUP(TEXT(A2234,"yy-mm")&amp;"-"&amp;IF(AND(WEEKDAY(A2234)&gt;1,WEEKDAY(A2234)&lt;7),"Wkd",TEXT(A2234,"Ddd"))&amp;"-"&amp;TEXT(A2234,"hh"),LoadTable[],5,FALSE)*0.92</f>
        <v>237.25788000000003</v>
      </c>
      <c r="U2234" s="104">
        <f>VLOOKUP(TEXT(A2234,"yy-mm")&amp;"-"&amp;IF(AND(WEEKDAY(A2234)&gt;1,WEEKDAY(A2234)&lt;7),"Wkd",TEXT(A2234,"Ddd"))&amp;"-"&amp;TEXT(A2234,"hh"),LoadTable[],6,FALSE)*T2234</f>
        <v>13015.255523160002</v>
      </c>
      <c r="V2234">
        <f t="shared" ref="V2234:W2234" si="2381">V2210</f>
        <v>3.6</v>
      </c>
      <c r="W2234">
        <f t="shared" si="2381"/>
        <v>3.1</v>
      </c>
      <c r="X2234" s="9">
        <v>-113.00108291667</v>
      </c>
    </row>
    <row r="2235" spans="1:24">
      <c r="A2235" s="29">
        <f t="shared" si="2323"/>
        <v>45928.999999994587</v>
      </c>
      <c r="B2235" s="30">
        <f t="shared" si="2347"/>
        <v>5000</v>
      </c>
      <c r="C2235" s="8">
        <v>25000</v>
      </c>
      <c r="D2235" s="8">
        <v>0</v>
      </c>
      <c r="E2235" s="8">
        <v>700</v>
      </c>
      <c r="F2235" s="8">
        <v>15000</v>
      </c>
      <c r="G2235" s="30">
        <f t="shared" si="2348"/>
        <v>2400</v>
      </c>
      <c r="H2235" s="8">
        <v>25000</v>
      </c>
      <c r="I2235" s="30">
        <f t="shared" si="2349"/>
        <v>5000</v>
      </c>
      <c r="J2235" s="8">
        <v>25000</v>
      </c>
      <c r="K2235" s="30">
        <f t="shared" si="2350"/>
        <v>5000</v>
      </c>
      <c r="L2235" s="8">
        <v>25000</v>
      </c>
      <c r="M2235" s="9">
        <f>VLOOKUP(DATE(YEAR(A2235),MONTH(A2235),DAY(A2235)),FY24_Temp[],4,FALSE)</f>
        <v>8.9</v>
      </c>
      <c r="N2235" s="9">
        <f>VLOOKUP(DATE(YEAR(A2235),MONTH(A2235),DAY(A2235)),FY24_Temp[],3,FALSE)</f>
        <v>16.8</v>
      </c>
      <c r="O2235" s="9">
        <v>13.5</v>
      </c>
      <c r="P2235" s="9">
        <v>19.5</v>
      </c>
      <c r="Q2235" s="79">
        <f>VLOOKUP(VLOOKUP(DATEVALUE(TEXT(A2235,"m/d/yyyy")),FY24_Temp[],5,FALSE)&amp;TEXT(A2235,"-h"),Table6[],4,FALSE)</f>
        <v>2.023857150759016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VLOOKUP(TEXT(A2235,"yy-mm")&amp;"-"&amp;IF(AND(WEEKDAY(A2235)&gt;1,WEEKDAY(A2235)&lt;7),"Wkd",TEXT(A2235,"Ddd"))&amp;"-"&amp;TEXT(A2235,"hh"),LoadTable[],5,FALSE)*0.92</f>
        <v>237.25788000000003</v>
      </c>
      <c r="U2235" s="104">
        <f>VLOOKUP(TEXT(A2235,"yy-mm")&amp;"-"&amp;IF(AND(WEEKDAY(A2235)&gt;1,WEEKDAY(A2235)&lt;7),"Wkd",TEXT(A2235,"Ddd"))&amp;"-"&amp;TEXT(A2235,"hh"),LoadTable[],6,FALSE)*T2235</f>
        <v>12215.696467560001</v>
      </c>
      <c r="V2235">
        <f t="shared" ref="V2235:W2235" si="2382">V2211</f>
        <v>3</v>
      </c>
      <c r="W2235">
        <f t="shared" si="2382"/>
        <v>3.2</v>
      </c>
      <c r="X2235" s="9">
        <v>-113.07887746666999</v>
      </c>
    </row>
    <row r="2236" spans="1:24">
      <c r="A2236" s="29">
        <f t="shared" si="2323"/>
        <v>45929.041666661251</v>
      </c>
      <c r="B2236" s="30">
        <f t="shared" si="2347"/>
        <v>5000</v>
      </c>
      <c r="C2236" s="8">
        <v>25000</v>
      </c>
      <c r="D2236" s="8">
        <v>0</v>
      </c>
      <c r="E2236" s="8">
        <v>700</v>
      </c>
      <c r="F2236" s="8">
        <v>15000</v>
      </c>
      <c r="G2236" s="30">
        <f t="shared" si="2348"/>
        <v>2400</v>
      </c>
      <c r="H2236" s="8">
        <v>25000</v>
      </c>
      <c r="I2236" s="30">
        <f t="shared" si="2349"/>
        <v>5000</v>
      </c>
      <c r="J2236" s="8">
        <v>25000</v>
      </c>
      <c r="K2236" s="30">
        <f t="shared" si="2350"/>
        <v>5000</v>
      </c>
      <c r="L2236" s="8">
        <v>25000</v>
      </c>
      <c r="M2236" s="9">
        <f>VLOOKUP(DATE(YEAR(A2236),MONTH(A2236),DAY(A2236)),FY24_Temp[],4,FALSE)</f>
        <v>8.9</v>
      </c>
      <c r="N2236" s="9">
        <f>VLOOKUP(DATE(YEAR(A2236),MONTH(A2236),DAY(A2236)),FY24_Temp[],3,FALSE)</f>
        <v>16.8</v>
      </c>
      <c r="O2236" s="9">
        <v>13.5</v>
      </c>
      <c r="P2236" s="9">
        <v>19.5</v>
      </c>
      <c r="Q2236" s="79">
        <f>VLOOKUP(VLOOKUP(DATEVALUE(TEXT(A2236,"m/d/yyyy")),FY24_Temp[],5,FALSE)&amp;TEXT(A2236,"-h"),Table6[],4,FALSE)</f>
        <v>1.9687142712729317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VLOOKUP(TEXT(A2236,"yy-mm")&amp;"-"&amp;IF(AND(WEEKDAY(A2236)&gt;1,WEEKDAY(A2236)&lt;7),"Wkd",TEXT(A2236,"Ddd"))&amp;"-"&amp;TEXT(A2236,"hh"),LoadTable[],5,FALSE)*0.92</f>
        <v>237.25788000000003</v>
      </c>
      <c r="U2236" s="104">
        <f>VLOOKUP(TEXT(A2236,"yy-mm")&amp;"-"&amp;IF(AND(WEEKDAY(A2236)&gt;1,WEEKDAY(A2236)&lt;7),"Wkd",TEXT(A2236,"Ddd"))&amp;"-"&amp;TEXT(A2236,"hh"),LoadTable[],6,FALSE)*T2236</f>
        <v>11905.12590264</v>
      </c>
      <c r="V2236">
        <f t="shared" ref="V2236:W2236" si="2383">V2212</f>
        <v>2.6</v>
      </c>
      <c r="W2236">
        <f t="shared" si="2383"/>
        <v>3.2</v>
      </c>
      <c r="X2236" s="9">
        <v>-113.15667201667</v>
      </c>
    </row>
    <row r="2237" spans="1:24">
      <c r="A2237" s="29">
        <f t="shared" si="2323"/>
        <v>45929.083333327915</v>
      </c>
      <c r="B2237" s="30">
        <f t="shared" si="2347"/>
        <v>5000</v>
      </c>
      <c r="C2237" s="8">
        <v>25000</v>
      </c>
      <c r="D2237" s="8">
        <v>0</v>
      </c>
      <c r="E2237" s="8">
        <v>700</v>
      </c>
      <c r="F2237" s="8">
        <v>15000</v>
      </c>
      <c r="G2237" s="30">
        <f t="shared" si="2348"/>
        <v>2400</v>
      </c>
      <c r="H2237" s="8">
        <v>25000</v>
      </c>
      <c r="I2237" s="30">
        <f t="shared" si="2349"/>
        <v>5000</v>
      </c>
      <c r="J2237" s="8">
        <v>25000</v>
      </c>
      <c r="K2237" s="30">
        <f t="shared" si="2350"/>
        <v>5000</v>
      </c>
      <c r="L2237" s="8">
        <v>25000</v>
      </c>
      <c r="M2237" s="9">
        <f>VLOOKUP(DATE(YEAR(A2237),MONTH(A2237),DAY(A2237)),FY24_Temp[],4,FALSE)</f>
        <v>8.9</v>
      </c>
      <c r="N2237" s="9">
        <f>VLOOKUP(DATE(YEAR(A2237),MONTH(A2237),DAY(A2237)),FY24_Temp[],3,FALSE)</f>
        <v>16.8</v>
      </c>
      <c r="O2237" s="9">
        <v>13.5</v>
      </c>
      <c r="P2237" s="9">
        <v>19.5</v>
      </c>
      <c r="Q2237" s="79">
        <f>VLOOKUP(VLOOKUP(DATEVALUE(TEXT(A2237,"m/d/yyyy")),FY24_Temp[],5,FALSE)&amp;TEXT(A2237,"-h"),Table6[],4,FALSE)</f>
        <v>1.8430000032697404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VLOOKUP(TEXT(A2237,"yy-mm")&amp;"-"&amp;IF(AND(WEEKDAY(A2237)&gt;1,WEEKDAY(A2237)&lt;7),"Wkd",TEXT(A2237,"Ddd"))&amp;"-"&amp;TEXT(A2237,"hh"),LoadTable[],5,FALSE)*0.92</f>
        <v>237.25788000000003</v>
      </c>
      <c r="U2237" s="104">
        <f>VLOOKUP(TEXT(A2237,"yy-mm")&amp;"-"&amp;IF(AND(WEEKDAY(A2237)&gt;1,WEEKDAY(A2237)&lt;7),"Wkd",TEXT(A2237,"Ddd"))&amp;"-"&amp;TEXT(A2237,"hh"),LoadTable[],6,FALSE)*T2237</f>
        <v>11856.013521480001</v>
      </c>
      <c r="V2237">
        <f t="shared" ref="V2237:W2237" si="2384">V2213</f>
        <v>2.8</v>
      </c>
      <c r="W2237">
        <f t="shared" si="2384"/>
        <v>3.2</v>
      </c>
      <c r="X2237" s="9">
        <v>-113.23446656666999</v>
      </c>
    </row>
    <row r="2238" spans="1:24">
      <c r="A2238" s="29">
        <f t="shared" si="2323"/>
        <v>45929.124999994579</v>
      </c>
      <c r="B2238" s="30">
        <f t="shared" si="2347"/>
        <v>5000</v>
      </c>
      <c r="C2238" s="8">
        <v>25000</v>
      </c>
      <c r="D2238" s="8">
        <v>0</v>
      </c>
      <c r="E2238" s="8">
        <v>700</v>
      </c>
      <c r="F2238" s="8">
        <v>15000</v>
      </c>
      <c r="G2238" s="30">
        <f t="shared" si="2348"/>
        <v>2400</v>
      </c>
      <c r="H2238" s="8">
        <v>25000</v>
      </c>
      <c r="I2238" s="30">
        <f t="shared" si="2349"/>
        <v>5000</v>
      </c>
      <c r="J2238" s="8">
        <v>25000</v>
      </c>
      <c r="K2238" s="30">
        <f t="shared" si="2350"/>
        <v>5000</v>
      </c>
      <c r="L2238" s="8">
        <v>25000</v>
      </c>
      <c r="M2238" s="9">
        <f>VLOOKUP(DATE(YEAR(A2238),MONTH(A2238),DAY(A2238)),FY24_Temp[],4,FALSE)</f>
        <v>8.9</v>
      </c>
      <c r="N2238" s="9">
        <f>VLOOKUP(DATE(YEAR(A2238),MONTH(A2238),DAY(A2238)),FY24_Temp[],3,FALSE)</f>
        <v>16.8</v>
      </c>
      <c r="O2238" s="9">
        <v>13.5</v>
      </c>
      <c r="P2238" s="9">
        <v>19.5</v>
      </c>
      <c r="Q2238" s="79">
        <f>VLOOKUP(VLOOKUP(DATEVALUE(TEXT(A2238,"m/d/yyyy")),FY24_Temp[],5,FALSE)&amp;TEXT(A2238,"-h"),Table6[],4,FALSE)</f>
        <v>1.7025714431490218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VLOOKUP(TEXT(A2238,"yy-mm")&amp;"-"&amp;IF(AND(WEEKDAY(A2238)&gt;1,WEEKDAY(A2238)&lt;7),"Wkd",TEXT(A2238,"Ddd"))&amp;"-"&amp;TEXT(A2238,"hh"),LoadTable[],5,FALSE)*0.92</f>
        <v>237.25788000000003</v>
      </c>
      <c r="U2238" s="104">
        <f>VLOOKUP(TEXT(A2238,"yy-mm")&amp;"-"&amp;IF(AND(WEEKDAY(A2238)&gt;1,WEEKDAY(A2238)&lt;7),"Wkd",TEXT(A2238,"Ddd"))&amp;"-"&amp;TEXT(A2238,"hh"),LoadTable[],6,FALSE)*T2238</f>
        <v>11893.025750760002</v>
      </c>
      <c r="V2238">
        <f t="shared" ref="V2238:W2238" si="2385">V2214</f>
        <v>2.7</v>
      </c>
      <c r="W2238">
        <f t="shared" si="2385"/>
        <v>3.2</v>
      </c>
      <c r="X2238" s="9">
        <v>-113.31226111667</v>
      </c>
    </row>
    <row r="2239" spans="1:24">
      <c r="A2239" s="29">
        <f t="shared" si="2323"/>
        <v>45929.166666661244</v>
      </c>
      <c r="B2239" s="30">
        <f t="shared" si="2347"/>
        <v>5000</v>
      </c>
      <c r="C2239" s="8">
        <v>25000</v>
      </c>
      <c r="D2239" s="8">
        <v>0</v>
      </c>
      <c r="E2239" s="8">
        <v>700</v>
      </c>
      <c r="F2239" s="8">
        <v>15000</v>
      </c>
      <c r="G2239" s="30">
        <f t="shared" si="2348"/>
        <v>2400</v>
      </c>
      <c r="H2239" s="8">
        <v>25000</v>
      </c>
      <c r="I2239" s="30">
        <f t="shared" si="2349"/>
        <v>5000</v>
      </c>
      <c r="J2239" s="8">
        <v>25000</v>
      </c>
      <c r="K2239" s="30">
        <f t="shared" si="2350"/>
        <v>5000</v>
      </c>
      <c r="L2239" s="8">
        <v>25000</v>
      </c>
      <c r="M2239" s="9">
        <f>VLOOKUP(DATE(YEAR(A2239),MONTH(A2239),DAY(A2239)),FY24_Temp[],4,FALSE)</f>
        <v>8.9</v>
      </c>
      <c r="N2239" s="9">
        <f>VLOOKUP(DATE(YEAR(A2239),MONTH(A2239),DAY(A2239)),FY24_Temp[],3,FALSE)</f>
        <v>16.8</v>
      </c>
      <c r="O2239" s="9">
        <v>13.5</v>
      </c>
      <c r="P2239" s="9">
        <v>19.5</v>
      </c>
      <c r="Q2239" s="79">
        <f>VLOOKUP(VLOOKUP(DATEVALUE(TEXT(A2239,"m/d/yyyy")),FY24_Temp[],5,FALSE)&amp;TEXT(A2239,"-h"),Table6[],4,FALSE)</f>
        <v>1.5532857179641724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VLOOKUP(TEXT(A2239,"yy-mm")&amp;"-"&amp;IF(AND(WEEKDAY(A2239)&gt;1,WEEKDAY(A2239)&lt;7),"Wkd",TEXT(A2239,"Ddd"))&amp;"-"&amp;TEXT(A2239,"hh"),LoadTable[],5,FALSE)*0.92</f>
        <v>237.25788000000003</v>
      </c>
      <c r="U2239" s="104">
        <f>VLOOKUP(TEXT(A2239,"yy-mm")&amp;"-"&amp;IF(AND(WEEKDAY(A2239)&gt;1,WEEKDAY(A2239)&lt;7),"Wkd",TEXT(A2239,"Ddd"))&amp;"-"&amp;TEXT(A2239,"hh"),LoadTable[],6,FALSE)*T2239</f>
        <v>12081.645765360001</v>
      </c>
      <c r="V2239">
        <f t="shared" ref="V2239:W2239" si="2386">V2215</f>
        <v>3</v>
      </c>
      <c r="W2239">
        <f t="shared" si="2386"/>
        <v>3.1</v>
      </c>
      <c r="X2239" s="9">
        <v>-113.39005566666999</v>
      </c>
    </row>
    <row r="2240" spans="1:24">
      <c r="A2240" s="29">
        <f t="shared" si="2323"/>
        <v>45929.208333327908</v>
      </c>
      <c r="B2240" s="30">
        <f t="shared" si="2347"/>
        <v>5000</v>
      </c>
      <c r="C2240" s="8">
        <v>25000</v>
      </c>
      <c r="D2240" s="8">
        <v>0</v>
      </c>
      <c r="E2240" s="8">
        <v>700</v>
      </c>
      <c r="F2240" s="8">
        <v>15000</v>
      </c>
      <c r="G2240" s="30">
        <f t="shared" si="2348"/>
        <v>2400</v>
      </c>
      <c r="H2240" s="8">
        <v>25000</v>
      </c>
      <c r="I2240" s="30">
        <f t="shared" si="2349"/>
        <v>5000</v>
      </c>
      <c r="J2240" s="8">
        <v>25000</v>
      </c>
      <c r="K2240" s="30">
        <f t="shared" si="2350"/>
        <v>5000</v>
      </c>
      <c r="L2240" s="8">
        <v>25000</v>
      </c>
      <c r="M2240" s="9">
        <f>VLOOKUP(DATE(YEAR(A2240),MONTH(A2240),DAY(A2240)),FY24_Temp[],4,FALSE)</f>
        <v>8.9</v>
      </c>
      <c r="N2240" s="9">
        <f>VLOOKUP(DATE(YEAR(A2240),MONTH(A2240),DAY(A2240)),FY24_Temp[],3,FALSE)</f>
        <v>16.8</v>
      </c>
      <c r="O2240" s="9">
        <v>13.5</v>
      </c>
      <c r="P2240" s="9">
        <v>19.5</v>
      </c>
      <c r="Q2240" s="79">
        <f>VLOOKUP(VLOOKUP(DATEVALUE(TEXT(A2240,"m/d/yyyy")),FY24_Temp[],5,FALSE)&amp;TEXT(A2240,"-h"),Table6[],4,FALSE)</f>
        <v>1.4412857123783656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VLOOKUP(TEXT(A2240,"yy-mm")&amp;"-"&amp;IF(AND(WEEKDAY(A2240)&gt;1,WEEKDAY(A2240)&lt;7),"Wkd",TEXT(A2240,"Ddd"))&amp;"-"&amp;TEXT(A2240,"hh"),LoadTable[],5,FALSE)*0.92</f>
        <v>237.25788000000003</v>
      </c>
      <c r="U2240" s="104">
        <f>VLOOKUP(TEXT(A2240,"yy-mm")&amp;"-"&amp;IF(AND(WEEKDAY(A2240)&gt;1,WEEKDAY(A2240)&lt;7),"Wkd",TEXT(A2240,"Ddd"))&amp;"-"&amp;TEXT(A2240,"hh"),LoadTable[],6,FALSE)*T2240</f>
        <v>12065.037713760001</v>
      </c>
      <c r="V2240">
        <f t="shared" ref="V2240:W2240" si="2387">V2216</f>
        <v>2.9</v>
      </c>
      <c r="W2240">
        <f t="shared" si="2387"/>
        <v>3.1</v>
      </c>
      <c r="X2240" s="9">
        <v>-113.46785021667</v>
      </c>
    </row>
    <row r="2241" spans="1:24">
      <c r="A2241" s="29">
        <f t="shared" si="2323"/>
        <v>45929.249999994572</v>
      </c>
      <c r="B2241" s="30">
        <f t="shared" si="2347"/>
        <v>8000</v>
      </c>
      <c r="C2241" s="8">
        <v>25000</v>
      </c>
      <c r="D2241" s="8">
        <v>0</v>
      </c>
      <c r="E2241" s="8">
        <v>700</v>
      </c>
      <c r="F2241" s="8">
        <v>15000</v>
      </c>
      <c r="G2241" s="30">
        <f t="shared" si="2348"/>
        <v>2400</v>
      </c>
      <c r="H2241" s="8">
        <v>25000</v>
      </c>
      <c r="I2241" s="30">
        <f t="shared" si="2349"/>
        <v>8000</v>
      </c>
      <c r="J2241" s="8">
        <v>25000</v>
      </c>
      <c r="K2241" s="30">
        <f t="shared" si="2350"/>
        <v>8000</v>
      </c>
      <c r="L2241" s="8">
        <v>25000</v>
      </c>
      <c r="M2241" s="9">
        <f>VLOOKUP(DATE(YEAR(A2241),MONTH(A2241),DAY(A2241)),FY24_Temp[],4,FALSE)</f>
        <v>8.9</v>
      </c>
      <c r="N2241" s="9">
        <f>VLOOKUP(DATE(YEAR(A2241),MONTH(A2241),DAY(A2241)),FY24_Temp[],3,FALSE)</f>
        <v>16.8</v>
      </c>
      <c r="O2241" s="9">
        <v>13.5</v>
      </c>
      <c r="P2241" s="9">
        <v>19.5</v>
      </c>
      <c r="Q2241" s="79">
        <f>VLOOKUP(VLOOKUP(DATEVALUE(TEXT(A2241,"m/d/yyyy")),FY24_Temp[],5,FALSE)&amp;TEXT(A2241,"-h"),Table6[],4,FALSE)</f>
        <v>1.3392857142857142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VLOOKUP(TEXT(A2241,"yy-mm")&amp;"-"&amp;IF(AND(WEEKDAY(A2241)&gt;1,WEEKDAY(A2241)&lt;7),"Wkd",TEXT(A2241,"Ddd"))&amp;"-"&amp;TEXT(A2241,"hh"),LoadTable[],5,FALSE)*0.92</f>
        <v>237.25788000000003</v>
      </c>
      <c r="U2241" s="104">
        <f>VLOOKUP(TEXT(A2241,"yy-mm")&amp;"-"&amp;IF(AND(WEEKDAY(A2241)&gt;1,WEEKDAY(A2241)&lt;7),"Wkd",TEXT(A2241,"Ddd"))&amp;"-"&amp;TEXT(A2241,"hh"),LoadTable[],6,FALSE)*T2241</f>
        <v>18358.065722880005</v>
      </c>
      <c r="V2241">
        <f t="shared" ref="V2241:W2241" si="2388">V2217</f>
        <v>2.5</v>
      </c>
      <c r="W2241">
        <f t="shared" si="2388"/>
        <v>3.1</v>
      </c>
      <c r="X2241" s="9">
        <v>-113.54564476666999</v>
      </c>
    </row>
    <row r="2242" spans="1:24">
      <c r="A2242" s="29">
        <f t="shared" si="2323"/>
        <v>45929.291666661236</v>
      </c>
      <c r="B2242" s="30">
        <f t="shared" si="2347"/>
        <v>8000</v>
      </c>
      <c r="C2242" s="8">
        <v>25000</v>
      </c>
      <c r="D2242" s="8">
        <v>0</v>
      </c>
      <c r="E2242" s="8">
        <v>700</v>
      </c>
      <c r="F2242" s="8">
        <v>15000</v>
      </c>
      <c r="G2242" s="30">
        <f t="shared" si="2348"/>
        <v>2400</v>
      </c>
      <c r="H2242" s="8">
        <v>25000</v>
      </c>
      <c r="I2242" s="30">
        <f t="shared" si="2349"/>
        <v>8000</v>
      </c>
      <c r="J2242" s="8">
        <v>25000</v>
      </c>
      <c r="K2242" s="30">
        <f t="shared" si="2350"/>
        <v>8000</v>
      </c>
      <c r="L2242" s="8">
        <v>25000</v>
      </c>
      <c r="M2242" s="9">
        <f>VLOOKUP(DATE(YEAR(A2242),MONTH(A2242),DAY(A2242)),FY24_Temp[],4,FALSE)</f>
        <v>8.9</v>
      </c>
      <c r="N2242" s="9">
        <f>VLOOKUP(DATE(YEAR(A2242),MONTH(A2242),DAY(A2242)),FY24_Temp[],3,FALSE)</f>
        <v>16.8</v>
      </c>
      <c r="O2242" s="9">
        <v>13.5</v>
      </c>
      <c r="P2242" s="9">
        <v>19.5</v>
      </c>
      <c r="Q2242" s="79">
        <f>VLOOKUP(VLOOKUP(DATEVALUE(TEXT(A2242,"m/d/yyyy")),FY24_Temp[],5,FALSE)&amp;TEXT(A2242,"-h"),Table6[],4,FALSE)</f>
        <v>1.180142845426287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VLOOKUP(TEXT(A2242,"yy-mm")&amp;"-"&amp;IF(AND(WEEKDAY(A2242)&gt;1,WEEKDAY(A2242)&lt;7),"Wkd",TEXT(A2242,"Ddd"))&amp;"-"&amp;TEXT(A2242,"hh"),LoadTable[],5,FALSE)*0.92</f>
        <v>237.25788000000003</v>
      </c>
      <c r="U2242" s="104">
        <f>VLOOKUP(TEXT(A2242,"yy-mm")&amp;"-"&amp;IF(AND(WEEKDAY(A2242)&gt;1,WEEKDAY(A2242)&lt;7),"Wkd",TEXT(A2242,"Ddd"))&amp;"-"&amp;TEXT(A2242,"hh"),LoadTable[],6,FALSE)*T2242</f>
        <v>16249.08042756</v>
      </c>
      <c r="V2242">
        <f t="shared" ref="V2242:W2242" si="2389">V2218</f>
        <v>2.5</v>
      </c>
      <c r="W2242">
        <f t="shared" si="2389"/>
        <v>3.1</v>
      </c>
      <c r="X2242" s="9">
        <v>-113.62343931667</v>
      </c>
    </row>
    <row r="2243" spans="1:24">
      <c r="A2243" s="29">
        <f t="shared" si="2323"/>
        <v>45929.333333327901</v>
      </c>
      <c r="B2243" s="30">
        <f t="shared" si="2347"/>
        <v>8000</v>
      </c>
      <c r="C2243" s="8">
        <v>25000</v>
      </c>
      <c r="D2243" s="8">
        <v>0</v>
      </c>
      <c r="E2243" s="8">
        <v>700</v>
      </c>
      <c r="F2243" s="8">
        <v>15000</v>
      </c>
      <c r="G2243" s="30">
        <f t="shared" si="2348"/>
        <v>2400</v>
      </c>
      <c r="H2243" s="8">
        <v>25000</v>
      </c>
      <c r="I2243" s="30">
        <f t="shared" si="2349"/>
        <v>8000</v>
      </c>
      <c r="J2243" s="8">
        <v>25000</v>
      </c>
      <c r="K2243" s="30">
        <f t="shared" si="2350"/>
        <v>8000</v>
      </c>
      <c r="L2243" s="8">
        <v>25000</v>
      </c>
      <c r="M2243" s="9">
        <f>VLOOKUP(DATE(YEAR(A2243),MONTH(A2243),DAY(A2243)),FY24_Temp[],4,FALSE)</f>
        <v>8.9</v>
      </c>
      <c r="N2243" s="9">
        <f>VLOOKUP(DATE(YEAR(A2243),MONTH(A2243),DAY(A2243)),FY24_Temp[],3,FALSE)</f>
        <v>16.8</v>
      </c>
      <c r="O2243" s="9">
        <v>13.5</v>
      </c>
      <c r="P2243" s="9">
        <v>19.5</v>
      </c>
      <c r="Q2243" s="79">
        <f>VLOOKUP(VLOOKUP(DATEVALUE(TEXT(A2243,"m/d/yyyy")),FY24_Temp[],5,FALSE)&amp;TEXT(A2243,"-h"),Table6[],4,FALSE)</f>
        <v>1.1274285657065255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VLOOKUP(TEXT(A2243,"yy-mm")&amp;"-"&amp;IF(AND(WEEKDAY(A2243)&gt;1,WEEKDAY(A2243)&lt;7),"Wkd",TEXT(A2243,"Ddd"))&amp;"-"&amp;TEXT(A2243,"hh"),LoadTable[],5,FALSE)*0.92</f>
        <v>237.25788000000003</v>
      </c>
      <c r="U2243" s="104">
        <f>VLOOKUP(TEXT(A2243,"yy-mm")&amp;"-"&amp;IF(AND(WEEKDAY(A2243)&gt;1,WEEKDAY(A2243)&lt;7),"Wkd",TEXT(A2243,"Ddd"))&amp;"-"&amp;TEXT(A2243,"hh"),LoadTable[],6,FALSE)*T2243</f>
        <v>13068.164030400001</v>
      </c>
      <c r="V2243">
        <f t="shared" ref="V2243:W2243" si="2390">V2219</f>
        <v>3.2</v>
      </c>
      <c r="W2243">
        <f t="shared" si="2390"/>
        <v>3</v>
      </c>
      <c r="X2243" s="9">
        <v>-113.70123386666999</v>
      </c>
    </row>
    <row r="2244" spans="1:24">
      <c r="A2244" s="29">
        <f t="shared" si="2323"/>
        <v>45929.374999994565</v>
      </c>
      <c r="B2244" s="30">
        <f t="shared" si="2347"/>
        <v>8000</v>
      </c>
      <c r="C2244" s="8">
        <v>25000</v>
      </c>
      <c r="D2244" s="8">
        <v>0</v>
      </c>
      <c r="E2244" s="8">
        <v>700</v>
      </c>
      <c r="F2244" s="8">
        <v>15000</v>
      </c>
      <c r="G2244" s="30">
        <f t="shared" si="2348"/>
        <v>2400</v>
      </c>
      <c r="H2244" s="8">
        <v>25000</v>
      </c>
      <c r="I2244" s="30">
        <f t="shared" si="2349"/>
        <v>8000</v>
      </c>
      <c r="J2244" s="8">
        <v>25000</v>
      </c>
      <c r="K2244" s="30">
        <f t="shared" si="2350"/>
        <v>8000</v>
      </c>
      <c r="L2244" s="8">
        <v>25000</v>
      </c>
      <c r="M2244" s="9">
        <f>VLOOKUP(DATE(YEAR(A2244),MONTH(A2244),DAY(A2244)),FY24_Temp[],4,FALSE)</f>
        <v>8.9</v>
      </c>
      <c r="N2244" s="9">
        <f>VLOOKUP(DATE(YEAR(A2244),MONTH(A2244),DAY(A2244)),FY24_Temp[],3,FALSE)</f>
        <v>16.8</v>
      </c>
      <c r="O2244" s="9">
        <v>13.5</v>
      </c>
      <c r="P2244" s="9">
        <v>19.5</v>
      </c>
      <c r="Q2244" s="79">
        <f>VLOOKUP(VLOOKUP(DATEVALUE(TEXT(A2244,"m/d/yyyy")),FY24_Temp[],5,FALSE)&amp;TEXT(A2244,"-h"),Table6[],4,FALSE)</f>
        <v>0.99485715797969276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VLOOKUP(TEXT(A2244,"yy-mm")&amp;"-"&amp;IF(AND(WEEKDAY(A2244)&gt;1,WEEKDAY(A2244)&lt;7),"Wkd",TEXT(A2244,"Ddd"))&amp;"-"&amp;TEXT(A2244,"hh"),LoadTable[],5,FALSE)*0.92</f>
        <v>237.25788000000003</v>
      </c>
      <c r="U2244" s="104">
        <f>VLOOKUP(TEXT(A2244,"yy-mm")&amp;"-"&amp;IF(AND(WEEKDAY(A2244)&gt;1,WEEKDAY(A2244)&lt;7),"Wkd",TEXT(A2244,"Ddd"))&amp;"-"&amp;TEXT(A2244,"hh"),LoadTable[],6,FALSE)*T2244</f>
        <v>11518.395558240001</v>
      </c>
      <c r="V2244">
        <f t="shared" ref="V2244:W2244" si="2391">V2220</f>
        <v>2.9</v>
      </c>
      <c r="W2244">
        <f t="shared" si="2391"/>
        <v>3</v>
      </c>
      <c r="X2244" s="9">
        <v>-113.77902841667</v>
      </c>
    </row>
    <row r="2245" spans="1:24">
      <c r="A2245" s="29">
        <f t="shared" ref="A2245:A2308" si="2392">A2244+TIME(1,0,0)</f>
        <v>45929.416666661229</v>
      </c>
      <c r="B2245" s="30">
        <f t="shared" si="2347"/>
        <v>8000</v>
      </c>
      <c r="C2245" s="8">
        <v>25000</v>
      </c>
      <c r="D2245" s="8">
        <v>0</v>
      </c>
      <c r="E2245" s="8">
        <v>700</v>
      </c>
      <c r="F2245" s="8">
        <v>15000</v>
      </c>
      <c r="G2245" s="30">
        <f t="shared" si="2348"/>
        <v>2400</v>
      </c>
      <c r="H2245" s="8">
        <v>25000</v>
      </c>
      <c r="I2245" s="30">
        <f t="shared" si="2349"/>
        <v>8000</v>
      </c>
      <c r="J2245" s="8">
        <v>25000</v>
      </c>
      <c r="K2245" s="30">
        <f t="shared" si="2350"/>
        <v>8000</v>
      </c>
      <c r="L2245" s="8">
        <v>25000</v>
      </c>
      <c r="M2245" s="9">
        <f>VLOOKUP(DATE(YEAR(A2245),MONTH(A2245),DAY(A2245)),FY24_Temp[],4,FALSE)</f>
        <v>8.9</v>
      </c>
      <c r="N2245" s="9">
        <f>VLOOKUP(DATE(YEAR(A2245),MONTH(A2245),DAY(A2245)),FY24_Temp[],3,FALSE)</f>
        <v>16.8</v>
      </c>
      <c r="O2245" s="9">
        <v>13.5</v>
      </c>
      <c r="P2245" s="9">
        <v>19.5</v>
      </c>
      <c r="Q2245" s="79">
        <f>VLOOKUP(VLOOKUP(DATEVALUE(TEXT(A2245,"m/d/yyyy")),FY24_Temp[],5,FALSE)&amp;TEXT(A2245,"-h"),Table6[],4,FALSE)</f>
        <v>0.87171429395675659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VLOOKUP(TEXT(A2245,"yy-mm")&amp;"-"&amp;IF(AND(WEEKDAY(A2245)&gt;1,WEEKDAY(A2245)&lt;7),"Wkd",TEXT(A2245,"Ddd"))&amp;"-"&amp;TEXT(A2245,"hh"),LoadTable[],5,FALSE)*0.92</f>
        <v>237.25788000000003</v>
      </c>
      <c r="U2245" s="104">
        <f>VLOOKUP(TEXT(A2245,"yy-mm")&amp;"-"&amp;IF(AND(WEEKDAY(A2245)&gt;1,WEEKDAY(A2245)&lt;7),"Wkd",TEXT(A2245,"Ddd"))&amp;"-"&amp;TEXT(A2245,"hh"),LoadTable[],6,FALSE)*T2245</f>
        <v>10982.667265200002</v>
      </c>
      <c r="V2245">
        <f t="shared" ref="V2245:W2245" si="2393">V2221</f>
        <v>2.9</v>
      </c>
      <c r="W2245">
        <f t="shared" si="2393"/>
        <v>3</v>
      </c>
      <c r="X2245" s="9">
        <v>-113.85682296666999</v>
      </c>
    </row>
    <row r="2246" spans="1:24">
      <c r="A2246" s="29">
        <f t="shared" si="2392"/>
        <v>45929.458333327893</v>
      </c>
      <c r="B2246" s="30">
        <f t="shared" si="2347"/>
        <v>8000</v>
      </c>
      <c r="C2246" s="8">
        <v>25000</v>
      </c>
      <c r="D2246" s="8">
        <v>0</v>
      </c>
      <c r="E2246" s="8">
        <v>700</v>
      </c>
      <c r="F2246" s="8">
        <v>15000</v>
      </c>
      <c r="G2246" s="30">
        <f t="shared" si="2348"/>
        <v>2400</v>
      </c>
      <c r="H2246" s="8">
        <v>25000</v>
      </c>
      <c r="I2246" s="30">
        <f t="shared" si="2349"/>
        <v>8000</v>
      </c>
      <c r="J2246" s="8">
        <v>25000</v>
      </c>
      <c r="K2246" s="30">
        <f t="shared" si="2350"/>
        <v>8000</v>
      </c>
      <c r="L2246" s="8">
        <v>25000</v>
      </c>
      <c r="M2246" s="9">
        <f>VLOOKUP(DATE(YEAR(A2246),MONTH(A2246),DAY(A2246)),FY24_Temp[],4,FALSE)</f>
        <v>8.9</v>
      </c>
      <c r="N2246" s="9">
        <f>VLOOKUP(DATE(YEAR(A2246),MONTH(A2246),DAY(A2246)),FY24_Temp[],3,FALSE)</f>
        <v>16.8</v>
      </c>
      <c r="O2246" s="9">
        <v>13.5</v>
      </c>
      <c r="P2246" s="9">
        <v>19.5</v>
      </c>
      <c r="Q2246" s="79">
        <f>VLOOKUP(VLOOKUP(DATEVALUE(TEXT(A2246,"m/d/yyyy")),FY24_Temp[],5,FALSE)&amp;TEXT(A2246,"-h"),Table6[],4,FALSE)</f>
        <v>0.77757143974304199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VLOOKUP(TEXT(A2246,"yy-mm")&amp;"-"&amp;IF(AND(WEEKDAY(A2246)&gt;1,WEEKDAY(A2246)&lt;7),"Wkd",TEXT(A2246,"Ddd"))&amp;"-"&amp;TEXT(A2246,"hh"),LoadTable[],5,FALSE)*0.92</f>
        <v>237.25788000000003</v>
      </c>
      <c r="U2246" s="104">
        <f>VLOOKUP(TEXT(A2246,"yy-mm")&amp;"-"&amp;IF(AND(WEEKDAY(A2246)&gt;1,WEEKDAY(A2246)&lt;7),"Wkd",TEXT(A2246,"Ddd"))&amp;"-"&amp;TEXT(A2246,"hh"),LoadTable[],6,FALSE)*T2246</f>
        <v>10974.125981520001</v>
      </c>
      <c r="V2246">
        <f t="shared" ref="V2246:W2246" si="2394">V2222</f>
        <v>3.4</v>
      </c>
      <c r="W2246">
        <f t="shared" si="2394"/>
        <v>3</v>
      </c>
      <c r="X2246" s="9">
        <v>-113.93461751667</v>
      </c>
    </row>
    <row r="2247" spans="1:24">
      <c r="A2247" s="29">
        <f t="shared" si="2392"/>
        <v>45929.499999994558</v>
      </c>
      <c r="B2247" s="30">
        <f t="shared" si="2347"/>
        <v>8000</v>
      </c>
      <c r="C2247" s="8">
        <v>25000</v>
      </c>
      <c r="D2247" s="8">
        <v>0</v>
      </c>
      <c r="E2247" s="8">
        <v>700</v>
      </c>
      <c r="F2247" s="8">
        <v>15000</v>
      </c>
      <c r="G2247" s="30">
        <f t="shared" si="2348"/>
        <v>2400</v>
      </c>
      <c r="H2247" s="8">
        <v>25000</v>
      </c>
      <c r="I2247" s="30">
        <f t="shared" si="2349"/>
        <v>8000</v>
      </c>
      <c r="J2247" s="8">
        <v>25000</v>
      </c>
      <c r="K2247" s="30">
        <f t="shared" si="2350"/>
        <v>8000</v>
      </c>
      <c r="L2247" s="8">
        <v>25000</v>
      </c>
      <c r="M2247" s="9">
        <f>VLOOKUP(DATE(YEAR(A2247),MONTH(A2247),DAY(A2247)),FY24_Temp[],4,FALSE)</f>
        <v>8.9</v>
      </c>
      <c r="N2247" s="9">
        <f>VLOOKUP(DATE(YEAR(A2247),MONTH(A2247),DAY(A2247)),FY24_Temp[],3,FALSE)</f>
        <v>16.8</v>
      </c>
      <c r="O2247" s="9">
        <v>13.5</v>
      </c>
      <c r="P2247" s="9">
        <v>19.5</v>
      </c>
      <c r="Q2247" s="79">
        <f>VLOOKUP(VLOOKUP(DATEVALUE(TEXT(A2247,"m/d/yyyy")),FY24_Temp[],5,FALSE)&amp;TEXT(A2247,"-h"),Table6[],4,FALSE)</f>
        <v>0.64328571728297645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VLOOKUP(TEXT(A2247,"yy-mm")&amp;"-"&amp;IF(AND(WEEKDAY(A2247)&gt;1,WEEKDAY(A2247)&lt;7),"Wkd",TEXT(A2247,"Ddd"))&amp;"-"&amp;TEXT(A2247,"hh"),LoadTable[],5,FALSE)*0.92</f>
        <v>237.25788000000003</v>
      </c>
      <c r="U2247" s="104">
        <f>VLOOKUP(TEXT(A2247,"yy-mm")&amp;"-"&amp;IF(AND(WEEKDAY(A2247)&gt;1,WEEKDAY(A2247)&lt;7),"Wkd",TEXT(A2247,"Ddd"))&amp;"-"&amp;TEXT(A2247,"hh"),LoadTable[],6,FALSE)*T2247</f>
        <v>10962.974861160001</v>
      </c>
      <c r="V2247">
        <f t="shared" ref="V2247:W2247" si="2395">V2223</f>
        <v>3.1</v>
      </c>
      <c r="W2247">
        <f t="shared" si="2395"/>
        <v>2.9</v>
      </c>
      <c r="X2247" s="9">
        <v>-114.01241206667</v>
      </c>
    </row>
    <row r="2248" spans="1:24">
      <c r="A2248" s="29">
        <f t="shared" si="2392"/>
        <v>45929.541666661222</v>
      </c>
      <c r="B2248" s="30">
        <f t="shared" si="2347"/>
        <v>8000</v>
      </c>
      <c r="C2248" s="8">
        <v>25000</v>
      </c>
      <c r="D2248" s="8">
        <v>0</v>
      </c>
      <c r="E2248" s="8">
        <v>700</v>
      </c>
      <c r="F2248" s="8">
        <v>15000</v>
      </c>
      <c r="G2248" s="30">
        <f t="shared" si="2348"/>
        <v>2400</v>
      </c>
      <c r="H2248" s="8">
        <v>25000</v>
      </c>
      <c r="I2248" s="30">
        <f t="shared" si="2349"/>
        <v>8000</v>
      </c>
      <c r="J2248" s="8">
        <v>25000</v>
      </c>
      <c r="K2248" s="30">
        <f t="shared" si="2350"/>
        <v>8000</v>
      </c>
      <c r="L2248" s="8">
        <v>25000</v>
      </c>
      <c r="M2248" s="9">
        <f>VLOOKUP(DATE(YEAR(A2248),MONTH(A2248),DAY(A2248)),FY24_Temp[],4,FALSE)</f>
        <v>8.9</v>
      </c>
      <c r="N2248" s="9">
        <f>VLOOKUP(DATE(YEAR(A2248),MONTH(A2248),DAY(A2248)),FY24_Temp[],3,FALSE)</f>
        <v>16.8</v>
      </c>
      <c r="O2248" s="9">
        <v>13.5</v>
      </c>
      <c r="P2248" s="9">
        <v>19.5</v>
      </c>
      <c r="Q2248" s="79">
        <f>VLOOKUP(VLOOKUP(DATEVALUE(TEXT(A2248,"m/d/yyyy")),FY24_Temp[],5,FALSE)&amp;TEXT(A2248,"-h"),Table6[],4,FALSE)</f>
        <v>0.51885714275496342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VLOOKUP(TEXT(A2248,"yy-mm")&amp;"-"&amp;IF(AND(WEEKDAY(A2248)&gt;1,WEEKDAY(A2248)&lt;7),"Wkd",TEXT(A2248,"Ddd"))&amp;"-"&amp;TEXT(A2248,"hh"),LoadTable[],5,FALSE)*0.92</f>
        <v>237.25788000000003</v>
      </c>
      <c r="U2248" s="104">
        <f>VLOOKUP(TEXT(A2248,"yy-mm")&amp;"-"&amp;IF(AND(WEEKDAY(A2248)&gt;1,WEEKDAY(A2248)&lt;7),"Wkd",TEXT(A2248,"Ddd"))&amp;"-"&amp;TEXT(A2248,"hh"),LoadTable[],6,FALSE)*T2248</f>
        <v>10978.39662336</v>
      </c>
      <c r="V2248">
        <f t="shared" ref="V2248:W2248" si="2396">V2224</f>
        <v>3.2</v>
      </c>
      <c r="W2248">
        <f t="shared" si="2396"/>
        <v>2.9</v>
      </c>
      <c r="X2248" s="9">
        <v>-114.09020661667</v>
      </c>
    </row>
    <row r="2249" spans="1:24">
      <c r="A2249" s="29">
        <f t="shared" si="2392"/>
        <v>45929.583333327886</v>
      </c>
      <c r="B2249" s="30">
        <f t="shared" si="2347"/>
        <v>8000</v>
      </c>
      <c r="C2249" s="8">
        <v>25000</v>
      </c>
      <c r="D2249" s="8">
        <v>0</v>
      </c>
      <c r="E2249" s="8">
        <v>700</v>
      </c>
      <c r="F2249" s="8">
        <v>15000</v>
      </c>
      <c r="G2249" s="30">
        <f t="shared" si="2348"/>
        <v>2400</v>
      </c>
      <c r="H2249" s="8">
        <v>25000</v>
      </c>
      <c r="I2249" s="30">
        <f t="shared" si="2349"/>
        <v>8000</v>
      </c>
      <c r="J2249" s="8">
        <v>25000</v>
      </c>
      <c r="K2249" s="30">
        <f t="shared" si="2350"/>
        <v>8000</v>
      </c>
      <c r="L2249" s="8">
        <v>25000</v>
      </c>
      <c r="M2249" s="9">
        <f>VLOOKUP(DATE(YEAR(A2249),MONTH(A2249),DAY(A2249)),FY24_Temp[],4,FALSE)</f>
        <v>8.9</v>
      </c>
      <c r="N2249" s="9">
        <f>VLOOKUP(DATE(YEAR(A2249),MONTH(A2249),DAY(A2249)),FY24_Temp[],3,FALSE)</f>
        <v>16.8</v>
      </c>
      <c r="O2249" s="9">
        <v>13.5</v>
      </c>
      <c r="P2249" s="9">
        <v>19.5</v>
      </c>
      <c r="Q2249" s="79">
        <f>VLOOKUP(VLOOKUP(DATEVALUE(TEXT(A2249,"m/d/yyyy")),FY24_Temp[],5,FALSE)&amp;TEXT(A2249,"-h"),Table6[],4,FALSE)</f>
        <v>0.4115714303084782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VLOOKUP(TEXT(A2249,"yy-mm")&amp;"-"&amp;IF(AND(WEEKDAY(A2249)&gt;1,WEEKDAY(A2249)&lt;7),"Wkd",TEXT(A2249,"Ddd"))&amp;"-"&amp;TEXT(A2249,"hh"),LoadTable[],5,FALSE)*0.92</f>
        <v>269.75136000000003</v>
      </c>
      <c r="U2249" s="104">
        <f>VLOOKUP(TEXT(A2249,"yy-mm")&amp;"-"&amp;IF(AND(WEEKDAY(A2249)&gt;1,WEEKDAY(A2249)&lt;7),"Wkd",TEXT(A2249,"Ddd"))&amp;"-"&amp;TEXT(A2249,"hh"),LoadTable[],6,FALSE)*T2249</f>
        <v>12503.245287360001</v>
      </c>
      <c r="V2249">
        <f t="shared" ref="V2249:W2249" si="2397">V2225</f>
        <v>3.5</v>
      </c>
      <c r="W2249">
        <f t="shared" si="2397"/>
        <v>2.9</v>
      </c>
      <c r="X2249" s="9">
        <v>-114.16800116667</v>
      </c>
    </row>
    <row r="2250" spans="1:24">
      <c r="A2250" s="29">
        <f t="shared" si="2392"/>
        <v>45929.62499999455</v>
      </c>
      <c r="B2250" s="30">
        <f t="shared" si="2347"/>
        <v>8000</v>
      </c>
      <c r="C2250" s="8">
        <v>25000</v>
      </c>
      <c r="D2250" s="8">
        <v>0</v>
      </c>
      <c r="E2250" s="8">
        <v>700</v>
      </c>
      <c r="F2250" s="8">
        <v>15000</v>
      </c>
      <c r="G2250" s="30">
        <f t="shared" si="2348"/>
        <v>2400</v>
      </c>
      <c r="H2250" s="8">
        <v>25000</v>
      </c>
      <c r="I2250" s="30">
        <f t="shared" si="2349"/>
        <v>8000</v>
      </c>
      <c r="J2250" s="8">
        <v>25000</v>
      </c>
      <c r="K2250" s="30">
        <f t="shared" si="2350"/>
        <v>8000</v>
      </c>
      <c r="L2250" s="8">
        <v>25000</v>
      </c>
      <c r="M2250" s="9">
        <f>VLOOKUP(DATE(YEAR(A2250),MONTH(A2250),DAY(A2250)),FY24_Temp[],4,FALSE)</f>
        <v>8.9</v>
      </c>
      <c r="N2250" s="9">
        <f>VLOOKUP(DATE(YEAR(A2250),MONTH(A2250),DAY(A2250)),FY24_Temp[],3,FALSE)</f>
        <v>16.8</v>
      </c>
      <c r="O2250" s="9">
        <v>13.5</v>
      </c>
      <c r="P2250" s="9">
        <v>19.5</v>
      </c>
      <c r="Q2250" s="79">
        <f>VLOOKUP(VLOOKUP(DATEVALUE(TEXT(A2250,"m/d/yyyy")),FY24_Temp[],5,FALSE)&amp;TEXT(A2250,"-h"),Table6[],4,FALSE)</f>
        <v>0.39228571312768118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VLOOKUP(TEXT(A2250,"yy-mm")&amp;"-"&amp;IF(AND(WEEKDAY(A2250)&gt;1,WEEKDAY(A2250)&lt;7),"Wkd",TEXT(A2250,"Ddd"))&amp;"-"&amp;TEXT(A2250,"hh"),LoadTable[],5,FALSE)*0.92</f>
        <v>388.38076000000001</v>
      </c>
      <c r="U2250" s="104">
        <f>VLOOKUP(TEXT(A2250,"yy-mm")&amp;"-"&amp;IF(AND(WEEKDAY(A2250)&gt;1,WEEKDAY(A2250)&lt;7),"Wkd",TEXT(A2250,"Ddd"))&amp;"-"&amp;TEXT(A2250,"hh"),LoadTable[],6,FALSE)*T2250</f>
        <v>19705.663000880002</v>
      </c>
      <c r="V2250">
        <f t="shared" ref="V2250:W2250" si="2398">V2226</f>
        <v>3.2</v>
      </c>
      <c r="W2250">
        <f t="shared" si="2398"/>
        <v>2.9</v>
      </c>
      <c r="X2250" s="9">
        <v>-114.24579571667</v>
      </c>
    </row>
    <row r="2251" spans="1:24">
      <c r="A2251" s="29">
        <f t="shared" si="2392"/>
        <v>45929.666666661215</v>
      </c>
      <c r="B2251" s="30">
        <f t="shared" si="2347"/>
        <v>8000</v>
      </c>
      <c r="C2251" s="8">
        <v>25000</v>
      </c>
      <c r="D2251" s="8">
        <v>0</v>
      </c>
      <c r="E2251" s="8">
        <v>700</v>
      </c>
      <c r="F2251" s="8">
        <v>15000</v>
      </c>
      <c r="G2251" s="30">
        <f t="shared" si="2348"/>
        <v>2400</v>
      </c>
      <c r="H2251" s="8">
        <v>25000</v>
      </c>
      <c r="I2251" s="30">
        <f t="shared" si="2349"/>
        <v>8000</v>
      </c>
      <c r="J2251" s="8">
        <v>25000</v>
      </c>
      <c r="K2251" s="30">
        <f t="shared" si="2350"/>
        <v>8000</v>
      </c>
      <c r="L2251" s="8">
        <v>25000</v>
      </c>
      <c r="M2251" s="9">
        <f>VLOOKUP(DATE(YEAR(A2251),MONTH(A2251),DAY(A2251)),FY24_Temp[],4,FALSE)</f>
        <v>8.9</v>
      </c>
      <c r="N2251" s="9">
        <f>VLOOKUP(DATE(YEAR(A2251),MONTH(A2251),DAY(A2251)),FY24_Temp[],3,FALSE)</f>
        <v>16.8</v>
      </c>
      <c r="O2251" s="9">
        <v>13.5</v>
      </c>
      <c r="P2251" s="9">
        <v>19.5</v>
      </c>
      <c r="Q2251" s="79">
        <f>VLOOKUP(VLOOKUP(DATEVALUE(TEXT(A2251,"m/d/yyyy")),FY24_Temp[],5,FALSE)&amp;TEXT(A2251,"-h"),Table6[],4,FALSE)</f>
        <v>0.64628571271896362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VLOOKUP(TEXT(A2251,"yy-mm")&amp;"-"&amp;IF(AND(WEEKDAY(A2251)&gt;1,WEEKDAY(A2251)&lt;7),"Wkd",TEXT(A2251,"Ddd"))&amp;"-"&amp;TEXT(A2251,"hh"),LoadTable[],5,FALSE)*0.92</f>
        <v>388.38076000000001</v>
      </c>
      <c r="U2251" s="104">
        <f>VLOOKUP(TEXT(A2251,"yy-mm")&amp;"-"&amp;IF(AND(WEEKDAY(A2251)&gt;1,WEEKDAY(A2251)&lt;7),"Wkd",TEXT(A2251,"Ddd"))&amp;"-"&amp;TEXT(A2251,"hh"),LoadTable[],6,FALSE)*T2251</f>
        <v>23675.6911296</v>
      </c>
      <c r="V2251">
        <f t="shared" ref="V2251:W2251" si="2399">V2227</f>
        <v>3.5</v>
      </c>
      <c r="W2251">
        <f t="shared" si="2399"/>
        <v>3</v>
      </c>
      <c r="X2251" s="9">
        <v>-114.32359026667</v>
      </c>
    </row>
    <row r="2252" spans="1:24">
      <c r="A2252" s="29">
        <f t="shared" si="2392"/>
        <v>45929.708333327879</v>
      </c>
      <c r="B2252" s="30">
        <f t="shared" si="2347"/>
        <v>8000</v>
      </c>
      <c r="C2252" s="8">
        <v>25000</v>
      </c>
      <c r="D2252" s="8">
        <v>0</v>
      </c>
      <c r="E2252" s="8">
        <v>700</v>
      </c>
      <c r="F2252" s="8">
        <v>15000</v>
      </c>
      <c r="G2252" s="30">
        <f t="shared" si="2348"/>
        <v>2400</v>
      </c>
      <c r="H2252" s="8">
        <v>25000</v>
      </c>
      <c r="I2252" s="30">
        <f t="shared" si="2349"/>
        <v>8000</v>
      </c>
      <c r="J2252" s="8">
        <v>25000</v>
      </c>
      <c r="K2252" s="30">
        <f t="shared" si="2350"/>
        <v>8000</v>
      </c>
      <c r="L2252" s="8">
        <v>25000</v>
      </c>
      <c r="M2252" s="9">
        <f>VLOOKUP(DATE(YEAR(A2252),MONTH(A2252),DAY(A2252)),FY24_Temp[],4,FALSE)</f>
        <v>8.9</v>
      </c>
      <c r="N2252" s="9">
        <f>VLOOKUP(DATE(YEAR(A2252),MONTH(A2252),DAY(A2252)),FY24_Temp[],3,FALSE)</f>
        <v>16.8</v>
      </c>
      <c r="O2252" s="9">
        <v>13.5</v>
      </c>
      <c r="P2252" s="9">
        <v>19.5</v>
      </c>
      <c r="Q2252" s="79">
        <f>VLOOKUP(VLOOKUP(DATEVALUE(TEXT(A2252,"m/d/yyyy")),FY24_Temp[],5,FALSE)&amp;TEXT(A2252,"-h"),Table6[],4,FALSE)</f>
        <v>1.0399999873978751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VLOOKUP(TEXT(A2252,"yy-mm")&amp;"-"&amp;IF(AND(WEEKDAY(A2252)&gt;1,WEEKDAY(A2252)&lt;7),"Wkd",TEXT(A2252,"Ddd"))&amp;"-"&amp;TEXT(A2252,"hh"),LoadTable[],5,FALSE)*0.92</f>
        <v>388.38076000000001</v>
      </c>
      <c r="U2252" s="104">
        <f>VLOOKUP(TEXT(A2252,"yy-mm")&amp;"-"&amp;IF(AND(WEEKDAY(A2252)&gt;1,WEEKDAY(A2252)&lt;7),"Wkd",TEXT(A2252,"Ddd"))&amp;"-"&amp;TEXT(A2252,"hh"),LoadTable[],6,FALSE)*T2252</f>
        <v>31454.180990880002</v>
      </c>
      <c r="V2252">
        <f t="shared" ref="V2252:W2252" si="2400">V2228</f>
        <v>3.6</v>
      </c>
      <c r="W2252">
        <f t="shared" si="2400"/>
        <v>3</v>
      </c>
      <c r="X2252" s="9">
        <v>-114.40138481667</v>
      </c>
    </row>
    <row r="2253" spans="1:24">
      <c r="A2253" s="29">
        <f t="shared" si="2392"/>
        <v>45929.749999994543</v>
      </c>
      <c r="B2253" s="30">
        <f t="shared" si="2347"/>
        <v>5000</v>
      </c>
      <c r="C2253" s="8">
        <v>25000</v>
      </c>
      <c r="D2253" s="8">
        <v>0</v>
      </c>
      <c r="E2253" s="8">
        <v>700</v>
      </c>
      <c r="F2253" s="8">
        <v>15000</v>
      </c>
      <c r="G2253" s="30">
        <f t="shared" si="2348"/>
        <v>2400</v>
      </c>
      <c r="H2253" s="8">
        <v>25000</v>
      </c>
      <c r="I2253" s="30">
        <f t="shared" si="2349"/>
        <v>5000</v>
      </c>
      <c r="J2253" s="8">
        <v>25000</v>
      </c>
      <c r="K2253" s="30">
        <f t="shared" si="2350"/>
        <v>5000</v>
      </c>
      <c r="L2253" s="8">
        <v>25000</v>
      </c>
      <c r="M2253" s="9">
        <f>VLOOKUP(DATE(YEAR(A2253),MONTH(A2253),DAY(A2253)),FY24_Temp[],4,FALSE)</f>
        <v>8.9</v>
      </c>
      <c r="N2253" s="9">
        <f>VLOOKUP(DATE(YEAR(A2253),MONTH(A2253),DAY(A2253)),FY24_Temp[],3,FALSE)</f>
        <v>16.8</v>
      </c>
      <c r="O2253" s="9">
        <v>13.5</v>
      </c>
      <c r="P2253" s="9">
        <v>19.5</v>
      </c>
      <c r="Q2253" s="79">
        <f>VLOOKUP(VLOOKUP(DATEVALUE(TEXT(A2253,"m/d/yyyy")),FY24_Temp[],5,FALSE)&amp;TEXT(A2253,"-h"),Table6[],4,FALSE)</f>
        <v>1.47700001512255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VLOOKUP(TEXT(A2253,"yy-mm")&amp;"-"&amp;IF(AND(WEEKDAY(A2253)&gt;1,WEEKDAY(A2253)&lt;7),"Wkd",TEXT(A2253,"Ddd"))&amp;"-"&amp;TEXT(A2253,"hh"),LoadTable[],5,FALSE)*0.92</f>
        <v>388.38076000000001</v>
      </c>
      <c r="U2253" s="104">
        <f>VLOOKUP(TEXT(A2253,"yy-mm")&amp;"-"&amp;IF(AND(WEEKDAY(A2253)&gt;1,WEEKDAY(A2253)&lt;7),"Wkd",TEXT(A2253,"Ddd"))&amp;"-"&amp;TEXT(A2253,"hh"),LoadTable[],6,FALSE)*T2253</f>
        <v>38316.869020080005</v>
      </c>
      <c r="V2253">
        <f t="shared" ref="V2253:W2253" si="2401">V2229</f>
        <v>2.9</v>
      </c>
      <c r="W2253">
        <f t="shared" si="2401"/>
        <v>3</v>
      </c>
      <c r="X2253" s="9">
        <v>-114.47917936667</v>
      </c>
    </row>
    <row r="2254" spans="1:24">
      <c r="A2254" s="29">
        <f t="shared" si="2392"/>
        <v>45929.791666661207</v>
      </c>
      <c r="B2254" s="30">
        <f t="shared" si="2347"/>
        <v>5000</v>
      </c>
      <c r="C2254" s="8">
        <v>25000</v>
      </c>
      <c r="D2254" s="8">
        <v>0</v>
      </c>
      <c r="E2254" s="8">
        <v>700</v>
      </c>
      <c r="F2254" s="8">
        <v>15000</v>
      </c>
      <c r="G2254" s="30">
        <f t="shared" si="2348"/>
        <v>2400</v>
      </c>
      <c r="H2254" s="8">
        <v>25000</v>
      </c>
      <c r="I2254" s="30">
        <f t="shared" si="2349"/>
        <v>5000</v>
      </c>
      <c r="J2254" s="8">
        <v>25000</v>
      </c>
      <c r="K2254" s="30">
        <f t="shared" si="2350"/>
        <v>5000</v>
      </c>
      <c r="L2254" s="8">
        <v>25000</v>
      </c>
      <c r="M2254" s="9">
        <f>VLOOKUP(DATE(YEAR(A2254),MONTH(A2254),DAY(A2254)),FY24_Temp[],4,FALSE)</f>
        <v>8.9</v>
      </c>
      <c r="N2254" s="9">
        <f>VLOOKUP(DATE(YEAR(A2254),MONTH(A2254),DAY(A2254)),FY24_Temp[],3,FALSE)</f>
        <v>16.8</v>
      </c>
      <c r="O2254" s="9">
        <v>13.5</v>
      </c>
      <c r="P2254" s="9">
        <v>19.5</v>
      </c>
      <c r="Q2254" s="79">
        <f>VLOOKUP(VLOOKUP(DATEVALUE(TEXT(A2254,"m/d/yyyy")),FY24_Temp[],5,FALSE)&amp;TEXT(A2254,"-h"),Table6[],4,FALSE)</f>
        <v>1.8152856826782227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VLOOKUP(TEXT(A2254,"yy-mm")&amp;"-"&amp;IF(AND(WEEKDAY(A2254)&gt;1,WEEKDAY(A2254)&lt;7),"Wkd",TEXT(A2254,"Ddd"))&amp;"-"&amp;TEXT(A2254,"hh"),LoadTable[],5,FALSE)*0.92</f>
        <v>388.38076000000001</v>
      </c>
      <c r="U2254" s="104">
        <f>VLOOKUP(TEXT(A2254,"yy-mm")&amp;"-"&amp;IF(AND(WEEKDAY(A2254)&gt;1,WEEKDAY(A2254)&lt;7),"Wkd",TEXT(A2254,"Ddd"))&amp;"-"&amp;TEXT(A2254,"hh"),LoadTable[],6,FALSE)*T2254</f>
        <v>41132.241149319998</v>
      </c>
      <c r="V2254">
        <f t="shared" ref="V2254:W2254" si="2402">V2230</f>
        <v>3</v>
      </c>
      <c r="W2254">
        <f t="shared" si="2402"/>
        <v>3</v>
      </c>
      <c r="X2254" s="9">
        <v>-114.55697391667</v>
      </c>
    </row>
    <row r="2255" spans="1:24">
      <c r="A2255" s="29">
        <f t="shared" si="2392"/>
        <v>45929.833333327872</v>
      </c>
      <c r="B2255" s="30">
        <f t="shared" si="2347"/>
        <v>5000</v>
      </c>
      <c r="C2255" s="8">
        <v>25000</v>
      </c>
      <c r="D2255" s="8">
        <v>0</v>
      </c>
      <c r="E2255" s="8">
        <v>700</v>
      </c>
      <c r="F2255" s="8">
        <v>15000</v>
      </c>
      <c r="G2255" s="30">
        <f t="shared" si="2348"/>
        <v>2400</v>
      </c>
      <c r="H2255" s="8">
        <v>25000</v>
      </c>
      <c r="I2255" s="30">
        <f t="shared" si="2349"/>
        <v>5000</v>
      </c>
      <c r="J2255" s="8">
        <v>25000</v>
      </c>
      <c r="K2255" s="30">
        <f t="shared" si="2350"/>
        <v>5000</v>
      </c>
      <c r="L2255" s="8">
        <v>25000</v>
      </c>
      <c r="M2255" s="9">
        <f>VLOOKUP(DATE(YEAR(A2255),MONTH(A2255),DAY(A2255)),FY24_Temp[],4,FALSE)</f>
        <v>8.9</v>
      </c>
      <c r="N2255" s="9">
        <f>VLOOKUP(DATE(YEAR(A2255),MONTH(A2255),DAY(A2255)),FY24_Temp[],3,FALSE)</f>
        <v>16.8</v>
      </c>
      <c r="O2255" s="9">
        <v>13.5</v>
      </c>
      <c r="P2255" s="9">
        <v>19.5</v>
      </c>
      <c r="Q2255" s="79">
        <f>VLOOKUP(VLOOKUP(DATEVALUE(TEXT(A2255,"m/d/yyyy")),FY24_Temp[],5,FALSE)&amp;TEXT(A2255,"-h"),Table6[],4,FALSE)</f>
        <v>1.9898571627480643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VLOOKUP(TEXT(A2255,"yy-mm")&amp;"-"&amp;IF(AND(WEEKDAY(A2255)&gt;1,WEEKDAY(A2255)&lt;7),"Wkd",TEXT(A2255,"Ddd"))&amp;"-"&amp;TEXT(A2255,"hh"),LoadTable[],5,FALSE)*0.92</f>
        <v>388.38076000000001</v>
      </c>
      <c r="U2255" s="104">
        <f>VLOOKUP(TEXT(A2255,"yy-mm")&amp;"-"&amp;IF(AND(WEEKDAY(A2255)&gt;1,WEEKDAY(A2255)&lt;7),"Wkd",TEXT(A2255,"Ddd"))&amp;"-"&amp;TEXT(A2255,"hh"),LoadTable[],6,FALSE)*T2255</f>
        <v>36274.762984000001</v>
      </c>
      <c r="V2255">
        <f t="shared" ref="V2255:W2255" si="2403">V2231</f>
        <v>2.8</v>
      </c>
      <c r="W2255">
        <f t="shared" si="2403"/>
        <v>3.1</v>
      </c>
      <c r="X2255" s="9">
        <v>-114.63476846667</v>
      </c>
    </row>
    <row r="2256" spans="1:24">
      <c r="A2256" s="29">
        <f t="shared" si="2392"/>
        <v>45929.874999994536</v>
      </c>
      <c r="B2256" s="30">
        <f t="shared" si="2347"/>
        <v>5000</v>
      </c>
      <c r="C2256" s="8">
        <v>25000</v>
      </c>
      <c r="D2256" s="8">
        <v>0</v>
      </c>
      <c r="E2256" s="8">
        <v>700</v>
      </c>
      <c r="F2256" s="8">
        <v>15000</v>
      </c>
      <c r="G2256" s="30">
        <f t="shared" si="2348"/>
        <v>2400</v>
      </c>
      <c r="H2256" s="8">
        <v>25000</v>
      </c>
      <c r="I2256" s="30">
        <f t="shared" si="2349"/>
        <v>5000</v>
      </c>
      <c r="J2256" s="8">
        <v>25000</v>
      </c>
      <c r="K2256" s="30">
        <f t="shared" si="2350"/>
        <v>5000</v>
      </c>
      <c r="L2256" s="8">
        <v>25000</v>
      </c>
      <c r="M2256" s="9">
        <f>VLOOKUP(DATE(YEAR(A2256),MONTH(A2256),DAY(A2256)),FY24_Temp[],4,FALSE)</f>
        <v>8.9</v>
      </c>
      <c r="N2256" s="9">
        <f>VLOOKUP(DATE(YEAR(A2256),MONTH(A2256),DAY(A2256)),FY24_Temp[],3,FALSE)</f>
        <v>16.8</v>
      </c>
      <c r="O2256" s="9">
        <v>13.5</v>
      </c>
      <c r="P2256" s="9">
        <v>19.5</v>
      </c>
      <c r="Q2256" s="79">
        <f>VLOOKUP(VLOOKUP(DATEVALUE(TEXT(A2256,"m/d/yyyy")),FY24_Temp[],5,FALSE)&amp;TEXT(A2256,"-h"),Table6[],4,FALSE)</f>
        <v>2.0539999689374651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VLOOKUP(TEXT(A2256,"yy-mm")&amp;"-"&amp;IF(AND(WEEKDAY(A2256)&gt;1,WEEKDAY(A2256)&lt;7),"Wkd",TEXT(A2256,"Ddd"))&amp;"-"&amp;TEXT(A2256,"hh"),LoadTable[],5,FALSE)*0.92</f>
        <v>373.79416000000003</v>
      </c>
      <c r="U2256" s="104">
        <f>VLOOKUP(TEXT(A2256,"yy-mm")&amp;"-"&amp;IF(AND(WEEKDAY(A2256)&gt;1,WEEKDAY(A2256)&lt;7),"Wkd",TEXT(A2256,"Ddd"))&amp;"-"&amp;TEXT(A2256,"hh"),LoadTable[],6,FALSE)*T2256</f>
        <v>31749.328362080003</v>
      </c>
      <c r="V2256">
        <f t="shared" ref="V2256:W2256" si="2404">V2232</f>
        <v>3.5</v>
      </c>
      <c r="W2256">
        <f t="shared" si="2404"/>
        <v>3.1</v>
      </c>
      <c r="X2256" s="9">
        <v>-114.71256301667</v>
      </c>
    </row>
    <row r="2257" spans="1:24">
      <c r="A2257" s="29">
        <f t="shared" si="2392"/>
        <v>45929.9166666612</v>
      </c>
      <c r="B2257" s="30">
        <f t="shared" si="2347"/>
        <v>5000</v>
      </c>
      <c r="C2257" s="8">
        <v>25000</v>
      </c>
      <c r="D2257" s="8">
        <v>0</v>
      </c>
      <c r="E2257" s="8">
        <v>700</v>
      </c>
      <c r="F2257" s="8">
        <v>15000</v>
      </c>
      <c r="G2257" s="30">
        <f t="shared" si="2348"/>
        <v>2400</v>
      </c>
      <c r="H2257" s="8">
        <v>25000</v>
      </c>
      <c r="I2257" s="30">
        <f t="shared" si="2349"/>
        <v>5000</v>
      </c>
      <c r="J2257" s="8">
        <v>25000</v>
      </c>
      <c r="K2257" s="30">
        <f t="shared" si="2350"/>
        <v>5000</v>
      </c>
      <c r="L2257" s="8">
        <v>25000</v>
      </c>
      <c r="M2257" s="9">
        <f>VLOOKUP(DATE(YEAR(A2257),MONTH(A2257),DAY(A2257)),FY24_Temp[],4,FALSE)</f>
        <v>8.9</v>
      </c>
      <c r="N2257" s="9">
        <f>VLOOKUP(DATE(YEAR(A2257),MONTH(A2257),DAY(A2257)),FY24_Temp[],3,FALSE)</f>
        <v>16.8</v>
      </c>
      <c r="O2257" s="9">
        <v>13.5</v>
      </c>
      <c r="P2257" s="9">
        <v>19.5</v>
      </c>
      <c r="Q2257" s="79">
        <f>VLOOKUP(VLOOKUP(DATEVALUE(TEXT(A2257,"m/d/yyyy")),FY24_Temp[],5,FALSE)&amp;TEXT(A2257,"-h"),Table6[],4,FALSE)</f>
        <v>2.032142860548837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VLOOKUP(TEXT(A2257,"yy-mm")&amp;"-"&amp;IF(AND(WEEKDAY(A2257)&gt;1,WEEKDAY(A2257)&lt;7),"Wkd",TEXT(A2257,"Ddd"))&amp;"-"&amp;TEXT(A2257,"hh"),LoadTable[],5,FALSE)*0.92</f>
        <v>299.65044</v>
      </c>
      <c r="U2257" s="104">
        <f>VLOOKUP(TEXT(A2257,"yy-mm")&amp;"-"&amp;IF(AND(WEEKDAY(A2257)&gt;1,WEEKDAY(A2257)&lt;7),"Wkd",TEXT(A2257,"Ddd"))&amp;"-"&amp;TEXT(A2257,"hh"),LoadTable[],6,FALSE)*T2257</f>
        <v>15023.87376072</v>
      </c>
      <c r="V2257">
        <f t="shared" ref="V2257:W2257" si="2405">V2233</f>
        <v>2.9</v>
      </c>
      <c r="W2257">
        <f t="shared" si="2405"/>
        <v>3.1</v>
      </c>
      <c r="X2257" s="9">
        <v>-114.79035756667</v>
      </c>
    </row>
    <row r="2258" spans="1:24">
      <c r="A2258" s="29">
        <f t="shared" si="2392"/>
        <v>45929.958333327864</v>
      </c>
      <c r="B2258" s="30">
        <f t="shared" si="2347"/>
        <v>5000</v>
      </c>
      <c r="C2258" s="8">
        <v>25000</v>
      </c>
      <c r="D2258" s="8">
        <v>0</v>
      </c>
      <c r="E2258" s="8">
        <v>700</v>
      </c>
      <c r="F2258" s="8">
        <v>15000</v>
      </c>
      <c r="G2258" s="30">
        <f t="shared" si="2348"/>
        <v>2400</v>
      </c>
      <c r="H2258" s="8">
        <v>25000</v>
      </c>
      <c r="I2258" s="30">
        <f t="shared" si="2349"/>
        <v>5000</v>
      </c>
      <c r="J2258" s="8">
        <v>25000</v>
      </c>
      <c r="K2258" s="30">
        <f t="shared" si="2350"/>
        <v>5000</v>
      </c>
      <c r="L2258" s="8">
        <v>25000</v>
      </c>
      <c r="M2258" s="9">
        <f>VLOOKUP(DATE(YEAR(A2258),MONTH(A2258),DAY(A2258)),FY24_Temp[],4,FALSE)</f>
        <v>8.9</v>
      </c>
      <c r="N2258" s="9">
        <f>VLOOKUP(DATE(YEAR(A2258),MONTH(A2258),DAY(A2258)),FY24_Temp[],3,FALSE)</f>
        <v>16.8</v>
      </c>
      <c r="O2258" s="9">
        <v>13.5</v>
      </c>
      <c r="P2258" s="9">
        <v>19.5</v>
      </c>
      <c r="Q2258" s="79">
        <f>VLOOKUP(VLOOKUP(DATEVALUE(TEXT(A2258,"m/d/yyyy")),FY24_Temp[],5,FALSE)&amp;TEXT(A2258,"-h"),Table6[],4,FALSE)</f>
        <v>2.0300000224794661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VLOOKUP(TEXT(A2258,"yy-mm")&amp;"-"&amp;IF(AND(WEEKDAY(A2258)&gt;1,WEEKDAY(A2258)&lt;7),"Wkd",TEXT(A2258,"Ddd"))&amp;"-"&amp;TEXT(A2258,"hh"),LoadTable[],5,FALSE)*0.92</f>
        <v>237.25788000000003</v>
      </c>
      <c r="U2258" s="104">
        <f>VLOOKUP(TEXT(A2258,"yy-mm")&amp;"-"&amp;IF(AND(WEEKDAY(A2258)&gt;1,WEEKDAY(A2258)&lt;7),"Wkd",TEXT(A2258,"Ddd"))&amp;"-"&amp;TEXT(A2258,"hh"),LoadTable[],6,FALSE)*T2258</f>
        <v>11687.323168800001</v>
      </c>
      <c r="V2258">
        <f t="shared" ref="V2258:W2258" si="2406">V2234</f>
        <v>3.6</v>
      </c>
      <c r="W2258">
        <f t="shared" si="2406"/>
        <v>3.1</v>
      </c>
      <c r="X2258" s="9">
        <v>-114.86815211667</v>
      </c>
    </row>
    <row r="2259" spans="1:24">
      <c r="A2259" s="29">
        <f t="shared" si="2392"/>
        <v>45929.999999994528</v>
      </c>
      <c r="B2259" s="30">
        <f t="shared" si="2347"/>
        <v>5000</v>
      </c>
      <c r="C2259" s="8">
        <v>25000</v>
      </c>
      <c r="D2259" s="8">
        <v>0</v>
      </c>
      <c r="E2259" s="8">
        <v>700</v>
      </c>
      <c r="F2259" s="8">
        <v>15000</v>
      </c>
      <c r="G2259" s="30">
        <f t="shared" si="2348"/>
        <v>2400</v>
      </c>
      <c r="H2259" s="8">
        <v>25000</v>
      </c>
      <c r="I2259" s="30">
        <f t="shared" si="2349"/>
        <v>5000</v>
      </c>
      <c r="J2259" s="8">
        <v>25000</v>
      </c>
      <c r="K2259" s="30">
        <f t="shared" si="2350"/>
        <v>5000</v>
      </c>
      <c r="L2259" s="8">
        <v>25000</v>
      </c>
      <c r="M2259" s="9">
        <f>VLOOKUP(DATE(YEAR(A2259),MONTH(A2259),DAY(A2259)),FY24_Temp[],4,FALSE)</f>
        <v>8.9</v>
      </c>
      <c r="N2259" s="9">
        <f>VLOOKUP(DATE(YEAR(A2259),MONTH(A2259),DAY(A2259)),FY24_Temp[],3,FALSE)</f>
        <v>16.8</v>
      </c>
      <c r="O2259" s="9">
        <v>13.5</v>
      </c>
      <c r="P2259" s="9">
        <v>19.5</v>
      </c>
      <c r="Q2259" s="79">
        <f>VLOOKUP(VLOOKUP(DATEVALUE(TEXT(A2259,"m/d/yyyy")),FY24_Temp[],5,FALSE)&amp;TEXT(A2259,"-h"),Table6[],4,FALSE)</f>
        <v>2.023857150759016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VLOOKUP(TEXT(A2259,"yy-mm")&amp;"-"&amp;IF(AND(WEEKDAY(A2259)&gt;1,WEEKDAY(A2259)&lt;7),"Wkd",TEXT(A2259,"Ddd"))&amp;"-"&amp;TEXT(A2259,"hh"),LoadTable[],5,FALSE)*0.92</f>
        <v>237.25788000000003</v>
      </c>
      <c r="U2259" s="104">
        <f>VLOOKUP(TEXT(A2259,"yy-mm")&amp;"-"&amp;IF(AND(WEEKDAY(A2259)&gt;1,WEEKDAY(A2259)&lt;7),"Wkd",TEXT(A2259,"Ddd"))&amp;"-"&amp;TEXT(A2259,"hh"),LoadTable[],6,FALSE)*T2259</f>
        <v>12215.696467560001</v>
      </c>
      <c r="V2259">
        <f t="shared" ref="V2259:W2259" si="2407">V2235</f>
        <v>3</v>
      </c>
      <c r="W2259">
        <f t="shared" si="2407"/>
        <v>3.2</v>
      </c>
      <c r="X2259" s="9">
        <v>-114.94594666667</v>
      </c>
    </row>
    <row r="2260" spans="1:24">
      <c r="A2260" s="29">
        <f t="shared" si="2392"/>
        <v>45930.041666661193</v>
      </c>
      <c r="B2260" s="30">
        <f t="shared" si="2347"/>
        <v>5000</v>
      </c>
      <c r="C2260" s="8">
        <v>25000</v>
      </c>
      <c r="D2260" s="8">
        <v>0</v>
      </c>
      <c r="E2260" s="8">
        <v>700</v>
      </c>
      <c r="F2260" s="8">
        <v>15000</v>
      </c>
      <c r="G2260" s="30">
        <f t="shared" si="2348"/>
        <v>2400</v>
      </c>
      <c r="H2260" s="8">
        <v>25000</v>
      </c>
      <c r="I2260" s="30">
        <f t="shared" si="2349"/>
        <v>5000</v>
      </c>
      <c r="J2260" s="8">
        <v>25000</v>
      </c>
      <c r="K2260" s="30">
        <f t="shared" si="2350"/>
        <v>5000</v>
      </c>
      <c r="L2260" s="8">
        <v>25000</v>
      </c>
      <c r="M2260" s="9">
        <f>VLOOKUP(DATE(YEAR(A2260),MONTH(A2260),DAY(A2260)),FY24_Temp[],4,FALSE)</f>
        <v>8.9</v>
      </c>
      <c r="N2260" s="9">
        <f>VLOOKUP(DATE(YEAR(A2260),MONTH(A2260),DAY(A2260)),FY24_Temp[],3,FALSE)</f>
        <v>16.8</v>
      </c>
      <c r="O2260" s="9">
        <v>13.5</v>
      </c>
      <c r="P2260" s="9">
        <v>19.5</v>
      </c>
      <c r="Q2260" s="79">
        <f>VLOOKUP(VLOOKUP(DATEVALUE(TEXT(A2260,"m/d/yyyy")),FY24_Temp[],5,FALSE)&amp;TEXT(A2260,"-h"),Table6[],4,FALSE)</f>
        <v>1.9687142712729317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VLOOKUP(TEXT(A2260,"yy-mm")&amp;"-"&amp;IF(AND(WEEKDAY(A2260)&gt;1,WEEKDAY(A2260)&lt;7),"Wkd",TEXT(A2260,"Ddd"))&amp;"-"&amp;TEXT(A2260,"hh"),LoadTable[],5,FALSE)*0.92</f>
        <v>237.25788000000003</v>
      </c>
      <c r="U2260" s="104">
        <f>VLOOKUP(TEXT(A2260,"yy-mm")&amp;"-"&amp;IF(AND(WEEKDAY(A2260)&gt;1,WEEKDAY(A2260)&lt;7),"Wkd",TEXT(A2260,"Ddd"))&amp;"-"&amp;TEXT(A2260,"hh"),LoadTable[],6,FALSE)*T2260</f>
        <v>11905.12590264</v>
      </c>
      <c r="V2260">
        <f t="shared" ref="V2260:W2260" si="2408">V2236</f>
        <v>2.6</v>
      </c>
      <c r="W2260">
        <f t="shared" si="2408"/>
        <v>3.2</v>
      </c>
      <c r="X2260" s="9">
        <v>-115.02374121667</v>
      </c>
    </row>
    <row r="2261" spans="1:24">
      <c r="A2261" s="29">
        <f t="shared" si="2392"/>
        <v>45930.083333327857</v>
      </c>
      <c r="B2261" s="30">
        <f t="shared" si="2347"/>
        <v>5000</v>
      </c>
      <c r="C2261" s="8">
        <v>25000</v>
      </c>
      <c r="D2261" s="8">
        <v>0</v>
      </c>
      <c r="E2261" s="8">
        <v>700</v>
      </c>
      <c r="F2261" s="8">
        <v>15000</v>
      </c>
      <c r="G2261" s="30">
        <f t="shared" si="2348"/>
        <v>2400</v>
      </c>
      <c r="H2261" s="8">
        <v>25000</v>
      </c>
      <c r="I2261" s="30">
        <f t="shared" si="2349"/>
        <v>5000</v>
      </c>
      <c r="J2261" s="8">
        <v>25000</v>
      </c>
      <c r="K2261" s="30">
        <f t="shared" si="2350"/>
        <v>5000</v>
      </c>
      <c r="L2261" s="8">
        <v>25000</v>
      </c>
      <c r="M2261" s="9">
        <f>VLOOKUP(DATE(YEAR(A2261),MONTH(A2261),DAY(A2261)),FY24_Temp[],4,FALSE)</f>
        <v>8.9</v>
      </c>
      <c r="N2261" s="9">
        <f>VLOOKUP(DATE(YEAR(A2261),MONTH(A2261),DAY(A2261)),FY24_Temp[],3,FALSE)</f>
        <v>16.8</v>
      </c>
      <c r="O2261" s="9">
        <v>13.5</v>
      </c>
      <c r="P2261" s="9">
        <v>19.5</v>
      </c>
      <c r="Q2261" s="79">
        <f>VLOOKUP(VLOOKUP(DATEVALUE(TEXT(A2261,"m/d/yyyy")),FY24_Temp[],5,FALSE)&amp;TEXT(A2261,"-h"),Table6[],4,FALSE)</f>
        <v>1.8430000032697404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VLOOKUP(TEXT(A2261,"yy-mm")&amp;"-"&amp;IF(AND(WEEKDAY(A2261)&gt;1,WEEKDAY(A2261)&lt;7),"Wkd",TEXT(A2261,"Ddd"))&amp;"-"&amp;TEXT(A2261,"hh"),LoadTable[],5,FALSE)*0.92</f>
        <v>237.25788000000003</v>
      </c>
      <c r="U2261" s="104">
        <f>VLOOKUP(TEXT(A2261,"yy-mm")&amp;"-"&amp;IF(AND(WEEKDAY(A2261)&gt;1,WEEKDAY(A2261)&lt;7),"Wkd",TEXT(A2261,"Ddd"))&amp;"-"&amp;TEXT(A2261,"hh"),LoadTable[],6,FALSE)*T2261</f>
        <v>11856.013521480001</v>
      </c>
      <c r="V2261">
        <f t="shared" ref="V2261:W2261" si="2409">V2237</f>
        <v>2.8</v>
      </c>
      <c r="W2261">
        <f t="shared" si="2409"/>
        <v>3.2</v>
      </c>
      <c r="X2261" s="9">
        <v>-115.10153576667</v>
      </c>
    </row>
    <row r="2262" spans="1:24">
      <c r="A2262" s="29">
        <f t="shared" si="2392"/>
        <v>45930.124999994521</v>
      </c>
      <c r="B2262" s="30">
        <f t="shared" si="2347"/>
        <v>5000</v>
      </c>
      <c r="C2262" s="8">
        <v>25000</v>
      </c>
      <c r="D2262" s="8">
        <v>0</v>
      </c>
      <c r="E2262" s="8">
        <v>700</v>
      </c>
      <c r="F2262" s="8">
        <v>15000</v>
      </c>
      <c r="G2262" s="30">
        <f t="shared" si="2348"/>
        <v>2400</v>
      </c>
      <c r="H2262" s="8">
        <v>25000</v>
      </c>
      <c r="I2262" s="30">
        <f t="shared" si="2349"/>
        <v>5000</v>
      </c>
      <c r="J2262" s="8">
        <v>25000</v>
      </c>
      <c r="K2262" s="30">
        <f t="shared" si="2350"/>
        <v>5000</v>
      </c>
      <c r="L2262" s="8">
        <v>25000</v>
      </c>
      <c r="M2262" s="9">
        <f>VLOOKUP(DATE(YEAR(A2262),MONTH(A2262),DAY(A2262)),FY24_Temp[],4,FALSE)</f>
        <v>8.9</v>
      </c>
      <c r="N2262" s="9">
        <f>VLOOKUP(DATE(YEAR(A2262),MONTH(A2262),DAY(A2262)),FY24_Temp[],3,FALSE)</f>
        <v>16.8</v>
      </c>
      <c r="O2262" s="9">
        <v>13.5</v>
      </c>
      <c r="P2262" s="9">
        <v>19.5</v>
      </c>
      <c r="Q2262" s="79">
        <f>VLOOKUP(VLOOKUP(DATEVALUE(TEXT(A2262,"m/d/yyyy")),FY24_Temp[],5,FALSE)&amp;TEXT(A2262,"-h"),Table6[],4,FALSE)</f>
        <v>1.7025714431490218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VLOOKUP(TEXT(A2262,"yy-mm")&amp;"-"&amp;IF(AND(WEEKDAY(A2262)&gt;1,WEEKDAY(A2262)&lt;7),"Wkd",TEXT(A2262,"Ddd"))&amp;"-"&amp;TEXT(A2262,"hh"),LoadTable[],5,FALSE)*0.92</f>
        <v>237.25788000000003</v>
      </c>
      <c r="U2262" s="104">
        <f>VLOOKUP(TEXT(A2262,"yy-mm")&amp;"-"&amp;IF(AND(WEEKDAY(A2262)&gt;1,WEEKDAY(A2262)&lt;7),"Wkd",TEXT(A2262,"Ddd"))&amp;"-"&amp;TEXT(A2262,"hh"),LoadTable[],6,FALSE)*T2262</f>
        <v>11893.025750760002</v>
      </c>
      <c r="V2262">
        <f t="shared" ref="V2262:W2262" si="2410">V2238</f>
        <v>2.7</v>
      </c>
      <c r="W2262">
        <f t="shared" si="2410"/>
        <v>3.2</v>
      </c>
      <c r="X2262" s="9">
        <v>-115.17933031667</v>
      </c>
    </row>
    <row r="2263" spans="1:24">
      <c r="A2263" s="29">
        <f t="shared" si="2392"/>
        <v>45930.166666661185</v>
      </c>
      <c r="B2263" s="30">
        <f t="shared" si="2347"/>
        <v>5000</v>
      </c>
      <c r="C2263" s="8">
        <v>25000</v>
      </c>
      <c r="D2263" s="8">
        <v>0</v>
      </c>
      <c r="E2263" s="8">
        <v>700</v>
      </c>
      <c r="F2263" s="8">
        <v>15000</v>
      </c>
      <c r="G2263" s="30">
        <f t="shared" si="2348"/>
        <v>2400</v>
      </c>
      <c r="H2263" s="8">
        <v>25000</v>
      </c>
      <c r="I2263" s="30">
        <f t="shared" si="2349"/>
        <v>5000</v>
      </c>
      <c r="J2263" s="8">
        <v>25000</v>
      </c>
      <c r="K2263" s="30">
        <f t="shared" si="2350"/>
        <v>5000</v>
      </c>
      <c r="L2263" s="8">
        <v>25000</v>
      </c>
      <c r="M2263" s="9">
        <f>VLOOKUP(DATE(YEAR(A2263),MONTH(A2263),DAY(A2263)),FY24_Temp[],4,FALSE)</f>
        <v>8.9</v>
      </c>
      <c r="N2263" s="9">
        <f>VLOOKUP(DATE(YEAR(A2263),MONTH(A2263),DAY(A2263)),FY24_Temp[],3,FALSE)</f>
        <v>16.8</v>
      </c>
      <c r="O2263" s="9">
        <v>13.5</v>
      </c>
      <c r="P2263" s="9">
        <v>19.5</v>
      </c>
      <c r="Q2263" s="79">
        <f>VLOOKUP(VLOOKUP(DATEVALUE(TEXT(A2263,"m/d/yyyy")),FY24_Temp[],5,FALSE)&amp;TEXT(A2263,"-h"),Table6[],4,FALSE)</f>
        <v>1.5532857179641724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VLOOKUP(TEXT(A2263,"yy-mm")&amp;"-"&amp;IF(AND(WEEKDAY(A2263)&gt;1,WEEKDAY(A2263)&lt;7),"Wkd",TEXT(A2263,"Ddd"))&amp;"-"&amp;TEXT(A2263,"hh"),LoadTable[],5,FALSE)*0.92</f>
        <v>237.25788000000003</v>
      </c>
      <c r="U2263" s="104">
        <f>VLOOKUP(TEXT(A2263,"yy-mm")&amp;"-"&amp;IF(AND(WEEKDAY(A2263)&gt;1,WEEKDAY(A2263)&lt;7),"Wkd",TEXT(A2263,"Ddd"))&amp;"-"&amp;TEXT(A2263,"hh"),LoadTable[],6,FALSE)*T2263</f>
        <v>12081.645765360001</v>
      </c>
      <c r="V2263">
        <f t="shared" ref="V2263:W2263" si="2411">V2239</f>
        <v>3</v>
      </c>
      <c r="W2263">
        <f t="shared" si="2411"/>
        <v>3.1</v>
      </c>
      <c r="X2263" s="9">
        <v>-115.25712486667</v>
      </c>
    </row>
    <row r="2264" spans="1:24">
      <c r="A2264" s="29">
        <f t="shared" si="2392"/>
        <v>45930.20833332785</v>
      </c>
      <c r="B2264" s="30">
        <f t="shared" si="2347"/>
        <v>5000</v>
      </c>
      <c r="C2264" s="8">
        <v>25000</v>
      </c>
      <c r="D2264" s="8">
        <v>0</v>
      </c>
      <c r="E2264" s="8">
        <v>700</v>
      </c>
      <c r="F2264" s="8">
        <v>15000</v>
      </c>
      <c r="G2264" s="30">
        <f t="shared" si="2348"/>
        <v>2400</v>
      </c>
      <c r="H2264" s="8">
        <v>25000</v>
      </c>
      <c r="I2264" s="30">
        <f t="shared" si="2349"/>
        <v>5000</v>
      </c>
      <c r="J2264" s="8">
        <v>25000</v>
      </c>
      <c r="K2264" s="30">
        <f t="shared" si="2350"/>
        <v>5000</v>
      </c>
      <c r="L2264" s="8">
        <v>25000</v>
      </c>
      <c r="M2264" s="9">
        <f>VLOOKUP(DATE(YEAR(A2264),MONTH(A2264),DAY(A2264)),FY24_Temp[],4,FALSE)</f>
        <v>8.9</v>
      </c>
      <c r="N2264" s="9">
        <f>VLOOKUP(DATE(YEAR(A2264),MONTH(A2264),DAY(A2264)),FY24_Temp[],3,FALSE)</f>
        <v>16.8</v>
      </c>
      <c r="O2264" s="9">
        <v>13.5</v>
      </c>
      <c r="P2264" s="9">
        <v>19.5</v>
      </c>
      <c r="Q2264" s="79">
        <f>VLOOKUP(VLOOKUP(DATEVALUE(TEXT(A2264,"m/d/yyyy")),FY24_Temp[],5,FALSE)&amp;TEXT(A2264,"-h"),Table6[],4,FALSE)</f>
        <v>1.4412857123783656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VLOOKUP(TEXT(A2264,"yy-mm")&amp;"-"&amp;IF(AND(WEEKDAY(A2264)&gt;1,WEEKDAY(A2264)&lt;7),"Wkd",TEXT(A2264,"Ddd"))&amp;"-"&amp;TEXT(A2264,"hh"),LoadTable[],5,FALSE)*0.92</f>
        <v>237.25788000000003</v>
      </c>
      <c r="U2264" s="104">
        <f>VLOOKUP(TEXT(A2264,"yy-mm")&amp;"-"&amp;IF(AND(WEEKDAY(A2264)&gt;1,WEEKDAY(A2264)&lt;7),"Wkd",TEXT(A2264,"Ddd"))&amp;"-"&amp;TEXT(A2264,"hh"),LoadTable[],6,FALSE)*T2264</f>
        <v>12065.037713760001</v>
      </c>
      <c r="V2264">
        <f t="shared" ref="V2264:W2264" si="2412">V2240</f>
        <v>2.9</v>
      </c>
      <c r="W2264">
        <f t="shared" si="2412"/>
        <v>3.1</v>
      </c>
      <c r="X2264" s="9">
        <v>-115.33491941667</v>
      </c>
    </row>
    <row r="2265" spans="1:24">
      <c r="A2265" s="29">
        <f t="shared" si="2392"/>
        <v>45930.249999994514</v>
      </c>
      <c r="B2265" s="30">
        <f t="shared" si="2347"/>
        <v>8000</v>
      </c>
      <c r="C2265" s="8">
        <v>25000</v>
      </c>
      <c r="D2265" s="8">
        <v>0</v>
      </c>
      <c r="E2265" s="8">
        <v>700</v>
      </c>
      <c r="F2265" s="8">
        <v>15000</v>
      </c>
      <c r="G2265" s="30">
        <f t="shared" si="2348"/>
        <v>2400</v>
      </c>
      <c r="H2265" s="8">
        <v>25000</v>
      </c>
      <c r="I2265" s="30">
        <f t="shared" si="2349"/>
        <v>8000</v>
      </c>
      <c r="J2265" s="8">
        <v>25000</v>
      </c>
      <c r="K2265" s="30">
        <f t="shared" si="2350"/>
        <v>8000</v>
      </c>
      <c r="L2265" s="8">
        <v>25000</v>
      </c>
      <c r="M2265" s="9">
        <f>VLOOKUP(DATE(YEAR(A2265),MONTH(A2265),DAY(A2265)),FY24_Temp[],4,FALSE)</f>
        <v>8.9</v>
      </c>
      <c r="N2265" s="9">
        <f>VLOOKUP(DATE(YEAR(A2265),MONTH(A2265),DAY(A2265)),FY24_Temp[],3,FALSE)</f>
        <v>16.8</v>
      </c>
      <c r="O2265" s="9">
        <v>13.5</v>
      </c>
      <c r="P2265" s="9">
        <v>19.5</v>
      </c>
      <c r="Q2265" s="79">
        <f>VLOOKUP(VLOOKUP(DATEVALUE(TEXT(A2265,"m/d/yyyy")),FY24_Temp[],5,FALSE)&amp;TEXT(A2265,"-h"),Table6[],4,FALSE)</f>
        <v>1.3392857142857142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VLOOKUP(TEXT(A2265,"yy-mm")&amp;"-"&amp;IF(AND(WEEKDAY(A2265)&gt;1,WEEKDAY(A2265)&lt;7),"Wkd",TEXT(A2265,"Ddd"))&amp;"-"&amp;TEXT(A2265,"hh"),LoadTable[],5,FALSE)*0.92</f>
        <v>237.25788000000003</v>
      </c>
      <c r="U2265" s="104">
        <f>VLOOKUP(TEXT(A2265,"yy-mm")&amp;"-"&amp;IF(AND(WEEKDAY(A2265)&gt;1,WEEKDAY(A2265)&lt;7),"Wkd",TEXT(A2265,"Ddd"))&amp;"-"&amp;TEXT(A2265,"hh"),LoadTable[],6,FALSE)*T2265</f>
        <v>18358.065722880005</v>
      </c>
      <c r="V2265">
        <f t="shared" ref="V2265:W2265" si="2413">V2241</f>
        <v>2.5</v>
      </c>
      <c r="W2265">
        <f t="shared" si="2413"/>
        <v>3.1</v>
      </c>
      <c r="X2265" s="9">
        <v>-115.41271396667</v>
      </c>
    </row>
    <row r="2266" spans="1:24">
      <c r="A2266" s="29">
        <f t="shared" si="2392"/>
        <v>45930.291666661178</v>
      </c>
      <c r="B2266" s="30">
        <f t="shared" si="2347"/>
        <v>8000</v>
      </c>
      <c r="C2266" s="8">
        <v>25000</v>
      </c>
      <c r="D2266" s="8">
        <v>0</v>
      </c>
      <c r="E2266" s="8">
        <v>700</v>
      </c>
      <c r="F2266" s="8">
        <v>15000</v>
      </c>
      <c r="G2266" s="30">
        <f t="shared" si="2348"/>
        <v>2400</v>
      </c>
      <c r="H2266" s="8">
        <v>25000</v>
      </c>
      <c r="I2266" s="30">
        <f t="shared" si="2349"/>
        <v>8000</v>
      </c>
      <c r="J2266" s="8">
        <v>25000</v>
      </c>
      <c r="K2266" s="30">
        <f t="shared" si="2350"/>
        <v>8000</v>
      </c>
      <c r="L2266" s="8">
        <v>25000</v>
      </c>
      <c r="M2266" s="9">
        <f>VLOOKUP(DATE(YEAR(A2266),MONTH(A2266),DAY(A2266)),FY24_Temp[],4,FALSE)</f>
        <v>8.9</v>
      </c>
      <c r="N2266" s="9">
        <f>VLOOKUP(DATE(YEAR(A2266),MONTH(A2266),DAY(A2266)),FY24_Temp[],3,FALSE)</f>
        <v>16.8</v>
      </c>
      <c r="O2266" s="9">
        <v>13.5</v>
      </c>
      <c r="P2266" s="9">
        <v>19.5</v>
      </c>
      <c r="Q2266" s="79">
        <f>VLOOKUP(VLOOKUP(DATEVALUE(TEXT(A2266,"m/d/yyyy")),FY24_Temp[],5,FALSE)&amp;TEXT(A2266,"-h"),Table6[],4,FALSE)</f>
        <v>1.180142845426287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VLOOKUP(TEXT(A2266,"yy-mm")&amp;"-"&amp;IF(AND(WEEKDAY(A2266)&gt;1,WEEKDAY(A2266)&lt;7),"Wkd",TEXT(A2266,"Ddd"))&amp;"-"&amp;TEXT(A2266,"hh"),LoadTable[],5,FALSE)*0.92</f>
        <v>237.25788000000003</v>
      </c>
      <c r="U2266" s="104">
        <f>VLOOKUP(TEXT(A2266,"yy-mm")&amp;"-"&amp;IF(AND(WEEKDAY(A2266)&gt;1,WEEKDAY(A2266)&lt;7),"Wkd",TEXT(A2266,"Ddd"))&amp;"-"&amp;TEXT(A2266,"hh"),LoadTable[],6,FALSE)*T2266</f>
        <v>16249.08042756</v>
      </c>
      <c r="V2266">
        <f t="shared" ref="V2266:W2266" si="2414">V2242</f>
        <v>2.5</v>
      </c>
      <c r="W2266">
        <f t="shared" si="2414"/>
        <v>3.1</v>
      </c>
      <c r="X2266" s="9">
        <v>-115.49050851667</v>
      </c>
    </row>
    <row r="2267" spans="1:24">
      <c r="A2267" s="29">
        <f t="shared" si="2392"/>
        <v>45930.333333327842</v>
      </c>
      <c r="B2267" s="30">
        <f t="shared" si="2347"/>
        <v>8000</v>
      </c>
      <c r="C2267" s="8">
        <v>25000</v>
      </c>
      <c r="D2267" s="8">
        <v>0</v>
      </c>
      <c r="E2267" s="8">
        <v>700</v>
      </c>
      <c r="F2267" s="8">
        <v>15000</v>
      </c>
      <c r="G2267" s="30">
        <f t="shared" si="2348"/>
        <v>2400</v>
      </c>
      <c r="H2267" s="8">
        <v>25000</v>
      </c>
      <c r="I2267" s="30">
        <f t="shared" si="2349"/>
        <v>8000</v>
      </c>
      <c r="J2267" s="8">
        <v>25000</v>
      </c>
      <c r="K2267" s="30">
        <f t="shared" si="2350"/>
        <v>8000</v>
      </c>
      <c r="L2267" s="8">
        <v>25000</v>
      </c>
      <c r="M2267" s="9">
        <f>VLOOKUP(DATE(YEAR(A2267),MONTH(A2267),DAY(A2267)),FY24_Temp[],4,FALSE)</f>
        <v>8.9</v>
      </c>
      <c r="N2267" s="9">
        <f>VLOOKUP(DATE(YEAR(A2267),MONTH(A2267),DAY(A2267)),FY24_Temp[],3,FALSE)</f>
        <v>16.8</v>
      </c>
      <c r="O2267" s="9">
        <v>13.5</v>
      </c>
      <c r="P2267" s="9">
        <v>19.5</v>
      </c>
      <c r="Q2267" s="79">
        <f>VLOOKUP(VLOOKUP(DATEVALUE(TEXT(A2267,"m/d/yyyy")),FY24_Temp[],5,FALSE)&amp;TEXT(A2267,"-h"),Table6[],4,FALSE)</f>
        <v>1.1274285657065255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VLOOKUP(TEXT(A2267,"yy-mm")&amp;"-"&amp;IF(AND(WEEKDAY(A2267)&gt;1,WEEKDAY(A2267)&lt;7),"Wkd",TEXT(A2267,"Ddd"))&amp;"-"&amp;TEXT(A2267,"hh"),LoadTable[],5,FALSE)*0.92</f>
        <v>237.25788000000003</v>
      </c>
      <c r="U2267" s="104">
        <f>VLOOKUP(TEXT(A2267,"yy-mm")&amp;"-"&amp;IF(AND(WEEKDAY(A2267)&gt;1,WEEKDAY(A2267)&lt;7),"Wkd",TEXT(A2267,"Ddd"))&amp;"-"&amp;TEXT(A2267,"hh"),LoadTable[],6,FALSE)*T2267</f>
        <v>13068.164030400001</v>
      </c>
      <c r="V2267">
        <f t="shared" ref="V2267:W2267" si="2415">V2243</f>
        <v>3.2</v>
      </c>
      <c r="W2267">
        <f t="shared" si="2415"/>
        <v>3</v>
      </c>
      <c r="X2267" s="9">
        <v>-115.56830306667</v>
      </c>
    </row>
    <row r="2268" spans="1:24">
      <c r="A2268" s="29">
        <f t="shared" si="2392"/>
        <v>45930.374999994507</v>
      </c>
      <c r="B2268" s="30">
        <f t="shared" ref="B2268:B2331" si="2416">B2244</f>
        <v>8000</v>
      </c>
      <c r="C2268" s="8">
        <v>25000</v>
      </c>
      <c r="D2268" s="8">
        <v>0</v>
      </c>
      <c r="E2268" s="8">
        <v>700</v>
      </c>
      <c r="F2268" s="8">
        <v>15000</v>
      </c>
      <c r="G2268" s="30">
        <f t="shared" ref="G2268:G2331" si="2417">G2244</f>
        <v>2400</v>
      </c>
      <c r="H2268" s="8">
        <v>25000</v>
      </c>
      <c r="I2268" s="30">
        <f t="shared" ref="I2268:I2331" si="2418">I2244</f>
        <v>8000</v>
      </c>
      <c r="J2268" s="8">
        <v>25000</v>
      </c>
      <c r="K2268" s="30">
        <f t="shared" ref="K2268:K2331" si="2419">K2244</f>
        <v>8000</v>
      </c>
      <c r="L2268" s="8">
        <v>25000</v>
      </c>
      <c r="M2268" s="9">
        <f>VLOOKUP(DATE(YEAR(A2268),MONTH(A2268),DAY(A2268)),FY24_Temp[],4,FALSE)</f>
        <v>8.9</v>
      </c>
      <c r="N2268" s="9">
        <f>VLOOKUP(DATE(YEAR(A2268),MONTH(A2268),DAY(A2268)),FY24_Temp[],3,FALSE)</f>
        <v>16.8</v>
      </c>
      <c r="O2268" s="9">
        <v>13.5</v>
      </c>
      <c r="P2268" s="9">
        <v>19.5</v>
      </c>
      <c r="Q2268" s="79">
        <f>VLOOKUP(VLOOKUP(DATEVALUE(TEXT(A2268,"m/d/yyyy")),FY24_Temp[],5,FALSE)&amp;TEXT(A2268,"-h"),Table6[],4,FALSE)</f>
        <v>0.99485715797969276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VLOOKUP(TEXT(A2268,"yy-mm")&amp;"-"&amp;IF(AND(WEEKDAY(A2268)&gt;1,WEEKDAY(A2268)&lt;7),"Wkd",TEXT(A2268,"Ddd"))&amp;"-"&amp;TEXT(A2268,"hh"),LoadTable[],5,FALSE)*0.92</f>
        <v>237.25788000000003</v>
      </c>
      <c r="U2268" s="104">
        <f>VLOOKUP(TEXT(A2268,"yy-mm")&amp;"-"&amp;IF(AND(WEEKDAY(A2268)&gt;1,WEEKDAY(A2268)&lt;7),"Wkd",TEXT(A2268,"Ddd"))&amp;"-"&amp;TEXT(A2268,"hh"),LoadTable[],6,FALSE)*T2268</f>
        <v>11518.395558240001</v>
      </c>
      <c r="V2268">
        <f t="shared" ref="V2268:W2268" si="2420">V2244</f>
        <v>2.9</v>
      </c>
      <c r="W2268">
        <f t="shared" si="2420"/>
        <v>3</v>
      </c>
      <c r="X2268" s="9">
        <v>-115.64609761667</v>
      </c>
    </row>
    <row r="2269" spans="1:24">
      <c r="A2269" s="29">
        <f t="shared" si="2392"/>
        <v>45930.416666661171</v>
      </c>
      <c r="B2269" s="30">
        <f t="shared" si="2416"/>
        <v>8000</v>
      </c>
      <c r="C2269" s="8">
        <v>25000</v>
      </c>
      <c r="D2269" s="8">
        <v>0</v>
      </c>
      <c r="E2269" s="8">
        <v>700</v>
      </c>
      <c r="F2269" s="8">
        <v>15000</v>
      </c>
      <c r="G2269" s="30">
        <f t="shared" si="2417"/>
        <v>2400</v>
      </c>
      <c r="H2269" s="8">
        <v>25000</v>
      </c>
      <c r="I2269" s="30">
        <f t="shared" si="2418"/>
        <v>8000</v>
      </c>
      <c r="J2269" s="8">
        <v>25000</v>
      </c>
      <c r="K2269" s="30">
        <f t="shared" si="2419"/>
        <v>8000</v>
      </c>
      <c r="L2269" s="8">
        <v>25000</v>
      </c>
      <c r="M2269" s="9">
        <f>VLOOKUP(DATE(YEAR(A2269),MONTH(A2269),DAY(A2269)),FY24_Temp[],4,FALSE)</f>
        <v>8.9</v>
      </c>
      <c r="N2269" s="9">
        <f>VLOOKUP(DATE(YEAR(A2269),MONTH(A2269),DAY(A2269)),FY24_Temp[],3,FALSE)</f>
        <v>16.8</v>
      </c>
      <c r="O2269" s="9">
        <v>13.5</v>
      </c>
      <c r="P2269" s="9">
        <v>19.5</v>
      </c>
      <c r="Q2269" s="79">
        <f>VLOOKUP(VLOOKUP(DATEVALUE(TEXT(A2269,"m/d/yyyy")),FY24_Temp[],5,FALSE)&amp;TEXT(A2269,"-h"),Table6[],4,FALSE)</f>
        <v>0.87171429395675659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VLOOKUP(TEXT(A2269,"yy-mm")&amp;"-"&amp;IF(AND(WEEKDAY(A2269)&gt;1,WEEKDAY(A2269)&lt;7),"Wkd",TEXT(A2269,"Ddd"))&amp;"-"&amp;TEXT(A2269,"hh"),LoadTable[],5,FALSE)*0.92</f>
        <v>237.25788000000003</v>
      </c>
      <c r="U2269" s="104">
        <f>VLOOKUP(TEXT(A2269,"yy-mm")&amp;"-"&amp;IF(AND(WEEKDAY(A2269)&gt;1,WEEKDAY(A2269)&lt;7),"Wkd",TEXT(A2269,"Ddd"))&amp;"-"&amp;TEXT(A2269,"hh"),LoadTable[],6,FALSE)*T2269</f>
        <v>10982.667265200002</v>
      </c>
      <c r="V2269">
        <f t="shared" ref="V2269:W2269" si="2421">V2245</f>
        <v>2.9</v>
      </c>
      <c r="W2269">
        <f t="shared" si="2421"/>
        <v>3</v>
      </c>
      <c r="X2269" s="9">
        <v>-115.72389216667</v>
      </c>
    </row>
    <row r="2270" spans="1:24">
      <c r="A2270" s="29">
        <f t="shared" si="2392"/>
        <v>45930.458333327835</v>
      </c>
      <c r="B2270" s="30">
        <f t="shared" si="2416"/>
        <v>8000</v>
      </c>
      <c r="C2270" s="8">
        <v>25000</v>
      </c>
      <c r="D2270" s="8">
        <v>0</v>
      </c>
      <c r="E2270" s="8">
        <v>700</v>
      </c>
      <c r="F2270" s="8">
        <v>15000</v>
      </c>
      <c r="G2270" s="30">
        <f t="shared" si="2417"/>
        <v>2400</v>
      </c>
      <c r="H2270" s="8">
        <v>25000</v>
      </c>
      <c r="I2270" s="30">
        <f t="shared" si="2418"/>
        <v>8000</v>
      </c>
      <c r="J2270" s="8">
        <v>25000</v>
      </c>
      <c r="K2270" s="30">
        <f t="shared" si="2419"/>
        <v>8000</v>
      </c>
      <c r="L2270" s="8">
        <v>25000</v>
      </c>
      <c r="M2270" s="9">
        <f>VLOOKUP(DATE(YEAR(A2270),MONTH(A2270),DAY(A2270)),FY24_Temp[],4,FALSE)</f>
        <v>8.9</v>
      </c>
      <c r="N2270" s="9">
        <f>VLOOKUP(DATE(YEAR(A2270),MONTH(A2270),DAY(A2270)),FY24_Temp[],3,FALSE)</f>
        <v>16.8</v>
      </c>
      <c r="O2270" s="9">
        <v>13.5</v>
      </c>
      <c r="P2270" s="9">
        <v>19.5</v>
      </c>
      <c r="Q2270" s="79">
        <f>VLOOKUP(VLOOKUP(DATEVALUE(TEXT(A2270,"m/d/yyyy")),FY24_Temp[],5,FALSE)&amp;TEXT(A2270,"-h"),Table6[],4,FALSE)</f>
        <v>0.77757143974304199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VLOOKUP(TEXT(A2270,"yy-mm")&amp;"-"&amp;IF(AND(WEEKDAY(A2270)&gt;1,WEEKDAY(A2270)&lt;7),"Wkd",TEXT(A2270,"Ddd"))&amp;"-"&amp;TEXT(A2270,"hh"),LoadTable[],5,FALSE)*0.92</f>
        <v>237.25788000000003</v>
      </c>
      <c r="U2270" s="104">
        <f>VLOOKUP(TEXT(A2270,"yy-mm")&amp;"-"&amp;IF(AND(WEEKDAY(A2270)&gt;1,WEEKDAY(A2270)&lt;7),"Wkd",TEXT(A2270,"Ddd"))&amp;"-"&amp;TEXT(A2270,"hh"),LoadTable[],6,FALSE)*T2270</f>
        <v>10974.125981520001</v>
      </c>
      <c r="V2270">
        <f t="shared" ref="V2270:W2270" si="2422">V2246</f>
        <v>3.4</v>
      </c>
      <c r="W2270">
        <f t="shared" si="2422"/>
        <v>3</v>
      </c>
      <c r="X2270" s="9">
        <v>-115.80168671667001</v>
      </c>
    </row>
    <row r="2271" spans="1:24">
      <c r="A2271" s="29">
        <f t="shared" si="2392"/>
        <v>45930.499999994499</v>
      </c>
      <c r="B2271" s="30">
        <f t="shared" si="2416"/>
        <v>8000</v>
      </c>
      <c r="C2271" s="8">
        <v>25000</v>
      </c>
      <c r="D2271" s="8">
        <v>0</v>
      </c>
      <c r="E2271" s="8">
        <v>700</v>
      </c>
      <c r="F2271" s="8">
        <v>15000</v>
      </c>
      <c r="G2271" s="30">
        <f t="shared" si="2417"/>
        <v>2400</v>
      </c>
      <c r="H2271" s="8">
        <v>25000</v>
      </c>
      <c r="I2271" s="30">
        <f t="shared" si="2418"/>
        <v>8000</v>
      </c>
      <c r="J2271" s="8">
        <v>25000</v>
      </c>
      <c r="K2271" s="30">
        <f t="shared" si="2419"/>
        <v>8000</v>
      </c>
      <c r="L2271" s="8">
        <v>25000</v>
      </c>
      <c r="M2271" s="9">
        <f>VLOOKUP(DATE(YEAR(A2271),MONTH(A2271),DAY(A2271)),FY24_Temp[],4,FALSE)</f>
        <v>8.9</v>
      </c>
      <c r="N2271" s="9">
        <f>VLOOKUP(DATE(YEAR(A2271),MONTH(A2271),DAY(A2271)),FY24_Temp[],3,FALSE)</f>
        <v>16.8</v>
      </c>
      <c r="O2271" s="9">
        <v>13.5</v>
      </c>
      <c r="P2271" s="9">
        <v>19.5</v>
      </c>
      <c r="Q2271" s="79">
        <f>VLOOKUP(VLOOKUP(DATEVALUE(TEXT(A2271,"m/d/yyyy")),FY24_Temp[],5,FALSE)&amp;TEXT(A2271,"-h"),Table6[],4,FALSE)</f>
        <v>0.64328571728297645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VLOOKUP(TEXT(A2271,"yy-mm")&amp;"-"&amp;IF(AND(WEEKDAY(A2271)&gt;1,WEEKDAY(A2271)&lt;7),"Wkd",TEXT(A2271,"Ddd"))&amp;"-"&amp;TEXT(A2271,"hh"),LoadTable[],5,FALSE)*0.92</f>
        <v>237.25788000000003</v>
      </c>
      <c r="U2271" s="104">
        <f>VLOOKUP(TEXT(A2271,"yy-mm")&amp;"-"&amp;IF(AND(WEEKDAY(A2271)&gt;1,WEEKDAY(A2271)&lt;7),"Wkd",TEXT(A2271,"Ddd"))&amp;"-"&amp;TEXT(A2271,"hh"),LoadTable[],6,FALSE)*T2271</f>
        <v>10962.974861160001</v>
      </c>
      <c r="V2271">
        <f t="shared" ref="V2271:W2271" si="2423">V2247</f>
        <v>3.1</v>
      </c>
      <c r="W2271">
        <f t="shared" si="2423"/>
        <v>2.9</v>
      </c>
      <c r="X2271" s="9">
        <v>-115.87948126667</v>
      </c>
    </row>
    <row r="2272" spans="1:24">
      <c r="A2272" s="29">
        <f t="shared" si="2392"/>
        <v>45930.541666661164</v>
      </c>
      <c r="B2272" s="30">
        <f t="shared" si="2416"/>
        <v>8000</v>
      </c>
      <c r="C2272" s="8">
        <v>25000</v>
      </c>
      <c r="D2272" s="8">
        <v>0</v>
      </c>
      <c r="E2272" s="8">
        <v>700</v>
      </c>
      <c r="F2272" s="8">
        <v>15000</v>
      </c>
      <c r="G2272" s="30">
        <f t="shared" si="2417"/>
        <v>2400</v>
      </c>
      <c r="H2272" s="8">
        <v>25000</v>
      </c>
      <c r="I2272" s="30">
        <f t="shared" si="2418"/>
        <v>8000</v>
      </c>
      <c r="J2272" s="8">
        <v>25000</v>
      </c>
      <c r="K2272" s="30">
        <f t="shared" si="2419"/>
        <v>8000</v>
      </c>
      <c r="L2272" s="8">
        <v>25000</v>
      </c>
      <c r="M2272" s="9">
        <f>VLOOKUP(DATE(YEAR(A2272),MONTH(A2272),DAY(A2272)),FY24_Temp[],4,FALSE)</f>
        <v>8.9</v>
      </c>
      <c r="N2272" s="9">
        <f>VLOOKUP(DATE(YEAR(A2272),MONTH(A2272),DAY(A2272)),FY24_Temp[],3,FALSE)</f>
        <v>16.8</v>
      </c>
      <c r="O2272" s="9">
        <v>13.5</v>
      </c>
      <c r="P2272" s="9">
        <v>19.5</v>
      </c>
      <c r="Q2272" s="79">
        <f>VLOOKUP(VLOOKUP(DATEVALUE(TEXT(A2272,"m/d/yyyy")),FY24_Temp[],5,FALSE)&amp;TEXT(A2272,"-h"),Table6[],4,FALSE)</f>
        <v>0.51885714275496342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VLOOKUP(TEXT(A2272,"yy-mm")&amp;"-"&amp;IF(AND(WEEKDAY(A2272)&gt;1,WEEKDAY(A2272)&lt;7),"Wkd",TEXT(A2272,"Ddd"))&amp;"-"&amp;TEXT(A2272,"hh"),LoadTable[],5,FALSE)*0.92</f>
        <v>237.25788000000003</v>
      </c>
      <c r="U2272" s="104">
        <f>VLOOKUP(TEXT(A2272,"yy-mm")&amp;"-"&amp;IF(AND(WEEKDAY(A2272)&gt;1,WEEKDAY(A2272)&lt;7),"Wkd",TEXT(A2272,"Ddd"))&amp;"-"&amp;TEXT(A2272,"hh"),LoadTable[],6,FALSE)*T2272</f>
        <v>10978.39662336</v>
      </c>
      <c r="V2272">
        <f t="shared" ref="V2272:W2272" si="2424">V2248</f>
        <v>3.2</v>
      </c>
      <c r="W2272">
        <f t="shared" si="2424"/>
        <v>2.9</v>
      </c>
      <c r="X2272" s="9">
        <v>-115.95727581667001</v>
      </c>
    </row>
    <row r="2273" spans="1:24">
      <c r="A2273" s="29">
        <f t="shared" si="2392"/>
        <v>45930.583333327828</v>
      </c>
      <c r="B2273" s="30">
        <f t="shared" si="2416"/>
        <v>8000</v>
      </c>
      <c r="C2273" s="8">
        <v>25000</v>
      </c>
      <c r="D2273" s="8">
        <v>0</v>
      </c>
      <c r="E2273" s="8">
        <v>700</v>
      </c>
      <c r="F2273" s="8">
        <v>15000</v>
      </c>
      <c r="G2273" s="30">
        <f t="shared" si="2417"/>
        <v>2400</v>
      </c>
      <c r="H2273" s="8">
        <v>25000</v>
      </c>
      <c r="I2273" s="30">
        <f t="shared" si="2418"/>
        <v>8000</v>
      </c>
      <c r="J2273" s="8">
        <v>25000</v>
      </c>
      <c r="K2273" s="30">
        <f t="shared" si="2419"/>
        <v>8000</v>
      </c>
      <c r="L2273" s="8">
        <v>25000</v>
      </c>
      <c r="M2273" s="9">
        <f>VLOOKUP(DATE(YEAR(A2273),MONTH(A2273),DAY(A2273)),FY24_Temp[],4,FALSE)</f>
        <v>8.9</v>
      </c>
      <c r="N2273" s="9">
        <f>VLOOKUP(DATE(YEAR(A2273),MONTH(A2273),DAY(A2273)),FY24_Temp[],3,FALSE)</f>
        <v>16.8</v>
      </c>
      <c r="O2273" s="9">
        <v>13.5</v>
      </c>
      <c r="P2273" s="9">
        <v>19.5</v>
      </c>
      <c r="Q2273" s="79">
        <f>VLOOKUP(VLOOKUP(DATEVALUE(TEXT(A2273,"m/d/yyyy")),FY24_Temp[],5,FALSE)&amp;TEXT(A2273,"-h"),Table6[],4,FALSE)</f>
        <v>0.4115714303084782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VLOOKUP(TEXT(A2273,"yy-mm")&amp;"-"&amp;IF(AND(WEEKDAY(A2273)&gt;1,WEEKDAY(A2273)&lt;7),"Wkd",TEXT(A2273,"Ddd"))&amp;"-"&amp;TEXT(A2273,"hh"),LoadTable[],5,FALSE)*0.92</f>
        <v>269.75136000000003</v>
      </c>
      <c r="U2273" s="104">
        <f>VLOOKUP(TEXT(A2273,"yy-mm")&amp;"-"&amp;IF(AND(WEEKDAY(A2273)&gt;1,WEEKDAY(A2273)&lt;7),"Wkd",TEXT(A2273,"Ddd"))&amp;"-"&amp;TEXT(A2273,"hh"),LoadTable[],6,FALSE)*T2273</f>
        <v>12503.245287360001</v>
      </c>
      <c r="V2273">
        <f t="shared" ref="V2273:W2273" si="2425">V2249</f>
        <v>3.5</v>
      </c>
      <c r="W2273">
        <f t="shared" si="2425"/>
        <v>2.9</v>
      </c>
      <c r="X2273" s="9">
        <v>-116.03507036667</v>
      </c>
    </row>
    <row r="2274" spans="1:24">
      <c r="A2274" s="29">
        <f t="shared" si="2392"/>
        <v>45930.624999994492</v>
      </c>
      <c r="B2274" s="30">
        <f t="shared" si="2416"/>
        <v>8000</v>
      </c>
      <c r="C2274" s="8">
        <v>25000</v>
      </c>
      <c r="D2274" s="8">
        <v>0</v>
      </c>
      <c r="E2274" s="8">
        <v>700</v>
      </c>
      <c r="F2274" s="8">
        <v>15000</v>
      </c>
      <c r="G2274" s="30">
        <f t="shared" si="2417"/>
        <v>2400</v>
      </c>
      <c r="H2274" s="8">
        <v>25000</v>
      </c>
      <c r="I2274" s="30">
        <f t="shared" si="2418"/>
        <v>8000</v>
      </c>
      <c r="J2274" s="8">
        <v>25000</v>
      </c>
      <c r="K2274" s="30">
        <f t="shared" si="2419"/>
        <v>8000</v>
      </c>
      <c r="L2274" s="8">
        <v>25000</v>
      </c>
      <c r="M2274" s="9">
        <f>VLOOKUP(DATE(YEAR(A2274),MONTH(A2274),DAY(A2274)),FY24_Temp[],4,FALSE)</f>
        <v>8.9</v>
      </c>
      <c r="N2274" s="9">
        <f>VLOOKUP(DATE(YEAR(A2274),MONTH(A2274),DAY(A2274)),FY24_Temp[],3,FALSE)</f>
        <v>16.8</v>
      </c>
      <c r="O2274" s="9">
        <v>13.5</v>
      </c>
      <c r="P2274" s="9">
        <v>19.5</v>
      </c>
      <c r="Q2274" s="79">
        <f>VLOOKUP(VLOOKUP(DATEVALUE(TEXT(A2274,"m/d/yyyy")),FY24_Temp[],5,FALSE)&amp;TEXT(A2274,"-h"),Table6[],4,FALSE)</f>
        <v>0.39228571312768118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VLOOKUP(TEXT(A2274,"yy-mm")&amp;"-"&amp;IF(AND(WEEKDAY(A2274)&gt;1,WEEKDAY(A2274)&lt;7),"Wkd",TEXT(A2274,"Ddd"))&amp;"-"&amp;TEXT(A2274,"hh"),LoadTable[],5,FALSE)*0.92</f>
        <v>388.38076000000001</v>
      </c>
      <c r="U2274" s="104">
        <f>VLOOKUP(TEXT(A2274,"yy-mm")&amp;"-"&amp;IF(AND(WEEKDAY(A2274)&gt;1,WEEKDAY(A2274)&lt;7),"Wkd",TEXT(A2274,"Ddd"))&amp;"-"&amp;TEXT(A2274,"hh"),LoadTable[],6,FALSE)*T2274</f>
        <v>19705.663000880002</v>
      </c>
      <c r="V2274">
        <f t="shared" ref="V2274:W2274" si="2426">V2250</f>
        <v>3.2</v>
      </c>
      <c r="W2274">
        <f t="shared" si="2426"/>
        <v>2.9</v>
      </c>
      <c r="X2274" s="9">
        <v>-116.11286491667001</v>
      </c>
    </row>
    <row r="2275" spans="1:24">
      <c r="A2275" s="29">
        <f t="shared" si="2392"/>
        <v>45930.666666661156</v>
      </c>
      <c r="B2275" s="30">
        <f t="shared" si="2416"/>
        <v>8000</v>
      </c>
      <c r="C2275" s="8">
        <v>25000</v>
      </c>
      <c r="D2275" s="8">
        <v>0</v>
      </c>
      <c r="E2275" s="8">
        <v>700</v>
      </c>
      <c r="F2275" s="8">
        <v>15000</v>
      </c>
      <c r="G2275" s="30">
        <f t="shared" si="2417"/>
        <v>2400</v>
      </c>
      <c r="H2275" s="8">
        <v>25000</v>
      </c>
      <c r="I2275" s="30">
        <f t="shared" si="2418"/>
        <v>8000</v>
      </c>
      <c r="J2275" s="8">
        <v>25000</v>
      </c>
      <c r="K2275" s="30">
        <f t="shared" si="2419"/>
        <v>8000</v>
      </c>
      <c r="L2275" s="8">
        <v>25000</v>
      </c>
      <c r="M2275" s="9">
        <f>VLOOKUP(DATE(YEAR(A2275),MONTH(A2275),DAY(A2275)),FY24_Temp[],4,FALSE)</f>
        <v>8.9</v>
      </c>
      <c r="N2275" s="9">
        <f>VLOOKUP(DATE(YEAR(A2275),MONTH(A2275),DAY(A2275)),FY24_Temp[],3,FALSE)</f>
        <v>16.8</v>
      </c>
      <c r="O2275" s="9">
        <v>13.5</v>
      </c>
      <c r="P2275" s="9">
        <v>19.5</v>
      </c>
      <c r="Q2275" s="79">
        <f>VLOOKUP(VLOOKUP(DATEVALUE(TEXT(A2275,"m/d/yyyy")),FY24_Temp[],5,FALSE)&amp;TEXT(A2275,"-h"),Table6[],4,FALSE)</f>
        <v>0.64628571271896362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VLOOKUP(TEXT(A2275,"yy-mm")&amp;"-"&amp;IF(AND(WEEKDAY(A2275)&gt;1,WEEKDAY(A2275)&lt;7),"Wkd",TEXT(A2275,"Ddd"))&amp;"-"&amp;TEXT(A2275,"hh"),LoadTable[],5,FALSE)*0.92</f>
        <v>388.38076000000001</v>
      </c>
      <c r="U2275" s="104">
        <f>VLOOKUP(TEXT(A2275,"yy-mm")&amp;"-"&amp;IF(AND(WEEKDAY(A2275)&gt;1,WEEKDAY(A2275)&lt;7),"Wkd",TEXT(A2275,"Ddd"))&amp;"-"&amp;TEXT(A2275,"hh"),LoadTable[],6,FALSE)*T2275</f>
        <v>23675.6911296</v>
      </c>
      <c r="V2275">
        <f t="shared" ref="V2275:W2275" si="2427">V2251</f>
        <v>3.5</v>
      </c>
      <c r="W2275">
        <f t="shared" si="2427"/>
        <v>3</v>
      </c>
      <c r="X2275" s="9">
        <v>-116.19065946667</v>
      </c>
    </row>
    <row r="2276" spans="1:24">
      <c r="A2276" s="29">
        <f t="shared" si="2392"/>
        <v>45930.708333327821</v>
      </c>
      <c r="B2276" s="30">
        <f t="shared" si="2416"/>
        <v>8000</v>
      </c>
      <c r="C2276" s="8">
        <v>25000</v>
      </c>
      <c r="D2276" s="8">
        <v>0</v>
      </c>
      <c r="E2276" s="8">
        <v>700</v>
      </c>
      <c r="F2276" s="8">
        <v>15000</v>
      </c>
      <c r="G2276" s="30">
        <f t="shared" si="2417"/>
        <v>2400</v>
      </c>
      <c r="H2276" s="8">
        <v>25000</v>
      </c>
      <c r="I2276" s="30">
        <f t="shared" si="2418"/>
        <v>8000</v>
      </c>
      <c r="J2276" s="8">
        <v>25000</v>
      </c>
      <c r="K2276" s="30">
        <f t="shared" si="2419"/>
        <v>8000</v>
      </c>
      <c r="L2276" s="8">
        <v>25000</v>
      </c>
      <c r="M2276" s="9">
        <f>VLOOKUP(DATE(YEAR(A2276),MONTH(A2276),DAY(A2276)),FY24_Temp[],4,FALSE)</f>
        <v>8.9</v>
      </c>
      <c r="N2276" s="9">
        <f>VLOOKUP(DATE(YEAR(A2276),MONTH(A2276),DAY(A2276)),FY24_Temp[],3,FALSE)</f>
        <v>16.8</v>
      </c>
      <c r="O2276" s="9">
        <v>13.5</v>
      </c>
      <c r="P2276" s="9">
        <v>19.5</v>
      </c>
      <c r="Q2276" s="79">
        <f>VLOOKUP(VLOOKUP(DATEVALUE(TEXT(A2276,"m/d/yyyy")),FY24_Temp[],5,FALSE)&amp;TEXT(A2276,"-h"),Table6[],4,FALSE)</f>
        <v>1.0399999873978751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VLOOKUP(TEXT(A2276,"yy-mm")&amp;"-"&amp;IF(AND(WEEKDAY(A2276)&gt;1,WEEKDAY(A2276)&lt;7),"Wkd",TEXT(A2276,"Ddd"))&amp;"-"&amp;TEXT(A2276,"hh"),LoadTable[],5,FALSE)*0.92</f>
        <v>388.38076000000001</v>
      </c>
      <c r="U2276" s="104">
        <f>VLOOKUP(TEXT(A2276,"yy-mm")&amp;"-"&amp;IF(AND(WEEKDAY(A2276)&gt;1,WEEKDAY(A2276)&lt;7),"Wkd",TEXT(A2276,"Ddd"))&amp;"-"&amp;TEXT(A2276,"hh"),LoadTable[],6,FALSE)*T2276</f>
        <v>31454.180990880002</v>
      </c>
      <c r="V2276">
        <f t="shared" ref="V2276:W2276" si="2428">V2252</f>
        <v>3.6</v>
      </c>
      <c r="W2276">
        <f t="shared" si="2428"/>
        <v>3</v>
      </c>
      <c r="X2276" s="9">
        <v>-116.26845401667001</v>
      </c>
    </row>
    <row r="2277" spans="1:24">
      <c r="A2277" s="29">
        <f t="shared" si="2392"/>
        <v>45930.749999994485</v>
      </c>
      <c r="B2277" s="30">
        <f t="shared" si="2416"/>
        <v>5000</v>
      </c>
      <c r="C2277" s="8">
        <v>25000</v>
      </c>
      <c r="D2277" s="8">
        <v>0</v>
      </c>
      <c r="E2277" s="8">
        <v>700</v>
      </c>
      <c r="F2277" s="8">
        <v>15000</v>
      </c>
      <c r="G2277" s="30">
        <f t="shared" si="2417"/>
        <v>2400</v>
      </c>
      <c r="H2277" s="8">
        <v>25000</v>
      </c>
      <c r="I2277" s="30">
        <f t="shared" si="2418"/>
        <v>5000</v>
      </c>
      <c r="J2277" s="8">
        <v>25000</v>
      </c>
      <c r="K2277" s="30">
        <f t="shared" si="2419"/>
        <v>5000</v>
      </c>
      <c r="L2277" s="8">
        <v>25000</v>
      </c>
      <c r="M2277" s="9">
        <f>VLOOKUP(DATE(YEAR(A2277),MONTH(A2277),DAY(A2277)),FY24_Temp[],4,FALSE)</f>
        <v>8.9</v>
      </c>
      <c r="N2277" s="9">
        <f>VLOOKUP(DATE(YEAR(A2277),MONTH(A2277),DAY(A2277)),FY24_Temp[],3,FALSE)</f>
        <v>16.8</v>
      </c>
      <c r="O2277" s="9">
        <v>13.5</v>
      </c>
      <c r="P2277" s="9">
        <v>19.5</v>
      </c>
      <c r="Q2277" s="79">
        <f>VLOOKUP(VLOOKUP(DATEVALUE(TEXT(A2277,"m/d/yyyy")),FY24_Temp[],5,FALSE)&amp;TEXT(A2277,"-h"),Table6[],4,FALSE)</f>
        <v>1.47700001512255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VLOOKUP(TEXT(A2277,"yy-mm")&amp;"-"&amp;IF(AND(WEEKDAY(A2277)&gt;1,WEEKDAY(A2277)&lt;7),"Wkd",TEXT(A2277,"Ddd"))&amp;"-"&amp;TEXT(A2277,"hh"),LoadTable[],5,FALSE)*0.92</f>
        <v>388.38076000000001</v>
      </c>
      <c r="U2277" s="104">
        <f>VLOOKUP(TEXT(A2277,"yy-mm")&amp;"-"&amp;IF(AND(WEEKDAY(A2277)&gt;1,WEEKDAY(A2277)&lt;7),"Wkd",TEXT(A2277,"Ddd"))&amp;"-"&amp;TEXT(A2277,"hh"),LoadTable[],6,FALSE)*T2277</f>
        <v>38316.869020080005</v>
      </c>
      <c r="V2277">
        <f t="shared" ref="V2277:W2277" si="2429">V2253</f>
        <v>2.9</v>
      </c>
      <c r="W2277">
        <f t="shared" si="2429"/>
        <v>3</v>
      </c>
      <c r="X2277" s="9">
        <v>-116.34624856667</v>
      </c>
    </row>
    <row r="2278" spans="1:24">
      <c r="A2278" s="29">
        <f t="shared" si="2392"/>
        <v>45930.791666661149</v>
      </c>
      <c r="B2278" s="30">
        <f t="shared" si="2416"/>
        <v>5000</v>
      </c>
      <c r="C2278" s="8">
        <v>25000</v>
      </c>
      <c r="D2278" s="8">
        <v>0</v>
      </c>
      <c r="E2278" s="8">
        <v>700</v>
      </c>
      <c r="F2278" s="8">
        <v>15000</v>
      </c>
      <c r="G2278" s="30">
        <f t="shared" si="2417"/>
        <v>2400</v>
      </c>
      <c r="H2278" s="8">
        <v>25000</v>
      </c>
      <c r="I2278" s="30">
        <f t="shared" si="2418"/>
        <v>5000</v>
      </c>
      <c r="J2278" s="8">
        <v>25000</v>
      </c>
      <c r="K2278" s="30">
        <f t="shared" si="2419"/>
        <v>5000</v>
      </c>
      <c r="L2278" s="8">
        <v>25000</v>
      </c>
      <c r="M2278" s="9">
        <f>VLOOKUP(DATE(YEAR(A2278),MONTH(A2278),DAY(A2278)),FY24_Temp[],4,FALSE)</f>
        <v>8.9</v>
      </c>
      <c r="N2278" s="9">
        <f>VLOOKUP(DATE(YEAR(A2278),MONTH(A2278),DAY(A2278)),FY24_Temp[],3,FALSE)</f>
        <v>16.8</v>
      </c>
      <c r="O2278" s="9">
        <v>13.5</v>
      </c>
      <c r="P2278" s="9">
        <v>19.5</v>
      </c>
      <c r="Q2278" s="79">
        <f>VLOOKUP(VLOOKUP(DATEVALUE(TEXT(A2278,"m/d/yyyy")),FY24_Temp[],5,FALSE)&amp;TEXT(A2278,"-h"),Table6[],4,FALSE)</f>
        <v>1.8152856826782227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VLOOKUP(TEXT(A2278,"yy-mm")&amp;"-"&amp;IF(AND(WEEKDAY(A2278)&gt;1,WEEKDAY(A2278)&lt;7),"Wkd",TEXT(A2278,"Ddd"))&amp;"-"&amp;TEXT(A2278,"hh"),LoadTable[],5,FALSE)*0.92</f>
        <v>388.38076000000001</v>
      </c>
      <c r="U2278" s="104">
        <f>VLOOKUP(TEXT(A2278,"yy-mm")&amp;"-"&amp;IF(AND(WEEKDAY(A2278)&gt;1,WEEKDAY(A2278)&lt;7),"Wkd",TEXT(A2278,"Ddd"))&amp;"-"&amp;TEXT(A2278,"hh"),LoadTable[],6,FALSE)*T2278</f>
        <v>41132.241149319998</v>
      </c>
      <c r="V2278">
        <f t="shared" ref="V2278:W2278" si="2430">V2254</f>
        <v>3</v>
      </c>
      <c r="W2278">
        <f t="shared" si="2430"/>
        <v>3</v>
      </c>
      <c r="X2278" s="9">
        <v>-116.424043116671</v>
      </c>
    </row>
    <row r="2279" spans="1:24">
      <c r="A2279" s="29">
        <f t="shared" si="2392"/>
        <v>45930.833333327813</v>
      </c>
      <c r="B2279" s="30">
        <f t="shared" si="2416"/>
        <v>5000</v>
      </c>
      <c r="C2279" s="8">
        <v>25000</v>
      </c>
      <c r="D2279" s="8">
        <v>0</v>
      </c>
      <c r="E2279" s="8">
        <v>700</v>
      </c>
      <c r="F2279" s="8">
        <v>15000</v>
      </c>
      <c r="G2279" s="30">
        <f t="shared" si="2417"/>
        <v>2400</v>
      </c>
      <c r="H2279" s="8">
        <v>25000</v>
      </c>
      <c r="I2279" s="30">
        <f t="shared" si="2418"/>
        <v>5000</v>
      </c>
      <c r="J2279" s="8">
        <v>25000</v>
      </c>
      <c r="K2279" s="30">
        <f t="shared" si="2419"/>
        <v>5000</v>
      </c>
      <c r="L2279" s="8">
        <v>25000</v>
      </c>
      <c r="M2279" s="9">
        <f>VLOOKUP(DATE(YEAR(A2279),MONTH(A2279),DAY(A2279)),FY24_Temp[],4,FALSE)</f>
        <v>8.9</v>
      </c>
      <c r="N2279" s="9">
        <f>VLOOKUP(DATE(YEAR(A2279),MONTH(A2279),DAY(A2279)),FY24_Temp[],3,FALSE)</f>
        <v>16.8</v>
      </c>
      <c r="O2279" s="9">
        <v>13.5</v>
      </c>
      <c r="P2279" s="9">
        <v>19.5</v>
      </c>
      <c r="Q2279" s="79">
        <f>VLOOKUP(VLOOKUP(DATEVALUE(TEXT(A2279,"m/d/yyyy")),FY24_Temp[],5,FALSE)&amp;TEXT(A2279,"-h"),Table6[],4,FALSE)</f>
        <v>1.9898571627480643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VLOOKUP(TEXT(A2279,"yy-mm")&amp;"-"&amp;IF(AND(WEEKDAY(A2279)&gt;1,WEEKDAY(A2279)&lt;7),"Wkd",TEXT(A2279,"Ddd"))&amp;"-"&amp;TEXT(A2279,"hh"),LoadTable[],5,FALSE)*0.92</f>
        <v>388.38076000000001</v>
      </c>
      <c r="U2279" s="104">
        <f>VLOOKUP(TEXT(A2279,"yy-mm")&amp;"-"&amp;IF(AND(WEEKDAY(A2279)&gt;1,WEEKDAY(A2279)&lt;7),"Wkd",TEXT(A2279,"Ddd"))&amp;"-"&amp;TEXT(A2279,"hh"),LoadTable[],6,FALSE)*T2279</f>
        <v>36274.762984000001</v>
      </c>
      <c r="V2279">
        <f t="shared" ref="V2279:W2279" si="2431">V2255</f>
        <v>2.8</v>
      </c>
      <c r="W2279">
        <f t="shared" si="2431"/>
        <v>3.1</v>
      </c>
      <c r="X2279" s="9">
        <v>-116.50183766667099</v>
      </c>
    </row>
    <row r="2280" spans="1:24">
      <c r="A2280" s="29">
        <f t="shared" si="2392"/>
        <v>45930.874999994478</v>
      </c>
      <c r="B2280" s="30">
        <f t="shared" si="2416"/>
        <v>5000</v>
      </c>
      <c r="C2280" s="8">
        <v>25000</v>
      </c>
      <c r="D2280" s="8">
        <v>0</v>
      </c>
      <c r="E2280" s="8">
        <v>700</v>
      </c>
      <c r="F2280" s="8">
        <v>15000</v>
      </c>
      <c r="G2280" s="30">
        <f t="shared" si="2417"/>
        <v>2400</v>
      </c>
      <c r="H2280" s="8">
        <v>25000</v>
      </c>
      <c r="I2280" s="30">
        <f t="shared" si="2418"/>
        <v>5000</v>
      </c>
      <c r="J2280" s="8">
        <v>25000</v>
      </c>
      <c r="K2280" s="30">
        <f t="shared" si="2419"/>
        <v>5000</v>
      </c>
      <c r="L2280" s="8">
        <v>25000</v>
      </c>
      <c r="M2280" s="9">
        <f>VLOOKUP(DATE(YEAR(A2280),MONTH(A2280),DAY(A2280)),FY24_Temp[],4,FALSE)</f>
        <v>8.9</v>
      </c>
      <c r="N2280" s="9">
        <f>VLOOKUP(DATE(YEAR(A2280),MONTH(A2280),DAY(A2280)),FY24_Temp[],3,FALSE)</f>
        <v>16.8</v>
      </c>
      <c r="O2280" s="9">
        <v>13.5</v>
      </c>
      <c r="P2280" s="9">
        <v>19.5</v>
      </c>
      <c r="Q2280" s="79">
        <f>VLOOKUP(VLOOKUP(DATEVALUE(TEXT(A2280,"m/d/yyyy")),FY24_Temp[],5,FALSE)&amp;TEXT(A2280,"-h"),Table6[],4,FALSE)</f>
        <v>2.0539999689374651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VLOOKUP(TEXT(A2280,"yy-mm")&amp;"-"&amp;IF(AND(WEEKDAY(A2280)&gt;1,WEEKDAY(A2280)&lt;7),"Wkd",TEXT(A2280,"Ddd"))&amp;"-"&amp;TEXT(A2280,"hh"),LoadTable[],5,FALSE)*0.92</f>
        <v>373.79416000000003</v>
      </c>
      <c r="U2280" s="104">
        <f>VLOOKUP(TEXT(A2280,"yy-mm")&amp;"-"&amp;IF(AND(WEEKDAY(A2280)&gt;1,WEEKDAY(A2280)&lt;7),"Wkd",TEXT(A2280,"Ddd"))&amp;"-"&amp;TEXT(A2280,"hh"),LoadTable[],6,FALSE)*T2280</f>
        <v>31749.328362080003</v>
      </c>
      <c r="V2280">
        <f t="shared" ref="V2280:W2280" si="2432">V2256</f>
        <v>3.5</v>
      </c>
      <c r="W2280">
        <f t="shared" si="2432"/>
        <v>3.1</v>
      </c>
      <c r="X2280" s="9">
        <v>-116.579632216671</v>
      </c>
    </row>
    <row r="2281" spans="1:24">
      <c r="A2281" s="29">
        <f t="shared" si="2392"/>
        <v>45930.916666661142</v>
      </c>
      <c r="B2281" s="30">
        <f t="shared" si="2416"/>
        <v>5000</v>
      </c>
      <c r="C2281" s="8">
        <v>25000</v>
      </c>
      <c r="D2281" s="8">
        <v>0</v>
      </c>
      <c r="E2281" s="8">
        <v>700</v>
      </c>
      <c r="F2281" s="8">
        <v>15000</v>
      </c>
      <c r="G2281" s="30">
        <f t="shared" si="2417"/>
        <v>2400</v>
      </c>
      <c r="H2281" s="8">
        <v>25000</v>
      </c>
      <c r="I2281" s="30">
        <f t="shared" si="2418"/>
        <v>5000</v>
      </c>
      <c r="J2281" s="8">
        <v>25000</v>
      </c>
      <c r="K2281" s="30">
        <f t="shared" si="2419"/>
        <v>5000</v>
      </c>
      <c r="L2281" s="8">
        <v>25000</v>
      </c>
      <c r="M2281" s="9">
        <f>VLOOKUP(DATE(YEAR(A2281),MONTH(A2281),DAY(A2281)),FY24_Temp[],4,FALSE)</f>
        <v>8.9</v>
      </c>
      <c r="N2281" s="9">
        <f>VLOOKUP(DATE(YEAR(A2281),MONTH(A2281),DAY(A2281)),FY24_Temp[],3,FALSE)</f>
        <v>16.8</v>
      </c>
      <c r="O2281" s="9">
        <v>13.5</v>
      </c>
      <c r="P2281" s="9">
        <v>19.5</v>
      </c>
      <c r="Q2281" s="79">
        <f>VLOOKUP(VLOOKUP(DATEVALUE(TEXT(A2281,"m/d/yyyy")),FY24_Temp[],5,FALSE)&amp;TEXT(A2281,"-h"),Table6[],4,FALSE)</f>
        <v>2.032142860548837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VLOOKUP(TEXT(A2281,"yy-mm")&amp;"-"&amp;IF(AND(WEEKDAY(A2281)&gt;1,WEEKDAY(A2281)&lt;7),"Wkd",TEXT(A2281,"Ddd"))&amp;"-"&amp;TEXT(A2281,"hh"),LoadTable[],5,FALSE)*0.92</f>
        <v>299.65044</v>
      </c>
      <c r="U2281" s="104">
        <f>VLOOKUP(TEXT(A2281,"yy-mm")&amp;"-"&amp;IF(AND(WEEKDAY(A2281)&gt;1,WEEKDAY(A2281)&lt;7),"Wkd",TEXT(A2281,"Ddd"))&amp;"-"&amp;TEXT(A2281,"hh"),LoadTable[],6,FALSE)*T2281</f>
        <v>15023.87376072</v>
      </c>
      <c r="V2281">
        <f t="shared" ref="V2281:W2281" si="2433">V2257</f>
        <v>2.9</v>
      </c>
      <c r="W2281">
        <f t="shared" si="2433"/>
        <v>3.1</v>
      </c>
      <c r="X2281" s="9">
        <v>-116.65742676667099</v>
      </c>
    </row>
    <row r="2282" spans="1:24">
      <c r="A2282" s="29">
        <f t="shared" si="2392"/>
        <v>45930.958333327806</v>
      </c>
      <c r="B2282" s="30">
        <f t="shared" si="2416"/>
        <v>5000</v>
      </c>
      <c r="C2282" s="8">
        <v>25000</v>
      </c>
      <c r="D2282" s="8">
        <v>0</v>
      </c>
      <c r="E2282" s="8">
        <v>700</v>
      </c>
      <c r="F2282" s="8">
        <v>15000</v>
      </c>
      <c r="G2282" s="30">
        <f t="shared" si="2417"/>
        <v>2400</v>
      </c>
      <c r="H2282" s="8">
        <v>25000</v>
      </c>
      <c r="I2282" s="30">
        <f t="shared" si="2418"/>
        <v>5000</v>
      </c>
      <c r="J2282" s="8">
        <v>25000</v>
      </c>
      <c r="K2282" s="30">
        <f t="shared" si="2419"/>
        <v>5000</v>
      </c>
      <c r="L2282" s="8">
        <v>25000</v>
      </c>
      <c r="M2282" s="9">
        <f>VLOOKUP(DATE(YEAR(A2282),MONTH(A2282),DAY(A2282)),FY24_Temp[],4,FALSE)</f>
        <v>8.9</v>
      </c>
      <c r="N2282" s="9">
        <f>VLOOKUP(DATE(YEAR(A2282),MONTH(A2282),DAY(A2282)),FY24_Temp[],3,FALSE)</f>
        <v>16.8</v>
      </c>
      <c r="O2282" s="9">
        <v>13.5</v>
      </c>
      <c r="P2282" s="9">
        <v>19.5</v>
      </c>
      <c r="Q2282" s="79">
        <f>VLOOKUP(VLOOKUP(DATEVALUE(TEXT(A2282,"m/d/yyyy")),FY24_Temp[],5,FALSE)&amp;TEXT(A2282,"-h"),Table6[],4,FALSE)</f>
        <v>2.0300000224794661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VLOOKUP(TEXT(A2282,"yy-mm")&amp;"-"&amp;IF(AND(WEEKDAY(A2282)&gt;1,WEEKDAY(A2282)&lt;7),"Wkd",TEXT(A2282,"Ddd"))&amp;"-"&amp;TEXT(A2282,"hh"),LoadTable[],5,FALSE)*0.92</f>
        <v>237.25788000000003</v>
      </c>
      <c r="U2282" s="104">
        <f>VLOOKUP(TEXT(A2282,"yy-mm")&amp;"-"&amp;IF(AND(WEEKDAY(A2282)&gt;1,WEEKDAY(A2282)&lt;7),"Wkd",TEXT(A2282,"Ddd"))&amp;"-"&amp;TEXT(A2282,"hh"),LoadTable[],6,FALSE)*T2282</f>
        <v>11687.323168800001</v>
      </c>
      <c r="V2282">
        <f t="shared" ref="V2282:W2282" si="2434">V2258</f>
        <v>3.6</v>
      </c>
      <c r="W2282">
        <f t="shared" si="2434"/>
        <v>3.1</v>
      </c>
      <c r="X2282" s="9">
        <v>-116.735221316671</v>
      </c>
    </row>
    <row r="2283" spans="1:24">
      <c r="A2283" s="29">
        <f t="shared" si="2392"/>
        <v>45930.99999999447</v>
      </c>
      <c r="B2283" s="30">
        <f t="shared" si="2416"/>
        <v>5000</v>
      </c>
      <c r="C2283" s="8">
        <v>25000</v>
      </c>
      <c r="D2283" s="8">
        <v>0</v>
      </c>
      <c r="E2283" s="8">
        <v>700</v>
      </c>
      <c r="F2283" s="8">
        <v>15000</v>
      </c>
      <c r="G2283" s="30">
        <f t="shared" si="2417"/>
        <v>2400</v>
      </c>
      <c r="H2283" s="8">
        <v>25000</v>
      </c>
      <c r="I2283" s="30">
        <f t="shared" si="2418"/>
        <v>5000</v>
      </c>
      <c r="J2283" s="8">
        <v>25000</v>
      </c>
      <c r="K2283" s="30">
        <f t="shared" si="2419"/>
        <v>5000</v>
      </c>
      <c r="L2283" s="8">
        <v>25000</v>
      </c>
      <c r="M2283" s="9">
        <f>VLOOKUP(DATE(YEAR(A2283),MONTH(A2283),DAY(A2283)),FY24_Temp[],4,FALSE)</f>
        <v>8.9</v>
      </c>
      <c r="N2283" s="9">
        <f>VLOOKUP(DATE(YEAR(A2283),MONTH(A2283),DAY(A2283)),FY24_Temp[],3,FALSE)</f>
        <v>16.8</v>
      </c>
      <c r="O2283" s="9">
        <v>13.5</v>
      </c>
      <c r="P2283" s="9">
        <v>19.5</v>
      </c>
      <c r="Q2283" s="79">
        <f>VLOOKUP(VLOOKUP(DATEVALUE(TEXT(A2283,"m/d/yyyy")),FY24_Temp[],5,FALSE)&amp;TEXT(A2283,"-h"),Table6[],4,FALSE)</f>
        <v>2.023857150759016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VLOOKUP(TEXT(A2283,"yy-mm")&amp;"-"&amp;IF(AND(WEEKDAY(A2283)&gt;1,WEEKDAY(A2283)&lt;7),"Wkd",TEXT(A2283,"Ddd"))&amp;"-"&amp;TEXT(A2283,"hh"),LoadTable[],5,FALSE)*0.92</f>
        <v>180.62544</v>
      </c>
      <c r="U2283" s="104">
        <f>VLOOKUP(TEXT(A2283,"yy-mm")&amp;"-"&amp;IF(AND(WEEKDAY(A2283)&gt;1,WEEKDAY(A2283)&lt;7),"Wkd",TEXT(A2283,"Ddd"))&amp;"-"&amp;TEXT(A2283,"hh"),LoadTable[],6,FALSE)*T2283</f>
        <v>8132.4798105600003</v>
      </c>
      <c r="V2283">
        <f t="shared" ref="V2283:W2283" si="2435">V2259</f>
        <v>3</v>
      </c>
      <c r="W2283">
        <f t="shared" si="2435"/>
        <v>3.2</v>
      </c>
      <c r="X2283" s="9">
        <v>-116.81301586667099</v>
      </c>
    </row>
    <row r="2284" spans="1:24">
      <c r="A2284" s="29">
        <f t="shared" si="2392"/>
        <v>45931.041666661135</v>
      </c>
      <c r="B2284" s="30">
        <f t="shared" si="2416"/>
        <v>5000</v>
      </c>
      <c r="C2284" s="8">
        <v>25000</v>
      </c>
      <c r="D2284" s="8">
        <v>0</v>
      </c>
      <c r="E2284" s="8">
        <v>700</v>
      </c>
      <c r="F2284" s="8">
        <v>15000</v>
      </c>
      <c r="G2284" s="30">
        <f t="shared" si="2417"/>
        <v>2400</v>
      </c>
      <c r="H2284" s="8">
        <v>25000</v>
      </c>
      <c r="I2284" s="30">
        <f t="shared" si="2418"/>
        <v>5000</v>
      </c>
      <c r="J2284" s="8">
        <v>25000</v>
      </c>
      <c r="K2284" s="30">
        <f t="shared" si="2419"/>
        <v>5000</v>
      </c>
      <c r="L2284" s="8">
        <v>25000</v>
      </c>
      <c r="M2284" s="9">
        <f>VLOOKUP(DATE(YEAR(A2284),MONTH(A2284),DAY(A2284)),FY24_Temp[],4,FALSE)</f>
        <v>8.9</v>
      </c>
      <c r="N2284" s="9">
        <f>VLOOKUP(DATE(YEAR(A2284),MONTH(A2284),DAY(A2284)),FY24_Temp[],3,FALSE)</f>
        <v>16.8</v>
      </c>
      <c r="O2284" s="9">
        <v>13.5</v>
      </c>
      <c r="P2284" s="9">
        <v>19.5</v>
      </c>
      <c r="Q2284" s="79">
        <f>VLOOKUP(VLOOKUP(DATEVALUE(TEXT(A2284,"m/d/yyyy")),FY24_Temp[],5,FALSE)&amp;TEXT(A2284,"-h"),Table6[],4,FALSE)</f>
        <v>1.9687142712729317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VLOOKUP(TEXT(A2284,"yy-mm")&amp;"-"&amp;IF(AND(WEEKDAY(A2284)&gt;1,WEEKDAY(A2284)&lt;7),"Wkd",TEXT(A2284,"Ddd"))&amp;"-"&amp;TEXT(A2284,"hh"),LoadTable[],5,FALSE)*0.92</f>
        <v>180.62544</v>
      </c>
      <c r="U2284" s="104">
        <f>VLOOKUP(TEXT(A2284,"yy-mm")&amp;"-"&amp;IF(AND(WEEKDAY(A2284)&gt;1,WEEKDAY(A2284)&lt;7),"Wkd",TEXT(A2284,"Ddd"))&amp;"-"&amp;TEXT(A2284,"hh"),LoadTable[],6,FALSE)*T2284</f>
        <v>8124.71291664</v>
      </c>
      <c r="V2284">
        <f t="shared" ref="V2284:W2284" si="2436">V2260</f>
        <v>2.6</v>
      </c>
      <c r="W2284">
        <f t="shared" si="2436"/>
        <v>3.2</v>
      </c>
      <c r="X2284" s="9">
        <v>-116.890810416671</v>
      </c>
    </row>
    <row r="2285" spans="1:24">
      <c r="A2285" s="29">
        <f t="shared" si="2392"/>
        <v>45931.083333327799</v>
      </c>
      <c r="B2285" s="30">
        <f t="shared" si="2416"/>
        <v>5000</v>
      </c>
      <c r="C2285" s="8">
        <v>25000</v>
      </c>
      <c r="D2285" s="8">
        <v>0</v>
      </c>
      <c r="E2285" s="8">
        <v>700</v>
      </c>
      <c r="F2285" s="8">
        <v>15000</v>
      </c>
      <c r="G2285" s="30">
        <f t="shared" si="2417"/>
        <v>2400</v>
      </c>
      <c r="H2285" s="8">
        <v>25000</v>
      </c>
      <c r="I2285" s="30">
        <f t="shared" si="2418"/>
        <v>5000</v>
      </c>
      <c r="J2285" s="8">
        <v>25000</v>
      </c>
      <c r="K2285" s="30">
        <f t="shared" si="2419"/>
        <v>5000</v>
      </c>
      <c r="L2285" s="8">
        <v>25000</v>
      </c>
      <c r="M2285" s="9">
        <f>VLOOKUP(DATE(YEAR(A2285),MONTH(A2285),DAY(A2285)),FY24_Temp[],4,FALSE)</f>
        <v>8.9</v>
      </c>
      <c r="N2285" s="9">
        <f>VLOOKUP(DATE(YEAR(A2285),MONTH(A2285),DAY(A2285)),FY24_Temp[],3,FALSE)</f>
        <v>16.8</v>
      </c>
      <c r="O2285" s="9">
        <v>13.5</v>
      </c>
      <c r="P2285" s="9">
        <v>19.5</v>
      </c>
      <c r="Q2285" s="79">
        <f>VLOOKUP(VLOOKUP(DATEVALUE(TEXT(A2285,"m/d/yyyy")),FY24_Temp[],5,FALSE)&amp;TEXT(A2285,"-h"),Table6[],4,FALSE)</f>
        <v>1.8430000032697404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VLOOKUP(TEXT(A2285,"yy-mm")&amp;"-"&amp;IF(AND(WEEKDAY(A2285)&gt;1,WEEKDAY(A2285)&lt;7),"Wkd",TEXT(A2285,"Ddd"))&amp;"-"&amp;TEXT(A2285,"hh"),LoadTable[],5,FALSE)*0.92</f>
        <v>180.62544</v>
      </c>
      <c r="U2285" s="104">
        <f>VLOOKUP(TEXT(A2285,"yy-mm")&amp;"-"&amp;IF(AND(WEEKDAY(A2285)&gt;1,WEEKDAY(A2285)&lt;7),"Wkd",TEXT(A2285,"Ddd"))&amp;"-"&amp;TEXT(A2285,"hh"),LoadTable[],6,FALSE)*T2285</f>
        <v>8120.1972806400008</v>
      </c>
      <c r="V2285">
        <f t="shared" ref="V2285:W2285" si="2437">V2261</f>
        <v>2.8</v>
      </c>
      <c r="W2285">
        <f t="shared" si="2437"/>
        <v>3.2</v>
      </c>
      <c r="X2285" s="9">
        <v>-116.96860496667099</v>
      </c>
    </row>
    <row r="2286" spans="1:24">
      <c r="A2286" s="29">
        <f t="shared" si="2392"/>
        <v>45931.124999994463</v>
      </c>
      <c r="B2286" s="30">
        <f t="shared" si="2416"/>
        <v>5000</v>
      </c>
      <c r="C2286" s="8">
        <v>25000</v>
      </c>
      <c r="D2286" s="8">
        <v>0</v>
      </c>
      <c r="E2286" s="8">
        <v>700</v>
      </c>
      <c r="F2286" s="8">
        <v>15000</v>
      </c>
      <c r="G2286" s="30">
        <f t="shared" si="2417"/>
        <v>2400</v>
      </c>
      <c r="H2286" s="8">
        <v>25000</v>
      </c>
      <c r="I2286" s="30">
        <f t="shared" si="2418"/>
        <v>5000</v>
      </c>
      <c r="J2286" s="8">
        <v>25000</v>
      </c>
      <c r="K2286" s="30">
        <f t="shared" si="2419"/>
        <v>5000</v>
      </c>
      <c r="L2286" s="8">
        <v>25000</v>
      </c>
      <c r="M2286" s="9">
        <f>VLOOKUP(DATE(YEAR(A2286),MONTH(A2286),DAY(A2286)),FY24_Temp[],4,FALSE)</f>
        <v>8.9</v>
      </c>
      <c r="N2286" s="9">
        <f>VLOOKUP(DATE(YEAR(A2286),MONTH(A2286),DAY(A2286)),FY24_Temp[],3,FALSE)</f>
        <v>16.8</v>
      </c>
      <c r="O2286" s="9">
        <v>13.5</v>
      </c>
      <c r="P2286" s="9">
        <v>19.5</v>
      </c>
      <c r="Q2286" s="79">
        <f>VLOOKUP(VLOOKUP(DATEVALUE(TEXT(A2286,"m/d/yyyy")),FY24_Temp[],5,FALSE)&amp;TEXT(A2286,"-h"),Table6[],4,FALSE)</f>
        <v>1.7025714431490218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VLOOKUP(TEXT(A2286,"yy-mm")&amp;"-"&amp;IF(AND(WEEKDAY(A2286)&gt;1,WEEKDAY(A2286)&lt;7),"Wkd",TEXT(A2286,"Ddd"))&amp;"-"&amp;TEXT(A2286,"hh"),LoadTable[],5,FALSE)*0.92</f>
        <v>180.62544</v>
      </c>
      <c r="U2286" s="104">
        <f>VLOOKUP(TEXT(A2286,"yy-mm")&amp;"-"&amp;IF(AND(WEEKDAY(A2286)&gt;1,WEEKDAY(A2286)&lt;7),"Wkd",TEXT(A2286,"Ddd"))&amp;"-"&amp;TEXT(A2286,"hh"),LoadTable[],6,FALSE)*T2286</f>
        <v>8141.3304571199997</v>
      </c>
      <c r="V2286">
        <f t="shared" ref="V2286:W2286" si="2438">V2262</f>
        <v>2.7</v>
      </c>
      <c r="W2286">
        <f t="shared" si="2438"/>
        <v>3.2</v>
      </c>
      <c r="X2286" s="9">
        <v>-117.046399516671</v>
      </c>
    </row>
    <row r="2287" spans="1:24">
      <c r="A2287" s="29">
        <f t="shared" si="2392"/>
        <v>45931.166666661127</v>
      </c>
      <c r="B2287" s="30">
        <f t="shared" si="2416"/>
        <v>5000</v>
      </c>
      <c r="C2287" s="8">
        <v>25000</v>
      </c>
      <c r="D2287" s="8">
        <v>0</v>
      </c>
      <c r="E2287" s="8">
        <v>700</v>
      </c>
      <c r="F2287" s="8">
        <v>15000</v>
      </c>
      <c r="G2287" s="30">
        <f t="shared" si="2417"/>
        <v>2400</v>
      </c>
      <c r="H2287" s="8">
        <v>25000</v>
      </c>
      <c r="I2287" s="30">
        <f t="shared" si="2418"/>
        <v>5000</v>
      </c>
      <c r="J2287" s="8">
        <v>25000</v>
      </c>
      <c r="K2287" s="30">
        <f t="shared" si="2419"/>
        <v>5000</v>
      </c>
      <c r="L2287" s="8">
        <v>25000</v>
      </c>
      <c r="M2287" s="9">
        <f>VLOOKUP(DATE(YEAR(A2287),MONTH(A2287),DAY(A2287)),FY24_Temp[],4,FALSE)</f>
        <v>8.9</v>
      </c>
      <c r="N2287" s="9">
        <f>VLOOKUP(DATE(YEAR(A2287),MONTH(A2287),DAY(A2287)),FY24_Temp[],3,FALSE)</f>
        <v>16.8</v>
      </c>
      <c r="O2287" s="9">
        <v>13.5</v>
      </c>
      <c r="P2287" s="9">
        <v>19.5</v>
      </c>
      <c r="Q2287" s="79">
        <f>VLOOKUP(VLOOKUP(DATEVALUE(TEXT(A2287,"m/d/yyyy")),FY24_Temp[],5,FALSE)&amp;TEXT(A2287,"-h"),Table6[],4,FALSE)</f>
        <v>1.5532857179641724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VLOOKUP(TEXT(A2287,"yy-mm")&amp;"-"&amp;IF(AND(WEEKDAY(A2287)&gt;1,WEEKDAY(A2287)&lt;7),"Wkd",TEXT(A2287,"Ddd"))&amp;"-"&amp;TEXT(A2287,"hh"),LoadTable[],5,FALSE)*0.92</f>
        <v>180.62544</v>
      </c>
      <c r="U2287" s="104">
        <f>VLOOKUP(TEXT(A2287,"yy-mm")&amp;"-"&amp;IF(AND(WEEKDAY(A2287)&gt;1,WEEKDAY(A2287)&lt;7),"Wkd",TEXT(A2287,"Ddd"))&amp;"-"&amp;TEXT(A2287,"hh"),LoadTable[],6,FALSE)*T2287</f>
        <v>8184.86118816</v>
      </c>
      <c r="V2287">
        <f t="shared" ref="V2287:W2287" si="2439">V2263</f>
        <v>3</v>
      </c>
      <c r="W2287">
        <f t="shared" si="2439"/>
        <v>3.1</v>
      </c>
      <c r="X2287" s="9">
        <v>-117.124194066671</v>
      </c>
    </row>
    <row r="2288" spans="1:24">
      <c r="A2288" s="29">
        <f t="shared" si="2392"/>
        <v>45931.208333327791</v>
      </c>
      <c r="B2288" s="30">
        <f t="shared" si="2416"/>
        <v>5000</v>
      </c>
      <c r="C2288" s="8">
        <v>25000</v>
      </c>
      <c r="D2288" s="8">
        <v>0</v>
      </c>
      <c r="E2288" s="8">
        <v>700</v>
      </c>
      <c r="F2288" s="8">
        <v>15000</v>
      </c>
      <c r="G2288" s="30">
        <f t="shared" si="2417"/>
        <v>2400</v>
      </c>
      <c r="H2288" s="8">
        <v>25000</v>
      </c>
      <c r="I2288" s="30">
        <f t="shared" si="2418"/>
        <v>5000</v>
      </c>
      <c r="J2288" s="8">
        <v>25000</v>
      </c>
      <c r="K2288" s="30">
        <f t="shared" si="2419"/>
        <v>5000</v>
      </c>
      <c r="L2288" s="8">
        <v>25000</v>
      </c>
      <c r="M2288" s="9">
        <f>VLOOKUP(DATE(YEAR(A2288),MONTH(A2288),DAY(A2288)),FY24_Temp[],4,FALSE)</f>
        <v>8.9</v>
      </c>
      <c r="N2288" s="9">
        <f>VLOOKUP(DATE(YEAR(A2288),MONTH(A2288),DAY(A2288)),FY24_Temp[],3,FALSE)</f>
        <v>16.8</v>
      </c>
      <c r="O2288" s="9">
        <v>13.5</v>
      </c>
      <c r="P2288" s="9">
        <v>19.5</v>
      </c>
      <c r="Q2288" s="79">
        <f>VLOOKUP(VLOOKUP(DATEVALUE(TEXT(A2288,"m/d/yyyy")),FY24_Temp[],5,FALSE)&amp;TEXT(A2288,"-h"),Table6[],4,FALSE)</f>
        <v>1.4412857123783656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VLOOKUP(TEXT(A2288,"yy-mm")&amp;"-"&amp;IF(AND(WEEKDAY(A2288)&gt;1,WEEKDAY(A2288)&lt;7),"Wkd",TEXT(A2288,"Ddd"))&amp;"-"&amp;TEXT(A2288,"hh"),LoadTable[],5,FALSE)*0.92</f>
        <v>275.09195999999997</v>
      </c>
      <c r="U2288" s="104">
        <f>VLOOKUP(TEXT(A2288,"yy-mm")&amp;"-"&amp;IF(AND(WEEKDAY(A2288)&gt;1,WEEKDAY(A2288)&lt;7),"Wkd",TEXT(A2288,"Ddd"))&amp;"-"&amp;TEXT(A2288,"hh"),LoadTable[],6,FALSE)*T2288</f>
        <v>12729.880448999998</v>
      </c>
      <c r="V2288">
        <f t="shared" ref="V2288:W2288" si="2440">V2264</f>
        <v>2.9</v>
      </c>
      <c r="W2288">
        <f t="shared" si="2440"/>
        <v>3.1</v>
      </c>
      <c r="X2288" s="9">
        <v>-117.201988616671</v>
      </c>
    </row>
    <row r="2289" spans="1:24">
      <c r="A2289" s="29">
        <f t="shared" si="2392"/>
        <v>45931.249999994456</v>
      </c>
      <c r="B2289" s="30">
        <f t="shared" si="2416"/>
        <v>8000</v>
      </c>
      <c r="C2289" s="8">
        <v>25000</v>
      </c>
      <c r="D2289" s="8">
        <v>0</v>
      </c>
      <c r="E2289" s="8">
        <v>700</v>
      </c>
      <c r="F2289" s="8">
        <v>15000</v>
      </c>
      <c r="G2289" s="30">
        <f t="shared" si="2417"/>
        <v>2400</v>
      </c>
      <c r="H2289" s="8">
        <v>25000</v>
      </c>
      <c r="I2289" s="30">
        <f t="shared" si="2418"/>
        <v>8000</v>
      </c>
      <c r="J2289" s="8">
        <v>25000</v>
      </c>
      <c r="K2289" s="30">
        <f t="shared" si="2419"/>
        <v>8000</v>
      </c>
      <c r="L2289" s="8">
        <v>25000</v>
      </c>
      <c r="M2289" s="9">
        <f>VLOOKUP(DATE(YEAR(A2289),MONTH(A2289),DAY(A2289)),FY24_Temp[],4,FALSE)</f>
        <v>8.9</v>
      </c>
      <c r="N2289" s="9">
        <f>VLOOKUP(DATE(YEAR(A2289),MONTH(A2289),DAY(A2289)),FY24_Temp[],3,FALSE)</f>
        <v>16.8</v>
      </c>
      <c r="O2289" s="9">
        <v>13.5</v>
      </c>
      <c r="P2289" s="9">
        <v>19.5</v>
      </c>
      <c r="Q2289" s="79">
        <f>VLOOKUP(VLOOKUP(DATEVALUE(TEXT(A2289,"m/d/yyyy")),FY24_Temp[],5,FALSE)&amp;TEXT(A2289,"-h"),Table6[],4,FALSE)</f>
        <v>1.3392857142857142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VLOOKUP(TEXT(A2289,"yy-mm")&amp;"-"&amp;IF(AND(WEEKDAY(A2289)&gt;1,WEEKDAY(A2289)&lt;7),"Wkd",TEXT(A2289,"Ddd"))&amp;"-"&amp;TEXT(A2289,"hh"),LoadTable[],5,FALSE)*0.92</f>
        <v>275.09195999999997</v>
      </c>
      <c r="U2289" s="104">
        <f>VLOOKUP(TEXT(A2289,"yy-mm")&amp;"-"&amp;IF(AND(WEEKDAY(A2289)&gt;1,WEEKDAY(A2289)&lt;7),"Wkd",TEXT(A2289,"Ddd"))&amp;"-"&amp;TEXT(A2289,"hh"),LoadTable[],6,FALSE)*T2289</f>
        <v>13284.465840359997</v>
      </c>
      <c r="V2289">
        <f t="shared" ref="V2289:W2289" si="2441">V2265</f>
        <v>2.5</v>
      </c>
      <c r="W2289">
        <f t="shared" si="2441"/>
        <v>3.1</v>
      </c>
      <c r="X2289" s="9">
        <v>-117.279783166671</v>
      </c>
    </row>
    <row r="2290" spans="1:24">
      <c r="A2290" s="29">
        <f t="shared" si="2392"/>
        <v>45931.29166666112</v>
      </c>
      <c r="B2290" s="30">
        <f t="shared" si="2416"/>
        <v>8000</v>
      </c>
      <c r="C2290" s="8">
        <v>25000</v>
      </c>
      <c r="D2290" s="8">
        <v>0</v>
      </c>
      <c r="E2290" s="8">
        <v>700</v>
      </c>
      <c r="F2290" s="8">
        <v>15000</v>
      </c>
      <c r="G2290" s="30">
        <f t="shared" si="2417"/>
        <v>2400</v>
      </c>
      <c r="H2290" s="8">
        <v>25000</v>
      </c>
      <c r="I2290" s="30">
        <f t="shared" si="2418"/>
        <v>8000</v>
      </c>
      <c r="J2290" s="8">
        <v>25000</v>
      </c>
      <c r="K2290" s="30">
        <f t="shared" si="2419"/>
        <v>8000</v>
      </c>
      <c r="L2290" s="8">
        <v>25000</v>
      </c>
      <c r="M2290" s="9">
        <f>VLOOKUP(DATE(YEAR(A2290),MONTH(A2290),DAY(A2290)),FY24_Temp[],4,FALSE)</f>
        <v>8.9</v>
      </c>
      <c r="N2290" s="9">
        <f>VLOOKUP(DATE(YEAR(A2290),MONTH(A2290),DAY(A2290)),FY24_Temp[],3,FALSE)</f>
        <v>16.8</v>
      </c>
      <c r="O2290" s="9">
        <v>13.5</v>
      </c>
      <c r="P2290" s="9">
        <v>19.5</v>
      </c>
      <c r="Q2290" s="79">
        <f>VLOOKUP(VLOOKUP(DATEVALUE(TEXT(A2290,"m/d/yyyy")),FY24_Temp[],5,FALSE)&amp;TEXT(A2290,"-h"),Table6[],4,FALSE)</f>
        <v>1.180142845426287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VLOOKUP(TEXT(A2290,"yy-mm")&amp;"-"&amp;IF(AND(WEEKDAY(A2290)&gt;1,WEEKDAY(A2290)&lt;7),"Wkd",TEXT(A2290,"Ddd"))&amp;"-"&amp;TEXT(A2290,"hh"),LoadTable[],5,FALSE)*0.92</f>
        <v>236.10788000000002</v>
      </c>
      <c r="U2290" s="104">
        <f>VLOOKUP(TEXT(A2290,"yy-mm")&amp;"-"&amp;IF(AND(WEEKDAY(A2290)&gt;1,WEEKDAY(A2290)&lt;7),"Wkd",TEXT(A2290,"Ddd"))&amp;"-"&amp;TEXT(A2290,"hh"),LoadTable[],6,FALSE)*T2290</f>
        <v>11438.48235448</v>
      </c>
      <c r="V2290">
        <f t="shared" ref="V2290:W2290" si="2442">V2266</f>
        <v>2.5</v>
      </c>
      <c r="W2290">
        <f t="shared" si="2442"/>
        <v>3.1</v>
      </c>
      <c r="X2290" s="9">
        <v>-117.357577716671</v>
      </c>
    </row>
    <row r="2291" spans="1:24">
      <c r="A2291" s="29">
        <f t="shared" si="2392"/>
        <v>45931.333333327784</v>
      </c>
      <c r="B2291" s="30">
        <f t="shared" si="2416"/>
        <v>8000</v>
      </c>
      <c r="C2291" s="8">
        <v>25000</v>
      </c>
      <c r="D2291" s="8">
        <v>0</v>
      </c>
      <c r="E2291" s="8">
        <v>700</v>
      </c>
      <c r="F2291" s="8">
        <v>15000</v>
      </c>
      <c r="G2291" s="30">
        <f t="shared" si="2417"/>
        <v>2400</v>
      </c>
      <c r="H2291" s="8">
        <v>25000</v>
      </c>
      <c r="I2291" s="30">
        <f t="shared" si="2418"/>
        <v>8000</v>
      </c>
      <c r="J2291" s="8">
        <v>25000</v>
      </c>
      <c r="K2291" s="30">
        <f t="shared" si="2419"/>
        <v>8000</v>
      </c>
      <c r="L2291" s="8">
        <v>25000</v>
      </c>
      <c r="M2291" s="9">
        <f>VLOOKUP(DATE(YEAR(A2291),MONTH(A2291),DAY(A2291)),FY24_Temp[],4,FALSE)</f>
        <v>8.9</v>
      </c>
      <c r="N2291" s="9">
        <f>VLOOKUP(DATE(YEAR(A2291),MONTH(A2291),DAY(A2291)),FY24_Temp[],3,FALSE)</f>
        <v>16.8</v>
      </c>
      <c r="O2291" s="9">
        <v>13.5</v>
      </c>
      <c r="P2291" s="9">
        <v>19.5</v>
      </c>
      <c r="Q2291" s="79">
        <f>VLOOKUP(VLOOKUP(DATEVALUE(TEXT(A2291,"m/d/yyyy")),FY24_Temp[],5,FALSE)&amp;TEXT(A2291,"-h"),Table6[],4,FALSE)</f>
        <v>1.1274285657065255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VLOOKUP(TEXT(A2291,"yy-mm")&amp;"-"&amp;IF(AND(WEEKDAY(A2291)&gt;1,WEEKDAY(A2291)&lt;7),"Wkd",TEXT(A2291,"Ddd"))&amp;"-"&amp;TEXT(A2291,"hh"),LoadTable[],5,FALSE)*0.92</f>
        <v>236.10788000000002</v>
      </c>
      <c r="U2291" s="104">
        <f>VLOOKUP(TEXT(A2291,"yy-mm")&amp;"-"&amp;IF(AND(WEEKDAY(A2291)&gt;1,WEEKDAY(A2291)&lt;7),"Wkd",TEXT(A2291,"Ddd"))&amp;"-"&amp;TEXT(A2291,"hh"),LoadTable[],6,FALSE)*T2291</f>
        <v>10919.281126360002</v>
      </c>
      <c r="V2291">
        <f t="shared" ref="V2291:W2291" si="2443">V2267</f>
        <v>3.2</v>
      </c>
      <c r="W2291">
        <f t="shared" si="2443"/>
        <v>3</v>
      </c>
      <c r="X2291" s="9">
        <v>-117.435372266671</v>
      </c>
    </row>
    <row r="2292" spans="1:24">
      <c r="A2292" s="29">
        <f t="shared" si="2392"/>
        <v>45931.374999994448</v>
      </c>
      <c r="B2292" s="30">
        <f t="shared" si="2416"/>
        <v>8000</v>
      </c>
      <c r="C2292" s="8">
        <v>25000</v>
      </c>
      <c r="D2292" s="8">
        <v>0</v>
      </c>
      <c r="E2292" s="8">
        <v>700</v>
      </c>
      <c r="F2292" s="8">
        <v>15000</v>
      </c>
      <c r="G2292" s="30">
        <f t="shared" si="2417"/>
        <v>2400</v>
      </c>
      <c r="H2292" s="8">
        <v>25000</v>
      </c>
      <c r="I2292" s="30">
        <f t="shared" si="2418"/>
        <v>8000</v>
      </c>
      <c r="J2292" s="8">
        <v>25000</v>
      </c>
      <c r="K2292" s="30">
        <f t="shared" si="2419"/>
        <v>8000</v>
      </c>
      <c r="L2292" s="8">
        <v>25000</v>
      </c>
      <c r="M2292" s="9">
        <f>VLOOKUP(DATE(YEAR(A2292),MONTH(A2292),DAY(A2292)),FY24_Temp[],4,FALSE)</f>
        <v>8.9</v>
      </c>
      <c r="N2292" s="9">
        <f>VLOOKUP(DATE(YEAR(A2292),MONTH(A2292),DAY(A2292)),FY24_Temp[],3,FALSE)</f>
        <v>16.8</v>
      </c>
      <c r="O2292" s="9">
        <v>13.5</v>
      </c>
      <c r="P2292" s="9">
        <v>19.5</v>
      </c>
      <c r="Q2292" s="79">
        <f>VLOOKUP(VLOOKUP(DATEVALUE(TEXT(A2292,"m/d/yyyy")),FY24_Temp[],5,FALSE)&amp;TEXT(A2292,"-h"),Table6[],4,FALSE)</f>
        <v>0.99485715797969276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VLOOKUP(TEXT(A2292,"yy-mm")&amp;"-"&amp;IF(AND(WEEKDAY(A2292)&gt;1,WEEKDAY(A2292)&lt;7),"Wkd",TEXT(A2292,"Ddd"))&amp;"-"&amp;TEXT(A2292,"hh"),LoadTable[],5,FALSE)*0.92</f>
        <v>236.10788000000002</v>
      </c>
      <c r="U2292" s="104">
        <f>VLOOKUP(TEXT(A2292,"yy-mm")&amp;"-"&amp;IF(AND(WEEKDAY(A2292)&gt;1,WEEKDAY(A2292)&lt;7),"Wkd",TEXT(A2292,"Ddd"))&amp;"-"&amp;TEXT(A2292,"hh"),LoadTable[],6,FALSE)*T2292</f>
        <v>10592.271712560001</v>
      </c>
      <c r="V2292">
        <f t="shared" ref="V2292:W2292" si="2444">V2268</f>
        <v>2.9</v>
      </c>
      <c r="W2292">
        <f t="shared" si="2444"/>
        <v>3</v>
      </c>
      <c r="X2292" s="9">
        <v>-117.513166816671</v>
      </c>
    </row>
    <row r="2293" spans="1:24">
      <c r="A2293" s="29">
        <f t="shared" si="2392"/>
        <v>45931.416666661113</v>
      </c>
      <c r="B2293" s="30">
        <f t="shared" si="2416"/>
        <v>8000</v>
      </c>
      <c r="C2293" s="8">
        <v>25000</v>
      </c>
      <c r="D2293" s="8">
        <v>0</v>
      </c>
      <c r="E2293" s="8">
        <v>700</v>
      </c>
      <c r="F2293" s="8">
        <v>15000</v>
      </c>
      <c r="G2293" s="30">
        <f t="shared" si="2417"/>
        <v>2400</v>
      </c>
      <c r="H2293" s="8">
        <v>25000</v>
      </c>
      <c r="I2293" s="30">
        <f t="shared" si="2418"/>
        <v>8000</v>
      </c>
      <c r="J2293" s="8">
        <v>25000</v>
      </c>
      <c r="K2293" s="30">
        <f t="shared" si="2419"/>
        <v>8000</v>
      </c>
      <c r="L2293" s="8">
        <v>25000</v>
      </c>
      <c r="M2293" s="9">
        <f>VLOOKUP(DATE(YEAR(A2293),MONTH(A2293),DAY(A2293)),FY24_Temp[],4,FALSE)</f>
        <v>8.9</v>
      </c>
      <c r="N2293" s="9">
        <f>VLOOKUP(DATE(YEAR(A2293),MONTH(A2293),DAY(A2293)),FY24_Temp[],3,FALSE)</f>
        <v>16.8</v>
      </c>
      <c r="O2293" s="9">
        <v>13.5</v>
      </c>
      <c r="P2293" s="9">
        <v>19.5</v>
      </c>
      <c r="Q2293" s="79">
        <f>VLOOKUP(VLOOKUP(DATEVALUE(TEXT(A2293,"m/d/yyyy")),FY24_Temp[],5,FALSE)&amp;TEXT(A2293,"-h"),Table6[],4,FALSE)</f>
        <v>0.87171429395675659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VLOOKUP(TEXT(A2293,"yy-mm")&amp;"-"&amp;IF(AND(WEEKDAY(A2293)&gt;1,WEEKDAY(A2293)&lt;7),"Wkd",TEXT(A2293,"Ddd"))&amp;"-"&amp;TEXT(A2293,"hh"),LoadTable[],5,FALSE)*0.92</f>
        <v>236.10788000000002</v>
      </c>
      <c r="U2293" s="104">
        <f>VLOOKUP(TEXT(A2293,"yy-mm")&amp;"-"&amp;IF(AND(WEEKDAY(A2293)&gt;1,WEEKDAY(A2293)&lt;7),"Wkd",TEXT(A2293,"Ddd"))&amp;"-"&amp;TEXT(A2293,"hh"),LoadTable[],6,FALSE)*T2293</f>
        <v>10565.591522120001</v>
      </c>
      <c r="V2293">
        <f t="shared" ref="V2293:W2293" si="2445">V2269</f>
        <v>2.9</v>
      </c>
      <c r="W2293">
        <f t="shared" si="2445"/>
        <v>3</v>
      </c>
      <c r="X2293" s="9">
        <v>-117.590961366671</v>
      </c>
    </row>
    <row r="2294" spans="1:24">
      <c r="A2294" s="29">
        <f t="shared" si="2392"/>
        <v>45931.458333327777</v>
      </c>
      <c r="B2294" s="30">
        <f t="shared" si="2416"/>
        <v>8000</v>
      </c>
      <c r="C2294" s="8">
        <v>25000</v>
      </c>
      <c r="D2294" s="8">
        <v>0</v>
      </c>
      <c r="E2294" s="8">
        <v>700</v>
      </c>
      <c r="F2294" s="8">
        <v>15000</v>
      </c>
      <c r="G2294" s="30">
        <f t="shared" si="2417"/>
        <v>2400</v>
      </c>
      <c r="H2294" s="8">
        <v>25000</v>
      </c>
      <c r="I2294" s="30">
        <f t="shared" si="2418"/>
        <v>8000</v>
      </c>
      <c r="J2294" s="8">
        <v>25000</v>
      </c>
      <c r="K2294" s="30">
        <f t="shared" si="2419"/>
        <v>8000</v>
      </c>
      <c r="L2294" s="8">
        <v>25000</v>
      </c>
      <c r="M2294" s="9">
        <f>VLOOKUP(DATE(YEAR(A2294),MONTH(A2294),DAY(A2294)),FY24_Temp[],4,FALSE)</f>
        <v>8.9</v>
      </c>
      <c r="N2294" s="9">
        <f>VLOOKUP(DATE(YEAR(A2294),MONTH(A2294),DAY(A2294)),FY24_Temp[],3,FALSE)</f>
        <v>16.8</v>
      </c>
      <c r="O2294" s="9">
        <v>13.5</v>
      </c>
      <c r="P2294" s="9">
        <v>19.5</v>
      </c>
      <c r="Q2294" s="79">
        <f>VLOOKUP(VLOOKUP(DATEVALUE(TEXT(A2294,"m/d/yyyy")),FY24_Temp[],5,FALSE)&amp;TEXT(A2294,"-h"),Table6[],4,FALSE)</f>
        <v>0.77757143974304199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VLOOKUP(TEXT(A2294,"yy-mm")&amp;"-"&amp;IF(AND(WEEKDAY(A2294)&gt;1,WEEKDAY(A2294)&lt;7),"Wkd",TEXT(A2294,"Ddd"))&amp;"-"&amp;TEXT(A2294,"hh"),LoadTable[],5,FALSE)*0.92</f>
        <v>236.10788000000002</v>
      </c>
      <c r="U2294" s="104">
        <f>VLOOKUP(TEXT(A2294,"yy-mm")&amp;"-"&amp;IF(AND(WEEKDAY(A2294)&gt;1,WEEKDAY(A2294)&lt;7),"Wkd",TEXT(A2294,"Ddd"))&amp;"-"&amp;TEXT(A2294,"hh"),LoadTable[],6,FALSE)*T2294</f>
        <v>10548.355646880002</v>
      </c>
      <c r="V2294">
        <f t="shared" ref="V2294:W2294" si="2446">V2270</f>
        <v>3.4</v>
      </c>
      <c r="W2294">
        <f t="shared" si="2446"/>
        <v>3</v>
      </c>
      <c r="X2294" s="9">
        <v>-117.668755916671</v>
      </c>
    </row>
    <row r="2295" spans="1:24">
      <c r="A2295" s="29">
        <f t="shared" si="2392"/>
        <v>45931.499999994441</v>
      </c>
      <c r="B2295" s="30">
        <f t="shared" si="2416"/>
        <v>8000</v>
      </c>
      <c r="C2295" s="8">
        <v>25000</v>
      </c>
      <c r="D2295" s="8">
        <v>0</v>
      </c>
      <c r="E2295" s="8">
        <v>700</v>
      </c>
      <c r="F2295" s="8">
        <v>15000</v>
      </c>
      <c r="G2295" s="30">
        <f t="shared" si="2417"/>
        <v>2400</v>
      </c>
      <c r="H2295" s="8">
        <v>25000</v>
      </c>
      <c r="I2295" s="30">
        <f t="shared" si="2418"/>
        <v>8000</v>
      </c>
      <c r="J2295" s="8">
        <v>25000</v>
      </c>
      <c r="K2295" s="30">
        <f t="shared" si="2419"/>
        <v>8000</v>
      </c>
      <c r="L2295" s="8">
        <v>25000</v>
      </c>
      <c r="M2295" s="9">
        <f>VLOOKUP(DATE(YEAR(A2295),MONTH(A2295),DAY(A2295)),FY24_Temp[],4,FALSE)</f>
        <v>8.9</v>
      </c>
      <c r="N2295" s="9">
        <f>VLOOKUP(DATE(YEAR(A2295),MONTH(A2295),DAY(A2295)),FY24_Temp[],3,FALSE)</f>
        <v>16.8</v>
      </c>
      <c r="O2295" s="9">
        <v>13.5</v>
      </c>
      <c r="P2295" s="9">
        <v>19.5</v>
      </c>
      <c r="Q2295" s="79">
        <f>VLOOKUP(VLOOKUP(DATEVALUE(TEXT(A2295,"m/d/yyyy")),FY24_Temp[],5,FALSE)&amp;TEXT(A2295,"-h"),Table6[],4,FALSE)</f>
        <v>0.64328571728297645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VLOOKUP(TEXT(A2295,"yy-mm")&amp;"-"&amp;IF(AND(WEEKDAY(A2295)&gt;1,WEEKDAY(A2295)&lt;7),"Wkd",TEXT(A2295,"Ddd"))&amp;"-"&amp;TEXT(A2295,"hh"),LoadTable[],5,FALSE)*0.92</f>
        <v>236.10788000000002</v>
      </c>
      <c r="U2295" s="104">
        <f>VLOOKUP(TEXT(A2295,"yy-mm")&amp;"-"&amp;IF(AND(WEEKDAY(A2295)&gt;1,WEEKDAY(A2295)&lt;7),"Wkd",TEXT(A2295,"Ddd"))&amp;"-"&amp;TEXT(A2295,"hh"),LoadTable[],6,FALSE)*T2295</f>
        <v>10540.327978960002</v>
      </c>
      <c r="V2295">
        <f t="shared" ref="V2295:W2295" si="2447">V2271</f>
        <v>3.1</v>
      </c>
      <c r="W2295">
        <f t="shared" si="2447"/>
        <v>2.9</v>
      </c>
      <c r="X2295" s="9">
        <v>-117.746550466671</v>
      </c>
    </row>
    <row r="2296" spans="1:24">
      <c r="A2296" s="29">
        <f t="shared" si="2392"/>
        <v>45931.541666661105</v>
      </c>
      <c r="B2296" s="30">
        <f t="shared" si="2416"/>
        <v>8000</v>
      </c>
      <c r="C2296" s="8">
        <v>25000</v>
      </c>
      <c r="D2296" s="8">
        <v>0</v>
      </c>
      <c r="E2296" s="8">
        <v>700</v>
      </c>
      <c r="F2296" s="8">
        <v>15000</v>
      </c>
      <c r="G2296" s="30">
        <f t="shared" si="2417"/>
        <v>2400</v>
      </c>
      <c r="H2296" s="8">
        <v>25000</v>
      </c>
      <c r="I2296" s="30">
        <f t="shared" si="2418"/>
        <v>8000</v>
      </c>
      <c r="J2296" s="8">
        <v>25000</v>
      </c>
      <c r="K2296" s="30">
        <f t="shared" si="2419"/>
        <v>8000</v>
      </c>
      <c r="L2296" s="8">
        <v>25000</v>
      </c>
      <c r="M2296" s="9">
        <f>VLOOKUP(DATE(YEAR(A2296),MONTH(A2296),DAY(A2296)),FY24_Temp[],4,FALSE)</f>
        <v>8.9</v>
      </c>
      <c r="N2296" s="9">
        <f>VLOOKUP(DATE(YEAR(A2296),MONTH(A2296),DAY(A2296)),FY24_Temp[],3,FALSE)</f>
        <v>16.8</v>
      </c>
      <c r="O2296" s="9">
        <v>13.5</v>
      </c>
      <c r="P2296" s="9">
        <v>19.5</v>
      </c>
      <c r="Q2296" s="79">
        <f>VLOOKUP(VLOOKUP(DATEVALUE(TEXT(A2296,"m/d/yyyy")),FY24_Temp[],5,FALSE)&amp;TEXT(A2296,"-h"),Table6[],4,FALSE)</f>
        <v>0.51885714275496342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VLOOKUP(TEXT(A2296,"yy-mm")&amp;"-"&amp;IF(AND(WEEKDAY(A2296)&gt;1,WEEKDAY(A2296)&lt;7),"Wkd",TEXT(A2296,"Ddd"))&amp;"-"&amp;TEXT(A2296,"hh"),LoadTable[],5,FALSE)*0.92</f>
        <v>236.10788000000002</v>
      </c>
      <c r="U2296" s="104">
        <f>VLOOKUP(TEXT(A2296,"yy-mm")&amp;"-"&amp;IF(AND(WEEKDAY(A2296)&gt;1,WEEKDAY(A2296)&lt;7),"Wkd",TEXT(A2296,"Ddd"))&amp;"-"&amp;TEXT(A2296,"hh"),LoadTable[],6,FALSE)*T2296</f>
        <v>10541.50851836</v>
      </c>
      <c r="V2296">
        <f t="shared" ref="V2296:W2296" si="2448">V2272</f>
        <v>3.2</v>
      </c>
      <c r="W2296">
        <f t="shared" si="2448"/>
        <v>2.9</v>
      </c>
      <c r="X2296" s="9">
        <v>-117.824345016671</v>
      </c>
    </row>
    <row r="2297" spans="1:24">
      <c r="A2297" s="29">
        <f t="shared" si="2392"/>
        <v>45931.58333332777</v>
      </c>
      <c r="B2297" s="30">
        <f t="shared" si="2416"/>
        <v>8000</v>
      </c>
      <c r="C2297" s="8">
        <v>25000</v>
      </c>
      <c r="D2297" s="8">
        <v>0</v>
      </c>
      <c r="E2297" s="8">
        <v>700</v>
      </c>
      <c r="F2297" s="8">
        <v>15000</v>
      </c>
      <c r="G2297" s="30">
        <f t="shared" si="2417"/>
        <v>2400</v>
      </c>
      <c r="H2297" s="8">
        <v>25000</v>
      </c>
      <c r="I2297" s="30">
        <f t="shared" si="2418"/>
        <v>8000</v>
      </c>
      <c r="J2297" s="8">
        <v>25000</v>
      </c>
      <c r="K2297" s="30">
        <f t="shared" si="2419"/>
        <v>8000</v>
      </c>
      <c r="L2297" s="8">
        <v>25000</v>
      </c>
      <c r="M2297" s="9">
        <f>VLOOKUP(DATE(YEAR(A2297),MONTH(A2297),DAY(A2297)),FY24_Temp[],4,FALSE)</f>
        <v>8.9</v>
      </c>
      <c r="N2297" s="9">
        <f>VLOOKUP(DATE(YEAR(A2297),MONTH(A2297),DAY(A2297)),FY24_Temp[],3,FALSE)</f>
        <v>16.8</v>
      </c>
      <c r="O2297" s="9">
        <v>13.5</v>
      </c>
      <c r="P2297" s="9">
        <v>19.5</v>
      </c>
      <c r="Q2297" s="79">
        <f>VLOOKUP(VLOOKUP(DATEVALUE(TEXT(A2297,"m/d/yyyy")),FY24_Temp[],5,FALSE)&amp;TEXT(A2297,"-h"),Table6[],4,FALSE)</f>
        <v>0.4115714303084782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VLOOKUP(TEXT(A2297,"yy-mm")&amp;"-"&amp;IF(AND(WEEKDAY(A2297)&gt;1,WEEKDAY(A2297)&lt;7),"Wkd",TEXT(A2297,"Ddd"))&amp;"-"&amp;TEXT(A2297,"hh"),LoadTable[],5,FALSE)*0.92</f>
        <v>236.10788000000002</v>
      </c>
      <c r="U2297" s="104">
        <f>VLOOKUP(TEXT(A2297,"yy-mm")&amp;"-"&amp;IF(AND(WEEKDAY(A2297)&gt;1,WEEKDAY(A2297)&lt;7),"Wkd",TEXT(A2297,"Ddd"))&amp;"-"&amp;TEXT(A2297,"hh"),LoadTable[],6,FALSE)*T2297</f>
        <v>10551.188941440001</v>
      </c>
      <c r="V2297">
        <f t="shared" ref="V2297:W2297" si="2449">V2273</f>
        <v>3.5</v>
      </c>
      <c r="W2297">
        <f t="shared" si="2449"/>
        <v>2.9</v>
      </c>
      <c r="X2297" s="9">
        <v>-117.902139566671</v>
      </c>
    </row>
    <row r="2298" spans="1:24">
      <c r="A2298" s="29">
        <f t="shared" si="2392"/>
        <v>45931.624999994434</v>
      </c>
      <c r="B2298" s="30">
        <f t="shared" si="2416"/>
        <v>8000</v>
      </c>
      <c r="C2298" s="8">
        <v>25000</v>
      </c>
      <c r="D2298" s="8">
        <v>0</v>
      </c>
      <c r="E2298" s="8">
        <v>700</v>
      </c>
      <c r="F2298" s="8">
        <v>15000</v>
      </c>
      <c r="G2298" s="30">
        <f t="shared" si="2417"/>
        <v>2400</v>
      </c>
      <c r="H2298" s="8">
        <v>25000</v>
      </c>
      <c r="I2298" s="30">
        <f t="shared" si="2418"/>
        <v>8000</v>
      </c>
      <c r="J2298" s="8">
        <v>25000</v>
      </c>
      <c r="K2298" s="30">
        <f t="shared" si="2419"/>
        <v>8000</v>
      </c>
      <c r="L2298" s="8">
        <v>25000</v>
      </c>
      <c r="M2298" s="9">
        <f>VLOOKUP(DATE(YEAR(A2298),MONTH(A2298),DAY(A2298)),FY24_Temp[],4,FALSE)</f>
        <v>8.9</v>
      </c>
      <c r="N2298" s="9">
        <f>VLOOKUP(DATE(YEAR(A2298),MONTH(A2298),DAY(A2298)),FY24_Temp[],3,FALSE)</f>
        <v>16.8</v>
      </c>
      <c r="O2298" s="9">
        <v>13.5</v>
      </c>
      <c r="P2298" s="9">
        <v>19.5</v>
      </c>
      <c r="Q2298" s="79">
        <f>VLOOKUP(VLOOKUP(DATEVALUE(TEXT(A2298,"m/d/yyyy")),FY24_Temp[],5,FALSE)&amp;TEXT(A2298,"-h"),Table6[],4,FALSE)</f>
        <v>0.39228571312768118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VLOOKUP(TEXT(A2298,"yy-mm")&amp;"-"&amp;IF(AND(WEEKDAY(A2298)&gt;1,WEEKDAY(A2298)&lt;7),"Wkd",TEXT(A2298,"Ddd"))&amp;"-"&amp;TEXT(A2298,"hh"),LoadTable[],5,FALSE)*0.92</f>
        <v>236.10788000000002</v>
      </c>
      <c r="U2298" s="104">
        <f>VLOOKUP(TEXT(A2298,"yy-mm")&amp;"-"&amp;IF(AND(WEEKDAY(A2298)&gt;1,WEEKDAY(A2298)&lt;7),"Wkd",TEXT(A2298,"Ddd"))&amp;"-"&amp;TEXT(A2298,"hh"),LoadTable[],6,FALSE)*T2298</f>
        <v>10572.202542760002</v>
      </c>
      <c r="V2298">
        <f t="shared" ref="V2298:W2298" si="2450">V2274</f>
        <v>3.2</v>
      </c>
      <c r="W2298">
        <f t="shared" si="2450"/>
        <v>2.9</v>
      </c>
      <c r="X2298" s="9">
        <v>-117.979934116671</v>
      </c>
    </row>
    <row r="2299" spans="1:24">
      <c r="A2299" s="29">
        <f t="shared" si="2392"/>
        <v>45931.666666661098</v>
      </c>
      <c r="B2299" s="30">
        <f t="shared" si="2416"/>
        <v>8000</v>
      </c>
      <c r="C2299" s="8">
        <v>25000</v>
      </c>
      <c r="D2299" s="8">
        <v>0</v>
      </c>
      <c r="E2299" s="8">
        <v>700</v>
      </c>
      <c r="F2299" s="8">
        <v>15000</v>
      </c>
      <c r="G2299" s="30">
        <f t="shared" si="2417"/>
        <v>2400</v>
      </c>
      <c r="H2299" s="8">
        <v>25000</v>
      </c>
      <c r="I2299" s="30">
        <f t="shared" si="2418"/>
        <v>8000</v>
      </c>
      <c r="J2299" s="8">
        <v>25000</v>
      </c>
      <c r="K2299" s="30">
        <f t="shared" si="2419"/>
        <v>8000</v>
      </c>
      <c r="L2299" s="8">
        <v>25000</v>
      </c>
      <c r="M2299" s="9">
        <f>VLOOKUP(DATE(YEAR(A2299),MONTH(A2299),DAY(A2299)),FY24_Temp[],4,FALSE)</f>
        <v>8.9</v>
      </c>
      <c r="N2299" s="9">
        <f>VLOOKUP(DATE(YEAR(A2299),MONTH(A2299),DAY(A2299)),FY24_Temp[],3,FALSE)</f>
        <v>16.8</v>
      </c>
      <c r="O2299" s="9">
        <v>13.5</v>
      </c>
      <c r="P2299" s="9">
        <v>19.5</v>
      </c>
      <c r="Q2299" s="79">
        <f>VLOOKUP(VLOOKUP(DATEVALUE(TEXT(A2299,"m/d/yyyy")),FY24_Temp[],5,FALSE)&amp;TEXT(A2299,"-h"),Table6[],4,FALSE)</f>
        <v>0.64628571271896362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VLOOKUP(TEXT(A2299,"yy-mm")&amp;"-"&amp;IF(AND(WEEKDAY(A2299)&gt;1,WEEKDAY(A2299)&lt;7),"Wkd",TEXT(A2299,"Ddd"))&amp;"-"&amp;TEXT(A2299,"hh"),LoadTable[],5,FALSE)*0.92</f>
        <v>236.10788000000002</v>
      </c>
      <c r="U2299" s="104">
        <f>VLOOKUP(TEXT(A2299,"yy-mm")&amp;"-"&amp;IF(AND(WEEKDAY(A2299)&gt;1,WEEKDAY(A2299)&lt;7),"Wkd",TEXT(A2299,"Ddd"))&amp;"-"&amp;TEXT(A2299,"hh"),LoadTable[],6,FALSE)*T2299</f>
        <v>10648.93760376</v>
      </c>
      <c r="V2299">
        <f t="shared" ref="V2299:W2299" si="2451">V2275</f>
        <v>3.5</v>
      </c>
      <c r="W2299">
        <f t="shared" si="2451"/>
        <v>3</v>
      </c>
      <c r="X2299" s="9">
        <v>-118.057728666671</v>
      </c>
    </row>
    <row r="2300" spans="1:24">
      <c r="A2300" s="29">
        <f t="shared" si="2392"/>
        <v>45931.708333327762</v>
      </c>
      <c r="B2300" s="30">
        <f t="shared" si="2416"/>
        <v>8000</v>
      </c>
      <c r="C2300" s="8">
        <v>25000</v>
      </c>
      <c r="D2300" s="8">
        <v>0</v>
      </c>
      <c r="E2300" s="8">
        <v>700</v>
      </c>
      <c r="F2300" s="8">
        <v>15000</v>
      </c>
      <c r="G2300" s="30">
        <f t="shared" si="2417"/>
        <v>2400</v>
      </c>
      <c r="H2300" s="8">
        <v>25000</v>
      </c>
      <c r="I2300" s="30">
        <f t="shared" si="2418"/>
        <v>8000</v>
      </c>
      <c r="J2300" s="8">
        <v>25000</v>
      </c>
      <c r="K2300" s="30">
        <f t="shared" si="2419"/>
        <v>8000</v>
      </c>
      <c r="L2300" s="8">
        <v>25000</v>
      </c>
      <c r="M2300" s="9">
        <f>VLOOKUP(DATE(YEAR(A2300),MONTH(A2300),DAY(A2300)),FY24_Temp[],4,FALSE)</f>
        <v>8.9</v>
      </c>
      <c r="N2300" s="9">
        <f>VLOOKUP(DATE(YEAR(A2300),MONTH(A2300),DAY(A2300)),FY24_Temp[],3,FALSE)</f>
        <v>16.8</v>
      </c>
      <c r="O2300" s="9">
        <v>13.5</v>
      </c>
      <c r="P2300" s="9">
        <v>19.5</v>
      </c>
      <c r="Q2300" s="79">
        <f>VLOOKUP(VLOOKUP(DATEVALUE(TEXT(A2300,"m/d/yyyy")),FY24_Temp[],5,FALSE)&amp;TEXT(A2300,"-h"),Table6[],4,FALSE)</f>
        <v>1.0399999873978751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VLOOKUP(TEXT(A2300,"yy-mm")&amp;"-"&amp;IF(AND(WEEKDAY(A2300)&gt;1,WEEKDAY(A2300)&lt;7),"Wkd",TEXT(A2300,"Ddd"))&amp;"-"&amp;TEXT(A2300,"hh"),LoadTable[],5,FALSE)*0.92</f>
        <v>236.10788000000002</v>
      </c>
      <c r="U2300" s="104">
        <f>VLOOKUP(TEXT(A2300,"yy-mm")&amp;"-"&amp;IF(AND(WEEKDAY(A2300)&gt;1,WEEKDAY(A2300)&lt;7),"Wkd",TEXT(A2300,"Ddd"))&amp;"-"&amp;TEXT(A2300,"hh"),LoadTable[],6,FALSE)*T2300</f>
        <v>11157.513977280001</v>
      </c>
      <c r="V2300">
        <f t="shared" ref="V2300:W2300" si="2452">V2276</f>
        <v>3.6</v>
      </c>
      <c r="W2300">
        <f t="shared" si="2452"/>
        <v>3</v>
      </c>
      <c r="X2300" s="9">
        <v>-118.135523216671</v>
      </c>
    </row>
    <row r="2301" spans="1:24">
      <c r="A2301" s="29">
        <f t="shared" si="2392"/>
        <v>45931.749999994427</v>
      </c>
      <c r="B2301" s="30">
        <f t="shared" si="2416"/>
        <v>5000</v>
      </c>
      <c r="C2301" s="8">
        <v>25000</v>
      </c>
      <c r="D2301" s="8">
        <v>0</v>
      </c>
      <c r="E2301" s="8">
        <v>700</v>
      </c>
      <c r="F2301" s="8">
        <v>15000</v>
      </c>
      <c r="G2301" s="30">
        <f t="shared" si="2417"/>
        <v>2400</v>
      </c>
      <c r="H2301" s="8">
        <v>25000</v>
      </c>
      <c r="I2301" s="30">
        <f t="shared" si="2418"/>
        <v>5000</v>
      </c>
      <c r="J2301" s="8">
        <v>25000</v>
      </c>
      <c r="K2301" s="30">
        <f t="shared" si="2419"/>
        <v>5000</v>
      </c>
      <c r="L2301" s="8">
        <v>25000</v>
      </c>
      <c r="M2301" s="9">
        <f>VLOOKUP(DATE(YEAR(A2301),MONTH(A2301),DAY(A2301)),FY24_Temp[],4,FALSE)</f>
        <v>8.9</v>
      </c>
      <c r="N2301" s="9">
        <f>VLOOKUP(DATE(YEAR(A2301),MONTH(A2301),DAY(A2301)),FY24_Temp[],3,FALSE)</f>
        <v>16.8</v>
      </c>
      <c r="O2301" s="9">
        <v>13.5</v>
      </c>
      <c r="P2301" s="9">
        <v>19.5</v>
      </c>
      <c r="Q2301" s="79">
        <f>VLOOKUP(VLOOKUP(DATEVALUE(TEXT(A2301,"m/d/yyyy")),FY24_Temp[],5,FALSE)&amp;TEXT(A2301,"-h"),Table6[],4,FALSE)</f>
        <v>1.47700001512255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VLOOKUP(TEXT(A2301,"yy-mm")&amp;"-"&amp;IF(AND(WEEKDAY(A2301)&gt;1,WEEKDAY(A2301)&lt;7),"Wkd",TEXT(A2301,"Ddd"))&amp;"-"&amp;TEXT(A2301,"hh"),LoadTable[],5,FALSE)*0.92</f>
        <v>308.12363999999997</v>
      </c>
      <c r="U2301" s="104">
        <f>VLOOKUP(TEXT(A2301,"yy-mm")&amp;"-"&amp;IF(AND(WEEKDAY(A2301)&gt;1,WEEKDAY(A2301)&lt;7),"Wkd",TEXT(A2301,"Ddd"))&amp;"-"&amp;TEXT(A2301,"hh"),LoadTable[],6,FALSE)*T2301</f>
        <v>15139.963175039999</v>
      </c>
      <c r="V2301">
        <f t="shared" ref="V2301:W2301" si="2453">V2277</f>
        <v>2.9</v>
      </c>
      <c r="W2301">
        <f t="shared" si="2453"/>
        <v>3</v>
      </c>
      <c r="X2301" s="9">
        <v>-118.213317766671</v>
      </c>
    </row>
    <row r="2302" spans="1:24">
      <c r="A2302" s="29">
        <f t="shared" si="2392"/>
        <v>45931.791666661091</v>
      </c>
      <c r="B2302" s="30">
        <f t="shared" si="2416"/>
        <v>5000</v>
      </c>
      <c r="C2302" s="8">
        <v>25000</v>
      </c>
      <c r="D2302" s="8">
        <v>0</v>
      </c>
      <c r="E2302" s="8">
        <v>700</v>
      </c>
      <c r="F2302" s="8">
        <v>15000</v>
      </c>
      <c r="G2302" s="30">
        <f t="shared" si="2417"/>
        <v>2400</v>
      </c>
      <c r="H2302" s="8">
        <v>25000</v>
      </c>
      <c r="I2302" s="30">
        <f t="shared" si="2418"/>
        <v>5000</v>
      </c>
      <c r="J2302" s="8">
        <v>25000</v>
      </c>
      <c r="K2302" s="30">
        <f t="shared" si="2419"/>
        <v>5000</v>
      </c>
      <c r="L2302" s="8">
        <v>25000</v>
      </c>
      <c r="M2302" s="9">
        <f>VLOOKUP(DATE(YEAR(A2302),MONTH(A2302),DAY(A2302)),FY24_Temp[],4,FALSE)</f>
        <v>8.9</v>
      </c>
      <c r="N2302" s="9">
        <f>VLOOKUP(DATE(YEAR(A2302),MONTH(A2302),DAY(A2302)),FY24_Temp[],3,FALSE)</f>
        <v>16.8</v>
      </c>
      <c r="O2302" s="9">
        <v>13.5</v>
      </c>
      <c r="P2302" s="9">
        <v>19.5</v>
      </c>
      <c r="Q2302" s="79">
        <f>VLOOKUP(VLOOKUP(DATEVALUE(TEXT(A2302,"m/d/yyyy")),FY24_Temp[],5,FALSE)&amp;TEXT(A2302,"-h"),Table6[],4,FALSE)</f>
        <v>1.8152856826782227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VLOOKUP(TEXT(A2302,"yy-mm")&amp;"-"&amp;IF(AND(WEEKDAY(A2302)&gt;1,WEEKDAY(A2302)&lt;7),"Wkd",TEXT(A2302,"Ddd"))&amp;"-"&amp;TEXT(A2302,"hh"),LoadTable[],5,FALSE)*0.92</f>
        <v>308.12363999999997</v>
      </c>
      <c r="U2302" s="104">
        <f>VLOOKUP(TEXT(A2302,"yy-mm")&amp;"-"&amp;IF(AND(WEEKDAY(A2302)&gt;1,WEEKDAY(A2302)&lt;7),"Wkd",TEXT(A2302,"Ddd"))&amp;"-"&amp;TEXT(A2302,"hh"),LoadTable[],6,FALSE)*T2302</f>
        <v>15247.806449039997</v>
      </c>
      <c r="V2302">
        <f t="shared" ref="V2302:W2302" si="2454">V2278</f>
        <v>3</v>
      </c>
      <c r="W2302">
        <f t="shared" si="2454"/>
        <v>3</v>
      </c>
      <c r="X2302" s="9">
        <v>-118.291112316671</v>
      </c>
    </row>
    <row r="2303" spans="1:24">
      <c r="A2303" s="29">
        <f t="shared" si="2392"/>
        <v>45931.833333327755</v>
      </c>
      <c r="B2303" s="30">
        <f t="shared" si="2416"/>
        <v>5000</v>
      </c>
      <c r="C2303" s="8">
        <v>25000</v>
      </c>
      <c r="D2303" s="8">
        <v>0</v>
      </c>
      <c r="E2303" s="8">
        <v>700</v>
      </c>
      <c r="F2303" s="8">
        <v>15000</v>
      </c>
      <c r="G2303" s="30">
        <f t="shared" si="2417"/>
        <v>2400</v>
      </c>
      <c r="H2303" s="8">
        <v>25000</v>
      </c>
      <c r="I2303" s="30">
        <f t="shared" si="2418"/>
        <v>5000</v>
      </c>
      <c r="J2303" s="8">
        <v>25000</v>
      </c>
      <c r="K2303" s="30">
        <f t="shared" si="2419"/>
        <v>5000</v>
      </c>
      <c r="L2303" s="8">
        <v>25000</v>
      </c>
      <c r="M2303" s="9">
        <f>VLOOKUP(DATE(YEAR(A2303),MONTH(A2303),DAY(A2303)),FY24_Temp[],4,FALSE)</f>
        <v>8.9</v>
      </c>
      <c r="N2303" s="9">
        <f>VLOOKUP(DATE(YEAR(A2303),MONTH(A2303),DAY(A2303)),FY24_Temp[],3,FALSE)</f>
        <v>16.8</v>
      </c>
      <c r="O2303" s="9">
        <v>13.5</v>
      </c>
      <c r="P2303" s="9">
        <v>19.5</v>
      </c>
      <c r="Q2303" s="79">
        <f>VLOOKUP(VLOOKUP(DATEVALUE(TEXT(A2303,"m/d/yyyy")),FY24_Temp[],5,FALSE)&amp;TEXT(A2303,"-h"),Table6[],4,FALSE)</f>
        <v>1.9898571627480643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VLOOKUP(TEXT(A2303,"yy-mm")&amp;"-"&amp;IF(AND(WEEKDAY(A2303)&gt;1,WEEKDAY(A2303)&lt;7),"Wkd",TEXT(A2303,"Ddd"))&amp;"-"&amp;TEXT(A2303,"hh"),LoadTable[],5,FALSE)*0.92</f>
        <v>308.12363999999997</v>
      </c>
      <c r="U2303" s="104">
        <f>VLOOKUP(TEXT(A2303,"yy-mm")&amp;"-"&amp;IF(AND(WEEKDAY(A2303)&gt;1,WEEKDAY(A2303)&lt;7),"Wkd",TEXT(A2303,"Ddd"))&amp;"-"&amp;TEXT(A2303,"hh"),LoadTable[],6,FALSE)*T2303</f>
        <v>15157.218098879999</v>
      </c>
      <c r="V2303">
        <f t="shared" ref="V2303:W2303" si="2455">V2279</f>
        <v>2.8</v>
      </c>
      <c r="W2303">
        <f t="shared" si="2455"/>
        <v>3.1</v>
      </c>
      <c r="X2303" s="9">
        <v>-118.368906866671</v>
      </c>
    </row>
    <row r="2304" spans="1:24">
      <c r="A2304" s="29">
        <f t="shared" si="2392"/>
        <v>45931.874999994419</v>
      </c>
      <c r="B2304" s="30">
        <f t="shared" si="2416"/>
        <v>5000</v>
      </c>
      <c r="C2304" s="8">
        <v>25000</v>
      </c>
      <c r="D2304" s="8">
        <v>0</v>
      </c>
      <c r="E2304" s="8">
        <v>700</v>
      </c>
      <c r="F2304" s="8">
        <v>15000</v>
      </c>
      <c r="G2304" s="30">
        <f t="shared" si="2417"/>
        <v>2400</v>
      </c>
      <c r="H2304" s="8">
        <v>25000</v>
      </c>
      <c r="I2304" s="30">
        <f t="shared" si="2418"/>
        <v>5000</v>
      </c>
      <c r="J2304" s="8">
        <v>25000</v>
      </c>
      <c r="K2304" s="30">
        <f t="shared" si="2419"/>
        <v>5000</v>
      </c>
      <c r="L2304" s="8">
        <v>25000</v>
      </c>
      <c r="M2304" s="9">
        <f>VLOOKUP(DATE(YEAR(A2304),MONTH(A2304),DAY(A2304)),FY24_Temp[],4,FALSE)</f>
        <v>8.9</v>
      </c>
      <c r="N2304" s="9">
        <f>VLOOKUP(DATE(YEAR(A2304),MONTH(A2304),DAY(A2304)),FY24_Temp[],3,FALSE)</f>
        <v>16.8</v>
      </c>
      <c r="O2304" s="9">
        <v>13.5</v>
      </c>
      <c r="P2304" s="9">
        <v>19.5</v>
      </c>
      <c r="Q2304" s="79">
        <f>VLOOKUP(VLOOKUP(DATEVALUE(TEXT(A2304,"m/d/yyyy")),FY24_Temp[],5,FALSE)&amp;TEXT(A2304,"-h"),Table6[],4,FALSE)</f>
        <v>2.0539999689374651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VLOOKUP(TEXT(A2304,"yy-mm")&amp;"-"&amp;IF(AND(WEEKDAY(A2304)&gt;1,WEEKDAY(A2304)&lt;7),"Wkd",TEXT(A2304,"Ddd"))&amp;"-"&amp;TEXT(A2304,"hh"),LoadTable[],5,FALSE)*0.92</f>
        <v>234.33964000000003</v>
      </c>
      <c r="U2304" s="104">
        <f>VLOOKUP(TEXT(A2304,"yy-mm")&amp;"-"&amp;IF(AND(WEEKDAY(A2304)&gt;1,WEEKDAY(A2304)&lt;7),"Wkd",TEXT(A2304,"Ddd"))&amp;"-"&amp;TEXT(A2304,"hh"),LoadTable[],6,FALSE)*T2304</f>
        <v>11344.147632760001</v>
      </c>
      <c r="V2304">
        <f t="shared" ref="V2304:W2304" si="2456">V2280</f>
        <v>3.5</v>
      </c>
      <c r="W2304">
        <f t="shared" si="2456"/>
        <v>3.1</v>
      </c>
      <c r="X2304" s="9">
        <v>-118.446701416671</v>
      </c>
    </row>
    <row r="2305" spans="1:24">
      <c r="A2305" s="29">
        <f t="shared" si="2392"/>
        <v>45931.916666661084</v>
      </c>
      <c r="B2305" s="30">
        <f t="shared" si="2416"/>
        <v>5000</v>
      </c>
      <c r="C2305" s="8">
        <v>25000</v>
      </c>
      <c r="D2305" s="8">
        <v>0</v>
      </c>
      <c r="E2305" s="8">
        <v>700</v>
      </c>
      <c r="F2305" s="8">
        <v>15000</v>
      </c>
      <c r="G2305" s="30">
        <f t="shared" si="2417"/>
        <v>2400</v>
      </c>
      <c r="H2305" s="8">
        <v>25000</v>
      </c>
      <c r="I2305" s="30">
        <f t="shared" si="2418"/>
        <v>5000</v>
      </c>
      <c r="J2305" s="8">
        <v>25000</v>
      </c>
      <c r="K2305" s="30">
        <f t="shared" si="2419"/>
        <v>5000</v>
      </c>
      <c r="L2305" s="8">
        <v>25000</v>
      </c>
      <c r="M2305" s="9">
        <f>VLOOKUP(DATE(YEAR(A2305),MONTH(A2305),DAY(A2305)),FY24_Temp[],4,FALSE)</f>
        <v>8.9</v>
      </c>
      <c r="N2305" s="9">
        <f>VLOOKUP(DATE(YEAR(A2305),MONTH(A2305),DAY(A2305)),FY24_Temp[],3,FALSE)</f>
        <v>16.8</v>
      </c>
      <c r="O2305" s="9">
        <v>13.5</v>
      </c>
      <c r="P2305" s="9">
        <v>19.5</v>
      </c>
      <c r="Q2305" s="79">
        <f>VLOOKUP(VLOOKUP(DATEVALUE(TEXT(A2305,"m/d/yyyy")),FY24_Temp[],5,FALSE)&amp;TEXT(A2305,"-h"),Table6[],4,FALSE)</f>
        <v>2.032142860548837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VLOOKUP(TEXT(A2305,"yy-mm")&amp;"-"&amp;IF(AND(WEEKDAY(A2305)&gt;1,WEEKDAY(A2305)&lt;7),"Wkd",TEXT(A2305,"Ddd"))&amp;"-"&amp;TEXT(A2305,"hh"),LoadTable[],5,FALSE)*0.92</f>
        <v>180.62544</v>
      </c>
      <c r="U2305" s="104">
        <f>VLOOKUP(TEXT(A2305,"yy-mm")&amp;"-"&amp;IF(AND(WEEKDAY(A2305)&gt;1,WEEKDAY(A2305)&lt;7),"Wkd",TEXT(A2305,"Ddd"))&amp;"-"&amp;TEXT(A2305,"hh"),LoadTable[],6,FALSE)*T2305</f>
        <v>8304.2546039999997</v>
      </c>
      <c r="V2305">
        <f t="shared" ref="V2305:W2305" si="2457">V2281</f>
        <v>2.9</v>
      </c>
      <c r="W2305">
        <f t="shared" si="2457"/>
        <v>3.1</v>
      </c>
      <c r="X2305" s="9">
        <v>-118.524495966671</v>
      </c>
    </row>
    <row r="2306" spans="1:24">
      <c r="A2306" s="29">
        <f t="shared" si="2392"/>
        <v>45931.958333327748</v>
      </c>
      <c r="B2306" s="30">
        <f t="shared" si="2416"/>
        <v>5000</v>
      </c>
      <c r="C2306" s="8">
        <v>25000</v>
      </c>
      <c r="D2306" s="8">
        <v>0</v>
      </c>
      <c r="E2306" s="8">
        <v>700</v>
      </c>
      <c r="F2306" s="8">
        <v>15000</v>
      </c>
      <c r="G2306" s="30">
        <f t="shared" si="2417"/>
        <v>2400</v>
      </c>
      <c r="H2306" s="8">
        <v>25000</v>
      </c>
      <c r="I2306" s="30">
        <f t="shared" si="2418"/>
        <v>5000</v>
      </c>
      <c r="J2306" s="8">
        <v>25000</v>
      </c>
      <c r="K2306" s="30">
        <f t="shared" si="2419"/>
        <v>5000</v>
      </c>
      <c r="L2306" s="8">
        <v>25000</v>
      </c>
      <c r="M2306" s="9">
        <f>VLOOKUP(DATE(YEAR(A2306),MONTH(A2306),DAY(A2306)),FY24_Temp[],4,FALSE)</f>
        <v>8.9</v>
      </c>
      <c r="N2306" s="9">
        <f>VLOOKUP(DATE(YEAR(A2306),MONTH(A2306),DAY(A2306)),FY24_Temp[],3,FALSE)</f>
        <v>16.8</v>
      </c>
      <c r="O2306" s="9">
        <v>13.5</v>
      </c>
      <c r="P2306" s="9">
        <v>19.5</v>
      </c>
      <c r="Q2306" s="79">
        <f>VLOOKUP(VLOOKUP(DATEVALUE(TEXT(A2306,"m/d/yyyy")),FY24_Temp[],5,FALSE)&amp;TEXT(A2306,"-h"),Table6[],4,FALSE)</f>
        <v>2.0300000224794661</v>
      </c>
      <c r="R2306">
        <v>10</v>
      </c>
      <c r="S2306">
        <v>1000</v>
      </c>
      <c r="T2306" s="5">
        <f>VLOOKUP(TEXT(A2306,"yy-mm")&amp;"-"&amp;IF(AND(WEEKDAY(A2306)&gt;1,WEEKDAY(A2306)&lt;7),"Wkd",TEXT(A2306,"Ddd"))&amp;"-"&amp;TEXT(A2306,"hh"),LoadTable[],5,FALSE)*0.92</f>
        <v>180.62544</v>
      </c>
      <c r="U2306" s="104">
        <f>VLOOKUP(TEXT(A2306,"yy-mm")&amp;"-"&amp;IF(AND(WEEKDAY(A2306)&gt;1,WEEKDAY(A2306)&lt;7),"Wkd",TEXT(A2306,"Ddd"))&amp;"-"&amp;TEXT(A2306,"hh"),LoadTable[],6,FALSE)*T2306</f>
        <v>8217.1931419200009</v>
      </c>
      <c r="V2306">
        <f t="shared" ref="V2306:W2306" si="2458">V2282</f>
        <v>3.6</v>
      </c>
      <c r="W2306">
        <f t="shared" si="2458"/>
        <v>3.1</v>
      </c>
      <c r="X2306" s="9">
        <v>-118.602290516671</v>
      </c>
    </row>
    <row r="2307" spans="1:24">
      <c r="A2307" s="29">
        <f t="shared" si="2392"/>
        <v>45931.999999994412</v>
      </c>
      <c r="B2307" s="30">
        <f t="shared" si="2416"/>
        <v>5000</v>
      </c>
      <c r="C2307" s="8">
        <v>25000</v>
      </c>
      <c r="D2307" s="8">
        <v>0</v>
      </c>
      <c r="E2307" s="8">
        <v>700</v>
      </c>
      <c r="F2307" s="8">
        <v>15000</v>
      </c>
      <c r="G2307" s="30">
        <f t="shared" si="2417"/>
        <v>2400</v>
      </c>
      <c r="H2307" s="8">
        <v>25000</v>
      </c>
      <c r="I2307" s="30">
        <f t="shared" si="2418"/>
        <v>5000</v>
      </c>
      <c r="J2307" s="8">
        <v>25000</v>
      </c>
      <c r="K2307" s="30">
        <f t="shared" si="2419"/>
        <v>5000</v>
      </c>
      <c r="L2307" s="8">
        <v>25000</v>
      </c>
      <c r="M2307" s="9">
        <f>VLOOKUP(DATE(YEAR(A2307),MONTH(A2307),DAY(A2307)),FY24_Temp[],4,FALSE)</f>
        <v>8.9</v>
      </c>
      <c r="N2307" s="9">
        <f>VLOOKUP(DATE(YEAR(A2307),MONTH(A2307),DAY(A2307)),FY24_Temp[],3,FALSE)</f>
        <v>16.8</v>
      </c>
      <c r="O2307" s="9">
        <v>13.5</v>
      </c>
      <c r="P2307" s="9">
        <v>19.5</v>
      </c>
      <c r="Q2307" s="79">
        <f>VLOOKUP(VLOOKUP(DATEVALUE(TEXT(A2307,"m/d/yyyy")),FY24_Temp[],5,FALSE)&amp;TEXT(A2307,"-h"),Table6[],4,FALSE)</f>
        <v>2.023857150759016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VLOOKUP(TEXT(A2307,"yy-mm")&amp;"-"&amp;IF(AND(WEEKDAY(A2307)&gt;1,WEEKDAY(A2307)&lt;7),"Wkd",TEXT(A2307,"Ddd"))&amp;"-"&amp;TEXT(A2307,"hh"),LoadTable[],5,FALSE)*0.92</f>
        <v>180.62544</v>
      </c>
      <c r="U2307" s="104">
        <f>VLOOKUP(TEXT(A2307,"yy-mm")&amp;"-"&amp;IF(AND(WEEKDAY(A2307)&gt;1,WEEKDAY(A2307)&lt;7),"Wkd",TEXT(A2307,"Ddd"))&amp;"-"&amp;TEXT(A2307,"hh"),LoadTable[],6,FALSE)*T2307</f>
        <v>8132.4798105600003</v>
      </c>
      <c r="V2307">
        <f t="shared" ref="V2307:W2307" si="2459">V2283</f>
        <v>3</v>
      </c>
      <c r="W2307">
        <f t="shared" si="2459"/>
        <v>3.2</v>
      </c>
      <c r="X2307" s="9">
        <v>-118.680085066671</v>
      </c>
    </row>
    <row r="2308" spans="1:24">
      <c r="A2308" s="29">
        <f t="shared" si="2392"/>
        <v>45932.041666661076</v>
      </c>
      <c r="B2308" s="30">
        <f t="shared" si="2416"/>
        <v>5000</v>
      </c>
      <c r="C2308" s="8">
        <v>25000</v>
      </c>
      <c r="D2308" s="8">
        <v>0</v>
      </c>
      <c r="E2308" s="8">
        <v>700</v>
      </c>
      <c r="F2308" s="8">
        <v>15000</v>
      </c>
      <c r="G2308" s="30">
        <f t="shared" si="2417"/>
        <v>2400</v>
      </c>
      <c r="H2308" s="8">
        <v>25000</v>
      </c>
      <c r="I2308" s="30">
        <f t="shared" si="2418"/>
        <v>5000</v>
      </c>
      <c r="J2308" s="8">
        <v>25000</v>
      </c>
      <c r="K2308" s="30">
        <f t="shared" si="2419"/>
        <v>5000</v>
      </c>
      <c r="L2308" s="8">
        <v>25000</v>
      </c>
      <c r="M2308" s="9">
        <f>VLOOKUP(DATE(YEAR(A2308),MONTH(A2308),DAY(A2308)),FY24_Temp[],4,FALSE)</f>
        <v>8.9</v>
      </c>
      <c r="N2308" s="9">
        <f>VLOOKUP(DATE(YEAR(A2308),MONTH(A2308),DAY(A2308)),FY24_Temp[],3,FALSE)</f>
        <v>16.8</v>
      </c>
      <c r="O2308" s="9">
        <v>13.5</v>
      </c>
      <c r="P2308" s="9">
        <v>19.5</v>
      </c>
      <c r="Q2308" s="79">
        <f>VLOOKUP(VLOOKUP(DATEVALUE(TEXT(A2308,"m/d/yyyy")),FY24_Temp[],5,FALSE)&amp;TEXT(A2308,"-h"),Table6[],4,FALSE)</f>
        <v>1.9687142712729317</v>
      </c>
      <c r="R2308">
        <v>10</v>
      </c>
      <c r="S2308">
        <v>1000</v>
      </c>
      <c r="T2308" s="5">
        <f>VLOOKUP(TEXT(A2308,"yy-mm")&amp;"-"&amp;IF(AND(WEEKDAY(A2308)&gt;1,WEEKDAY(A2308)&lt;7),"Wkd",TEXT(A2308,"Ddd"))&amp;"-"&amp;TEXT(A2308,"hh"),LoadTable[],5,FALSE)*0.92</f>
        <v>180.62544</v>
      </c>
      <c r="U2308" s="104">
        <f>VLOOKUP(TEXT(A2308,"yy-mm")&amp;"-"&amp;IF(AND(WEEKDAY(A2308)&gt;1,WEEKDAY(A2308)&lt;7),"Wkd",TEXT(A2308,"Ddd"))&amp;"-"&amp;TEXT(A2308,"hh"),LoadTable[],6,FALSE)*T2308</f>
        <v>8124.71291664</v>
      </c>
      <c r="V2308">
        <f t="shared" ref="V2308:W2308" si="2460">V2284</f>
        <v>2.6</v>
      </c>
      <c r="W2308">
        <f t="shared" si="2460"/>
        <v>3.2</v>
      </c>
      <c r="X2308" s="9">
        <v>-118.757879616671</v>
      </c>
    </row>
    <row r="2309" spans="1:24">
      <c r="A2309" s="29">
        <f t="shared" ref="A2309:A2372" si="2461">A2308+TIME(1,0,0)</f>
        <v>45932.083333327741</v>
      </c>
      <c r="B2309" s="30">
        <f t="shared" si="2416"/>
        <v>5000</v>
      </c>
      <c r="C2309" s="8">
        <v>25000</v>
      </c>
      <c r="D2309" s="8">
        <v>0</v>
      </c>
      <c r="E2309" s="8">
        <v>700</v>
      </c>
      <c r="F2309" s="8">
        <v>15000</v>
      </c>
      <c r="G2309" s="30">
        <f t="shared" si="2417"/>
        <v>2400</v>
      </c>
      <c r="H2309" s="8">
        <v>25000</v>
      </c>
      <c r="I2309" s="30">
        <f t="shared" si="2418"/>
        <v>5000</v>
      </c>
      <c r="J2309" s="8">
        <v>25000</v>
      </c>
      <c r="K2309" s="30">
        <f t="shared" si="2419"/>
        <v>5000</v>
      </c>
      <c r="L2309" s="8">
        <v>25000</v>
      </c>
      <c r="M2309" s="9">
        <f>VLOOKUP(DATE(YEAR(A2309),MONTH(A2309),DAY(A2309)),FY24_Temp[],4,FALSE)</f>
        <v>8.9</v>
      </c>
      <c r="N2309" s="9">
        <f>VLOOKUP(DATE(YEAR(A2309),MONTH(A2309),DAY(A2309)),FY24_Temp[],3,FALSE)</f>
        <v>16.8</v>
      </c>
      <c r="O2309" s="9">
        <v>13.5</v>
      </c>
      <c r="P2309" s="9">
        <v>19.5</v>
      </c>
      <c r="Q2309" s="79">
        <f>VLOOKUP(VLOOKUP(DATEVALUE(TEXT(A2309,"m/d/yyyy")),FY24_Temp[],5,FALSE)&amp;TEXT(A2309,"-h"),Table6[],4,FALSE)</f>
        <v>1.8430000032697404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VLOOKUP(TEXT(A2309,"yy-mm")&amp;"-"&amp;IF(AND(WEEKDAY(A2309)&gt;1,WEEKDAY(A2309)&lt;7),"Wkd",TEXT(A2309,"Ddd"))&amp;"-"&amp;TEXT(A2309,"hh"),LoadTable[],5,FALSE)*0.92</f>
        <v>180.62544</v>
      </c>
      <c r="U2309" s="104">
        <f>VLOOKUP(TEXT(A2309,"yy-mm")&amp;"-"&amp;IF(AND(WEEKDAY(A2309)&gt;1,WEEKDAY(A2309)&lt;7),"Wkd",TEXT(A2309,"Ddd"))&amp;"-"&amp;TEXT(A2309,"hh"),LoadTable[],6,FALSE)*T2309</f>
        <v>8120.1972806400008</v>
      </c>
      <c r="V2309">
        <f t="shared" ref="V2309:W2309" si="2462">V2285</f>
        <v>2.8</v>
      </c>
      <c r="W2309">
        <f t="shared" si="2462"/>
        <v>3.2</v>
      </c>
      <c r="X2309" s="9">
        <v>-118.835674166671</v>
      </c>
    </row>
    <row r="2310" spans="1:24">
      <c r="A2310" s="29">
        <f t="shared" si="2461"/>
        <v>45932.124999994405</v>
      </c>
      <c r="B2310" s="30">
        <f t="shared" si="2416"/>
        <v>5000</v>
      </c>
      <c r="C2310" s="8">
        <v>25000</v>
      </c>
      <c r="D2310" s="8">
        <v>0</v>
      </c>
      <c r="E2310" s="8">
        <v>700</v>
      </c>
      <c r="F2310" s="8">
        <v>15000</v>
      </c>
      <c r="G2310" s="30">
        <f t="shared" si="2417"/>
        <v>2400</v>
      </c>
      <c r="H2310" s="8">
        <v>25000</v>
      </c>
      <c r="I2310" s="30">
        <f t="shared" si="2418"/>
        <v>5000</v>
      </c>
      <c r="J2310" s="8">
        <v>25000</v>
      </c>
      <c r="K2310" s="30">
        <f t="shared" si="2419"/>
        <v>5000</v>
      </c>
      <c r="L2310" s="8">
        <v>25000</v>
      </c>
      <c r="M2310" s="9">
        <f>VLOOKUP(DATE(YEAR(A2310),MONTH(A2310),DAY(A2310)),FY24_Temp[],4,FALSE)</f>
        <v>8.9</v>
      </c>
      <c r="N2310" s="9">
        <f>VLOOKUP(DATE(YEAR(A2310),MONTH(A2310),DAY(A2310)),FY24_Temp[],3,FALSE)</f>
        <v>16.8</v>
      </c>
      <c r="O2310" s="9">
        <v>13.5</v>
      </c>
      <c r="P2310" s="9">
        <v>19.5</v>
      </c>
      <c r="Q2310" s="79">
        <f>VLOOKUP(VLOOKUP(DATEVALUE(TEXT(A2310,"m/d/yyyy")),FY24_Temp[],5,FALSE)&amp;TEXT(A2310,"-h"),Table6[],4,FALSE)</f>
        <v>1.7025714431490218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VLOOKUP(TEXT(A2310,"yy-mm")&amp;"-"&amp;IF(AND(WEEKDAY(A2310)&gt;1,WEEKDAY(A2310)&lt;7),"Wkd",TEXT(A2310,"Ddd"))&amp;"-"&amp;TEXT(A2310,"hh"),LoadTable[],5,FALSE)*0.92</f>
        <v>180.62544</v>
      </c>
      <c r="U2310" s="104">
        <f>VLOOKUP(TEXT(A2310,"yy-mm")&amp;"-"&amp;IF(AND(WEEKDAY(A2310)&gt;1,WEEKDAY(A2310)&lt;7),"Wkd",TEXT(A2310,"Ddd"))&amp;"-"&amp;TEXT(A2310,"hh"),LoadTable[],6,FALSE)*T2310</f>
        <v>8141.3304571199997</v>
      </c>
      <c r="V2310">
        <f t="shared" ref="V2310:W2310" si="2463">V2286</f>
        <v>2.7</v>
      </c>
      <c r="W2310">
        <f t="shared" si="2463"/>
        <v>3.2</v>
      </c>
      <c r="X2310" s="9">
        <v>-118.91346871667101</v>
      </c>
    </row>
    <row r="2311" spans="1:24">
      <c r="A2311" s="29">
        <f t="shared" si="2461"/>
        <v>45932.166666661069</v>
      </c>
      <c r="B2311" s="30">
        <f t="shared" si="2416"/>
        <v>5000</v>
      </c>
      <c r="C2311" s="8">
        <v>25000</v>
      </c>
      <c r="D2311" s="8">
        <v>0</v>
      </c>
      <c r="E2311" s="8">
        <v>700</v>
      </c>
      <c r="F2311" s="8">
        <v>15000</v>
      </c>
      <c r="G2311" s="30">
        <f t="shared" si="2417"/>
        <v>2400</v>
      </c>
      <c r="H2311" s="8">
        <v>25000</v>
      </c>
      <c r="I2311" s="30">
        <f t="shared" si="2418"/>
        <v>5000</v>
      </c>
      <c r="J2311" s="8">
        <v>25000</v>
      </c>
      <c r="K2311" s="30">
        <f t="shared" si="2419"/>
        <v>5000</v>
      </c>
      <c r="L2311" s="8">
        <v>25000</v>
      </c>
      <c r="M2311" s="9">
        <f>VLOOKUP(DATE(YEAR(A2311),MONTH(A2311),DAY(A2311)),FY24_Temp[],4,FALSE)</f>
        <v>8.9</v>
      </c>
      <c r="N2311" s="9">
        <f>VLOOKUP(DATE(YEAR(A2311),MONTH(A2311),DAY(A2311)),FY24_Temp[],3,FALSE)</f>
        <v>16.8</v>
      </c>
      <c r="O2311" s="9">
        <v>13.5</v>
      </c>
      <c r="P2311" s="9">
        <v>19.5</v>
      </c>
      <c r="Q2311" s="79">
        <f>VLOOKUP(VLOOKUP(DATEVALUE(TEXT(A2311,"m/d/yyyy")),FY24_Temp[],5,FALSE)&amp;TEXT(A2311,"-h"),Table6[],4,FALSE)</f>
        <v>1.5532857179641724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VLOOKUP(TEXT(A2311,"yy-mm")&amp;"-"&amp;IF(AND(WEEKDAY(A2311)&gt;1,WEEKDAY(A2311)&lt;7),"Wkd",TEXT(A2311,"Ddd"))&amp;"-"&amp;TEXT(A2311,"hh"),LoadTable[],5,FALSE)*0.92</f>
        <v>180.62544</v>
      </c>
      <c r="U2311" s="104">
        <f>VLOOKUP(TEXT(A2311,"yy-mm")&amp;"-"&amp;IF(AND(WEEKDAY(A2311)&gt;1,WEEKDAY(A2311)&lt;7),"Wkd",TEXT(A2311,"Ddd"))&amp;"-"&amp;TEXT(A2311,"hh"),LoadTable[],6,FALSE)*T2311</f>
        <v>8184.86118816</v>
      </c>
      <c r="V2311">
        <f t="shared" ref="V2311:W2311" si="2464">V2287</f>
        <v>3</v>
      </c>
      <c r="W2311">
        <f t="shared" si="2464"/>
        <v>3.1</v>
      </c>
      <c r="X2311" s="9">
        <v>-118.991263266671</v>
      </c>
    </row>
    <row r="2312" spans="1:24">
      <c r="A2312" s="29">
        <f t="shared" si="2461"/>
        <v>45932.208333327733</v>
      </c>
      <c r="B2312" s="30">
        <f t="shared" si="2416"/>
        <v>5000</v>
      </c>
      <c r="C2312" s="8">
        <v>25000</v>
      </c>
      <c r="D2312" s="8">
        <v>0</v>
      </c>
      <c r="E2312" s="8">
        <v>700</v>
      </c>
      <c r="F2312" s="8">
        <v>15000</v>
      </c>
      <c r="G2312" s="30">
        <f t="shared" si="2417"/>
        <v>2400</v>
      </c>
      <c r="H2312" s="8">
        <v>25000</v>
      </c>
      <c r="I2312" s="30">
        <f t="shared" si="2418"/>
        <v>5000</v>
      </c>
      <c r="J2312" s="8">
        <v>25000</v>
      </c>
      <c r="K2312" s="30">
        <f t="shared" si="2419"/>
        <v>5000</v>
      </c>
      <c r="L2312" s="8">
        <v>25000</v>
      </c>
      <c r="M2312" s="9">
        <f>VLOOKUP(DATE(YEAR(A2312),MONTH(A2312),DAY(A2312)),FY24_Temp[],4,FALSE)</f>
        <v>8.9</v>
      </c>
      <c r="N2312" s="9">
        <f>VLOOKUP(DATE(YEAR(A2312),MONTH(A2312),DAY(A2312)),FY24_Temp[],3,FALSE)</f>
        <v>16.8</v>
      </c>
      <c r="O2312" s="9">
        <v>13.5</v>
      </c>
      <c r="P2312" s="9">
        <v>19.5</v>
      </c>
      <c r="Q2312" s="79">
        <f>VLOOKUP(VLOOKUP(DATEVALUE(TEXT(A2312,"m/d/yyyy")),FY24_Temp[],5,FALSE)&amp;TEXT(A2312,"-h"),Table6[],4,FALSE)</f>
        <v>1.4412857123783656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VLOOKUP(TEXT(A2312,"yy-mm")&amp;"-"&amp;IF(AND(WEEKDAY(A2312)&gt;1,WEEKDAY(A2312)&lt;7),"Wkd",TEXT(A2312,"Ddd"))&amp;"-"&amp;TEXT(A2312,"hh"),LoadTable[],5,FALSE)*0.92</f>
        <v>275.09195999999997</v>
      </c>
      <c r="U2312" s="104">
        <f>VLOOKUP(TEXT(A2312,"yy-mm")&amp;"-"&amp;IF(AND(WEEKDAY(A2312)&gt;1,WEEKDAY(A2312)&lt;7),"Wkd",TEXT(A2312,"Ddd"))&amp;"-"&amp;TEXT(A2312,"hh"),LoadTable[],6,FALSE)*T2312</f>
        <v>12729.880448999998</v>
      </c>
      <c r="V2312">
        <f t="shared" ref="V2312:W2312" si="2465">V2288</f>
        <v>2.9</v>
      </c>
      <c r="W2312">
        <f t="shared" si="2465"/>
        <v>3.1</v>
      </c>
      <c r="X2312" s="9">
        <v>-119.06905781667101</v>
      </c>
    </row>
    <row r="2313" spans="1:24">
      <c r="A2313" s="29">
        <f t="shared" si="2461"/>
        <v>45932.249999994398</v>
      </c>
      <c r="B2313" s="30">
        <f t="shared" si="2416"/>
        <v>8000</v>
      </c>
      <c r="C2313" s="8">
        <v>25000</v>
      </c>
      <c r="D2313" s="8">
        <v>0</v>
      </c>
      <c r="E2313" s="8">
        <v>700</v>
      </c>
      <c r="F2313" s="8">
        <v>15000</v>
      </c>
      <c r="G2313" s="30">
        <f t="shared" si="2417"/>
        <v>2400</v>
      </c>
      <c r="H2313" s="8">
        <v>25000</v>
      </c>
      <c r="I2313" s="30">
        <f t="shared" si="2418"/>
        <v>8000</v>
      </c>
      <c r="J2313" s="8">
        <v>25000</v>
      </c>
      <c r="K2313" s="30">
        <f t="shared" si="2419"/>
        <v>8000</v>
      </c>
      <c r="L2313" s="8">
        <v>25000</v>
      </c>
      <c r="M2313" s="9">
        <f>VLOOKUP(DATE(YEAR(A2313),MONTH(A2313),DAY(A2313)),FY24_Temp[],4,FALSE)</f>
        <v>8.9</v>
      </c>
      <c r="N2313" s="9">
        <f>VLOOKUP(DATE(YEAR(A2313),MONTH(A2313),DAY(A2313)),FY24_Temp[],3,FALSE)</f>
        <v>16.8</v>
      </c>
      <c r="O2313" s="9">
        <v>13.5</v>
      </c>
      <c r="P2313" s="9">
        <v>19.5</v>
      </c>
      <c r="Q2313" s="79">
        <f>VLOOKUP(VLOOKUP(DATEVALUE(TEXT(A2313,"m/d/yyyy")),FY24_Temp[],5,FALSE)&amp;TEXT(A2313,"-h"),Table6[],4,FALSE)</f>
        <v>1.3392857142857142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VLOOKUP(TEXT(A2313,"yy-mm")&amp;"-"&amp;IF(AND(WEEKDAY(A2313)&gt;1,WEEKDAY(A2313)&lt;7),"Wkd",TEXT(A2313,"Ddd"))&amp;"-"&amp;TEXT(A2313,"hh"),LoadTable[],5,FALSE)*0.92</f>
        <v>275.09195999999997</v>
      </c>
      <c r="U2313" s="104">
        <f>VLOOKUP(TEXT(A2313,"yy-mm")&amp;"-"&amp;IF(AND(WEEKDAY(A2313)&gt;1,WEEKDAY(A2313)&lt;7),"Wkd",TEXT(A2313,"Ddd"))&amp;"-"&amp;TEXT(A2313,"hh"),LoadTable[],6,FALSE)*T2313</f>
        <v>13284.465840359997</v>
      </c>
      <c r="V2313">
        <f t="shared" ref="V2313:W2313" si="2466">V2289</f>
        <v>2.5</v>
      </c>
      <c r="W2313">
        <f t="shared" si="2466"/>
        <v>3.1</v>
      </c>
      <c r="X2313" s="9">
        <v>-119.146852366671</v>
      </c>
    </row>
    <row r="2314" spans="1:24">
      <c r="A2314" s="29">
        <f t="shared" si="2461"/>
        <v>45932.291666661062</v>
      </c>
      <c r="B2314" s="30">
        <f t="shared" si="2416"/>
        <v>8000</v>
      </c>
      <c r="C2314" s="8">
        <v>25000</v>
      </c>
      <c r="D2314" s="8">
        <v>0</v>
      </c>
      <c r="E2314" s="8">
        <v>700</v>
      </c>
      <c r="F2314" s="8">
        <v>15000</v>
      </c>
      <c r="G2314" s="30">
        <f t="shared" si="2417"/>
        <v>2400</v>
      </c>
      <c r="H2314" s="8">
        <v>25000</v>
      </c>
      <c r="I2314" s="30">
        <f t="shared" si="2418"/>
        <v>8000</v>
      </c>
      <c r="J2314" s="8">
        <v>25000</v>
      </c>
      <c r="K2314" s="30">
        <f t="shared" si="2419"/>
        <v>8000</v>
      </c>
      <c r="L2314" s="8">
        <v>25000</v>
      </c>
      <c r="M2314" s="9">
        <f>VLOOKUP(DATE(YEAR(A2314),MONTH(A2314),DAY(A2314)),FY24_Temp[],4,FALSE)</f>
        <v>8.9</v>
      </c>
      <c r="N2314" s="9">
        <f>VLOOKUP(DATE(YEAR(A2314),MONTH(A2314),DAY(A2314)),FY24_Temp[],3,FALSE)</f>
        <v>16.8</v>
      </c>
      <c r="O2314" s="9">
        <v>13.5</v>
      </c>
      <c r="P2314" s="9">
        <v>19.5</v>
      </c>
      <c r="Q2314" s="79">
        <f>VLOOKUP(VLOOKUP(DATEVALUE(TEXT(A2314,"m/d/yyyy")),FY24_Temp[],5,FALSE)&amp;TEXT(A2314,"-h"),Table6[],4,FALSE)</f>
        <v>1.180142845426287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VLOOKUP(TEXT(A2314,"yy-mm")&amp;"-"&amp;IF(AND(WEEKDAY(A2314)&gt;1,WEEKDAY(A2314)&lt;7),"Wkd",TEXT(A2314,"Ddd"))&amp;"-"&amp;TEXT(A2314,"hh"),LoadTable[],5,FALSE)*0.92</f>
        <v>236.10788000000002</v>
      </c>
      <c r="U2314" s="104">
        <f>VLOOKUP(TEXT(A2314,"yy-mm")&amp;"-"&amp;IF(AND(WEEKDAY(A2314)&gt;1,WEEKDAY(A2314)&lt;7),"Wkd",TEXT(A2314,"Ddd"))&amp;"-"&amp;TEXT(A2314,"hh"),LoadTable[],6,FALSE)*T2314</f>
        <v>11438.48235448</v>
      </c>
      <c r="V2314">
        <f t="shared" ref="V2314:W2314" si="2467">V2290</f>
        <v>2.5</v>
      </c>
      <c r="W2314">
        <f t="shared" si="2467"/>
        <v>3.1</v>
      </c>
      <c r="X2314" s="9">
        <v>-119.22464691667101</v>
      </c>
    </row>
    <row r="2315" spans="1:24">
      <c r="A2315" s="29">
        <f t="shared" si="2461"/>
        <v>45932.333333327726</v>
      </c>
      <c r="B2315" s="30">
        <f t="shared" si="2416"/>
        <v>8000</v>
      </c>
      <c r="C2315" s="8">
        <v>25000</v>
      </c>
      <c r="D2315" s="8">
        <v>0</v>
      </c>
      <c r="E2315" s="8">
        <v>700</v>
      </c>
      <c r="F2315" s="8">
        <v>15000</v>
      </c>
      <c r="G2315" s="30">
        <f t="shared" si="2417"/>
        <v>2400</v>
      </c>
      <c r="H2315" s="8">
        <v>25000</v>
      </c>
      <c r="I2315" s="30">
        <f t="shared" si="2418"/>
        <v>8000</v>
      </c>
      <c r="J2315" s="8">
        <v>25000</v>
      </c>
      <c r="K2315" s="30">
        <f t="shared" si="2419"/>
        <v>8000</v>
      </c>
      <c r="L2315" s="8">
        <v>25000</v>
      </c>
      <c r="M2315" s="9">
        <f>VLOOKUP(DATE(YEAR(A2315),MONTH(A2315),DAY(A2315)),FY24_Temp[],4,FALSE)</f>
        <v>8.9</v>
      </c>
      <c r="N2315" s="9">
        <f>VLOOKUP(DATE(YEAR(A2315),MONTH(A2315),DAY(A2315)),FY24_Temp[],3,FALSE)</f>
        <v>16.8</v>
      </c>
      <c r="O2315" s="9">
        <v>13.5</v>
      </c>
      <c r="P2315" s="9">
        <v>19.5</v>
      </c>
      <c r="Q2315" s="79">
        <f>VLOOKUP(VLOOKUP(DATEVALUE(TEXT(A2315,"m/d/yyyy")),FY24_Temp[],5,FALSE)&amp;TEXT(A2315,"-h"),Table6[],4,FALSE)</f>
        <v>1.1274285657065255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VLOOKUP(TEXT(A2315,"yy-mm")&amp;"-"&amp;IF(AND(WEEKDAY(A2315)&gt;1,WEEKDAY(A2315)&lt;7),"Wkd",TEXT(A2315,"Ddd"))&amp;"-"&amp;TEXT(A2315,"hh"),LoadTable[],5,FALSE)*0.92</f>
        <v>236.10788000000002</v>
      </c>
      <c r="U2315" s="104">
        <f>VLOOKUP(TEXT(A2315,"yy-mm")&amp;"-"&amp;IF(AND(WEEKDAY(A2315)&gt;1,WEEKDAY(A2315)&lt;7),"Wkd",TEXT(A2315,"Ddd"))&amp;"-"&amp;TEXT(A2315,"hh"),LoadTable[],6,FALSE)*T2315</f>
        <v>10919.281126360002</v>
      </c>
      <c r="V2315">
        <f t="shared" ref="V2315:W2315" si="2468">V2291</f>
        <v>3.2</v>
      </c>
      <c r="W2315">
        <f t="shared" si="2468"/>
        <v>3</v>
      </c>
      <c r="X2315" s="9">
        <v>-119.302441466671</v>
      </c>
    </row>
    <row r="2316" spans="1:24">
      <c r="A2316" s="29">
        <f t="shared" si="2461"/>
        <v>45932.37499999439</v>
      </c>
      <c r="B2316" s="30">
        <f t="shared" si="2416"/>
        <v>8000</v>
      </c>
      <c r="C2316" s="8">
        <v>25000</v>
      </c>
      <c r="D2316" s="8">
        <v>0</v>
      </c>
      <c r="E2316" s="8">
        <v>700</v>
      </c>
      <c r="F2316" s="8">
        <v>15000</v>
      </c>
      <c r="G2316" s="30">
        <f t="shared" si="2417"/>
        <v>2400</v>
      </c>
      <c r="H2316" s="8">
        <v>25000</v>
      </c>
      <c r="I2316" s="30">
        <f t="shared" si="2418"/>
        <v>8000</v>
      </c>
      <c r="J2316" s="8">
        <v>25000</v>
      </c>
      <c r="K2316" s="30">
        <f t="shared" si="2419"/>
        <v>8000</v>
      </c>
      <c r="L2316" s="8">
        <v>25000</v>
      </c>
      <c r="M2316" s="9">
        <f>VLOOKUP(DATE(YEAR(A2316),MONTH(A2316),DAY(A2316)),FY24_Temp[],4,FALSE)</f>
        <v>8.9</v>
      </c>
      <c r="N2316" s="9">
        <f>VLOOKUP(DATE(YEAR(A2316),MONTH(A2316),DAY(A2316)),FY24_Temp[],3,FALSE)</f>
        <v>16.8</v>
      </c>
      <c r="O2316" s="9">
        <v>13.5</v>
      </c>
      <c r="P2316" s="9">
        <v>19.5</v>
      </c>
      <c r="Q2316" s="79">
        <f>VLOOKUP(VLOOKUP(DATEVALUE(TEXT(A2316,"m/d/yyyy")),FY24_Temp[],5,FALSE)&amp;TEXT(A2316,"-h"),Table6[],4,FALSE)</f>
        <v>0.99485715797969276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VLOOKUP(TEXT(A2316,"yy-mm")&amp;"-"&amp;IF(AND(WEEKDAY(A2316)&gt;1,WEEKDAY(A2316)&lt;7),"Wkd",TEXT(A2316,"Ddd"))&amp;"-"&amp;TEXT(A2316,"hh"),LoadTable[],5,FALSE)*0.92</f>
        <v>236.10788000000002</v>
      </c>
      <c r="U2316" s="104">
        <f>VLOOKUP(TEXT(A2316,"yy-mm")&amp;"-"&amp;IF(AND(WEEKDAY(A2316)&gt;1,WEEKDAY(A2316)&lt;7),"Wkd",TEXT(A2316,"Ddd"))&amp;"-"&amp;TEXT(A2316,"hh"),LoadTable[],6,FALSE)*T2316</f>
        <v>10592.271712560001</v>
      </c>
      <c r="V2316">
        <f t="shared" ref="V2316:W2316" si="2469">V2292</f>
        <v>2.9</v>
      </c>
      <c r="W2316">
        <f t="shared" si="2469"/>
        <v>3</v>
      </c>
      <c r="X2316" s="9">
        <v>-119.38023601667101</v>
      </c>
    </row>
    <row r="2317" spans="1:24">
      <c r="A2317" s="29">
        <f t="shared" si="2461"/>
        <v>45932.416666661054</v>
      </c>
      <c r="B2317" s="30">
        <f t="shared" si="2416"/>
        <v>8000</v>
      </c>
      <c r="C2317" s="8">
        <v>25000</v>
      </c>
      <c r="D2317" s="8">
        <v>0</v>
      </c>
      <c r="E2317" s="8">
        <v>700</v>
      </c>
      <c r="F2317" s="8">
        <v>15000</v>
      </c>
      <c r="G2317" s="30">
        <f t="shared" si="2417"/>
        <v>2400</v>
      </c>
      <c r="H2317" s="8">
        <v>25000</v>
      </c>
      <c r="I2317" s="30">
        <f t="shared" si="2418"/>
        <v>8000</v>
      </c>
      <c r="J2317" s="8">
        <v>25000</v>
      </c>
      <c r="K2317" s="30">
        <f t="shared" si="2419"/>
        <v>8000</v>
      </c>
      <c r="L2317" s="8">
        <v>25000</v>
      </c>
      <c r="M2317" s="9">
        <f>VLOOKUP(DATE(YEAR(A2317),MONTH(A2317),DAY(A2317)),FY24_Temp[],4,FALSE)</f>
        <v>8.9</v>
      </c>
      <c r="N2317" s="9">
        <f>VLOOKUP(DATE(YEAR(A2317),MONTH(A2317),DAY(A2317)),FY24_Temp[],3,FALSE)</f>
        <v>16.8</v>
      </c>
      <c r="O2317" s="9">
        <v>13.5</v>
      </c>
      <c r="P2317" s="9">
        <v>19.5</v>
      </c>
      <c r="Q2317" s="79">
        <f>VLOOKUP(VLOOKUP(DATEVALUE(TEXT(A2317,"m/d/yyyy")),FY24_Temp[],5,FALSE)&amp;TEXT(A2317,"-h"),Table6[],4,FALSE)</f>
        <v>0.87171429395675659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VLOOKUP(TEXT(A2317,"yy-mm")&amp;"-"&amp;IF(AND(WEEKDAY(A2317)&gt;1,WEEKDAY(A2317)&lt;7),"Wkd",TEXT(A2317,"Ddd"))&amp;"-"&amp;TEXT(A2317,"hh"),LoadTable[],5,FALSE)*0.92</f>
        <v>236.10788000000002</v>
      </c>
      <c r="U2317" s="104">
        <f>VLOOKUP(TEXT(A2317,"yy-mm")&amp;"-"&amp;IF(AND(WEEKDAY(A2317)&gt;1,WEEKDAY(A2317)&lt;7),"Wkd",TEXT(A2317,"Ddd"))&amp;"-"&amp;TEXT(A2317,"hh"),LoadTable[],6,FALSE)*T2317</f>
        <v>10565.591522120001</v>
      </c>
      <c r="V2317">
        <f t="shared" ref="V2317:W2317" si="2470">V2293</f>
        <v>2.9</v>
      </c>
      <c r="W2317">
        <f t="shared" si="2470"/>
        <v>3</v>
      </c>
      <c r="X2317" s="9">
        <v>-119.458030566671</v>
      </c>
    </row>
    <row r="2318" spans="1:24">
      <c r="A2318" s="29">
        <f t="shared" si="2461"/>
        <v>45932.458333327719</v>
      </c>
      <c r="B2318" s="30">
        <f t="shared" si="2416"/>
        <v>8000</v>
      </c>
      <c r="C2318" s="8">
        <v>25000</v>
      </c>
      <c r="D2318" s="8">
        <v>0</v>
      </c>
      <c r="E2318" s="8">
        <v>700</v>
      </c>
      <c r="F2318" s="8">
        <v>15000</v>
      </c>
      <c r="G2318" s="30">
        <f t="shared" si="2417"/>
        <v>2400</v>
      </c>
      <c r="H2318" s="8">
        <v>25000</v>
      </c>
      <c r="I2318" s="30">
        <f t="shared" si="2418"/>
        <v>8000</v>
      </c>
      <c r="J2318" s="8">
        <v>25000</v>
      </c>
      <c r="K2318" s="30">
        <f t="shared" si="2419"/>
        <v>8000</v>
      </c>
      <c r="L2318" s="8">
        <v>25000</v>
      </c>
      <c r="M2318" s="9">
        <f>VLOOKUP(DATE(YEAR(A2318),MONTH(A2318),DAY(A2318)),FY24_Temp[],4,FALSE)</f>
        <v>8.9</v>
      </c>
      <c r="N2318" s="9">
        <f>VLOOKUP(DATE(YEAR(A2318),MONTH(A2318),DAY(A2318)),FY24_Temp[],3,FALSE)</f>
        <v>16.8</v>
      </c>
      <c r="O2318" s="9">
        <v>13.5</v>
      </c>
      <c r="P2318" s="9">
        <v>19.5</v>
      </c>
      <c r="Q2318" s="79">
        <f>VLOOKUP(VLOOKUP(DATEVALUE(TEXT(A2318,"m/d/yyyy")),FY24_Temp[],5,FALSE)&amp;TEXT(A2318,"-h"),Table6[],4,FALSE)</f>
        <v>0.77757143974304199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VLOOKUP(TEXT(A2318,"yy-mm")&amp;"-"&amp;IF(AND(WEEKDAY(A2318)&gt;1,WEEKDAY(A2318)&lt;7),"Wkd",TEXT(A2318,"Ddd"))&amp;"-"&amp;TEXT(A2318,"hh"),LoadTable[],5,FALSE)*0.92</f>
        <v>236.10788000000002</v>
      </c>
      <c r="U2318" s="104">
        <f>VLOOKUP(TEXT(A2318,"yy-mm")&amp;"-"&amp;IF(AND(WEEKDAY(A2318)&gt;1,WEEKDAY(A2318)&lt;7),"Wkd",TEXT(A2318,"Ddd"))&amp;"-"&amp;TEXT(A2318,"hh"),LoadTable[],6,FALSE)*T2318</f>
        <v>10548.355646880002</v>
      </c>
      <c r="V2318">
        <f t="shared" ref="V2318:W2318" si="2471">V2294</f>
        <v>3.4</v>
      </c>
      <c r="W2318">
        <f t="shared" si="2471"/>
        <v>3</v>
      </c>
      <c r="X2318" s="9">
        <v>-119.53582511667101</v>
      </c>
    </row>
    <row r="2319" spans="1:24">
      <c r="A2319" s="29">
        <f t="shared" si="2461"/>
        <v>45932.499999994383</v>
      </c>
      <c r="B2319" s="30">
        <f t="shared" si="2416"/>
        <v>8000</v>
      </c>
      <c r="C2319" s="8">
        <v>25000</v>
      </c>
      <c r="D2319" s="8">
        <v>0</v>
      </c>
      <c r="E2319" s="8">
        <v>700</v>
      </c>
      <c r="F2319" s="8">
        <v>15000</v>
      </c>
      <c r="G2319" s="30">
        <f t="shared" si="2417"/>
        <v>2400</v>
      </c>
      <c r="H2319" s="8">
        <v>25000</v>
      </c>
      <c r="I2319" s="30">
        <f t="shared" si="2418"/>
        <v>8000</v>
      </c>
      <c r="J2319" s="8">
        <v>25000</v>
      </c>
      <c r="K2319" s="30">
        <f t="shared" si="2419"/>
        <v>8000</v>
      </c>
      <c r="L2319" s="8">
        <v>25000</v>
      </c>
      <c r="M2319" s="9">
        <f>VLOOKUP(DATE(YEAR(A2319),MONTH(A2319),DAY(A2319)),FY24_Temp[],4,FALSE)</f>
        <v>8.9</v>
      </c>
      <c r="N2319" s="9">
        <f>VLOOKUP(DATE(YEAR(A2319),MONTH(A2319),DAY(A2319)),FY24_Temp[],3,FALSE)</f>
        <v>16.8</v>
      </c>
      <c r="O2319" s="9">
        <v>13.5</v>
      </c>
      <c r="P2319" s="9">
        <v>19.5</v>
      </c>
      <c r="Q2319" s="79">
        <f>VLOOKUP(VLOOKUP(DATEVALUE(TEXT(A2319,"m/d/yyyy")),FY24_Temp[],5,FALSE)&amp;TEXT(A2319,"-h"),Table6[],4,FALSE)</f>
        <v>0.64328571728297645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VLOOKUP(TEXT(A2319,"yy-mm")&amp;"-"&amp;IF(AND(WEEKDAY(A2319)&gt;1,WEEKDAY(A2319)&lt;7),"Wkd",TEXT(A2319,"Ddd"))&amp;"-"&amp;TEXT(A2319,"hh"),LoadTable[],5,FALSE)*0.92</f>
        <v>236.10788000000002</v>
      </c>
      <c r="U2319" s="104">
        <f>VLOOKUP(TEXT(A2319,"yy-mm")&amp;"-"&amp;IF(AND(WEEKDAY(A2319)&gt;1,WEEKDAY(A2319)&lt;7),"Wkd",TEXT(A2319,"Ddd"))&amp;"-"&amp;TEXT(A2319,"hh"),LoadTable[],6,FALSE)*T2319</f>
        <v>10540.327978960002</v>
      </c>
      <c r="V2319">
        <f t="shared" ref="V2319:W2319" si="2472">V2295</f>
        <v>3.1</v>
      </c>
      <c r="W2319">
        <f t="shared" si="2472"/>
        <v>2.9</v>
      </c>
      <c r="X2319" s="9">
        <v>-119.613619666671</v>
      </c>
    </row>
    <row r="2320" spans="1:24">
      <c r="A2320" s="29">
        <f t="shared" si="2461"/>
        <v>45932.541666661047</v>
      </c>
      <c r="B2320" s="30">
        <f t="shared" si="2416"/>
        <v>8000</v>
      </c>
      <c r="C2320" s="8">
        <v>25000</v>
      </c>
      <c r="D2320" s="8">
        <v>0</v>
      </c>
      <c r="E2320" s="8">
        <v>700</v>
      </c>
      <c r="F2320" s="8">
        <v>15000</v>
      </c>
      <c r="G2320" s="30">
        <f t="shared" si="2417"/>
        <v>2400</v>
      </c>
      <c r="H2320" s="8">
        <v>25000</v>
      </c>
      <c r="I2320" s="30">
        <f t="shared" si="2418"/>
        <v>8000</v>
      </c>
      <c r="J2320" s="8">
        <v>25000</v>
      </c>
      <c r="K2320" s="30">
        <f t="shared" si="2419"/>
        <v>8000</v>
      </c>
      <c r="L2320" s="8">
        <v>25000</v>
      </c>
      <c r="M2320" s="9">
        <f>VLOOKUP(DATE(YEAR(A2320),MONTH(A2320),DAY(A2320)),FY24_Temp[],4,FALSE)</f>
        <v>8.9</v>
      </c>
      <c r="N2320" s="9">
        <f>VLOOKUP(DATE(YEAR(A2320),MONTH(A2320),DAY(A2320)),FY24_Temp[],3,FALSE)</f>
        <v>16.8</v>
      </c>
      <c r="O2320" s="9">
        <v>13.5</v>
      </c>
      <c r="P2320" s="9">
        <v>19.5</v>
      </c>
      <c r="Q2320" s="79">
        <f>VLOOKUP(VLOOKUP(DATEVALUE(TEXT(A2320,"m/d/yyyy")),FY24_Temp[],5,FALSE)&amp;TEXT(A2320,"-h"),Table6[],4,FALSE)</f>
        <v>0.51885714275496342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VLOOKUP(TEXT(A2320,"yy-mm")&amp;"-"&amp;IF(AND(WEEKDAY(A2320)&gt;1,WEEKDAY(A2320)&lt;7),"Wkd",TEXT(A2320,"Ddd"))&amp;"-"&amp;TEXT(A2320,"hh"),LoadTable[],5,FALSE)*0.92</f>
        <v>236.10788000000002</v>
      </c>
      <c r="U2320" s="104">
        <f>VLOOKUP(TEXT(A2320,"yy-mm")&amp;"-"&amp;IF(AND(WEEKDAY(A2320)&gt;1,WEEKDAY(A2320)&lt;7),"Wkd",TEXT(A2320,"Ddd"))&amp;"-"&amp;TEXT(A2320,"hh"),LoadTable[],6,FALSE)*T2320</f>
        <v>10541.50851836</v>
      </c>
      <c r="V2320">
        <f t="shared" ref="V2320:W2320" si="2473">V2296</f>
        <v>3.2</v>
      </c>
      <c r="W2320">
        <f t="shared" si="2473"/>
        <v>2.9</v>
      </c>
      <c r="X2320" s="9">
        <v>-119.69141421667101</v>
      </c>
    </row>
    <row r="2321" spans="1:24">
      <c r="A2321" s="29">
        <f t="shared" si="2461"/>
        <v>45932.583333327711</v>
      </c>
      <c r="B2321" s="30">
        <f t="shared" si="2416"/>
        <v>8000</v>
      </c>
      <c r="C2321" s="8">
        <v>25000</v>
      </c>
      <c r="D2321" s="8">
        <v>0</v>
      </c>
      <c r="E2321" s="8">
        <v>700</v>
      </c>
      <c r="F2321" s="8">
        <v>15000</v>
      </c>
      <c r="G2321" s="30">
        <f t="shared" si="2417"/>
        <v>2400</v>
      </c>
      <c r="H2321" s="8">
        <v>25000</v>
      </c>
      <c r="I2321" s="30">
        <f t="shared" si="2418"/>
        <v>8000</v>
      </c>
      <c r="J2321" s="8">
        <v>25000</v>
      </c>
      <c r="K2321" s="30">
        <f t="shared" si="2419"/>
        <v>8000</v>
      </c>
      <c r="L2321" s="8">
        <v>25000</v>
      </c>
      <c r="M2321" s="9">
        <f>VLOOKUP(DATE(YEAR(A2321),MONTH(A2321),DAY(A2321)),FY24_Temp[],4,FALSE)</f>
        <v>8.9</v>
      </c>
      <c r="N2321" s="9">
        <f>VLOOKUP(DATE(YEAR(A2321),MONTH(A2321),DAY(A2321)),FY24_Temp[],3,FALSE)</f>
        <v>16.8</v>
      </c>
      <c r="O2321" s="9">
        <v>13.5</v>
      </c>
      <c r="P2321" s="9">
        <v>19.5</v>
      </c>
      <c r="Q2321" s="79">
        <f>VLOOKUP(VLOOKUP(DATEVALUE(TEXT(A2321,"m/d/yyyy")),FY24_Temp[],5,FALSE)&amp;TEXT(A2321,"-h"),Table6[],4,FALSE)</f>
        <v>0.4115714303084782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VLOOKUP(TEXT(A2321,"yy-mm")&amp;"-"&amp;IF(AND(WEEKDAY(A2321)&gt;1,WEEKDAY(A2321)&lt;7),"Wkd",TEXT(A2321,"Ddd"))&amp;"-"&amp;TEXT(A2321,"hh"),LoadTable[],5,FALSE)*0.92</f>
        <v>236.10788000000002</v>
      </c>
      <c r="U2321" s="104">
        <f>VLOOKUP(TEXT(A2321,"yy-mm")&amp;"-"&amp;IF(AND(WEEKDAY(A2321)&gt;1,WEEKDAY(A2321)&lt;7),"Wkd",TEXT(A2321,"Ddd"))&amp;"-"&amp;TEXT(A2321,"hh"),LoadTable[],6,FALSE)*T2321</f>
        <v>10551.188941440001</v>
      </c>
      <c r="V2321">
        <f t="shared" ref="V2321:W2321" si="2474">V2297</f>
        <v>3.5</v>
      </c>
      <c r="W2321">
        <f t="shared" si="2474"/>
        <v>2.9</v>
      </c>
      <c r="X2321" s="9">
        <v>-119.769208766671</v>
      </c>
    </row>
    <row r="2322" spans="1:24">
      <c r="A2322" s="29">
        <f t="shared" si="2461"/>
        <v>45932.624999994376</v>
      </c>
      <c r="B2322" s="30">
        <f t="shared" si="2416"/>
        <v>8000</v>
      </c>
      <c r="C2322" s="8">
        <v>25000</v>
      </c>
      <c r="D2322" s="8">
        <v>0</v>
      </c>
      <c r="E2322" s="8">
        <v>700</v>
      </c>
      <c r="F2322" s="8">
        <v>15000</v>
      </c>
      <c r="G2322" s="30">
        <f t="shared" si="2417"/>
        <v>2400</v>
      </c>
      <c r="H2322" s="8">
        <v>25000</v>
      </c>
      <c r="I2322" s="30">
        <f t="shared" si="2418"/>
        <v>8000</v>
      </c>
      <c r="J2322" s="8">
        <v>25000</v>
      </c>
      <c r="K2322" s="30">
        <f t="shared" si="2419"/>
        <v>8000</v>
      </c>
      <c r="L2322" s="8">
        <v>25000</v>
      </c>
      <c r="M2322" s="9">
        <f>VLOOKUP(DATE(YEAR(A2322),MONTH(A2322),DAY(A2322)),FY24_Temp[],4,FALSE)</f>
        <v>8.9</v>
      </c>
      <c r="N2322" s="9">
        <f>VLOOKUP(DATE(YEAR(A2322),MONTH(A2322),DAY(A2322)),FY24_Temp[],3,FALSE)</f>
        <v>16.8</v>
      </c>
      <c r="O2322" s="9">
        <v>13.5</v>
      </c>
      <c r="P2322" s="9">
        <v>19.5</v>
      </c>
      <c r="Q2322" s="79">
        <f>VLOOKUP(VLOOKUP(DATEVALUE(TEXT(A2322,"m/d/yyyy")),FY24_Temp[],5,FALSE)&amp;TEXT(A2322,"-h"),Table6[],4,FALSE)</f>
        <v>0.39228571312768118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VLOOKUP(TEXT(A2322,"yy-mm")&amp;"-"&amp;IF(AND(WEEKDAY(A2322)&gt;1,WEEKDAY(A2322)&lt;7),"Wkd",TEXT(A2322,"Ddd"))&amp;"-"&amp;TEXT(A2322,"hh"),LoadTable[],5,FALSE)*0.92</f>
        <v>236.10788000000002</v>
      </c>
      <c r="U2322" s="104">
        <f>VLOOKUP(TEXT(A2322,"yy-mm")&amp;"-"&amp;IF(AND(WEEKDAY(A2322)&gt;1,WEEKDAY(A2322)&lt;7),"Wkd",TEXT(A2322,"Ddd"))&amp;"-"&amp;TEXT(A2322,"hh"),LoadTable[],6,FALSE)*T2322</f>
        <v>10572.202542760002</v>
      </c>
      <c r="V2322">
        <f t="shared" ref="V2322:W2322" si="2475">V2298</f>
        <v>3.2</v>
      </c>
      <c r="W2322">
        <f t="shared" si="2475"/>
        <v>2.9</v>
      </c>
      <c r="X2322" s="9">
        <v>-119.84700331667101</v>
      </c>
    </row>
    <row r="2323" spans="1:24">
      <c r="A2323" s="29">
        <f t="shared" si="2461"/>
        <v>45932.66666666104</v>
      </c>
      <c r="B2323" s="30">
        <f t="shared" si="2416"/>
        <v>8000</v>
      </c>
      <c r="C2323" s="8">
        <v>25000</v>
      </c>
      <c r="D2323" s="8">
        <v>0</v>
      </c>
      <c r="E2323" s="8">
        <v>700</v>
      </c>
      <c r="F2323" s="8">
        <v>15000</v>
      </c>
      <c r="G2323" s="30">
        <f t="shared" si="2417"/>
        <v>2400</v>
      </c>
      <c r="H2323" s="8">
        <v>25000</v>
      </c>
      <c r="I2323" s="30">
        <f t="shared" si="2418"/>
        <v>8000</v>
      </c>
      <c r="J2323" s="8">
        <v>25000</v>
      </c>
      <c r="K2323" s="30">
        <f t="shared" si="2419"/>
        <v>8000</v>
      </c>
      <c r="L2323" s="8">
        <v>25000</v>
      </c>
      <c r="M2323" s="9">
        <f>VLOOKUP(DATE(YEAR(A2323),MONTH(A2323),DAY(A2323)),FY24_Temp[],4,FALSE)</f>
        <v>8.9</v>
      </c>
      <c r="N2323" s="9">
        <f>VLOOKUP(DATE(YEAR(A2323),MONTH(A2323),DAY(A2323)),FY24_Temp[],3,FALSE)</f>
        <v>16.8</v>
      </c>
      <c r="O2323" s="9">
        <v>13.5</v>
      </c>
      <c r="P2323" s="9">
        <v>19.5</v>
      </c>
      <c r="Q2323" s="79">
        <f>VLOOKUP(VLOOKUP(DATEVALUE(TEXT(A2323,"m/d/yyyy")),FY24_Temp[],5,FALSE)&amp;TEXT(A2323,"-h"),Table6[],4,FALSE)</f>
        <v>0.64628571271896362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VLOOKUP(TEXT(A2323,"yy-mm")&amp;"-"&amp;IF(AND(WEEKDAY(A2323)&gt;1,WEEKDAY(A2323)&lt;7),"Wkd",TEXT(A2323,"Ddd"))&amp;"-"&amp;TEXT(A2323,"hh"),LoadTable[],5,FALSE)*0.92</f>
        <v>236.10788000000002</v>
      </c>
      <c r="U2323" s="104">
        <f>VLOOKUP(TEXT(A2323,"yy-mm")&amp;"-"&amp;IF(AND(WEEKDAY(A2323)&gt;1,WEEKDAY(A2323)&lt;7),"Wkd",TEXT(A2323,"Ddd"))&amp;"-"&amp;TEXT(A2323,"hh"),LoadTable[],6,FALSE)*T2323</f>
        <v>10648.93760376</v>
      </c>
      <c r="V2323">
        <f t="shared" ref="V2323:W2323" si="2476">V2299</f>
        <v>3.5</v>
      </c>
      <c r="W2323">
        <f t="shared" si="2476"/>
        <v>3</v>
      </c>
      <c r="X2323" s="9">
        <v>-119.924797866671</v>
      </c>
    </row>
    <row r="2324" spans="1:24">
      <c r="A2324" s="29">
        <f t="shared" si="2461"/>
        <v>45932.708333327704</v>
      </c>
      <c r="B2324" s="30">
        <f t="shared" si="2416"/>
        <v>8000</v>
      </c>
      <c r="C2324" s="8">
        <v>25000</v>
      </c>
      <c r="D2324" s="8">
        <v>0</v>
      </c>
      <c r="E2324" s="8">
        <v>700</v>
      </c>
      <c r="F2324" s="8">
        <v>15000</v>
      </c>
      <c r="G2324" s="30">
        <f t="shared" si="2417"/>
        <v>2400</v>
      </c>
      <c r="H2324" s="8">
        <v>25000</v>
      </c>
      <c r="I2324" s="30">
        <f t="shared" si="2418"/>
        <v>8000</v>
      </c>
      <c r="J2324" s="8">
        <v>25000</v>
      </c>
      <c r="K2324" s="30">
        <f t="shared" si="2419"/>
        <v>8000</v>
      </c>
      <c r="L2324" s="8">
        <v>25000</v>
      </c>
      <c r="M2324" s="9">
        <f>VLOOKUP(DATE(YEAR(A2324),MONTH(A2324),DAY(A2324)),FY24_Temp[],4,FALSE)</f>
        <v>8.9</v>
      </c>
      <c r="N2324" s="9">
        <f>VLOOKUP(DATE(YEAR(A2324),MONTH(A2324),DAY(A2324)),FY24_Temp[],3,FALSE)</f>
        <v>16.8</v>
      </c>
      <c r="O2324" s="9">
        <v>13.5</v>
      </c>
      <c r="P2324" s="9">
        <v>19.5</v>
      </c>
      <c r="Q2324" s="79">
        <f>VLOOKUP(VLOOKUP(DATEVALUE(TEXT(A2324,"m/d/yyyy")),FY24_Temp[],5,FALSE)&amp;TEXT(A2324,"-h"),Table6[],4,FALSE)</f>
        <v>1.0399999873978751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VLOOKUP(TEXT(A2324,"yy-mm")&amp;"-"&amp;IF(AND(WEEKDAY(A2324)&gt;1,WEEKDAY(A2324)&lt;7),"Wkd",TEXT(A2324,"Ddd"))&amp;"-"&amp;TEXT(A2324,"hh"),LoadTable[],5,FALSE)*0.92</f>
        <v>236.10788000000002</v>
      </c>
      <c r="U2324" s="104">
        <f>VLOOKUP(TEXT(A2324,"yy-mm")&amp;"-"&amp;IF(AND(WEEKDAY(A2324)&gt;1,WEEKDAY(A2324)&lt;7),"Wkd",TEXT(A2324,"Ddd"))&amp;"-"&amp;TEXT(A2324,"hh"),LoadTable[],6,FALSE)*T2324</f>
        <v>11157.513977280001</v>
      </c>
      <c r="V2324">
        <f t="shared" ref="V2324:W2324" si="2477">V2300</f>
        <v>3.6</v>
      </c>
      <c r="W2324">
        <f t="shared" si="2477"/>
        <v>3</v>
      </c>
      <c r="X2324" s="9">
        <v>-120.00259241667101</v>
      </c>
    </row>
    <row r="2325" spans="1:24">
      <c r="A2325" s="29">
        <f t="shared" si="2461"/>
        <v>45932.749999994368</v>
      </c>
      <c r="B2325" s="30">
        <f t="shared" si="2416"/>
        <v>5000</v>
      </c>
      <c r="C2325" s="8">
        <v>25000</v>
      </c>
      <c r="D2325" s="8">
        <v>0</v>
      </c>
      <c r="E2325" s="8">
        <v>700</v>
      </c>
      <c r="F2325" s="8">
        <v>15000</v>
      </c>
      <c r="G2325" s="30">
        <f t="shared" si="2417"/>
        <v>2400</v>
      </c>
      <c r="H2325" s="8">
        <v>25000</v>
      </c>
      <c r="I2325" s="30">
        <f t="shared" si="2418"/>
        <v>5000</v>
      </c>
      <c r="J2325" s="8">
        <v>25000</v>
      </c>
      <c r="K2325" s="30">
        <f t="shared" si="2419"/>
        <v>5000</v>
      </c>
      <c r="L2325" s="8">
        <v>25000</v>
      </c>
      <c r="M2325" s="9">
        <f>VLOOKUP(DATE(YEAR(A2325),MONTH(A2325),DAY(A2325)),FY24_Temp[],4,FALSE)</f>
        <v>8.9</v>
      </c>
      <c r="N2325" s="9">
        <f>VLOOKUP(DATE(YEAR(A2325),MONTH(A2325),DAY(A2325)),FY24_Temp[],3,FALSE)</f>
        <v>16.8</v>
      </c>
      <c r="O2325" s="9">
        <v>13.5</v>
      </c>
      <c r="P2325" s="9">
        <v>19.5</v>
      </c>
      <c r="Q2325" s="79">
        <f>VLOOKUP(VLOOKUP(DATEVALUE(TEXT(A2325,"m/d/yyyy")),FY24_Temp[],5,FALSE)&amp;TEXT(A2325,"-h"),Table6[],4,FALSE)</f>
        <v>1.47700001512255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VLOOKUP(TEXT(A2325,"yy-mm")&amp;"-"&amp;IF(AND(WEEKDAY(A2325)&gt;1,WEEKDAY(A2325)&lt;7),"Wkd",TEXT(A2325,"Ddd"))&amp;"-"&amp;TEXT(A2325,"hh"),LoadTable[],5,FALSE)*0.92</f>
        <v>308.12363999999997</v>
      </c>
      <c r="U2325" s="104">
        <f>VLOOKUP(TEXT(A2325,"yy-mm")&amp;"-"&amp;IF(AND(WEEKDAY(A2325)&gt;1,WEEKDAY(A2325)&lt;7),"Wkd",TEXT(A2325,"Ddd"))&amp;"-"&amp;TEXT(A2325,"hh"),LoadTable[],6,FALSE)*T2325</f>
        <v>15139.963175039999</v>
      </c>
      <c r="V2325">
        <f t="shared" ref="V2325:W2325" si="2478">V2301</f>
        <v>2.9</v>
      </c>
      <c r="W2325">
        <f t="shared" si="2478"/>
        <v>3</v>
      </c>
      <c r="X2325" s="9">
        <v>-120.080386966671</v>
      </c>
    </row>
    <row r="2326" spans="1:24">
      <c r="A2326" s="29">
        <f t="shared" si="2461"/>
        <v>45932.791666661033</v>
      </c>
      <c r="B2326" s="30">
        <f t="shared" si="2416"/>
        <v>5000</v>
      </c>
      <c r="C2326" s="8">
        <v>25000</v>
      </c>
      <c r="D2326" s="8">
        <v>0</v>
      </c>
      <c r="E2326" s="8">
        <v>700</v>
      </c>
      <c r="F2326" s="8">
        <v>15000</v>
      </c>
      <c r="G2326" s="30">
        <f t="shared" si="2417"/>
        <v>2400</v>
      </c>
      <c r="H2326" s="8">
        <v>25000</v>
      </c>
      <c r="I2326" s="30">
        <f t="shared" si="2418"/>
        <v>5000</v>
      </c>
      <c r="J2326" s="8">
        <v>25000</v>
      </c>
      <c r="K2326" s="30">
        <f t="shared" si="2419"/>
        <v>5000</v>
      </c>
      <c r="L2326" s="8">
        <v>25000</v>
      </c>
      <c r="M2326" s="9">
        <f>VLOOKUP(DATE(YEAR(A2326),MONTH(A2326),DAY(A2326)),FY24_Temp[],4,FALSE)</f>
        <v>8.9</v>
      </c>
      <c r="N2326" s="9">
        <f>VLOOKUP(DATE(YEAR(A2326),MONTH(A2326),DAY(A2326)),FY24_Temp[],3,FALSE)</f>
        <v>16.8</v>
      </c>
      <c r="O2326" s="9">
        <v>13.5</v>
      </c>
      <c r="P2326" s="9">
        <v>19.5</v>
      </c>
      <c r="Q2326" s="79">
        <f>VLOOKUP(VLOOKUP(DATEVALUE(TEXT(A2326,"m/d/yyyy")),FY24_Temp[],5,FALSE)&amp;TEXT(A2326,"-h"),Table6[],4,FALSE)</f>
        <v>1.8152856826782227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VLOOKUP(TEXT(A2326,"yy-mm")&amp;"-"&amp;IF(AND(WEEKDAY(A2326)&gt;1,WEEKDAY(A2326)&lt;7),"Wkd",TEXT(A2326,"Ddd"))&amp;"-"&amp;TEXT(A2326,"hh"),LoadTable[],5,FALSE)*0.92</f>
        <v>308.12363999999997</v>
      </c>
      <c r="U2326" s="104">
        <f>VLOOKUP(TEXT(A2326,"yy-mm")&amp;"-"&amp;IF(AND(WEEKDAY(A2326)&gt;1,WEEKDAY(A2326)&lt;7),"Wkd",TEXT(A2326,"Ddd"))&amp;"-"&amp;TEXT(A2326,"hh"),LoadTable[],6,FALSE)*T2326</f>
        <v>15247.806449039997</v>
      </c>
      <c r="V2326">
        <f t="shared" ref="V2326:W2326" si="2479">V2302</f>
        <v>3</v>
      </c>
      <c r="W2326">
        <f t="shared" si="2479"/>
        <v>3</v>
      </c>
      <c r="X2326" s="9">
        <v>-120.15818151667099</v>
      </c>
    </row>
    <row r="2327" spans="1:24">
      <c r="A2327" s="29">
        <f t="shared" si="2461"/>
        <v>45932.833333327697</v>
      </c>
      <c r="B2327" s="30">
        <f t="shared" si="2416"/>
        <v>5000</v>
      </c>
      <c r="C2327" s="8">
        <v>25000</v>
      </c>
      <c r="D2327" s="8">
        <v>0</v>
      </c>
      <c r="E2327" s="8">
        <v>700</v>
      </c>
      <c r="F2327" s="8">
        <v>15000</v>
      </c>
      <c r="G2327" s="30">
        <f t="shared" si="2417"/>
        <v>2400</v>
      </c>
      <c r="H2327" s="8">
        <v>25000</v>
      </c>
      <c r="I2327" s="30">
        <f t="shared" si="2418"/>
        <v>5000</v>
      </c>
      <c r="J2327" s="8">
        <v>25000</v>
      </c>
      <c r="K2327" s="30">
        <f t="shared" si="2419"/>
        <v>5000</v>
      </c>
      <c r="L2327" s="8">
        <v>25000</v>
      </c>
      <c r="M2327" s="9">
        <f>VLOOKUP(DATE(YEAR(A2327),MONTH(A2327),DAY(A2327)),FY24_Temp[],4,FALSE)</f>
        <v>8.9</v>
      </c>
      <c r="N2327" s="9">
        <f>VLOOKUP(DATE(YEAR(A2327),MONTH(A2327),DAY(A2327)),FY24_Temp[],3,FALSE)</f>
        <v>16.8</v>
      </c>
      <c r="O2327" s="9">
        <v>13.5</v>
      </c>
      <c r="P2327" s="9">
        <v>19.5</v>
      </c>
      <c r="Q2327" s="79">
        <f>VLOOKUP(VLOOKUP(DATEVALUE(TEXT(A2327,"m/d/yyyy")),FY24_Temp[],5,FALSE)&amp;TEXT(A2327,"-h"),Table6[],4,FALSE)</f>
        <v>1.9898571627480643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VLOOKUP(TEXT(A2327,"yy-mm")&amp;"-"&amp;IF(AND(WEEKDAY(A2327)&gt;1,WEEKDAY(A2327)&lt;7),"Wkd",TEXT(A2327,"Ddd"))&amp;"-"&amp;TEXT(A2327,"hh"),LoadTable[],5,FALSE)*0.92</f>
        <v>308.12363999999997</v>
      </c>
      <c r="U2327" s="104">
        <f>VLOOKUP(TEXT(A2327,"yy-mm")&amp;"-"&amp;IF(AND(WEEKDAY(A2327)&gt;1,WEEKDAY(A2327)&lt;7),"Wkd",TEXT(A2327,"Ddd"))&amp;"-"&amp;TEXT(A2327,"hh"),LoadTable[],6,FALSE)*T2327</f>
        <v>15157.218098879999</v>
      </c>
      <c r="V2327">
        <f t="shared" ref="V2327:W2327" si="2480">V2303</f>
        <v>2.8</v>
      </c>
      <c r="W2327">
        <f t="shared" si="2480"/>
        <v>3.1</v>
      </c>
      <c r="X2327" s="9">
        <v>-120.235976066671</v>
      </c>
    </row>
    <row r="2328" spans="1:24">
      <c r="A2328" s="29">
        <f t="shared" si="2461"/>
        <v>45932.874999994361</v>
      </c>
      <c r="B2328" s="30">
        <f t="shared" si="2416"/>
        <v>5000</v>
      </c>
      <c r="C2328" s="8">
        <v>25000</v>
      </c>
      <c r="D2328" s="8">
        <v>0</v>
      </c>
      <c r="E2328" s="8">
        <v>700</v>
      </c>
      <c r="F2328" s="8">
        <v>15000</v>
      </c>
      <c r="G2328" s="30">
        <f t="shared" si="2417"/>
        <v>2400</v>
      </c>
      <c r="H2328" s="8">
        <v>25000</v>
      </c>
      <c r="I2328" s="30">
        <f t="shared" si="2418"/>
        <v>5000</v>
      </c>
      <c r="J2328" s="8">
        <v>25000</v>
      </c>
      <c r="K2328" s="30">
        <f t="shared" si="2419"/>
        <v>5000</v>
      </c>
      <c r="L2328" s="8">
        <v>25000</v>
      </c>
      <c r="M2328" s="9">
        <f>VLOOKUP(DATE(YEAR(A2328),MONTH(A2328),DAY(A2328)),FY24_Temp[],4,FALSE)</f>
        <v>8.9</v>
      </c>
      <c r="N2328" s="9">
        <f>VLOOKUP(DATE(YEAR(A2328),MONTH(A2328),DAY(A2328)),FY24_Temp[],3,FALSE)</f>
        <v>16.8</v>
      </c>
      <c r="O2328" s="9">
        <v>13.5</v>
      </c>
      <c r="P2328" s="9">
        <v>19.5</v>
      </c>
      <c r="Q2328" s="79">
        <f>VLOOKUP(VLOOKUP(DATEVALUE(TEXT(A2328,"m/d/yyyy")),FY24_Temp[],5,FALSE)&amp;TEXT(A2328,"-h"),Table6[],4,FALSE)</f>
        <v>2.0539999689374651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VLOOKUP(TEXT(A2328,"yy-mm")&amp;"-"&amp;IF(AND(WEEKDAY(A2328)&gt;1,WEEKDAY(A2328)&lt;7),"Wkd",TEXT(A2328,"Ddd"))&amp;"-"&amp;TEXT(A2328,"hh"),LoadTable[],5,FALSE)*0.92</f>
        <v>234.33964000000003</v>
      </c>
      <c r="U2328" s="104">
        <f>VLOOKUP(TEXT(A2328,"yy-mm")&amp;"-"&amp;IF(AND(WEEKDAY(A2328)&gt;1,WEEKDAY(A2328)&lt;7),"Wkd",TEXT(A2328,"Ddd"))&amp;"-"&amp;TEXT(A2328,"hh"),LoadTable[],6,FALSE)*T2328</f>
        <v>11344.147632760001</v>
      </c>
      <c r="V2328">
        <f t="shared" ref="V2328:W2328" si="2481">V2304</f>
        <v>3.5</v>
      </c>
      <c r="W2328">
        <f t="shared" si="2481"/>
        <v>3.1</v>
      </c>
      <c r="X2328" s="9">
        <v>-120.31377061667099</v>
      </c>
    </row>
    <row r="2329" spans="1:24">
      <c r="A2329" s="29">
        <f t="shared" si="2461"/>
        <v>45932.916666661025</v>
      </c>
      <c r="B2329" s="30">
        <f t="shared" si="2416"/>
        <v>5000</v>
      </c>
      <c r="C2329" s="8">
        <v>25000</v>
      </c>
      <c r="D2329" s="8">
        <v>0</v>
      </c>
      <c r="E2329" s="8">
        <v>700</v>
      </c>
      <c r="F2329" s="8">
        <v>15000</v>
      </c>
      <c r="G2329" s="30">
        <f t="shared" si="2417"/>
        <v>2400</v>
      </c>
      <c r="H2329" s="8">
        <v>25000</v>
      </c>
      <c r="I2329" s="30">
        <f t="shared" si="2418"/>
        <v>5000</v>
      </c>
      <c r="J2329" s="8">
        <v>25000</v>
      </c>
      <c r="K2329" s="30">
        <f t="shared" si="2419"/>
        <v>5000</v>
      </c>
      <c r="L2329" s="8">
        <v>25000</v>
      </c>
      <c r="M2329" s="9">
        <f>VLOOKUP(DATE(YEAR(A2329),MONTH(A2329),DAY(A2329)),FY24_Temp[],4,FALSE)</f>
        <v>8.9</v>
      </c>
      <c r="N2329" s="9">
        <f>VLOOKUP(DATE(YEAR(A2329),MONTH(A2329),DAY(A2329)),FY24_Temp[],3,FALSE)</f>
        <v>16.8</v>
      </c>
      <c r="O2329" s="9">
        <v>13.5</v>
      </c>
      <c r="P2329" s="9">
        <v>19.5</v>
      </c>
      <c r="Q2329" s="79">
        <f>VLOOKUP(VLOOKUP(DATEVALUE(TEXT(A2329,"m/d/yyyy")),FY24_Temp[],5,FALSE)&amp;TEXT(A2329,"-h"),Table6[],4,FALSE)</f>
        <v>2.032142860548837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VLOOKUP(TEXT(A2329,"yy-mm")&amp;"-"&amp;IF(AND(WEEKDAY(A2329)&gt;1,WEEKDAY(A2329)&lt;7),"Wkd",TEXT(A2329,"Ddd"))&amp;"-"&amp;TEXT(A2329,"hh"),LoadTable[],5,FALSE)*0.92</f>
        <v>180.62544</v>
      </c>
      <c r="U2329" s="104">
        <f>VLOOKUP(TEXT(A2329,"yy-mm")&amp;"-"&amp;IF(AND(WEEKDAY(A2329)&gt;1,WEEKDAY(A2329)&lt;7),"Wkd",TEXT(A2329,"Ddd"))&amp;"-"&amp;TEXT(A2329,"hh"),LoadTable[],6,FALSE)*T2329</f>
        <v>8304.2546039999997</v>
      </c>
      <c r="V2329">
        <f t="shared" ref="V2329:W2329" si="2482">V2305</f>
        <v>2.9</v>
      </c>
      <c r="W2329">
        <f t="shared" si="2482"/>
        <v>3.1</v>
      </c>
      <c r="X2329" s="9">
        <v>-120.391565166671</v>
      </c>
    </row>
    <row r="2330" spans="1:24">
      <c r="A2330" s="29">
        <f t="shared" si="2461"/>
        <v>45932.95833332769</v>
      </c>
      <c r="B2330" s="30">
        <f t="shared" si="2416"/>
        <v>5000</v>
      </c>
      <c r="C2330" s="41">
        <v>25000</v>
      </c>
      <c r="D2330" s="41">
        <v>0</v>
      </c>
      <c r="E2330" s="41">
        <v>700</v>
      </c>
      <c r="F2330" s="41">
        <v>15000</v>
      </c>
      <c r="G2330" s="30">
        <f t="shared" si="2417"/>
        <v>2400</v>
      </c>
      <c r="H2330" s="41">
        <v>25000</v>
      </c>
      <c r="I2330" s="30">
        <f t="shared" si="2418"/>
        <v>5000</v>
      </c>
      <c r="J2330" s="41">
        <v>25000</v>
      </c>
      <c r="K2330" s="30">
        <f t="shared" si="2419"/>
        <v>5000</v>
      </c>
      <c r="L2330" s="41">
        <v>25000</v>
      </c>
      <c r="M2330" s="9">
        <f>VLOOKUP(DATE(YEAR(A2330),MONTH(A2330),DAY(A2330)),FY24_Temp[],4,FALSE)</f>
        <v>8.9</v>
      </c>
      <c r="N2330" s="9">
        <f>VLOOKUP(DATE(YEAR(A2330),MONTH(A2330),DAY(A2330)),FY24_Temp[],3,FALSE)</f>
        <v>16.8</v>
      </c>
      <c r="O2330" s="84">
        <v>13.5</v>
      </c>
      <c r="P2330" s="84">
        <v>19.5</v>
      </c>
      <c r="Q2330" s="85">
        <f>VLOOKUP(VLOOKUP(DATEVALUE(TEXT(A2330,"m/d/yyyy")),FY24_Temp[],5,FALSE)&amp;TEXT(A2330,"-h"),Table6[],4,FALSE)</f>
        <v>2.0300000224794661</v>
      </c>
      <c r="R2330">
        <v>10</v>
      </c>
      <c r="S2330">
        <v>1000</v>
      </c>
      <c r="T2330" s="98">
        <f>VLOOKUP(TEXT(A2330,"yy-mm")&amp;"-"&amp;IF(AND(WEEKDAY(A2330)&gt;1,WEEKDAY(A2330)&lt;7),"Wkd",TEXT(A2330,"Ddd"))&amp;"-"&amp;TEXT(A2330,"hh"),LoadTable[],5,FALSE)*0.92</f>
        <v>180.62544</v>
      </c>
      <c r="U2330" s="104">
        <f>VLOOKUP(TEXT(A2330,"yy-mm")&amp;"-"&amp;IF(AND(WEEKDAY(A2330)&gt;1,WEEKDAY(A2330)&lt;7),"Wkd",TEXT(A2330,"Ddd"))&amp;"-"&amp;TEXT(A2330,"hh"),LoadTable[],6,FALSE)*T2330</f>
        <v>8217.1931419200009</v>
      </c>
      <c r="V2330">
        <f t="shared" ref="V2330:W2330" si="2483">V2306</f>
        <v>3.6</v>
      </c>
      <c r="W2330">
        <f t="shared" si="2483"/>
        <v>3.1</v>
      </c>
      <c r="X2330" s="84">
        <v>-120.46935971667099</v>
      </c>
    </row>
    <row r="2331" spans="1:24">
      <c r="A2331" s="29">
        <f t="shared" si="2461"/>
        <v>45932.999999994354</v>
      </c>
      <c r="B2331" s="30">
        <f t="shared" si="2416"/>
        <v>5000</v>
      </c>
      <c r="C2331" s="8">
        <v>25000</v>
      </c>
      <c r="D2331" s="8">
        <v>0</v>
      </c>
      <c r="E2331" s="8">
        <v>700</v>
      </c>
      <c r="F2331" s="8">
        <v>15000</v>
      </c>
      <c r="G2331" s="30">
        <f t="shared" si="2417"/>
        <v>2400</v>
      </c>
      <c r="H2331" s="8">
        <v>25000</v>
      </c>
      <c r="I2331" s="30">
        <f t="shared" si="2418"/>
        <v>5000</v>
      </c>
      <c r="J2331" s="8">
        <v>25000</v>
      </c>
      <c r="K2331" s="30">
        <f t="shared" si="2419"/>
        <v>5000</v>
      </c>
      <c r="L2331" s="8">
        <v>25000</v>
      </c>
      <c r="M2331" s="9">
        <f>VLOOKUP(DATE(YEAR(A2331),MONTH(A2331),DAY(A2331)),FY24_Temp[],4,FALSE)</f>
        <v>8.9</v>
      </c>
      <c r="N2331" s="9">
        <f>VLOOKUP(DATE(YEAR(A2331),MONTH(A2331),DAY(A2331)),FY24_Temp[],3,FALSE)</f>
        <v>16.8</v>
      </c>
      <c r="O2331" s="9">
        <v>13.5</v>
      </c>
      <c r="P2331" s="9">
        <v>19.5</v>
      </c>
      <c r="Q2331" s="79">
        <f>VLOOKUP(VLOOKUP(DATEVALUE(TEXT(A2331,"m/d/yyyy")),FY24_Temp[],5,FALSE)&amp;TEXT(A2331,"-h"),Table6[],4,FALSE)</f>
        <v>2.023857150759016</v>
      </c>
      <c r="R2331">
        <v>10</v>
      </c>
      <c r="S2331">
        <v>1000</v>
      </c>
      <c r="T2331" s="5">
        <f>VLOOKUP(TEXT(A2331,"yy-mm")&amp;"-"&amp;IF(AND(WEEKDAY(A2331)&gt;1,WEEKDAY(A2331)&lt;7),"Wkd",TEXT(A2331,"Ddd"))&amp;"-"&amp;TEXT(A2331,"hh"),LoadTable[],5,FALSE)*0.92</f>
        <v>180.62544</v>
      </c>
      <c r="U2331" s="104">
        <f>VLOOKUP(TEXT(A2331,"yy-mm")&amp;"-"&amp;IF(AND(WEEKDAY(A2331)&gt;1,WEEKDAY(A2331)&lt;7),"Wkd",TEXT(A2331,"Ddd"))&amp;"-"&amp;TEXT(A2331,"hh"),LoadTable[],6,FALSE)*T2331</f>
        <v>8132.4798105600003</v>
      </c>
      <c r="V2331">
        <f t="shared" ref="V2331:W2331" si="2484">V2307</f>
        <v>3</v>
      </c>
      <c r="W2331">
        <f t="shared" si="2484"/>
        <v>3.2</v>
      </c>
      <c r="X2331" s="9">
        <v>-120.547154266671</v>
      </c>
    </row>
    <row r="2332" spans="1:24">
      <c r="A2332" s="29">
        <f t="shared" si="2461"/>
        <v>45933.041666661018</v>
      </c>
      <c r="B2332" s="30">
        <f t="shared" ref="B2332:B2395" si="2485">B2308</f>
        <v>5000</v>
      </c>
      <c r="C2332" s="42">
        <v>25000</v>
      </c>
      <c r="D2332" s="42">
        <v>0</v>
      </c>
      <c r="E2332" s="42">
        <v>700</v>
      </c>
      <c r="F2332" s="42">
        <v>15000</v>
      </c>
      <c r="G2332" s="30">
        <f t="shared" ref="G2332:G2395" si="2486">G2308</f>
        <v>2400</v>
      </c>
      <c r="H2332" s="42">
        <v>25000</v>
      </c>
      <c r="I2332" s="30">
        <f t="shared" ref="I2332:I2395" si="2487">I2308</f>
        <v>5000</v>
      </c>
      <c r="J2332" s="42">
        <v>25000</v>
      </c>
      <c r="K2332" s="30">
        <f t="shared" ref="K2332:K2395" si="2488">K2308</f>
        <v>5000</v>
      </c>
      <c r="L2332" s="42">
        <v>25000</v>
      </c>
      <c r="M2332" s="9">
        <f>VLOOKUP(DATE(YEAR(A2332),MONTH(A2332),DAY(A2332)),FY24_Temp[],4,FALSE)</f>
        <v>8.9</v>
      </c>
      <c r="N2332" s="9">
        <f>VLOOKUP(DATE(YEAR(A2332),MONTH(A2332),DAY(A2332)),FY24_Temp[],3,FALSE)</f>
        <v>16.8</v>
      </c>
      <c r="O2332" s="86">
        <v>13.5</v>
      </c>
      <c r="P2332" s="86">
        <v>19.5</v>
      </c>
      <c r="Q2332" s="87">
        <f>VLOOKUP(VLOOKUP(DATEVALUE(TEXT(A2332,"m/d/yyyy")),FY24_Temp[],5,FALSE)&amp;TEXT(A2332,"-h"),Table6[],4,FALSE)</f>
        <v>1.9687142712729317</v>
      </c>
      <c r="R2332">
        <v>10</v>
      </c>
      <c r="S2332">
        <v>1000</v>
      </c>
      <c r="T2332" s="99">
        <f>VLOOKUP(TEXT(A2332,"yy-mm")&amp;"-"&amp;IF(AND(WEEKDAY(A2332)&gt;1,WEEKDAY(A2332)&lt;7),"Wkd",TEXT(A2332,"Ddd"))&amp;"-"&amp;TEXT(A2332,"hh"),LoadTable[],5,FALSE)*0.92</f>
        <v>180.62544</v>
      </c>
      <c r="U2332" s="104">
        <f>VLOOKUP(TEXT(A2332,"yy-mm")&amp;"-"&amp;IF(AND(WEEKDAY(A2332)&gt;1,WEEKDAY(A2332)&lt;7),"Wkd",TEXT(A2332,"Ddd"))&amp;"-"&amp;TEXT(A2332,"hh"),LoadTable[],6,FALSE)*T2332</f>
        <v>8124.71291664</v>
      </c>
      <c r="V2332">
        <f t="shared" ref="V2332:W2332" si="2489">V2308</f>
        <v>2.6</v>
      </c>
      <c r="W2332">
        <f t="shared" si="2489"/>
        <v>3.2</v>
      </c>
      <c r="X2332" s="86">
        <v>-120.62494881667099</v>
      </c>
    </row>
    <row r="2333" spans="1:24">
      <c r="A2333" s="29">
        <f t="shared" si="2461"/>
        <v>45933.083333327682</v>
      </c>
      <c r="B2333" s="30">
        <f t="shared" si="2485"/>
        <v>5000</v>
      </c>
      <c r="C2333" s="8">
        <v>25000</v>
      </c>
      <c r="D2333" s="8">
        <v>0</v>
      </c>
      <c r="E2333" s="8">
        <v>700</v>
      </c>
      <c r="F2333" s="8">
        <v>15000</v>
      </c>
      <c r="G2333" s="30">
        <f t="shared" si="2486"/>
        <v>2400</v>
      </c>
      <c r="H2333" s="8">
        <v>25000</v>
      </c>
      <c r="I2333" s="30">
        <f t="shared" si="2487"/>
        <v>5000</v>
      </c>
      <c r="J2333" s="8">
        <v>25000</v>
      </c>
      <c r="K2333" s="30">
        <f t="shared" si="2488"/>
        <v>5000</v>
      </c>
      <c r="L2333" s="8">
        <v>25000</v>
      </c>
      <c r="M2333" s="9">
        <f>VLOOKUP(DATE(YEAR(A2333),MONTH(A2333),DAY(A2333)),FY24_Temp[],4,FALSE)</f>
        <v>8.9</v>
      </c>
      <c r="N2333" s="9">
        <f>VLOOKUP(DATE(YEAR(A2333),MONTH(A2333),DAY(A2333)),FY24_Temp[],3,FALSE)</f>
        <v>16.8</v>
      </c>
      <c r="O2333" s="9">
        <v>13.5</v>
      </c>
      <c r="P2333" s="9">
        <v>19.5</v>
      </c>
      <c r="Q2333" s="79">
        <f>VLOOKUP(VLOOKUP(DATEVALUE(TEXT(A2333,"m/d/yyyy")),FY24_Temp[],5,FALSE)&amp;TEXT(A2333,"-h"),Table6[],4,FALSE)</f>
        <v>1.8430000032697404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VLOOKUP(TEXT(A2333,"yy-mm")&amp;"-"&amp;IF(AND(WEEKDAY(A2333)&gt;1,WEEKDAY(A2333)&lt;7),"Wkd",TEXT(A2333,"Ddd"))&amp;"-"&amp;TEXT(A2333,"hh"),LoadTable[],5,FALSE)*0.92</f>
        <v>180.62544</v>
      </c>
      <c r="U2333" s="104">
        <f>VLOOKUP(TEXT(A2333,"yy-mm")&amp;"-"&amp;IF(AND(WEEKDAY(A2333)&gt;1,WEEKDAY(A2333)&lt;7),"Wkd",TEXT(A2333,"Ddd"))&amp;"-"&amp;TEXT(A2333,"hh"),LoadTable[],6,FALSE)*T2333</f>
        <v>8120.1972806400008</v>
      </c>
      <c r="V2333">
        <f t="shared" ref="V2333:W2333" si="2490">V2309</f>
        <v>2.8</v>
      </c>
      <c r="W2333">
        <f t="shared" si="2490"/>
        <v>3.2</v>
      </c>
      <c r="X2333" s="9">
        <v>-120.702743366671</v>
      </c>
    </row>
    <row r="2334" spans="1:24">
      <c r="A2334" s="29">
        <f t="shared" si="2461"/>
        <v>45933.124999994347</v>
      </c>
      <c r="B2334" s="30">
        <f t="shared" si="2485"/>
        <v>5000</v>
      </c>
      <c r="C2334" s="8">
        <v>25000</v>
      </c>
      <c r="D2334" s="8">
        <v>0</v>
      </c>
      <c r="E2334" s="8">
        <v>700</v>
      </c>
      <c r="F2334" s="8">
        <v>15000</v>
      </c>
      <c r="G2334" s="30">
        <f t="shared" si="2486"/>
        <v>2400</v>
      </c>
      <c r="H2334" s="8">
        <v>25000</v>
      </c>
      <c r="I2334" s="30">
        <f t="shared" si="2487"/>
        <v>5000</v>
      </c>
      <c r="J2334" s="8">
        <v>25000</v>
      </c>
      <c r="K2334" s="30">
        <f t="shared" si="2488"/>
        <v>5000</v>
      </c>
      <c r="L2334" s="8">
        <v>25000</v>
      </c>
      <c r="M2334" s="9">
        <f>VLOOKUP(DATE(YEAR(A2334),MONTH(A2334),DAY(A2334)),FY24_Temp[],4,FALSE)</f>
        <v>8.9</v>
      </c>
      <c r="N2334" s="9">
        <f>VLOOKUP(DATE(YEAR(A2334),MONTH(A2334),DAY(A2334)),FY24_Temp[],3,FALSE)</f>
        <v>16.8</v>
      </c>
      <c r="O2334" s="9">
        <v>13.5</v>
      </c>
      <c r="P2334" s="9">
        <v>19.5</v>
      </c>
      <c r="Q2334" s="79">
        <f>VLOOKUP(VLOOKUP(DATEVALUE(TEXT(A2334,"m/d/yyyy")),FY24_Temp[],5,FALSE)&amp;TEXT(A2334,"-h"),Table6[],4,FALSE)</f>
        <v>1.7025714431490218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VLOOKUP(TEXT(A2334,"yy-mm")&amp;"-"&amp;IF(AND(WEEKDAY(A2334)&gt;1,WEEKDAY(A2334)&lt;7),"Wkd",TEXT(A2334,"Ddd"))&amp;"-"&amp;TEXT(A2334,"hh"),LoadTable[],5,FALSE)*0.92</f>
        <v>180.62544</v>
      </c>
      <c r="U2334" s="104">
        <f>VLOOKUP(TEXT(A2334,"yy-mm")&amp;"-"&amp;IF(AND(WEEKDAY(A2334)&gt;1,WEEKDAY(A2334)&lt;7),"Wkd",TEXT(A2334,"Ddd"))&amp;"-"&amp;TEXT(A2334,"hh"),LoadTable[],6,FALSE)*T2334</f>
        <v>8141.3304571199997</v>
      </c>
      <c r="V2334">
        <f t="shared" ref="V2334:W2334" si="2491">V2310</f>
        <v>2.7</v>
      </c>
      <c r="W2334">
        <f t="shared" si="2491"/>
        <v>3.2</v>
      </c>
      <c r="X2334" s="9">
        <v>-120.78053791667099</v>
      </c>
    </row>
    <row r="2335" spans="1:24">
      <c r="A2335" s="29">
        <f t="shared" si="2461"/>
        <v>45933.166666661011</v>
      </c>
      <c r="B2335" s="30">
        <f t="shared" si="2485"/>
        <v>5000</v>
      </c>
      <c r="C2335" s="8">
        <v>25000</v>
      </c>
      <c r="D2335" s="8">
        <v>0</v>
      </c>
      <c r="E2335" s="8">
        <v>700</v>
      </c>
      <c r="F2335" s="8">
        <v>15000</v>
      </c>
      <c r="G2335" s="30">
        <f t="shared" si="2486"/>
        <v>2400</v>
      </c>
      <c r="H2335" s="8">
        <v>25000</v>
      </c>
      <c r="I2335" s="30">
        <f t="shared" si="2487"/>
        <v>5000</v>
      </c>
      <c r="J2335" s="8">
        <v>25000</v>
      </c>
      <c r="K2335" s="30">
        <f t="shared" si="2488"/>
        <v>5000</v>
      </c>
      <c r="L2335" s="8">
        <v>25000</v>
      </c>
      <c r="M2335" s="9">
        <f>VLOOKUP(DATE(YEAR(A2335),MONTH(A2335),DAY(A2335)),FY24_Temp[],4,FALSE)</f>
        <v>8.9</v>
      </c>
      <c r="N2335" s="9">
        <f>VLOOKUP(DATE(YEAR(A2335),MONTH(A2335),DAY(A2335)),FY24_Temp[],3,FALSE)</f>
        <v>16.8</v>
      </c>
      <c r="O2335" s="9">
        <v>13.5</v>
      </c>
      <c r="P2335" s="9">
        <v>19.5</v>
      </c>
      <c r="Q2335" s="79">
        <f>VLOOKUP(VLOOKUP(DATEVALUE(TEXT(A2335,"m/d/yyyy")),FY24_Temp[],5,FALSE)&amp;TEXT(A2335,"-h"),Table6[],4,FALSE)</f>
        <v>1.5532857179641724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VLOOKUP(TEXT(A2335,"yy-mm")&amp;"-"&amp;IF(AND(WEEKDAY(A2335)&gt;1,WEEKDAY(A2335)&lt;7),"Wkd",TEXT(A2335,"Ddd"))&amp;"-"&amp;TEXT(A2335,"hh"),LoadTable[],5,FALSE)*0.92</f>
        <v>180.62544</v>
      </c>
      <c r="U2335" s="104">
        <f>VLOOKUP(TEXT(A2335,"yy-mm")&amp;"-"&amp;IF(AND(WEEKDAY(A2335)&gt;1,WEEKDAY(A2335)&lt;7),"Wkd",TEXT(A2335,"Ddd"))&amp;"-"&amp;TEXT(A2335,"hh"),LoadTable[],6,FALSE)*T2335</f>
        <v>8184.86118816</v>
      </c>
      <c r="V2335">
        <f t="shared" ref="V2335:W2335" si="2492">V2311</f>
        <v>3</v>
      </c>
      <c r="W2335">
        <f t="shared" si="2492"/>
        <v>3.1</v>
      </c>
      <c r="X2335" s="9">
        <v>-120.858332466671</v>
      </c>
    </row>
    <row r="2336" spans="1:24">
      <c r="A2336" s="29">
        <f t="shared" si="2461"/>
        <v>45933.208333327675</v>
      </c>
      <c r="B2336" s="30">
        <f t="shared" si="2485"/>
        <v>5000</v>
      </c>
      <c r="C2336" s="8">
        <v>25000</v>
      </c>
      <c r="D2336" s="8">
        <v>0</v>
      </c>
      <c r="E2336" s="8">
        <v>700</v>
      </c>
      <c r="F2336" s="8">
        <v>15000</v>
      </c>
      <c r="G2336" s="30">
        <f t="shared" si="2486"/>
        <v>2400</v>
      </c>
      <c r="H2336" s="8">
        <v>25000</v>
      </c>
      <c r="I2336" s="30">
        <f t="shared" si="2487"/>
        <v>5000</v>
      </c>
      <c r="J2336" s="8">
        <v>25000</v>
      </c>
      <c r="K2336" s="30">
        <f t="shared" si="2488"/>
        <v>5000</v>
      </c>
      <c r="L2336" s="8">
        <v>25000</v>
      </c>
      <c r="M2336" s="9">
        <f>VLOOKUP(DATE(YEAR(A2336),MONTH(A2336),DAY(A2336)),FY24_Temp[],4,FALSE)</f>
        <v>8.9</v>
      </c>
      <c r="N2336" s="9">
        <f>VLOOKUP(DATE(YEAR(A2336),MONTH(A2336),DAY(A2336)),FY24_Temp[],3,FALSE)</f>
        <v>16.8</v>
      </c>
      <c r="O2336" s="9">
        <v>13.5</v>
      </c>
      <c r="P2336" s="9">
        <v>19.5</v>
      </c>
      <c r="Q2336" s="79">
        <f>VLOOKUP(VLOOKUP(DATEVALUE(TEXT(A2336,"m/d/yyyy")),FY24_Temp[],5,FALSE)&amp;TEXT(A2336,"-h"),Table6[],4,FALSE)</f>
        <v>1.4412857123783656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VLOOKUP(TEXT(A2336,"yy-mm")&amp;"-"&amp;IF(AND(WEEKDAY(A2336)&gt;1,WEEKDAY(A2336)&lt;7),"Wkd",TEXT(A2336,"Ddd"))&amp;"-"&amp;TEXT(A2336,"hh"),LoadTable[],5,FALSE)*0.92</f>
        <v>275.09195999999997</v>
      </c>
      <c r="U2336" s="104">
        <f>VLOOKUP(TEXT(A2336,"yy-mm")&amp;"-"&amp;IF(AND(WEEKDAY(A2336)&gt;1,WEEKDAY(A2336)&lt;7),"Wkd",TEXT(A2336,"Ddd"))&amp;"-"&amp;TEXT(A2336,"hh"),LoadTable[],6,FALSE)*T2336</f>
        <v>12729.880448999998</v>
      </c>
      <c r="V2336">
        <f t="shared" ref="V2336:W2336" si="2493">V2312</f>
        <v>2.9</v>
      </c>
      <c r="W2336">
        <f t="shared" si="2493"/>
        <v>3.1</v>
      </c>
      <c r="X2336" s="9">
        <v>-120.93612701667099</v>
      </c>
    </row>
    <row r="2337" spans="1:24">
      <c r="A2337" s="29">
        <f t="shared" si="2461"/>
        <v>45933.249999994339</v>
      </c>
      <c r="B2337" s="30">
        <f t="shared" si="2485"/>
        <v>8000</v>
      </c>
      <c r="C2337" s="8">
        <v>25000</v>
      </c>
      <c r="D2337" s="8">
        <v>0</v>
      </c>
      <c r="E2337" s="8">
        <v>700</v>
      </c>
      <c r="F2337" s="8">
        <v>15000</v>
      </c>
      <c r="G2337" s="30">
        <f t="shared" si="2486"/>
        <v>2400</v>
      </c>
      <c r="H2337" s="8">
        <v>25000</v>
      </c>
      <c r="I2337" s="30">
        <f t="shared" si="2487"/>
        <v>8000</v>
      </c>
      <c r="J2337" s="8">
        <v>25000</v>
      </c>
      <c r="K2337" s="30">
        <f t="shared" si="2488"/>
        <v>8000</v>
      </c>
      <c r="L2337" s="8">
        <v>25000</v>
      </c>
      <c r="M2337" s="9">
        <f>VLOOKUP(DATE(YEAR(A2337),MONTH(A2337),DAY(A2337)),FY24_Temp[],4,FALSE)</f>
        <v>8.9</v>
      </c>
      <c r="N2337" s="9">
        <f>VLOOKUP(DATE(YEAR(A2337),MONTH(A2337),DAY(A2337)),FY24_Temp[],3,FALSE)</f>
        <v>16.8</v>
      </c>
      <c r="O2337" s="9">
        <v>13.5</v>
      </c>
      <c r="P2337" s="9">
        <v>19.5</v>
      </c>
      <c r="Q2337" s="79">
        <f>VLOOKUP(VLOOKUP(DATEVALUE(TEXT(A2337,"m/d/yyyy")),FY24_Temp[],5,FALSE)&amp;TEXT(A2337,"-h"),Table6[],4,FALSE)</f>
        <v>1.3392857142857142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VLOOKUP(TEXT(A2337,"yy-mm")&amp;"-"&amp;IF(AND(WEEKDAY(A2337)&gt;1,WEEKDAY(A2337)&lt;7),"Wkd",TEXT(A2337,"Ddd"))&amp;"-"&amp;TEXT(A2337,"hh"),LoadTable[],5,FALSE)*0.92</f>
        <v>275.09195999999997</v>
      </c>
      <c r="U2337" s="104">
        <f>VLOOKUP(TEXT(A2337,"yy-mm")&amp;"-"&amp;IF(AND(WEEKDAY(A2337)&gt;1,WEEKDAY(A2337)&lt;7),"Wkd",TEXT(A2337,"Ddd"))&amp;"-"&amp;TEXT(A2337,"hh"),LoadTable[],6,FALSE)*T2337</f>
        <v>13284.465840359997</v>
      </c>
      <c r="V2337">
        <f t="shared" ref="V2337:W2337" si="2494">V2313</f>
        <v>2.5</v>
      </c>
      <c r="W2337">
        <f t="shared" si="2494"/>
        <v>3.1</v>
      </c>
      <c r="X2337" s="9">
        <v>-121.013921566671</v>
      </c>
    </row>
    <row r="2338" spans="1:24">
      <c r="A2338" s="29">
        <f t="shared" si="2461"/>
        <v>45933.291666661004</v>
      </c>
      <c r="B2338" s="30">
        <f t="shared" si="2485"/>
        <v>8000</v>
      </c>
      <c r="C2338" s="8">
        <v>25000</v>
      </c>
      <c r="D2338" s="8">
        <v>0</v>
      </c>
      <c r="E2338" s="8">
        <v>700</v>
      </c>
      <c r="F2338" s="8">
        <v>15000</v>
      </c>
      <c r="G2338" s="30">
        <f t="shared" si="2486"/>
        <v>2400</v>
      </c>
      <c r="H2338" s="8">
        <v>25000</v>
      </c>
      <c r="I2338" s="30">
        <f t="shared" si="2487"/>
        <v>8000</v>
      </c>
      <c r="J2338" s="8">
        <v>25000</v>
      </c>
      <c r="K2338" s="30">
        <f t="shared" si="2488"/>
        <v>8000</v>
      </c>
      <c r="L2338" s="8">
        <v>25000</v>
      </c>
      <c r="M2338" s="9">
        <f>VLOOKUP(DATE(YEAR(A2338),MONTH(A2338),DAY(A2338)),FY24_Temp[],4,FALSE)</f>
        <v>8.9</v>
      </c>
      <c r="N2338" s="9">
        <f>VLOOKUP(DATE(YEAR(A2338),MONTH(A2338),DAY(A2338)),FY24_Temp[],3,FALSE)</f>
        <v>16.8</v>
      </c>
      <c r="O2338" s="9">
        <v>13.5</v>
      </c>
      <c r="P2338" s="9">
        <v>19.5</v>
      </c>
      <c r="Q2338" s="79">
        <f>VLOOKUP(VLOOKUP(DATEVALUE(TEXT(A2338,"m/d/yyyy")),FY24_Temp[],5,FALSE)&amp;TEXT(A2338,"-h"),Table6[],4,FALSE)</f>
        <v>1.180142845426287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VLOOKUP(TEXT(A2338,"yy-mm")&amp;"-"&amp;IF(AND(WEEKDAY(A2338)&gt;1,WEEKDAY(A2338)&lt;7),"Wkd",TEXT(A2338,"Ddd"))&amp;"-"&amp;TEXT(A2338,"hh"),LoadTable[],5,FALSE)*0.92</f>
        <v>236.10788000000002</v>
      </c>
      <c r="U2338" s="104">
        <f>VLOOKUP(TEXT(A2338,"yy-mm")&amp;"-"&amp;IF(AND(WEEKDAY(A2338)&gt;1,WEEKDAY(A2338)&lt;7),"Wkd",TEXT(A2338,"Ddd"))&amp;"-"&amp;TEXT(A2338,"hh"),LoadTable[],6,FALSE)*T2338</f>
        <v>11438.48235448</v>
      </c>
      <c r="V2338">
        <f t="shared" ref="V2338:W2338" si="2495">V2314</f>
        <v>2.5</v>
      </c>
      <c r="W2338">
        <f t="shared" si="2495"/>
        <v>3.1</v>
      </c>
      <c r="X2338" s="9">
        <v>-121.09171611667099</v>
      </c>
    </row>
    <row r="2339" spans="1:24">
      <c r="A2339" s="29">
        <f t="shared" si="2461"/>
        <v>45933.333333327668</v>
      </c>
      <c r="B2339" s="30">
        <f t="shared" si="2485"/>
        <v>8000</v>
      </c>
      <c r="C2339" s="8">
        <v>25000</v>
      </c>
      <c r="D2339" s="8">
        <v>0</v>
      </c>
      <c r="E2339" s="8">
        <v>700</v>
      </c>
      <c r="F2339" s="8">
        <v>15000</v>
      </c>
      <c r="G2339" s="30">
        <f t="shared" si="2486"/>
        <v>2400</v>
      </c>
      <c r="H2339" s="8">
        <v>25000</v>
      </c>
      <c r="I2339" s="30">
        <f t="shared" si="2487"/>
        <v>8000</v>
      </c>
      <c r="J2339" s="8">
        <v>25000</v>
      </c>
      <c r="K2339" s="30">
        <f t="shared" si="2488"/>
        <v>8000</v>
      </c>
      <c r="L2339" s="8">
        <v>25000</v>
      </c>
      <c r="M2339" s="9">
        <f>VLOOKUP(DATE(YEAR(A2339),MONTH(A2339),DAY(A2339)),FY24_Temp[],4,FALSE)</f>
        <v>8.9</v>
      </c>
      <c r="N2339" s="9">
        <f>VLOOKUP(DATE(YEAR(A2339),MONTH(A2339),DAY(A2339)),FY24_Temp[],3,FALSE)</f>
        <v>16.8</v>
      </c>
      <c r="O2339" s="9">
        <v>13.5</v>
      </c>
      <c r="P2339" s="9">
        <v>19.5</v>
      </c>
      <c r="Q2339" s="79">
        <f>VLOOKUP(VLOOKUP(DATEVALUE(TEXT(A2339,"m/d/yyyy")),FY24_Temp[],5,FALSE)&amp;TEXT(A2339,"-h"),Table6[],4,FALSE)</f>
        <v>1.1274285657065255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VLOOKUP(TEXT(A2339,"yy-mm")&amp;"-"&amp;IF(AND(WEEKDAY(A2339)&gt;1,WEEKDAY(A2339)&lt;7),"Wkd",TEXT(A2339,"Ddd"))&amp;"-"&amp;TEXT(A2339,"hh"),LoadTable[],5,FALSE)*0.92</f>
        <v>236.10788000000002</v>
      </c>
      <c r="U2339" s="104">
        <f>VLOOKUP(TEXT(A2339,"yy-mm")&amp;"-"&amp;IF(AND(WEEKDAY(A2339)&gt;1,WEEKDAY(A2339)&lt;7),"Wkd",TEXT(A2339,"Ddd"))&amp;"-"&amp;TEXT(A2339,"hh"),LoadTable[],6,FALSE)*T2339</f>
        <v>10919.281126360002</v>
      </c>
      <c r="V2339">
        <f t="shared" ref="V2339:W2339" si="2496">V2315</f>
        <v>3.2</v>
      </c>
      <c r="W2339">
        <f t="shared" si="2496"/>
        <v>3</v>
      </c>
      <c r="X2339" s="9">
        <v>-121.169510666671</v>
      </c>
    </row>
    <row r="2340" spans="1:24">
      <c r="A2340" s="29">
        <f t="shared" si="2461"/>
        <v>45933.374999994332</v>
      </c>
      <c r="B2340" s="30">
        <f t="shared" si="2485"/>
        <v>8000</v>
      </c>
      <c r="C2340" s="8">
        <v>25000</v>
      </c>
      <c r="D2340" s="8">
        <v>0</v>
      </c>
      <c r="E2340" s="8">
        <v>700</v>
      </c>
      <c r="F2340" s="8">
        <v>15000</v>
      </c>
      <c r="G2340" s="30">
        <f t="shared" si="2486"/>
        <v>2400</v>
      </c>
      <c r="H2340" s="8">
        <v>25000</v>
      </c>
      <c r="I2340" s="30">
        <f t="shared" si="2487"/>
        <v>8000</v>
      </c>
      <c r="J2340" s="8">
        <v>25000</v>
      </c>
      <c r="K2340" s="30">
        <f t="shared" si="2488"/>
        <v>8000</v>
      </c>
      <c r="L2340" s="8">
        <v>25000</v>
      </c>
      <c r="M2340" s="9">
        <f>VLOOKUP(DATE(YEAR(A2340),MONTH(A2340),DAY(A2340)),FY24_Temp[],4,FALSE)</f>
        <v>8.9</v>
      </c>
      <c r="N2340" s="9">
        <f>VLOOKUP(DATE(YEAR(A2340),MONTH(A2340),DAY(A2340)),FY24_Temp[],3,FALSE)</f>
        <v>16.8</v>
      </c>
      <c r="O2340" s="9">
        <v>13.5</v>
      </c>
      <c r="P2340" s="9">
        <v>19.5</v>
      </c>
      <c r="Q2340" s="79">
        <f>VLOOKUP(VLOOKUP(DATEVALUE(TEXT(A2340,"m/d/yyyy")),FY24_Temp[],5,FALSE)&amp;TEXT(A2340,"-h"),Table6[],4,FALSE)</f>
        <v>0.99485715797969276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VLOOKUP(TEXT(A2340,"yy-mm")&amp;"-"&amp;IF(AND(WEEKDAY(A2340)&gt;1,WEEKDAY(A2340)&lt;7),"Wkd",TEXT(A2340,"Ddd"))&amp;"-"&amp;TEXT(A2340,"hh"),LoadTable[],5,FALSE)*0.92</f>
        <v>236.10788000000002</v>
      </c>
      <c r="U2340" s="104">
        <f>VLOOKUP(TEXT(A2340,"yy-mm")&amp;"-"&amp;IF(AND(WEEKDAY(A2340)&gt;1,WEEKDAY(A2340)&lt;7),"Wkd",TEXT(A2340,"Ddd"))&amp;"-"&amp;TEXT(A2340,"hh"),LoadTable[],6,FALSE)*T2340</f>
        <v>10592.271712560001</v>
      </c>
      <c r="V2340">
        <f t="shared" ref="V2340:W2340" si="2497">V2316</f>
        <v>2.9</v>
      </c>
      <c r="W2340">
        <f t="shared" si="2497"/>
        <v>3</v>
      </c>
      <c r="X2340" s="9">
        <v>-121.24730521667099</v>
      </c>
    </row>
    <row r="2341" spans="1:24">
      <c r="A2341" s="29">
        <f t="shared" si="2461"/>
        <v>45933.416666660996</v>
      </c>
      <c r="B2341" s="30">
        <f t="shared" si="2485"/>
        <v>8000</v>
      </c>
      <c r="C2341" s="8">
        <v>25000</v>
      </c>
      <c r="D2341" s="8">
        <v>0</v>
      </c>
      <c r="E2341" s="8">
        <v>700</v>
      </c>
      <c r="F2341" s="8">
        <v>15000</v>
      </c>
      <c r="G2341" s="30">
        <f t="shared" si="2486"/>
        <v>2400</v>
      </c>
      <c r="H2341" s="8">
        <v>25000</v>
      </c>
      <c r="I2341" s="30">
        <f t="shared" si="2487"/>
        <v>8000</v>
      </c>
      <c r="J2341" s="8">
        <v>25000</v>
      </c>
      <c r="K2341" s="30">
        <f t="shared" si="2488"/>
        <v>8000</v>
      </c>
      <c r="L2341" s="8">
        <v>25000</v>
      </c>
      <c r="M2341" s="9">
        <f>VLOOKUP(DATE(YEAR(A2341),MONTH(A2341),DAY(A2341)),FY24_Temp[],4,FALSE)</f>
        <v>8.9</v>
      </c>
      <c r="N2341" s="9">
        <f>VLOOKUP(DATE(YEAR(A2341),MONTH(A2341),DAY(A2341)),FY24_Temp[],3,FALSE)</f>
        <v>16.8</v>
      </c>
      <c r="O2341" s="9">
        <v>13.5</v>
      </c>
      <c r="P2341" s="9">
        <v>19.5</v>
      </c>
      <c r="Q2341" s="79">
        <f>VLOOKUP(VLOOKUP(DATEVALUE(TEXT(A2341,"m/d/yyyy")),FY24_Temp[],5,FALSE)&amp;TEXT(A2341,"-h"),Table6[],4,FALSE)</f>
        <v>0.87171429395675659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VLOOKUP(TEXT(A2341,"yy-mm")&amp;"-"&amp;IF(AND(WEEKDAY(A2341)&gt;1,WEEKDAY(A2341)&lt;7),"Wkd",TEXT(A2341,"Ddd"))&amp;"-"&amp;TEXT(A2341,"hh"),LoadTable[],5,FALSE)*0.92</f>
        <v>236.10788000000002</v>
      </c>
      <c r="U2341" s="104">
        <f>VLOOKUP(TEXT(A2341,"yy-mm")&amp;"-"&amp;IF(AND(WEEKDAY(A2341)&gt;1,WEEKDAY(A2341)&lt;7),"Wkd",TEXT(A2341,"Ddd"))&amp;"-"&amp;TEXT(A2341,"hh"),LoadTable[],6,FALSE)*T2341</f>
        <v>10565.591522120001</v>
      </c>
      <c r="V2341">
        <f t="shared" ref="V2341:W2341" si="2498">V2317</f>
        <v>2.9</v>
      </c>
      <c r="W2341">
        <f t="shared" si="2498"/>
        <v>3</v>
      </c>
      <c r="X2341" s="9">
        <v>-121.325099766671</v>
      </c>
    </row>
    <row r="2342" spans="1:24">
      <c r="A2342" s="29">
        <f t="shared" si="2461"/>
        <v>45933.458333327661</v>
      </c>
      <c r="B2342" s="30">
        <f t="shared" si="2485"/>
        <v>8000</v>
      </c>
      <c r="C2342" s="8">
        <v>25000</v>
      </c>
      <c r="D2342" s="8">
        <v>0</v>
      </c>
      <c r="E2342" s="8">
        <v>700</v>
      </c>
      <c r="F2342" s="8">
        <v>15000</v>
      </c>
      <c r="G2342" s="30">
        <f t="shared" si="2486"/>
        <v>2400</v>
      </c>
      <c r="H2342" s="8">
        <v>25000</v>
      </c>
      <c r="I2342" s="30">
        <f t="shared" si="2487"/>
        <v>8000</v>
      </c>
      <c r="J2342" s="8">
        <v>25000</v>
      </c>
      <c r="K2342" s="30">
        <f t="shared" si="2488"/>
        <v>8000</v>
      </c>
      <c r="L2342" s="8">
        <v>25000</v>
      </c>
      <c r="M2342" s="9">
        <f>VLOOKUP(DATE(YEAR(A2342),MONTH(A2342),DAY(A2342)),FY24_Temp[],4,FALSE)</f>
        <v>8.9</v>
      </c>
      <c r="N2342" s="9">
        <f>VLOOKUP(DATE(YEAR(A2342),MONTH(A2342),DAY(A2342)),FY24_Temp[],3,FALSE)</f>
        <v>16.8</v>
      </c>
      <c r="O2342" s="9">
        <v>13.5</v>
      </c>
      <c r="P2342" s="9">
        <v>19.5</v>
      </c>
      <c r="Q2342" s="79">
        <f>VLOOKUP(VLOOKUP(DATEVALUE(TEXT(A2342,"m/d/yyyy")),FY24_Temp[],5,FALSE)&amp;TEXT(A2342,"-h"),Table6[],4,FALSE)</f>
        <v>0.77757143974304199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VLOOKUP(TEXT(A2342,"yy-mm")&amp;"-"&amp;IF(AND(WEEKDAY(A2342)&gt;1,WEEKDAY(A2342)&lt;7),"Wkd",TEXT(A2342,"Ddd"))&amp;"-"&amp;TEXT(A2342,"hh"),LoadTable[],5,FALSE)*0.92</f>
        <v>236.10788000000002</v>
      </c>
      <c r="U2342" s="104">
        <f>VLOOKUP(TEXT(A2342,"yy-mm")&amp;"-"&amp;IF(AND(WEEKDAY(A2342)&gt;1,WEEKDAY(A2342)&lt;7),"Wkd",TEXT(A2342,"Ddd"))&amp;"-"&amp;TEXT(A2342,"hh"),LoadTable[],6,FALSE)*T2342</f>
        <v>10548.355646880002</v>
      </c>
      <c r="V2342">
        <f t="shared" ref="V2342:W2342" si="2499">V2318</f>
        <v>3.4</v>
      </c>
      <c r="W2342">
        <f t="shared" si="2499"/>
        <v>3</v>
      </c>
      <c r="X2342" s="9">
        <v>-121.402894316671</v>
      </c>
    </row>
    <row r="2343" spans="1:24">
      <c r="A2343" s="29">
        <f t="shared" si="2461"/>
        <v>45933.499999994325</v>
      </c>
      <c r="B2343" s="30">
        <f t="shared" si="2485"/>
        <v>8000</v>
      </c>
      <c r="C2343" s="8">
        <v>25000</v>
      </c>
      <c r="D2343" s="8">
        <v>0</v>
      </c>
      <c r="E2343" s="8">
        <v>700</v>
      </c>
      <c r="F2343" s="8">
        <v>15000</v>
      </c>
      <c r="G2343" s="30">
        <f t="shared" si="2486"/>
        <v>2400</v>
      </c>
      <c r="H2343" s="8">
        <v>25000</v>
      </c>
      <c r="I2343" s="30">
        <f t="shared" si="2487"/>
        <v>8000</v>
      </c>
      <c r="J2343" s="8">
        <v>25000</v>
      </c>
      <c r="K2343" s="30">
        <f t="shared" si="2488"/>
        <v>8000</v>
      </c>
      <c r="L2343" s="8">
        <v>25000</v>
      </c>
      <c r="M2343" s="9">
        <f>VLOOKUP(DATE(YEAR(A2343),MONTH(A2343),DAY(A2343)),FY24_Temp[],4,FALSE)</f>
        <v>8.9</v>
      </c>
      <c r="N2343" s="9">
        <f>VLOOKUP(DATE(YEAR(A2343),MONTH(A2343),DAY(A2343)),FY24_Temp[],3,FALSE)</f>
        <v>16.8</v>
      </c>
      <c r="O2343" s="9">
        <v>13.5</v>
      </c>
      <c r="P2343" s="9">
        <v>19.5</v>
      </c>
      <c r="Q2343" s="79">
        <f>VLOOKUP(VLOOKUP(DATEVALUE(TEXT(A2343,"m/d/yyyy")),FY24_Temp[],5,FALSE)&amp;TEXT(A2343,"-h"),Table6[],4,FALSE)</f>
        <v>0.64328571728297645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VLOOKUP(TEXT(A2343,"yy-mm")&amp;"-"&amp;IF(AND(WEEKDAY(A2343)&gt;1,WEEKDAY(A2343)&lt;7),"Wkd",TEXT(A2343,"Ddd"))&amp;"-"&amp;TEXT(A2343,"hh"),LoadTable[],5,FALSE)*0.92</f>
        <v>236.10788000000002</v>
      </c>
      <c r="U2343" s="104">
        <f>VLOOKUP(TEXT(A2343,"yy-mm")&amp;"-"&amp;IF(AND(WEEKDAY(A2343)&gt;1,WEEKDAY(A2343)&lt;7),"Wkd",TEXT(A2343,"Ddd"))&amp;"-"&amp;TEXT(A2343,"hh"),LoadTable[],6,FALSE)*T2343</f>
        <v>10540.327978960002</v>
      </c>
      <c r="V2343">
        <f t="shared" ref="V2343:W2343" si="2500">V2319</f>
        <v>3.1</v>
      </c>
      <c r="W2343">
        <f t="shared" si="2500"/>
        <v>2.9</v>
      </c>
      <c r="X2343" s="9">
        <v>-121.480688866671</v>
      </c>
    </row>
    <row r="2344" spans="1:24">
      <c r="A2344" s="29">
        <f t="shared" si="2461"/>
        <v>45933.541666660989</v>
      </c>
      <c r="B2344" s="30">
        <f t="shared" si="2485"/>
        <v>8000</v>
      </c>
      <c r="C2344" s="8">
        <v>25000</v>
      </c>
      <c r="D2344" s="8">
        <v>0</v>
      </c>
      <c r="E2344" s="8">
        <v>700</v>
      </c>
      <c r="F2344" s="8">
        <v>15000</v>
      </c>
      <c r="G2344" s="30">
        <f t="shared" si="2486"/>
        <v>2400</v>
      </c>
      <c r="H2344" s="8">
        <v>25000</v>
      </c>
      <c r="I2344" s="30">
        <f t="shared" si="2487"/>
        <v>8000</v>
      </c>
      <c r="J2344" s="8">
        <v>25000</v>
      </c>
      <c r="K2344" s="30">
        <f t="shared" si="2488"/>
        <v>8000</v>
      </c>
      <c r="L2344" s="8">
        <v>25000</v>
      </c>
      <c r="M2344" s="9">
        <f>VLOOKUP(DATE(YEAR(A2344),MONTH(A2344),DAY(A2344)),FY24_Temp[],4,FALSE)</f>
        <v>8.9</v>
      </c>
      <c r="N2344" s="9">
        <f>VLOOKUP(DATE(YEAR(A2344),MONTH(A2344),DAY(A2344)),FY24_Temp[],3,FALSE)</f>
        <v>16.8</v>
      </c>
      <c r="O2344" s="9">
        <v>13.5</v>
      </c>
      <c r="P2344" s="9">
        <v>19.5</v>
      </c>
      <c r="Q2344" s="79">
        <f>VLOOKUP(VLOOKUP(DATEVALUE(TEXT(A2344,"m/d/yyyy")),FY24_Temp[],5,FALSE)&amp;TEXT(A2344,"-h"),Table6[],4,FALSE)</f>
        <v>0.51885714275496342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VLOOKUP(TEXT(A2344,"yy-mm")&amp;"-"&amp;IF(AND(WEEKDAY(A2344)&gt;1,WEEKDAY(A2344)&lt;7),"Wkd",TEXT(A2344,"Ddd"))&amp;"-"&amp;TEXT(A2344,"hh"),LoadTable[],5,FALSE)*0.92</f>
        <v>236.10788000000002</v>
      </c>
      <c r="U2344" s="104">
        <f>VLOOKUP(TEXT(A2344,"yy-mm")&amp;"-"&amp;IF(AND(WEEKDAY(A2344)&gt;1,WEEKDAY(A2344)&lt;7),"Wkd",TEXT(A2344,"Ddd"))&amp;"-"&amp;TEXT(A2344,"hh"),LoadTable[],6,FALSE)*T2344</f>
        <v>10541.50851836</v>
      </c>
      <c r="V2344">
        <f t="shared" ref="V2344:W2344" si="2501">V2320</f>
        <v>3.2</v>
      </c>
      <c r="W2344">
        <f t="shared" si="2501"/>
        <v>2.9</v>
      </c>
      <c r="X2344" s="9">
        <v>-121.558483416671</v>
      </c>
    </row>
    <row r="2345" spans="1:24">
      <c r="A2345" s="29">
        <f t="shared" si="2461"/>
        <v>45933.583333327653</v>
      </c>
      <c r="B2345" s="30">
        <f t="shared" si="2485"/>
        <v>8000</v>
      </c>
      <c r="C2345" s="8">
        <v>25000</v>
      </c>
      <c r="D2345" s="8">
        <v>0</v>
      </c>
      <c r="E2345" s="8">
        <v>700</v>
      </c>
      <c r="F2345" s="8">
        <v>15000</v>
      </c>
      <c r="G2345" s="30">
        <f t="shared" si="2486"/>
        <v>2400</v>
      </c>
      <c r="H2345" s="8">
        <v>25000</v>
      </c>
      <c r="I2345" s="30">
        <f t="shared" si="2487"/>
        <v>8000</v>
      </c>
      <c r="J2345" s="8">
        <v>25000</v>
      </c>
      <c r="K2345" s="30">
        <f t="shared" si="2488"/>
        <v>8000</v>
      </c>
      <c r="L2345" s="8">
        <v>25000</v>
      </c>
      <c r="M2345" s="9">
        <f>VLOOKUP(DATE(YEAR(A2345),MONTH(A2345),DAY(A2345)),FY24_Temp[],4,FALSE)</f>
        <v>8.9</v>
      </c>
      <c r="N2345" s="9">
        <f>VLOOKUP(DATE(YEAR(A2345),MONTH(A2345),DAY(A2345)),FY24_Temp[],3,FALSE)</f>
        <v>16.8</v>
      </c>
      <c r="O2345" s="9">
        <v>13.5</v>
      </c>
      <c r="P2345" s="9">
        <v>19.5</v>
      </c>
      <c r="Q2345" s="79">
        <f>VLOOKUP(VLOOKUP(DATEVALUE(TEXT(A2345,"m/d/yyyy")),FY24_Temp[],5,FALSE)&amp;TEXT(A2345,"-h"),Table6[],4,FALSE)</f>
        <v>0.4115714303084782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VLOOKUP(TEXT(A2345,"yy-mm")&amp;"-"&amp;IF(AND(WEEKDAY(A2345)&gt;1,WEEKDAY(A2345)&lt;7),"Wkd",TEXT(A2345,"Ddd"))&amp;"-"&amp;TEXT(A2345,"hh"),LoadTable[],5,FALSE)*0.92</f>
        <v>236.10788000000002</v>
      </c>
      <c r="U2345" s="104">
        <f>VLOOKUP(TEXT(A2345,"yy-mm")&amp;"-"&amp;IF(AND(WEEKDAY(A2345)&gt;1,WEEKDAY(A2345)&lt;7),"Wkd",TEXT(A2345,"Ddd"))&amp;"-"&amp;TEXT(A2345,"hh"),LoadTable[],6,FALSE)*T2345</f>
        <v>10551.188941440001</v>
      </c>
      <c r="V2345">
        <f t="shared" ref="V2345:W2345" si="2502">V2321</f>
        <v>3.5</v>
      </c>
      <c r="W2345">
        <f t="shared" si="2502"/>
        <v>2.9</v>
      </c>
      <c r="X2345" s="9">
        <v>-121.636277966671</v>
      </c>
    </row>
    <row r="2346" spans="1:24">
      <c r="A2346" s="29">
        <f t="shared" si="2461"/>
        <v>45933.624999994317</v>
      </c>
      <c r="B2346" s="30">
        <f t="shared" si="2485"/>
        <v>8000</v>
      </c>
      <c r="C2346" s="8">
        <v>25000</v>
      </c>
      <c r="D2346" s="8">
        <v>0</v>
      </c>
      <c r="E2346" s="8">
        <v>700</v>
      </c>
      <c r="F2346" s="8">
        <v>15000</v>
      </c>
      <c r="G2346" s="30">
        <f t="shared" si="2486"/>
        <v>2400</v>
      </c>
      <c r="H2346" s="8">
        <v>25000</v>
      </c>
      <c r="I2346" s="30">
        <f t="shared" si="2487"/>
        <v>8000</v>
      </c>
      <c r="J2346" s="8">
        <v>25000</v>
      </c>
      <c r="K2346" s="30">
        <f t="shared" si="2488"/>
        <v>8000</v>
      </c>
      <c r="L2346" s="8">
        <v>25000</v>
      </c>
      <c r="M2346" s="9">
        <f>VLOOKUP(DATE(YEAR(A2346),MONTH(A2346),DAY(A2346)),FY24_Temp[],4,FALSE)</f>
        <v>8.9</v>
      </c>
      <c r="N2346" s="9">
        <f>VLOOKUP(DATE(YEAR(A2346),MONTH(A2346),DAY(A2346)),FY24_Temp[],3,FALSE)</f>
        <v>16.8</v>
      </c>
      <c r="O2346" s="9">
        <v>13.5</v>
      </c>
      <c r="P2346" s="9">
        <v>19.5</v>
      </c>
      <c r="Q2346" s="79">
        <f>VLOOKUP(VLOOKUP(DATEVALUE(TEXT(A2346,"m/d/yyyy")),FY24_Temp[],5,FALSE)&amp;TEXT(A2346,"-h"),Table6[],4,FALSE)</f>
        <v>0.39228571312768118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VLOOKUP(TEXT(A2346,"yy-mm")&amp;"-"&amp;IF(AND(WEEKDAY(A2346)&gt;1,WEEKDAY(A2346)&lt;7),"Wkd",TEXT(A2346,"Ddd"))&amp;"-"&amp;TEXT(A2346,"hh"),LoadTable[],5,FALSE)*0.92</f>
        <v>236.10788000000002</v>
      </c>
      <c r="U2346" s="104">
        <f>VLOOKUP(TEXT(A2346,"yy-mm")&amp;"-"&amp;IF(AND(WEEKDAY(A2346)&gt;1,WEEKDAY(A2346)&lt;7),"Wkd",TEXT(A2346,"Ddd"))&amp;"-"&amp;TEXT(A2346,"hh"),LoadTable[],6,FALSE)*T2346</f>
        <v>10572.202542760002</v>
      </c>
      <c r="V2346">
        <f t="shared" ref="V2346:W2346" si="2503">V2322</f>
        <v>3.2</v>
      </c>
      <c r="W2346">
        <f t="shared" si="2503"/>
        <v>2.9</v>
      </c>
      <c r="X2346" s="9">
        <v>-121.714072516671</v>
      </c>
    </row>
    <row r="2347" spans="1:24">
      <c r="A2347" s="29">
        <f t="shared" si="2461"/>
        <v>45933.666666660982</v>
      </c>
      <c r="B2347" s="30">
        <f t="shared" si="2485"/>
        <v>8000</v>
      </c>
      <c r="C2347" s="8">
        <v>25000</v>
      </c>
      <c r="D2347" s="8">
        <v>0</v>
      </c>
      <c r="E2347" s="8">
        <v>700</v>
      </c>
      <c r="F2347" s="8">
        <v>15000</v>
      </c>
      <c r="G2347" s="30">
        <f t="shared" si="2486"/>
        <v>2400</v>
      </c>
      <c r="H2347" s="8">
        <v>25000</v>
      </c>
      <c r="I2347" s="30">
        <f t="shared" si="2487"/>
        <v>8000</v>
      </c>
      <c r="J2347" s="8">
        <v>25000</v>
      </c>
      <c r="K2347" s="30">
        <f t="shared" si="2488"/>
        <v>8000</v>
      </c>
      <c r="L2347" s="8">
        <v>25000</v>
      </c>
      <c r="M2347" s="9">
        <f>VLOOKUP(DATE(YEAR(A2347),MONTH(A2347),DAY(A2347)),FY24_Temp[],4,FALSE)</f>
        <v>8.9</v>
      </c>
      <c r="N2347" s="9">
        <f>VLOOKUP(DATE(YEAR(A2347),MONTH(A2347),DAY(A2347)),FY24_Temp[],3,FALSE)</f>
        <v>16.8</v>
      </c>
      <c r="O2347" s="9">
        <v>13.5</v>
      </c>
      <c r="P2347" s="9">
        <v>19.5</v>
      </c>
      <c r="Q2347" s="79">
        <f>VLOOKUP(VLOOKUP(DATEVALUE(TEXT(A2347,"m/d/yyyy")),FY24_Temp[],5,FALSE)&amp;TEXT(A2347,"-h"),Table6[],4,FALSE)</f>
        <v>0.64628571271896362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VLOOKUP(TEXT(A2347,"yy-mm")&amp;"-"&amp;IF(AND(WEEKDAY(A2347)&gt;1,WEEKDAY(A2347)&lt;7),"Wkd",TEXT(A2347,"Ddd"))&amp;"-"&amp;TEXT(A2347,"hh"),LoadTable[],5,FALSE)*0.92</f>
        <v>236.10788000000002</v>
      </c>
      <c r="U2347" s="104">
        <f>VLOOKUP(TEXT(A2347,"yy-mm")&amp;"-"&amp;IF(AND(WEEKDAY(A2347)&gt;1,WEEKDAY(A2347)&lt;7),"Wkd",TEXT(A2347,"Ddd"))&amp;"-"&amp;TEXT(A2347,"hh"),LoadTable[],6,FALSE)*T2347</f>
        <v>10648.93760376</v>
      </c>
      <c r="V2347">
        <f t="shared" ref="V2347:W2347" si="2504">V2323</f>
        <v>3.5</v>
      </c>
      <c r="W2347">
        <f t="shared" si="2504"/>
        <v>3</v>
      </c>
      <c r="X2347" s="9">
        <v>-121.791867066671</v>
      </c>
    </row>
    <row r="2348" spans="1:24">
      <c r="A2348" s="29">
        <f t="shared" si="2461"/>
        <v>45933.708333327646</v>
      </c>
      <c r="B2348" s="30">
        <f t="shared" si="2485"/>
        <v>8000</v>
      </c>
      <c r="C2348" s="8">
        <v>25000</v>
      </c>
      <c r="D2348" s="8">
        <v>0</v>
      </c>
      <c r="E2348" s="8">
        <v>700</v>
      </c>
      <c r="F2348" s="8">
        <v>15000</v>
      </c>
      <c r="G2348" s="30">
        <f t="shared" si="2486"/>
        <v>2400</v>
      </c>
      <c r="H2348" s="8">
        <v>25000</v>
      </c>
      <c r="I2348" s="30">
        <f t="shared" si="2487"/>
        <v>8000</v>
      </c>
      <c r="J2348" s="8">
        <v>25000</v>
      </c>
      <c r="K2348" s="30">
        <f t="shared" si="2488"/>
        <v>8000</v>
      </c>
      <c r="L2348" s="8">
        <v>25000</v>
      </c>
      <c r="M2348" s="9">
        <f>VLOOKUP(DATE(YEAR(A2348),MONTH(A2348),DAY(A2348)),FY24_Temp[],4,FALSE)</f>
        <v>8.9</v>
      </c>
      <c r="N2348" s="9">
        <f>VLOOKUP(DATE(YEAR(A2348),MONTH(A2348),DAY(A2348)),FY24_Temp[],3,FALSE)</f>
        <v>16.8</v>
      </c>
      <c r="O2348" s="9">
        <v>13.5</v>
      </c>
      <c r="P2348" s="9">
        <v>19.5</v>
      </c>
      <c r="Q2348" s="79">
        <f>VLOOKUP(VLOOKUP(DATEVALUE(TEXT(A2348,"m/d/yyyy")),FY24_Temp[],5,FALSE)&amp;TEXT(A2348,"-h"),Table6[],4,FALSE)</f>
        <v>1.0399999873978751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VLOOKUP(TEXT(A2348,"yy-mm")&amp;"-"&amp;IF(AND(WEEKDAY(A2348)&gt;1,WEEKDAY(A2348)&lt;7),"Wkd",TEXT(A2348,"Ddd"))&amp;"-"&amp;TEXT(A2348,"hh"),LoadTable[],5,FALSE)*0.92</f>
        <v>236.10788000000002</v>
      </c>
      <c r="U2348" s="104">
        <f>VLOOKUP(TEXT(A2348,"yy-mm")&amp;"-"&amp;IF(AND(WEEKDAY(A2348)&gt;1,WEEKDAY(A2348)&lt;7),"Wkd",TEXT(A2348,"Ddd"))&amp;"-"&amp;TEXT(A2348,"hh"),LoadTable[],6,FALSE)*T2348</f>
        <v>11157.513977280001</v>
      </c>
      <c r="V2348">
        <f t="shared" ref="V2348:W2348" si="2505">V2324</f>
        <v>3.6</v>
      </c>
      <c r="W2348">
        <f t="shared" si="2505"/>
        <v>3</v>
      </c>
      <c r="X2348" s="9">
        <v>-121.869661616671</v>
      </c>
    </row>
    <row r="2349" spans="1:24">
      <c r="A2349" s="29">
        <f t="shared" si="2461"/>
        <v>45933.74999999431</v>
      </c>
      <c r="B2349" s="30">
        <f t="shared" si="2485"/>
        <v>5000</v>
      </c>
      <c r="C2349" s="8">
        <v>25000</v>
      </c>
      <c r="D2349" s="8">
        <v>0</v>
      </c>
      <c r="E2349" s="8">
        <v>700</v>
      </c>
      <c r="F2349" s="8">
        <v>15000</v>
      </c>
      <c r="G2349" s="30">
        <f t="shared" si="2486"/>
        <v>2400</v>
      </c>
      <c r="H2349" s="8">
        <v>25000</v>
      </c>
      <c r="I2349" s="30">
        <f t="shared" si="2487"/>
        <v>5000</v>
      </c>
      <c r="J2349" s="8">
        <v>25000</v>
      </c>
      <c r="K2349" s="30">
        <f t="shared" si="2488"/>
        <v>5000</v>
      </c>
      <c r="L2349" s="8">
        <v>25000</v>
      </c>
      <c r="M2349" s="9">
        <f>VLOOKUP(DATE(YEAR(A2349),MONTH(A2349),DAY(A2349)),FY24_Temp[],4,FALSE)</f>
        <v>8.9</v>
      </c>
      <c r="N2349" s="9">
        <f>VLOOKUP(DATE(YEAR(A2349),MONTH(A2349),DAY(A2349)),FY24_Temp[],3,FALSE)</f>
        <v>16.8</v>
      </c>
      <c r="O2349" s="9">
        <v>13.5</v>
      </c>
      <c r="P2349" s="9">
        <v>19.5</v>
      </c>
      <c r="Q2349" s="79">
        <f>VLOOKUP(VLOOKUP(DATEVALUE(TEXT(A2349,"m/d/yyyy")),FY24_Temp[],5,FALSE)&amp;TEXT(A2349,"-h"),Table6[],4,FALSE)</f>
        <v>1.47700001512255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VLOOKUP(TEXT(A2349,"yy-mm")&amp;"-"&amp;IF(AND(WEEKDAY(A2349)&gt;1,WEEKDAY(A2349)&lt;7),"Wkd",TEXT(A2349,"Ddd"))&amp;"-"&amp;TEXT(A2349,"hh"),LoadTable[],5,FALSE)*0.92</f>
        <v>308.12363999999997</v>
      </c>
      <c r="U2349" s="104">
        <f>VLOOKUP(TEXT(A2349,"yy-mm")&amp;"-"&amp;IF(AND(WEEKDAY(A2349)&gt;1,WEEKDAY(A2349)&lt;7),"Wkd",TEXT(A2349,"Ddd"))&amp;"-"&amp;TEXT(A2349,"hh"),LoadTable[],6,FALSE)*T2349</f>
        <v>15139.963175039999</v>
      </c>
      <c r="V2349">
        <f t="shared" ref="V2349:W2349" si="2506">V2325</f>
        <v>2.9</v>
      </c>
      <c r="W2349">
        <f t="shared" si="2506"/>
        <v>3</v>
      </c>
      <c r="X2349" s="9">
        <v>-121.947456166671</v>
      </c>
    </row>
    <row r="2350" spans="1:24">
      <c r="A2350" s="29">
        <f t="shared" si="2461"/>
        <v>45933.791666660974</v>
      </c>
      <c r="B2350" s="30">
        <f t="shared" si="2485"/>
        <v>5000</v>
      </c>
      <c r="C2350" s="8">
        <v>25000</v>
      </c>
      <c r="D2350" s="8">
        <v>0</v>
      </c>
      <c r="E2350" s="8">
        <v>700</v>
      </c>
      <c r="F2350" s="8">
        <v>15000</v>
      </c>
      <c r="G2350" s="30">
        <f t="shared" si="2486"/>
        <v>2400</v>
      </c>
      <c r="H2350" s="8">
        <v>25000</v>
      </c>
      <c r="I2350" s="30">
        <f t="shared" si="2487"/>
        <v>5000</v>
      </c>
      <c r="J2350" s="8">
        <v>25000</v>
      </c>
      <c r="K2350" s="30">
        <f t="shared" si="2488"/>
        <v>5000</v>
      </c>
      <c r="L2350" s="8">
        <v>25000</v>
      </c>
      <c r="M2350" s="9">
        <f>VLOOKUP(DATE(YEAR(A2350),MONTH(A2350),DAY(A2350)),FY24_Temp[],4,FALSE)</f>
        <v>8.9</v>
      </c>
      <c r="N2350" s="9">
        <f>VLOOKUP(DATE(YEAR(A2350),MONTH(A2350),DAY(A2350)),FY24_Temp[],3,FALSE)</f>
        <v>16.8</v>
      </c>
      <c r="O2350" s="9">
        <v>13.5</v>
      </c>
      <c r="P2350" s="9">
        <v>19.5</v>
      </c>
      <c r="Q2350" s="79">
        <f>VLOOKUP(VLOOKUP(DATEVALUE(TEXT(A2350,"m/d/yyyy")),FY24_Temp[],5,FALSE)&amp;TEXT(A2350,"-h"),Table6[],4,FALSE)</f>
        <v>1.8152856826782227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VLOOKUP(TEXT(A2350,"yy-mm")&amp;"-"&amp;IF(AND(WEEKDAY(A2350)&gt;1,WEEKDAY(A2350)&lt;7),"Wkd",TEXT(A2350,"Ddd"))&amp;"-"&amp;TEXT(A2350,"hh"),LoadTable[],5,FALSE)*0.92</f>
        <v>308.12363999999997</v>
      </c>
      <c r="U2350" s="104">
        <f>VLOOKUP(TEXT(A2350,"yy-mm")&amp;"-"&amp;IF(AND(WEEKDAY(A2350)&gt;1,WEEKDAY(A2350)&lt;7),"Wkd",TEXT(A2350,"Ddd"))&amp;"-"&amp;TEXT(A2350,"hh"),LoadTable[],6,FALSE)*T2350</f>
        <v>15247.806449039997</v>
      </c>
      <c r="V2350">
        <f t="shared" ref="V2350:W2350" si="2507">V2326</f>
        <v>3</v>
      </c>
      <c r="W2350">
        <f t="shared" si="2507"/>
        <v>3</v>
      </c>
      <c r="X2350" s="9">
        <v>-122.025250716671</v>
      </c>
    </row>
    <row r="2351" spans="1:24">
      <c r="A2351" s="29">
        <f t="shared" si="2461"/>
        <v>45933.833333327639</v>
      </c>
      <c r="B2351" s="30">
        <f t="shared" si="2485"/>
        <v>5000</v>
      </c>
      <c r="C2351" s="8">
        <v>25000</v>
      </c>
      <c r="D2351" s="8">
        <v>0</v>
      </c>
      <c r="E2351" s="8">
        <v>700</v>
      </c>
      <c r="F2351" s="8">
        <v>15000</v>
      </c>
      <c r="G2351" s="30">
        <f t="shared" si="2486"/>
        <v>2400</v>
      </c>
      <c r="H2351" s="8">
        <v>25000</v>
      </c>
      <c r="I2351" s="30">
        <f t="shared" si="2487"/>
        <v>5000</v>
      </c>
      <c r="J2351" s="8">
        <v>25000</v>
      </c>
      <c r="K2351" s="30">
        <f t="shared" si="2488"/>
        <v>5000</v>
      </c>
      <c r="L2351" s="8">
        <v>25000</v>
      </c>
      <c r="M2351" s="9">
        <f>VLOOKUP(DATE(YEAR(A2351),MONTH(A2351),DAY(A2351)),FY24_Temp[],4,FALSE)</f>
        <v>8.9</v>
      </c>
      <c r="N2351" s="9">
        <f>VLOOKUP(DATE(YEAR(A2351),MONTH(A2351),DAY(A2351)),FY24_Temp[],3,FALSE)</f>
        <v>16.8</v>
      </c>
      <c r="O2351" s="9">
        <v>13.5</v>
      </c>
      <c r="P2351" s="9">
        <v>19.5</v>
      </c>
      <c r="Q2351" s="79">
        <f>VLOOKUP(VLOOKUP(DATEVALUE(TEXT(A2351,"m/d/yyyy")),FY24_Temp[],5,FALSE)&amp;TEXT(A2351,"-h"),Table6[],4,FALSE)</f>
        <v>1.9898571627480643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VLOOKUP(TEXT(A2351,"yy-mm")&amp;"-"&amp;IF(AND(WEEKDAY(A2351)&gt;1,WEEKDAY(A2351)&lt;7),"Wkd",TEXT(A2351,"Ddd"))&amp;"-"&amp;TEXT(A2351,"hh"),LoadTable[],5,FALSE)*0.92</f>
        <v>308.12363999999997</v>
      </c>
      <c r="U2351" s="104">
        <f>VLOOKUP(TEXT(A2351,"yy-mm")&amp;"-"&amp;IF(AND(WEEKDAY(A2351)&gt;1,WEEKDAY(A2351)&lt;7),"Wkd",TEXT(A2351,"Ddd"))&amp;"-"&amp;TEXT(A2351,"hh"),LoadTable[],6,FALSE)*T2351</f>
        <v>15157.218098879999</v>
      </c>
      <c r="V2351">
        <f t="shared" ref="V2351:W2351" si="2508">V2327</f>
        <v>2.8</v>
      </c>
      <c r="W2351">
        <f t="shared" si="2508"/>
        <v>3.1</v>
      </c>
      <c r="X2351" s="9">
        <v>-122.103045266671</v>
      </c>
    </row>
    <row r="2352" spans="1:24">
      <c r="A2352" s="29">
        <f t="shared" si="2461"/>
        <v>45933.874999994303</v>
      </c>
      <c r="B2352" s="30">
        <f t="shared" si="2485"/>
        <v>5000</v>
      </c>
      <c r="C2352" s="8">
        <v>25000</v>
      </c>
      <c r="D2352" s="8">
        <v>0</v>
      </c>
      <c r="E2352" s="8">
        <v>700</v>
      </c>
      <c r="F2352" s="8">
        <v>15000</v>
      </c>
      <c r="G2352" s="30">
        <f t="shared" si="2486"/>
        <v>2400</v>
      </c>
      <c r="H2352" s="8">
        <v>25000</v>
      </c>
      <c r="I2352" s="30">
        <f t="shared" si="2487"/>
        <v>5000</v>
      </c>
      <c r="J2352" s="8">
        <v>25000</v>
      </c>
      <c r="K2352" s="30">
        <f t="shared" si="2488"/>
        <v>5000</v>
      </c>
      <c r="L2352" s="8">
        <v>25000</v>
      </c>
      <c r="M2352" s="9">
        <f>VLOOKUP(DATE(YEAR(A2352),MONTH(A2352),DAY(A2352)),FY24_Temp[],4,FALSE)</f>
        <v>8.9</v>
      </c>
      <c r="N2352" s="9">
        <f>VLOOKUP(DATE(YEAR(A2352),MONTH(A2352),DAY(A2352)),FY24_Temp[],3,FALSE)</f>
        <v>16.8</v>
      </c>
      <c r="O2352" s="9">
        <v>13.5</v>
      </c>
      <c r="P2352" s="9">
        <v>19.5</v>
      </c>
      <c r="Q2352" s="79">
        <f>VLOOKUP(VLOOKUP(DATEVALUE(TEXT(A2352,"m/d/yyyy")),FY24_Temp[],5,FALSE)&amp;TEXT(A2352,"-h"),Table6[],4,FALSE)</f>
        <v>2.0539999689374651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VLOOKUP(TEXT(A2352,"yy-mm")&amp;"-"&amp;IF(AND(WEEKDAY(A2352)&gt;1,WEEKDAY(A2352)&lt;7),"Wkd",TEXT(A2352,"Ddd"))&amp;"-"&amp;TEXT(A2352,"hh"),LoadTable[],5,FALSE)*0.92</f>
        <v>234.33964000000003</v>
      </c>
      <c r="U2352" s="104">
        <f>VLOOKUP(TEXT(A2352,"yy-mm")&amp;"-"&amp;IF(AND(WEEKDAY(A2352)&gt;1,WEEKDAY(A2352)&lt;7),"Wkd",TEXT(A2352,"Ddd"))&amp;"-"&amp;TEXT(A2352,"hh"),LoadTable[],6,FALSE)*T2352</f>
        <v>11344.147632760001</v>
      </c>
      <c r="V2352">
        <f t="shared" ref="V2352:W2352" si="2509">V2328</f>
        <v>3.5</v>
      </c>
      <c r="W2352">
        <f t="shared" si="2509"/>
        <v>3.1</v>
      </c>
      <c r="X2352" s="9">
        <v>-122.180839816671</v>
      </c>
    </row>
    <row r="2353" spans="1:24">
      <c r="A2353" s="29">
        <f t="shared" si="2461"/>
        <v>45933.916666660967</v>
      </c>
      <c r="B2353" s="30">
        <f t="shared" si="2485"/>
        <v>5000</v>
      </c>
      <c r="C2353" s="8">
        <v>25000</v>
      </c>
      <c r="D2353" s="8">
        <v>0</v>
      </c>
      <c r="E2353" s="8">
        <v>700</v>
      </c>
      <c r="F2353" s="8">
        <v>15000</v>
      </c>
      <c r="G2353" s="30">
        <f t="shared" si="2486"/>
        <v>2400</v>
      </c>
      <c r="H2353" s="8">
        <v>25000</v>
      </c>
      <c r="I2353" s="30">
        <f t="shared" si="2487"/>
        <v>5000</v>
      </c>
      <c r="J2353" s="8">
        <v>25000</v>
      </c>
      <c r="K2353" s="30">
        <f t="shared" si="2488"/>
        <v>5000</v>
      </c>
      <c r="L2353" s="8">
        <v>25000</v>
      </c>
      <c r="M2353" s="9">
        <f>VLOOKUP(DATE(YEAR(A2353),MONTH(A2353),DAY(A2353)),FY24_Temp[],4,FALSE)</f>
        <v>8.9</v>
      </c>
      <c r="N2353" s="9">
        <f>VLOOKUP(DATE(YEAR(A2353),MONTH(A2353),DAY(A2353)),FY24_Temp[],3,FALSE)</f>
        <v>16.8</v>
      </c>
      <c r="O2353" s="9">
        <v>13.5</v>
      </c>
      <c r="P2353" s="9">
        <v>19.5</v>
      </c>
      <c r="Q2353" s="79">
        <f>VLOOKUP(VLOOKUP(DATEVALUE(TEXT(A2353,"m/d/yyyy")),FY24_Temp[],5,FALSE)&amp;TEXT(A2353,"-h"),Table6[],4,FALSE)</f>
        <v>2.032142860548837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VLOOKUP(TEXT(A2353,"yy-mm")&amp;"-"&amp;IF(AND(WEEKDAY(A2353)&gt;1,WEEKDAY(A2353)&lt;7),"Wkd",TEXT(A2353,"Ddd"))&amp;"-"&amp;TEXT(A2353,"hh"),LoadTable[],5,FALSE)*0.92</f>
        <v>180.62544</v>
      </c>
      <c r="U2353" s="104">
        <f>VLOOKUP(TEXT(A2353,"yy-mm")&amp;"-"&amp;IF(AND(WEEKDAY(A2353)&gt;1,WEEKDAY(A2353)&lt;7),"Wkd",TEXT(A2353,"Ddd"))&amp;"-"&amp;TEXT(A2353,"hh"),LoadTable[],6,FALSE)*T2353</f>
        <v>8304.2546039999997</v>
      </c>
      <c r="V2353">
        <f t="shared" ref="V2353:W2353" si="2510">V2329</f>
        <v>2.9</v>
      </c>
      <c r="W2353">
        <f t="shared" si="2510"/>
        <v>3.1</v>
      </c>
      <c r="X2353" s="9">
        <v>-122.258634366671</v>
      </c>
    </row>
    <row r="2354" spans="1:24" ht="16" thickBot="1">
      <c r="A2354" s="29">
        <f t="shared" si="2461"/>
        <v>45933.958333327631</v>
      </c>
      <c r="B2354" s="30">
        <f t="shared" si="2485"/>
        <v>5000</v>
      </c>
      <c r="C2354" s="8">
        <v>25000</v>
      </c>
      <c r="D2354" s="8">
        <v>0</v>
      </c>
      <c r="E2354" s="8">
        <v>700</v>
      </c>
      <c r="F2354" s="8">
        <v>15000</v>
      </c>
      <c r="G2354" s="30">
        <f t="shared" si="2486"/>
        <v>2400</v>
      </c>
      <c r="H2354" s="8">
        <v>25000</v>
      </c>
      <c r="I2354" s="30">
        <f t="shared" si="2487"/>
        <v>5000</v>
      </c>
      <c r="J2354" s="8">
        <v>25000</v>
      </c>
      <c r="K2354" s="30">
        <f t="shared" si="2488"/>
        <v>5000</v>
      </c>
      <c r="L2354" s="8">
        <v>25000</v>
      </c>
      <c r="M2354" s="9">
        <f>VLOOKUP(DATE(YEAR(A2354),MONTH(A2354),DAY(A2354)),FY24_Temp[],4,FALSE)</f>
        <v>8.9</v>
      </c>
      <c r="N2354" s="9">
        <f>VLOOKUP(DATE(YEAR(A2354),MONTH(A2354),DAY(A2354)),FY24_Temp[],3,FALSE)</f>
        <v>16.8</v>
      </c>
      <c r="O2354" s="9">
        <v>13.5</v>
      </c>
      <c r="P2354" s="9">
        <v>19.5</v>
      </c>
      <c r="Q2354" s="79">
        <f>VLOOKUP(VLOOKUP(DATEVALUE(TEXT(A2354,"m/d/yyyy")),FY24_Temp[],5,FALSE)&amp;TEXT(A2354,"-h"),Table6[],4,FALSE)</f>
        <v>2.0300000224794661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VLOOKUP(TEXT(A2354,"yy-mm")&amp;"-"&amp;IF(AND(WEEKDAY(A2354)&gt;1,WEEKDAY(A2354)&lt;7),"Wkd",TEXT(A2354,"Ddd"))&amp;"-"&amp;TEXT(A2354,"hh"),LoadTable[],5,FALSE)*0.92</f>
        <v>180.62544</v>
      </c>
      <c r="U2354" s="104">
        <f>VLOOKUP(TEXT(A2354,"yy-mm")&amp;"-"&amp;IF(AND(WEEKDAY(A2354)&gt;1,WEEKDAY(A2354)&lt;7),"Wkd",TEXT(A2354,"Ddd"))&amp;"-"&amp;TEXT(A2354,"hh"),LoadTable[],6,FALSE)*T2354</f>
        <v>8217.1931419200009</v>
      </c>
      <c r="V2354">
        <f t="shared" ref="V2354:W2354" si="2511">V2330</f>
        <v>3.6</v>
      </c>
      <c r="W2354">
        <f t="shared" si="2511"/>
        <v>3.1</v>
      </c>
      <c r="X2354" s="9">
        <v>-122.336428916671</v>
      </c>
    </row>
    <row r="2355" spans="1:24" ht="16" thickBot="1">
      <c r="A2355" s="120">
        <f t="shared" si="2461"/>
        <v>45933.999999994296</v>
      </c>
      <c r="B2355" s="121">
        <f t="shared" si="2485"/>
        <v>5000</v>
      </c>
      <c r="C2355" s="114">
        <v>25000</v>
      </c>
      <c r="D2355" s="114">
        <v>0</v>
      </c>
      <c r="E2355" s="114">
        <v>700</v>
      </c>
      <c r="F2355" s="114">
        <v>15000</v>
      </c>
      <c r="G2355" s="114">
        <f t="shared" si="2486"/>
        <v>2400</v>
      </c>
      <c r="H2355" s="114">
        <v>25000</v>
      </c>
      <c r="I2355" s="114">
        <f t="shared" si="2487"/>
        <v>5000</v>
      </c>
      <c r="J2355" s="114">
        <v>25000</v>
      </c>
      <c r="K2355" s="114">
        <f t="shared" si="2488"/>
        <v>5000</v>
      </c>
      <c r="L2355" s="114">
        <v>25000</v>
      </c>
      <c r="M2355" s="115">
        <f>VLOOKUP(DATE(YEAR(A2355),MONTH(A2355),DAY(A2355)),FY24_Temp[],4,FALSE)</f>
        <v>9</v>
      </c>
      <c r="N2355" s="115">
        <f>VLOOKUP(DATE(YEAR(A2355),MONTH(A2355),DAY(A2355)),FY24_Temp[],3,FALSE)</f>
        <v>17.25</v>
      </c>
      <c r="O2355" s="115">
        <v>13.5</v>
      </c>
      <c r="P2355" s="115">
        <v>19.5</v>
      </c>
      <c r="Q2355" s="116">
        <f>VLOOKUP(VLOOKUP(DATEVALUE(TEXT(A2355,"m/d/yyyy")),FY24_Temp[],5,FALSE)&amp;TEXT(A2355,"-h"),Table6[],4,FALSE)</f>
        <v>1.6792856965746199</v>
      </c>
      <c r="R2355" s="117">
        <v>10</v>
      </c>
      <c r="S2355" s="117">
        <v>1000</v>
      </c>
      <c r="T2355" s="100">
        <f>VLOOKUP(TEXT(A2355,"yy-mm")&amp;"-"&amp;IF(AND(WEEKDAY(A2355)&gt;1,WEEKDAY(A2355)&lt;7),"Wkd",TEXT(A2355,"Ddd"))&amp;"-"&amp;TEXT(A2355,"hh"),LoadTable[],5,FALSE)*0.92</f>
        <v>180.62544</v>
      </c>
      <c r="U2355" s="118">
        <f>VLOOKUP(TEXT(A2355,"yy-mm")&amp;"-"&amp;IF(AND(WEEKDAY(A2355)&gt;1,WEEKDAY(A2355)&lt;7),"Wkd",TEXT(A2355,"Ddd"))&amp;"-"&amp;TEXT(A2355,"hh"),LoadTable[],6,FALSE)*T2355</f>
        <v>8140.6079553600002</v>
      </c>
      <c r="V2355" s="117">
        <f t="shared" ref="V2355:W2355" si="2512">V2331</f>
        <v>3</v>
      </c>
      <c r="W2355" s="117">
        <f t="shared" si="2512"/>
        <v>3.2</v>
      </c>
      <c r="X2355" s="119">
        <v>-122.414223466671</v>
      </c>
    </row>
    <row r="2356" spans="1:24">
      <c r="A2356" s="29">
        <f t="shared" si="2461"/>
        <v>45934.04166666096</v>
      </c>
      <c r="B2356" s="30">
        <f t="shared" si="2485"/>
        <v>5000</v>
      </c>
      <c r="C2356" s="8">
        <v>25000</v>
      </c>
      <c r="D2356" s="8">
        <v>0</v>
      </c>
      <c r="E2356" s="8">
        <v>700</v>
      </c>
      <c r="F2356" s="8">
        <v>15000</v>
      </c>
      <c r="G2356" s="30">
        <f t="shared" si="2486"/>
        <v>2400</v>
      </c>
      <c r="H2356" s="8">
        <v>25000</v>
      </c>
      <c r="I2356" s="30">
        <f t="shared" si="2487"/>
        <v>5000</v>
      </c>
      <c r="J2356" s="8">
        <v>25000</v>
      </c>
      <c r="K2356" s="30">
        <f t="shared" si="2488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VLOOKUP(VLOOKUP(DATEVALUE(TEXT(A2356,"m/d/yyyy")),FY24_Temp[],5,FALSE)&amp;TEXT(A2356,"-h"),Table6[],4,FALSE)</f>
        <v>1.6901428699493408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VLOOKUP(TEXT(A2356,"yy-mm")&amp;"-"&amp;IF(AND(WEEKDAY(A2356)&gt;1,WEEKDAY(A2356)&lt;7),"Wkd",TEXT(A2356,"Ddd"))&amp;"-"&amp;TEXT(A2356,"hh"),LoadTable[],5,FALSE)*0.92</f>
        <v>180.62544</v>
      </c>
      <c r="U2356" s="104">
        <f>VLOOKUP(TEXT(A2356,"yy-mm")&amp;"-"&amp;IF(AND(WEEKDAY(A2356)&gt;1,WEEKDAY(A2356)&lt;7),"Wkd",TEXT(A2356,"Ddd"))&amp;"-"&amp;TEXT(A2356,"hh"),LoadTable[],6,FALSE)*T2356</f>
        <v>8136.8148211200005</v>
      </c>
      <c r="V2356">
        <f t="shared" ref="V2356:W2356" si="2513">V2332</f>
        <v>2.6</v>
      </c>
      <c r="W2356">
        <f t="shared" si="2513"/>
        <v>3.2</v>
      </c>
      <c r="X2356" s="9">
        <v>-122.492018016671</v>
      </c>
    </row>
    <row r="2357" spans="1:24">
      <c r="A2357" s="29">
        <f t="shared" si="2461"/>
        <v>45934.083333327624</v>
      </c>
      <c r="B2357" s="30">
        <f t="shared" si="2485"/>
        <v>5000</v>
      </c>
      <c r="C2357" s="8">
        <v>25000</v>
      </c>
      <c r="D2357" s="8">
        <v>0</v>
      </c>
      <c r="E2357" s="8">
        <v>700</v>
      </c>
      <c r="F2357" s="8">
        <v>15000</v>
      </c>
      <c r="G2357" s="30">
        <f t="shared" si="2486"/>
        <v>2400</v>
      </c>
      <c r="H2357" s="8">
        <v>25000</v>
      </c>
      <c r="I2357" s="30">
        <f t="shared" si="2487"/>
        <v>5000</v>
      </c>
      <c r="J2357" s="8">
        <v>25000</v>
      </c>
      <c r="K2357" s="30">
        <f t="shared" si="2488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VLOOKUP(VLOOKUP(DATEVALUE(TEXT(A2357,"m/d/yyyy")),FY24_Temp[],5,FALSE)&amp;TEXT(A2357,"-h"),Table6[],4,FALSE)</f>
        <v>1.6235714299338204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VLOOKUP(TEXT(A2357,"yy-mm")&amp;"-"&amp;IF(AND(WEEKDAY(A2357)&gt;1,WEEKDAY(A2357)&lt;7),"Wkd",TEXT(A2357,"Ddd"))&amp;"-"&amp;TEXT(A2357,"hh"),LoadTable[],5,FALSE)*0.92</f>
        <v>180.62544</v>
      </c>
      <c r="U2357" s="104">
        <f>VLOOKUP(TEXT(A2357,"yy-mm")&amp;"-"&amp;IF(AND(WEEKDAY(A2357)&gt;1,WEEKDAY(A2357)&lt;7),"Wkd",TEXT(A2357,"Ddd"))&amp;"-"&amp;TEXT(A2357,"hh"),LoadTable[],6,FALSE)*T2357</f>
        <v>8129.9510543999995</v>
      </c>
      <c r="V2357">
        <f t="shared" ref="V2357:W2357" si="2514">V2333</f>
        <v>2.8</v>
      </c>
      <c r="W2357">
        <f t="shared" si="2514"/>
        <v>3.2</v>
      </c>
      <c r="X2357" s="9">
        <v>-122.569812566671</v>
      </c>
    </row>
    <row r="2358" spans="1:24">
      <c r="A2358" s="29">
        <f t="shared" si="2461"/>
        <v>45934.124999994288</v>
      </c>
      <c r="B2358" s="30">
        <f t="shared" si="2485"/>
        <v>5000</v>
      </c>
      <c r="C2358" s="8">
        <v>25000</v>
      </c>
      <c r="D2358" s="8">
        <v>0</v>
      </c>
      <c r="E2358" s="8">
        <v>700</v>
      </c>
      <c r="F2358" s="8">
        <v>15000</v>
      </c>
      <c r="G2358" s="30">
        <f t="shared" si="2486"/>
        <v>2400</v>
      </c>
      <c r="H2358" s="8">
        <v>25000</v>
      </c>
      <c r="I2358" s="30">
        <f t="shared" si="2487"/>
        <v>5000</v>
      </c>
      <c r="J2358" s="8">
        <v>25000</v>
      </c>
      <c r="K2358" s="30">
        <f t="shared" si="2488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VLOOKUP(VLOOKUP(DATEVALUE(TEXT(A2358,"m/d/yyyy")),FY24_Temp[],5,FALSE)&amp;TEXT(A2358,"-h"),Table6[],4,FALSE)</f>
        <v>1.5127142838069372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VLOOKUP(TEXT(A2358,"yy-mm")&amp;"-"&amp;IF(AND(WEEKDAY(A2358)&gt;1,WEEKDAY(A2358)&lt;7),"Wkd",TEXT(A2358,"Ddd"))&amp;"-"&amp;TEXT(A2358,"hh"),LoadTable[],5,FALSE)*0.92</f>
        <v>180.62544</v>
      </c>
      <c r="U2358" s="104">
        <f>VLOOKUP(TEXT(A2358,"yy-mm")&amp;"-"&amp;IF(AND(WEEKDAY(A2358)&gt;1,WEEKDAY(A2358)&lt;7),"Wkd",TEXT(A2358,"Ddd"))&amp;"-"&amp;TEXT(A2358,"hh"),LoadTable[],6,FALSE)*T2358</f>
        <v>8141.5110825599995</v>
      </c>
      <c r="V2358">
        <f t="shared" ref="V2358:W2358" si="2515">V2334</f>
        <v>2.7</v>
      </c>
      <c r="W2358">
        <f t="shared" si="2515"/>
        <v>3.2</v>
      </c>
      <c r="X2358" s="9">
        <v>-122.647607116671</v>
      </c>
    </row>
    <row r="2359" spans="1:24">
      <c r="A2359" s="29">
        <f t="shared" si="2461"/>
        <v>45934.166666660953</v>
      </c>
      <c r="B2359" s="30">
        <f t="shared" si="2485"/>
        <v>5000</v>
      </c>
      <c r="C2359" s="8">
        <v>25000</v>
      </c>
      <c r="D2359" s="8">
        <v>0</v>
      </c>
      <c r="E2359" s="8">
        <v>700</v>
      </c>
      <c r="F2359" s="8">
        <v>15000</v>
      </c>
      <c r="G2359" s="30">
        <f t="shared" si="2486"/>
        <v>2400</v>
      </c>
      <c r="H2359" s="8">
        <v>25000</v>
      </c>
      <c r="I2359" s="30">
        <f t="shared" si="2487"/>
        <v>5000</v>
      </c>
      <c r="J2359" s="8">
        <v>25000</v>
      </c>
      <c r="K2359" s="30">
        <f t="shared" si="2488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VLOOKUP(VLOOKUP(DATEVALUE(TEXT(A2359,"m/d/yyyy")),FY24_Temp[],5,FALSE)&amp;TEXT(A2359,"-h"),Table6[],4,FALSE)</f>
        <v>1.4104285751070296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VLOOKUP(TEXT(A2359,"yy-mm")&amp;"-"&amp;IF(AND(WEEKDAY(A2359)&gt;1,WEEKDAY(A2359)&lt;7),"Wkd",TEXT(A2359,"Ddd"))&amp;"-"&amp;TEXT(A2359,"hh"),LoadTable[],5,FALSE)*0.92</f>
        <v>209.07184000000001</v>
      </c>
      <c r="U2359" s="104">
        <f>VLOOKUP(TEXT(A2359,"yy-mm")&amp;"-"&amp;IF(AND(WEEKDAY(A2359)&gt;1,WEEKDAY(A2359)&lt;7),"Wkd",TEXT(A2359,"Ddd"))&amp;"-"&amp;TEXT(A2359,"hh"),LoadTable[],6,FALSE)*T2359</f>
        <v>9412.2051649599998</v>
      </c>
      <c r="V2359">
        <f t="shared" ref="V2359:W2359" si="2516">V2335</f>
        <v>3</v>
      </c>
      <c r="W2359">
        <f t="shared" si="2516"/>
        <v>3.1</v>
      </c>
      <c r="X2359" s="9">
        <v>-122.725401666671</v>
      </c>
    </row>
    <row r="2360" spans="1:24">
      <c r="A2360" s="29">
        <f t="shared" si="2461"/>
        <v>45934.208333327617</v>
      </c>
      <c r="B2360" s="30">
        <f t="shared" si="2485"/>
        <v>5000</v>
      </c>
      <c r="C2360" s="8">
        <v>25000</v>
      </c>
      <c r="D2360" s="8">
        <v>0</v>
      </c>
      <c r="E2360" s="8">
        <v>700</v>
      </c>
      <c r="F2360" s="8">
        <v>15000</v>
      </c>
      <c r="G2360" s="30">
        <f t="shared" si="2486"/>
        <v>2400</v>
      </c>
      <c r="H2360" s="8">
        <v>25000</v>
      </c>
      <c r="I2360" s="30">
        <f t="shared" si="2487"/>
        <v>5000</v>
      </c>
      <c r="J2360" s="8">
        <v>25000</v>
      </c>
      <c r="K2360" s="30">
        <f t="shared" si="2488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VLOOKUP(VLOOKUP(DATEVALUE(TEXT(A2360,"m/d/yyyy")),FY24_Temp[],5,FALSE)&amp;TEXT(A2360,"-h"),Table6[],4,FALSE)</f>
        <v>1.3584285974502563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VLOOKUP(TEXT(A2360,"yy-mm")&amp;"-"&amp;IF(AND(WEEKDAY(A2360)&gt;1,WEEKDAY(A2360)&lt;7),"Wkd",TEXT(A2360,"Ddd"))&amp;"-"&amp;TEXT(A2360,"hh"),LoadTable[],5,FALSE)*0.92</f>
        <v>209.07184000000001</v>
      </c>
      <c r="U2360" s="104">
        <f>VLOOKUP(TEXT(A2360,"yy-mm")&amp;"-"&amp;IF(AND(WEEKDAY(A2360)&gt;1,WEEKDAY(A2360)&lt;7),"Wkd",TEXT(A2360,"Ddd"))&amp;"-"&amp;TEXT(A2360,"hh"),LoadTable[],6,FALSE)*T2360</f>
        <v>9445.4475875200005</v>
      </c>
      <c r="V2360">
        <f t="shared" ref="V2360:W2360" si="2517">V2336</f>
        <v>2.9</v>
      </c>
      <c r="W2360">
        <f t="shared" si="2517"/>
        <v>3.1</v>
      </c>
      <c r="X2360" s="9">
        <v>-122.803196216671</v>
      </c>
    </row>
    <row r="2361" spans="1:24">
      <c r="A2361" s="29">
        <f t="shared" si="2461"/>
        <v>45934.249999994281</v>
      </c>
      <c r="B2361" s="30">
        <f t="shared" si="2485"/>
        <v>8000</v>
      </c>
      <c r="C2361" s="8">
        <v>25000</v>
      </c>
      <c r="D2361" s="8">
        <v>0</v>
      </c>
      <c r="E2361" s="8">
        <v>700</v>
      </c>
      <c r="F2361" s="8">
        <v>15000</v>
      </c>
      <c r="G2361" s="30">
        <f t="shared" si="2486"/>
        <v>2400</v>
      </c>
      <c r="H2361" s="8">
        <v>25000</v>
      </c>
      <c r="I2361" s="30">
        <f t="shared" si="2487"/>
        <v>8000</v>
      </c>
      <c r="J2361" s="8">
        <v>25000</v>
      </c>
      <c r="K2361" s="30">
        <f t="shared" si="2488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VLOOKUP(VLOOKUP(DATEVALUE(TEXT(A2361,"m/d/yyyy")),FY24_Temp[],5,FALSE)&amp;TEXT(A2361,"-h"),Table6[],4,FALSE)</f>
        <v>1.2088571446282523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VLOOKUP(TEXT(A2361,"yy-mm")&amp;"-"&amp;IF(AND(WEEKDAY(A2361)&gt;1,WEEKDAY(A2361)&lt;7),"Wkd",TEXT(A2361,"Ddd"))&amp;"-"&amp;TEXT(A2361,"hh"),LoadTable[],5,FALSE)*0.92</f>
        <v>236.10788000000002</v>
      </c>
      <c r="U2361" s="104">
        <f>VLOOKUP(TEXT(A2361,"yy-mm")&amp;"-"&amp;IF(AND(WEEKDAY(A2361)&gt;1,WEEKDAY(A2361)&lt;7),"Wkd",TEXT(A2361,"Ddd"))&amp;"-"&amp;TEXT(A2361,"hh"),LoadTable[],6,FALSE)*T2361</f>
        <v>11185.610815000002</v>
      </c>
      <c r="V2361">
        <f t="shared" ref="V2361:W2361" si="2518">V2337</f>
        <v>2.5</v>
      </c>
      <c r="W2361">
        <f t="shared" si="2518"/>
        <v>3.1</v>
      </c>
      <c r="X2361" s="9">
        <v>-122.880990766671</v>
      </c>
    </row>
    <row r="2362" spans="1:24">
      <c r="A2362" s="29">
        <f t="shared" si="2461"/>
        <v>45934.291666660945</v>
      </c>
      <c r="B2362" s="30">
        <f t="shared" si="2485"/>
        <v>8000</v>
      </c>
      <c r="C2362" s="8">
        <v>25000</v>
      </c>
      <c r="D2362" s="8">
        <v>0</v>
      </c>
      <c r="E2362" s="8">
        <v>700</v>
      </c>
      <c r="F2362" s="8">
        <v>15000</v>
      </c>
      <c r="G2362" s="30">
        <f t="shared" si="2486"/>
        <v>2400</v>
      </c>
      <c r="H2362" s="8">
        <v>25000</v>
      </c>
      <c r="I2362" s="30">
        <f t="shared" si="2487"/>
        <v>8000</v>
      </c>
      <c r="J2362" s="8">
        <v>25000</v>
      </c>
      <c r="K2362" s="30">
        <f t="shared" si="2488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VLOOKUP(VLOOKUP(DATEVALUE(TEXT(A2362,"m/d/yyyy")),FY24_Temp[],5,FALSE)&amp;TEXT(A2362,"-h"),Table6[],4,FALSE)</f>
        <v>1.0575714196477617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VLOOKUP(TEXT(A2362,"yy-mm")&amp;"-"&amp;IF(AND(WEEKDAY(A2362)&gt;1,WEEKDAY(A2362)&lt;7),"Wkd",TEXT(A2362,"Ddd"))&amp;"-"&amp;TEXT(A2362,"hh"),LoadTable[],5,FALSE)*0.92</f>
        <v>236.10788000000002</v>
      </c>
      <c r="U2362" s="104">
        <f>VLOOKUP(TEXT(A2362,"yy-mm")&amp;"-"&amp;IF(AND(WEEKDAY(A2362)&gt;1,WEEKDAY(A2362)&lt;7),"Wkd",TEXT(A2362,"Ddd"))&amp;"-"&amp;TEXT(A2362,"hh"),LoadTable[],6,FALSE)*T2362</f>
        <v>11205.916092680001</v>
      </c>
      <c r="V2362">
        <f t="shared" ref="V2362:W2362" si="2519">V2338</f>
        <v>2.5</v>
      </c>
      <c r="W2362">
        <f t="shared" si="2519"/>
        <v>3.1</v>
      </c>
      <c r="X2362" s="9">
        <v>-122.958785316671</v>
      </c>
    </row>
    <row r="2363" spans="1:24">
      <c r="A2363" s="29">
        <f t="shared" si="2461"/>
        <v>45934.33333332761</v>
      </c>
      <c r="B2363" s="30">
        <f t="shared" si="2485"/>
        <v>8000</v>
      </c>
      <c r="C2363" s="8">
        <v>25000</v>
      </c>
      <c r="D2363" s="8">
        <v>0</v>
      </c>
      <c r="E2363" s="8">
        <v>700</v>
      </c>
      <c r="F2363" s="8">
        <v>15000</v>
      </c>
      <c r="G2363" s="30">
        <f t="shared" si="2486"/>
        <v>2400</v>
      </c>
      <c r="H2363" s="8">
        <v>25000</v>
      </c>
      <c r="I2363" s="30">
        <f t="shared" si="2487"/>
        <v>8000</v>
      </c>
      <c r="J2363" s="8">
        <v>25000</v>
      </c>
      <c r="K2363" s="30">
        <f t="shared" si="2488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VLOOKUP(VLOOKUP(DATEVALUE(TEXT(A2363,"m/d/yyyy")),FY24_Temp[],5,FALSE)&amp;TEXT(A2363,"-h"),Table6[],4,FALSE)</f>
        <v>0.95157144750867573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VLOOKUP(TEXT(A2363,"yy-mm")&amp;"-"&amp;IF(AND(WEEKDAY(A2363)&gt;1,WEEKDAY(A2363)&lt;7),"Wkd",TEXT(A2363,"Ddd"))&amp;"-"&amp;TEXT(A2363,"hh"),LoadTable[],5,FALSE)*0.92</f>
        <v>236.10788000000002</v>
      </c>
      <c r="U2363" s="104">
        <f>VLOOKUP(TEXT(A2363,"yy-mm")&amp;"-"&amp;IF(AND(WEEKDAY(A2363)&gt;1,WEEKDAY(A2363)&lt;7),"Wkd",TEXT(A2363,"Ddd"))&amp;"-"&amp;TEXT(A2363,"hh"),LoadTable[],6,FALSE)*T2363</f>
        <v>10774.546995920002</v>
      </c>
      <c r="V2363">
        <f t="shared" ref="V2363:W2363" si="2520">V2339</f>
        <v>3.2</v>
      </c>
      <c r="W2363">
        <f t="shared" si="2520"/>
        <v>3</v>
      </c>
      <c r="X2363" s="9">
        <v>-123.036579866671</v>
      </c>
    </row>
    <row r="2364" spans="1:24">
      <c r="A2364" s="29">
        <f t="shared" si="2461"/>
        <v>45934.374999994274</v>
      </c>
      <c r="B2364" s="30">
        <f t="shared" si="2485"/>
        <v>8000</v>
      </c>
      <c r="C2364" s="8">
        <v>25000</v>
      </c>
      <c r="D2364" s="8">
        <v>0</v>
      </c>
      <c r="E2364" s="8">
        <v>700</v>
      </c>
      <c r="F2364" s="8">
        <v>15000</v>
      </c>
      <c r="G2364" s="30">
        <f t="shared" si="2486"/>
        <v>2400</v>
      </c>
      <c r="H2364" s="8">
        <v>25000</v>
      </c>
      <c r="I2364" s="30">
        <f t="shared" si="2487"/>
        <v>8000</v>
      </c>
      <c r="J2364" s="8">
        <v>25000</v>
      </c>
      <c r="K2364" s="30">
        <f t="shared" si="2488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VLOOKUP(VLOOKUP(DATEVALUE(TEXT(A2364,"m/d/yyyy")),FY24_Temp[],5,FALSE)&amp;TEXT(A2364,"-h"),Table6[],4,FALSE)</f>
        <v>0.83871427604130333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VLOOKUP(TEXT(A2364,"yy-mm")&amp;"-"&amp;IF(AND(WEEKDAY(A2364)&gt;1,WEEKDAY(A2364)&lt;7),"Wkd",TEXT(A2364,"Ddd"))&amp;"-"&amp;TEXT(A2364,"hh"),LoadTable[],5,FALSE)*0.92</f>
        <v>236.10788000000002</v>
      </c>
      <c r="U2364" s="104">
        <f>VLOOKUP(TEXT(A2364,"yy-mm")&amp;"-"&amp;IF(AND(WEEKDAY(A2364)&gt;1,WEEKDAY(A2364)&lt;7),"Wkd",TEXT(A2364,"Ddd"))&amp;"-"&amp;TEXT(A2364,"hh"),LoadTable[],6,FALSE)*T2364</f>
        <v>10582.119073720001</v>
      </c>
      <c r="V2364">
        <f t="shared" ref="V2364:W2364" si="2521">V2340</f>
        <v>2.9</v>
      </c>
      <c r="W2364">
        <f t="shared" si="2521"/>
        <v>3</v>
      </c>
      <c r="X2364" s="9">
        <v>-123.114374416671</v>
      </c>
    </row>
    <row r="2365" spans="1:24">
      <c r="A2365" s="29">
        <f t="shared" si="2461"/>
        <v>45934.416666660938</v>
      </c>
      <c r="B2365" s="30">
        <f t="shared" si="2485"/>
        <v>8000</v>
      </c>
      <c r="C2365" s="8">
        <v>25000</v>
      </c>
      <c r="D2365" s="8">
        <v>0</v>
      </c>
      <c r="E2365" s="8">
        <v>700</v>
      </c>
      <c r="F2365" s="8">
        <v>15000</v>
      </c>
      <c r="G2365" s="30">
        <f t="shared" si="2486"/>
        <v>2400</v>
      </c>
      <c r="H2365" s="8">
        <v>25000</v>
      </c>
      <c r="I2365" s="30">
        <f t="shared" si="2487"/>
        <v>8000</v>
      </c>
      <c r="J2365" s="8">
        <v>25000</v>
      </c>
      <c r="K2365" s="30">
        <f t="shared" si="2488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VLOOKUP(VLOOKUP(DATEVALUE(TEXT(A2365,"m/d/yyyy")),FY24_Temp[],5,FALSE)&amp;TEXT(A2365,"-h"),Table6[],4,FALSE)</f>
        <v>0.72357143674577984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VLOOKUP(TEXT(A2365,"yy-mm")&amp;"-"&amp;IF(AND(WEEKDAY(A2365)&gt;1,WEEKDAY(A2365)&lt;7),"Wkd",TEXT(A2365,"Ddd"))&amp;"-"&amp;TEXT(A2365,"hh"),LoadTable[],5,FALSE)*0.92</f>
        <v>236.10788000000002</v>
      </c>
      <c r="U2365" s="104">
        <f>VLOOKUP(TEXT(A2365,"yy-mm")&amp;"-"&amp;IF(AND(WEEKDAY(A2365)&gt;1,WEEKDAY(A2365)&lt;7),"Wkd",TEXT(A2365,"Ddd"))&amp;"-"&amp;TEXT(A2365,"hh"),LoadTable[],6,FALSE)*T2365</f>
        <v>10558.272177840001</v>
      </c>
      <c r="V2365">
        <f t="shared" ref="V2365:W2365" si="2522">V2341</f>
        <v>2.9</v>
      </c>
      <c r="W2365">
        <f t="shared" si="2522"/>
        <v>3</v>
      </c>
      <c r="X2365" s="9">
        <v>-123.19216896667101</v>
      </c>
    </row>
    <row r="2366" spans="1:24">
      <c r="A2366" s="29">
        <f t="shared" si="2461"/>
        <v>45934.458333327602</v>
      </c>
      <c r="B2366" s="30">
        <f t="shared" si="2485"/>
        <v>8000</v>
      </c>
      <c r="C2366" s="8">
        <v>25000</v>
      </c>
      <c r="D2366" s="8">
        <v>0</v>
      </c>
      <c r="E2366" s="8">
        <v>700</v>
      </c>
      <c r="F2366" s="8">
        <v>15000</v>
      </c>
      <c r="G2366" s="30">
        <f t="shared" si="2486"/>
        <v>2400</v>
      </c>
      <c r="H2366" s="8">
        <v>25000</v>
      </c>
      <c r="I2366" s="30">
        <f t="shared" si="2487"/>
        <v>8000</v>
      </c>
      <c r="J2366" s="8">
        <v>25000</v>
      </c>
      <c r="K2366" s="30">
        <f t="shared" si="2488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VLOOKUP(VLOOKUP(DATEVALUE(TEXT(A2366,"m/d/yyyy")),FY24_Temp[],5,FALSE)&amp;TEXT(A2366,"-h"),Table6[],4,FALSE)</f>
        <v>0.61371428200176781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VLOOKUP(TEXT(A2366,"yy-mm")&amp;"-"&amp;IF(AND(WEEKDAY(A2366)&gt;1,WEEKDAY(A2366)&lt;7),"Wkd",TEXT(A2366,"Ddd"))&amp;"-"&amp;TEXT(A2366,"hh"),LoadTable[],5,FALSE)*0.92</f>
        <v>236.10788000000002</v>
      </c>
      <c r="U2366" s="104">
        <f>VLOOKUP(TEXT(A2366,"yy-mm")&amp;"-"&amp;IF(AND(WEEKDAY(A2366)&gt;1,WEEKDAY(A2366)&lt;7),"Wkd",TEXT(A2366,"Ddd"))&amp;"-"&amp;TEXT(A2366,"hh"),LoadTable[],6,FALSE)*T2366</f>
        <v>10539.38354744</v>
      </c>
      <c r="V2366">
        <f t="shared" ref="V2366:W2366" si="2523">V2342</f>
        <v>3.4</v>
      </c>
      <c r="W2366">
        <f t="shared" si="2523"/>
        <v>3</v>
      </c>
      <c r="X2366" s="9">
        <v>-123.269963516671</v>
      </c>
    </row>
    <row r="2367" spans="1:24">
      <c r="A2367" s="29">
        <f t="shared" si="2461"/>
        <v>45934.499999994267</v>
      </c>
      <c r="B2367" s="30">
        <f t="shared" si="2485"/>
        <v>8000</v>
      </c>
      <c r="C2367" s="8">
        <v>25000</v>
      </c>
      <c r="D2367" s="8">
        <v>0</v>
      </c>
      <c r="E2367" s="8">
        <v>700</v>
      </c>
      <c r="F2367" s="8">
        <v>15000</v>
      </c>
      <c r="G2367" s="30">
        <f t="shared" si="2486"/>
        <v>2400</v>
      </c>
      <c r="H2367" s="8">
        <v>25000</v>
      </c>
      <c r="I2367" s="30">
        <f t="shared" si="2487"/>
        <v>8000</v>
      </c>
      <c r="J2367" s="8">
        <v>25000</v>
      </c>
      <c r="K2367" s="30">
        <f t="shared" si="2488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VLOOKUP(VLOOKUP(DATEVALUE(TEXT(A2367,"m/d/yyyy")),FY24_Temp[],5,FALSE)&amp;TEXT(A2367,"-h"),Table6[],4,FALSE)</f>
        <v>0.48757142680031912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VLOOKUP(TEXT(A2367,"yy-mm")&amp;"-"&amp;IF(AND(WEEKDAY(A2367)&gt;1,WEEKDAY(A2367)&lt;7),"Wkd",TEXT(A2367,"Ddd"))&amp;"-"&amp;TEXT(A2367,"hh"),LoadTable[],5,FALSE)*0.92</f>
        <v>236.10788000000002</v>
      </c>
      <c r="U2367" s="104">
        <f>VLOOKUP(TEXT(A2367,"yy-mm")&amp;"-"&amp;IF(AND(WEEKDAY(A2367)&gt;1,WEEKDAY(A2367)&lt;7),"Wkd",TEXT(A2367,"Ddd"))&amp;"-"&amp;TEXT(A2367,"hh"),LoadTable[],6,FALSE)*T2367</f>
        <v>10532.30031104</v>
      </c>
      <c r="V2367">
        <f t="shared" ref="V2367:W2367" si="2524">V2343</f>
        <v>3.1</v>
      </c>
      <c r="W2367">
        <f t="shared" si="2524"/>
        <v>2.9</v>
      </c>
      <c r="X2367" s="9">
        <v>-123.34775806667101</v>
      </c>
    </row>
    <row r="2368" spans="1:24">
      <c r="A2368" s="29">
        <f t="shared" si="2461"/>
        <v>45934.541666660931</v>
      </c>
      <c r="B2368" s="30">
        <f t="shared" si="2485"/>
        <v>8000</v>
      </c>
      <c r="C2368" s="8">
        <v>25000</v>
      </c>
      <c r="D2368" s="8">
        <v>0</v>
      </c>
      <c r="E2368" s="8">
        <v>700</v>
      </c>
      <c r="F2368" s="8">
        <v>15000</v>
      </c>
      <c r="G2368" s="30">
        <f t="shared" si="2486"/>
        <v>2400</v>
      </c>
      <c r="H2368" s="8">
        <v>25000</v>
      </c>
      <c r="I2368" s="30">
        <f t="shared" si="2487"/>
        <v>8000</v>
      </c>
      <c r="J2368" s="8">
        <v>25000</v>
      </c>
      <c r="K2368" s="30">
        <f t="shared" si="2488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VLOOKUP(VLOOKUP(DATEVALUE(TEXT(A2368,"m/d/yyyy")),FY24_Temp[],5,FALSE)&amp;TEXT(A2368,"-h"),Table6[],4,FALSE)</f>
        <v>0.37585713820798056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VLOOKUP(TEXT(A2368,"yy-mm")&amp;"-"&amp;IF(AND(WEEKDAY(A2368)&gt;1,WEEKDAY(A2368)&lt;7),"Wkd",TEXT(A2368,"Ddd"))&amp;"-"&amp;TEXT(A2368,"hh"),LoadTable[],5,FALSE)*0.92</f>
        <v>236.10788000000002</v>
      </c>
      <c r="U2368" s="104">
        <f>VLOOKUP(TEXT(A2368,"yy-mm")&amp;"-"&amp;IF(AND(WEEKDAY(A2368)&gt;1,WEEKDAY(A2368)&lt;7),"Wkd",TEXT(A2368,"Ddd"))&amp;"-"&amp;TEXT(A2368,"hh"),LoadTable[],6,FALSE)*T2368</f>
        <v>10537.966900160001</v>
      </c>
      <c r="V2368">
        <f t="shared" ref="V2368:W2368" si="2525">V2344</f>
        <v>3.2</v>
      </c>
      <c r="W2368">
        <f t="shared" si="2525"/>
        <v>2.9</v>
      </c>
      <c r="X2368" s="9">
        <v>-123.425552616671</v>
      </c>
    </row>
    <row r="2369" spans="1:24">
      <c r="A2369" s="29">
        <f t="shared" si="2461"/>
        <v>45934.583333327595</v>
      </c>
      <c r="B2369" s="30">
        <f t="shared" si="2485"/>
        <v>8000</v>
      </c>
      <c r="C2369" s="8">
        <v>25000</v>
      </c>
      <c r="D2369" s="8">
        <v>0</v>
      </c>
      <c r="E2369" s="8">
        <v>700</v>
      </c>
      <c r="F2369" s="8">
        <v>15000</v>
      </c>
      <c r="G2369" s="30">
        <f t="shared" si="2486"/>
        <v>2400</v>
      </c>
      <c r="H2369" s="8">
        <v>25000</v>
      </c>
      <c r="I2369" s="30">
        <f t="shared" si="2487"/>
        <v>8000</v>
      </c>
      <c r="J2369" s="8">
        <v>25000</v>
      </c>
      <c r="K2369" s="30">
        <f t="shared" si="2488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VLOOKUP(VLOOKUP(DATEVALUE(TEXT(A2369,"m/d/yyyy")),FY24_Temp[],5,FALSE)&amp;TEXT(A2369,"-h"),Table6[],4,FALSE)</f>
        <v>0.32000000349112917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VLOOKUP(TEXT(A2369,"yy-mm")&amp;"-"&amp;IF(AND(WEEKDAY(A2369)&gt;1,WEEKDAY(A2369)&lt;7),"Wkd",TEXT(A2369,"Ddd"))&amp;"-"&amp;TEXT(A2369,"hh"),LoadTable[],5,FALSE)*0.92</f>
        <v>236.10788000000002</v>
      </c>
      <c r="U2369" s="104">
        <f>VLOOKUP(TEXT(A2369,"yy-mm")&amp;"-"&amp;IF(AND(WEEKDAY(A2369)&gt;1,WEEKDAY(A2369)&lt;7),"Wkd",TEXT(A2369,"Ddd"))&amp;"-"&amp;TEXT(A2369,"hh"),LoadTable[],6,FALSE)*T2369</f>
        <v>10545.050136560001</v>
      </c>
      <c r="V2369">
        <f t="shared" ref="V2369:W2369" si="2526">V2345</f>
        <v>3.5</v>
      </c>
      <c r="W2369">
        <f t="shared" si="2526"/>
        <v>2.9</v>
      </c>
      <c r="X2369" s="9">
        <v>-123.50334716667101</v>
      </c>
    </row>
    <row r="2370" spans="1:24">
      <c r="A2370" s="29">
        <f t="shared" si="2461"/>
        <v>45934.624999994259</v>
      </c>
      <c r="B2370" s="30">
        <f t="shared" si="2485"/>
        <v>8000</v>
      </c>
      <c r="C2370" s="8">
        <v>25000</v>
      </c>
      <c r="D2370" s="8">
        <v>0</v>
      </c>
      <c r="E2370" s="8">
        <v>700</v>
      </c>
      <c r="F2370" s="8">
        <v>15000</v>
      </c>
      <c r="G2370" s="30">
        <f t="shared" si="2486"/>
        <v>2400</v>
      </c>
      <c r="H2370" s="8">
        <v>25000</v>
      </c>
      <c r="I2370" s="30">
        <f t="shared" si="2487"/>
        <v>8000</v>
      </c>
      <c r="J2370" s="8">
        <v>25000</v>
      </c>
      <c r="K2370" s="30">
        <f t="shared" si="2488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VLOOKUP(VLOOKUP(DATEVALUE(TEXT(A2370,"m/d/yyyy")),FY24_Temp[],5,FALSE)&amp;TEXT(A2370,"-h"),Table6[],4,FALSE)</f>
        <v>0.4050000011920929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VLOOKUP(TEXT(A2370,"yy-mm")&amp;"-"&amp;IF(AND(WEEKDAY(A2370)&gt;1,WEEKDAY(A2370)&lt;7),"Wkd",TEXT(A2370,"Ddd"))&amp;"-"&amp;TEXT(A2370,"hh"),LoadTable[],5,FALSE)*0.92</f>
        <v>236.10788000000002</v>
      </c>
      <c r="U2370" s="104">
        <f>VLOOKUP(TEXT(A2370,"yy-mm")&amp;"-"&amp;IF(AND(WEEKDAY(A2370)&gt;1,WEEKDAY(A2370)&lt;7),"Wkd",TEXT(A2370,"Ddd"))&amp;"-"&amp;TEXT(A2370,"hh"),LoadTable[],6,FALSE)*T2370</f>
        <v>10562.286011800001</v>
      </c>
      <c r="V2370">
        <f t="shared" ref="V2370:W2370" si="2527">V2346</f>
        <v>3.2</v>
      </c>
      <c r="W2370">
        <f t="shared" si="2527"/>
        <v>2.9</v>
      </c>
      <c r="X2370" s="9">
        <v>-123.581141716671</v>
      </c>
    </row>
    <row r="2371" spans="1:24">
      <c r="A2371" s="29">
        <f t="shared" si="2461"/>
        <v>45934.666666660924</v>
      </c>
      <c r="B2371" s="30">
        <f t="shared" si="2485"/>
        <v>8000</v>
      </c>
      <c r="C2371" s="8">
        <v>25000</v>
      </c>
      <c r="D2371" s="8">
        <v>0</v>
      </c>
      <c r="E2371" s="8">
        <v>700</v>
      </c>
      <c r="F2371" s="8">
        <v>15000</v>
      </c>
      <c r="G2371" s="30">
        <f t="shared" si="2486"/>
        <v>2400</v>
      </c>
      <c r="H2371" s="8">
        <v>25000</v>
      </c>
      <c r="I2371" s="30">
        <f t="shared" si="2487"/>
        <v>8000</v>
      </c>
      <c r="J2371" s="8">
        <v>25000</v>
      </c>
      <c r="K2371" s="30">
        <f t="shared" si="2488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VLOOKUP(VLOOKUP(DATEVALUE(TEXT(A2371,"m/d/yyyy")),FY24_Temp[],5,FALSE)&amp;TEXT(A2371,"-h"),Table6[],4,FALSE)</f>
        <v>0.67542857357433861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VLOOKUP(TEXT(A2371,"yy-mm")&amp;"-"&amp;IF(AND(WEEKDAY(A2371)&gt;1,WEEKDAY(A2371)&lt;7),"Wkd",TEXT(A2371,"Ddd"))&amp;"-"&amp;TEXT(A2371,"hh"),LoadTable[],5,FALSE)*0.92</f>
        <v>236.10788000000002</v>
      </c>
      <c r="U2371" s="104">
        <f>VLOOKUP(TEXT(A2371,"yy-mm")&amp;"-"&amp;IF(AND(WEEKDAY(A2371)&gt;1,WEEKDAY(A2371)&lt;7),"Wkd",TEXT(A2371,"Ddd"))&amp;"-"&amp;TEXT(A2371,"hh"),LoadTable[],6,FALSE)*T2371</f>
        <v>10585.660691920002</v>
      </c>
      <c r="V2371">
        <f t="shared" ref="V2371:W2371" si="2528">V2347</f>
        <v>3.5</v>
      </c>
      <c r="W2371">
        <f t="shared" si="2528"/>
        <v>3</v>
      </c>
      <c r="X2371" s="9">
        <v>-123.65893626667101</v>
      </c>
    </row>
    <row r="2372" spans="1:24">
      <c r="A2372" s="29">
        <f t="shared" si="2461"/>
        <v>45934.708333327588</v>
      </c>
      <c r="B2372" s="30">
        <f t="shared" si="2485"/>
        <v>8000</v>
      </c>
      <c r="C2372" s="8">
        <v>25000</v>
      </c>
      <c r="D2372" s="8">
        <v>0</v>
      </c>
      <c r="E2372" s="8">
        <v>700</v>
      </c>
      <c r="F2372" s="8">
        <v>15000</v>
      </c>
      <c r="G2372" s="30">
        <f t="shared" si="2486"/>
        <v>2400</v>
      </c>
      <c r="H2372" s="8">
        <v>25000</v>
      </c>
      <c r="I2372" s="30">
        <f t="shared" si="2487"/>
        <v>8000</v>
      </c>
      <c r="J2372" s="8">
        <v>25000</v>
      </c>
      <c r="K2372" s="30">
        <f t="shared" si="2488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VLOOKUP(VLOOKUP(DATEVALUE(TEXT(A2372,"m/d/yyyy")),FY24_Temp[],5,FALSE)&amp;TEXT(A2372,"-h"),Table6[],4,FALSE)</f>
        <v>1.0648571423121862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VLOOKUP(TEXT(A2372,"yy-mm")&amp;"-"&amp;IF(AND(WEEKDAY(A2372)&gt;1,WEEKDAY(A2372)&lt;7),"Wkd",TEXT(A2372,"Ddd"))&amp;"-"&amp;TEXT(A2372,"hh"),LoadTable[],5,FALSE)*0.92</f>
        <v>236.10788000000002</v>
      </c>
      <c r="U2372" s="104">
        <f>VLOOKUP(TEXT(A2372,"yy-mm")&amp;"-"&amp;IF(AND(WEEKDAY(A2372)&gt;1,WEEKDAY(A2372)&lt;7),"Wkd",TEXT(A2372,"Ddd"))&amp;"-"&amp;TEXT(A2372,"hh"),LoadTable[],6,FALSE)*T2372</f>
        <v>10937.933648880002</v>
      </c>
      <c r="V2372">
        <f t="shared" ref="V2372:W2372" si="2529">V2348</f>
        <v>3.6</v>
      </c>
      <c r="W2372">
        <f t="shared" si="2529"/>
        <v>3</v>
      </c>
      <c r="X2372" s="9">
        <v>-123.736730816671</v>
      </c>
    </row>
    <row r="2373" spans="1:24">
      <c r="A2373" s="29">
        <f t="shared" ref="A2373:A2436" si="2530">A2372+TIME(1,0,0)</f>
        <v>45934.749999994252</v>
      </c>
      <c r="B2373" s="30">
        <f t="shared" si="2485"/>
        <v>5000</v>
      </c>
      <c r="C2373" s="8">
        <v>25000</v>
      </c>
      <c r="D2373" s="8">
        <v>0</v>
      </c>
      <c r="E2373" s="8">
        <v>700</v>
      </c>
      <c r="F2373" s="8">
        <v>15000</v>
      </c>
      <c r="G2373" s="30">
        <f t="shared" si="2486"/>
        <v>2400</v>
      </c>
      <c r="H2373" s="8">
        <v>25000</v>
      </c>
      <c r="I2373" s="30">
        <f t="shared" si="2487"/>
        <v>5000</v>
      </c>
      <c r="J2373" s="8">
        <v>25000</v>
      </c>
      <c r="K2373" s="30">
        <f t="shared" si="2488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VLOOKUP(VLOOKUP(DATEVALUE(TEXT(A2373,"m/d/yyyy")),FY24_Temp[],5,FALSE)&amp;TEXT(A2373,"-h"),Table6[],4,FALSE)</f>
        <v>1.3020000287464686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VLOOKUP(TEXT(A2373,"yy-mm")&amp;"-"&amp;IF(AND(WEEKDAY(A2373)&gt;1,WEEKDAY(A2373)&lt;7),"Wkd",TEXT(A2373,"Ddd"))&amp;"-"&amp;TEXT(A2373,"hh"),LoadTable[],5,FALSE)*0.92</f>
        <v>308.12363999999997</v>
      </c>
      <c r="U2373" s="104">
        <f>VLOOKUP(TEXT(A2373,"yy-mm")&amp;"-"&amp;IF(AND(WEEKDAY(A2373)&gt;1,WEEKDAY(A2373)&lt;7),"Wkd",TEXT(A2373,"Ddd"))&amp;"-"&amp;TEXT(A2373,"hh"),LoadTable[],6,FALSE)*T2373</f>
        <v>14937.525943559998</v>
      </c>
      <c r="V2373">
        <f t="shared" ref="V2373:W2373" si="2531">V2349</f>
        <v>2.9</v>
      </c>
      <c r="W2373">
        <f t="shared" si="2531"/>
        <v>3</v>
      </c>
      <c r="X2373" s="9">
        <v>-123.81452536667101</v>
      </c>
    </row>
    <row r="2374" spans="1:24">
      <c r="A2374" s="29">
        <f t="shared" si="2530"/>
        <v>45934.791666660916</v>
      </c>
      <c r="B2374" s="30">
        <f t="shared" si="2485"/>
        <v>5000</v>
      </c>
      <c r="C2374" s="8">
        <v>25000</v>
      </c>
      <c r="D2374" s="8">
        <v>0</v>
      </c>
      <c r="E2374" s="8">
        <v>700</v>
      </c>
      <c r="F2374" s="8">
        <v>15000</v>
      </c>
      <c r="G2374" s="30">
        <f t="shared" si="2486"/>
        <v>2400</v>
      </c>
      <c r="H2374" s="8">
        <v>25000</v>
      </c>
      <c r="I2374" s="30">
        <f t="shared" si="2487"/>
        <v>5000</v>
      </c>
      <c r="J2374" s="8">
        <v>25000</v>
      </c>
      <c r="K2374" s="30">
        <f t="shared" si="2488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VLOOKUP(VLOOKUP(DATEVALUE(TEXT(A2374,"m/d/yyyy")),FY24_Temp[],5,FALSE)&amp;TEXT(A2374,"-h"),Table6[],4,FALSE)</f>
        <v>1.449857132775443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VLOOKUP(TEXT(A2374,"yy-mm")&amp;"-"&amp;IF(AND(WEEKDAY(A2374)&gt;1,WEEKDAY(A2374)&lt;7),"Wkd",TEXT(A2374,"Ddd"))&amp;"-"&amp;TEXT(A2374,"hh"),LoadTable[],5,FALSE)*0.92</f>
        <v>308.12363999999997</v>
      </c>
      <c r="U2374" s="104">
        <f>VLOOKUP(TEXT(A2374,"yy-mm")&amp;"-"&amp;IF(AND(WEEKDAY(A2374)&gt;1,WEEKDAY(A2374)&lt;7),"Wkd",TEXT(A2374,"Ddd"))&amp;"-"&amp;TEXT(A2374,"hh"),LoadTable[],6,FALSE)*T2374</f>
        <v>15039.206744759998</v>
      </c>
      <c r="V2374">
        <f t="shared" ref="V2374:W2374" si="2532">V2350</f>
        <v>3</v>
      </c>
      <c r="W2374">
        <f t="shared" si="2532"/>
        <v>3</v>
      </c>
      <c r="X2374" s="9">
        <v>-123.892319916671</v>
      </c>
    </row>
    <row r="2375" spans="1:24">
      <c r="A2375" s="29">
        <f t="shared" si="2530"/>
        <v>45934.83333332758</v>
      </c>
      <c r="B2375" s="30">
        <f t="shared" si="2485"/>
        <v>5000</v>
      </c>
      <c r="C2375" s="8">
        <v>25000</v>
      </c>
      <c r="D2375" s="8">
        <v>0</v>
      </c>
      <c r="E2375" s="8">
        <v>700</v>
      </c>
      <c r="F2375" s="8">
        <v>15000</v>
      </c>
      <c r="G2375" s="30">
        <f t="shared" si="2486"/>
        <v>2400</v>
      </c>
      <c r="H2375" s="8">
        <v>25000</v>
      </c>
      <c r="I2375" s="30">
        <f t="shared" si="2487"/>
        <v>5000</v>
      </c>
      <c r="J2375" s="8">
        <v>25000</v>
      </c>
      <c r="K2375" s="30">
        <f t="shared" si="2488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VLOOKUP(VLOOKUP(DATEVALUE(TEXT(A2375,"m/d/yyyy")),FY24_Temp[],5,FALSE)&amp;TEXT(A2375,"-h"),Table6[],4,FALSE)</f>
        <v>1.5270000014986311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VLOOKUP(TEXT(A2375,"yy-mm")&amp;"-"&amp;IF(AND(WEEKDAY(A2375)&gt;1,WEEKDAY(A2375)&lt;7),"Wkd",TEXT(A2375,"Ddd"))&amp;"-"&amp;TEXT(A2375,"hh"),LoadTable[],5,FALSE)*0.92</f>
        <v>254.40852000000001</v>
      </c>
      <c r="U2375" s="104">
        <f>VLOOKUP(TEXT(A2375,"yy-mm")&amp;"-"&amp;IF(AND(WEEKDAY(A2375)&gt;1,WEEKDAY(A2375)&lt;7),"Wkd",TEXT(A2375,"Ddd"))&amp;"-"&amp;TEXT(A2375,"hh"),LoadTable[],6,FALSE)*T2375</f>
        <v>12270.377328120001</v>
      </c>
      <c r="V2375">
        <f t="shared" ref="V2375:W2375" si="2533">V2351</f>
        <v>2.8</v>
      </c>
      <c r="W2375">
        <f t="shared" si="2533"/>
        <v>3.1</v>
      </c>
      <c r="X2375" s="9">
        <v>-123.97011446667101</v>
      </c>
    </row>
    <row r="2376" spans="1:24">
      <c r="A2376" s="29">
        <f t="shared" si="2530"/>
        <v>45934.874999994245</v>
      </c>
      <c r="B2376" s="30">
        <f t="shared" si="2485"/>
        <v>5000</v>
      </c>
      <c r="C2376" s="8">
        <v>25000</v>
      </c>
      <c r="D2376" s="8">
        <v>0</v>
      </c>
      <c r="E2376" s="8">
        <v>700</v>
      </c>
      <c r="F2376" s="8">
        <v>15000</v>
      </c>
      <c r="G2376" s="30">
        <f t="shared" si="2486"/>
        <v>2400</v>
      </c>
      <c r="H2376" s="8">
        <v>25000</v>
      </c>
      <c r="I2376" s="30">
        <f t="shared" si="2487"/>
        <v>5000</v>
      </c>
      <c r="J2376" s="8">
        <v>25000</v>
      </c>
      <c r="K2376" s="30">
        <f t="shared" si="2488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VLOOKUP(VLOOKUP(DATEVALUE(TEXT(A2376,"m/d/yyyy")),FY24_Temp[],5,FALSE)&amp;TEXT(A2376,"-h"),Table6[],4,FALSE)</f>
        <v>1.6015714406967163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VLOOKUP(TEXT(A2376,"yy-mm")&amp;"-"&amp;IF(AND(WEEKDAY(A2376)&gt;1,WEEKDAY(A2376)&lt;7),"Wkd",TEXT(A2376,"Ddd"))&amp;"-"&amp;TEXT(A2376,"hh"),LoadTable[],5,FALSE)*0.92</f>
        <v>180.62544</v>
      </c>
      <c r="U2376" s="104">
        <f>VLOOKUP(TEXT(A2376,"yy-mm")&amp;"-"&amp;IF(AND(WEEKDAY(A2376)&gt;1,WEEKDAY(A2376)&lt;7),"Wkd",TEXT(A2376,"Ddd"))&amp;"-"&amp;TEXT(A2376,"hh"),LoadTable[],6,FALSE)*T2376</f>
        <v>8522.4501355199991</v>
      </c>
      <c r="V2376">
        <f t="shared" ref="V2376:W2376" si="2534">V2352</f>
        <v>3.5</v>
      </c>
      <c r="W2376">
        <f t="shared" si="2534"/>
        <v>3.1</v>
      </c>
      <c r="X2376" s="9">
        <v>-124.047909016671</v>
      </c>
    </row>
    <row r="2377" spans="1:24">
      <c r="A2377" s="29">
        <f t="shared" si="2530"/>
        <v>45934.916666660909</v>
      </c>
      <c r="B2377" s="30">
        <f t="shared" si="2485"/>
        <v>5000</v>
      </c>
      <c r="C2377" s="8">
        <v>25000</v>
      </c>
      <c r="D2377" s="8">
        <v>0</v>
      </c>
      <c r="E2377" s="8">
        <v>700</v>
      </c>
      <c r="F2377" s="8">
        <v>15000</v>
      </c>
      <c r="G2377" s="30">
        <f t="shared" si="2486"/>
        <v>2400</v>
      </c>
      <c r="H2377" s="8">
        <v>25000</v>
      </c>
      <c r="I2377" s="30">
        <f t="shared" si="2487"/>
        <v>5000</v>
      </c>
      <c r="J2377" s="8">
        <v>25000</v>
      </c>
      <c r="K2377" s="30">
        <f t="shared" si="2488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VLOOKUP(VLOOKUP(DATEVALUE(TEXT(A2377,"m/d/yyyy")),FY24_Temp[],5,FALSE)&amp;TEXT(A2377,"-h"),Table6[],4,FALSE)</f>
        <v>1.6414285898208618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VLOOKUP(TEXT(A2377,"yy-mm")&amp;"-"&amp;IF(AND(WEEKDAY(A2377)&gt;1,WEEKDAY(A2377)&lt;7),"Wkd",TEXT(A2377,"Ddd"))&amp;"-"&amp;TEXT(A2377,"hh"),LoadTable[],5,FALSE)*0.92</f>
        <v>180.62544</v>
      </c>
      <c r="U2377" s="104">
        <f>VLOOKUP(TEXT(A2377,"yy-mm")&amp;"-"&amp;IF(AND(WEEKDAY(A2377)&gt;1,WEEKDAY(A2377)&lt;7),"Wkd",TEXT(A2377,"Ddd"))&amp;"-"&amp;TEXT(A2377,"hh"),LoadTable[],6,FALSE)*T2377</f>
        <v>8193.1699583999998</v>
      </c>
      <c r="V2377">
        <f t="shared" ref="V2377:W2377" si="2535">V2353</f>
        <v>2.9</v>
      </c>
      <c r="W2377">
        <f t="shared" si="2535"/>
        <v>3.1</v>
      </c>
      <c r="X2377" s="9">
        <v>-124.12570356667101</v>
      </c>
    </row>
    <row r="2378" spans="1:24">
      <c r="A2378" s="29">
        <f t="shared" si="2530"/>
        <v>45934.958333327573</v>
      </c>
      <c r="B2378" s="30">
        <f t="shared" si="2485"/>
        <v>5000</v>
      </c>
      <c r="C2378" s="8">
        <v>25000</v>
      </c>
      <c r="D2378" s="8">
        <v>0</v>
      </c>
      <c r="E2378" s="8">
        <v>700</v>
      </c>
      <c r="F2378" s="8">
        <v>15000</v>
      </c>
      <c r="G2378" s="30">
        <f t="shared" si="2486"/>
        <v>2400</v>
      </c>
      <c r="H2378" s="8">
        <v>25000</v>
      </c>
      <c r="I2378" s="30">
        <f t="shared" si="2487"/>
        <v>5000</v>
      </c>
      <c r="J2378" s="8">
        <v>25000</v>
      </c>
      <c r="K2378" s="30">
        <f t="shared" si="2488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VLOOKUP(VLOOKUP(DATEVALUE(TEXT(A2378,"m/d/yyyy")),FY24_Temp[],5,FALSE)&amp;TEXT(A2378,"-h"),Table6[],4,FALSE)</f>
        <v>1.6130000182560511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VLOOKUP(TEXT(A2378,"yy-mm")&amp;"-"&amp;IF(AND(WEEKDAY(A2378)&gt;1,WEEKDAY(A2378)&lt;7),"Wkd",TEXT(A2378,"Ddd"))&amp;"-"&amp;TEXT(A2378,"hh"),LoadTable[],5,FALSE)*0.92</f>
        <v>180.62544</v>
      </c>
      <c r="U2378" s="104">
        <f>VLOOKUP(TEXT(A2378,"yy-mm")&amp;"-"&amp;IF(AND(WEEKDAY(A2378)&gt;1,WEEKDAY(A2378)&lt;7),"Wkd",TEXT(A2378,"Ddd"))&amp;"-"&amp;TEXT(A2378,"hh"),LoadTable[],6,FALSE)*T2378</f>
        <v>8178.1780468799998</v>
      </c>
      <c r="V2378">
        <f t="shared" ref="V2378:W2378" si="2536">V2354</f>
        <v>3.6</v>
      </c>
      <c r="W2378">
        <f t="shared" si="2536"/>
        <v>3.1</v>
      </c>
      <c r="X2378" s="9">
        <v>-124.203498116671</v>
      </c>
    </row>
    <row r="2379" spans="1:24">
      <c r="A2379" s="29">
        <f t="shared" si="2530"/>
        <v>45934.999999994237</v>
      </c>
      <c r="B2379" s="30">
        <f t="shared" si="2485"/>
        <v>5000</v>
      </c>
      <c r="C2379" s="8">
        <v>25000</v>
      </c>
      <c r="D2379" s="8">
        <v>0</v>
      </c>
      <c r="E2379" s="8">
        <v>700</v>
      </c>
      <c r="F2379" s="8">
        <v>15000</v>
      </c>
      <c r="G2379" s="30">
        <f t="shared" si="2486"/>
        <v>2400</v>
      </c>
      <c r="H2379" s="8">
        <v>25000</v>
      </c>
      <c r="I2379" s="30">
        <f t="shared" si="2487"/>
        <v>5000</v>
      </c>
      <c r="J2379" s="8">
        <v>25000</v>
      </c>
      <c r="K2379" s="30">
        <f t="shared" si="2488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VLOOKUP(VLOOKUP(DATEVALUE(TEXT(A2379,"m/d/yyyy")),FY24_Temp[],5,FALSE)&amp;TEXT(A2379,"-h"),Table6[],4,FALSE)</f>
        <v>1.6792856965746199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VLOOKUP(TEXT(A2379,"yy-mm")&amp;"-"&amp;IF(AND(WEEKDAY(A2379)&gt;1,WEEKDAY(A2379)&lt;7),"Wkd",TEXT(A2379,"Ddd"))&amp;"-"&amp;TEXT(A2379,"hh"),LoadTable[],5,FALSE)*0.92</f>
        <v>180.62544</v>
      </c>
      <c r="U2379" s="104">
        <f>VLOOKUP(TEXT(A2379,"yy-mm")&amp;"-"&amp;IF(AND(WEEKDAY(A2379)&gt;1,WEEKDAY(A2379)&lt;7),"Wkd",TEXT(A2379,"Ddd"))&amp;"-"&amp;TEXT(A2379,"hh"),LoadTable[],6,FALSE)*T2379</f>
        <v>8118.2104007999997</v>
      </c>
      <c r="V2379">
        <f t="shared" ref="V2379:W2379" si="2537">V2355</f>
        <v>3</v>
      </c>
      <c r="W2379">
        <f t="shared" si="2537"/>
        <v>3.2</v>
      </c>
      <c r="X2379" s="9">
        <v>-124.28129266667101</v>
      </c>
    </row>
    <row r="2380" spans="1:24">
      <c r="A2380" s="29">
        <f t="shared" si="2530"/>
        <v>45935.041666660902</v>
      </c>
      <c r="B2380" s="30">
        <f t="shared" si="2485"/>
        <v>5000</v>
      </c>
      <c r="C2380" s="8">
        <v>25000</v>
      </c>
      <c r="D2380" s="8">
        <v>0</v>
      </c>
      <c r="E2380" s="8">
        <v>700</v>
      </c>
      <c r="F2380" s="8">
        <v>15000</v>
      </c>
      <c r="G2380" s="30">
        <f t="shared" si="2486"/>
        <v>2400</v>
      </c>
      <c r="H2380" s="8">
        <v>25000</v>
      </c>
      <c r="I2380" s="30">
        <f t="shared" si="2487"/>
        <v>5000</v>
      </c>
      <c r="J2380" s="8">
        <v>25000</v>
      </c>
      <c r="K2380" s="30">
        <f t="shared" si="2488"/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VLOOKUP(VLOOKUP(DATEVALUE(TEXT(A2380,"m/d/yyyy")),FY24_Temp[],5,FALSE)&amp;TEXT(A2380,"-h"),Table6[],4,FALSE)</f>
        <v>1.6901428699493408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VLOOKUP(TEXT(A2380,"yy-mm")&amp;"-"&amp;IF(AND(WEEKDAY(A2380)&gt;1,WEEKDAY(A2380)&lt;7),"Wkd",TEXT(A2380,"Ddd"))&amp;"-"&amp;TEXT(A2380,"hh"),LoadTable[],5,FALSE)*0.92</f>
        <v>180.62544</v>
      </c>
      <c r="U2380" s="104">
        <f>VLOOKUP(TEXT(A2380,"yy-mm")&amp;"-"&amp;IF(AND(WEEKDAY(A2380)&gt;1,WEEKDAY(A2380)&lt;7),"Wkd",TEXT(A2380,"Ddd"))&amp;"-"&amp;TEXT(A2380,"hh"),LoadTable[],6,FALSE)*T2380</f>
        <v>8109.7210051200009</v>
      </c>
      <c r="V2380">
        <f t="shared" ref="V2380:W2380" si="2538">V2356</f>
        <v>2.6</v>
      </c>
      <c r="W2380">
        <f t="shared" si="2538"/>
        <v>3.2</v>
      </c>
      <c r="X2380" s="9">
        <v>-124.359087216671</v>
      </c>
    </row>
    <row r="2381" spans="1:24">
      <c r="A2381" s="29">
        <f t="shared" si="2530"/>
        <v>45935.083333327566</v>
      </c>
      <c r="B2381" s="30">
        <f t="shared" si="2485"/>
        <v>5000</v>
      </c>
      <c r="C2381" s="8">
        <v>25000</v>
      </c>
      <c r="D2381" s="8">
        <v>0</v>
      </c>
      <c r="E2381" s="8">
        <v>700</v>
      </c>
      <c r="F2381" s="8">
        <v>15000</v>
      </c>
      <c r="G2381" s="30">
        <f t="shared" si="2486"/>
        <v>2400</v>
      </c>
      <c r="H2381" s="8">
        <v>25000</v>
      </c>
      <c r="I2381" s="30">
        <f t="shared" si="2487"/>
        <v>5000</v>
      </c>
      <c r="J2381" s="8">
        <v>25000</v>
      </c>
      <c r="K2381" s="30">
        <f t="shared" si="2488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VLOOKUP(VLOOKUP(DATEVALUE(TEXT(A2381,"m/d/yyyy")),FY24_Temp[],5,FALSE)&amp;TEXT(A2381,"-h"),Table6[],4,FALSE)</f>
        <v>1.6235714299338204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VLOOKUP(TEXT(A2381,"yy-mm")&amp;"-"&amp;IF(AND(WEEKDAY(A2381)&gt;1,WEEKDAY(A2381)&lt;7),"Wkd",TEXT(A2381,"Ddd"))&amp;"-"&amp;TEXT(A2381,"hh"),LoadTable[],5,FALSE)*0.92</f>
        <v>180.62544</v>
      </c>
      <c r="U2381" s="104">
        <f>VLOOKUP(TEXT(A2381,"yy-mm")&amp;"-"&amp;IF(AND(WEEKDAY(A2381)&gt;1,WEEKDAY(A2381)&lt;7),"Wkd",TEXT(A2381,"Ddd"))&amp;"-"&amp;TEXT(A2381,"hh"),LoadTable[],6,FALSE)*T2381</f>
        <v>8120.3779060799998</v>
      </c>
      <c r="V2381">
        <f t="shared" ref="V2381:W2381" si="2539">V2357</f>
        <v>2.8</v>
      </c>
      <c r="W2381">
        <f t="shared" si="2539"/>
        <v>3.2</v>
      </c>
      <c r="X2381" s="9">
        <v>-124.43688176667099</v>
      </c>
    </row>
    <row r="2382" spans="1:24">
      <c r="A2382" s="29">
        <f t="shared" si="2530"/>
        <v>45935.12499999423</v>
      </c>
      <c r="B2382" s="30">
        <f t="shared" si="2485"/>
        <v>5000</v>
      </c>
      <c r="C2382" s="8">
        <v>25000</v>
      </c>
      <c r="D2382" s="8">
        <v>0</v>
      </c>
      <c r="E2382" s="8">
        <v>700</v>
      </c>
      <c r="F2382" s="8">
        <v>15000</v>
      </c>
      <c r="G2382" s="30">
        <f t="shared" si="2486"/>
        <v>2400</v>
      </c>
      <c r="H2382" s="8">
        <v>25000</v>
      </c>
      <c r="I2382" s="30">
        <f t="shared" si="2487"/>
        <v>5000</v>
      </c>
      <c r="J2382" s="8">
        <v>25000</v>
      </c>
      <c r="K2382" s="30">
        <f t="shared" si="2488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VLOOKUP(VLOOKUP(DATEVALUE(TEXT(A2382,"m/d/yyyy")),FY24_Temp[],5,FALSE)&amp;TEXT(A2382,"-h"),Table6[],4,FALSE)</f>
        <v>1.5127142838069372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VLOOKUP(TEXT(A2382,"yy-mm")&amp;"-"&amp;IF(AND(WEEKDAY(A2382)&gt;1,WEEKDAY(A2382)&lt;7),"Wkd",TEXT(A2382,"Ddd"))&amp;"-"&amp;TEXT(A2382,"hh"),LoadTable[],5,FALSE)*0.92</f>
        <v>180.62544</v>
      </c>
      <c r="U2382" s="104">
        <f>VLOOKUP(TEXT(A2382,"yy-mm")&amp;"-"&amp;IF(AND(WEEKDAY(A2382)&gt;1,WEEKDAY(A2382)&lt;7),"Wkd",TEXT(A2382,"Ddd"))&amp;"-"&amp;TEXT(A2382,"hh"),LoadTable[],6,FALSE)*T2382</f>
        <v>8130.1316798400003</v>
      </c>
      <c r="V2382">
        <f t="shared" ref="V2382:W2382" si="2540">V2358</f>
        <v>2.7</v>
      </c>
      <c r="W2382">
        <f t="shared" si="2540"/>
        <v>3.2</v>
      </c>
      <c r="X2382" s="9">
        <v>-124.514676316671</v>
      </c>
    </row>
    <row r="2383" spans="1:24">
      <c r="A2383" s="29">
        <f t="shared" si="2530"/>
        <v>45935.166666660894</v>
      </c>
      <c r="B2383" s="30">
        <f t="shared" si="2485"/>
        <v>5000</v>
      </c>
      <c r="C2383" s="8">
        <v>25000</v>
      </c>
      <c r="D2383" s="8">
        <v>0</v>
      </c>
      <c r="E2383" s="8">
        <v>700</v>
      </c>
      <c r="F2383" s="8">
        <v>15000</v>
      </c>
      <c r="G2383" s="30">
        <f t="shared" si="2486"/>
        <v>2400</v>
      </c>
      <c r="H2383" s="8">
        <v>25000</v>
      </c>
      <c r="I2383" s="30">
        <f t="shared" si="2487"/>
        <v>5000</v>
      </c>
      <c r="J2383" s="8">
        <v>25000</v>
      </c>
      <c r="K2383" s="30">
        <f t="shared" si="2488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VLOOKUP(VLOOKUP(DATEVALUE(TEXT(A2383,"m/d/yyyy")),FY24_Temp[],5,FALSE)&amp;TEXT(A2383,"-h"),Table6[],4,FALSE)</f>
        <v>1.4104285751070296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VLOOKUP(TEXT(A2383,"yy-mm")&amp;"-"&amp;IF(AND(WEEKDAY(A2383)&gt;1,WEEKDAY(A2383)&lt;7),"Wkd",TEXT(A2383,"Ddd"))&amp;"-"&amp;TEXT(A2383,"hh"),LoadTable[],5,FALSE)*0.92</f>
        <v>180.62544</v>
      </c>
      <c r="U2383" s="104">
        <f>VLOOKUP(TEXT(A2383,"yy-mm")&amp;"-"&amp;IF(AND(WEEKDAY(A2383)&gt;1,WEEKDAY(A2383)&lt;7),"Wkd",TEXT(A2383,"Ddd"))&amp;"-"&amp;TEXT(A2383,"hh"),LoadTable[],6,FALSE)*T2383</f>
        <v>8136.0923193599992</v>
      </c>
      <c r="V2383">
        <f t="shared" ref="V2383:W2383" si="2541">V2359</f>
        <v>3</v>
      </c>
      <c r="W2383">
        <f t="shared" si="2541"/>
        <v>3.1</v>
      </c>
      <c r="X2383" s="9">
        <v>-124.59247086667099</v>
      </c>
    </row>
    <row r="2384" spans="1:24">
      <c r="A2384" s="29">
        <f t="shared" si="2530"/>
        <v>45935.208333327559</v>
      </c>
      <c r="B2384" s="30">
        <f t="shared" si="2485"/>
        <v>5000</v>
      </c>
      <c r="C2384" s="8">
        <v>25000</v>
      </c>
      <c r="D2384" s="8">
        <v>0</v>
      </c>
      <c r="E2384" s="8">
        <v>700</v>
      </c>
      <c r="F2384" s="8">
        <v>15000</v>
      </c>
      <c r="G2384" s="30">
        <f t="shared" si="2486"/>
        <v>2400</v>
      </c>
      <c r="H2384" s="8">
        <v>25000</v>
      </c>
      <c r="I2384" s="30">
        <f t="shared" si="2487"/>
        <v>5000</v>
      </c>
      <c r="J2384" s="8">
        <v>25000</v>
      </c>
      <c r="K2384" s="30">
        <f t="shared" si="2488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VLOOKUP(VLOOKUP(DATEVALUE(TEXT(A2384,"m/d/yyyy")),FY24_Temp[],5,FALSE)&amp;TEXT(A2384,"-h"),Table6[],4,FALSE)</f>
        <v>1.3584285974502563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VLOOKUP(TEXT(A2384,"yy-mm")&amp;"-"&amp;IF(AND(WEEKDAY(A2384)&gt;1,WEEKDAY(A2384)&lt;7),"Wkd",TEXT(A2384,"Ddd"))&amp;"-"&amp;TEXT(A2384,"hh"),LoadTable[],5,FALSE)*0.92</f>
        <v>180.62544</v>
      </c>
      <c r="U2384" s="104">
        <f>VLOOKUP(TEXT(A2384,"yy-mm")&amp;"-"&amp;IF(AND(WEEKDAY(A2384)&gt;1,WEEKDAY(A2384)&lt;7),"Wkd",TEXT(A2384,"Ddd"))&amp;"-"&amp;TEXT(A2384,"hh"),LoadTable[],6,FALSE)*T2384</f>
        <v>8201.4787286400006</v>
      </c>
      <c r="V2384">
        <f t="shared" ref="V2384:W2384" si="2542">V2360</f>
        <v>2.9</v>
      </c>
      <c r="W2384">
        <f t="shared" si="2542"/>
        <v>3.1</v>
      </c>
      <c r="X2384" s="9">
        <v>-124.670265416671</v>
      </c>
    </row>
    <row r="2385" spans="1:24">
      <c r="A2385" s="29">
        <f t="shared" si="2530"/>
        <v>45935.249999994223</v>
      </c>
      <c r="B2385" s="30">
        <f t="shared" si="2485"/>
        <v>8000</v>
      </c>
      <c r="C2385" s="8">
        <v>25000</v>
      </c>
      <c r="D2385" s="8">
        <v>0</v>
      </c>
      <c r="E2385" s="8">
        <v>700</v>
      </c>
      <c r="F2385" s="8">
        <v>15000</v>
      </c>
      <c r="G2385" s="30">
        <f t="shared" si="2486"/>
        <v>2400</v>
      </c>
      <c r="H2385" s="8">
        <v>25000</v>
      </c>
      <c r="I2385" s="30">
        <f t="shared" si="2487"/>
        <v>8000</v>
      </c>
      <c r="J2385" s="8">
        <v>25000</v>
      </c>
      <c r="K2385" s="30">
        <f t="shared" si="2488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VLOOKUP(VLOOKUP(DATEVALUE(TEXT(A2385,"m/d/yyyy")),FY24_Temp[],5,FALSE)&amp;TEXT(A2385,"-h"),Table6[],4,FALSE)</f>
        <v>1.2088571446282523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VLOOKUP(TEXT(A2385,"yy-mm")&amp;"-"&amp;IF(AND(WEEKDAY(A2385)&gt;1,WEEKDAY(A2385)&lt;7),"Wkd",TEXT(A2385,"Ddd"))&amp;"-"&amp;TEXT(A2385,"hh"),LoadTable[],5,FALSE)*0.92</f>
        <v>236.10788000000002</v>
      </c>
      <c r="U2385" s="104">
        <f>VLOOKUP(TEXT(A2385,"yy-mm")&amp;"-"&amp;IF(AND(WEEKDAY(A2385)&gt;1,WEEKDAY(A2385)&lt;7),"Wkd",TEXT(A2385,"Ddd"))&amp;"-"&amp;TEXT(A2385,"hh"),LoadTable[],6,FALSE)*T2385</f>
        <v>10800.282754840002</v>
      </c>
      <c r="V2385">
        <f t="shared" ref="V2385:W2385" si="2543">V2361</f>
        <v>2.5</v>
      </c>
      <c r="W2385">
        <f t="shared" si="2543"/>
        <v>3.1</v>
      </c>
      <c r="X2385" s="9">
        <v>-124.74805996667099</v>
      </c>
    </row>
    <row r="2386" spans="1:24">
      <c r="A2386" s="29">
        <f t="shared" si="2530"/>
        <v>45935.291666660887</v>
      </c>
      <c r="B2386" s="30">
        <f t="shared" si="2485"/>
        <v>8000</v>
      </c>
      <c r="C2386" s="8">
        <v>25000</v>
      </c>
      <c r="D2386" s="8">
        <v>0</v>
      </c>
      <c r="E2386" s="8">
        <v>700</v>
      </c>
      <c r="F2386" s="8">
        <v>15000</v>
      </c>
      <c r="G2386" s="30">
        <f t="shared" si="2486"/>
        <v>2400</v>
      </c>
      <c r="H2386" s="8">
        <v>25000</v>
      </c>
      <c r="I2386" s="30">
        <f t="shared" si="2487"/>
        <v>8000</v>
      </c>
      <c r="J2386" s="8">
        <v>25000</v>
      </c>
      <c r="K2386" s="30">
        <f t="shared" si="2488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VLOOKUP(VLOOKUP(DATEVALUE(TEXT(A2386,"m/d/yyyy")),FY24_Temp[],5,FALSE)&amp;TEXT(A2386,"-h"),Table6[],4,FALSE)</f>
        <v>1.0575714196477617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VLOOKUP(TEXT(A2386,"yy-mm")&amp;"-"&amp;IF(AND(WEEKDAY(A2386)&gt;1,WEEKDAY(A2386)&lt;7),"Wkd",TEXT(A2386,"Ddd"))&amp;"-"&amp;TEXT(A2386,"hh"),LoadTable[],5,FALSE)*0.92</f>
        <v>236.10788000000002</v>
      </c>
      <c r="U2386" s="104">
        <f>VLOOKUP(TEXT(A2386,"yy-mm")&amp;"-"&amp;IF(AND(WEEKDAY(A2386)&gt;1,WEEKDAY(A2386)&lt;7),"Wkd",TEXT(A2386,"Ddd"))&amp;"-"&amp;TEXT(A2386,"hh"),LoadTable[],6,FALSE)*T2386</f>
        <v>10734.40865632</v>
      </c>
      <c r="V2386">
        <f t="shared" ref="V2386:W2386" si="2544">V2362</f>
        <v>2.5</v>
      </c>
      <c r="W2386">
        <f t="shared" si="2544"/>
        <v>3.1</v>
      </c>
      <c r="X2386" s="9">
        <v>-124.825854516671</v>
      </c>
    </row>
    <row r="2387" spans="1:24">
      <c r="A2387" s="29">
        <f t="shared" si="2530"/>
        <v>45935.333333327551</v>
      </c>
      <c r="B2387" s="30">
        <f t="shared" si="2485"/>
        <v>8000</v>
      </c>
      <c r="C2387" s="8">
        <v>25000</v>
      </c>
      <c r="D2387" s="8">
        <v>0</v>
      </c>
      <c r="E2387" s="8">
        <v>700</v>
      </c>
      <c r="F2387" s="8">
        <v>15000</v>
      </c>
      <c r="G2387" s="30">
        <f t="shared" si="2486"/>
        <v>2400</v>
      </c>
      <c r="H2387" s="8">
        <v>25000</v>
      </c>
      <c r="I2387" s="30">
        <f t="shared" si="2487"/>
        <v>8000</v>
      </c>
      <c r="J2387" s="8">
        <v>25000</v>
      </c>
      <c r="K2387" s="30">
        <f t="shared" si="2488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VLOOKUP(VLOOKUP(DATEVALUE(TEXT(A2387,"m/d/yyyy")),FY24_Temp[],5,FALSE)&amp;TEXT(A2387,"-h"),Table6[],4,FALSE)</f>
        <v>0.95157144750867573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VLOOKUP(TEXT(A2387,"yy-mm")&amp;"-"&amp;IF(AND(WEEKDAY(A2387)&gt;1,WEEKDAY(A2387)&lt;7),"Wkd",TEXT(A2387,"Ddd"))&amp;"-"&amp;TEXT(A2387,"hh"),LoadTable[],5,FALSE)*0.92</f>
        <v>236.10788000000002</v>
      </c>
      <c r="U2387" s="104">
        <f>VLOOKUP(TEXT(A2387,"yy-mm")&amp;"-"&amp;IF(AND(WEEKDAY(A2387)&gt;1,WEEKDAY(A2387)&lt;7),"Wkd",TEXT(A2387,"Ddd"))&amp;"-"&amp;TEXT(A2387,"hh"),LoadTable[],6,FALSE)*T2387</f>
        <v>10590.6189574</v>
      </c>
      <c r="V2387">
        <f t="shared" ref="V2387:W2387" si="2545">V2363</f>
        <v>3.2</v>
      </c>
      <c r="W2387">
        <f t="shared" si="2545"/>
        <v>3</v>
      </c>
      <c r="X2387" s="9">
        <v>-124.90364906667099</v>
      </c>
    </row>
    <row r="2388" spans="1:24">
      <c r="A2388" s="29">
        <f t="shared" si="2530"/>
        <v>45935.374999994216</v>
      </c>
      <c r="B2388" s="30">
        <f t="shared" si="2485"/>
        <v>8000</v>
      </c>
      <c r="C2388" s="8">
        <v>25000</v>
      </c>
      <c r="D2388" s="8">
        <v>0</v>
      </c>
      <c r="E2388" s="8">
        <v>700</v>
      </c>
      <c r="F2388" s="8">
        <v>15000</v>
      </c>
      <c r="G2388" s="30">
        <f t="shared" si="2486"/>
        <v>2400</v>
      </c>
      <c r="H2388" s="8">
        <v>25000</v>
      </c>
      <c r="I2388" s="30">
        <f t="shared" si="2487"/>
        <v>8000</v>
      </c>
      <c r="J2388" s="8">
        <v>25000</v>
      </c>
      <c r="K2388" s="30">
        <f t="shared" si="2488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VLOOKUP(VLOOKUP(DATEVALUE(TEXT(A2388,"m/d/yyyy")),FY24_Temp[],5,FALSE)&amp;TEXT(A2388,"-h"),Table6[],4,FALSE)</f>
        <v>0.83871427604130333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VLOOKUP(TEXT(A2388,"yy-mm")&amp;"-"&amp;IF(AND(WEEKDAY(A2388)&gt;1,WEEKDAY(A2388)&lt;7),"Wkd",TEXT(A2388,"Ddd"))&amp;"-"&amp;TEXT(A2388,"hh"),LoadTable[],5,FALSE)*0.92</f>
        <v>236.10788000000002</v>
      </c>
      <c r="U2388" s="104">
        <f>VLOOKUP(TEXT(A2388,"yy-mm")&amp;"-"&amp;IF(AND(WEEKDAY(A2388)&gt;1,WEEKDAY(A2388)&lt;7),"Wkd",TEXT(A2388,"Ddd"))&amp;"-"&amp;TEXT(A2388,"hh"),LoadTable[],6,FALSE)*T2388</f>
        <v>10564.883198480002</v>
      </c>
      <c r="V2388">
        <f t="shared" ref="V2388:W2388" si="2546">V2364</f>
        <v>2.9</v>
      </c>
      <c r="W2388">
        <f t="shared" si="2546"/>
        <v>3</v>
      </c>
      <c r="X2388" s="9">
        <v>-124.981443616671</v>
      </c>
    </row>
    <row r="2389" spans="1:24">
      <c r="A2389" s="29">
        <f t="shared" si="2530"/>
        <v>45935.41666666088</v>
      </c>
      <c r="B2389" s="30">
        <f t="shared" si="2485"/>
        <v>8000</v>
      </c>
      <c r="C2389" s="8">
        <v>25000</v>
      </c>
      <c r="D2389" s="8">
        <v>0</v>
      </c>
      <c r="E2389" s="8">
        <v>700</v>
      </c>
      <c r="F2389" s="8">
        <v>15000</v>
      </c>
      <c r="G2389" s="30">
        <f t="shared" si="2486"/>
        <v>2400</v>
      </c>
      <c r="H2389" s="8">
        <v>25000</v>
      </c>
      <c r="I2389" s="30">
        <f t="shared" si="2487"/>
        <v>8000</v>
      </c>
      <c r="J2389" s="8">
        <v>25000</v>
      </c>
      <c r="K2389" s="30">
        <f t="shared" si="2488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VLOOKUP(VLOOKUP(DATEVALUE(TEXT(A2389,"m/d/yyyy")),FY24_Temp[],5,FALSE)&amp;TEXT(A2389,"-h"),Table6[],4,FALSE)</f>
        <v>0.72357143674577984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VLOOKUP(TEXT(A2389,"yy-mm")&amp;"-"&amp;IF(AND(WEEKDAY(A2389)&gt;1,WEEKDAY(A2389)&lt;7),"Wkd",TEXT(A2389,"Ddd"))&amp;"-"&amp;TEXT(A2389,"hh"),LoadTable[],5,FALSE)*0.92</f>
        <v>236.10788000000002</v>
      </c>
      <c r="U2389" s="104">
        <f>VLOOKUP(TEXT(A2389,"yy-mm")&amp;"-"&amp;IF(AND(WEEKDAY(A2389)&gt;1,WEEKDAY(A2389)&lt;7),"Wkd",TEXT(A2389,"Ddd"))&amp;"-"&amp;TEXT(A2389,"hh"),LoadTable[],6,FALSE)*T2389</f>
        <v>10542.689057760001</v>
      </c>
      <c r="V2389">
        <f t="shared" ref="V2389:W2389" si="2547">V2365</f>
        <v>2.9</v>
      </c>
      <c r="W2389">
        <f t="shared" si="2547"/>
        <v>3</v>
      </c>
      <c r="X2389" s="9">
        <v>-125.05923816667099</v>
      </c>
    </row>
    <row r="2390" spans="1:24">
      <c r="A2390" s="29">
        <f t="shared" si="2530"/>
        <v>45935.458333327544</v>
      </c>
      <c r="B2390" s="30">
        <f t="shared" si="2485"/>
        <v>8000</v>
      </c>
      <c r="C2390" s="8">
        <v>25000</v>
      </c>
      <c r="D2390" s="8">
        <v>0</v>
      </c>
      <c r="E2390" s="8">
        <v>700</v>
      </c>
      <c r="F2390" s="8">
        <v>15000</v>
      </c>
      <c r="G2390" s="30">
        <f t="shared" si="2486"/>
        <v>2400</v>
      </c>
      <c r="H2390" s="8">
        <v>25000</v>
      </c>
      <c r="I2390" s="30">
        <f t="shared" si="2487"/>
        <v>8000</v>
      </c>
      <c r="J2390" s="8">
        <v>25000</v>
      </c>
      <c r="K2390" s="30">
        <f t="shared" si="2488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VLOOKUP(VLOOKUP(DATEVALUE(TEXT(A2390,"m/d/yyyy")),FY24_Temp[],5,FALSE)&amp;TEXT(A2390,"-h"),Table6[],4,FALSE)</f>
        <v>0.61371428200176781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VLOOKUP(TEXT(A2390,"yy-mm")&amp;"-"&amp;IF(AND(WEEKDAY(A2390)&gt;1,WEEKDAY(A2390)&lt;7),"Wkd",TEXT(A2390,"Ddd"))&amp;"-"&amp;TEXT(A2390,"hh"),LoadTable[],5,FALSE)*0.92</f>
        <v>236.10788000000002</v>
      </c>
      <c r="U2390" s="104">
        <f>VLOOKUP(TEXT(A2390,"yy-mm")&amp;"-"&amp;IF(AND(WEEKDAY(A2390)&gt;1,WEEKDAY(A2390)&lt;7),"Wkd",TEXT(A2390,"Ddd"))&amp;"-"&amp;TEXT(A2390,"hh"),LoadTable[],6,FALSE)*T2390</f>
        <v>10524.98096676</v>
      </c>
      <c r="V2390">
        <f t="shared" ref="V2390:W2390" si="2548">V2366</f>
        <v>3.4</v>
      </c>
      <c r="W2390">
        <f t="shared" si="2548"/>
        <v>3</v>
      </c>
      <c r="X2390" s="9">
        <v>-125.137032716671</v>
      </c>
    </row>
    <row r="2391" spans="1:24">
      <c r="A2391" s="29">
        <f t="shared" si="2530"/>
        <v>45935.499999994208</v>
      </c>
      <c r="B2391" s="30">
        <f t="shared" si="2485"/>
        <v>8000</v>
      </c>
      <c r="C2391" s="8">
        <v>25000</v>
      </c>
      <c r="D2391" s="8">
        <v>0</v>
      </c>
      <c r="E2391" s="8">
        <v>700</v>
      </c>
      <c r="F2391" s="8">
        <v>15000</v>
      </c>
      <c r="G2391" s="30">
        <f t="shared" si="2486"/>
        <v>2400</v>
      </c>
      <c r="H2391" s="8">
        <v>25000</v>
      </c>
      <c r="I2391" s="30">
        <f t="shared" si="2487"/>
        <v>8000</v>
      </c>
      <c r="J2391" s="8">
        <v>25000</v>
      </c>
      <c r="K2391" s="30">
        <f t="shared" si="2488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VLOOKUP(VLOOKUP(DATEVALUE(TEXT(A2391,"m/d/yyyy")),FY24_Temp[],5,FALSE)&amp;TEXT(A2391,"-h"),Table6[],4,FALSE)</f>
        <v>0.48757142680031912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VLOOKUP(TEXT(A2391,"yy-mm")&amp;"-"&amp;IF(AND(WEEKDAY(A2391)&gt;1,WEEKDAY(A2391)&lt;7),"Wkd",TEXT(A2391,"Ddd"))&amp;"-"&amp;TEXT(A2391,"hh"),LoadTable[],5,FALSE)*0.92</f>
        <v>236.10788000000002</v>
      </c>
      <c r="U2391" s="104">
        <f>VLOOKUP(TEXT(A2391,"yy-mm")&amp;"-"&amp;IF(AND(WEEKDAY(A2391)&gt;1,WEEKDAY(A2391)&lt;7),"Wkd",TEXT(A2391,"Ddd"))&amp;"-"&amp;TEXT(A2391,"hh"),LoadTable[],6,FALSE)*T2391</f>
        <v>10519.314377640001</v>
      </c>
      <c r="V2391">
        <f t="shared" ref="V2391:W2391" si="2549">V2367</f>
        <v>3.1</v>
      </c>
      <c r="W2391">
        <f t="shared" si="2549"/>
        <v>2.9</v>
      </c>
      <c r="X2391" s="9">
        <v>-125.21482726667099</v>
      </c>
    </row>
    <row r="2392" spans="1:24">
      <c r="A2392" s="29">
        <f t="shared" si="2530"/>
        <v>45935.541666660873</v>
      </c>
      <c r="B2392" s="30">
        <f t="shared" si="2485"/>
        <v>8000</v>
      </c>
      <c r="C2392" s="8">
        <v>25000</v>
      </c>
      <c r="D2392" s="8">
        <v>0</v>
      </c>
      <c r="E2392" s="8">
        <v>700</v>
      </c>
      <c r="F2392" s="8">
        <v>15000</v>
      </c>
      <c r="G2392" s="30">
        <f t="shared" si="2486"/>
        <v>2400</v>
      </c>
      <c r="H2392" s="8">
        <v>25000</v>
      </c>
      <c r="I2392" s="30">
        <f t="shared" si="2487"/>
        <v>8000</v>
      </c>
      <c r="J2392" s="8">
        <v>25000</v>
      </c>
      <c r="K2392" s="30">
        <f t="shared" si="2488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VLOOKUP(VLOOKUP(DATEVALUE(TEXT(A2392,"m/d/yyyy")),FY24_Temp[],5,FALSE)&amp;TEXT(A2392,"-h"),Table6[],4,FALSE)</f>
        <v>0.37585713820798056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VLOOKUP(TEXT(A2392,"yy-mm")&amp;"-"&amp;IF(AND(WEEKDAY(A2392)&gt;1,WEEKDAY(A2392)&lt;7),"Wkd",TEXT(A2392,"Ddd"))&amp;"-"&amp;TEXT(A2392,"hh"),LoadTable[],5,FALSE)*0.92</f>
        <v>236.10788000000002</v>
      </c>
      <c r="U2392" s="104">
        <f>VLOOKUP(TEXT(A2392,"yy-mm")&amp;"-"&amp;IF(AND(WEEKDAY(A2392)&gt;1,WEEKDAY(A2392)&lt;7),"Wkd",TEXT(A2392,"Ddd"))&amp;"-"&amp;TEXT(A2392,"hh"),LoadTable[],6,FALSE)*T2392</f>
        <v>10522.85599584</v>
      </c>
      <c r="V2392">
        <f t="shared" ref="V2392:W2392" si="2550">V2368</f>
        <v>3.2</v>
      </c>
      <c r="W2392">
        <f t="shared" si="2550"/>
        <v>2.9</v>
      </c>
      <c r="X2392" s="9">
        <v>-125.292621816671</v>
      </c>
    </row>
    <row r="2393" spans="1:24">
      <c r="A2393" s="29">
        <f t="shared" si="2530"/>
        <v>45935.583333327537</v>
      </c>
      <c r="B2393" s="30">
        <f t="shared" si="2485"/>
        <v>8000</v>
      </c>
      <c r="C2393" s="8">
        <v>25000</v>
      </c>
      <c r="D2393" s="8">
        <v>0</v>
      </c>
      <c r="E2393" s="8">
        <v>700</v>
      </c>
      <c r="F2393" s="8">
        <v>15000</v>
      </c>
      <c r="G2393" s="30">
        <f t="shared" si="2486"/>
        <v>2400</v>
      </c>
      <c r="H2393" s="8">
        <v>25000</v>
      </c>
      <c r="I2393" s="30">
        <f t="shared" si="2487"/>
        <v>8000</v>
      </c>
      <c r="J2393" s="8">
        <v>25000</v>
      </c>
      <c r="K2393" s="30">
        <f t="shared" si="2488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VLOOKUP(VLOOKUP(DATEVALUE(TEXT(A2393,"m/d/yyyy")),FY24_Temp[],5,FALSE)&amp;TEXT(A2393,"-h"),Table6[],4,FALSE)</f>
        <v>0.32000000349112917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VLOOKUP(TEXT(A2393,"yy-mm")&amp;"-"&amp;IF(AND(WEEKDAY(A2393)&gt;1,WEEKDAY(A2393)&lt;7),"Wkd",TEXT(A2393,"Ddd"))&amp;"-"&amp;TEXT(A2393,"hh"),LoadTable[],5,FALSE)*0.92</f>
        <v>236.10788000000002</v>
      </c>
      <c r="U2393" s="104">
        <f>VLOOKUP(TEXT(A2393,"yy-mm")&amp;"-"&amp;IF(AND(WEEKDAY(A2393)&gt;1,WEEKDAY(A2393)&lt;7),"Wkd",TEXT(A2393,"Ddd"))&amp;"-"&amp;TEXT(A2393,"hh"),LoadTable[],6,FALSE)*T2393</f>
        <v>10530.88366376</v>
      </c>
      <c r="V2393">
        <f t="shared" ref="V2393:W2393" si="2551">V2369</f>
        <v>3.5</v>
      </c>
      <c r="W2393">
        <f t="shared" si="2551"/>
        <v>2.9</v>
      </c>
      <c r="X2393" s="9">
        <v>-125.37041636667099</v>
      </c>
    </row>
    <row r="2394" spans="1:24">
      <c r="A2394" s="29">
        <f t="shared" si="2530"/>
        <v>45935.624999994201</v>
      </c>
      <c r="B2394" s="30">
        <f t="shared" si="2485"/>
        <v>8000</v>
      </c>
      <c r="C2394" s="8">
        <v>25000</v>
      </c>
      <c r="D2394" s="8">
        <v>0</v>
      </c>
      <c r="E2394" s="8">
        <v>700</v>
      </c>
      <c r="F2394" s="8">
        <v>15000</v>
      </c>
      <c r="G2394" s="30">
        <f t="shared" si="2486"/>
        <v>2400</v>
      </c>
      <c r="H2394" s="8">
        <v>25000</v>
      </c>
      <c r="I2394" s="30">
        <f t="shared" si="2487"/>
        <v>8000</v>
      </c>
      <c r="J2394" s="8">
        <v>25000</v>
      </c>
      <c r="K2394" s="30">
        <f t="shared" si="2488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VLOOKUP(VLOOKUP(DATEVALUE(TEXT(A2394,"m/d/yyyy")),FY24_Temp[],5,FALSE)&amp;TEXT(A2394,"-h"),Table6[],4,FALSE)</f>
        <v>0.4050000011920929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VLOOKUP(TEXT(A2394,"yy-mm")&amp;"-"&amp;IF(AND(WEEKDAY(A2394)&gt;1,WEEKDAY(A2394)&lt;7),"Wkd",TEXT(A2394,"Ddd"))&amp;"-"&amp;TEXT(A2394,"hh"),LoadTable[],5,FALSE)*0.92</f>
        <v>236.10788000000002</v>
      </c>
      <c r="U2394" s="104">
        <f>VLOOKUP(TEXT(A2394,"yy-mm")&amp;"-"&amp;IF(AND(WEEKDAY(A2394)&gt;1,WEEKDAY(A2394)&lt;7),"Wkd",TEXT(A2394,"Ddd"))&amp;"-"&amp;TEXT(A2394,"hh"),LoadTable[],6,FALSE)*T2394</f>
        <v>10550.480617800002</v>
      </c>
      <c r="V2394">
        <f t="shared" ref="V2394:W2394" si="2552">V2370</f>
        <v>3.2</v>
      </c>
      <c r="W2394">
        <f t="shared" si="2552"/>
        <v>2.9</v>
      </c>
      <c r="X2394" s="9">
        <v>-125.448210916671</v>
      </c>
    </row>
    <row r="2395" spans="1:24">
      <c r="A2395" s="29">
        <f t="shared" si="2530"/>
        <v>45935.666666660865</v>
      </c>
      <c r="B2395" s="30">
        <f t="shared" si="2485"/>
        <v>8000</v>
      </c>
      <c r="C2395" s="8">
        <v>25000</v>
      </c>
      <c r="D2395" s="8">
        <v>0</v>
      </c>
      <c r="E2395" s="8">
        <v>700</v>
      </c>
      <c r="F2395" s="8">
        <v>15000</v>
      </c>
      <c r="G2395" s="30">
        <f t="shared" si="2486"/>
        <v>2400</v>
      </c>
      <c r="H2395" s="8">
        <v>25000</v>
      </c>
      <c r="I2395" s="30">
        <f t="shared" si="2487"/>
        <v>8000</v>
      </c>
      <c r="J2395" s="8">
        <v>25000</v>
      </c>
      <c r="K2395" s="30">
        <f t="shared" si="2488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VLOOKUP(VLOOKUP(DATEVALUE(TEXT(A2395,"m/d/yyyy")),FY24_Temp[],5,FALSE)&amp;TEXT(A2395,"-h"),Table6[],4,FALSE)</f>
        <v>0.67542857357433861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VLOOKUP(TEXT(A2395,"yy-mm")&amp;"-"&amp;IF(AND(WEEKDAY(A2395)&gt;1,WEEKDAY(A2395)&lt;7),"Wkd",TEXT(A2395,"Ddd"))&amp;"-"&amp;TEXT(A2395,"hh"),LoadTable[],5,FALSE)*0.92</f>
        <v>236.10788000000002</v>
      </c>
      <c r="U2395" s="104">
        <f>VLOOKUP(TEXT(A2395,"yy-mm")&amp;"-"&amp;IF(AND(WEEKDAY(A2395)&gt;1,WEEKDAY(A2395)&lt;7),"Wkd",TEXT(A2395,"Ddd"))&amp;"-"&amp;TEXT(A2395,"hh"),LoadTable[],6,FALSE)*T2395</f>
        <v>10580.230210680002</v>
      </c>
      <c r="V2395">
        <f t="shared" ref="V2395:W2395" si="2553">V2371</f>
        <v>3.5</v>
      </c>
      <c r="W2395">
        <f t="shared" si="2553"/>
        <v>3</v>
      </c>
      <c r="X2395" s="9">
        <v>-125.52600546667099</v>
      </c>
    </row>
    <row r="2396" spans="1:24">
      <c r="A2396" s="29">
        <f t="shared" si="2530"/>
        <v>45935.70833332753</v>
      </c>
      <c r="B2396" s="30">
        <f t="shared" ref="B2396:B2459" si="2554">B2372</f>
        <v>8000</v>
      </c>
      <c r="C2396" s="8">
        <v>25000</v>
      </c>
      <c r="D2396" s="8">
        <v>0</v>
      </c>
      <c r="E2396" s="8">
        <v>700</v>
      </c>
      <c r="F2396" s="8">
        <v>15000</v>
      </c>
      <c r="G2396" s="30">
        <f t="shared" ref="G2396:G2459" si="2555">G2372</f>
        <v>2400</v>
      </c>
      <c r="H2396" s="8">
        <v>25000</v>
      </c>
      <c r="I2396" s="30">
        <f t="shared" ref="I2396:I2459" si="2556">I2372</f>
        <v>8000</v>
      </c>
      <c r="J2396" s="8">
        <v>25000</v>
      </c>
      <c r="K2396" s="30">
        <f t="shared" ref="K2396:K2459" si="2557">K2372</f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VLOOKUP(VLOOKUP(DATEVALUE(TEXT(A2396,"m/d/yyyy")),FY24_Temp[],5,FALSE)&amp;TEXT(A2396,"-h"),Table6[],4,FALSE)</f>
        <v>1.0648571423121862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VLOOKUP(TEXT(A2396,"yy-mm")&amp;"-"&amp;IF(AND(WEEKDAY(A2396)&gt;1,WEEKDAY(A2396)&lt;7),"Wkd",TEXT(A2396,"Ddd"))&amp;"-"&amp;TEXT(A2396,"hh"),LoadTable[],5,FALSE)*0.92</f>
        <v>236.10788000000002</v>
      </c>
      <c r="U2396" s="104">
        <f>VLOOKUP(TEXT(A2396,"yy-mm")&amp;"-"&amp;IF(AND(WEEKDAY(A2396)&gt;1,WEEKDAY(A2396)&lt;7),"Wkd",TEXT(A2396,"Ddd"))&amp;"-"&amp;TEXT(A2396,"hh"),LoadTable[],6,FALSE)*T2396</f>
        <v>10899.684172320001</v>
      </c>
      <c r="V2396">
        <f t="shared" ref="V2396:W2396" si="2558">V2372</f>
        <v>3.6</v>
      </c>
      <c r="W2396">
        <f t="shared" si="2558"/>
        <v>3</v>
      </c>
      <c r="X2396" s="9">
        <v>-125.603800016671</v>
      </c>
    </row>
    <row r="2397" spans="1:24">
      <c r="A2397" s="29">
        <f t="shared" si="2530"/>
        <v>45935.749999994194</v>
      </c>
      <c r="B2397" s="30">
        <f t="shared" si="2554"/>
        <v>5000</v>
      </c>
      <c r="C2397" s="8">
        <v>25000</v>
      </c>
      <c r="D2397" s="8">
        <v>0</v>
      </c>
      <c r="E2397" s="8">
        <v>700</v>
      </c>
      <c r="F2397" s="8">
        <v>15000</v>
      </c>
      <c r="G2397" s="30">
        <f t="shared" si="2555"/>
        <v>2400</v>
      </c>
      <c r="H2397" s="8">
        <v>25000</v>
      </c>
      <c r="I2397" s="30">
        <f t="shared" si="2556"/>
        <v>5000</v>
      </c>
      <c r="J2397" s="8">
        <v>25000</v>
      </c>
      <c r="K2397" s="30">
        <f t="shared" si="2557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VLOOKUP(VLOOKUP(DATEVALUE(TEXT(A2397,"m/d/yyyy")),FY24_Temp[],5,FALSE)&amp;TEXT(A2397,"-h"),Table6[],4,FALSE)</f>
        <v>1.3020000287464686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VLOOKUP(TEXT(A2397,"yy-mm")&amp;"-"&amp;IF(AND(WEEKDAY(A2397)&gt;1,WEEKDAY(A2397)&lt;7),"Wkd",TEXT(A2397,"Ddd"))&amp;"-"&amp;TEXT(A2397,"hh"),LoadTable[],5,FALSE)*0.92</f>
        <v>308.12363999999997</v>
      </c>
      <c r="U2397" s="104">
        <f>VLOOKUP(TEXT(A2397,"yy-mm")&amp;"-"&amp;IF(AND(WEEKDAY(A2397)&gt;1,WEEKDAY(A2397)&lt;7),"Wkd",TEXT(A2397,"Ddd"))&amp;"-"&amp;TEXT(A2397,"hh"),LoadTable[],6,FALSE)*T2397</f>
        <v>14932.595965319999</v>
      </c>
      <c r="V2397">
        <f t="shared" ref="V2397:W2397" si="2559">V2373</f>
        <v>2.9</v>
      </c>
      <c r="W2397">
        <f t="shared" si="2559"/>
        <v>3</v>
      </c>
      <c r="X2397" s="9">
        <v>-125.681594566671</v>
      </c>
    </row>
    <row r="2398" spans="1:24">
      <c r="A2398" s="29">
        <f t="shared" si="2530"/>
        <v>45935.791666660858</v>
      </c>
      <c r="B2398" s="30">
        <f t="shared" si="2554"/>
        <v>5000</v>
      </c>
      <c r="C2398" s="8">
        <v>25000</v>
      </c>
      <c r="D2398" s="8">
        <v>0</v>
      </c>
      <c r="E2398" s="8">
        <v>700</v>
      </c>
      <c r="F2398" s="8">
        <v>15000</v>
      </c>
      <c r="G2398" s="30">
        <f t="shared" si="2555"/>
        <v>2400</v>
      </c>
      <c r="H2398" s="8">
        <v>25000</v>
      </c>
      <c r="I2398" s="30">
        <f t="shared" si="2556"/>
        <v>5000</v>
      </c>
      <c r="J2398" s="8">
        <v>25000</v>
      </c>
      <c r="K2398" s="30">
        <f t="shared" si="2557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VLOOKUP(VLOOKUP(DATEVALUE(TEXT(A2398,"m/d/yyyy")),FY24_Temp[],5,FALSE)&amp;TEXT(A2398,"-h"),Table6[],4,FALSE)</f>
        <v>1.449857132775443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VLOOKUP(TEXT(A2398,"yy-mm")&amp;"-"&amp;IF(AND(WEEKDAY(A2398)&gt;1,WEEKDAY(A2398)&lt;7),"Wkd",TEXT(A2398,"Ddd"))&amp;"-"&amp;TEXT(A2398,"hh"),LoadTable[],5,FALSE)*0.92</f>
        <v>308.12363999999997</v>
      </c>
      <c r="U2398" s="104">
        <f>VLOOKUP(TEXT(A2398,"yy-mm")&amp;"-"&amp;IF(AND(WEEKDAY(A2398)&gt;1,WEEKDAY(A2398)&lt;7),"Wkd",TEXT(A2398,"Ddd"))&amp;"-"&amp;TEXT(A2398,"hh"),LoadTable[],6,FALSE)*T2398</f>
        <v>14998.226300639999</v>
      </c>
      <c r="V2398">
        <f t="shared" ref="V2398:W2398" si="2560">V2374</f>
        <v>3</v>
      </c>
      <c r="W2398">
        <f t="shared" si="2560"/>
        <v>3</v>
      </c>
      <c r="X2398" s="9">
        <v>-125.759389116671</v>
      </c>
    </row>
    <row r="2399" spans="1:24">
      <c r="A2399" s="29">
        <f t="shared" si="2530"/>
        <v>45935.833333327522</v>
      </c>
      <c r="B2399" s="30">
        <f t="shared" si="2554"/>
        <v>5000</v>
      </c>
      <c r="C2399" s="8">
        <v>25000</v>
      </c>
      <c r="D2399" s="8">
        <v>0</v>
      </c>
      <c r="E2399" s="8">
        <v>700</v>
      </c>
      <c r="F2399" s="8">
        <v>15000</v>
      </c>
      <c r="G2399" s="30">
        <f t="shared" si="2555"/>
        <v>2400</v>
      </c>
      <c r="H2399" s="8">
        <v>25000</v>
      </c>
      <c r="I2399" s="30">
        <f t="shared" si="2556"/>
        <v>5000</v>
      </c>
      <c r="J2399" s="8">
        <v>25000</v>
      </c>
      <c r="K2399" s="30">
        <f t="shared" si="2557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VLOOKUP(VLOOKUP(DATEVALUE(TEXT(A2399,"m/d/yyyy")),FY24_Temp[],5,FALSE)&amp;TEXT(A2399,"-h"),Table6[],4,FALSE)</f>
        <v>1.5270000014986311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VLOOKUP(TEXT(A2399,"yy-mm")&amp;"-"&amp;IF(AND(WEEKDAY(A2399)&gt;1,WEEKDAY(A2399)&lt;7),"Wkd",TEXT(A2399,"Ddd"))&amp;"-"&amp;TEXT(A2399,"hh"),LoadTable[],5,FALSE)*0.92</f>
        <v>308.12363999999997</v>
      </c>
      <c r="U2399" s="104">
        <f>VLOOKUP(TEXT(A2399,"yy-mm")&amp;"-"&amp;IF(AND(WEEKDAY(A2399)&gt;1,WEEKDAY(A2399)&lt;7),"Wkd",TEXT(A2399,"Ddd"))&amp;"-"&amp;TEXT(A2399,"hh"),LoadTable[],6,FALSE)*T2399</f>
        <v>14785.004741759998</v>
      </c>
      <c r="V2399">
        <f t="shared" ref="V2399:W2399" si="2561">V2375</f>
        <v>2.8</v>
      </c>
      <c r="W2399">
        <f t="shared" si="2561"/>
        <v>3.1</v>
      </c>
      <c r="X2399" s="9">
        <v>-125.837183666671</v>
      </c>
    </row>
    <row r="2400" spans="1:24">
      <c r="A2400" s="29">
        <f t="shared" si="2530"/>
        <v>45935.874999994187</v>
      </c>
      <c r="B2400" s="30">
        <f t="shared" si="2554"/>
        <v>5000</v>
      </c>
      <c r="C2400" s="8">
        <v>25000</v>
      </c>
      <c r="D2400" s="8">
        <v>0</v>
      </c>
      <c r="E2400" s="8">
        <v>700</v>
      </c>
      <c r="F2400" s="8">
        <v>15000</v>
      </c>
      <c r="G2400" s="30">
        <f t="shared" si="2555"/>
        <v>2400</v>
      </c>
      <c r="H2400" s="8">
        <v>25000</v>
      </c>
      <c r="I2400" s="30">
        <f t="shared" si="2556"/>
        <v>5000</v>
      </c>
      <c r="J2400" s="8">
        <v>25000</v>
      </c>
      <c r="K2400" s="30">
        <f t="shared" si="2557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VLOOKUP(VLOOKUP(DATEVALUE(TEXT(A2400,"m/d/yyyy")),FY24_Temp[],5,FALSE)&amp;TEXT(A2400,"-h"),Table6[],4,FALSE)</f>
        <v>1.6015714406967163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VLOOKUP(TEXT(A2400,"yy-mm")&amp;"-"&amp;IF(AND(WEEKDAY(A2400)&gt;1,WEEKDAY(A2400)&lt;7),"Wkd",TEXT(A2400,"Ddd"))&amp;"-"&amp;TEXT(A2400,"hh"),LoadTable[],5,FALSE)*0.92</f>
        <v>234.33964000000003</v>
      </c>
      <c r="U2400" s="104">
        <f>VLOOKUP(TEXT(A2400,"yy-mm")&amp;"-"&amp;IF(AND(WEEKDAY(A2400)&gt;1,WEEKDAY(A2400)&lt;7),"Wkd",TEXT(A2400,"Ddd"))&amp;"-"&amp;TEXT(A2400,"hh"),LoadTable[],6,FALSE)*T2400</f>
        <v>10881.795523040002</v>
      </c>
      <c r="V2400">
        <f t="shared" ref="V2400:W2400" si="2562">V2376</f>
        <v>3.5</v>
      </c>
      <c r="W2400">
        <f t="shared" si="2562"/>
        <v>3.1</v>
      </c>
      <c r="X2400" s="9">
        <v>-125.914978216671</v>
      </c>
    </row>
    <row r="2401" spans="1:24">
      <c r="A2401" s="29">
        <f t="shared" si="2530"/>
        <v>45935.916666660851</v>
      </c>
      <c r="B2401" s="30">
        <f t="shared" si="2554"/>
        <v>5000</v>
      </c>
      <c r="C2401" s="8">
        <v>25000</v>
      </c>
      <c r="D2401" s="8">
        <v>0</v>
      </c>
      <c r="E2401" s="8">
        <v>700</v>
      </c>
      <c r="F2401" s="8">
        <v>15000</v>
      </c>
      <c r="G2401" s="30">
        <f t="shared" si="2555"/>
        <v>2400</v>
      </c>
      <c r="H2401" s="8">
        <v>25000</v>
      </c>
      <c r="I2401" s="30">
        <f t="shared" si="2556"/>
        <v>5000</v>
      </c>
      <c r="J2401" s="8">
        <v>25000</v>
      </c>
      <c r="K2401" s="30">
        <f t="shared" si="2557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VLOOKUP(VLOOKUP(DATEVALUE(TEXT(A2401,"m/d/yyyy")),FY24_Temp[],5,FALSE)&amp;TEXT(A2401,"-h"),Table6[],4,FALSE)</f>
        <v>1.6414285898208618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VLOOKUP(TEXT(A2401,"yy-mm")&amp;"-"&amp;IF(AND(WEEKDAY(A2401)&gt;1,WEEKDAY(A2401)&lt;7),"Wkd",TEXT(A2401,"Ddd"))&amp;"-"&amp;TEXT(A2401,"hh"),LoadTable[],5,FALSE)*0.92</f>
        <v>180.62544</v>
      </c>
      <c r="U2401" s="104">
        <f>VLOOKUP(TEXT(A2401,"yy-mm")&amp;"-"&amp;IF(AND(WEEKDAY(A2401)&gt;1,WEEKDAY(A2401)&lt;7),"Wkd",TEXT(A2401,"Ddd"))&amp;"-"&amp;TEXT(A2401,"hh"),LoadTable[],6,FALSE)*T2401</f>
        <v>8231.1013007999991</v>
      </c>
      <c r="V2401">
        <f t="shared" ref="V2401:W2401" si="2563">V2377</f>
        <v>2.9</v>
      </c>
      <c r="W2401">
        <f t="shared" si="2563"/>
        <v>3.1</v>
      </c>
      <c r="X2401" s="9">
        <v>-125.992772766671</v>
      </c>
    </row>
    <row r="2402" spans="1:24">
      <c r="A2402" s="29">
        <f t="shared" si="2530"/>
        <v>45935.958333327515</v>
      </c>
      <c r="B2402" s="30">
        <f t="shared" si="2554"/>
        <v>5000</v>
      </c>
      <c r="C2402" s="8">
        <v>25000</v>
      </c>
      <c r="D2402" s="8">
        <v>0</v>
      </c>
      <c r="E2402" s="8">
        <v>700</v>
      </c>
      <c r="F2402" s="8">
        <v>15000</v>
      </c>
      <c r="G2402" s="30">
        <f t="shared" si="2555"/>
        <v>2400</v>
      </c>
      <c r="H2402" s="8">
        <v>25000</v>
      </c>
      <c r="I2402" s="30">
        <f t="shared" si="2556"/>
        <v>5000</v>
      </c>
      <c r="J2402" s="8">
        <v>25000</v>
      </c>
      <c r="K2402" s="30">
        <f t="shared" si="2557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VLOOKUP(VLOOKUP(DATEVALUE(TEXT(A2402,"m/d/yyyy")),FY24_Temp[],5,FALSE)&amp;TEXT(A2402,"-h"),Table6[],4,FALSE)</f>
        <v>1.6130000182560511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VLOOKUP(TEXT(A2402,"yy-mm")&amp;"-"&amp;IF(AND(WEEKDAY(A2402)&gt;1,WEEKDAY(A2402)&lt;7),"Wkd",TEXT(A2402,"Ddd"))&amp;"-"&amp;TEXT(A2402,"hh"),LoadTable[],5,FALSE)*0.92</f>
        <v>180.62544</v>
      </c>
      <c r="U2402" s="104">
        <f>VLOOKUP(TEXT(A2402,"yy-mm")&amp;"-"&amp;IF(AND(WEEKDAY(A2402)&gt;1,WEEKDAY(A2402)&lt;7),"Wkd",TEXT(A2402,"Ddd"))&amp;"-"&amp;TEXT(A2402,"hh"),LoadTable[],6,FALSE)*T2402</f>
        <v>8164.4505134399997</v>
      </c>
      <c r="V2402">
        <f t="shared" ref="V2402:W2402" si="2564">V2378</f>
        <v>3.6</v>
      </c>
      <c r="W2402">
        <f t="shared" si="2564"/>
        <v>3.1</v>
      </c>
      <c r="X2402" s="9">
        <v>-126.070567316671</v>
      </c>
    </row>
    <row r="2403" spans="1:24">
      <c r="A2403" s="29">
        <f t="shared" si="2530"/>
        <v>45935.999999994179</v>
      </c>
      <c r="B2403" s="30">
        <f t="shared" si="2554"/>
        <v>5000</v>
      </c>
      <c r="C2403" s="8">
        <v>25000</v>
      </c>
      <c r="D2403" s="8">
        <v>0</v>
      </c>
      <c r="E2403" s="8">
        <v>700</v>
      </c>
      <c r="F2403" s="8">
        <v>15000</v>
      </c>
      <c r="G2403" s="30">
        <f t="shared" si="2555"/>
        <v>2400</v>
      </c>
      <c r="H2403" s="8">
        <v>25000</v>
      </c>
      <c r="I2403" s="30">
        <f t="shared" si="2556"/>
        <v>5000</v>
      </c>
      <c r="J2403" s="8">
        <v>25000</v>
      </c>
      <c r="K2403" s="30">
        <f t="shared" si="2557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VLOOKUP(VLOOKUP(DATEVALUE(TEXT(A2403,"m/d/yyyy")),FY24_Temp[],5,FALSE)&amp;TEXT(A2403,"-h"),Table6[],4,FALSE)</f>
        <v>1.6792856965746199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VLOOKUP(TEXT(A2403,"yy-mm")&amp;"-"&amp;IF(AND(WEEKDAY(A2403)&gt;1,WEEKDAY(A2403)&lt;7),"Wkd",TEXT(A2403,"Ddd"))&amp;"-"&amp;TEXT(A2403,"hh"),LoadTable[],5,FALSE)*0.92</f>
        <v>180.62544</v>
      </c>
      <c r="U2403" s="104">
        <f>VLOOKUP(TEXT(A2403,"yy-mm")&amp;"-"&amp;IF(AND(WEEKDAY(A2403)&gt;1,WEEKDAY(A2403)&lt;7),"Wkd",TEXT(A2403,"Ddd"))&amp;"-"&amp;TEXT(A2403,"hh"),LoadTable[],6,FALSE)*T2403</f>
        <v>8132.4798105600003</v>
      </c>
      <c r="V2403">
        <f t="shared" ref="V2403:W2403" si="2565">V2379</f>
        <v>3</v>
      </c>
      <c r="W2403">
        <f t="shared" si="2565"/>
        <v>3.2</v>
      </c>
      <c r="X2403" s="9">
        <v>-126.148361866671</v>
      </c>
    </row>
    <row r="2404" spans="1:24">
      <c r="A2404" s="29">
        <f t="shared" si="2530"/>
        <v>45936.041666660843</v>
      </c>
      <c r="B2404" s="30">
        <f t="shared" si="2554"/>
        <v>5000</v>
      </c>
      <c r="C2404" s="8">
        <v>25000</v>
      </c>
      <c r="D2404" s="8">
        <v>0</v>
      </c>
      <c r="E2404" s="8">
        <v>700</v>
      </c>
      <c r="F2404" s="8">
        <v>15000</v>
      </c>
      <c r="G2404" s="30">
        <f t="shared" si="2555"/>
        <v>2400</v>
      </c>
      <c r="H2404" s="8">
        <v>25000</v>
      </c>
      <c r="I2404" s="30">
        <f t="shared" si="2556"/>
        <v>5000</v>
      </c>
      <c r="J2404" s="8">
        <v>25000</v>
      </c>
      <c r="K2404" s="30">
        <f t="shared" si="2557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VLOOKUP(VLOOKUP(DATEVALUE(TEXT(A2404,"m/d/yyyy")),FY24_Temp[],5,FALSE)&amp;TEXT(A2404,"-h"),Table6[],4,FALSE)</f>
        <v>1.6901428699493408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VLOOKUP(TEXT(A2404,"yy-mm")&amp;"-"&amp;IF(AND(WEEKDAY(A2404)&gt;1,WEEKDAY(A2404)&lt;7),"Wkd",TEXT(A2404,"Ddd"))&amp;"-"&amp;TEXT(A2404,"hh"),LoadTable[],5,FALSE)*0.92</f>
        <v>180.62544</v>
      </c>
      <c r="U2404" s="104">
        <f>VLOOKUP(TEXT(A2404,"yy-mm")&amp;"-"&amp;IF(AND(WEEKDAY(A2404)&gt;1,WEEKDAY(A2404)&lt;7),"Wkd",TEXT(A2404,"Ddd"))&amp;"-"&amp;TEXT(A2404,"hh"),LoadTable[],6,FALSE)*T2404</f>
        <v>8124.71291664</v>
      </c>
      <c r="V2404">
        <f t="shared" ref="V2404:W2404" si="2566">V2380</f>
        <v>2.6</v>
      </c>
      <c r="W2404">
        <f t="shared" si="2566"/>
        <v>3.2</v>
      </c>
      <c r="X2404" s="9">
        <v>-126.226156416671</v>
      </c>
    </row>
    <row r="2405" spans="1:24">
      <c r="A2405" s="29">
        <f t="shared" si="2530"/>
        <v>45936.083333327508</v>
      </c>
      <c r="B2405" s="30">
        <f t="shared" si="2554"/>
        <v>5000</v>
      </c>
      <c r="C2405" s="8">
        <v>25000</v>
      </c>
      <c r="D2405" s="8">
        <v>0</v>
      </c>
      <c r="E2405" s="8">
        <v>700</v>
      </c>
      <c r="F2405" s="8">
        <v>15000</v>
      </c>
      <c r="G2405" s="30">
        <f t="shared" si="2555"/>
        <v>2400</v>
      </c>
      <c r="H2405" s="8">
        <v>25000</v>
      </c>
      <c r="I2405" s="30">
        <f t="shared" si="2556"/>
        <v>5000</v>
      </c>
      <c r="J2405" s="8">
        <v>25000</v>
      </c>
      <c r="K2405" s="30">
        <f t="shared" si="2557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VLOOKUP(VLOOKUP(DATEVALUE(TEXT(A2405,"m/d/yyyy")),FY24_Temp[],5,FALSE)&amp;TEXT(A2405,"-h"),Table6[],4,FALSE)</f>
        <v>1.6235714299338204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VLOOKUP(TEXT(A2405,"yy-mm")&amp;"-"&amp;IF(AND(WEEKDAY(A2405)&gt;1,WEEKDAY(A2405)&lt;7),"Wkd",TEXT(A2405,"Ddd"))&amp;"-"&amp;TEXT(A2405,"hh"),LoadTable[],5,FALSE)*0.92</f>
        <v>180.62544</v>
      </c>
      <c r="U2405" s="104">
        <f>VLOOKUP(TEXT(A2405,"yy-mm")&amp;"-"&amp;IF(AND(WEEKDAY(A2405)&gt;1,WEEKDAY(A2405)&lt;7),"Wkd",TEXT(A2405,"Ddd"))&amp;"-"&amp;TEXT(A2405,"hh"),LoadTable[],6,FALSE)*T2405</f>
        <v>8120.1972806400008</v>
      </c>
      <c r="V2405">
        <f t="shared" ref="V2405:W2405" si="2567">V2381</f>
        <v>2.8</v>
      </c>
      <c r="W2405">
        <f t="shared" si="2567"/>
        <v>3.2</v>
      </c>
      <c r="X2405" s="9">
        <v>-126.303950966671</v>
      </c>
    </row>
    <row r="2406" spans="1:24">
      <c r="A2406" s="29">
        <f t="shared" si="2530"/>
        <v>45936.124999994172</v>
      </c>
      <c r="B2406" s="30">
        <f t="shared" si="2554"/>
        <v>5000</v>
      </c>
      <c r="C2406" s="8">
        <v>25000</v>
      </c>
      <c r="D2406" s="8">
        <v>0</v>
      </c>
      <c r="E2406" s="8">
        <v>700</v>
      </c>
      <c r="F2406" s="8">
        <v>15000</v>
      </c>
      <c r="G2406" s="30">
        <f t="shared" si="2555"/>
        <v>2400</v>
      </c>
      <c r="H2406" s="8">
        <v>25000</v>
      </c>
      <c r="I2406" s="30">
        <f t="shared" si="2556"/>
        <v>5000</v>
      </c>
      <c r="J2406" s="8">
        <v>25000</v>
      </c>
      <c r="K2406" s="30">
        <f t="shared" si="2557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VLOOKUP(VLOOKUP(DATEVALUE(TEXT(A2406,"m/d/yyyy")),FY24_Temp[],5,FALSE)&amp;TEXT(A2406,"-h"),Table6[],4,FALSE)</f>
        <v>1.5127142838069372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VLOOKUP(TEXT(A2406,"yy-mm")&amp;"-"&amp;IF(AND(WEEKDAY(A2406)&gt;1,WEEKDAY(A2406)&lt;7),"Wkd",TEXT(A2406,"Ddd"))&amp;"-"&amp;TEXT(A2406,"hh"),LoadTable[],5,FALSE)*0.92</f>
        <v>180.62544</v>
      </c>
      <c r="U2406" s="104">
        <f>VLOOKUP(TEXT(A2406,"yy-mm")&amp;"-"&amp;IF(AND(WEEKDAY(A2406)&gt;1,WEEKDAY(A2406)&lt;7),"Wkd",TEXT(A2406,"Ddd"))&amp;"-"&amp;TEXT(A2406,"hh"),LoadTable[],6,FALSE)*T2406</f>
        <v>8141.3304571199997</v>
      </c>
      <c r="V2406">
        <f t="shared" ref="V2406:W2406" si="2568">V2382</f>
        <v>2.7</v>
      </c>
      <c r="W2406">
        <f t="shared" si="2568"/>
        <v>3.2</v>
      </c>
      <c r="X2406" s="9">
        <v>-126.381745516671</v>
      </c>
    </row>
    <row r="2407" spans="1:24">
      <c r="A2407" s="29">
        <f t="shared" si="2530"/>
        <v>45936.166666660836</v>
      </c>
      <c r="B2407" s="30">
        <f t="shared" si="2554"/>
        <v>5000</v>
      </c>
      <c r="C2407" s="8">
        <v>25000</v>
      </c>
      <c r="D2407" s="8">
        <v>0</v>
      </c>
      <c r="E2407" s="8">
        <v>700</v>
      </c>
      <c r="F2407" s="8">
        <v>15000</v>
      </c>
      <c r="G2407" s="30">
        <f t="shared" si="2555"/>
        <v>2400</v>
      </c>
      <c r="H2407" s="8">
        <v>25000</v>
      </c>
      <c r="I2407" s="30">
        <f t="shared" si="2556"/>
        <v>5000</v>
      </c>
      <c r="J2407" s="8">
        <v>25000</v>
      </c>
      <c r="K2407" s="30">
        <f t="shared" si="2557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VLOOKUP(VLOOKUP(DATEVALUE(TEXT(A2407,"m/d/yyyy")),FY24_Temp[],5,FALSE)&amp;TEXT(A2407,"-h"),Table6[],4,FALSE)</f>
        <v>1.4104285751070296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VLOOKUP(TEXT(A2407,"yy-mm")&amp;"-"&amp;IF(AND(WEEKDAY(A2407)&gt;1,WEEKDAY(A2407)&lt;7),"Wkd",TEXT(A2407,"Ddd"))&amp;"-"&amp;TEXT(A2407,"hh"),LoadTable[],5,FALSE)*0.92</f>
        <v>180.62544</v>
      </c>
      <c r="U2407" s="104">
        <f>VLOOKUP(TEXT(A2407,"yy-mm")&amp;"-"&amp;IF(AND(WEEKDAY(A2407)&gt;1,WEEKDAY(A2407)&lt;7),"Wkd",TEXT(A2407,"Ddd"))&amp;"-"&amp;TEXT(A2407,"hh"),LoadTable[],6,FALSE)*T2407</f>
        <v>8184.86118816</v>
      </c>
      <c r="V2407">
        <f t="shared" ref="V2407:W2407" si="2569">V2383</f>
        <v>3</v>
      </c>
      <c r="W2407">
        <f t="shared" si="2569"/>
        <v>3.1</v>
      </c>
      <c r="X2407" s="9">
        <v>-126.459540066671</v>
      </c>
    </row>
    <row r="2408" spans="1:24">
      <c r="A2408" s="29">
        <f t="shared" si="2530"/>
        <v>45936.2083333275</v>
      </c>
      <c r="B2408" s="30">
        <f t="shared" si="2554"/>
        <v>5000</v>
      </c>
      <c r="C2408" s="8">
        <v>25000</v>
      </c>
      <c r="D2408" s="8">
        <v>0</v>
      </c>
      <c r="E2408" s="8">
        <v>700</v>
      </c>
      <c r="F2408" s="8">
        <v>15000</v>
      </c>
      <c r="G2408" s="30">
        <f t="shared" si="2555"/>
        <v>2400</v>
      </c>
      <c r="H2408" s="8">
        <v>25000</v>
      </c>
      <c r="I2408" s="30">
        <f t="shared" si="2556"/>
        <v>5000</v>
      </c>
      <c r="J2408" s="8">
        <v>25000</v>
      </c>
      <c r="K2408" s="30">
        <f t="shared" si="2557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VLOOKUP(VLOOKUP(DATEVALUE(TEXT(A2408,"m/d/yyyy")),FY24_Temp[],5,FALSE)&amp;TEXT(A2408,"-h"),Table6[],4,FALSE)</f>
        <v>1.3584285974502563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VLOOKUP(TEXT(A2408,"yy-mm")&amp;"-"&amp;IF(AND(WEEKDAY(A2408)&gt;1,WEEKDAY(A2408)&lt;7),"Wkd",TEXT(A2408,"Ddd"))&amp;"-"&amp;TEXT(A2408,"hh"),LoadTable[],5,FALSE)*0.92</f>
        <v>275.09195999999997</v>
      </c>
      <c r="U2408" s="104">
        <f>VLOOKUP(TEXT(A2408,"yy-mm")&amp;"-"&amp;IF(AND(WEEKDAY(A2408)&gt;1,WEEKDAY(A2408)&lt;7),"Wkd",TEXT(A2408,"Ddd"))&amp;"-"&amp;TEXT(A2408,"hh"),LoadTable[],6,FALSE)*T2408</f>
        <v>12729.880448999998</v>
      </c>
      <c r="V2408">
        <f t="shared" ref="V2408:W2408" si="2570">V2384</f>
        <v>2.9</v>
      </c>
      <c r="W2408">
        <f t="shared" si="2570"/>
        <v>3.1</v>
      </c>
      <c r="X2408" s="9">
        <v>-126.537334616671</v>
      </c>
    </row>
    <row r="2409" spans="1:24">
      <c r="A2409" s="29">
        <f t="shared" si="2530"/>
        <v>45936.249999994165</v>
      </c>
      <c r="B2409" s="30">
        <f t="shared" si="2554"/>
        <v>8000</v>
      </c>
      <c r="C2409" s="8">
        <v>25000</v>
      </c>
      <c r="D2409" s="8">
        <v>0</v>
      </c>
      <c r="E2409" s="8">
        <v>700</v>
      </c>
      <c r="F2409" s="8">
        <v>15000</v>
      </c>
      <c r="G2409" s="30">
        <f t="shared" si="2555"/>
        <v>2400</v>
      </c>
      <c r="H2409" s="8">
        <v>25000</v>
      </c>
      <c r="I2409" s="30">
        <f t="shared" si="2556"/>
        <v>8000</v>
      </c>
      <c r="J2409" s="8">
        <v>25000</v>
      </c>
      <c r="K2409" s="30">
        <f t="shared" si="2557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VLOOKUP(VLOOKUP(DATEVALUE(TEXT(A2409,"m/d/yyyy")),FY24_Temp[],5,FALSE)&amp;TEXT(A2409,"-h"),Table6[],4,FALSE)</f>
        <v>1.2088571446282523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VLOOKUP(TEXT(A2409,"yy-mm")&amp;"-"&amp;IF(AND(WEEKDAY(A2409)&gt;1,WEEKDAY(A2409)&lt;7),"Wkd",TEXT(A2409,"Ddd"))&amp;"-"&amp;TEXT(A2409,"hh"),LoadTable[],5,FALSE)*0.92</f>
        <v>275.09195999999997</v>
      </c>
      <c r="U2409" s="104">
        <f>VLOOKUP(TEXT(A2409,"yy-mm")&amp;"-"&amp;IF(AND(WEEKDAY(A2409)&gt;1,WEEKDAY(A2409)&lt;7),"Wkd",TEXT(A2409,"Ddd"))&amp;"-"&amp;TEXT(A2409,"hh"),LoadTable[],6,FALSE)*T2409</f>
        <v>13284.465840359997</v>
      </c>
      <c r="V2409">
        <f t="shared" ref="V2409:W2409" si="2571">V2385</f>
        <v>2.5</v>
      </c>
      <c r="W2409">
        <f t="shared" si="2571"/>
        <v>3.1</v>
      </c>
      <c r="X2409" s="9">
        <v>-126.615129166671</v>
      </c>
    </row>
    <row r="2410" spans="1:24">
      <c r="A2410" s="29">
        <f t="shared" si="2530"/>
        <v>45936.291666660829</v>
      </c>
      <c r="B2410" s="30">
        <f t="shared" si="2554"/>
        <v>8000</v>
      </c>
      <c r="C2410" s="8">
        <v>25000</v>
      </c>
      <c r="D2410" s="8">
        <v>0</v>
      </c>
      <c r="E2410" s="8">
        <v>700</v>
      </c>
      <c r="F2410" s="8">
        <v>15000</v>
      </c>
      <c r="G2410" s="30">
        <f t="shared" si="2555"/>
        <v>2400</v>
      </c>
      <c r="H2410" s="8">
        <v>25000</v>
      </c>
      <c r="I2410" s="30">
        <f t="shared" si="2556"/>
        <v>8000</v>
      </c>
      <c r="J2410" s="8">
        <v>25000</v>
      </c>
      <c r="K2410" s="30">
        <f t="shared" si="2557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VLOOKUP(VLOOKUP(DATEVALUE(TEXT(A2410,"m/d/yyyy")),FY24_Temp[],5,FALSE)&amp;TEXT(A2410,"-h"),Table6[],4,FALSE)</f>
        <v>1.0575714196477617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VLOOKUP(TEXT(A2410,"yy-mm")&amp;"-"&amp;IF(AND(WEEKDAY(A2410)&gt;1,WEEKDAY(A2410)&lt;7),"Wkd",TEXT(A2410,"Ddd"))&amp;"-"&amp;TEXT(A2410,"hh"),LoadTable[],5,FALSE)*0.92</f>
        <v>236.10788000000002</v>
      </c>
      <c r="U2410" s="104">
        <f>VLOOKUP(TEXT(A2410,"yy-mm")&amp;"-"&amp;IF(AND(WEEKDAY(A2410)&gt;1,WEEKDAY(A2410)&lt;7),"Wkd",TEXT(A2410,"Ddd"))&amp;"-"&amp;TEXT(A2410,"hh"),LoadTable[],6,FALSE)*T2410</f>
        <v>11438.48235448</v>
      </c>
      <c r="V2410">
        <f t="shared" ref="V2410:W2410" si="2572">V2386</f>
        <v>2.5</v>
      </c>
      <c r="W2410">
        <f t="shared" si="2572"/>
        <v>3.1</v>
      </c>
      <c r="X2410" s="9">
        <v>-126.692923716672</v>
      </c>
    </row>
    <row r="2411" spans="1:24">
      <c r="A2411" s="29">
        <f t="shared" si="2530"/>
        <v>45936.333333327493</v>
      </c>
      <c r="B2411" s="30">
        <f t="shared" si="2554"/>
        <v>8000</v>
      </c>
      <c r="C2411" s="8">
        <v>25000</v>
      </c>
      <c r="D2411" s="8">
        <v>0</v>
      </c>
      <c r="E2411" s="8">
        <v>700</v>
      </c>
      <c r="F2411" s="8">
        <v>15000</v>
      </c>
      <c r="G2411" s="30">
        <f t="shared" si="2555"/>
        <v>2400</v>
      </c>
      <c r="H2411" s="8">
        <v>25000</v>
      </c>
      <c r="I2411" s="30">
        <f t="shared" si="2556"/>
        <v>8000</v>
      </c>
      <c r="J2411" s="8">
        <v>25000</v>
      </c>
      <c r="K2411" s="30">
        <f t="shared" si="2557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VLOOKUP(VLOOKUP(DATEVALUE(TEXT(A2411,"m/d/yyyy")),FY24_Temp[],5,FALSE)&amp;TEXT(A2411,"-h"),Table6[],4,FALSE)</f>
        <v>0.95157144750867573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VLOOKUP(TEXT(A2411,"yy-mm")&amp;"-"&amp;IF(AND(WEEKDAY(A2411)&gt;1,WEEKDAY(A2411)&lt;7),"Wkd",TEXT(A2411,"Ddd"))&amp;"-"&amp;TEXT(A2411,"hh"),LoadTable[],5,FALSE)*0.92</f>
        <v>236.10788000000002</v>
      </c>
      <c r="U2411" s="104">
        <f>VLOOKUP(TEXT(A2411,"yy-mm")&amp;"-"&amp;IF(AND(WEEKDAY(A2411)&gt;1,WEEKDAY(A2411)&lt;7),"Wkd",TEXT(A2411,"Ddd"))&amp;"-"&amp;TEXT(A2411,"hh"),LoadTable[],6,FALSE)*T2411</f>
        <v>10919.281126360002</v>
      </c>
      <c r="V2411">
        <f t="shared" ref="V2411:W2411" si="2573">V2387</f>
        <v>3.2</v>
      </c>
      <c r="W2411">
        <f t="shared" si="2573"/>
        <v>3</v>
      </c>
      <c r="X2411" s="9">
        <v>-126.770718266671</v>
      </c>
    </row>
    <row r="2412" spans="1:24">
      <c r="A2412" s="29">
        <f t="shared" si="2530"/>
        <v>45936.374999994157</v>
      </c>
      <c r="B2412" s="30">
        <f t="shared" si="2554"/>
        <v>8000</v>
      </c>
      <c r="C2412" s="8">
        <v>25000</v>
      </c>
      <c r="D2412" s="8">
        <v>0</v>
      </c>
      <c r="E2412" s="8">
        <v>700</v>
      </c>
      <c r="F2412" s="8">
        <v>15000</v>
      </c>
      <c r="G2412" s="30">
        <f t="shared" si="2555"/>
        <v>2400</v>
      </c>
      <c r="H2412" s="8">
        <v>25000</v>
      </c>
      <c r="I2412" s="30">
        <f t="shared" si="2556"/>
        <v>8000</v>
      </c>
      <c r="J2412" s="8">
        <v>25000</v>
      </c>
      <c r="K2412" s="30">
        <f t="shared" si="2557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VLOOKUP(VLOOKUP(DATEVALUE(TEXT(A2412,"m/d/yyyy")),FY24_Temp[],5,FALSE)&amp;TEXT(A2412,"-h"),Table6[],4,FALSE)</f>
        <v>0.83871427604130333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VLOOKUP(TEXT(A2412,"yy-mm")&amp;"-"&amp;IF(AND(WEEKDAY(A2412)&gt;1,WEEKDAY(A2412)&lt;7),"Wkd",TEXT(A2412,"Ddd"))&amp;"-"&amp;TEXT(A2412,"hh"),LoadTable[],5,FALSE)*0.92</f>
        <v>236.10788000000002</v>
      </c>
      <c r="U2412" s="104">
        <f>VLOOKUP(TEXT(A2412,"yy-mm")&amp;"-"&amp;IF(AND(WEEKDAY(A2412)&gt;1,WEEKDAY(A2412)&lt;7),"Wkd",TEXT(A2412,"Ddd"))&amp;"-"&amp;TEXT(A2412,"hh"),LoadTable[],6,FALSE)*T2412</f>
        <v>10592.271712560001</v>
      </c>
      <c r="V2412">
        <f t="shared" ref="V2412:W2412" si="2574">V2388</f>
        <v>2.9</v>
      </c>
      <c r="W2412">
        <f t="shared" si="2574"/>
        <v>3</v>
      </c>
      <c r="X2412" s="9">
        <v>-126.848512816672</v>
      </c>
    </row>
    <row r="2413" spans="1:24">
      <c r="A2413" s="29">
        <f t="shared" si="2530"/>
        <v>45936.416666660822</v>
      </c>
      <c r="B2413" s="30">
        <f t="shared" si="2554"/>
        <v>8000</v>
      </c>
      <c r="C2413" s="8">
        <v>25000</v>
      </c>
      <c r="D2413" s="8">
        <v>0</v>
      </c>
      <c r="E2413" s="8">
        <v>700</v>
      </c>
      <c r="F2413" s="8">
        <v>15000</v>
      </c>
      <c r="G2413" s="30">
        <f t="shared" si="2555"/>
        <v>2400</v>
      </c>
      <c r="H2413" s="8">
        <v>25000</v>
      </c>
      <c r="I2413" s="30">
        <f t="shared" si="2556"/>
        <v>8000</v>
      </c>
      <c r="J2413" s="8">
        <v>25000</v>
      </c>
      <c r="K2413" s="30">
        <f t="shared" si="2557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VLOOKUP(VLOOKUP(DATEVALUE(TEXT(A2413,"m/d/yyyy")),FY24_Temp[],5,FALSE)&amp;TEXT(A2413,"-h"),Table6[],4,FALSE)</f>
        <v>0.72357143674577984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VLOOKUP(TEXT(A2413,"yy-mm")&amp;"-"&amp;IF(AND(WEEKDAY(A2413)&gt;1,WEEKDAY(A2413)&lt;7),"Wkd",TEXT(A2413,"Ddd"))&amp;"-"&amp;TEXT(A2413,"hh"),LoadTable[],5,FALSE)*0.92</f>
        <v>236.10788000000002</v>
      </c>
      <c r="U2413" s="104">
        <f>VLOOKUP(TEXT(A2413,"yy-mm")&amp;"-"&amp;IF(AND(WEEKDAY(A2413)&gt;1,WEEKDAY(A2413)&lt;7),"Wkd",TEXT(A2413,"Ddd"))&amp;"-"&amp;TEXT(A2413,"hh"),LoadTable[],6,FALSE)*T2413</f>
        <v>10565.591522120001</v>
      </c>
      <c r="V2413">
        <f t="shared" ref="V2413:W2413" si="2575">V2389</f>
        <v>2.9</v>
      </c>
      <c r="W2413">
        <f t="shared" si="2575"/>
        <v>3</v>
      </c>
      <c r="X2413" s="9">
        <v>-126.926307366671</v>
      </c>
    </row>
    <row r="2414" spans="1:24">
      <c r="A2414" s="29">
        <f t="shared" si="2530"/>
        <v>45936.458333327486</v>
      </c>
      <c r="B2414" s="30">
        <f t="shared" si="2554"/>
        <v>8000</v>
      </c>
      <c r="C2414" s="8">
        <v>25000</v>
      </c>
      <c r="D2414" s="8">
        <v>0</v>
      </c>
      <c r="E2414" s="8">
        <v>700</v>
      </c>
      <c r="F2414" s="8">
        <v>15000</v>
      </c>
      <c r="G2414" s="30">
        <f t="shared" si="2555"/>
        <v>2400</v>
      </c>
      <c r="H2414" s="8">
        <v>25000</v>
      </c>
      <c r="I2414" s="30">
        <f t="shared" si="2556"/>
        <v>8000</v>
      </c>
      <c r="J2414" s="8">
        <v>25000</v>
      </c>
      <c r="K2414" s="30">
        <f t="shared" si="2557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VLOOKUP(VLOOKUP(DATEVALUE(TEXT(A2414,"m/d/yyyy")),FY24_Temp[],5,FALSE)&amp;TEXT(A2414,"-h"),Table6[],4,FALSE)</f>
        <v>0.61371428200176781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VLOOKUP(TEXT(A2414,"yy-mm")&amp;"-"&amp;IF(AND(WEEKDAY(A2414)&gt;1,WEEKDAY(A2414)&lt;7),"Wkd",TEXT(A2414,"Ddd"))&amp;"-"&amp;TEXT(A2414,"hh"),LoadTable[],5,FALSE)*0.92</f>
        <v>236.10788000000002</v>
      </c>
      <c r="U2414" s="104">
        <f>VLOOKUP(TEXT(A2414,"yy-mm")&amp;"-"&amp;IF(AND(WEEKDAY(A2414)&gt;1,WEEKDAY(A2414)&lt;7),"Wkd",TEXT(A2414,"Ddd"))&amp;"-"&amp;TEXT(A2414,"hh"),LoadTable[],6,FALSE)*T2414</f>
        <v>10548.355646880002</v>
      </c>
      <c r="V2414">
        <f t="shared" ref="V2414:W2414" si="2576">V2390</f>
        <v>3.4</v>
      </c>
      <c r="W2414">
        <f t="shared" si="2576"/>
        <v>3</v>
      </c>
      <c r="X2414" s="9">
        <v>-127.004101916672</v>
      </c>
    </row>
    <row r="2415" spans="1:24">
      <c r="A2415" s="29">
        <f t="shared" si="2530"/>
        <v>45936.49999999415</v>
      </c>
      <c r="B2415" s="30">
        <f t="shared" si="2554"/>
        <v>8000</v>
      </c>
      <c r="C2415" s="8">
        <v>25000</v>
      </c>
      <c r="D2415" s="8">
        <v>0</v>
      </c>
      <c r="E2415" s="8">
        <v>700</v>
      </c>
      <c r="F2415" s="8">
        <v>15000</v>
      </c>
      <c r="G2415" s="30">
        <f t="shared" si="2555"/>
        <v>2400</v>
      </c>
      <c r="H2415" s="8">
        <v>25000</v>
      </c>
      <c r="I2415" s="30">
        <f t="shared" si="2556"/>
        <v>8000</v>
      </c>
      <c r="J2415" s="8">
        <v>25000</v>
      </c>
      <c r="K2415" s="30">
        <f t="shared" si="2557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VLOOKUP(VLOOKUP(DATEVALUE(TEXT(A2415,"m/d/yyyy")),FY24_Temp[],5,FALSE)&amp;TEXT(A2415,"-h"),Table6[],4,FALSE)</f>
        <v>0.48757142680031912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VLOOKUP(TEXT(A2415,"yy-mm")&amp;"-"&amp;IF(AND(WEEKDAY(A2415)&gt;1,WEEKDAY(A2415)&lt;7),"Wkd",TEXT(A2415,"Ddd"))&amp;"-"&amp;TEXT(A2415,"hh"),LoadTable[],5,FALSE)*0.92</f>
        <v>236.10788000000002</v>
      </c>
      <c r="U2415" s="104">
        <f>VLOOKUP(TEXT(A2415,"yy-mm")&amp;"-"&amp;IF(AND(WEEKDAY(A2415)&gt;1,WEEKDAY(A2415)&lt;7),"Wkd",TEXT(A2415,"Ddd"))&amp;"-"&amp;TEXT(A2415,"hh"),LoadTable[],6,FALSE)*T2415</f>
        <v>10540.327978960002</v>
      </c>
      <c r="V2415">
        <f t="shared" ref="V2415:W2415" si="2577">V2391</f>
        <v>3.1</v>
      </c>
      <c r="W2415">
        <f t="shared" si="2577"/>
        <v>2.9</v>
      </c>
      <c r="X2415" s="9">
        <v>-127.081896466671</v>
      </c>
    </row>
    <row r="2416" spans="1:24">
      <c r="A2416" s="29">
        <f t="shared" si="2530"/>
        <v>45936.541666660814</v>
      </c>
      <c r="B2416" s="30">
        <f t="shared" si="2554"/>
        <v>8000</v>
      </c>
      <c r="C2416" s="8">
        <v>25000</v>
      </c>
      <c r="D2416" s="8">
        <v>0</v>
      </c>
      <c r="E2416" s="8">
        <v>700</v>
      </c>
      <c r="F2416" s="8">
        <v>15000</v>
      </c>
      <c r="G2416" s="30">
        <f t="shared" si="2555"/>
        <v>2400</v>
      </c>
      <c r="H2416" s="8">
        <v>25000</v>
      </c>
      <c r="I2416" s="30">
        <f t="shared" si="2556"/>
        <v>8000</v>
      </c>
      <c r="J2416" s="8">
        <v>25000</v>
      </c>
      <c r="K2416" s="30">
        <f t="shared" si="2557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VLOOKUP(VLOOKUP(DATEVALUE(TEXT(A2416,"m/d/yyyy")),FY24_Temp[],5,FALSE)&amp;TEXT(A2416,"-h"),Table6[],4,FALSE)</f>
        <v>0.37585713820798056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VLOOKUP(TEXT(A2416,"yy-mm")&amp;"-"&amp;IF(AND(WEEKDAY(A2416)&gt;1,WEEKDAY(A2416)&lt;7),"Wkd",TEXT(A2416,"Ddd"))&amp;"-"&amp;TEXT(A2416,"hh"),LoadTable[],5,FALSE)*0.92</f>
        <v>236.10788000000002</v>
      </c>
      <c r="U2416" s="104">
        <f>VLOOKUP(TEXT(A2416,"yy-mm")&amp;"-"&amp;IF(AND(WEEKDAY(A2416)&gt;1,WEEKDAY(A2416)&lt;7),"Wkd",TEXT(A2416,"Ddd"))&amp;"-"&amp;TEXT(A2416,"hh"),LoadTable[],6,FALSE)*T2416</f>
        <v>10541.50851836</v>
      </c>
      <c r="V2416">
        <f t="shared" ref="V2416:W2416" si="2578">V2392</f>
        <v>3.2</v>
      </c>
      <c r="W2416">
        <f t="shared" si="2578"/>
        <v>2.9</v>
      </c>
      <c r="X2416" s="9">
        <v>-127.159691016672</v>
      </c>
    </row>
    <row r="2417" spans="1:24">
      <c r="A2417" s="29">
        <f t="shared" si="2530"/>
        <v>45936.583333327479</v>
      </c>
      <c r="B2417" s="30">
        <f t="shared" si="2554"/>
        <v>8000</v>
      </c>
      <c r="C2417" s="8">
        <v>25000</v>
      </c>
      <c r="D2417" s="8">
        <v>0</v>
      </c>
      <c r="E2417" s="8">
        <v>700</v>
      </c>
      <c r="F2417" s="8">
        <v>15000</v>
      </c>
      <c r="G2417" s="30">
        <f t="shared" si="2555"/>
        <v>2400</v>
      </c>
      <c r="H2417" s="8">
        <v>25000</v>
      </c>
      <c r="I2417" s="30">
        <f t="shared" si="2556"/>
        <v>8000</v>
      </c>
      <c r="J2417" s="8">
        <v>25000</v>
      </c>
      <c r="K2417" s="30">
        <f t="shared" si="2557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VLOOKUP(VLOOKUP(DATEVALUE(TEXT(A2417,"m/d/yyyy")),FY24_Temp[],5,FALSE)&amp;TEXT(A2417,"-h"),Table6[],4,FALSE)</f>
        <v>0.32000000349112917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VLOOKUP(TEXT(A2417,"yy-mm")&amp;"-"&amp;IF(AND(WEEKDAY(A2417)&gt;1,WEEKDAY(A2417)&lt;7),"Wkd",TEXT(A2417,"Ddd"))&amp;"-"&amp;TEXT(A2417,"hh"),LoadTable[],5,FALSE)*0.92</f>
        <v>236.10788000000002</v>
      </c>
      <c r="U2417" s="104">
        <f>VLOOKUP(TEXT(A2417,"yy-mm")&amp;"-"&amp;IF(AND(WEEKDAY(A2417)&gt;1,WEEKDAY(A2417)&lt;7),"Wkd",TEXT(A2417,"Ddd"))&amp;"-"&amp;TEXT(A2417,"hh"),LoadTable[],6,FALSE)*T2417</f>
        <v>10551.188941440001</v>
      </c>
      <c r="V2417">
        <f t="shared" ref="V2417:W2417" si="2579">V2393</f>
        <v>3.5</v>
      </c>
      <c r="W2417">
        <f t="shared" si="2579"/>
        <v>2.9</v>
      </c>
      <c r="X2417" s="9">
        <v>-127.237485566671</v>
      </c>
    </row>
    <row r="2418" spans="1:24">
      <c r="A2418" s="29">
        <f t="shared" si="2530"/>
        <v>45936.624999994143</v>
      </c>
      <c r="B2418" s="30">
        <f t="shared" si="2554"/>
        <v>8000</v>
      </c>
      <c r="C2418" s="8">
        <v>25000</v>
      </c>
      <c r="D2418" s="8">
        <v>0</v>
      </c>
      <c r="E2418" s="8">
        <v>700</v>
      </c>
      <c r="F2418" s="8">
        <v>15000</v>
      </c>
      <c r="G2418" s="30">
        <f t="shared" si="2555"/>
        <v>2400</v>
      </c>
      <c r="H2418" s="8">
        <v>25000</v>
      </c>
      <c r="I2418" s="30">
        <f t="shared" si="2556"/>
        <v>8000</v>
      </c>
      <c r="J2418" s="8">
        <v>25000</v>
      </c>
      <c r="K2418" s="30">
        <f t="shared" si="2557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VLOOKUP(VLOOKUP(DATEVALUE(TEXT(A2418,"m/d/yyyy")),FY24_Temp[],5,FALSE)&amp;TEXT(A2418,"-h"),Table6[],4,FALSE)</f>
        <v>0.4050000011920929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VLOOKUP(TEXT(A2418,"yy-mm")&amp;"-"&amp;IF(AND(WEEKDAY(A2418)&gt;1,WEEKDAY(A2418)&lt;7),"Wkd",TEXT(A2418,"Ddd"))&amp;"-"&amp;TEXT(A2418,"hh"),LoadTable[],5,FALSE)*0.92</f>
        <v>236.10788000000002</v>
      </c>
      <c r="U2418" s="104">
        <f>VLOOKUP(TEXT(A2418,"yy-mm")&amp;"-"&amp;IF(AND(WEEKDAY(A2418)&gt;1,WEEKDAY(A2418)&lt;7),"Wkd",TEXT(A2418,"Ddd"))&amp;"-"&amp;TEXT(A2418,"hh"),LoadTable[],6,FALSE)*T2418</f>
        <v>10572.202542760002</v>
      </c>
      <c r="V2418">
        <f t="shared" ref="V2418:W2418" si="2580">V2394</f>
        <v>3.2</v>
      </c>
      <c r="W2418">
        <f t="shared" si="2580"/>
        <v>2.9</v>
      </c>
      <c r="X2418" s="9">
        <v>-127.315280116672</v>
      </c>
    </row>
    <row r="2419" spans="1:24">
      <c r="A2419" s="29">
        <f t="shared" si="2530"/>
        <v>45936.666666660807</v>
      </c>
      <c r="B2419" s="30">
        <f t="shared" si="2554"/>
        <v>8000</v>
      </c>
      <c r="C2419" s="8">
        <v>25000</v>
      </c>
      <c r="D2419" s="8">
        <v>0</v>
      </c>
      <c r="E2419" s="8">
        <v>700</v>
      </c>
      <c r="F2419" s="8">
        <v>15000</v>
      </c>
      <c r="G2419" s="30">
        <f t="shared" si="2555"/>
        <v>2400</v>
      </c>
      <c r="H2419" s="8">
        <v>25000</v>
      </c>
      <c r="I2419" s="30">
        <f t="shared" si="2556"/>
        <v>8000</v>
      </c>
      <c r="J2419" s="8">
        <v>25000</v>
      </c>
      <c r="K2419" s="30">
        <f t="shared" si="2557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VLOOKUP(VLOOKUP(DATEVALUE(TEXT(A2419,"m/d/yyyy")),FY24_Temp[],5,FALSE)&amp;TEXT(A2419,"-h"),Table6[],4,FALSE)</f>
        <v>0.67542857357433861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VLOOKUP(TEXT(A2419,"yy-mm")&amp;"-"&amp;IF(AND(WEEKDAY(A2419)&gt;1,WEEKDAY(A2419)&lt;7),"Wkd",TEXT(A2419,"Ddd"))&amp;"-"&amp;TEXT(A2419,"hh"),LoadTable[],5,FALSE)*0.92</f>
        <v>236.10788000000002</v>
      </c>
      <c r="U2419" s="104">
        <f>VLOOKUP(TEXT(A2419,"yy-mm")&amp;"-"&amp;IF(AND(WEEKDAY(A2419)&gt;1,WEEKDAY(A2419)&lt;7),"Wkd",TEXT(A2419,"Ddd"))&amp;"-"&amp;TEXT(A2419,"hh"),LoadTable[],6,FALSE)*T2419</f>
        <v>10648.93760376</v>
      </c>
      <c r="V2419">
        <f t="shared" ref="V2419:W2419" si="2581">V2395</f>
        <v>3.5</v>
      </c>
      <c r="W2419">
        <f t="shared" si="2581"/>
        <v>3</v>
      </c>
      <c r="X2419" s="9">
        <v>-127.393074666671</v>
      </c>
    </row>
    <row r="2420" spans="1:24">
      <c r="A2420" s="29">
        <f t="shared" si="2530"/>
        <v>45936.708333327471</v>
      </c>
      <c r="B2420" s="30">
        <f t="shared" si="2554"/>
        <v>8000</v>
      </c>
      <c r="C2420" s="8">
        <v>25000</v>
      </c>
      <c r="D2420" s="8">
        <v>0</v>
      </c>
      <c r="E2420" s="8">
        <v>700</v>
      </c>
      <c r="F2420" s="8">
        <v>15000</v>
      </c>
      <c r="G2420" s="30">
        <f t="shared" si="2555"/>
        <v>2400</v>
      </c>
      <c r="H2420" s="8">
        <v>25000</v>
      </c>
      <c r="I2420" s="30">
        <f t="shared" si="2556"/>
        <v>8000</v>
      </c>
      <c r="J2420" s="8">
        <v>25000</v>
      </c>
      <c r="K2420" s="30">
        <f t="shared" si="2557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VLOOKUP(VLOOKUP(DATEVALUE(TEXT(A2420,"m/d/yyyy")),FY24_Temp[],5,FALSE)&amp;TEXT(A2420,"-h"),Table6[],4,FALSE)</f>
        <v>1.0648571423121862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VLOOKUP(TEXT(A2420,"yy-mm")&amp;"-"&amp;IF(AND(WEEKDAY(A2420)&gt;1,WEEKDAY(A2420)&lt;7),"Wkd",TEXT(A2420,"Ddd"))&amp;"-"&amp;TEXT(A2420,"hh"),LoadTable[],5,FALSE)*0.92</f>
        <v>236.10788000000002</v>
      </c>
      <c r="U2420" s="104">
        <f>VLOOKUP(TEXT(A2420,"yy-mm")&amp;"-"&amp;IF(AND(WEEKDAY(A2420)&gt;1,WEEKDAY(A2420)&lt;7),"Wkd",TEXT(A2420,"Ddd"))&amp;"-"&amp;TEXT(A2420,"hh"),LoadTable[],6,FALSE)*T2420</f>
        <v>11157.513977280001</v>
      </c>
      <c r="V2420">
        <f t="shared" ref="V2420:W2420" si="2582">V2396</f>
        <v>3.6</v>
      </c>
      <c r="W2420">
        <f t="shared" si="2582"/>
        <v>3</v>
      </c>
      <c r="X2420" s="9">
        <v>-127.470869216672</v>
      </c>
    </row>
    <row r="2421" spans="1:24">
      <c r="A2421" s="29">
        <f t="shared" si="2530"/>
        <v>45936.749999994136</v>
      </c>
      <c r="B2421" s="30">
        <f t="shared" si="2554"/>
        <v>5000</v>
      </c>
      <c r="C2421" s="8">
        <v>25000</v>
      </c>
      <c r="D2421" s="8">
        <v>0</v>
      </c>
      <c r="E2421" s="8">
        <v>700</v>
      </c>
      <c r="F2421" s="8">
        <v>15000</v>
      </c>
      <c r="G2421" s="30">
        <f t="shared" si="2555"/>
        <v>2400</v>
      </c>
      <c r="H2421" s="8">
        <v>25000</v>
      </c>
      <c r="I2421" s="30">
        <f t="shared" si="2556"/>
        <v>5000</v>
      </c>
      <c r="J2421" s="8">
        <v>25000</v>
      </c>
      <c r="K2421" s="30">
        <f t="shared" si="2557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VLOOKUP(VLOOKUP(DATEVALUE(TEXT(A2421,"m/d/yyyy")),FY24_Temp[],5,FALSE)&amp;TEXT(A2421,"-h"),Table6[],4,FALSE)</f>
        <v>1.3020000287464686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VLOOKUP(TEXT(A2421,"yy-mm")&amp;"-"&amp;IF(AND(WEEKDAY(A2421)&gt;1,WEEKDAY(A2421)&lt;7),"Wkd",TEXT(A2421,"Ddd"))&amp;"-"&amp;TEXT(A2421,"hh"),LoadTable[],5,FALSE)*0.92</f>
        <v>308.12363999999997</v>
      </c>
      <c r="U2421" s="104">
        <f>VLOOKUP(TEXT(A2421,"yy-mm")&amp;"-"&amp;IF(AND(WEEKDAY(A2421)&gt;1,WEEKDAY(A2421)&lt;7),"Wkd",TEXT(A2421,"Ddd"))&amp;"-"&amp;TEXT(A2421,"hh"),LoadTable[],6,FALSE)*T2421</f>
        <v>15139.963175039999</v>
      </c>
      <c r="V2421">
        <f t="shared" ref="V2421:W2421" si="2583">V2397</f>
        <v>2.9</v>
      </c>
      <c r="W2421">
        <f t="shared" si="2583"/>
        <v>3</v>
      </c>
      <c r="X2421" s="9">
        <v>-127.548663766671</v>
      </c>
    </row>
    <row r="2422" spans="1:24">
      <c r="A2422" s="29">
        <f t="shared" si="2530"/>
        <v>45936.7916666608</v>
      </c>
      <c r="B2422" s="30">
        <f t="shared" si="2554"/>
        <v>5000</v>
      </c>
      <c r="C2422" s="8">
        <v>25000</v>
      </c>
      <c r="D2422" s="8">
        <v>0</v>
      </c>
      <c r="E2422" s="8">
        <v>700</v>
      </c>
      <c r="F2422" s="8">
        <v>15000</v>
      </c>
      <c r="G2422" s="30">
        <f t="shared" si="2555"/>
        <v>2400</v>
      </c>
      <c r="H2422" s="8">
        <v>25000</v>
      </c>
      <c r="I2422" s="30">
        <f t="shared" si="2556"/>
        <v>5000</v>
      </c>
      <c r="J2422" s="8">
        <v>25000</v>
      </c>
      <c r="K2422" s="30">
        <f t="shared" si="2557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VLOOKUP(VLOOKUP(DATEVALUE(TEXT(A2422,"m/d/yyyy")),FY24_Temp[],5,FALSE)&amp;TEXT(A2422,"-h"),Table6[],4,FALSE)</f>
        <v>1.449857132775443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VLOOKUP(TEXT(A2422,"yy-mm")&amp;"-"&amp;IF(AND(WEEKDAY(A2422)&gt;1,WEEKDAY(A2422)&lt;7),"Wkd",TEXT(A2422,"Ddd"))&amp;"-"&amp;TEXT(A2422,"hh"),LoadTable[],5,FALSE)*0.92</f>
        <v>308.12363999999997</v>
      </c>
      <c r="U2422" s="104">
        <f>VLOOKUP(TEXT(A2422,"yy-mm")&amp;"-"&amp;IF(AND(WEEKDAY(A2422)&gt;1,WEEKDAY(A2422)&lt;7),"Wkd",TEXT(A2422,"Ddd"))&amp;"-"&amp;TEXT(A2422,"hh"),LoadTable[],6,FALSE)*T2422</f>
        <v>15247.806449039997</v>
      </c>
      <c r="V2422">
        <f t="shared" ref="V2422:W2422" si="2584">V2398</f>
        <v>3</v>
      </c>
      <c r="W2422">
        <f t="shared" si="2584"/>
        <v>3</v>
      </c>
      <c r="X2422" s="9">
        <v>-127.62645831667101</v>
      </c>
    </row>
    <row r="2423" spans="1:24">
      <c r="A2423" s="29">
        <f t="shared" si="2530"/>
        <v>45936.833333327464</v>
      </c>
      <c r="B2423" s="30">
        <f t="shared" si="2554"/>
        <v>5000</v>
      </c>
      <c r="C2423" s="8">
        <v>25000</v>
      </c>
      <c r="D2423" s="8">
        <v>0</v>
      </c>
      <c r="E2423" s="8">
        <v>700</v>
      </c>
      <c r="F2423" s="8">
        <v>15000</v>
      </c>
      <c r="G2423" s="30">
        <f t="shared" si="2555"/>
        <v>2400</v>
      </c>
      <c r="H2423" s="8">
        <v>25000</v>
      </c>
      <c r="I2423" s="30">
        <f t="shared" si="2556"/>
        <v>5000</v>
      </c>
      <c r="J2423" s="8">
        <v>25000</v>
      </c>
      <c r="K2423" s="30">
        <f t="shared" si="2557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VLOOKUP(VLOOKUP(DATEVALUE(TEXT(A2423,"m/d/yyyy")),FY24_Temp[],5,FALSE)&amp;TEXT(A2423,"-h"),Table6[],4,FALSE)</f>
        <v>1.5270000014986311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VLOOKUP(TEXT(A2423,"yy-mm")&amp;"-"&amp;IF(AND(WEEKDAY(A2423)&gt;1,WEEKDAY(A2423)&lt;7),"Wkd",TEXT(A2423,"Ddd"))&amp;"-"&amp;TEXT(A2423,"hh"),LoadTable[],5,FALSE)*0.92</f>
        <v>308.12363999999997</v>
      </c>
      <c r="U2423" s="104">
        <f>VLOOKUP(TEXT(A2423,"yy-mm")&amp;"-"&amp;IF(AND(WEEKDAY(A2423)&gt;1,WEEKDAY(A2423)&lt;7),"Wkd",TEXT(A2423,"Ddd"))&amp;"-"&amp;TEXT(A2423,"hh"),LoadTable[],6,FALSE)*T2423</f>
        <v>15157.218098879999</v>
      </c>
      <c r="V2423">
        <f t="shared" ref="V2423:W2423" si="2585">V2399</f>
        <v>2.8</v>
      </c>
      <c r="W2423">
        <f t="shared" si="2585"/>
        <v>3.1</v>
      </c>
      <c r="X2423" s="9">
        <v>-127.70425286667199</v>
      </c>
    </row>
    <row r="2424" spans="1:24">
      <c r="A2424" s="29">
        <f t="shared" si="2530"/>
        <v>45936.874999994128</v>
      </c>
      <c r="B2424" s="30">
        <f t="shared" si="2554"/>
        <v>5000</v>
      </c>
      <c r="C2424" s="8">
        <v>25000</v>
      </c>
      <c r="D2424" s="8">
        <v>0</v>
      </c>
      <c r="E2424" s="8">
        <v>700</v>
      </c>
      <c r="F2424" s="8">
        <v>15000</v>
      </c>
      <c r="G2424" s="30">
        <f t="shared" si="2555"/>
        <v>2400</v>
      </c>
      <c r="H2424" s="8">
        <v>25000</v>
      </c>
      <c r="I2424" s="30">
        <f t="shared" si="2556"/>
        <v>5000</v>
      </c>
      <c r="J2424" s="8">
        <v>25000</v>
      </c>
      <c r="K2424" s="30">
        <f t="shared" si="2557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VLOOKUP(VLOOKUP(DATEVALUE(TEXT(A2424,"m/d/yyyy")),FY24_Temp[],5,FALSE)&amp;TEXT(A2424,"-h"),Table6[],4,FALSE)</f>
        <v>1.6015714406967163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VLOOKUP(TEXT(A2424,"yy-mm")&amp;"-"&amp;IF(AND(WEEKDAY(A2424)&gt;1,WEEKDAY(A2424)&lt;7),"Wkd",TEXT(A2424,"Ddd"))&amp;"-"&amp;TEXT(A2424,"hh"),LoadTable[],5,FALSE)*0.92</f>
        <v>234.33964000000003</v>
      </c>
      <c r="U2424" s="104">
        <f>VLOOKUP(TEXT(A2424,"yy-mm")&amp;"-"&amp;IF(AND(WEEKDAY(A2424)&gt;1,WEEKDAY(A2424)&lt;7),"Wkd",TEXT(A2424,"Ddd"))&amp;"-"&amp;TEXT(A2424,"hh"),LoadTable[],6,FALSE)*T2424</f>
        <v>11344.147632760001</v>
      </c>
      <c r="V2424">
        <f t="shared" ref="V2424:W2424" si="2586">V2400</f>
        <v>3.5</v>
      </c>
      <c r="W2424">
        <f t="shared" si="2586"/>
        <v>3.1</v>
      </c>
      <c r="X2424" s="9">
        <v>-127.782047416672</v>
      </c>
    </row>
    <row r="2425" spans="1:24">
      <c r="A2425" s="29">
        <f t="shared" si="2530"/>
        <v>45936.916666660793</v>
      </c>
      <c r="B2425" s="30">
        <f t="shared" si="2554"/>
        <v>5000</v>
      </c>
      <c r="C2425" s="8">
        <v>25000</v>
      </c>
      <c r="D2425" s="8">
        <v>0</v>
      </c>
      <c r="E2425" s="8">
        <v>700</v>
      </c>
      <c r="F2425" s="8">
        <v>15000</v>
      </c>
      <c r="G2425" s="30">
        <f t="shared" si="2555"/>
        <v>2400</v>
      </c>
      <c r="H2425" s="8">
        <v>25000</v>
      </c>
      <c r="I2425" s="30">
        <f t="shared" si="2556"/>
        <v>5000</v>
      </c>
      <c r="J2425" s="8">
        <v>25000</v>
      </c>
      <c r="K2425" s="30">
        <f t="shared" si="2557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VLOOKUP(VLOOKUP(DATEVALUE(TEXT(A2425,"m/d/yyyy")),FY24_Temp[],5,FALSE)&amp;TEXT(A2425,"-h"),Table6[],4,FALSE)</f>
        <v>1.6414285898208618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VLOOKUP(TEXT(A2425,"yy-mm")&amp;"-"&amp;IF(AND(WEEKDAY(A2425)&gt;1,WEEKDAY(A2425)&lt;7),"Wkd",TEXT(A2425,"Ddd"))&amp;"-"&amp;TEXT(A2425,"hh"),LoadTable[],5,FALSE)*0.92</f>
        <v>180.62544</v>
      </c>
      <c r="U2425" s="104">
        <f>VLOOKUP(TEXT(A2425,"yy-mm")&amp;"-"&amp;IF(AND(WEEKDAY(A2425)&gt;1,WEEKDAY(A2425)&lt;7),"Wkd",TEXT(A2425,"Ddd"))&amp;"-"&amp;TEXT(A2425,"hh"),LoadTable[],6,FALSE)*T2425</f>
        <v>8304.2546039999997</v>
      </c>
      <c r="V2425">
        <f t="shared" ref="V2425:W2425" si="2587">V2401</f>
        <v>2.9</v>
      </c>
      <c r="W2425">
        <f t="shared" si="2587"/>
        <v>3.1</v>
      </c>
      <c r="X2425" s="9">
        <v>-127.85984196667199</v>
      </c>
    </row>
    <row r="2426" spans="1:24">
      <c r="A2426" s="29">
        <f t="shared" si="2530"/>
        <v>45936.958333327457</v>
      </c>
      <c r="B2426" s="30">
        <f t="shared" si="2554"/>
        <v>5000</v>
      </c>
      <c r="C2426" s="8">
        <v>25000</v>
      </c>
      <c r="D2426" s="8">
        <v>0</v>
      </c>
      <c r="E2426" s="8">
        <v>700</v>
      </c>
      <c r="F2426" s="8">
        <v>15000</v>
      </c>
      <c r="G2426" s="30">
        <f t="shared" si="2555"/>
        <v>2400</v>
      </c>
      <c r="H2426" s="8">
        <v>25000</v>
      </c>
      <c r="I2426" s="30">
        <f t="shared" si="2556"/>
        <v>5000</v>
      </c>
      <c r="J2426" s="8">
        <v>25000</v>
      </c>
      <c r="K2426" s="30">
        <f t="shared" si="2557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VLOOKUP(VLOOKUP(DATEVALUE(TEXT(A2426,"m/d/yyyy")),FY24_Temp[],5,FALSE)&amp;TEXT(A2426,"-h"),Table6[],4,FALSE)</f>
        <v>1.6130000182560511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VLOOKUP(TEXT(A2426,"yy-mm")&amp;"-"&amp;IF(AND(WEEKDAY(A2426)&gt;1,WEEKDAY(A2426)&lt;7),"Wkd",TEXT(A2426,"Ddd"))&amp;"-"&amp;TEXT(A2426,"hh"),LoadTable[],5,FALSE)*0.92</f>
        <v>180.62544</v>
      </c>
      <c r="U2426" s="104">
        <f>VLOOKUP(TEXT(A2426,"yy-mm")&amp;"-"&amp;IF(AND(WEEKDAY(A2426)&gt;1,WEEKDAY(A2426)&lt;7),"Wkd",TEXT(A2426,"Ddd"))&amp;"-"&amp;TEXT(A2426,"hh"),LoadTable[],6,FALSE)*T2426</f>
        <v>8217.1931419200009</v>
      </c>
      <c r="V2426">
        <f t="shared" ref="V2426:W2426" si="2588">V2402</f>
        <v>3.6</v>
      </c>
      <c r="W2426">
        <f t="shared" si="2588"/>
        <v>3.1</v>
      </c>
      <c r="X2426" s="9">
        <v>-127.937636516672</v>
      </c>
    </row>
    <row r="2427" spans="1:24">
      <c r="A2427" s="29">
        <f t="shared" si="2530"/>
        <v>45936.999999994121</v>
      </c>
      <c r="B2427" s="30">
        <f t="shared" si="2554"/>
        <v>5000</v>
      </c>
      <c r="C2427" s="8">
        <v>25000</v>
      </c>
      <c r="D2427" s="8">
        <v>0</v>
      </c>
      <c r="E2427" s="8">
        <v>700</v>
      </c>
      <c r="F2427" s="8">
        <v>15000</v>
      </c>
      <c r="G2427" s="30">
        <f t="shared" si="2555"/>
        <v>2400</v>
      </c>
      <c r="H2427" s="8">
        <v>25000</v>
      </c>
      <c r="I2427" s="30">
        <f t="shared" si="2556"/>
        <v>5000</v>
      </c>
      <c r="J2427" s="8">
        <v>25000</v>
      </c>
      <c r="K2427" s="30">
        <f t="shared" si="2557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VLOOKUP(VLOOKUP(DATEVALUE(TEXT(A2427,"m/d/yyyy")),FY24_Temp[],5,FALSE)&amp;TEXT(A2427,"-h"),Table6[],4,FALSE)</f>
        <v>1.6792856965746199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VLOOKUP(TEXT(A2427,"yy-mm")&amp;"-"&amp;IF(AND(WEEKDAY(A2427)&gt;1,WEEKDAY(A2427)&lt;7),"Wkd",TEXT(A2427,"Ddd"))&amp;"-"&amp;TEXT(A2427,"hh"),LoadTable[],5,FALSE)*0.92</f>
        <v>180.62544</v>
      </c>
      <c r="U2427" s="104">
        <f>VLOOKUP(TEXT(A2427,"yy-mm")&amp;"-"&amp;IF(AND(WEEKDAY(A2427)&gt;1,WEEKDAY(A2427)&lt;7),"Wkd",TEXT(A2427,"Ddd"))&amp;"-"&amp;TEXT(A2427,"hh"),LoadTable[],6,FALSE)*T2427</f>
        <v>8132.4798105600003</v>
      </c>
      <c r="V2427">
        <f t="shared" ref="V2427:W2427" si="2589">V2403</f>
        <v>3</v>
      </c>
      <c r="W2427">
        <f t="shared" si="2589"/>
        <v>3.2</v>
      </c>
      <c r="X2427" s="9">
        <v>-128.01543106667199</v>
      </c>
    </row>
    <row r="2428" spans="1:24">
      <c r="A2428" s="29">
        <f t="shared" si="2530"/>
        <v>45937.041666660785</v>
      </c>
      <c r="B2428" s="30">
        <f t="shared" si="2554"/>
        <v>5000</v>
      </c>
      <c r="C2428" s="8">
        <v>25000</v>
      </c>
      <c r="D2428" s="8">
        <v>0</v>
      </c>
      <c r="E2428" s="8">
        <v>700</v>
      </c>
      <c r="F2428" s="8">
        <v>15000</v>
      </c>
      <c r="G2428" s="30">
        <f t="shared" si="2555"/>
        <v>2400</v>
      </c>
      <c r="H2428" s="8">
        <v>25000</v>
      </c>
      <c r="I2428" s="30">
        <f t="shared" si="2556"/>
        <v>5000</v>
      </c>
      <c r="J2428" s="8">
        <v>25000</v>
      </c>
      <c r="K2428" s="30">
        <f t="shared" si="2557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VLOOKUP(VLOOKUP(DATEVALUE(TEXT(A2428,"m/d/yyyy")),FY24_Temp[],5,FALSE)&amp;TEXT(A2428,"-h"),Table6[],4,FALSE)</f>
        <v>1.6901428699493408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VLOOKUP(TEXT(A2428,"yy-mm")&amp;"-"&amp;IF(AND(WEEKDAY(A2428)&gt;1,WEEKDAY(A2428)&lt;7),"Wkd",TEXT(A2428,"Ddd"))&amp;"-"&amp;TEXT(A2428,"hh"),LoadTable[],5,FALSE)*0.92</f>
        <v>180.62544</v>
      </c>
      <c r="U2428" s="104">
        <f>VLOOKUP(TEXT(A2428,"yy-mm")&amp;"-"&amp;IF(AND(WEEKDAY(A2428)&gt;1,WEEKDAY(A2428)&lt;7),"Wkd",TEXT(A2428,"Ddd"))&amp;"-"&amp;TEXT(A2428,"hh"),LoadTable[],6,FALSE)*T2428</f>
        <v>8124.71291664</v>
      </c>
      <c r="V2428">
        <f t="shared" ref="V2428:W2428" si="2590">V2404</f>
        <v>2.6</v>
      </c>
      <c r="W2428">
        <f t="shared" si="2590"/>
        <v>3.2</v>
      </c>
      <c r="X2428" s="9">
        <v>-128.09322561667199</v>
      </c>
    </row>
    <row r="2429" spans="1:24">
      <c r="A2429" s="29">
        <f t="shared" si="2530"/>
        <v>45937.08333332745</v>
      </c>
      <c r="B2429" s="30">
        <f t="shared" si="2554"/>
        <v>5000</v>
      </c>
      <c r="C2429" s="8">
        <v>25000</v>
      </c>
      <c r="D2429" s="8">
        <v>0</v>
      </c>
      <c r="E2429" s="8">
        <v>700</v>
      </c>
      <c r="F2429" s="8">
        <v>15000</v>
      </c>
      <c r="G2429" s="30">
        <f t="shared" si="2555"/>
        <v>2400</v>
      </c>
      <c r="H2429" s="8">
        <v>25000</v>
      </c>
      <c r="I2429" s="30">
        <f t="shared" si="2556"/>
        <v>5000</v>
      </c>
      <c r="J2429" s="8">
        <v>25000</v>
      </c>
      <c r="K2429" s="30">
        <f t="shared" si="2557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VLOOKUP(VLOOKUP(DATEVALUE(TEXT(A2429,"m/d/yyyy")),FY24_Temp[],5,FALSE)&amp;TEXT(A2429,"-h"),Table6[],4,FALSE)</f>
        <v>1.6235714299338204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VLOOKUP(TEXT(A2429,"yy-mm")&amp;"-"&amp;IF(AND(WEEKDAY(A2429)&gt;1,WEEKDAY(A2429)&lt;7),"Wkd",TEXT(A2429,"Ddd"))&amp;"-"&amp;TEXT(A2429,"hh"),LoadTable[],5,FALSE)*0.92</f>
        <v>180.62544</v>
      </c>
      <c r="U2429" s="104">
        <f>VLOOKUP(TEXT(A2429,"yy-mm")&amp;"-"&amp;IF(AND(WEEKDAY(A2429)&gt;1,WEEKDAY(A2429)&lt;7),"Wkd",TEXT(A2429,"Ddd"))&amp;"-"&amp;TEXT(A2429,"hh"),LoadTable[],6,FALSE)*T2429</f>
        <v>8120.1972806400008</v>
      </c>
      <c r="V2429">
        <f t="shared" ref="V2429:W2429" si="2591">V2405</f>
        <v>2.8</v>
      </c>
      <c r="W2429">
        <f t="shared" si="2591"/>
        <v>3.2</v>
      </c>
      <c r="X2429" s="9">
        <v>-128.17102016667201</v>
      </c>
    </row>
    <row r="2430" spans="1:24">
      <c r="A2430" s="29">
        <f t="shared" si="2530"/>
        <v>45937.124999994114</v>
      </c>
      <c r="B2430" s="30">
        <f t="shared" si="2554"/>
        <v>5000</v>
      </c>
      <c r="C2430" s="8">
        <v>25000</v>
      </c>
      <c r="D2430" s="8">
        <v>0</v>
      </c>
      <c r="E2430" s="8">
        <v>700</v>
      </c>
      <c r="F2430" s="8">
        <v>15000</v>
      </c>
      <c r="G2430" s="30">
        <f t="shared" si="2555"/>
        <v>2400</v>
      </c>
      <c r="H2430" s="8">
        <v>25000</v>
      </c>
      <c r="I2430" s="30">
        <f t="shared" si="2556"/>
        <v>5000</v>
      </c>
      <c r="J2430" s="8">
        <v>25000</v>
      </c>
      <c r="K2430" s="30">
        <f t="shared" si="2557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VLOOKUP(VLOOKUP(DATEVALUE(TEXT(A2430,"m/d/yyyy")),FY24_Temp[],5,FALSE)&amp;TEXT(A2430,"-h"),Table6[],4,FALSE)</f>
        <v>1.5127142838069372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VLOOKUP(TEXT(A2430,"yy-mm")&amp;"-"&amp;IF(AND(WEEKDAY(A2430)&gt;1,WEEKDAY(A2430)&lt;7),"Wkd",TEXT(A2430,"Ddd"))&amp;"-"&amp;TEXT(A2430,"hh"),LoadTable[],5,FALSE)*0.92</f>
        <v>180.62544</v>
      </c>
      <c r="U2430" s="104">
        <f>VLOOKUP(TEXT(A2430,"yy-mm")&amp;"-"&amp;IF(AND(WEEKDAY(A2430)&gt;1,WEEKDAY(A2430)&lt;7),"Wkd",TEXT(A2430,"Ddd"))&amp;"-"&amp;TEXT(A2430,"hh"),LoadTable[],6,FALSE)*T2430</f>
        <v>8141.3304571199997</v>
      </c>
      <c r="V2430">
        <f t="shared" ref="V2430:W2430" si="2592">V2406</f>
        <v>2.7</v>
      </c>
      <c r="W2430">
        <f t="shared" si="2592"/>
        <v>3.2</v>
      </c>
      <c r="X2430" s="9">
        <v>-128.248814716672</v>
      </c>
    </row>
    <row r="2431" spans="1:24">
      <c r="A2431" s="29">
        <f t="shared" si="2530"/>
        <v>45937.166666660778</v>
      </c>
      <c r="B2431" s="30">
        <f t="shared" si="2554"/>
        <v>5000</v>
      </c>
      <c r="C2431" s="8">
        <v>25000</v>
      </c>
      <c r="D2431" s="8">
        <v>0</v>
      </c>
      <c r="E2431" s="8">
        <v>700</v>
      </c>
      <c r="F2431" s="8">
        <v>15000</v>
      </c>
      <c r="G2431" s="30">
        <f t="shared" si="2555"/>
        <v>2400</v>
      </c>
      <c r="H2431" s="8">
        <v>25000</v>
      </c>
      <c r="I2431" s="30">
        <f t="shared" si="2556"/>
        <v>5000</v>
      </c>
      <c r="J2431" s="8">
        <v>25000</v>
      </c>
      <c r="K2431" s="30">
        <f t="shared" si="2557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VLOOKUP(VLOOKUP(DATEVALUE(TEXT(A2431,"m/d/yyyy")),FY24_Temp[],5,FALSE)&amp;TEXT(A2431,"-h"),Table6[],4,FALSE)</f>
        <v>1.4104285751070296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VLOOKUP(TEXT(A2431,"yy-mm")&amp;"-"&amp;IF(AND(WEEKDAY(A2431)&gt;1,WEEKDAY(A2431)&lt;7),"Wkd",TEXT(A2431,"Ddd"))&amp;"-"&amp;TEXT(A2431,"hh"),LoadTable[],5,FALSE)*0.92</f>
        <v>180.62544</v>
      </c>
      <c r="U2431" s="104">
        <f>VLOOKUP(TEXT(A2431,"yy-mm")&amp;"-"&amp;IF(AND(WEEKDAY(A2431)&gt;1,WEEKDAY(A2431)&lt;7),"Wkd",TEXT(A2431,"Ddd"))&amp;"-"&amp;TEXT(A2431,"hh"),LoadTable[],6,FALSE)*T2431</f>
        <v>8184.86118816</v>
      </c>
      <c r="V2431">
        <f t="shared" ref="V2431:W2431" si="2593">V2407</f>
        <v>3</v>
      </c>
      <c r="W2431">
        <f t="shared" si="2593"/>
        <v>3.1</v>
      </c>
      <c r="X2431" s="9">
        <v>-128.32660926667199</v>
      </c>
    </row>
    <row r="2432" spans="1:24">
      <c r="A2432" s="29">
        <f t="shared" si="2530"/>
        <v>45937.208333327442</v>
      </c>
      <c r="B2432" s="30">
        <f t="shared" si="2554"/>
        <v>5000</v>
      </c>
      <c r="C2432" s="8">
        <v>25000</v>
      </c>
      <c r="D2432" s="8">
        <v>0</v>
      </c>
      <c r="E2432" s="8">
        <v>700</v>
      </c>
      <c r="F2432" s="8">
        <v>15000</v>
      </c>
      <c r="G2432" s="30">
        <f t="shared" si="2555"/>
        <v>2400</v>
      </c>
      <c r="H2432" s="8">
        <v>25000</v>
      </c>
      <c r="I2432" s="30">
        <f t="shared" si="2556"/>
        <v>5000</v>
      </c>
      <c r="J2432" s="8">
        <v>25000</v>
      </c>
      <c r="K2432" s="30">
        <f t="shared" si="2557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VLOOKUP(VLOOKUP(DATEVALUE(TEXT(A2432,"m/d/yyyy")),FY24_Temp[],5,FALSE)&amp;TEXT(A2432,"-h"),Table6[],4,FALSE)</f>
        <v>1.3584285974502563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VLOOKUP(TEXT(A2432,"yy-mm")&amp;"-"&amp;IF(AND(WEEKDAY(A2432)&gt;1,WEEKDAY(A2432)&lt;7),"Wkd",TEXT(A2432,"Ddd"))&amp;"-"&amp;TEXT(A2432,"hh"),LoadTable[],5,FALSE)*0.92</f>
        <v>275.09195999999997</v>
      </c>
      <c r="U2432" s="104">
        <f>VLOOKUP(TEXT(A2432,"yy-mm")&amp;"-"&amp;IF(AND(WEEKDAY(A2432)&gt;1,WEEKDAY(A2432)&lt;7),"Wkd",TEXT(A2432,"Ddd"))&amp;"-"&amp;TEXT(A2432,"hh"),LoadTable[],6,FALSE)*T2432</f>
        <v>12729.880448999998</v>
      </c>
      <c r="V2432">
        <f t="shared" ref="V2432:W2432" si="2594">V2408</f>
        <v>2.9</v>
      </c>
      <c r="W2432">
        <f t="shared" si="2594"/>
        <v>3.1</v>
      </c>
      <c r="X2432" s="9">
        <v>-128.40440381667199</v>
      </c>
    </row>
    <row r="2433" spans="1:24">
      <c r="A2433" s="29">
        <f t="shared" si="2530"/>
        <v>45937.249999994106</v>
      </c>
      <c r="B2433" s="30">
        <f t="shared" si="2554"/>
        <v>8000</v>
      </c>
      <c r="C2433" s="8">
        <v>25000</v>
      </c>
      <c r="D2433" s="8">
        <v>0</v>
      </c>
      <c r="E2433" s="8">
        <v>700</v>
      </c>
      <c r="F2433" s="8">
        <v>15000</v>
      </c>
      <c r="G2433" s="30">
        <f t="shared" si="2555"/>
        <v>2400</v>
      </c>
      <c r="H2433" s="8">
        <v>25000</v>
      </c>
      <c r="I2433" s="30">
        <f t="shared" si="2556"/>
        <v>8000</v>
      </c>
      <c r="J2433" s="8">
        <v>25000</v>
      </c>
      <c r="K2433" s="30">
        <f t="shared" si="2557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VLOOKUP(VLOOKUP(DATEVALUE(TEXT(A2433,"m/d/yyyy")),FY24_Temp[],5,FALSE)&amp;TEXT(A2433,"-h"),Table6[],4,FALSE)</f>
        <v>1.2088571446282523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VLOOKUP(TEXT(A2433,"yy-mm")&amp;"-"&amp;IF(AND(WEEKDAY(A2433)&gt;1,WEEKDAY(A2433)&lt;7),"Wkd",TEXT(A2433,"Ddd"))&amp;"-"&amp;TEXT(A2433,"hh"),LoadTable[],5,FALSE)*0.92</f>
        <v>275.09195999999997</v>
      </c>
      <c r="U2433" s="104">
        <f>VLOOKUP(TEXT(A2433,"yy-mm")&amp;"-"&amp;IF(AND(WEEKDAY(A2433)&gt;1,WEEKDAY(A2433)&lt;7),"Wkd",TEXT(A2433,"Ddd"))&amp;"-"&amp;TEXT(A2433,"hh"),LoadTable[],6,FALSE)*T2433</f>
        <v>13284.465840359997</v>
      </c>
      <c r="V2433">
        <f t="shared" ref="V2433:W2433" si="2595">V2409</f>
        <v>2.5</v>
      </c>
      <c r="W2433">
        <f t="shared" si="2595"/>
        <v>3.1</v>
      </c>
      <c r="X2433" s="9">
        <v>-128.48219836667201</v>
      </c>
    </row>
    <row r="2434" spans="1:24">
      <c r="A2434" s="29">
        <f t="shared" si="2530"/>
        <v>45937.291666660771</v>
      </c>
      <c r="B2434" s="30">
        <f t="shared" si="2554"/>
        <v>8000</v>
      </c>
      <c r="C2434" s="8">
        <v>25000</v>
      </c>
      <c r="D2434" s="8">
        <v>0</v>
      </c>
      <c r="E2434" s="8">
        <v>700</v>
      </c>
      <c r="F2434" s="8">
        <v>15000</v>
      </c>
      <c r="G2434" s="30">
        <f t="shared" si="2555"/>
        <v>2400</v>
      </c>
      <c r="H2434" s="8">
        <v>25000</v>
      </c>
      <c r="I2434" s="30">
        <f t="shared" si="2556"/>
        <v>8000</v>
      </c>
      <c r="J2434" s="8">
        <v>25000</v>
      </c>
      <c r="K2434" s="30">
        <f t="shared" si="2557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VLOOKUP(VLOOKUP(DATEVALUE(TEXT(A2434,"m/d/yyyy")),FY24_Temp[],5,FALSE)&amp;TEXT(A2434,"-h"),Table6[],4,FALSE)</f>
        <v>1.0575714196477617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VLOOKUP(TEXT(A2434,"yy-mm")&amp;"-"&amp;IF(AND(WEEKDAY(A2434)&gt;1,WEEKDAY(A2434)&lt;7),"Wkd",TEXT(A2434,"Ddd"))&amp;"-"&amp;TEXT(A2434,"hh"),LoadTable[],5,FALSE)*0.92</f>
        <v>236.10788000000002</v>
      </c>
      <c r="U2434" s="104">
        <f>VLOOKUP(TEXT(A2434,"yy-mm")&amp;"-"&amp;IF(AND(WEEKDAY(A2434)&gt;1,WEEKDAY(A2434)&lt;7),"Wkd",TEXT(A2434,"Ddd"))&amp;"-"&amp;TEXT(A2434,"hh"),LoadTable[],6,FALSE)*T2434</f>
        <v>11438.48235448</v>
      </c>
      <c r="V2434">
        <f t="shared" ref="V2434:W2434" si="2596">V2410</f>
        <v>2.5</v>
      </c>
      <c r="W2434">
        <f t="shared" si="2596"/>
        <v>3.1</v>
      </c>
      <c r="X2434" s="9">
        <v>-128.559992916672</v>
      </c>
    </row>
    <row r="2435" spans="1:24">
      <c r="A2435" s="29">
        <f t="shared" si="2530"/>
        <v>45937.333333327435</v>
      </c>
      <c r="B2435" s="30">
        <f t="shared" si="2554"/>
        <v>8000</v>
      </c>
      <c r="C2435" s="8">
        <v>25000</v>
      </c>
      <c r="D2435" s="8">
        <v>0</v>
      </c>
      <c r="E2435" s="8">
        <v>700</v>
      </c>
      <c r="F2435" s="8">
        <v>15000</v>
      </c>
      <c r="G2435" s="30">
        <f t="shared" si="2555"/>
        <v>2400</v>
      </c>
      <c r="H2435" s="8">
        <v>25000</v>
      </c>
      <c r="I2435" s="30">
        <f t="shared" si="2556"/>
        <v>8000</v>
      </c>
      <c r="J2435" s="8">
        <v>25000</v>
      </c>
      <c r="K2435" s="30">
        <f t="shared" si="2557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VLOOKUP(VLOOKUP(DATEVALUE(TEXT(A2435,"m/d/yyyy")),FY24_Temp[],5,FALSE)&amp;TEXT(A2435,"-h"),Table6[],4,FALSE)</f>
        <v>0.95157144750867573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VLOOKUP(TEXT(A2435,"yy-mm")&amp;"-"&amp;IF(AND(WEEKDAY(A2435)&gt;1,WEEKDAY(A2435)&lt;7),"Wkd",TEXT(A2435,"Ddd"))&amp;"-"&amp;TEXT(A2435,"hh"),LoadTable[],5,FALSE)*0.92</f>
        <v>236.10788000000002</v>
      </c>
      <c r="U2435" s="104">
        <f>VLOOKUP(TEXT(A2435,"yy-mm")&amp;"-"&amp;IF(AND(WEEKDAY(A2435)&gt;1,WEEKDAY(A2435)&lt;7),"Wkd",TEXT(A2435,"Ddd"))&amp;"-"&amp;TEXT(A2435,"hh"),LoadTable[],6,FALSE)*T2435</f>
        <v>10919.281126360002</v>
      </c>
      <c r="V2435">
        <f t="shared" ref="V2435:W2435" si="2597">V2411</f>
        <v>3.2</v>
      </c>
      <c r="W2435">
        <f t="shared" si="2597"/>
        <v>3</v>
      </c>
      <c r="X2435" s="9">
        <v>-128.63778746667199</v>
      </c>
    </row>
    <row r="2436" spans="1:24">
      <c r="A2436" s="29">
        <f t="shared" si="2530"/>
        <v>45937.374999994099</v>
      </c>
      <c r="B2436" s="30">
        <f t="shared" si="2554"/>
        <v>8000</v>
      </c>
      <c r="C2436" s="8">
        <v>25000</v>
      </c>
      <c r="D2436" s="8">
        <v>0</v>
      </c>
      <c r="E2436" s="8">
        <v>700</v>
      </c>
      <c r="F2436" s="8">
        <v>15000</v>
      </c>
      <c r="G2436" s="30">
        <f t="shared" si="2555"/>
        <v>2400</v>
      </c>
      <c r="H2436" s="8">
        <v>25000</v>
      </c>
      <c r="I2436" s="30">
        <f t="shared" si="2556"/>
        <v>8000</v>
      </c>
      <c r="J2436" s="8">
        <v>25000</v>
      </c>
      <c r="K2436" s="30">
        <f t="shared" si="2557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VLOOKUP(VLOOKUP(DATEVALUE(TEXT(A2436,"m/d/yyyy")),FY24_Temp[],5,FALSE)&amp;TEXT(A2436,"-h"),Table6[],4,FALSE)</f>
        <v>0.83871427604130333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VLOOKUP(TEXT(A2436,"yy-mm")&amp;"-"&amp;IF(AND(WEEKDAY(A2436)&gt;1,WEEKDAY(A2436)&lt;7),"Wkd",TEXT(A2436,"Ddd"))&amp;"-"&amp;TEXT(A2436,"hh"),LoadTable[],5,FALSE)*0.92</f>
        <v>236.10788000000002</v>
      </c>
      <c r="U2436" s="104">
        <f>VLOOKUP(TEXT(A2436,"yy-mm")&amp;"-"&amp;IF(AND(WEEKDAY(A2436)&gt;1,WEEKDAY(A2436)&lt;7),"Wkd",TEXT(A2436,"Ddd"))&amp;"-"&amp;TEXT(A2436,"hh"),LoadTable[],6,FALSE)*T2436</f>
        <v>10592.271712560001</v>
      </c>
      <c r="V2436">
        <f t="shared" ref="V2436:W2436" si="2598">V2412</f>
        <v>2.9</v>
      </c>
      <c r="W2436">
        <f t="shared" si="2598"/>
        <v>3</v>
      </c>
      <c r="X2436" s="9">
        <v>-128.71558201667199</v>
      </c>
    </row>
    <row r="2437" spans="1:24">
      <c r="A2437" s="29">
        <f t="shared" ref="A2437:A2500" si="2599">A2436+TIME(1,0,0)</f>
        <v>45937.416666660763</v>
      </c>
      <c r="B2437" s="30">
        <f t="shared" si="2554"/>
        <v>8000</v>
      </c>
      <c r="C2437" s="8">
        <v>25000</v>
      </c>
      <c r="D2437" s="8">
        <v>0</v>
      </c>
      <c r="E2437" s="8">
        <v>700</v>
      </c>
      <c r="F2437" s="8">
        <v>15000</v>
      </c>
      <c r="G2437" s="30">
        <f t="shared" si="2555"/>
        <v>2400</v>
      </c>
      <c r="H2437" s="8">
        <v>25000</v>
      </c>
      <c r="I2437" s="30">
        <f t="shared" si="2556"/>
        <v>8000</v>
      </c>
      <c r="J2437" s="8">
        <v>25000</v>
      </c>
      <c r="K2437" s="30">
        <f t="shared" si="2557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VLOOKUP(VLOOKUP(DATEVALUE(TEXT(A2437,"m/d/yyyy")),FY24_Temp[],5,FALSE)&amp;TEXT(A2437,"-h"),Table6[],4,FALSE)</f>
        <v>0.72357143674577984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VLOOKUP(TEXT(A2437,"yy-mm")&amp;"-"&amp;IF(AND(WEEKDAY(A2437)&gt;1,WEEKDAY(A2437)&lt;7),"Wkd",TEXT(A2437,"Ddd"))&amp;"-"&amp;TEXT(A2437,"hh"),LoadTable[],5,FALSE)*0.92</f>
        <v>236.10788000000002</v>
      </c>
      <c r="U2437" s="104">
        <f>VLOOKUP(TEXT(A2437,"yy-mm")&amp;"-"&amp;IF(AND(WEEKDAY(A2437)&gt;1,WEEKDAY(A2437)&lt;7),"Wkd",TEXT(A2437,"Ddd"))&amp;"-"&amp;TEXT(A2437,"hh"),LoadTable[],6,FALSE)*T2437</f>
        <v>10565.591522120001</v>
      </c>
      <c r="V2437">
        <f t="shared" ref="V2437:W2437" si="2600">V2413</f>
        <v>2.9</v>
      </c>
      <c r="W2437">
        <f t="shared" si="2600"/>
        <v>3</v>
      </c>
      <c r="X2437" s="9">
        <v>-128.79337656667201</v>
      </c>
    </row>
    <row r="2438" spans="1:24">
      <c r="A2438" s="29">
        <f t="shared" si="2599"/>
        <v>45937.458333327428</v>
      </c>
      <c r="B2438" s="30">
        <f t="shared" si="2554"/>
        <v>8000</v>
      </c>
      <c r="C2438" s="8">
        <v>25000</v>
      </c>
      <c r="D2438" s="8">
        <v>0</v>
      </c>
      <c r="E2438" s="8">
        <v>700</v>
      </c>
      <c r="F2438" s="8">
        <v>15000</v>
      </c>
      <c r="G2438" s="30">
        <f t="shared" si="2555"/>
        <v>2400</v>
      </c>
      <c r="H2438" s="8">
        <v>25000</v>
      </c>
      <c r="I2438" s="30">
        <f t="shared" si="2556"/>
        <v>8000</v>
      </c>
      <c r="J2438" s="8">
        <v>25000</v>
      </c>
      <c r="K2438" s="30">
        <f t="shared" si="2557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VLOOKUP(VLOOKUP(DATEVALUE(TEXT(A2438,"m/d/yyyy")),FY24_Temp[],5,FALSE)&amp;TEXT(A2438,"-h"),Table6[],4,FALSE)</f>
        <v>0.61371428200176781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VLOOKUP(TEXT(A2438,"yy-mm")&amp;"-"&amp;IF(AND(WEEKDAY(A2438)&gt;1,WEEKDAY(A2438)&lt;7),"Wkd",TEXT(A2438,"Ddd"))&amp;"-"&amp;TEXT(A2438,"hh"),LoadTable[],5,FALSE)*0.92</f>
        <v>236.10788000000002</v>
      </c>
      <c r="U2438" s="104">
        <f>VLOOKUP(TEXT(A2438,"yy-mm")&amp;"-"&amp;IF(AND(WEEKDAY(A2438)&gt;1,WEEKDAY(A2438)&lt;7),"Wkd",TEXT(A2438,"Ddd"))&amp;"-"&amp;TEXT(A2438,"hh"),LoadTable[],6,FALSE)*T2438</f>
        <v>10548.355646880002</v>
      </c>
      <c r="V2438">
        <f t="shared" ref="V2438:W2438" si="2601">V2414</f>
        <v>3.4</v>
      </c>
      <c r="W2438">
        <f t="shared" si="2601"/>
        <v>3</v>
      </c>
      <c r="X2438" s="9">
        <v>-128.871171116672</v>
      </c>
    </row>
    <row r="2439" spans="1:24">
      <c r="A2439" s="29">
        <f t="shared" si="2599"/>
        <v>45937.499999994092</v>
      </c>
      <c r="B2439" s="30">
        <f t="shared" si="2554"/>
        <v>8000</v>
      </c>
      <c r="C2439" s="8">
        <v>25000</v>
      </c>
      <c r="D2439" s="8">
        <v>0</v>
      </c>
      <c r="E2439" s="8">
        <v>700</v>
      </c>
      <c r="F2439" s="8">
        <v>15000</v>
      </c>
      <c r="G2439" s="30">
        <f t="shared" si="2555"/>
        <v>2400</v>
      </c>
      <c r="H2439" s="8">
        <v>25000</v>
      </c>
      <c r="I2439" s="30">
        <f t="shared" si="2556"/>
        <v>8000</v>
      </c>
      <c r="J2439" s="8">
        <v>25000</v>
      </c>
      <c r="K2439" s="30">
        <f t="shared" si="2557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VLOOKUP(VLOOKUP(DATEVALUE(TEXT(A2439,"m/d/yyyy")),FY24_Temp[],5,FALSE)&amp;TEXT(A2439,"-h"),Table6[],4,FALSE)</f>
        <v>0.48757142680031912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VLOOKUP(TEXT(A2439,"yy-mm")&amp;"-"&amp;IF(AND(WEEKDAY(A2439)&gt;1,WEEKDAY(A2439)&lt;7),"Wkd",TEXT(A2439,"Ddd"))&amp;"-"&amp;TEXT(A2439,"hh"),LoadTable[],5,FALSE)*0.92</f>
        <v>236.10788000000002</v>
      </c>
      <c r="U2439" s="104">
        <f>VLOOKUP(TEXT(A2439,"yy-mm")&amp;"-"&amp;IF(AND(WEEKDAY(A2439)&gt;1,WEEKDAY(A2439)&lt;7),"Wkd",TEXT(A2439,"Ddd"))&amp;"-"&amp;TEXT(A2439,"hh"),LoadTable[],6,FALSE)*T2439</f>
        <v>10540.327978960002</v>
      </c>
      <c r="V2439">
        <f t="shared" ref="V2439:W2439" si="2602">V2415</f>
        <v>3.1</v>
      </c>
      <c r="W2439">
        <f t="shared" si="2602"/>
        <v>2.9</v>
      </c>
      <c r="X2439" s="9">
        <v>-128.948965666672</v>
      </c>
    </row>
    <row r="2440" spans="1:24">
      <c r="A2440" s="29">
        <f t="shared" si="2599"/>
        <v>45937.541666660756</v>
      </c>
      <c r="B2440" s="30">
        <f t="shared" si="2554"/>
        <v>8000</v>
      </c>
      <c r="C2440" s="8">
        <v>25000</v>
      </c>
      <c r="D2440" s="8">
        <v>0</v>
      </c>
      <c r="E2440" s="8">
        <v>700</v>
      </c>
      <c r="F2440" s="8">
        <v>15000</v>
      </c>
      <c r="G2440" s="30">
        <f t="shared" si="2555"/>
        <v>2400</v>
      </c>
      <c r="H2440" s="8">
        <v>25000</v>
      </c>
      <c r="I2440" s="30">
        <f t="shared" si="2556"/>
        <v>8000</v>
      </c>
      <c r="J2440" s="8">
        <v>25000</v>
      </c>
      <c r="K2440" s="30">
        <f t="shared" si="2557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VLOOKUP(VLOOKUP(DATEVALUE(TEXT(A2440,"m/d/yyyy")),FY24_Temp[],5,FALSE)&amp;TEXT(A2440,"-h"),Table6[],4,FALSE)</f>
        <v>0.37585713820798056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VLOOKUP(TEXT(A2440,"yy-mm")&amp;"-"&amp;IF(AND(WEEKDAY(A2440)&gt;1,WEEKDAY(A2440)&lt;7),"Wkd",TEXT(A2440,"Ddd"))&amp;"-"&amp;TEXT(A2440,"hh"),LoadTable[],5,FALSE)*0.92</f>
        <v>236.10788000000002</v>
      </c>
      <c r="U2440" s="104">
        <f>VLOOKUP(TEXT(A2440,"yy-mm")&amp;"-"&amp;IF(AND(WEEKDAY(A2440)&gt;1,WEEKDAY(A2440)&lt;7),"Wkd",TEXT(A2440,"Ddd"))&amp;"-"&amp;TEXT(A2440,"hh"),LoadTable[],6,FALSE)*T2440</f>
        <v>10541.50851836</v>
      </c>
      <c r="V2440">
        <f t="shared" ref="V2440:W2440" si="2603">V2416</f>
        <v>3.2</v>
      </c>
      <c r="W2440">
        <f t="shared" si="2603"/>
        <v>2.9</v>
      </c>
      <c r="X2440" s="9">
        <v>-129.02676021667199</v>
      </c>
    </row>
    <row r="2441" spans="1:24">
      <c r="A2441" s="29">
        <f t="shared" si="2599"/>
        <v>45937.58333332742</v>
      </c>
      <c r="B2441" s="30">
        <f t="shared" si="2554"/>
        <v>8000</v>
      </c>
      <c r="C2441" s="8">
        <v>25000</v>
      </c>
      <c r="D2441" s="8">
        <v>0</v>
      </c>
      <c r="E2441" s="8">
        <v>700</v>
      </c>
      <c r="F2441" s="8">
        <v>15000</v>
      </c>
      <c r="G2441" s="30">
        <f t="shared" si="2555"/>
        <v>2400</v>
      </c>
      <c r="H2441" s="8">
        <v>25000</v>
      </c>
      <c r="I2441" s="30">
        <f t="shared" si="2556"/>
        <v>8000</v>
      </c>
      <c r="J2441" s="8">
        <v>25000</v>
      </c>
      <c r="K2441" s="30">
        <f t="shared" si="2557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VLOOKUP(VLOOKUP(DATEVALUE(TEXT(A2441,"m/d/yyyy")),FY24_Temp[],5,FALSE)&amp;TEXT(A2441,"-h"),Table6[],4,FALSE)</f>
        <v>0.32000000349112917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VLOOKUP(TEXT(A2441,"yy-mm")&amp;"-"&amp;IF(AND(WEEKDAY(A2441)&gt;1,WEEKDAY(A2441)&lt;7),"Wkd",TEXT(A2441,"Ddd"))&amp;"-"&amp;TEXT(A2441,"hh"),LoadTable[],5,FALSE)*0.92</f>
        <v>236.10788000000002</v>
      </c>
      <c r="U2441" s="104">
        <f>VLOOKUP(TEXT(A2441,"yy-mm")&amp;"-"&amp;IF(AND(WEEKDAY(A2441)&gt;1,WEEKDAY(A2441)&lt;7),"Wkd",TEXT(A2441,"Ddd"))&amp;"-"&amp;TEXT(A2441,"hh"),LoadTable[],6,FALSE)*T2441</f>
        <v>10551.188941440001</v>
      </c>
      <c r="V2441">
        <f t="shared" ref="V2441:W2441" si="2604">V2417</f>
        <v>3.5</v>
      </c>
      <c r="W2441">
        <f t="shared" si="2604"/>
        <v>2.9</v>
      </c>
      <c r="X2441" s="9">
        <v>-129.10455476667201</v>
      </c>
    </row>
    <row r="2442" spans="1:24">
      <c r="A2442" s="29">
        <f t="shared" si="2599"/>
        <v>45937.624999994085</v>
      </c>
      <c r="B2442" s="30">
        <f t="shared" si="2554"/>
        <v>8000</v>
      </c>
      <c r="C2442" s="8">
        <v>25000</v>
      </c>
      <c r="D2442" s="8">
        <v>0</v>
      </c>
      <c r="E2442" s="8">
        <v>700</v>
      </c>
      <c r="F2442" s="8">
        <v>15000</v>
      </c>
      <c r="G2442" s="30">
        <f t="shared" si="2555"/>
        <v>2400</v>
      </c>
      <c r="H2442" s="8">
        <v>25000</v>
      </c>
      <c r="I2442" s="30">
        <f t="shared" si="2556"/>
        <v>8000</v>
      </c>
      <c r="J2442" s="8">
        <v>25000</v>
      </c>
      <c r="K2442" s="30">
        <f t="shared" si="2557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VLOOKUP(VLOOKUP(DATEVALUE(TEXT(A2442,"m/d/yyyy")),FY24_Temp[],5,FALSE)&amp;TEXT(A2442,"-h"),Table6[],4,FALSE)</f>
        <v>0.4050000011920929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VLOOKUP(TEXT(A2442,"yy-mm")&amp;"-"&amp;IF(AND(WEEKDAY(A2442)&gt;1,WEEKDAY(A2442)&lt;7),"Wkd",TEXT(A2442,"Ddd"))&amp;"-"&amp;TEXT(A2442,"hh"),LoadTable[],5,FALSE)*0.92</f>
        <v>236.10788000000002</v>
      </c>
      <c r="U2442" s="104">
        <f>VLOOKUP(TEXT(A2442,"yy-mm")&amp;"-"&amp;IF(AND(WEEKDAY(A2442)&gt;1,WEEKDAY(A2442)&lt;7),"Wkd",TEXT(A2442,"Ddd"))&amp;"-"&amp;TEXT(A2442,"hh"),LoadTable[],6,FALSE)*T2442</f>
        <v>10572.202542760002</v>
      </c>
      <c r="V2442">
        <f t="shared" ref="V2442:W2442" si="2605">V2418</f>
        <v>3.2</v>
      </c>
      <c r="W2442">
        <f t="shared" si="2605"/>
        <v>2.9</v>
      </c>
      <c r="X2442" s="9">
        <v>-129.182349316672</v>
      </c>
    </row>
    <row r="2443" spans="1:24">
      <c r="A2443" s="29">
        <f t="shared" si="2599"/>
        <v>45937.666666660749</v>
      </c>
      <c r="B2443" s="30">
        <f t="shared" si="2554"/>
        <v>8000</v>
      </c>
      <c r="C2443" s="8">
        <v>25000</v>
      </c>
      <c r="D2443" s="8">
        <v>0</v>
      </c>
      <c r="E2443" s="8">
        <v>700</v>
      </c>
      <c r="F2443" s="8">
        <v>15000</v>
      </c>
      <c r="G2443" s="30">
        <f t="shared" si="2555"/>
        <v>2400</v>
      </c>
      <c r="H2443" s="8">
        <v>25000</v>
      </c>
      <c r="I2443" s="30">
        <f t="shared" si="2556"/>
        <v>8000</v>
      </c>
      <c r="J2443" s="8">
        <v>25000</v>
      </c>
      <c r="K2443" s="30">
        <f t="shared" si="2557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VLOOKUP(VLOOKUP(DATEVALUE(TEXT(A2443,"m/d/yyyy")),FY24_Temp[],5,FALSE)&amp;TEXT(A2443,"-h"),Table6[],4,FALSE)</f>
        <v>0.67542857357433861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VLOOKUP(TEXT(A2443,"yy-mm")&amp;"-"&amp;IF(AND(WEEKDAY(A2443)&gt;1,WEEKDAY(A2443)&lt;7),"Wkd",TEXT(A2443,"Ddd"))&amp;"-"&amp;TEXT(A2443,"hh"),LoadTable[],5,FALSE)*0.92</f>
        <v>236.10788000000002</v>
      </c>
      <c r="U2443" s="104">
        <f>VLOOKUP(TEXT(A2443,"yy-mm")&amp;"-"&amp;IF(AND(WEEKDAY(A2443)&gt;1,WEEKDAY(A2443)&lt;7),"Wkd",TEXT(A2443,"Ddd"))&amp;"-"&amp;TEXT(A2443,"hh"),LoadTable[],6,FALSE)*T2443</f>
        <v>10648.93760376</v>
      </c>
      <c r="V2443">
        <f t="shared" ref="V2443:W2443" si="2606">V2419</f>
        <v>3.5</v>
      </c>
      <c r="W2443">
        <f t="shared" si="2606"/>
        <v>3</v>
      </c>
      <c r="X2443" s="9">
        <v>-129.260143866672</v>
      </c>
    </row>
    <row r="2444" spans="1:24">
      <c r="A2444" s="29">
        <f t="shared" si="2599"/>
        <v>45937.708333327413</v>
      </c>
      <c r="B2444" s="30">
        <f t="shared" si="2554"/>
        <v>8000</v>
      </c>
      <c r="C2444" s="8">
        <v>25000</v>
      </c>
      <c r="D2444" s="8">
        <v>0</v>
      </c>
      <c r="E2444" s="8">
        <v>700</v>
      </c>
      <c r="F2444" s="8">
        <v>15000</v>
      </c>
      <c r="G2444" s="30">
        <f t="shared" si="2555"/>
        <v>2400</v>
      </c>
      <c r="H2444" s="8">
        <v>25000</v>
      </c>
      <c r="I2444" s="30">
        <f t="shared" si="2556"/>
        <v>8000</v>
      </c>
      <c r="J2444" s="8">
        <v>25000</v>
      </c>
      <c r="K2444" s="30">
        <f t="shared" si="2557"/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VLOOKUP(VLOOKUP(DATEVALUE(TEXT(A2444,"m/d/yyyy")),FY24_Temp[],5,FALSE)&amp;TEXT(A2444,"-h"),Table6[],4,FALSE)</f>
        <v>1.0648571423121862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VLOOKUP(TEXT(A2444,"yy-mm")&amp;"-"&amp;IF(AND(WEEKDAY(A2444)&gt;1,WEEKDAY(A2444)&lt;7),"Wkd",TEXT(A2444,"Ddd"))&amp;"-"&amp;TEXT(A2444,"hh"),LoadTable[],5,FALSE)*0.92</f>
        <v>236.10788000000002</v>
      </c>
      <c r="U2444" s="104">
        <f>VLOOKUP(TEXT(A2444,"yy-mm")&amp;"-"&amp;IF(AND(WEEKDAY(A2444)&gt;1,WEEKDAY(A2444)&lt;7),"Wkd",TEXT(A2444,"Ddd"))&amp;"-"&amp;TEXT(A2444,"hh"),LoadTable[],6,FALSE)*T2444</f>
        <v>11157.513977280001</v>
      </c>
      <c r="V2444">
        <f t="shared" ref="V2444:W2444" si="2607">V2420</f>
        <v>3.6</v>
      </c>
      <c r="W2444">
        <f t="shared" si="2607"/>
        <v>3</v>
      </c>
      <c r="X2444" s="9">
        <v>-129.33793841667199</v>
      </c>
    </row>
    <row r="2445" spans="1:24">
      <c r="A2445" s="29">
        <f t="shared" si="2599"/>
        <v>45937.749999994077</v>
      </c>
      <c r="B2445" s="30">
        <f t="shared" si="2554"/>
        <v>5000</v>
      </c>
      <c r="C2445" s="8">
        <v>25000</v>
      </c>
      <c r="D2445" s="8">
        <v>0</v>
      </c>
      <c r="E2445" s="8">
        <v>700</v>
      </c>
      <c r="F2445" s="8">
        <v>15000</v>
      </c>
      <c r="G2445" s="30">
        <f t="shared" si="2555"/>
        <v>2400</v>
      </c>
      <c r="H2445" s="8">
        <v>25000</v>
      </c>
      <c r="I2445" s="30">
        <f t="shared" si="2556"/>
        <v>5000</v>
      </c>
      <c r="J2445" s="8">
        <v>25000</v>
      </c>
      <c r="K2445" s="30">
        <f t="shared" si="2557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VLOOKUP(VLOOKUP(DATEVALUE(TEXT(A2445,"m/d/yyyy")),FY24_Temp[],5,FALSE)&amp;TEXT(A2445,"-h"),Table6[],4,FALSE)</f>
        <v>1.3020000287464686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VLOOKUP(TEXT(A2445,"yy-mm")&amp;"-"&amp;IF(AND(WEEKDAY(A2445)&gt;1,WEEKDAY(A2445)&lt;7),"Wkd",TEXT(A2445,"Ddd"))&amp;"-"&amp;TEXT(A2445,"hh"),LoadTable[],5,FALSE)*0.92</f>
        <v>308.12363999999997</v>
      </c>
      <c r="U2445" s="104">
        <f>VLOOKUP(TEXT(A2445,"yy-mm")&amp;"-"&amp;IF(AND(WEEKDAY(A2445)&gt;1,WEEKDAY(A2445)&lt;7),"Wkd",TEXT(A2445,"Ddd"))&amp;"-"&amp;TEXT(A2445,"hh"),LoadTable[],6,FALSE)*T2445</f>
        <v>15139.963175039999</v>
      </c>
      <c r="V2445">
        <f t="shared" ref="V2445:W2445" si="2608">V2421</f>
        <v>2.9</v>
      </c>
      <c r="W2445">
        <f t="shared" si="2608"/>
        <v>3</v>
      </c>
      <c r="X2445" s="9">
        <v>-129.41573296667201</v>
      </c>
    </row>
    <row r="2446" spans="1:24">
      <c r="A2446" s="29">
        <f t="shared" si="2599"/>
        <v>45937.791666660742</v>
      </c>
      <c r="B2446" s="30">
        <f t="shared" si="2554"/>
        <v>5000</v>
      </c>
      <c r="C2446" s="8">
        <v>25000</v>
      </c>
      <c r="D2446" s="8">
        <v>0</v>
      </c>
      <c r="E2446" s="8">
        <v>700</v>
      </c>
      <c r="F2446" s="8">
        <v>15000</v>
      </c>
      <c r="G2446" s="30">
        <f t="shared" si="2555"/>
        <v>2400</v>
      </c>
      <c r="H2446" s="8">
        <v>25000</v>
      </c>
      <c r="I2446" s="30">
        <f t="shared" si="2556"/>
        <v>5000</v>
      </c>
      <c r="J2446" s="8">
        <v>25000</v>
      </c>
      <c r="K2446" s="30">
        <f t="shared" si="2557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VLOOKUP(VLOOKUP(DATEVALUE(TEXT(A2446,"m/d/yyyy")),FY24_Temp[],5,FALSE)&amp;TEXT(A2446,"-h"),Table6[],4,FALSE)</f>
        <v>1.449857132775443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VLOOKUP(TEXT(A2446,"yy-mm")&amp;"-"&amp;IF(AND(WEEKDAY(A2446)&gt;1,WEEKDAY(A2446)&lt;7),"Wkd",TEXT(A2446,"Ddd"))&amp;"-"&amp;TEXT(A2446,"hh"),LoadTable[],5,FALSE)*0.92</f>
        <v>308.12363999999997</v>
      </c>
      <c r="U2446" s="104">
        <f>VLOOKUP(TEXT(A2446,"yy-mm")&amp;"-"&amp;IF(AND(WEEKDAY(A2446)&gt;1,WEEKDAY(A2446)&lt;7),"Wkd",TEXT(A2446,"Ddd"))&amp;"-"&amp;TEXT(A2446,"hh"),LoadTable[],6,FALSE)*T2446</f>
        <v>15247.806449039997</v>
      </c>
      <c r="V2446">
        <f t="shared" ref="V2446:W2446" si="2609">V2422</f>
        <v>3</v>
      </c>
      <c r="W2446">
        <f t="shared" si="2609"/>
        <v>3</v>
      </c>
      <c r="X2446" s="9">
        <v>-129.493527516672</v>
      </c>
    </row>
    <row r="2447" spans="1:24">
      <c r="A2447" s="29">
        <f t="shared" si="2599"/>
        <v>45937.833333327406</v>
      </c>
      <c r="B2447" s="30">
        <f t="shared" si="2554"/>
        <v>5000</v>
      </c>
      <c r="C2447" s="8">
        <v>25000</v>
      </c>
      <c r="D2447" s="8">
        <v>0</v>
      </c>
      <c r="E2447" s="8">
        <v>700</v>
      </c>
      <c r="F2447" s="8">
        <v>15000</v>
      </c>
      <c r="G2447" s="30">
        <f t="shared" si="2555"/>
        <v>2400</v>
      </c>
      <c r="H2447" s="8">
        <v>25000</v>
      </c>
      <c r="I2447" s="30">
        <f t="shared" si="2556"/>
        <v>5000</v>
      </c>
      <c r="J2447" s="8">
        <v>25000</v>
      </c>
      <c r="K2447" s="30">
        <f t="shared" si="2557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VLOOKUP(VLOOKUP(DATEVALUE(TEXT(A2447,"m/d/yyyy")),FY24_Temp[],5,FALSE)&amp;TEXT(A2447,"-h"),Table6[],4,FALSE)</f>
        <v>1.5270000014986311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VLOOKUP(TEXT(A2447,"yy-mm")&amp;"-"&amp;IF(AND(WEEKDAY(A2447)&gt;1,WEEKDAY(A2447)&lt;7),"Wkd",TEXT(A2447,"Ddd"))&amp;"-"&amp;TEXT(A2447,"hh"),LoadTable[],5,FALSE)*0.92</f>
        <v>308.12363999999997</v>
      </c>
      <c r="U2447" s="104">
        <f>VLOOKUP(TEXT(A2447,"yy-mm")&amp;"-"&amp;IF(AND(WEEKDAY(A2447)&gt;1,WEEKDAY(A2447)&lt;7),"Wkd",TEXT(A2447,"Ddd"))&amp;"-"&amp;TEXT(A2447,"hh"),LoadTable[],6,FALSE)*T2447</f>
        <v>15157.218098879999</v>
      </c>
      <c r="V2447">
        <f t="shared" ref="V2447:W2447" si="2610">V2423</f>
        <v>2.8</v>
      </c>
      <c r="W2447">
        <f t="shared" si="2610"/>
        <v>3.1</v>
      </c>
      <c r="X2447" s="9">
        <v>-129.571322066672</v>
      </c>
    </row>
    <row r="2448" spans="1:24">
      <c r="A2448" s="29">
        <f t="shared" si="2599"/>
        <v>45937.87499999407</v>
      </c>
      <c r="B2448" s="30">
        <f t="shared" si="2554"/>
        <v>5000</v>
      </c>
      <c r="C2448" s="8">
        <v>25000</v>
      </c>
      <c r="D2448" s="8">
        <v>0</v>
      </c>
      <c r="E2448" s="8">
        <v>700</v>
      </c>
      <c r="F2448" s="8">
        <v>15000</v>
      </c>
      <c r="G2448" s="30">
        <f t="shared" si="2555"/>
        <v>2400</v>
      </c>
      <c r="H2448" s="8">
        <v>25000</v>
      </c>
      <c r="I2448" s="30">
        <f t="shared" si="2556"/>
        <v>5000</v>
      </c>
      <c r="J2448" s="8">
        <v>25000</v>
      </c>
      <c r="K2448" s="30">
        <f t="shared" si="2557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VLOOKUP(VLOOKUP(DATEVALUE(TEXT(A2448,"m/d/yyyy")),FY24_Temp[],5,FALSE)&amp;TEXT(A2448,"-h"),Table6[],4,FALSE)</f>
        <v>1.6015714406967163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VLOOKUP(TEXT(A2448,"yy-mm")&amp;"-"&amp;IF(AND(WEEKDAY(A2448)&gt;1,WEEKDAY(A2448)&lt;7),"Wkd",TEXT(A2448,"Ddd"))&amp;"-"&amp;TEXT(A2448,"hh"),LoadTable[],5,FALSE)*0.92</f>
        <v>234.33964000000003</v>
      </c>
      <c r="U2448" s="104">
        <f>VLOOKUP(TEXT(A2448,"yy-mm")&amp;"-"&amp;IF(AND(WEEKDAY(A2448)&gt;1,WEEKDAY(A2448)&lt;7),"Wkd",TEXT(A2448,"Ddd"))&amp;"-"&amp;TEXT(A2448,"hh"),LoadTable[],6,FALSE)*T2448</f>
        <v>11344.147632760001</v>
      </c>
      <c r="V2448">
        <f t="shared" ref="V2448:W2448" si="2611">V2424</f>
        <v>3.5</v>
      </c>
      <c r="W2448">
        <f t="shared" si="2611"/>
        <v>3.1</v>
      </c>
      <c r="X2448" s="9">
        <v>-129.64911661667199</v>
      </c>
    </row>
    <row r="2449" spans="1:24">
      <c r="A2449" s="29">
        <f t="shared" si="2599"/>
        <v>45937.916666660734</v>
      </c>
      <c r="B2449" s="30">
        <f t="shared" si="2554"/>
        <v>5000</v>
      </c>
      <c r="C2449" s="8">
        <v>25000</v>
      </c>
      <c r="D2449" s="8">
        <v>0</v>
      </c>
      <c r="E2449" s="8">
        <v>700</v>
      </c>
      <c r="F2449" s="8">
        <v>15000</v>
      </c>
      <c r="G2449" s="30">
        <f t="shared" si="2555"/>
        <v>2400</v>
      </c>
      <c r="H2449" s="8">
        <v>25000</v>
      </c>
      <c r="I2449" s="30">
        <f t="shared" si="2556"/>
        <v>5000</v>
      </c>
      <c r="J2449" s="8">
        <v>25000</v>
      </c>
      <c r="K2449" s="30">
        <f t="shared" si="2557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VLOOKUP(VLOOKUP(DATEVALUE(TEXT(A2449,"m/d/yyyy")),FY24_Temp[],5,FALSE)&amp;TEXT(A2449,"-h"),Table6[],4,FALSE)</f>
        <v>1.6414285898208618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VLOOKUP(TEXT(A2449,"yy-mm")&amp;"-"&amp;IF(AND(WEEKDAY(A2449)&gt;1,WEEKDAY(A2449)&lt;7),"Wkd",TEXT(A2449,"Ddd"))&amp;"-"&amp;TEXT(A2449,"hh"),LoadTable[],5,FALSE)*0.92</f>
        <v>180.62544</v>
      </c>
      <c r="U2449" s="104">
        <f>VLOOKUP(TEXT(A2449,"yy-mm")&amp;"-"&amp;IF(AND(WEEKDAY(A2449)&gt;1,WEEKDAY(A2449)&lt;7),"Wkd",TEXT(A2449,"Ddd"))&amp;"-"&amp;TEXT(A2449,"hh"),LoadTable[],6,FALSE)*T2449</f>
        <v>8304.2546039999997</v>
      </c>
      <c r="V2449">
        <f t="shared" ref="V2449:W2449" si="2612">V2425</f>
        <v>2.9</v>
      </c>
      <c r="W2449">
        <f t="shared" si="2612"/>
        <v>3.1</v>
      </c>
      <c r="X2449" s="9">
        <v>-129.72691116667201</v>
      </c>
    </row>
    <row r="2450" spans="1:24">
      <c r="A2450" s="29">
        <f t="shared" si="2599"/>
        <v>45937.958333327399</v>
      </c>
      <c r="B2450" s="30">
        <f t="shared" si="2554"/>
        <v>5000</v>
      </c>
      <c r="C2450" s="8">
        <v>25000</v>
      </c>
      <c r="D2450" s="8">
        <v>0</v>
      </c>
      <c r="E2450" s="8">
        <v>700</v>
      </c>
      <c r="F2450" s="8">
        <v>15000</v>
      </c>
      <c r="G2450" s="30">
        <f t="shared" si="2555"/>
        <v>2400</v>
      </c>
      <c r="H2450" s="8">
        <v>25000</v>
      </c>
      <c r="I2450" s="30">
        <f t="shared" si="2556"/>
        <v>5000</v>
      </c>
      <c r="J2450" s="8">
        <v>25000</v>
      </c>
      <c r="K2450" s="30">
        <f t="shared" si="2557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VLOOKUP(VLOOKUP(DATEVALUE(TEXT(A2450,"m/d/yyyy")),FY24_Temp[],5,FALSE)&amp;TEXT(A2450,"-h"),Table6[],4,FALSE)</f>
        <v>1.6130000182560511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VLOOKUP(TEXT(A2450,"yy-mm")&amp;"-"&amp;IF(AND(WEEKDAY(A2450)&gt;1,WEEKDAY(A2450)&lt;7),"Wkd",TEXT(A2450,"Ddd"))&amp;"-"&amp;TEXT(A2450,"hh"),LoadTable[],5,FALSE)*0.92</f>
        <v>180.62544</v>
      </c>
      <c r="U2450" s="104">
        <f>VLOOKUP(TEXT(A2450,"yy-mm")&amp;"-"&amp;IF(AND(WEEKDAY(A2450)&gt;1,WEEKDAY(A2450)&lt;7),"Wkd",TEXT(A2450,"Ddd"))&amp;"-"&amp;TEXT(A2450,"hh"),LoadTable[],6,FALSE)*T2450</f>
        <v>8217.1931419200009</v>
      </c>
      <c r="V2450">
        <f t="shared" ref="V2450:W2450" si="2613">V2426</f>
        <v>3.6</v>
      </c>
      <c r="W2450">
        <f t="shared" si="2613"/>
        <v>3.1</v>
      </c>
      <c r="X2450" s="9">
        <v>-129.804705716672</v>
      </c>
    </row>
    <row r="2451" spans="1:24">
      <c r="A2451" s="29">
        <f t="shared" si="2599"/>
        <v>45937.999999994063</v>
      </c>
      <c r="B2451" s="30">
        <f t="shared" si="2554"/>
        <v>5000</v>
      </c>
      <c r="C2451" s="8">
        <v>25000</v>
      </c>
      <c r="D2451" s="8">
        <v>0</v>
      </c>
      <c r="E2451" s="8">
        <v>700</v>
      </c>
      <c r="F2451" s="8">
        <v>15000</v>
      </c>
      <c r="G2451" s="30">
        <f t="shared" si="2555"/>
        <v>2400</v>
      </c>
      <c r="H2451" s="8">
        <v>25000</v>
      </c>
      <c r="I2451" s="30">
        <f t="shared" si="2556"/>
        <v>5000</v>
      </c>
      <c r="J2451" s="8">
        <v>25000</v>
      </c>
      <c r="K2451" s="30">
        <f t="shared" si="2557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VLOOKUP(VLOOKUP(DATEVALUE(TEXT(A2451,"m/d/yyyy")),FY24_Temp[],5,FALSE)&amp;TEXT(A2451,"-h"),Table6[],4,FALSE)</f>
        <v>1.6792856965746199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VLOOKUP(TEXT(A2451,"yy-mm")&amp;"-"&amp;IF(AND(WEEKDAY(A2451)&gt;1,WEEKDAY(A2451)&lt;7),"Wkd",TEXT(A2451,"Ddd"))&amp;"-"&amp;TEXT(A2451,"hh"),LoadTable[],5,FALSE)*0.92</f>
        <v>180.62544</v>
      </c>
      <c r="U2451" s="104">
        <f>VLOOKUP(TEXT(A2451,"yy-mm")&amp;"-"&amp;IF(AND(WEEKDAY(A2451)&gt;1,WEEKDAY(A2451)&lt;7),"Wkd",TEXT(A2451,"Ddd"))&amp;"-"&amp;TEXT(A2451,"hh"),LoadTable[],6,FALSE)*T2451</f>
        <v>8132.4798105600003</v>
      </c>
      <c r="V2451">
        <f t="shared" ref="V2451:W2451" si="2614">V2427</f>
        <v>3</v>
      </c>
      <c r="W2451">
        <f t="shared" si="2614"/>
        <v>3.2</v>
      </c>
      <c r="X2451" s="9">
        <v>-129.882500266672</v>
      </c>
    </row>
    <row r="2452" spans="1:24">
      <c r="A2452" s="29">
        <f t="shared" si="2599"/>
        <v>45938.041666660727</v>
      </c>
      <c r="B2452" s="30">
        <f t="shared" si="2554"/>
        <v>5000</v>
      </c>
      <c r="C2452" s="8">
        <v>25000</v>
      </c>
      <c r="D2452" s="8">
        <v>0</v>
      </c>
      <c r="E2452" s="8">
        <v>700</v>
      </c>
      <c r="F2452" s="8">
        <v>15000</v>
      </c>
      <c r="G2452" s="30">
        <f t="shared" si="2555"/>
        <v>2400</v>
      </c>
      <c r="H2452" s="8">
        <v>25000</v>
      </c>
      <c r="I2452" s="30">
        <f t="shared" si="2556"/>
        <v>5000</v>
      </c>
      <c r="J2452" s="8">
        <v>25000</v>
      </c>
      <c r="K2452" s="30">
        <f t="shared" si="2557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VLOOKUP(VLOOKUP(DATEVALUE(TEXT(A2452,"m/d/yyyy")),FY24_Temp[],5,FALSE)&amp;TEXT(A2452,"-h"),Table6[],4,FALSE)</f>
        <v>1.6901428699493408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VLOOKUP(TEXT(A2452,"yy-mm")&amp;"-"&amp;IF(AND(WEEKDAY(A2452)&gt;1,WEEKDAY(A2452)&lt;7),"Wkd",TEXT(A2452,"Ddd"))&amp;"-"&amp;TEXT(A2452,"hh"),LoadTable[],5,FALSE)*0.92</f>
        <v>180.62544</v>
      </c>
      <c r="U2452" s="104">
        <f>VLOOKUP(TEXT(A2452,"yy-mm")&amp;"-"&amp;IF(AND(WEEKDAY(A2452)&gt;1,WEEKDAY(A2452)&lt;7),"Wkd",TEXT(A2452,"Ddd"))&amp;"-"&amp;TEXT(A2452,"hh"),LoadTable[],6,FALSE)*T2452</f>
        <v>8124.71291664</v>
      </c>
      <c r="V2452">
        <f t="shared" ref="V2452:W2452" si="2615">V2428</f>
        <v>2.6</v>
      </c>
      <c r="W2452">
        <f t="shared" si="2615"/>
        <v>3.2</v>
      </c>
      <c r="X2452" s="9">
        <v>-129.96029481667199</v>
      </c>
    </row>
    <row r="2453" spans="1:24">
      <c r="A2453" s="29">
        <f t="shared" si="2599"/>
        <v>45938.083333327391</v>
      </c>
      <c r="B2453" s="30">
        <f t="shared" si="2554"/>
        <v>5000</v>
      </c>
      <c r="C2453" s="8">
        <v>25000</v>
      </c>
      <c r="D2453" s="8">
        <v>0</v>
      </c>
      <c r="E2453" s="8">
        <v>700</v>
      </c>
      <c r="F2453" s="8">
        <v>15000</v>
      </c>
      <c r="G2453" s="30">
        <f t="shared" si="2555"/>
        <v>2400</v>
      </c>
      <c r="H2453" s="8">
        <v>25000</v>
      </c>
      <c r="I2453" s="30">
        <f t="shared" si="2556"/>
        <v>5000</v>
      </c>
      <c r="J2453" s="8">
        <v>25000</v>
      </c>
      <c r="K2453" s="30">
        <f t="shared" si="2557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VLOOKUP(VLOOKUP(DATEVALUE(TEXT(A2453,"m/d/yyyy")),FY24_Temp[],5,FALSE)&amp;TEXT(A2453,"-h"),Table6[],4,FALSE)</f>
        <v>1.6235714299338204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VLOOKUP(TEXT(A2453,"yy-mm")&amp;"-"&amp;IF(AND(WEEKDAY(A2453)&gt;1,WEEKDAY(A2453)&lt;7),"Wkd",TEXT(A2453,"Ddd"))&amp;"-"&amp;TEXT(A2453,"hh"),LoadTable[],5,FALSE)*0.92</f>
        <v>180.62544</v>
      </c>
      <c r="U2453" s="104">
        <f>VLOOKUP(TEXT(A2453,"yy-mm")&amp;"-"&amp;IF(AND(WEEKDAY(A2453)&gt;1,WEEKDAY(A2453)&lt;7),"Wkd",TEXT(A2453,"Ddd"))&amp;"-"&amp;TEXT(A2453,"hh"),LoadTable[],6,FALSE)*T2453</f>
        <v>8120.1972806400008</v>
      </c>
      <c r="V2453">
        <f t="shared" ref="V2453:W2453" si="2616">V2429</f>
        <v>2.8</v>
      </c>
      <c r="W2453">
        <f t="shared" si="2616"/>
        <v>3.2</v>
      </c>
      <c r="X2453" s="9">
        <v>-130.03808936667201</v>
      </c>
    </row>
    <row r="2454" spans="1:24">
      <c r="A2454" s="29">
        <f t="shared" si="2599"/>
        <v>45938.124999994056</v>
      </c>
      <c r="B2454" s="30">
        <f t="shared" si="2554"/>
        <v>5000</v>
      </c>
      <c r="C2454" s="8">
        <v>25000</v>
      </c>
      <c r="D2454" s="8">
        <v>0</v>
      </c>
      <c r="E2454" s="8">
        <v>700</v>
      </c>
      <c r="F2454" s="8">
        <v>15000</v>
      </c>
      <c r="G2454" s="30">
        <f t="shared" si="2555"/>
        <v>2400</v>
      </c>
      <c r="H2454" s="8">
        <v>25000</v>
      </c>
      <c r="I2454" s="30">
        <f t="shared" si="2556"/>
        <v>5000</v>
      </c>
      <c r="J2454" s="8">
        <v>25000</v>
      </c>
      <c r="K2454" s="30">
        <f t="shared" si="2557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VLOOKUP(VLOOKUP(DATEVALUE(TEXT(A2454,"m/d/yyyy")),FY24_Temp[],5,FALSE)&amp;TEXT(A2454,"-h"),Table6[],4,FALSE)</f>
        <v>1.5127142838069372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VLOOKUP(TEXT(A2454,"yy-mm")&amp;"-"&amp;IF(AND(WEEKDAY(A2454)&gt;1,WEEKDAY(A2454)&lt;7),"Wkd",TEXT(A2454,"Ddd"))&amp;"-"&amp;TEXT(A2454,"hh"),LoadTable[],5,FALSE)*0.92</f>
        <v>180.62544</v>
      </c>
      <c r="U2454" s="104">
        <f>VLOOKUP(TEXT(A2454,"yy-mm")&amp;"-"&amp;IF(AND(WEEKDAY(A2454)&gt;1,WEEKDAY(A2454)&lt;7),"Wkd",TEXT(A2454,"Ddd"))&amp;"-"&amp;TEXT(A2454,"hh"),LoadTable[],6,FALSE)*T2454</f>
        <v>8141.3304571199997</v>
      </c>
      <c r="V2454">
        <f t="shared" ref="V2454:W2454" si="2617">V2430</f>
        <v>2.7</v>
      </c>
      <c r="W2454">
        <f t="shared" si="2617"/>
        <v>3.2</v>
      </c>
      <c r="X2454" s="9">
        <v>-130.115883916672</v>
      </c>
    </row>
    <row r="2455" spans="1:24">
      <c r="A2455" s="29">
        <f t="shared" si="2599"/>
        <v>45938.16666666072</v>
      </c>
      <c r="B2455" s="30">
        <f t="shared" si="2554"/>
        <v>5000</v>
      </c>
      <c r="C2455" s="8">
        <v>25000</v>
      </c>
      <c r="D2455" s="8">
        <v>0</v>
      </c>
      <c r="E2455" s="8">
        <v>700</v>
      </c>
      <c r="F2455" s="8">
        <v>15000</v>
      </c>
      <c r="G2455" s="30">
        <f t="shared" si="2555"/>
        <v>2400</v>
      </c>
      <c r="H2455" s="8">
        <v>25000</v>
      </c>
      <c r="I2455" s="30">
        <f t="shared" si="2556"/>
        <v>5000</v>
      </c>
      <c r="J2455" s="8">
        <v>25000</v>
      </c>
      <c r="K2455" s="30">
        <f t="shared" si="2557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VLOOKUP(VLOOKUP(DATEVALUE(TEXT(A2455,"m/d/yyyy")),FY24_Temp[],5,FALSE)&amp;TEXT(A2455,"-h"),Table6[],4,FALSE)</f>
        <v>1.4104285751070296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VLOOKUP(TEXT(A2455,"yy-mm")&amp;"-"&amp;IF(AND(WEEKDAY(A2455)&gt;1,WEEKDAY(A2455)&lt;7),"Wkd",TEXT(A2455,"Ddd"))&amp;"-"&amp;TEXT(A2455,"hh"),LoadTable[],5,FALSE)*0.92</f>
        <v>180.62544</v>
      </c>
      <c r="U2455" s="104">
        <f>VLOOKUP(TEXT(A2455,"yy-mm")&amp;"-"&amp;IF(AND(WEEKDAY(A2455)&gt;1,WEEKDAY(A2455)&lt;7),"Wkd",TEXT(A2455,"Ddd"))&amp;"-"&amp;TEXT(A2455,"hh"),LoadTable[],6,FALSE)*T2455</f>
        <v>8184.86118816</v>
      </c>
      <c r="V2455">
        <f t="shared" ref="V2455:W2455" si="2618">V2431</f>
        <v>3</v>
      </c>
      <c r="W2455">
        <f t="shared" si="2618"/>
        <v>3.1</v>
      </c>
      <c r="X2455" s="9">
        <v>-130.193678466672</v>
      </c>
    </row>
    <row r="2456" spans="1:24">
      <c r="A2456" s="29">
        <f t="shared" si="2599"/>
        <v>45938.208333327384</v>
      </c>
      <c r="B2456" s="30">
        <f t="shared" si="2554"/>
        <v>5000</v>
      </c>
      <c r="C2456" s="8">
        <v>25000</v>
      </c>
      <c r="D2456" s="8">
        <v>0</v>
      </c>
      <c r="E2456" s="8">
        <v>700</v>
      </c>
      <c r="F2456" s="8">
        <v>15000</v>
      </c>
      <c r="G2456" s="30">
        <f t="shared" si="2555"/>
        <v>2400</v>
      </c>
      <c r="H2456" s="8">
        <v>25000</v>
      </c>
      <c r="I2456" s="30">
        <f t="shared" si="2556"/>
        <v>5000</v>
      </c>
      <c r="J2456" s="8">
        <v>25000</v>
      </c>
      <c r="K2456" s="30">
        <f t="shared" si="2557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VLOOKUP(VLOOKUP(DATEVALUE(TEXT(A2456,"m/d/yyyy")),FY24_Temp[],5,FALSE)&amp;TEXT(A2456,"-h"),Table6[],4,FALSE)</f>
        <v>1.3584285974502563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VLOOKUP(TEXT(A2456,"yy-mm")&amp;"-"&amp;IF(AND(WEEKDAY(A2456)&gt;1,WEEKDAY(A2456)&lt;7),"Wkd",TEXT(A2456,"Ddd"))&amp;"-"&amp;TEXT(A2456,"hh"),LoadTable[],5,FALSE)*0.92</f>
        <v>275.09195999999997</v>
      </c>
      <c r="U2456" s="104">
        <f>VLOOKUP(TEXT(A2456,"yy-mm")&amp;"-"&amp;IF(AND(WEEKDAY(A2456)&gt;1,WEEKDAY(A2456)&lt;7),"Wkd",TEXT(A2456,"Ddd"))&amp;"-"&amp;TEXT(A2456,"hh"),LoadTable[],6,FALSE)*T2456</f>
        <v>12729.880448999998</v>
      </c>
      <c r="V2456">
        <f t="shared" ref="V2456:W2456" si="2619">V2432</f>
        <v>2.9</v>
      </c>
      <c r="W2456">
        <f t="shared" si="2619"/>
        <v>3.1</v>
      </c>
      <c r="X2456" s="9">
        <v>-130.27147301667199</v>
      </c>
    </row>
    <row r="2457" spans="1:24">
      <c r="A2457" s="29">
        <f t="shared" si="2599"/>
        <v>45938.249999994048</v>
      </c>
      <c r="B2457" s="30">
        <f t="shared" si="2554"/>
        <v>8000</v>
      </c>
      <c r="C2457" s="8">
        <v>25000</v>
      </c>
      <c r="D2457" s="8">
        <v>0</v>
      </c>
      <c r="E2457" s="8">
        <v>700</v>
      </c>
      <c r="F2457" s="8">
        <v>15000</v>
      </c>
      <c r="G2457" s="30">
        <f t="shared" si="2555"/>
        <v>2400</v>
      </c>
      <c r="H2457" s="8">
        <v>25000</v>
      </c>
      <c r="I2457" s="30">
        <f t="shared" si="2556"/>
        <v>8000</v>
      </c>
      <c r="J2457" s="8">
        <v>25000</v>
      </c>
      <c r="K2457" s="30">
        <f t="shared" si="2557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VLOOKUP(VLOOKUP(DATEVALUE(TEXT(A2457,"m/d/yyyy")),FY24_Temp[],5,FALSE)&amp;TEXT(A2457,"-h"),Table6[],4,FALSE)</f>
        <v>1.2088571446282523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VLOOKUP(TEXT(A2457,"yy-mm")&amp;"-"&amp;IF(AND(WEEKDAY(A2457)&gt;1,WEEKDAY(A2457)&lt;7),"Wkd",TEXT(A2457,"Ddd"))&amp;"-"&amp;TEXT(A2457,"hh"),LoadTable[],5,FALSE)*0.92</f>
        <v>275.09195999999997</v>
      </c>
      <c r="U2457" s="104">
        <f>VLOOKUP(TEXT(A2457,"yy-mm")&amp;"-"&amp;IF(AND(WEEKDAY(A2457)&gt;1,WEEKDAY(A2457)&lt;7),"Wkd",TEXT(A2457,"Ddd"))&amp;"-"&amp;TEXT(A2457,"hh"),LoadTable[],6,FALSE)*T2457</f>
        <v>13284.465840359997</v>
      </c>
      <c r="V2457">
        <f t="shared" ref="V2457:W2457" si="2620">V2433</f>
        <v>2.5</v>
      </c>
      <c r="W2457">
        <f t="shared" si="2620"/>
        <v>3.1</v>
      </c>
      <c r="X2457" s="9">
        <v>-130.34926756667201</v>
      </c>
    </row>
    <row r="2458" spans="1:24">
      <c r="A2458" s="29">
        <f t="shared" si="2599"/>
        <v>45938.291666660713</v>
      </c>
      <c r="B2458" s="30">
        <f t="shared" si="2554"/>
        <v>8000</v>
      </c>
      <c r="C2458" s="8">
        <v>25000</v>
      </c>
      <c r="D2458" s="8">
        <v>0</v>
      </c>
      <c r="E2458" s="8">
        <v>700</v>
      </c>
      <c r="F2458" s="8">
        <v>15000</v>
      </c>
      <c r="G2458" s="30">
        <f t="shared" si="2555"/>
        <v>2400</v>
      </c>
      <c r="H2458" s="8">
        <v>25000</v>
      </c>
      <c r="I2458" s="30">
        <f t="shared" si="2556"/>
        <v>8000</v>
      </c>
      <c r="J2458" s="8">
        <v>25000</v>
      </c>
      <c r="K2458" s="30">
        <f t="shared" si="2557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VLOOKUP(VLOOKUP(DATEVALUE(TEXT(A2458,"m/d/yyyy")),FY24_Temp[],5,FALSE)&amp;TEXT(A2458,"-h"),Table6[],4,FALSE)</f>
        <v>1.0575714196477617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VLOOKUP(TEXT(A2458,"yy-mm")&amp;"-"&amp;IF(AND(WEEKDAY(A2458)&gt;1,WEEKDAY(A2458)&lt;7),"Wkd",TEXT(A2458,"Ddd"))&amp;"-"&amp;TEXT(A2458,"hh"),LoadTable[],5,FALSE)*0.92</f>
        <v>236.10788000000002</v>
      </c>
      <c r="U2458" s="104">
        <f>VLOOKUP(TEXT(A2458,"yy-mm")&amp;"-"&amp;IF(AND(WEEKDAY(A2458)&gt;1,WEEKDAY(A2458)&lt;7),"Wkd",TEXT(A2458,"Ddd"))&amp;"-"&amp;TEXT(A2458,"hh"),LoadTable[],6,FALSE)*T2458</f>
        <v>11438.48235448</v>
      </c>
      <c r="V2458">
        <f t="shared" ref="V2458:W2458" si="2621">V2434</f>
        <v>2.5</v>
      </c>
      <c r="W2458">
        <f t="shared" si="2621"/>
        <v>3.1</v>
      </c>
      <c r="X2458" s="9">
        <v>-130.427062116672</v>
      </c>
    </row>
    <row r="2459" spans="1:24">
      <c r="A2459" s="29">
        <f t="shared" si="2599"/>
        <v>45938.333333327377</v>
      </c>
      <c r="B2459" s="30">
        <f t="shared" si="2554"/>
        <v>8000</v>
      </c>
      <c r="C2459" s="8">
        <v>25000</v>
      </c>
      <c r="D2459" s="8">
        <v>0</v>
      </c>
      <c r="E2459" s="8">
        <v>700</v>
      </c>
      <c r="F2459" s="8">
        <v>15000</v>
      </c>
      <c r="G2459" s="30">
        <f t="shared" si="2555"/>
        <v>2400</v>
      </c>
      <c r="H2459" s="8">
        <v>25000</v>
      </c>
      <c r="I2459" s="30">
        <f t="shared" si="2556"/>
        <v>8000</v>
      </c>
      <c r="J2459" s="8">
        <v>25000</v>
      </c>
      <c r="K2459" s="30">
        <f t="shared" si="2557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VLOOKUP(VLOOKUP(DATEVALUE(TEXT(A2459,"m/d/yyyy")),FY24_Temp[],5,FALSE)&amp;TEXT(A2459,"-h"),Table6[],4,FALSE)</f>
        <v>0.95157144750867573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VLOOKUP(TEXT(A2459,"yy-mm")&amp;"-"&amp;IF(AND(WEEKDAY(A2459)&gt;1,WEEKDAY(A2459)&lt;7),"Wkd",TEXT(A2459,"Ddd"))&amp;"-"&amp;TEXT(A2459,"hh"),LoadTable[],5,FALSE)*0.92</f>
        <v>236.10788000000002</v>
      </c>
      <c r="U2459" s="104">
        <f>VLOOKUP(TEXT(A2459,"yy-mm")&amp;"-"&amp;IF(AND(WEEKDAY(A2459)&gt;1,WEEKDAY(A2459)&lt;7),"Wkd",TEXT(A2459,"Ddd"))&amp;"-"&amp;TEXT(A2459,"hh"),LoadTable[],6,FALSE)*T2459</f>
        <v>10919.281126360002</v>
      </c>
      <c r="V2459">
        <f t="shared" ref="V2459:W2459" si="2622">V2435</f>
        <v>3.2</v>
      </c>
      <c r="W2459">
        <f t="shared" si="2622"/>
        <v>3</v>
      </c>
      <c r="X2459" s="9">
        <v>-130.504856666672</v>
      </c>
    </row>
    <row r="2460" spans="1:24">
      <c r="A2460" s="29">
        <f t="shared" si="2599"/>
        <v>45938.374999994041</v>
      </c>
      <c r="B2460" s="30">
        <f t="shared" ref="B2460:B2523" si="2623">B2436</f>
        <v>8000</v>
      </c>
      <c r="C2460" s="8">
        <v>25000</v>
      </c>
      <c r="D2460" s="8">
        <v>0</v>
      </c>
      <c r="E2460" s="8">
        <v>700</v>
      </c>
      <c r="F2460" s="8">
        <v>15000</v>
      </c>
      <c r="G2460" s="30">
        <f t="shared" ref="G2460:G2523" si="2624">G2436</f>
        <v>2400</v>
      </c>
      <c r="H2460" s="8">
        <v>25000</v>
      </c>
      <c r="I2460" s="30">
        <f t="shared" ref="I2460:I2523" si="2625">I2436</f>
        <v>8000</v>
      </c>
      <c r="J2460" s="8">
        <v>25000</v>
      </c>
      <c r="K2460" s="30">
        <f t="shared" ref="K2460:K2523" si="2626">K2436</f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VLOOKUP(VLOOKUP(DATEVALUE(TEXT(A2460,"m/d/yyyy")),FY24_Temp[],5,FALSE)&amp;TEXT(A2460,"-h"),Table6[],4,FALSE)</f>
        <v>0.83871427604130333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VLOOKUP(TEXT(A2460,"yy-mm")&amp;"-"&amp;IF(AND(WEEKDAY(A2460)&gt;1,WEEKDAY(A2460)&lt;7),"Wkd",TEXT(A2460,"Ddd"))&amp;"-"&amp;TEXT(A2460,"hh"),LoadTable[],5,FALSE)*0.92</f>
        <v>236.10788000000002</v>
      </c>
      <c r="U2460" s="104">
        <f>VLOOKUP(TEXT(A2460,"yy-mm")&amp;"-"&amp;IF(AND(WEEKDAY(A2460)&gt;1,WEEKDAY(A2460)&lt;7),"Wkd",TEXT(A2460,"Ddd"))&amp;"-"&amp;TEXT(A2460,"hh"),LoadTable[],6,FALSE)*T2460</f>
        <v>10592.271712560001</v>
      </c>
      <c r="V2460">
        <f t="shared" ref="V2460:W2460" si="2627">V2436</f>
        <v>2.9</v>
      </c>
      <c r="W2460">
        <f t="shared" si="2627"/>
        <v>3</v>
      </c>
      <c r="X2460" s="9">
        <v>-130.58265121667199</v>
      </c>
    </row>
    <row r="2461" spans="1:24">
      <c r="A2461" s="29">
        <f t="shared" si="2599"/>
        <v>45938.416666660705</v>
      </c>
      <c r="B2461" s="30">
        <f t="shared" si="2623"/>
        <v>8000</v>
      </c>
      <c r="C2461" s="8">
        <v>25000</v>
      </c>
      <c r="D2461" s="8">
        <v>0</v>
      </c>
      <c r="E2461" s="8">
        <v>700</v>
      </c>
      <c r="F2461" s="8">
        <v>15000</v>
      </c>
      <c r="G2461" s="30">
        <f t="shared" si="2624"/>
        <v>2400</v>
      </c>
      <c r="H2461" s="8">
        <v>25000</v>
      </c>
      <c r="I2461" s="30">
        <f t="shared" si="2625"/>
        <v>8000</v>
      </c>
      <c r="J2461" s="8">
        <v>25000</v>
      </c>
      <c r="K2461" s="30">
        <f t="shared" si="2626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VLOOKUP(VLOOKUP(DATEVALUE(TEXT(A2461,"m/d/yyyy")),FY24_Temp[],5,FALSE)&amp;TEXT(A2461,"-h"),Table6[],4,FALSE)</f>
        <v>0.72357143674577984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VLOOKUP(TEXT(A2461,"yy-mm")&amp;"-"&amp;IF(AND(WEEKDAY(A2461)&gt;1,WEEKDAY(A2461)&lt;7),"Wkd",TEXT(A2461,"Ddd"))&amp;"-"&amp;TEXT(A2461,"hh"),LoadTable[],5,FALSE)*0.92</f>
        <v>236.10788000000002</v>
      </c>
      <c r="U2461" s="104">
        <f>VLOOKUP(TEXT(A2461,"yy-mm")&amp;"-"&amp;IF(AND(WEEKDAY(A2461)&gt;1,WEEKDAY(A2461)&lt;7),"Wkd",TEXT(A2461,"Ddd"))&amp;"-"&amp;TEXT(A2461,"hh"),LoadTable[],6,FALSE)*T2461</f>
        <v>10565.591522120001</v>
      </c>
      <c r="V2461">
        <f t="shared" ref="V2461:W2461" si="2628">V2437</f>
        <v>2.9</v>
      </c>
      <c r="W2461">
        <f t="shared" si="2628"/>
        <v>3</v>
      </c>
      <c r="X2461" s="9">
        <v>-130.66044576667201</v>
      </c>
    </row>
    <row r="2462" spans="1:24">
      <c r="A2462" s="29">
        <f t="shared" si="2599"/>
        <v>45938.458333327369</v>
      </c>
      <c r="B2462" s="30">
        <f t="shared" si="2623"/>
        <v>8000</v>
      </c>
      <c r="C2462" s="8">
        <v>25000</v>
      </c>
      <c r="D2462" s="8">
        <v>0</v>
      </c>
      <c r="E2462" s="8">
        <v>700</v>
      </c>
      <c r="F2462" s="8">
        <v>15000</v>
      </c>
      <c r="G2462" s="30">
        <f t="shared" si="2624"/>
        <v>2400</v>
      </c>
      <c r="H2462" s="8">
        <v>25000</v>
      </c>
      <c r="I2462" s="30">
        <f t="shared" si="2625"/>
        <v>8000</v>
      </c>
      <c r="J2462" s="8">
        <v>25000</v>
      </c>
      <c r="K2462" s="30">
        <f t="shared" si="2626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VLOOKUP(VLOOKUP(DATEVALUE(TEXT(A2462,"m/d/yyyy")),FY24_Temp[],5,FALSE)&amp;TEXT(A2462,"-h"),Table6[],4,FALSE)</f>
        <v>0.61371428200176781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VLOOKUP(TEXT(A2462,"yy-mm")&amp;"-"&amp;IF(AND(WEEKDAY(A2462)&gt;1,WEEKDAY(A2462)&lt;7),"Wkd",TEXT(A2462,"Ddd"))&amp;"-"&amp;TEXT(A2462,"hh"),LoadTable[],5,FALSE)*0.92</f>
        <v>236.10788000000002</v>
      </c>
      <c r="U2462" s="104">
        <f>VLOOKUP(TEXT(A2462,"yy-mm")&amp;"-"&amp;IF(AND(WEEKDAY(A2462)&gt;1,WEEKDAY(A2462)&lt;7),"Wkd",TEXT(A2462,"Ddd"))&amp;"-"&amp;TEXT(A2462,"hh"),LoadTable[],6,FALSE)*T2462</f>
        <v>10548.355646880002</v>
      </c>
      <c r="V2462">
        <f t="shared" ref="V2462:W2462" si="2629">V2438</f>
        <v>3.4</v>
      </c>
      <c r="W2462">
        <f t="shared" si="2629"/>
        <v>3</v>
      </c>
      <c r="X2462" s="9">
        <v>-130.73824031667201</v>
      </c>
    </row>
    <row r="2463" spans="1:24">
      <c r="A2463" s="29">
        <f t="shared" si="2599"/>
        <v>45938.499999994034</v>
      </c>
      <c r="B2463" s="30">
        <f t="shared" si="2623"/>
        <v>8000</v>
      </c>
      <c r="C2463" s="8">
        <v>25000</v>
      </c>
      <c r="D2463" s="8">
        <v>0</v>
      </c>
      <c r="E2463" s="8">
        <v>700</v>
      </c>
      <c r="F2463" s="8">
        <v>15000</v>
      </c>
      <c r="G2463" s="30">
        <f t="shared" si="2624"/>
        <v>2400</v>
      </c>
      <c r="H2463" s="8">
        <v>25000</v>
      </c>
      <c r="I2463" s="30">
        <f t="shared" si="2625"/>
        <v>8000</v>
      </c>
      <c r="J2463" s="8">
        <v>25000</v>
      </c>
      <c r="K2463" s="30">
        <f t="shared" si="2626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VLOOKUP(VLOOKUP(DATEVALUE(TEXT(A2463,"m/d/yyyy")),FY24_Temp[],5,FALSE)&amp;TEXT(A2463,"-h"),Table6[],4,FALSE)</f>
        <v>0.48757142680031912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VLOOKUP(TEXT(A2463,"yy-mm")&amp;"-"&amp;IF(AND(WEEKDAY(A2463)&gt;1,WEEKDAY(A2463)&lt;7),"Wkd",TEXT(A2463,"Ddd"))&amp;"-"&amp;TEXT(A2463,"hh"),LoadTable[],5,FALSE)*0.92</f>
        <v>236.10788000000002</v>
      </c>
      <c r="U2463" s="104">
        <f>VLOOKUP(TEXT(A2463,"yy-mm")&amp;"-"&amp;IF(AND(WEEKDAY(A2463)&gt;1,WEEKDAY(A2463)&lt;7),"Wkd",TEXT(A2463,"Ddd"))&amp;"-"&amp;TEXT(A2463,"hh"),LoadTable[],6,FALSE)*T2463</f>
        <v>10540.327978960002</v>
      </c>
      <c r="V2463">
        <f t="shared" ref="V2463:W2463" si="2630">V2439</f>
        <v>3.1</v>
      </c>
      <c r="W2463">
        <f t="shared" si="2630"/>
        <v>2.9</v>
      </c>
      <c r="X2463" s="9">
        <v>-130.816034866672</v>
      </c>
    </row>
    <row r="2464" spans="1:24">
      <c r="A2464" s="29">
        <f t="shared" si="2599"/>
        <v>45938.541666660698</v>
      </c>
      <c r="B2464" s="30">
        <f t="shared" si="2623"/>
        <v>8000</v>
      </c>
      <c r="C2464" s="8">
        <v>25000</v>
      </c>
      <c r="D2464" s="8">
        <v>0</v>
      </c>
      <c r="E2464" s="8">
        <v>700</v>
      </c>
      <c r="F2464" s="8">
        <v>15000</v>
      </c>
      <c r="G2464" s="30">
        <f t="shared" si="2624"/>
        <v>2400</v>
      </c>
      <c r="H2464" s="8">
        <v>25000</v>
      </c>
      <c r="I2464" s="30">
        <f t="shared" si="2625"/>
        <v>8000</v>
      </c>
      <c r="J2464" s="8">
        <v>25000</v>
      </c>
      <c r="K2464" s="30">
        <f t="shared" si="2626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VLOOKUP(VLOOKUP(DATEVALUE(TEXT(A2464,"m/d/yyyy")),FY24_Temp[],5,FALSE)&amp;TEXT(A2464,"-h"),Table6[],4,FALSE)</f>
        <v>0.37585713820798056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VLOOKUP(TEXT(A2464,"yy-mm")&amp;"-"&amp;IF(AND(WEEKDAY(A2464)&gt;1,WEEKDAY(A2464)&lt;7),"Wkd",TEXT(A2464,"Ddd"))&amp;"-"&amp;TEXT(A2464,"hh"),LoadTable[],5,FALSE)*0.92</f>
        <v>236.10788000000002</v>
      </c>
      <c r="U2464" s="104">
        <f>VLOOKUP(TEXT(A2464,"yy-mm")&amp;"-"&amp;IF(AND(WEEKDAY(A2464)&gt;1,WEEKDAY(A2464)&lt;7),"Wkd",TEXT(A2464,"Ddd"))&amp;"-"&amp;TEXT(A2464,"hh"),LoadTable[],6,FALSE)*T2464</f>
        <v>10541.50851836</v>
      </c>
      <c r="V2464">
        <f t="shared" ref="V2464:W2464" si="2631">V2440</f>
        <v>3.2</v>
      </c>
      <c r="W2464">
        <f t="shared" si="2631"/>
        <v>2.9</v>
      </c>
      <c r="X2464" s="9">
        <v>-130.89382941667199</v>
      </c>
    </row>
    <row r="2465" spans="1:24">
      <c r="A2465" s="29">
        <f t="shared" si="2599"/>
        <v>45938.583333327362</v>
      </c>
      <c r="B2465" s="30">
        <f t="shared" si="2623"/>
        <v>8000</v>
      </c>
      <c r="C2465" s="8">
        <v>25000</v>
      </c>
      <c r="D2465" s="8">
        <v>0</v>
      </c>
      <c r="E2465" s="8">
        <v>700</v>
      </c>
      <c r="F2465" s="8">
        <v>15000</v>
      </c>
      <c r="G2465" s="30">
        <f t="shared" si="2624"/>
        <v>2400</v>
      </c>
      <c r="H2465" s="8">
        <v>25000</v>
      </c>
      <c r="I2465" s="30">
        <f t="shared" si="2625"/>
        <v>8000</v>
      </c>
      <c r="J2465" s="8">
        <v>25000</v>
      </c>
      <c r="K2465" s="30">
        <f t="shared" si="2626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VLOOKUP(VLOOKUP(DATEVALUE(TEXT(A2465,"m/d/yyyy")),FY24_Temp[],5,FALSE)&amp;TEXT(A2465,"-h"),Table6[],4,FALSE)</f>
        <v>0.32000000349112917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VLOOKUP(TEXT(A2465,"yy-mm")&amp;"-"&amp;IF(AND(WEEKDAY(A2465)&gt;1,WEEKDAY(A2465)&lt;7),"Wkd",TEXT(A2465,"Ddd"))&amp;"-"&amp;TEXT(A2465,"hh"),LoadTable[],5,FALSE)*0.92</f>
        <v>236.10788000000002</v>
      </c>
      <c r="U2465" s="104">
        <f>VLOOKUP(TEXT(A2465,"yy-mm")&amp;"-"&amp;IF(AND(WEEKDAY(A2465)&gt;1,WEEKDAY(A2465)&lt;7),"Wkd",TEXT(A2465,"Ddd"))&amp;"-"&amp;TEXT(A2465,"hh"),LoadTable[],6,FALSE)*T2465</f>
        <v>10551.188941440001</v>
      </c>
      <c r="V2465">
        <f t="shared" ref="V2465:W2465" si="2632">V2441</f>
        <v>3.5</v>
      </c>
      <c r="W2465">
        <f t="shared" si="2632"/>
        <v>2.9</v>
      </c>
      <c r="X2465" s="9">
        <v>-130.97162396667201</v>
      </c>
    </row>
    <row r="2466" spans="1:24">
      <c r="A2466" s="29">
        <f t="shared" si="2599"/>
        <v>45938.624999994026</v>
      </c>
      <c r="B2466" s="30">
        <f t="shared" si="2623"/>
        <v>8000</v>
      </c>
      <c r="C2466" s="8">
        <v>25000</v>
      </c>
      <c r="D2466" s="8">
        <v>0</v>
      </c>
      <c r="E2466" s="8">
        <v>700</v>
      </c>
      <c r="F2466" s="8">
        <v>15000</v>
      </c>
      <c r="G2466" s="30">
        <f t="shared" si="2624"/>
        <v>2400</v>
      </c>
      <c r="H2466" s="8">
        <v>25000</v>
      </c>
      <c r="I2466" s="30">
        <f t="shared" si="2625"/>
        <v>8000</v>
      </c>
      <c r="J2466" s="8">
        <v>25000</v>
      </c>
      <c r="K2466" s="30">
        <f t="shared" si="2626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VLOOKUP(VLOOKUP(DATEVALUE(TEXT(A2466,"m/d/yyyy")),FY24_Temp[],5,FALSE)&amp;TEXT(A2466,"-h"),Table6[],4,FALSE)</f>
        <v>0.4050000011920929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VLOOKUP(TEXT(A2466,"yy-mm")&amp;"-"&amp;IF(AND(WEEKDAY(A2466)&gt;1,WEEKDAY(A2466)&lt;7),"Wkd",TEXT(A2466,"Ddd"))&amp;"-"&amp;TEXT(A2466,"hh"),LoadTable[],5,FALSE)*0.92</f>
        <v>236.10788000000002</v>
      </c>
      <c r="U2466" s="104">
        <f>VLOOKUP(TEXT(A2466,"yy-mm")&amp;"-"&amp;IF(AND(WEEKDAY(A2466)&gt;1,WEEKDAY(A2466)&lt;7),"Wkd",TEXT(A2466,"Ddd"))&amp;"-"&amp;TEXT(A2466,"hh"),LoadTable[],6,FALSE)*T2466</f>
        <v>10572.202542760002</v>
      </c>
      <c r="V2466">
        <f t="shared" ref="V2466:W2466" si="2633">V2442</f>
        <v>3.2</v>
      </c>
      <c r="W2466">
        <f t="shared" si="2633"/>
        <v>2.9</v>
      </c>
      <c r="X2466" s="9">
        <v>-131.04941851667201</v>
      </c>
    </row>
    <row r="2467" spans="1:24">
      <c r="A2467" s="29">
        <f t="shared" si="2599"/>
        <v>45938.666666660691</v>
      </c>
      <c r="B2467" s="30">
        <f t="shared" si="2623"/>
        <v>8000</v>
      </c>
      <c r="C2467" s="8">
        <v>25000</v>
      </c>
      <c r="D2467" s="8">
        <v>0</v>
      </c>
      <c r="E2467" s="8">
        <v>700</v>
      </c>
      <c r="F2467" s="8">
        <v>15000</v>
      </c>
      <c r="G2467" s="30">
        <f t="shared" si="2624"/>
        <v>2400</v>
      </c>
      <c r="H2467" s="8">
        <v>25000</v>
      </c>
      <c r="I2467" s="30">
        <f t="shared" si="2625"/>
        <v>8000</v>
      </c>
      <c r="J2467" s="8">
        <v>25000</v>
      </c>
      <c r="K2467" s="30">
        <f t="shared" si="2626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VLOOKUP(VLOOKUP(DATEVALUE(TEXT(A2467,"m/d/yyyy")),FY24_Temp[],5,FALSE)&amp;TEXT(A2467,"-h"),Table6[],4,FALSE)</f>
        <v>0.67542857357433861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VLOOKUP(TEXT(A2467,"yy-mm")&amp;"-"&amp;IF(AND(WEEKDAY(A2467)&gt;1,WEEKDAY(A2467)&lt;7),"Wkd",TEXT(A2467,"Ddd"))&amp;"-"&amp;TEXT(A2467,"hh"),LoadTable[],5,FALSE)*0.92</f>
        <v>236.10788000000002</v>
      </c>
      <c r="U2467" s="104">
        <f>VLOOKUP(TEXT(A2467,"yy-mm")&amp;"-"&amp;IF(AND(WEEKDAY(A2467)&gt;1,WEEKDAY(A2467)&lt;7),"Wkd",TEXT(A2467,"Ddd"))&amp;"-"&amp;TEXT(A2467,"hh"),LoadTable[],6,FALSE)*T2467</f>
        <v>10648.93760376</v>
      </c>
      <c r="V2467">
        <f t="shared" ref="V2467:W2467" si="2634">V2443</f>
        <v>3.5</v>
      </c>
      <c r="W2467">
        <f t="shared" si="2634"/>
        <v>3</v>
      </c>
      <c r="X2467" s="9">
        <v>-131.127213066672</v>
      </c>
    </row>
    <row r="2468" spans="1:24">
      <c r="A2468" s="29">
        <f t="shared" si="2599"/>
        <v>45938.708333327355</v>
      </c>
      <c r="B2468" s="30">
        <f t="shared" si="2623"/>
        <v>8000</v>
      </c>
      <c r="C2468" s="8">
        <v>25000</v>
      </c>
      <c r="D2468" s="8">
        <v>0</v>
      </c>
      <c r="E2468" s="8">
        <v>700</v>
      </c>
      <c r="F2468" s="8">
        <v>15000</v>
      </c>
      <c r="G2468" s="30">
        <f t="shared" si="2624"/>
        <v>2400</v>
      </c>
      <c r="H2468" s="8">
        <v>25000</v>
      </c>
      <c r="I2468" s="30">
        <f t="shared" si="2625"/>
        <v>8000</v>
      </c>
      <c r="J2468" s="8">
        <v>25000</v>
      </c>
      <c r="K2468" s="30">
        <f t="shared" si="2626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VLOOKUP(VLOOKUP(DATEVALUE(TEXT(A2468,"m/d/yyyy")),FY24_Temp[],5,FALSE)&amp;TEXT(A2468,"-h"),Table6[],4,FALSE)</f>
        <v>1.0648571423121862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VLOOKUP(TEXT(A2468,"yy-mm")&amp;"-"&amp;IF(AND(WEEKDAY(A2468)&gt;1,WEEKDAY(A2468)&lt;7),"Wkd",TEXT(A2468,"Ddd"))&amp;"-"&amp;TEXT(A2468,"hh"),LoadTable[],5,FALSE)*0.92</f>
        <v>236.10788000000002</v>
      </c>
      <c r="U2468" s="104">
        <f>VLOOKUP(TEXT(A2468,"yy-mm")&amp;"-"&amp;IF(AND(WEEKDAY(A2468)&gt;1,WEEKDAY(A2468)&lt;7),"Wkd",TEXT(A2468,"Ddd"))&amp;"-"&amp;TEXT(A2468,"hh"),LoadTable[],6,FALSE)*T2468</f>
        <v>11157.513977280001</v>
      </c>
      <c r="V2468">
        <f t="shared" ref="V2468:W2468" si="2635">V2444</f>
        <v>3.6</v>
      </c>
      <c r="W2468">
        <f t="shared" si="2635"/>
        <v>3</v>
      </c>
      <c r="X2468" s="9">
        <v>-131.20500761667199</v>
      </c>
    </row>
    <row r="2469" spans="1:24">
      <c r="A2469" s="29">
        <f t="shared" si="2599"/>
        <v>45938.749999994019</v>
      </c>
      <c r="B2469" s="30">
        <f t="shared" si="2623"/>
        <v>5000</v>
      </c>
      <c r="C2469" s="8">
        <v>25000</v>
      </c>
      <c r="D2469" s="8">
        <v>0</v>
      </c>
      <c r="E2469" s="8">
        <v>700</v>
      </c>
      <c r="F2469" s="8">
        <v>15000</v>
      </c>
      <c r="G2469" s="30">
        <f t="shared" si="2624"/>
        <v>2400</v>
      </c>
      <c r="H2469" s="8">
        <v>25000</v>
      </c>
      <c r="I2469" s="30">
        <f t="shared" si="2625"/>
        <v>5000</v>
      </c>
      <c r="J2469" s="8">
        <v>25000</v>
      </c>
      <c r="K2469" s="30">
        <f t="shared" si="2626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VLOOKUP(VLOOKUP(DATEVALUE(TEXT(A2469,"m/d/yyyy")),FY24_Temp[],5,FALSE)&amp;TEXT(A2469,"-h"),Table6[],4,FALSE)</f>
        <v>1.3020000287464686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VLOOKUP(TEXT(A2469,"yy-mm")&amp;"-"&amp;IF(AND(WEEKDAY(A2469)&gt;1,WEEKDAY(A2469)&lt;7),"Wkd",TEXT(A2469,"Ddd"))&amp;"-"&amp;TEXT(A2469,"hh"),LoadTable[],5,FALSE)*0.92</f>
        <v>308.12363999999997</v>
      </c>
      <c r="U2469" s="104">
        <f>VLOOKUP(TEXT(A2469,"yy-mm")&amp;"-"&amp;IF(AND(WEEKDAY(A2469)&gt;1,WEEKDAY(A2469)&lt;7),"Wkd",TEXT(A2469,"Ddd"))&amp;"-"&amp;TEXT(A2469,"hh"),LoadTable[],6,FALSE)*T2469</f>
        <v>15139.963175039999</v>
      </c>
      <c r="V2469">
        <f t="shared" ref="V2469:W2469" si="2636">V2445</f>
        <v>2.9</v>
      </c>
      <c r="W2469">
        <f t="shared" si="2636"/>
        <v>3</v>
      </c>
      <c r="X2469" s="9">
        <v>-131.28280216667201</v>
      </c>
    </row>
    <row r="2470" spans="1:24">
      <c r="A2470" s="29">
        <f t="shared" si="2599"/>
        <v>45938.791666660683</v>
      </c>
      <c r="B2470" s="30">
        <f t="shared" si="2623"/>
        <v>5000</v>
      </c>
      <c r="C2470" s="8">
        <v>25000</v>
      </c>
      <c r="D2470" s="8">
        <v>0</v>
      </c>
      <c r="E2470" s="8">
        <v>700</v>
      </c>
      <c r="F2470" s="8">
        <v>15000</v>
      </c>
      <c r="G2470" s="30">
        <f t="shared" si="2624"/>
        <v>2400</v>
      </c>
      <c r="H2470" s="8">
        <v>25000</v>
      </c>
      <c r="I2470" s="30">
        <f t="shared" si="2625"/>
        <v>5000</v>
      </c>
      <c r="J2470" s="8">
        <v>25000</v>
      </c>
      <c r="K2470" s="30">
        <f t="shared" si="2626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VLOOKUP(VLOOKUP(DATEVALUE(TEXT(A2470,"m/d/yyyy")),FY24_Temp[],5,FALSE)&amp;TEXT(A2470,"-h"),Table6[],4,FALSE)</f>
        <v>1.449857132775443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VLOOKUP(TEXT(A2470,"yy-mm")&amp;"-"&amp;IF(AND(WEEKDAY(A2470)&gt;1,WEEKDAY(A2470)&lt;7),"Wkd",TEXT(A2470,"Ddd"))&amp;"-"&amp;TEXT(A2470,"hh"),LoadTable[],5,FALSE)*0.92</f>
        <v>308.12363999999997</v>
      </c>
      <c r="U2470" s="104">
        <f>VLOOKUP(TEXT(A2470,"yy-mm")&amp;"-"&amp;IF(AND(WEEKDAY(A2470)&gt;1,WEEKDAY(A2470)&lt;7),"Wkd",TEXT(A2470,"Ddd"))&amp;"-"&amp;TEXT(A2470,"hh"),LoadTable[],6,FALSE)*T2470</f>
        <v>15247.806449039997</v>
      </c>
      <c r="V2470">
        <f t="shared" ref="V2470:W2470" si="2637">V2446</f>
        <v>3</v>
      </c>
      <c r="W2470">
        <f t="shared" si="2637"/>
        <v>3</v>
      </c>
      <c r="X2470" s="9">
        <v>-131.36059671667201</v>
      </c>
    </row>
    <row r="2471" spans="1:24">
      <c r="A2471" s="29">
        <f t="shared" si="2599"/>
        <v>45938.833333327348</v>
      </c>
      <c r="B2471" s="30">
        <f t="shared" si="2623"/>
        <v>5000</v>
      </c>
      <c r="C2471" s="8">
        <v>25000</v>
      </c>
      <c r="D2471" s="8">
        <v>0</v>
      </c>
      <c r="E2471" s="8">
        <v>700</v>
      </c>
      <c r="F2471" s="8">
        <v>15000</v>
      </c>
      <c r="G2471" s="30">
        <f t="shared" si="2624"/>
        <v>2400</v>
      </c>
      <c r="H2471" s="8">
        <v>25000</v>
      </c>
      <c r="I2471" s="30">
        <f t="shared" si="2625"/>
        <v>5000</v>
      </c>
      <c r="J2471" s="8">
        <v>25000</v>
      </c>
      <c r="K2471" s="30">
        <f t="shared" si="2626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VLOOKUP(VLOOKUP(DATEVALUE(TEXT(A2471,"m/d/yyyy")),FY24_Temp[],5,FALSE)&amp;TEXT(A2471,"-h"),Table6[],4,FALSE)</f>
        <v>1.5270000014986311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VLOOKUP(TEXT(A2471,"yy-mm")&amp;"-"&amp;IF(AND(WEEKDAY(A2471)&gt;1,WEEKDAY(A2471)&lt;7),"Wkd",TEXT(A2471,"Ddd"))&amp;"-"&amp;TEXT(A2471,"hh"),LoadTable[],5,FALSE)*0.92</f>
        <v>308.12363999999997</v>
      </c>
      <c r="U2471" s="104">
        <f>VLOOKUP(TEXT(A2471,"yy-mm")&amp;"-"&amp;IF(AND(WEEKDAY(A2471)&gt;1,WEEKDAY(A2471)&lt;7),"Wkd",TEXT(A2471,"Ddd"))&amp;"-"&amp;TEXT(A2471,"hh"),LoadTable[],6,FALSE)*T2471</f>
        <v>15157.218098879999</v>
      </c>
      <c r="V2471">
        <f t="shared" ref="V2471:W2471" si="2638">V2447</f>
        <v>2.8</v>
      </c>
      <c r="W2471">
        <f t="shared" si="2638"/>
        <v>3.1</v>
      </c>
      <c r="X2471" s="9">
        <v>-131.438391266672</v>
      </c>
    </row>
    <row r="2472" spans="1:24">
      <c r="A2472" s="29">
        <f t="shared" si="2599"/>
        <v>45938.874999994012</v>
      </c>
      <c r="B2472" s="30">
        <f t="shared" si="2623"/>
        <v>5000</v>
      </c>
      <c r="C2472" s="8">
        <v>25000</v>
      </c>
      <c r="D2472" s="8">
        <v>0</v>
      </c>
      <c r="E2472" s="8">
        <v>700</v>
      </c>
      <c r="F2472" s="8">
        <v>15000</v>
      </c>
      <c r="G2472" s="30">
        <f t="shared" si="2624"/>
        <v>2400</v>
      </c>
      <c r="H2472" s="8">
        <v>25000</v>
      </c>
      <c r="I2472" s="30">
        <f t="shared" si="2625"/>
        <v>5000</v>
      </c>
      <c r="J2472" s="8">
        <v>25000</v>
      </c>
      <c r="K2472" s="30">
        <f t="shared" si="2626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VLOOKUP(VLOOKUP(DATEVALUE(TEXT(A2472,"m/d/yyyy")),FY24_Temp[],5,FALSE)&amp;TEXT(A2472,"-h"),Table6[],4,FALSE)</f>
        <v>1.6015714406967163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VLOOKUP(TEXT(A2472,"yy-mm")&amp;"-"&amp;IF(AND(WEEKDAY(A2472)&gt;1,WEEKDAY(A2472)&lt;7),"Wkd",TEXT(A2472,"Ddd"))&amp;"-"&amp;TEXT(A2472,"hh"),LoadTable[],5,FALSE)*0.92</f>
        <v>234.33964000000003</v>
      </c>
      <c r="U2472" s="104">
        <f>VLOOKUP(TEXT(A2472,"yy-mm")&amp;"-"&amp;IF(AND(WEEKDAY(A2472)&gt;1,WEEKDAY(A2472)&lt;7),"Wkd",TEXT(A2472,"Ddd"))&amp;"-"&amp;TEXT(A2472,"hh"),LoadTable[],6,FALSE)*T2472</f>
        <v>11344.147632760001</v>
      </c>
      <c r="V2472">
        <f t="shared" ref="V2472:W2472" si="2639">V2448</f>
        <v>3.5</v>
      </c>
      <c r="W2472">
        <f t="shared" si="2639"/>
        <v>3.1</v>
      </c>
      <c r="X2472" s="9">
        <v>-131.51618581667199</v>
      </c>
    </row>
    <row r="2473" spans="1:24">
      <c r="A2473" s="29">
        <f t="shared" si="2599"/>
        <v>45938.916666660676</v>
      </c>
      <c r="B2473" s="30">
        <f t="shared" si="2623"/>
        <v>5000</v>
      </c>
      <c r="C2473" s="8">
        <v>25000</v>
      </c>
      <c r="D2473" s="8">
        <v>0</v>
      </c>
      <c r="E2473" s="8">
        <v>700</v>
      </c>
      <c r="F2473" s="8">
        <v>15000</v>
      </c>
      <c r="G2473" s="30">
        <f t="shared" si="2624"/>
        <v>2400</v>
      </c>
      <c r="H2473" s="8">
        <v>25000</v>
      </c>
      <c r="I2473" s="30">
        <f t="shared" si="2625"/>
        <v>5000</v>
      </c>
      <c r="J2473" s="8">
        <v>25000</v>
      </c>
      <c r="K2473" s="30">
        <f t="shared" si="2626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VLOOKUP(VLOOKUP(DATEVALUE(TEXT(A2473,"m/d/yyyy")),FY24_Temp[],5,FALSE)&amp;TEXT(A2473,"-h"),Table6[],4,FALSE)</f>
        <v>1.6414285898208618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VLOOKUP(TEXT(A2473,"yy-mm")&amp;"-"&amp;IF(AND(WEEKDAY(A2473)&gt;1,WEEKDAY(A2473)&lt;7),"Wkd",TEXT(A2473,"Ddd"))&amp;"-"&amp;TEXT(A2473,"hh"),LoadTable[],5,FALSE)*0.92</f>
        <v>180.62544</v>
      </c>
      <c r="U2473" s="104">
        <f>VLOOKUP(TEXT(A2473,"yy-mm")&amp;"-"&amp;IF(AND(WEEKDAY(A2473)&gt;1,WEEKDAY(A2473)&lt;7),"Wkd",TEXT(A2473,"Ddd"))&amp;"-"&amp;TEXT(A2473,"hh"),LoadTable[],6,FALSE)*T2473</f>
        <v>8304.2546039999997</v>
      </c>
      <c r="V2473">
        <f t="shared" ref="V2473:W2473" si="2640">V2449</f>
        <v>2.9</v>
      </c>
      <c r="W2473">
        <f t="shared" si="2640"/>
        <v>3.1</v>
      </c>
      <c r="X2473" s="9">
        <v>-131.59398036667201</v>
      </c>
    </row>
    <row r="2474" spans="1:24">
      <c r="A2474" s="29">
        <f t="shared" si="2599"/>
        <v>45938.95833332734</v>
      </c>
      <c r="B2474" s="30">
        <f t="shared" si="2623"/>
        <v>5000</v>
      </c>
      <c r="C2474" s="8">
        <v>25000</v>
      </c>
      <c r="D2474" s="8">
        <v>0</v>
      </c>
      <c r="E2474" s="8">
        <v>700</v>
      </c>
      <c r="F2474" s="8">
        <v>15000</v>
      </c>
      <c r="G2474" s="30">
        <f t="shared" si="2624"/>
        <v>2400</v>
      </c>
      <c r="H2474" s="8">
        <v>25000</v>
      </c>
      <c r="I2474" s="30">
        <f t="shared" si="2625"/>
        <v>5000</v>
      </c>
      <c r="J2474" s="8">
        <v>25000</v>
      </c>
      <c r="K2474" s="30">
        <f t="shared" si="2626"/>
        <v>5000</v>
      </c>
      <c r="L2474" s="8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9">
        <v>13.5</v>
      </c>
      <c r="P2474" s="9">
        <v>19.5</v>
      </c>
      <c r="Q2474" s="79">
        <f>VLOOKUP(VLOOKUP(DATEVALUE(TEXT(A2474,"m/d/yyyy")),FY24_Temp[],5,FALSE)&amp;TEXT(A2474,"-h"),Table6[],4,FALSE)</f>
        <v>1.6130000182560511</v>
      </c>
      <c r="R2474">
        <v>10</v>
      </c>
      <c r="S2474">
        <v>1000</v>
      </c>
      <c r="T2474" s="5">
        <f>VLOOKUP(TEXT(A2474,"yy-mm")&amp;"-"&amp;IF(AND(WEEKDAY(A2474)&gt;1,WEEKDAY(A2474)&lt;7),"Wkd",TEXT(A2474,"Ddd"))&amp;"-"&amp;TEXT(A2474,"hh"),LoadTable[],5,FALSE)*0.92</f>
        <v>180.62544</v>
      </c>
      <c r="U2474" s="104">
        <f>VLOOKUP(TEXT(A2474,"yy-mm")&amp;"-"&amp;IF(AND(WEEKDAY(A2474)&gt;1,WEEKDAY(A2474)&lt;7),"Wkd",TEXT(A2474,"Ddd"))&amp;"-"&amp;TEXT(A2474,"hh"),LoadTable[],6,FALSE)*T2474</f>
        <v>8217.1931419200009</v>
      </c>
      <c r="V2474">
        <f t="shared" ref="V2474:W2474" si="2641">V2450</f>
        <v>3.6</v>
      </c>
      <c r="W2474">
        <f t="shared" si="2641"/>
        <v>3.1</v>
      </c>
      <c r="X2474" s="9">
        <v>-131.67177491667201</v>
      </c>
    </row>
    <row r="2475" spans="1:24">
      <c r="A2475" s="29">
        <f t="shared" si="2599"/>
        <v>45938.999999994005</v>
      </c>
      <c r="B2475" s="30">
        <f t="shared" si="2623"/>
        <v>5000</v>
      </c>
      <c r="C2475" s="8">
        <v>25000</v>
      </c>
      <c r="D2475" s="8">
        <v>0</v>
      </c>
      <c r="E2475" s="8">
        <v>700</v>
      </c>
      <c r="F2475" s="8">
        <v>15000</v>
      </c>
      <c r="G2475" s="30">
        <f t="shared" si="2624"/>
        <v>2400</v>
      </c>
      <c r="H2475" s="8">
        <v>25000</v>
      </c>
      <c r="I2475" s="30">
        <f t="shared" si="2625"/>
        <v>5000</v>
      </c>
      <c r="J2475" s="8">
        <v>25000</v>
      </c>
      <c r="K2475" s="30">
        <f t="shared" si="2626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VLOOKUP(VLOOKUP(DATEVALUE(TEXT(A2475,"m/d/yyyy")),FY24_Temp[],5,FALSE)&amp;TEXT(A2475,"-h"),Table6[],4,FALSE)</f>
        <v>1.6792856965746199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VLOOKUP(TEXT(A2475,"yy-mm")&amp;"-"&amp;IF(AND(WEEKDAY(A2475)&gt;1,WEEKDAY(A2475)&lt;7),"Wkd",TEXT(A2475,"Ddd"))&amp;"-"&amp;TEXT(A2475,"hh"),LoadTable[],5,FALSE)*0.92</f>
        <v>180.62544</v>
      </c>
      <c r="U2475" s="104">
        <f>VLOOKUP(TEXT(A2475,"yy-mm")&amp;"-"&amp;IF(AND(WEEKDAY(A2475)&gt;1,WEEKDAY(A2475)&lt;7),"Wkd",TEXT(A2475,"Ddd"))&amp;"-"&amp;TEXT(A2475,"hh"),LoadTable[],6,FALSE)*T2475</f>
        <v>8132.4798105600003</v>
      </c>
      <c r="V2475">
        <f t="shared" ref="V2475:W2475" si="2642">V2451</f>
        <v>3</v>
      </c>
      <c r="W2475">
        <f t="shared" si="2642"/>
        <v>3.2</v>
      </c>
      <c r="X2475" s="9">
        <v>-131.749569466672</v>
      </c>
    </row>
    <row r="2476" spans="1:24">
      <c r="A2476" s="29">
        <f t="shared" si="2599"/>
        <v>45939.041666660669</v>
      </c>
      <c r="B2476" s="30">
        <f t="shared" si="2623"/>
        <v>5000</v>
      </c>
      <c r="C2476" s="8">
        <v>25000</v>
      </c>
      <c r="D2476" s="8">
        <v>0</v>
      </c>
      <c r="E2476" s="8">
        <v>700</v>
      </c>
      <c r="F2476" s="8">
        <v>15000</v>
      </c>
      <c r="G2476" s="30">
        <f t="shared" si="2624"/>
        <v>2400</v>
      </c>
      <c r="H2476" s="8">
        <v>25000</v>
      </c>
      <c r="I2476" s="30">
        <f t="shared" si="2625"/>
        <v>5000</v>
      </c>
      <c r="J2476" s="8">
        <v>25000</v>
      </c>
      <c r="K2476" s="30">
        <f t="shared" si="2626"/>
        <v>5000</v>
      </c>
      <c r="L2476" s="8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9">
        <v>13.5</v>
      </c>
      <c r="P2476" s="9">
        <v>19.5</v>
      </c>
      <c r="Q2476" s="79">
        <f>VLOOKUP(VLOOKUP(DATEVALUE(TEXT(A2476,"m/d/yyyy")),FY24_Temp[],5,FALSE)&amp;TEXT(A2476,"-h"),Table6[],4,FALSE)</f>
        <v>1.6901428699493408</v>
      </c>
      <c r="R2476">
        <v>10</v>
      </c>
      <c r="S2476">
        <v>1000</v>
      </c>
      <c r="T2476" s="5">
        <f>VLOOKUP(TEXT(A2476,"yy-mm")&amp;"-"&amp;IF(AND(WEEKDAY(A2476)&gt;1,WEEKDAY(A2476)&lt;7),"Wkd",TEXT(A2476,"Ddd"))&amp;"-"&amp;TEXT(A2476,"hh"),LoadTable[],5,FALSE)*0.92</f>
        <v>180.62544</v>
      </c>
      <c r="U2476" s="104">
        <f>VLOOKUP(TEXT(A2476,"yy-mm")&amp;"-"&amp;IF(AND(WEEKDAY(A2476)&gt;1,WEEKDAY(A2476)&lt;7),"Wkd",TEXT(A2476,"Ddd"))&amp;"-"&amp;TEXT(A2476,"hh"),LoadTable[],6,FALSE)*T2476</f>
        <v>8124.71291664</v>
      </c>
      <c r="V2476">
        <f t="shared" ref="V2476:W2476" si="2643">V2452</f>
        <v>2.6</v>
      </c>
      <c r="W2476">
        <f t="shared" si="2643"/>
        <v>3.2</v>
      </c>
      <c r="X2476" s="9">
        <v>-131.82736401667199</v>
      </c>
    </row>
    <row r="2477" spans="1:24">
      <c r="A2477" s="29">
        <f t="shared" si="2599"/>
        <v>45939.083333327333</v>
      </c>
      <c r="B2477" s="30">
        <f t="shared" si="2623"/>
        <v>5000</v>
      </c>
      <c r="C2477" s="8">
        <v>25000</v>
      </c>
      <c r="D2477" s="8">
        <v>0</v>
      </c>
      <c r="E2477" s="8">
        <v>700</v>
      </c>
      <c r="F2477" s="8">
        <v>15000</v>
      </c>
      <c r="G2477" s="30">
        <f t="shared" si="2624"/>
        <v>2400</v>
      </c>
      <c r="H2477" s="8">
        <v>25000</v>
      </c>
      <c r="I2477" s="30">
        <f t="shared" si="2625"/>
        <v>5000</v>
      </c>
      <c r="J2477" s="8">
        <v>25000</v>
      </c>
      <c r="K2477" s="30">
        <f t="shared" si="2626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VLOOKUP(VLOOKUP(DATEVALUE(TEXT(A2477,"m/d/yyyy")),FY24_Temp[],5,FALSE)&amp;TEXT(A2477,"-h"),Table6[],4,FALSE)</f>
        <v>1.6235714299338204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VLOOKUP(TEXT(A2477,"yy-mm")&amp;"-"&amp;IF(AND(WEEKDAY(A2477)&gt;1,WEEKDAY(A2477)&lt;7),"Wkd",TEXT(A2477,"Ddd"))&amp;"-"&amp;TEXT(A2477,"hh"),LoadTable[],5,FALSE)*0.92</f>
        <v>180.62544</v>
      </c>
      <c r="U2477" s="104">
        <f>VLOOKUP(TEXT(A2477,"yy-mm")&amp;"-"&amp;IF(AND(WEEKDAY(A2477)&gt;1,WEEKDAY(A2477)&lt;7),"Wkd",TEXT(A2477,"Ddd"))&amp;"-"&amp;TEXT(A2477,"hh"),LoadTable[],6,FALSE)*T2477</f>
        <v>8120.1972806400008</v>
      </c>
      <c r="V2477">
        <f t="shared" ref="V2477:W2477" si="2644">V2453</f>
        <v>2.8</v>
      </c>
      <c r="W2477">
        <f t="shared" si="2644"/>
        <v>3.2</v>
      </c>
      <c r="X2477" s="9">
        <v>-131.90515856667199</v>
      </c>
    </row>
    <row r="2478" spans="1:24">
      <c r="A2478" s="29">
        <f t="shared" si="2599"/>
        <v>45939.124999993997</v>
      </c>
      <c r="B2478" s="30">
        <f t="shared" si="2623"/>
        <v>5000</v>
      </c>
      <c r="C2478" s="8">
        <v>25000</v>
      </c>
      <c r="D2478" s="8">
        <v>0</v>
      </c>
      <c r="E2478" s="8">
        <v>700</v>
      </c>
      <c r="F2478" s="8">
        <v>15000</v>
      </c>
      <c r="G2478" s="30">
        <f t="shared" si="2624"/>
        <v>2400</v>
      </c>
      <c r="H2478" s="8">
        <v>25000</v>
      </c>
      <c r="I2478" s="30">
        <f t="shared" si="2625"/>
        <v>5000</v>
      </c>
      <c r="J2478" s="8">
        <v>25000</v>
      </c>
      <c r="K2478" s="30">
        <f t="shared" si="2626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VLOOKUP(VLOOKUP(DATEVALUE(TEXT(A2478,"m/d/yyyy")),FY24_Temp[],5,FALSE)&amp;TEXT(A2478,"-h"),Table6[],4,FALSE)</f>
        <v>1.5127142838069372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VLOOKUP(TEXT(A2478,"yy-mm")&amp;"-"&amp;IF(AND(WEEKDAY(A2478)&gt;1,WEEKDAY(A2478)&lt;7),"Wkd",TEXT(A2478,"Ddd"))&amp;"-"&amp;TEXT(A2478,"hh"),LoadTable[],5,FALSE)*0.92</f>
        <v>180.62544</v>
      </c>
      <c r="U2478" s="104">
        <f>VLOOKUP(TEXT(A2478,"yy-mm")&amp;"-"&amp;IF(AND(WEEKDAY(A2478)&gt;1,WEEKDAY(A2478)&lt;7),"Wkd",TEXT(A2478,"Ddd"))&amp;"-"&amp;TEXT(A2478,"hh"),LoadTable[],6,FALSE)*T2478</f>
        <v>8141.3304571199997</v>
      </c>
      <c r="V2478">
        <f t="shared" ref="V2478:W2478" si="2645">V2454</f>
        <v>2.7</v>
      </c>
      <c r="W2478">
        <f t="shared" si="2645"/>
        <v>3.2</v>
      </c>
      <c r="X2478" s="9">
        <v>-131.98295311667201</v>
      </c>
    </row>
    <row r="2479" spans="1:24">
      <c r="A2479" s="29">
        <f t="shared" si="2599"/>
        <v>45939.166666660662</v>
      </c>
      <c r="B2479" s="30">
        <f t="shared" si="2623"/>
        <v>5000</v>
      </c>
      <c r="C2479" s="8">
        <v>25000</v>
      </c>
      <c r="D2479" s="8">
        <v>0</v>
      </c>
      <c r="E2479" s="8">
        <v>700</v>
      </c>
      <c r="F2479" s="8">
        <v>15000</v>
      </c>
      <c r="G2479" s="30">
        <f t="shared" si="2624"/>
        <v>2400</v>
      </c>
      <c r="H2479" s="8">
        <v>25000</v>
      </c>
      <c r="I2479" s="30">
        <f t="shared" si="2625"/>
        <v>5000</v>
      </c>
      <c r="J2479" s="8">
        <v>25000</v>
      </c>
      <c r="K2479" s="30">
        <f t="shared" si="2626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VLOOKUP(VLOOKUP(DATEVALUE(TEXT(A2479,"m/d/yyyy")),FY24_Temp[],5,FALSE)&amp;TEXT(A2479,"-h"),Table6[],4,FALSE)</f>
        <v>1.4104285751070296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VLOOKUP(TEXT(A2479,"yy-mm")&amp;"-"&amp;IF(AND(WEEKDAY(A2479)&gt;1,WEEKDAY(A2479)&lt;7),"Wkd",TEXT(A2479,"Ddd"))&amp;"-"&amp;TEXT(A2479,"hh"),LoadTable[],5,FALSE)*0.92</f>
        <v>180.62544</v>
      </c>
      <c r="U2479" s="104">
        <f>VLOOKUP(TEXT(A2479,"yy-mm")&amp;"-"&amp;IF(AND(WEEKDAY(A2479)&gt;1,WEEKDAY(A2479)&lt;7),"Wkd",TEXT(A2479,"Ddd"))&amp;"-"&amp;TEXT(A2479,"hh"),LoadTable[],6,FALSE)*T2479</f>
        <v>8184.86118816</v>
      </c>
      <c r="V2479">
        <f t="shared" ref="V2479:W2479" si="2646">V2455</f>
        <v>3</v>
      </c>
      <c r="W2479">
        <f t="shared" si="2646"/>
        <v>3.1</v>
      </c>
      <c r="X2479" s="9">
        <v>-132.060747666672</v>
      </c>
    </row>
    <row r="2480" spans="1:24">
      <c r="A2480" s="29">
        <f t="shared" si="2599"/>
        <v>45939.208333327326</v>
      </c>
      <c r="B2480" s="30">
        <f t="shared" si="2623"/>
        <v>5000</v>
      </c>
      <c r="C2480" s="8">
        <v>25000</v>
      </c>
      <c r="D2480" s="8">
        <v>0</v>
      </c>
      <c r="E2480" s="8">
        <v>700</v>
      </c>
      <c r="F2480" s="8">
        <v>15000</v>
      </c>
      <c r="G2480" s="30">
        <f t="shared" si="2624"/>
        <v>2400</v>
      </c>
      <c r="H2480" s="8">
        <v>25000</v>
      </c>
      <c r="I2480" s="30">
        <f t="shared" si="2625"/>
        <v>5000</v>
      </c>
      <c r="J2480" s="8">
        <v>25000</v>
      </c>
      <c r="K2480" s="30">
        <f t="shared" si="2626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VLOOKUP(VLOOKUP(DATEVALUE(TEXT(A2480,"m/d/yyyy")),FY24_Temp[],5,FALSE)&amp;TEXT(A2480,"-h"),Table6[],4,FALSE)</f>
        <v>1.3584285974502563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VLOOKUP(TEXT(A2480,"yy-mm")&amp;"-"&amp;IF(AND(WEEKDAY(A2480)&gt;1,WEEKDAY(A2480)&lt;7),"Wkd",TEXT(A2480,"Ddd"))&amp;"-"&amp;TEXT(A2480,"hh"),LoadTable[],5,FALSE)*0.92</f>
        <v>275.09195999999997</v>
      </c>
      <c r="U2480" s="104">
        <f>VLOOKUP(TEXT(A2480,"yy-mm")&amp;"-"&amp;IF(AND(WEEKDAY(A2480)&gt;1,WEEKDAY(A2480)&lt;7),"Wkd",TEXT(A2480,"Ddd"))&amp;"-"&amp;TEXT(A2480,"hh"),LoadTable[],6,FALSE)*T2480</f>
        <v>12729.880448999998</v>
      </c>
      <c r="V2480">
        <f t="shared" ref="V2480:W2480" si="2647">V2456</f>
        <v>2.9</v>
      </c>
      <c r="W2480">
        <f t="shared" si="2647"/>
        <v>3.1</v>
      </c>
      <c r="X2480" s="9">
        <v>-132.13854221667199</v>
      </c>
    </row>
    <row r="2481" spans="1:24">
      <c r="A2481" s="29">
        <f t="shared" si="2599"/>
        <v>45939.24999999399</v>
      </c>
      <c r="B2481" s="30">
        <f t="shared" si="2623"/>
        <v>8000</v>
      </c>
      <c r="C2481" s="8">
        <v>25000</v>
      </c>
      <c r="D2481" s="8">
        <v>0</v>
      </c>
      <c r="E2481" s="8">
        <v>700</v>
      </c>
      <c r="F2481" s="8">
        <v>15000</v>
      </c>
      <c r="G2481" s="30">
        <f t="shared" si="2624"/>
        <v>2400</v>
      </c>
      <c r="H2481" s="8">
        <v>25000</v>
      </c>
      <c r="I2481" s="30">
        <f t="shared" si="2625"/>
        <v>8000</v>
      </c>
      <c r="J2481" s="8">
        <v>25000</v>
      </c>
      <c r="K2481" s="30">
        <f t="shared" si="2626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VLOOKUP(VLOOKUP(DATEVALUE(TEXT(A2481,"m/d/yyyy")),FY24_Temp[],5,FALSE)&amp;TEXT(A2481,"-h"),Table6[],4,FALSE)</f>
        <v>1.2088571446282523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VLOOKUP(TEXT(A2481,"yy-mm")&amp;"-"&amp;IF(AND(WEEKDAY(A2481)&gt;1,WEEKDAY(A2481)&lt;7),"Wkd",TEXT(A2481,"Ddd"))&amp;"-"&amp;TEXT(A2481,"hh"),LoadTable[],5,FALSE)*0.92</f>
        <v>275.09195999999997</v>
      </c>
      <c r="U2481" s="104">
        <f>VLOOKUP(TEXT(A2481,"yy-mm")&amp;"-"&amp;IF(AND(WEEKDAY(A2481)&gt;1,WEEKDAY(A2481)&lt;7),"Wkd",TEXT(A2481,"Ddd"))&amp;"-"&amp;TEXT(A2481,"hh"),LoadTable[],6,FALSE)*T2481</f>
        <v>13284.465840359997</v>
      </c>
      <c r="V2481">
        <f t="shared" ref="V2481:W2481" si="2648">V2457</f>
        <v>2.5</v>
      </c>
      <c r="W2481">
        <f t="shared" si="2648"/>
        <v>3.1</v>
      </c>
      <c r="X2481" s="9">
        <v>-132.21633676667199</v>
      </c>
    </row>
    <row r="2482" spans="1:24">
      <c r="A2482" s="29">
        <f t="shared" si="2599"/>
        <v>45939.291666660654</v>
      </c>
      <c r="B2482" s="30">
        <f t="shared" si="2623"/>
        <v>8000</v>
      </c>
      <c r="C2482" s="8">
        <v>25000</v>
      </c>
      <c r="D2482" s="8">
        <v>0</v>
      </c>
      <c r="E2482" s="8">
        <v>700</v>
      </c>
      <c r="F2482" s="8">
        <v>15000</v>
      </c>
      <c r="G2482" s="30">
        <f t="shared" si="2624"/>
        <v>2400</v>
      </c>
      <c r="H2482" s="8">
        <v>25000</v>
      </c>
      <c r="I2482" s="30">
        <f t="shared" si="2625"/>
        <v>8000</v>
      </c>
      <c r="J2482" s="8">
        <v>25000</v>
      </c>
      <c r="K2482" s="30">
        <f t="shared" si="2626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VLOOKUP(VLOOKUP(DATEVALUE(TEXT(A2482,"m/d/yyyy")),FY24_Temp[],5,FALSE)&amp;TEXT(A2482,"-h"),Table6[],4,FALSE)</f>
        <v>1.0575714196477617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VLOOKUP(TEXT(A2482,"yy-mm")&amp;"-"&amp;IF(AND(WEEKDAY(A2482)&gt;1,WEEKDAY(A2482)&lt;7),"Wkd",TEXT(A2482,"Ddd"))&amp;"-"&amp;TEXT(A2482,"hh"),LoadTable[],5,FALSE)*0.92</f>
        <v>236.10788000000002</v>
      </c>
      <c r="U2482" s="104">
        <f>VLOOKUP(TEXT(A2482,"yy-mm")&amp;"-"&amp;IF(AND(WEEKDAY(A2482)&gt;1,WEEKDAY(A2482)&lt;7),"Wkd",TEXT(A2482,"Ddd"))&amp;"-"&amp;TEXT(A2482,"hh"),LoadTable[],6,FALSE)*T2482</f>
        <v>11438.48235448</v>
      </c>
      <c r="V2482">
        <f t="shared" ref="V2482:W2482" si="2649">V2458</f>
        <v>2.5</v>
      </c>
      <c r="W2482">
        <f t="shared" si="2649"/>
        <v>3.1</v>
      </c>
      <c r="X2482" s="9">
        <v>-132.29413131667201</v>
      </c>
    </row>
    <row r="2483" spans="1:24">
      <c r="A2483" s="29">
        <f t="shared" si="2599"/>
        <v>45939.333333327319</v>
      </c>
      <c r="B2483" s="30">
        <f t="shared" si="2623"/>
        <v>8000</v>
      </c>
      <c r="C2483" s="8">
        <v>25000</v>
      </c>
      <c r="D2483" s="8">
        <v>0</v>
      </c>
      <c r="E2483" s="8">
        <v>700</v>
      </c>
      <c r="F2483" s="8">
        <v>15000</v>
      </c>
      <c r="G2483" s="30">
        <f t="shared" si="2624"/>
        <v>2400</v>
      </c>
      <c r="H2483" s="8">
        <v>25000</v>
      </c>
      <c r="I2483" s="30">
        <f t="shared" si="2625"/>
        <v>8000</v>
      </c>
      <c r="J2483" s="8">
        <v>25000</v>
      </c>
      <c r="K2483" s="30">
        <f t="shared" si="2626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VLOOKUP(VLOOKUP(DATEVALUE(TEXT(A2483,"m/d/yyyy")),FY24_Temp[],5,FALSE)&amp;TEXT(A2483,"-h"),Table6[],4,FALSE)</f>
        <v>0.95157144750867573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VLOOKUP(TEXT(A2483,"yy-mm")&amp;"-"&amp;IF(AND(WEEKDAY(A2483)&gt;1,WEEKDAY(A2483)&lt;7),"Wkd",TEXT(A2483,"Ddd"))&amp;"-"&amp;TEXT(A2483,"hh"),LoadTable[],5,FALSE)*0.92</f>
        <v>236.10788000000002</v>
      </c>
      <c r="U2483" s="104">
        <f>VLOOKUP(TEXT(A2483,"yy-mm")&amp;"-"&amp;IF(AND(WEEKDAY(A2483)&gt;1,WEEKDAY(A2483)&lt;7),"Wkd",TEXT(A2483,"Ddd"))&amp;"-"&amp;TEXT(A2483,"hh"),LoadTable[],6,FALSE)*T2483</f>
        <v>10919.281126360002</v>
      </c>
      <c r="V2483">
        <f t="shared" ref="V2483:W2483" si="2650">V2459</f>
        <v>3.2</v>
      </c>
      <c r="W2483">
        <f t="shared" si="2650"/>
        <v>3</v>
      </c>
      <c r="X2483" s="9">
        <v>-132.371925866672</v>
      </c>
    </row>
    <row r="2484" spans="1:24">
      <c r="A2484" s="29">
        <f t="shared" si="2599"/>
        <v>45939.374999993983</v>
      </c>
      <c r="B2484" s="30">
        <f t="shared" si="2623"/>
        <v>8000</v>
      </c>
      <c r="C2484" s="8">
        <v>25000</v>
      </c>
      <c r="D2484" s="8">
        <v>0</v>
      </c>
      <c r="E2484" s="8">
        <v>700</v>
      </c>
      <c r="F2484" s="8">
        <v>15000</v>
      </c>
      <c r="G2484" s="30">
        <f t="shared" si="2624"/>
        <v>2400</v>
      </c>
      <c r="H2484" s="8">
        <v>25000</v>
      </c>
      <c r="I2484" s="30">
        <f t="shared" si="2625"/>
        <v>8000</v>
      </c>
      <c r="J2484" s="8">
        <v>25000</v>
      </c>
      <c r="K2484" s="30">
        <f t="shared" si="2626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VLOOKUP(VLOOKUP(DATEVALUE(TEXT(A2484,"m/d/yyyy")),FY24_Temp[],5,FALSE)&amp;TEXT(A2484,"-h"),Table6[],4,FALSE)</f>
        <v>0.83871427604130333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VLOOKUP(TEXT(A2484,"yy-mm")&amp;"-"&amp;IF(AND(WEEKDAY(A2484)&gt;1,WEEKDAY(A2484)&lt;7),"Wkd",TEXT(A2484,"Ddd"))&amp;"-"&amp;TEXT(A2484,"hh"),LoadTable[],5,FALSE)*0.92</f>
        <v>236.10788000000002</v>
      </c>
      <c r="U2484" s="104">
        <f>VLOOKUP(TEXT(A2484,"yy-mm")&amp;"-"&amp;IF(AND(WEEKDAY(A2484)&gt;1,WEEKDAY(A2484)&lt;7),"Wkd",TEXT(A2484,"Ddd"))&amp;"-"&amp;TEXT(A2484,"hh"),LoadTable[],6,FALSE)*T2484</f>
        <v>10592.271712560001</v>
      </c>
      <c r="V2484">
        <f t="shared" ref="V2484:W2484" si="2651">V2460</f>
        <v>2.9</v>
      </c>
      <c r="W2484">
        <f t="shared" si="2651"/>
        <v>3</v>
      </c>
      <c r="X2484" s="9">
        <v>-132.44972041667199</v>
      </c>
    </row>
    <row r="2485" spans="1:24">
      <c r="A2485" s="29">
        <f t="shared" si="2599"/>
        <v>45939.416666660647</v>
      </c>
      <c r="B2485" s="30">
        <f t="shared" si="2623"/>
        <v>8000</v>
      </c>
      <c r="C2485" s="8">
        <v>25000</v>
      </c>
      <c r="D2485" s="8">
        <v>0</v>
      </c>
      <c r="E2485" s="8">
        <v>700</v>
      </c>
      <c r="F2485" s="8">
        <v>15000</v>
      </c>
      <c r="G2485" s="30">
        <f t="shared" si="2624"/>
        <v>2400</v>
      </c>
      <c r="H2485" s="8">
        <v>25000</v>
      </c>
      <c r="I2485" s="30">
        <f t="shared" si="2625"/>
        <v>8000</v>
      </c>
      <c r="J2485" s="8">
        <v>25000</v>
      </c>
      <c r="K2485" s="30">
        <f t="shared" si="2626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VLOOKUP(VLOOKUP(DATEVALUE(TEXT(A2485,"m/d/yyyy")),FY24_Temp[],5,FALSE)&amp;TEXT(A2485,"-h"),Table6[],4,FALSE)</f>
        <v>0.72357143674577984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VLOOKUP(TEXT(A2485,"yy-mm")&amp;"-"&amp;IF(AND(WEEKDAY(A2485)&gt;1,WEEKDAY(A2485)&lt;7),"Wkd",TEXT(A2485,"Ddd"))&amp;"-"&amp;TEXT(A2485,"hh"),LoadTable[],5,FALSE)*0.92</f>
        <v>236.10788000000002</v>
      </c>
      <c r="U2485" s="104">
        <f>VLOOKUP(TEXT(A2485,"yy-mm")&amp;"-"&amp;IF(AND(WEEKDAY(A2485)&gt;1,WEEKDAY(A2485)&lt;7),"Wkd",TEXT(A2485,"Ddd"))&amp;"-"&amp;TEXT(A2485,"hh"),LoadTable[],6,FALSE)*T2485</f>
        <v>10565.591522120001</v>
      </c>
      <c r="V2485">
        <f t="shared" ref="V2485:W2485" si="2652">V2461</f>
        <v>2.9</v>
      </c>
      <c r="W2485">
        <f t="shared" si="2652"/>
        <v>3</v>
      </c>
      <c r="X2485" s="9">
        <v>-132.52751496667199</v>
      </c>
    </row>
    <row r="2486" spans="1:24">
      <c r="A2486" s="29">
        <f t="shared" si="2599"/>
        <v>45939.458333327311</v>
      </c>
      <c r="B2486" s="30">
        <f t="shared" si="2623"/>
        <v>8000</v>
      </c>
      <c r="C2486" s="8">
        <v>25000</v>
      </c>
      <c r="D2486" s="8">
        <v>0</v>
      </c>
      <c r="E2486" s="8">
        <v>700</v>
      </c>
      <c r="F2486" s="8">
        <v>15000</v>
      </c>
      <c r="G2486" s="30">
        <f t="shared" si="2624"/>
        <v>2400</v>
      </c>
      <c r="H2486" s="8">
        <v>25000</v>
      </c>
      <c r="I2486" s="30">
        <f t="shared" si="2625"/>
        <v>8000</v>
      </c>
      <c r="J2486" s="8">
        <v>25000</v>
      </c>
      <c r="K2486" s="30">
        <f t="shared" si="2626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VLOOKUP(VLOOKUP(DATEVALUE(TEXT(A2486,"m/d/yyyy")),FY24_Temp[],5,FALSE)&amp;TEXT(A2486,"-h"),Table6[],4,FALSE)</f>
        <v>0.61371428200176781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VLOOKUP(TEXT(A2486,"yy-mm")&amp;"-"&amp;IF(AND(WEEKDAY(A2486)&gt;1,WEEKDAY(A2486)&lt;7),"Wkd",TEXT(A2486,"Ddd"))&amp;"-"&amp;TEXT(A2486,"hh"),LoadTable[],5,FALSE)*0.92</f>
        <v>236.10788000000002</v>
      </c>
      <c r="U2486" s="104">
        <f>VLOOKUP(TEXT(A2486,"yy-mm")&amp;"-"&amp;IF(AND(WEEKDAY(A2486)&gt;1,WEEKDAY(A2486)&lt;7),"Wkd",TEXT(A2486,"Ddd"))&amp;"-"&amp;TEXT(A2486,"hh"),LoadTable[],6,FALSE)*T2486</f>
        <v>10548.355646880002</v>
      </c>
      <c r="V2486">
        <f t="shared" ref="V2486:W2486" si="2653">V2462</f>
        <v>3.4</v>
      </c>
      <c r="W2486">
        <f t="shared" si="2653"/>
        <v>3</v>
      </c>
      <c r="X2486" s="9">
        <v>-132.60530951667201</v>
      </c>
    </row>
    <row r="2487" spans="1:24">
      <c r="A2487" s="29">
        <f t="shared" si="2599"/>
        <v>45939.499999993976</v>
      </c>
      <c r="B2487" s="30">
        <f t="shared" si="2623"/>
        <v>8000</v>
      </c>
      <c r="C2487" s="8">
        <v>25000</v>
      </c>
      <c r="D2487" s="8">
        <v>0</v>
      </c>
      <c r="E2487" s="8">
        <v>700</v>
      </c>
      <c r="F2487" s="8">
        <v>15000</v>
      </c>
      <c r="G2487" s="30">
        <f t="shared" si="2624"/>
        <v>2400</v>
      </c>
      <c r="H2487" s="8">
        <v>25000</v>
      </c>
      <c r="I2487" s="30">
        <f t="shared" si="2625"/>
        <v>8000</v>
      </c>
      <c r="J2487" s="8">
        <v>25000</v>
      </c>
      <c r="K2487" s="30">
        <f t="shared" si="2626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VLOOKUP(VLOOKUP(DATEVALUE(TEXT(A2487,"m/d/yyyy")),FY24_Temp[],5,FALSE)&amp;TEXT(A2487,"-h"),Table6[],4,FALSE)</f>
        <v>0.48757142680031912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VLOOKUP(TEXT(A2487,"yy-mm")&amp;"-"&amp;IF(AND(WEEKDAY(A2487)&gt;1,WEEKDAY(A2487)&lt;7),"Wkd",TEXT(A2487,"Ddd"))&amp;"-"&amp;TEXT(A2487,"hh"),LoadTable[],5,FALSE)*0.92</f>
        <v>236.10788000000002</v>
      </c>
      <c r="U2487" s="104">
        <f>VLOOKUP(TEXT(A2487,"yy-mm")&amp;"-"&amp;IF(AND(WEEKDAY(A2487)&gt;1,WEEKDAY(A2487)&lt;7),"Wkd",TEXT(A2487,"Ddd"))&amp;"-"&amp;TEXT(A2487,"hh"),LoadTable[],6,FALSE)*T2487</f>
        <v>10540.327978960002</v>
      </c>
      <c r="V2487">
        <f t="shared" ref="V2487:W2487" si="2654">V2463</f>
        <v>3.1</v>
      </c>
      <c r="W2487">
        <f t="shared" si="2654"/>
        <v>2.9</v>
      </c>
      <c r="X2487" s="9">
        <v>-132.683104066672</v>
      </c>
    </row>
    <row r="2488" spans="1:24">
      <c r="A2488" s="29">
        <f t="shared" si="2599"/>
        <v>45939.54166666064</v>
      </c>
      <c r="B2488" s="30">
        <f t="shared" si="2623"/>
        <v>8000</v>
      </c>
      <c r="C2488" s="8">
        <v>25000</v>
      </c>
      <c r="D2488" s="8">
        <v>0</v>
      </c>
      <c r="E2488" s="8">
        <v>700</v>
      </c>
      <c r="F2488" s="8">
        <v>15000</v>
      </c>
      <c r="G2488" s="30">
        <f t="shared" si="2624"/>
        <v>2400</v>
      </c>
      <c r="H2488" s="8">
        <v>25000</v>
      </c>
      <c r="I2488" s="30">
        <f t="shared" si="2625"/>
        <v>8000</v>
      </c>
      <c r="J2488" s="8">
        <v>25000</v>
      </c>
      <c r="K2488" s="30">
        <f t="shared" si="2626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VLOOKUP(VLOOKUP(DATEVALUE(TEXT(A2488,"m/d/yyyy")),FY24_Temp[],5,FALSE)&amp;TEXT(A2488,"-h"),Table6[],4,FALSE)</f>
        <v>0.37585713820798056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VLOOKUP(TEXT(A2488,"yy-mm")&amp;"-"&amp;IF(AND(WEEKDAY(A2488)&gt;1,WEEKDAY(A2488)&lt;7),"Wkd",TEXT(A2488,"Ddd"))&amp;"-"&amp;TEXT(A2488,"hh"),LoadTable[],5,FALSE)*0.92</f>
        <v>236.10788000000002</v>
      </c>
      <c r="U2488" s="104">
        <f>VLOOKUP(TEXT(A2488,"yy-mm")&amp;"-"&amp;IF(AND(WEEKDAY(A2488)&gt;1,WEEKDAY(A2488)&lt;7),"Wkd",TEXT(A2488,"Ddd"))&amp;"-"&amp;TEXT(A2488,"hh"),LoadTable[],6,FALSE)*T2488</f>
        <v>10541.50851836</v>
      </c>
      <c r="V2488">
        <f t="shared" ref="V2488:W2488" si="2655">V2464</f>
        <v>3.2</v>
      </c>
      <c r="W2488">
        <f t="shared" si="2655"/>
        <v>2.9</v>
      </c>
      <c r="X2488" s="9">
        <v>-132.76089861667199</v>
      </c>
    </row>
    <row r="2489" spans="1:24">
      <c r="A2489" s="29">
        <f t="shared" si="2599"/>
        <v>45939.583333327304</v>
      </c>
      <c r="B2489" s="30">
        <f t="shared" si="2623"/>
        <v>8000</v>
      </c>
      <c r="C2489" s="8">
        <v>25000</v>
      </c>
      <c r="D2489" s="8">
        <v>0</v>
      </c>
      <c r="E2489" s="8">
        <v>700</v>
      </c>
      <c r="F2489" s="8">
        <v>15000</v>
      </c>
      <c r="G2489" s="30">
        <f t="shared" si="2624"/>
        <v>2400</v>
      </c>
      <c r="H2489" s="8">
        <v>25000</v>
      </c>
      <c r="I2489" s="30">
        <f t="shared" si="2625"/>
        <v>8000</v>
      </c>
      <c r="J2489" s="8">
        <v>25000</v>
      </c>
      <c r="K2489" s="30">
        <f t="shared" si="2626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VLOOKUP(VLOOKUP(DATEVALUE(TEXT(A2489,"m/d/yyyy")),FY24_Temp[],5,FALSE)&amp;TEXT(A2489,"-h"),Table6[],4,FALSE)</f>
        <v>0.32000000349112917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VLOOKUP(TEXT(A2489,"yy-mm")&amp;"-"&amp;IF(AND(WEEKDAY(A2489)&gt;1,WEEKDAY(A2489)&lt;7),"Wkd",TEXT(A2489,"Ddd"))&amp;"-"&amp;TEXT(A2489,"hh"),LoadTable[],5,FALSE)*0.92</f>
        <v>236.10788000000002</v>
      </c>
      <c r="U2489" s="104">
        <f>VLOOKUP(TEXT(A2489,"yy-mm")&amp;"-"&amp;IF(AND(WEEKDAY(A2489)&gt;1,WEEKDAY(A2489)&lt;7),"Wkd",TEXT(A2489,"Ddd"))&amp;"-"&amp;TEXT(A2489,"hh"),LoadTable[],6,FALSE)*T2489</f>
        <v>10551.188941440001</v>
      </c>
      <c r="V2489">
        <f t="shared" ref="V2489:W2489" si="2656">V2465</f>
        <v>3.5</v>
      </c>
      <c r="W2489">
        <f t="shared" si="2656"/>
        <v>2.9</v>
      </c>
      <c r="X2489" s="9">
        <v>-132.83869316667199</v>
      </c>
    </row>
    <row r="2490" spans="1:24">
      <c r="A2490" s="29">
        <f t="shared" si="2599"/>
        <v>45939.624999993968</v>
      </c>
      <c r="B2490" s="30">
        <f t="shared" si="2623"/>
        <v>8000</v>
      </c>
      <c r="C2490" s="8">
        <v>25000</v>
      </c>
      <c r="D2490" s="8">
        <v>0</v>
      </c>
      <c r="E2490" s="8">
        <v>700</v>
      </c>
      <c r="F2490" s="8">
        <v>15000</v>
      </c>
      <c r="G2490" s="30">
        <f t="shared" si="2624"/>
        <v>2400</v>
      </c>
      <c r="H2490" s="8">
        <v>25000</v>
      </c>
      <c r="I2490" s="30">
        <f t="shared" si="2625"/>
        <v>8000</v>
      </c>
      <c r="J2490" s="8">
        <v>25000</v>
      </c>
      <c r="K2490" s="30">
        <f t="shared" si="2626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VLOOKUP(VLOOKUP(DATEVALUE(TEXT(A2490,"m/d/yyyy")),FY24_Temp[],5,FALSE)&amp;TEXT(A2490,"-h"),Table6[],4,FALSE)</f>
        <v>0.4050000011920929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VLOOKUP(TEXT(A2490,"yy-mm")&amp;"-"&amp;IF(AND(WEEKDAY(A2490)&gt;1,WEEKDAY(A2490)&lt;7),"Wkd",TEXT(A2490,"Ddd"))&amp;"-"&amp;TEXT(A2490,"hh"),LoadTable[],5,FALSE)*0.92</f>
        <v>236.10788000000002</v>
      </c>
      <c r="U2490" s="104">
        <f>VLOOKUP(TEXT(A2490,"yy-mm")&amp;"-"&amp;IF(AND(WEEKDAY(A2490)&gt;1,WEEKDAY(A2490)&lt;7),"Wkd",TEXT(A2490,"Ddd"))&amp;"-"&amp;TEXT(A2490,"hh"),LoadTable[],6,FALSE)*T2490</f>
        <v>10572.202542760002</v>
      </c>
      <c r="V2490">
        <f t="shared" ref="V2490:W2490" si="2657">V2466</f>
        <v>3.2</v>
      </c>
      <c r="W2490">
        <f t="shared" si="2657"/>
        <v>2.9</v>
      </c>
      <c r="X2490" s="9">
        <v>-132.91648771667201</v>
      </c>
    </row>
    <row r="2491" spans="1:24">
      <c r="A2491" s="29">
        <f t="shared" si="2599"/>
        <v>45939.666666660632</v>
      </c>
      <c r="B2491" s="30">
        <f t="shared" si="2623"/>
        <v>8000</v>
      </c>
      <c r="C2491" s="8">
        <v>25000</v>
      </c>
      <c r="D2491" s="8">
        <v>0</v>
      </c>
      <c r="E2491" s="8">
        <v>700</v>
      </c>
      <c r="F2491" s="8">
        <v>15000</v>
      </c>
      <c r="G2491" s="30">
        <f t="shared" si="2624"/>
        <v>2400</v>
      </c>
      <c r="H2491" s="8">
        <v>25000</v>
      </c>
      <c r="I2491" s="30">
        <f t="shared" si="2625"/>
        <v>8000</v>
      </c>
      <c r="J2491" s="8">
        <v>25000</v>
      </c>
      <c r="K2491" s="30">
        <f t="shared" si="2626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VLOOKUP(VLOOKUP(DATEVALUE(TEXT(A2491,"m/d/yyyy")),FY24_Temp[],5,FALSE)&amp;TEXT(A2491,"-h"),Table6[],4,FALSE)</f>
        <v>0.67542857357433861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VLOOKUP(TEXT(A2491,"yy-mm")&amp;"-"&amp;IF(AND(WEEKDAY(A2491)&gt;1,WEEKDAY(A2491)&lt;7),"Wkd",TEXT(A2491,"Ddd"))&amp;"-"&amp;TEXT(A2491,"hh"),LoadTable[],5,FALSE)*0.92</f>
        <v>236.10788000000002</v>
      </c>
      <c r="U2491" s="104">
        <f>VLOOKUP(TEXT(A2491,"yy-mm")&amp;"-"&amp;IF(AND(WEEKDAY(A2491)&gt;1,WEEKDAY(A2491)&lt;7),"Wkd",TEXT(A2491,"Ddd"))&amp;"-"&amp;TEXT(A2491,"hh"),LoadTable[],6,FALSE)*T2491</f>
        <v>10648.93760376</v>
      </c>
      <c r="V2491">
        <f t="shared" ref="V2491:W2491" si="2658">V2467</f>
        <v>3.5</v>
      </c>
      <c r="W2491">
        <f t="shared" si="2658"/>
        <v>3</v>
      </c>
      <c r="X2491" s="9">
        <v>-132.994282266672</v>
      </c>
    </row>
    <row r="2492" spans="1:24">
      <c r="A2492" s="29">
        <f t="shared" si="2599"/>
        <v>45939.708333327297</v>
      </c>
      <c r="B2492" s="30">
        <f t="shared" si="2623"/>
        <v>8000</v>
      </c>
      <c r="C2492" s="8">
        <v>25000</v>
      </c>
      <c r="D2492" s="8">
        <v>0</v>
      </c>
      <c r="E2492" s="8">
        <v>700</v>
      </c>
      <c r="F2492" s="8">
        <v>15000</v>
      </c>
      <c r="G2492" s="30">
        <f t="shared" si="2624"/>
        <v>2400</v>
      </c>
      <c r="H2492" s="8">
        <v>25000</v>
      </c>
      <c r="I2492" s="30">
        <f t="shared" si="2625"/>
        <v>8000</v>
      </c>
      <c r="J2492" s="8">
        <v>25000</v>
      </c>
      <c r="K2492" s="30">
        <f t="shared" si="2626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VLOOKUP(VLOOKUP(DATEVALUE(TEXT(A2492,"m/d/yyyy")),FY24_Temp[],5,FALSE)&amp;TEXT(A2492,"-h"),Table6[],4,FALSE)</f>
        <v>1.0648571423121862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VLOOKUP(TEXT(A2492,"yy-mm")&amp;"-"&amp;IF(AND(WEEKDAY(A2492)&gt;1,WEEKDAY(A2492)&lt;7),"Wkd",TEXT(A2492,"Ddd"))&amp;"-"&amp;TEXT(A2492,"hh"),LoadTable[],5,FALSE)*0.92</f>
        <v>236.10788000000002</v>
      </c>
      <c r="U2492" s="104">
        <f>VLOOKUP(TEXT(A2492,"yy-mm")&amp;"-"&amp;IF(AND(WEEKDAY(A2492)&gt;1,WEEKDAY(A2492)&lt;7),"Wkd",TEXT(A2492,"Ddd"))&amp;"-"&amp;TEXT(A2492,"hh"),LoadTable[],6,FALSE)*T2492</f>
        <v>11157.513977280001</v>
      </c>
      <c r="V2492">
        <f t="shared" ref="V2492:W2492" si="2659">V2468</f>
        <v>3.6</v>
      </c>
      <c r="W2492">
        <f t="shared" si="2659"/>
        <v>3</v>
      </c>
      <c r="X2492" s="9">
        <v>-133.07207681667199</v>
      </c>
    </row>
    <row r="2493" spans="1:24">
      <c r="A2493" s="29">
        <f t="shared" si="2599"/>
        <v>45939.749999993961</v>
      </c>
      <c r="B2493" s="30">
        <f t="shared" si="2623"/>
        <v>5000</v>
      </c>
      <c r="C2493" s="8">
        <v>25000</v>
      </c>
      <c r="D2493" s="8">
        <v>0</v>
      </c>
      <c r="E2493" s="8">
        <v>700</v>
      </c>
      <c r="F2493" s="8">
        <v>15000</v>
      </c>
      <c r="G2493" s="30">
        <f t="shared" si="2624"/>
        <v>2400</v>
      </c>
      <c r="H2493" s="8">
        <v>25000</v>
      </c>
      <c r="I2493" s="30">
        <f t="shared" si="2625"/>
        <v>5000</v>
      </c>
      <c r="J2493" s="8">
        <v>25000</v>
      </c>
      <c r="K2493" s="30">
        <f t="shared" si="2626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VLOOKUP(VLOOKUP(DATEVALUE(TEXT(A2493,"m/d/yyyy")),FY24_Temp[],5,FALSE)&amp;TEXT(A2493,"-h"),Table6[],4,FALSE)</f>
        <v>1.3020000287464686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VLOOKUP(TEXT(A2493,"yy-mm")&amp;"-"&amp;IF(AND(WEEKDAY(A2493)&gt;1,WEEKDAY(A2493)&lt;7),"Wkd",TEXT(A2493,"Ddd"))&amp;"-"&amp;TEXT(A2493,"hh"),LoadTable[],5,FALSE)*0.92</f>
        <v>308.12363999999997</v>
      </c>
      <c r="U2493" s="104">
        <f>VLOOKUP(TEXT(A2493,"yy-mm")&amp;"-"&amp;IF(AND(WEEKDAY(A2493)&gt;1,WEEKDAY(A2493)&lt;7),"Wkd",TEXT(A2493,"Ddd"))&amp;"-"&amp;TEXT(A2493,"hh"),LoadTable[],6,FALSE)*T2493</f>
        <v>15139.963175039999</v>
      </c>
      <c r="V2493">
        <f t="shared" ref="V2493:W2493" si="2660">V2469</f>
        <v>2.9</v>
      </c>
      <c r="W2493">
        <f t="shared" si="2660"/>
        <v>3</v>
      </c>
      <c r="X2493" s="9">
        <v>-133.14987136667199</v>
      </c>
    </row>
    <row r="2494" spans="1:24">
      <c r="A2494" s="29">
        <f t="shared" si="2599"/>
        <v>45939.791666660625</v>
      </c>
      <c r="B2494" s="30">
        <f t="shared" si="2623"/>
        <v>5000</v>
      </c>
      <c r="C2494" s="8">
        <v>25000</v>
      </c>
      <c r="D2494" s="8">
        <v>0</v>
      </c>
      <c r="E2494" s="8">
        <v>700</v>
      </c>
      <c r="F2494" s="8">
        <v>15000</v>
      </c>
      <c r="G2494" s="30">
        <f t="shared" si="2624"/>
        <v>2400</v>
      </c>
      <c r="H2494" s="8">
        <v>25000</v>
      </c>
      <c r="I2494" s="30">
        <f t="shared" si="2625"/>
        <v>5000</v>
      </c>
      <c r="J2494" s="8">
        <v>25000</v>
      </c>
      <c r="K2494" s="30">
        <f t="shared" si="2626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VLOOKUP(VLOOKUP(DATEVALUE(TEXT(A2494,"m/d/yyyy")),FY24_Temp[],5,FALSE)&amp;TEXT(A2494,"-h"),Table6[],4,FALSE)</f>
        <v>1.449857132775443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VLOOKUP(TEXT(A2494,"yy-mm")&amp;"-"&amp;IF(AND(WEEKDAY(A2494)&gt;1,WEEKDAY(A2494)&lt;7),"Wkd",TEXT(A2494,"Ddd"))&amp;"-"&amp;TEXT(A2494,"hh"),LoadTable[],5,FALSE)*0.92</f>
        <v>308.12363999999997</v>
      </c>
      <c r="U2494" s="104">
        <f>VLOOKUP(TEXT(A2494,"yy-mm")&amp;"-"&amp;IF(AND(WEEKDAY(A2494)&gt;1,WEEKDAY(A2494)&lt;7),"Wkd",TEXT(A2494,"Ddd"))&amp;"-"&amp;TEXT(A2494,"hh"),LoadTable[],6,FALSE)*T2494</f>
        <v>15247.806449039997</v>
      </c>
      <c r="V2494">
        <f t="shared" ref="V2494:W2494" si="2661">V2470</f>
        <v>3</v>
      </c>
      <c r="W2494">
        <f t="shared" si="2661"/>
        <v>3</v>
      </c>
      <c r="X2494" s="9">
        <v>-133.22766591667201</v>
      </c>
    </row>
    <row r="2495" spans="1:24">
      <c r="A2495" s="29">
        <f t="shared" si="2599"/>
        <v>45939.833333327289</v>
      </c>
      <c r="B2495" s="30">
        <f t="shared" si="2623"/>
        <v>5000</v>
      </c>
      <c r="C2495" s="8">
        <v>25000</v>
      </c>
      <c r="D2495" s="8">
        <v>0</v>
      </c>
      <c r="E2495" s="8">
        <v>700</v>
      </c>
      <c r="F2495" s="8">
        <v>15000</v>
      </c>
      <c r="G2495" s="30">
        <f t="shared" si="2624"/>
        <v>2400</v>
      </c>
      <c r="H2495" s="8">
        <v>25000</v>
      </c>
      <c r="I2495" s="30">
        <f t="shared" si="2625"/>
        <v>5000</v>
      </c>
      <c r="J2495" s="8">
        <v>25000</v>
      </c>
      <c r="K2495" s="30">
        <f t="shared" si="2626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VLOOKUP(VLOOKUP(DATEVALUE(TEXT(A2495,"m/d/yyyy")),FY24_Temp[],5,FALSE)&amp;TEXT(A2495,"-h"),Table6[],4,FALSE)</f>
        <v>1.5270000014986311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VLOOKUP(TEXT(A2495,"yy-mm")&amp;"-"&amp;IF(AND(WEEKDAY(A2495)&gt;1,WEEKDAY(A2495)&lt;7),"Wkd",TEXT(A2495,"Ddd"))&amp;"-"&amp;TEXT(A2495,"hh"),LoadTable[],5,FALSE)*0.92</f>
        <v>308.12363999999997</v>
      </c>
      <c r="U2495" s="104">
        <f>VLOOKUP(TEXT(A2495,"yy-mm")&amp;"-"&amp;IF(AND(WEEKDAY(A2495)&gt;1,WEEKDAY(A2495)&lt;7),"Wkd",TEXT(A2495,"Ddd"))&amp;"-"&amp;TEXT(A2495,"hh"),LoadTable[],6,FALSE)*T2495</f>
        <v>15157.218098879999</v>
      </c>
      <c r="V2495">
        <f t="shared" ref="V2495:W2495" si="2662">V2471</f>
        <v>2.8</v>
      </c>
      <c r="W2495">
        <f t="shared" si="2662"/>
        <v>3.1</v>
      </c>
      <c r="X2495" s="9">
        <v>-133.305460466672</v>
      </c>
    </row>
    <row r="2496" spans="1:24">
      <c r="A2496" s="29">
        <f t="shared" si="2599"/>
        <v>45939.874999993954</v>
      </c>
      <c r="B2496" s="30">
        <f t="shared" si="2623"/>
        <v>5000</v>
      </c>
      <c r="C2496" s="8">
        <v>25000</v>
      </c>
      <c r="D2496" s="8">
        <v>0</v>
      </c>
      <c r="E2496" s="8">
        <v>700</v>
      </c>
      <c r="F2496" s="8">
        <v>15000</v>
      </c>
      <c r="G2496" s="30">
        <f t="shared" si="2624"/>
        <v>2400</v>
      </c>
      <c r="H2496" s="8">
        <v>25000</v>
      </c>
      <c r="I2496" s="30">
        <f t="shared" si="2625"/>
        <v>5000</v>
      </c>
      <c r="J2496" s="8">
        <v>25000</v>
      </c>
      <c r="K2496" s="30">
        <f t="shared" si="2626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VLOOKUP(VLOOKUP(DATEVALUE(TEXT(A2496,"m/d/yyyy")),FY24_Temp[],5,FALSE)&amp;TEXT(A2496,"-h"),Table6[],4,FALSE)</f>
        <v>1.6015714406967163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VLOOKUP(TEXT(A2496,"yy-mm")&amp;"-"&amp;IF(AND(WEEKDAY(A2496)&gt;1,WEEKDAY(A2496)&lt;7),"Wkd",TEXT(A2496,"Ddd"))&amp;"-"&amp;TEXT(A2496,"hh"),LoadTable[],5,FALSE)*0.92</f>
        <v>234.33964000000003</v>
      </c>
      <c r="U2496" s="104">
        <f>VLOOKUP(TEXT(A2496,"yy-mm")&amp;"-"&amp;IF(AND(WEEKDAY(A2496)&gt;1,WEEKDAY(A2496)&lt;7),"Wkd",TEXT(A2496,"Ddd"))&amp;"-"&amp;TEXT(A2496,"hh"),LoadTable[],6,FALSE)*T2496</f>
        <v>11344.147632760001</v>
      </c>
      <c r="V2496">
        <f t="shared" ref="V2496:W2496" si="2663">V2472</f>
        <v>3.5</v>
      </c>
      <c r="W2496">
        <f t="shared" si="2663"/>
        <v>3.1</v>
      </c>
      <c r="X2496" s="9">
        <v>-133.383255016672</v>
      </c>
    </row>
    <row r="2497" spans="1:24">
      <c r="A2497" s="29">
        <f t="shared" si="2599"/>
        <v>45939.916666660618</v>
      </c>
      <c r="B2497" s="30">
        <f t="shared" si="2623"/>
        <v>5000</v>
      </c>
      <c r="C2497" s="8">
        <v>25000</v>
      </c>
      <c r="D2497" s="8">
        <v>0</v>
      </c>
      <c r="E2497" s="8">
        <v>700</v>
      </c>
      <c r="F2497" s="8">
        <v>15000</v>
      </c>
      <c r="G2497" s="30">
        <f t="shared" si="2624"/>
        <v>2400</v>
      </c>
      <c r="H2497" s="8">
        <v>25000</v>
      </c>
      <c r="I2497" s="30">
        <f t="shared" si="2625"/>
        <v>5000</v>
      </c>
      <c r="J2497" s="8">
        <v>25000</v>
      </c>
      <c r="K2497" s="30">
        <f t="shared" si="2626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VLOOKUP(VLOOKUP(DATEVALUE(TEXT(A2497,"m/d/yyyy")),FY24_Temp[],5,FALSE)&amp;TEXT(A2497,"-h"),Table6[],4,FALSE)</f>
        <v>1.6414285898208618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VLOOKUP(TEXT(A2497,"yy-mm")&amp;"-"&amp;IF(AND(WEEKDAY(A2497)&gt;1,WEEKDAY(A2497)&lt;7),"Wkd",TEXT(A2497,"Ddd"))&amp;"-"&amp;TEXT(A2497,"hh"),LoadTable[],5,FALSE)*0.92</f>
        <v>180.62544</v>
      </c>
      <c r="U2497" s="104">
        <f>VLOOKUP(TEXT(A2497,"yy-mm")&amp;"-"&amp;IF(AND(WEEKDAY(A2497)&gt;1,WEEKDAY(A2497)&lt;7),"Wkd",TEXT(A2497,"Ddd"))&amp;"-"&amp;TEXT(A2497,"hh"),LoadTable[],6,FALSE)*T2497</f>
        <v>8304.2546039999997</v>
      </c>
      <c r="V2497">
        <f t="shared" ref="V2497:W2497" si="2664">V2473</f>
        <v>2.9</v>
      </c>
      <c r="W2497">
        <f t="shared" si="2664"/>
        <v>3.1</v>
      </c>
      <c r="X2497" s="9">
        <v>-133.46104956667199</v>
      </c>
    </row>
    <row r="2498" spans="1:24">
      <c r="A2498" s="29">
        <f t="shared" si="2599"/>
        <v>45939.958333327282</v>
      </c>
      <c r="B2498" s="30">
        <f t="shared" si="2623"/>
        <v>5000</v>
      </c>
      <c r="C2498" s="41">
        <v>25000</v>
      </c>
      <c r="D2498" s="41">
        <v>0</v>
      </c>
      <c r="E2498" s="41">
        <v>700</v>
      </c>
      <c r="F2498" s="41">
        <v>15000</v>
      </c>
      <c r="G2498" s="30">
        <f t="shared" si="2624"/>
        <v>2400</v>
      </c>
      <c r="H2498" s="41">
        <v>25000</v>
      </c>
      <c r="I2498" s="30">
        <f t="shared" si="2625"/>
        <v>5000</v>
      </c>
      <c r="J2498" s="41">
        <v>25000</v>
      </c>
      <c r="K2498" s="30">
        <f t="shared" si="2626"/>
        <v>5000</v>
      </c>
      <c r="L2498" s="41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84">
        <v>13.5</v>
      </c>
      <c r="P2498" s="84">
        <v>19.5</v>
      </c>
      <c r="Q2498" s="85">
        <f>VLOOKUP(VLOOKUP(DATEVALUE(TEXT(A2498,"m/d/yyyy")),FY24_Temp[],5,FALSE)&amp;TEXT(A2498,"-h"),Table6[],4,FALSE)</f>
        <v>1.6130000182560511</v>
      </c>
      <c r="R2498">
        <v>10</v>
      </c>
      <c r="S2498">
        <v>1000</v>
      </c>
      <c r="T2498" s="98">
        <f>VLOOKUP(TEXT(A2498,"yy-mm")&amp;"-"&amp;IF(AND(WEEKDAY(A2498)&gt;1,WEEKDAY(A2498)&lt;7),"Wkd",TEXT(A2498,"Ddd"))&amp;"-"&amp;TEXT(A2498,"hh"),LoadTable[],5,FALSE)*0.92</f>
        <v>180.62544</v>
      </c>
      <c r="U2498" s="104">
        <f>VLOOKUP(TEXT(A2498,"yy-mm")&amp;"-"&amp;IF(AND(WEEKDAY(A2498)&gt;1,WEEKDAY(A2498)&lt;7),"Wkd",TEXT(A2498,"Ddd"))&amp;"-"&amp;TEXT(A2498,"hh"),LoadTable[],6,FALSE)*T2498</f>
        <v>8217.1931419200009</v>
      </c>
      <c r="V2498">
        <f t="shared" ref="V2498:W2498" si="2665">V2474</f>
        <v>3.6</v>
      </c>
      <c r="W2498">
        <f t="shared" si="2665"/>
        <v>3.1</v>
      </c>
      <c r="X2498" s="84">
        <v>-133.53884411667201</v>
      </c>
    </row>
    <row r="2499" spans="1:24">
      <c r="A2499" s="29">
        <f t="shared" si="2599"/>
        <v>45939.999999993946</v>
      </c>
      <c r="B2499" s="30">
        <f t="shared" si="2623"/>
        <v>5000</v>
      </c>
      <c r="C2499" s="8">
        <v>25000</v>
      </c>
      <c r="D2499" s="8">
        <v>0</v>
      </c>
      <c r="E2499" s="8">
        <v>700</v>
      </c>
      <c r="F2499" s="8">
        <v>15000</v>
      </c>
      <c r="G2499" s="30">
        <f t="shared" si="2624"/>
        <v>2400</v>
      </c>
      <c r="H2499" s="8">
        <v>25000</v>
      </c>
      <c r="I2499" s="30">
        <f t="shared" si="2625"/>
        <v>5000</v>
      </c>
      <c r="J2499" s="8">
        <v>25000</v>
      </c>
      <c r="K2499" s="30">
        <f t="shared" si="2626"/>
        <v>5000</v>
      </c>
      <c r="L2499" s="8">
        <v>25000</v>
      </c>
      <c r="M2499" s="9">
        <f>VLOOKUP(DATE(YEAR(A2499),MONTH(A2499),DAY(A2499)),FY24_Temp[],4,FALSE)</f>
        <v>9</v>
      </c>
      <c r="N2499" s="9">
        <f>VLOOKUP(DATE(YEAR(A2499),MONTH(A2499),DAY(A2499)),FY24_Temp[],3,FALSE)</f>
        <v>17.25</v>
      </c>
      <c r="O2499" s="9">
        <v>13.5</v>
      </c>
      <c r="P2499" s="9">
        <v>19.5</v>
      </c>
      <c r="Q2499" s="79">
        <f>VLOOKUP(VLOOKUP(DATEVALUE(TEXT(A2499,"m/d/yyyy")),FY24_Temp[],5,FALSE)&amp;TEXT(A2499,"-h"),Table6[],4,FALSE)</f>
        <v>1.6792856965746199</v>
      </c>
      <c r="R2499">
        <v>10</v>
      </c>
      <c r="S2499">
        <v>1000</v>
      </c>
      <c r="T2499" s="5">
        <f>VLOOKUP(TEXT(A2499,"yy-mm")&amp;"-"&amp;IF(AND(WEEKDAY(A2499)&gt;1,WEEKDAY(A2499)&lt;7),"Wkd",TEXT(A2499,"Ddd"))&amp;"-"&amp;TEXT(A2499,"hh"),LoadTable[],5,FALSE)*0.92</f>
        <v>180.62544</v>
      </c>
      <c r="U2499" s="104">
        <f>VLOOKUP(TEXT(A2499,"yy-mm")&amp;"-"&amp;IF(AND(WEEKDAY(A2499)&gt;1,WEEKDAY(A2499)&lt;7),"Wkd",TEXT(A2499,"Ddd"))&amp;"-"&amp;TEXT(A2499,"hh"),LoadTable[],6,FALSE)*T2499</f>
        <v>8132.4798105600003</v>
      </c>
      <c r="V2499">
        <f t="shared" ref="V2499:W2499" si="2666">V2475</f>
        <v>3</v>
      </c>
      <c r="W2499">
        <f t="shared" si="2666"/>
        <v>3.2</v>
      </c>
      <c r="X2499" s="9">
        <v>-133.616638666672</v>
      </c>
    </row>
    <row r="2500" spans="1:24">
      <c r="A2500" s="29">
        <f t="shared" si="2599"/>
        <v>45940.041666660611</v>
      </c>
      <c r="B2500" s="30">
        <f t="shared" si="2623"/>
        <v>5000</v>
      </c>
      <c r="C2500" s="42">
        <v>25000</v>
      </c>
      <c r="D2500" s="42">
        <v>0</v>
      </c>
      <c r="E2500" s="42">
        <v>700</v>
      </c>
      <c r="F2500" s="42">
        <v>15000</v>
      </c>
      <c r="G2500" s="30">
        <f t="shared" si="2624"/>
        <v>2400</v>
      </c>
      <c r="H2500" s="42">
        <v>25000</v>
      </c>
      <c r="I2500" s="30">
        <f t="shared" si="2625"/>
        <v>5000</v>
      </c>
      <c r="J2500" s="42">
        <v>25000</v>
      </c>
      <c r="K2500" s="30">
        <f t="shared" si="2626"/>
        <v>5000</v>
      </c>
      <c r="L2500" s="42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86">
        <v>13.5</v>
      </c>
      <c r="P2500" s="86">
        <v>19.5</v>
      </c>
      <c r="Q2500" s="87">
        <f>VLOOKUP(VLOOKUP(DATEVALUE(TEXT(A2500,"m/d/yyyy")),FY24_Temp[],5,FALSE)&amp;TEXT(A2500,"-h"),Table6[],4,FALSE)</f>
        <v>1.6901428699493408</v>
      </c>
      <c r="R2500">
        <v>10</v>
      </c>
      <c r="S2500">
        <v>1000</v>
      </c>
      <c r="T2500" s="99">
        <f>VLOOKUP(TEXT(A2500,"yy-mm")&amp;"-"&amp;IF(AND(WEEKDAY(A2500)&gt;1,WEEKDAY(A2500)&lt;7),"Wkd",TEXT(A2500,"Ddd"))&amp;"-"&amp;TEXT(A2500,"hh"),LoadTable[],5,FALSE)*0.92</f>
        <v>180.62544</v>
      </c>
      <c r="U2500" s="104">
        <f>VLOOKUP(TEXT(A2500,"yy-mm")&amp;"-"&amp;IF(AND(WEEKDAY(A2500)&gt;1,WEEKDAY(A2500)&lt;7),"Wkd",TEXT(A2500,"Ddd"))&amp;"-"&amp;TEXT(A2500,"hh"),LoadTable[],6,FALSE)*T2500</f>
        <v>8124.71291664</v>
      </c>
      <c r="V2500">
        <f t="shared" ref="V2500:W2500" si="2667">V2476</f>
        <v>2.6</v>
      </c>
      <c r="W2500">
        <f t="shared" si="2667"/>
        <v>3.2</v>
      </c>
      <c r="X2500" s="86">
        <v>-133.694433216672</v>
      </c>
    </row>
    <row r="2501" spans="1:24">
      <c r="A2501" s="29">
        <f t="shared" ref="A2501:A2564" si="2668">A2500+TIME(1,0,0)</f>
        <v>45940.083333327275</v>
      </c>
      <c r="B2501" s="30">
        <f t="shared" si="2623"/>
        <v>5000</v>
      </c>
      <c r="C2501" s="8">
        <v>25000</v>
      </c>
      <c r="D2501" s="8">
        <v>0</v>
      </c>
      <c r="E2501" s="8">
        <v>700</v>
      </c>
      <c r="F2501" s="8">
        <v>15000</v>
      </c>
      <c r="G2501" s="30">
        <f t="shared" si="2624"/>
        <v>2400</v>
      </c>
      <c r="H2501" s="8">
        <v>25000</v>
      </c>
      <c r="I2501" s="30">
        <f t="shared" si="2625"/>
        <v>5000</v>
      </c>
      <c r="J2501" s="8">
        <v>25000</v>
      </c>
      <c r="K2501" s="30">
        <f t="shared" si="2626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VLOOKUP(VLOOKUP(DATEVALUE(TEXT(A2501,"m/d/yyyy")),FY24_Temp[],5,FALSE)&amp;TEXT(A2501,"-h"),Table6[],4,FALSE)</f>
        <v>1.6235714299338204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VLOOKUP(TEXT(A2501,"yy-mm")&amp;"-"&amp;IF(AND(WEEKDAY(A2501)&gt;1,WEEKDAY(A2501)&lt;7),"Wkd",TEXT(A2501,"Ddd"))&amp;"-"&amp;TEXT(A2501,"hh"),LoadTable[],5,FALSE)*0.92</f>
        <v>180.62544</v>
      </c>
      <c r="U2501" s="104">
        <f>VLOOKUP(TEXT(A2501,"yy-mm")&amp;"-"&amp;IF(AND(WEEKDAY(A2501)&gt;1,WEEKDAY(A2501)&lt;7),"Wkd",TEXT(A2501,"Ddd"))&amp;"-"&amp;TEXT(A2501,"hh"),LoadTable[],6,FALSE)*T2501</f>
        <v>8120.1972806400008</v>
      </c>
      <c r="V2501">
        <f t="shared" ref="V2501:W2501" si="2669">V2477</f>
        <v>2.8</v>
      </c>
      <c r="W2501">
        <f t="shared" si="2669"/>
        <v>3.2</v>
      </c>
      <c r="X2501" s="9">
        <v>-133.77222776667199</v>
      </c>
    </row>
    <row r="2502" spans="1:24">
      <c r="A2502" s="29">
        <f t="shared" si="2668"/>
        <v>45940.124999993939</v>
      </c>
      <c r="B2502" s="30">
        <f t="shared" si="2623"/>
        <v>5000</v>
      </c>
      <c r="C2502" s="8">
        <v>25000</v>
      </c>
      <c r="D2502" s="8">
        <v>0</v>
      </c>
      <c r="E2502" s="8">
        <v>700</v>
      </c>
      <c r="F2502" s="8">
        <v>15000</v>
      </c>
      <c r="G2502" s="30">
        <f t="shared" si="2624"/>
        <v>2400</v>
      </c>
      <c r="H2502" s="8">
        <v>25000</v>
      </c>
      <c r="I2502" s="30">
        <f t="shared" si="2625"/>
        <v>5000</v>
      </c>
      <c r="J2502" s="8">
        <v>25000</v>
      </c>
      <c r="K2502" s="30">
        <f t="shared" si="2626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VLOOKUP(VLOOKUP(DATEVALUE(TEXT(A2502,"m/d/yyyy")),FY24_Temp[],5,FALSE)&amp;TEXT(A2502,"-h"),Table6[],4,FALSE)</f>
        <v>1.5127142838069372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VLOOKUP(TEXT(A2502,"yy-mm")&amp;"-"&amp;IF(AND(WEEKDAY(A2502)&gt;1,WEEKDAY(A2502)&lt;7),"Wkd",TEXT(A2502,"Ddd"))&amp;"-"&amp;TEXT(A2502,"hh"),LoadTable[],5,FALSE)*0.92</f>
        <v>180.62544</v>
      </c>
      <c r="U2502" s="104">
        <f>VLOOKUP(TEXT(A2502,"yy-mm")&amp;"-"&amp;IF(AND(WEEKDAY(A2502)&gt;1,WEEKDAY(A2502)&lt;7),"Wkd",TEXT(A2502,"Ddd"))&amp;"-"&amp;TEXT(A2502,"hh"),LoadTable[],6,FALSE)*T2502</f>
        <v>8141.3304571199997</v>
      </c>
      <c r="V2502">
        <f t="shared" ref="V2502:W2502" si="2670">V2478</f>
        <v>2.7</v>
      </c>
      <c r="W2502">
        <f t="shared" si="2670"/>
        <v>3.2</v>
      </c>
      <c r="X2502" s="9">
        <v>-133.85002231667201</v>
      </c>
    </row>
    <row r="2503" spans="1:24">
      <c r="A2503" s="29">
        <f t="shared" si="2668"/>
        <v>45940.166666660603</v>
      </c>
      <c r="B2503" s="30">
        <f t="shared" si="2623"/>
        <v>5000</v>
      </c>
      <c r="C2503" s="8">
        <v>25000</v>
      </c>
      <c r="D2503" s="8">
        <v>0</v>
      </c>
      <c r="E2503" s="8">
        <v>700</v>
      </c>
      <c r="F2503" s="8">
        <v>15000</v>
      </c>
      <c r="G2503" s="30">
        <f t="shared" si="2624"/>
        <v>2400</v>
      </c>
      <c r="H2503" s="8">
        <v>25000</v>
      </c>
      <c r="I2503" s="30">
        <f t="shared" si="2625"/>
        <v>5000</v>
      </c>
      <c r="J2503" s="8">
        <v>25000</v>
      </c>
      <c r="K2503" s="30">
        <f t="shared" si="2626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VLOOKUP(VLOOKUP(DATEVALUE(TEXT(A2503,"m/d/yyyy")),FY24_Temp[],5,FALSE)&amp;TEXT(A2503,"-h"),Table6[],4,FALSE)</f>
        <v>1.4104285751070296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VLOOKUP(TEXT(A2503,"yy-mm")&amp;"-"&amp;IF(AND(WEEKDAY(A2503)&gt;1,WEEKDAY(A2503)&lt;7),"Wkd",TEXT(A2503,"Ddd"))&amp;"-"&amp;TEXT(A2503,"hh"),LoadTable[],5,FALSE)*0.92</f>
        <v>180.62544</v>
      </c>
      <c r="U2503" s="104">
        <f>VLOOKUP(TEXT(A2503,"yy-mm")&amp;"-"&amp;IF(AND(WEEKDAY(A2503)&gt;1,WEEKDAY(A2503)&lt;7),"Wkd",TEXT(A2503,"Ddd"))&amp;"-"&amp;TEXT(A2503,"hh"),LoadTable[],6,FALSE)*T2503</f>
        <v>8184.86118816</v>
      </c>
      <c r="V2503">
        <f t="shared" ref="V2503:W2503" si="2671">V2479</f>
        <v>3</v>
      </c>
      <c r="W2503">
        <f t="shared" si="2671"/>
        <v>3.1</v>
      </c>
      <c r="X2503" s="9">
        <v>-133.927816866672</v>
      </c>
    </row>
    <row r="2504" spans="1:24">
      <c r="A2504" s="29">
        <f t="shared" si="2668"/>
        <v>45940.208333327268</v>
      </c>
      <c r="B2504" s="30">
        <f t="shared" si="2623"/>
        <v>5000</v>
      </c>
      <c r="C2504" s="8">
        <v>25000</v>
      </c>
      <c r="D2504" s="8">
        <v>0</v>
      </c>
      <c r="E2504" s="8">
        <v>700</v>
      </c>
      <c r="F2504" s="8">
        <v>15000</v>
      </c>
      <c r="G2504" s="30">
        <f t="shared" si="2624"/>
        <v>2400</v>
      </c>
      <c r="H2504" s="8">
        <v>25000</v>
      </c>
      <c r="I2504" s="30">
        <f t="shared" si="2625"/>
        <v>5000</v>
      </c>
      <c r="J2504" s="8">
        <v>25000</v>
      </c>
      <c r="K2504" s="30">
        <f t="shared" si="2626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VLOOKUP(VLOOKUP(DATEVALUE(TEXT(A2504,"m/d/yyyy")),FY24_Temp[],5,FALSE)&amp;TEXT(A2504,"-h"),Table6[],4,FALSE)</f>
        <v>1.3584285974502563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VLOOKUP(TEXT(A2504,"yy-mm")&amp;"-"&amp;IF(AND(WEEKDAY(A2504)&gt;1,WEEKDAY(A2504)&lt;7),"Wkd",TEXT(A2504,"Ddd"))&amp;"-"&amp;TEXT(A2504,"hh"),LoadTable[],5,FALSE)*0.92</f>
        <v>275.09195999999997</v>
      </c>
      <c r="U2504" s="104">
        <f>VLOOKUP(TEXT(A2504,"yy-mm")&amp;"-"&amp;IF(AND(WEEKDAY(A2504)&gt;1,WEEKDAY(A2504)&lt;7),"Wkd",TEXT(A2504,"Ddd"))&amp;"-"&amp;TEXT(A2504,"hh"),LoadTable[],6,FALSE)*T2504</f>
        <v>12729.880448999998</v>
      </c>
      <c r="V2504">
        <f t="shared" ref="V2504:W2504" si="2672">V2480</f>
        <v>2.9</v>
      </c>
      <c r="W2504">
        <f t="shared" si="2672"/>
        <v>3.1</v>
      </c>
      <c r="X2504" s="9">
        <v>-134.005611416672</v>
      </c>
    </row>
    <row r="2505" spans="1:24">
      <c r="A2505" s="29">
        <f t="shared" si="2668"/>
        <v>45940.249999993932</v>
      </c>
      <c r="B2505" s="30">
        <f t="shared" si="2623"/>
        <v>8000</v>
      </c>
      <c r="C2505" s="8">
        <v>25000</v>
      </c>
      <c r="D2505" s="8">
        <v>0</v>
      </c>
      <c r="E2505" s="8">
        <v>700</v>
      </c>
      <c r="F2505" s="8">
        <v>15000</v>
      </c>
      <c r="G2505" s="30">
        <f t="shared" si="2624"/>
        <v>2400</v>
      </c>
      <c r="H2505" s="8">
        <v>25000</v>
      </c>
      <c r="I2505" s="30">
        <f t="shared" si="2625"/>
        <v>8000</v>
      </c>
      <c r="J2505" s="8">
        <v>25000</v>
      </c>
      <c r="K2505" s="30">
        <f t="shared" si="2626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VLOOKUP(VLOOKUP(DATEVALUE(TEXT(A2505,"m/d/yyyy")),FY24_Temp[],5,FALSE)&amp;TEXT(A2505,"-h"),Table6[],4,FALSE)</f>
        <v>1.2088571446282523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VLOOKUP(TEXT(A2505,"yy-mm")&amp;"-"&amp;IF(AND(WEEKDAY(A2505)&gt;1,WEEKDAY(A2505)&lt;7),"Wkd",TEXT(A2505,"Ddd"))&amp;"-"&amp;TEXT(A2505,"hh"),LoadTable[],5,FALSE)*0.92</f>
        <v>275.09195999999997</v>
      </c>
      <c r="U2505" s="104">
        <f>VLOOKUP(TEXT(A2505,"yy-mm")&amp;"-"&amp;IF(AND(WEEKDAY(A2505)&gt;1,WEEKDAY(A2505)&lt;7),"Wkd",TEXT(A2505,"Ddd"))&amp;"-"&amp;TEXT(A2505,"hh"),LoadTable[],6,FALSE)*T2505</f>
        <v>13284.465840359997</v>
      </c>
      <c r="V2505">
        <f t="shared" ref="V2505:W2505" si="2673">V2481</f>
        <v>2.5</v>
      </c>
      <c r="W2505">
        <f t="shared" si="2673"/>
        <v>3.1</v>
      </c>
      <c r="X2505" s="9">
        <v>-134.08340596667199</v>
      </c>
    </row>
    <row r="2506" spans="1:24">
      <c r="A2506" s="29">
        <f t="shared" si="2668"/>
        <v>45940.291666660596</v>
      </c>
      <c r="B2506" s="30">
        <f t="shared" si="2623"/>
        <v>8000</v>
      </c>
      <c r="C2506" s="8">
        <v>25000</v>
      </c>
      <c r="D2506" s="8">
        <v>0</v>
      </c>
      <c r="E2506" s="8">
        <v>700</v>
      </c>
      <c r="F2506" s="8">
        <v>15000</v>
      </c>
      <c r="G2506" s="30">
        <f t="shared" si="2624"/>
        <v>2400</v>
      </c>
      <c r="H2506" s="8">
        <v>25000</v>
      </c>
      <c r="I2506" s="30">
        <f t="shared" si="2625"/>
        <v>8000</v>
      </c>
      <c r="J2506" s="8">
        <v>25000</v>
      </c>
      <c r="K2506" s="30">
        <f t="shared" si="2626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VLOOKUP(VLOOKUP(DATEVALUE(TEXT(A2506,"m/d/yyyy")),FY24_Temp[],5,FALSE)&amp;TEXT(A2506,"-h"),Table6[],4,FALSE)</f>
        <v>1.0575714196477617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VLOOKUP(TEXT(A2506,"yy-mm")&amp;"-"&amp;IF(AND(WEEKDAY(A2506)&gt;1,WEEKDAY(A2506)&lt;7),"Wkd",TEXT(A2506,"Ddd"))&amp;"-"&amp;TEXT(A2506,"hh"),LoadTable[],5,FALSE)*0.92</f>
        <v>236.10788000000002</v>
      </c>
      <c r="U2506" s="104">
        <f>VLOOKUP(TEXT(A2506,"yy-mm")&amp;"-"&amp;IF(AND(WEEKDAY(A2506)&gt;1,WEEKDAY(A2506)&lt;7),"Wkd",TEXT(A2506,"Ddd"))&amp;"-"&amp;TEXT(A2506,"hh"),LoadTable[],6,FALSE)*T2506</f>
        <v>11438.48235448</v>
      </c>
      <c r="V2506">
        <f t="shared" ref="V2506:W2506" si="2674">V2482</f>
        <v>2.5</v>
      </c>
      <c r="W2506">
        <f t="shared" si="2674"/>
        <v>3.1</v>
      </c>
      <c r="X2506" s="9">
        <v>-134.16120051667201</v>
      </c>
    </row>
    <row r="2507" spans="1:24">
      <c r="A2507" s="29">
        <f t="shared" si="2668"/>
        <v>45940.33333332726</v>
      </c>
      <c r="B2507" s="30">
        <f t="shared" si="2623"/>
        <v>8000</v>
      </c>
      <c r="C2507" s="8">
        <v>25000</v>
      </c>
      <c r="D2507" s="8">
        <v>0</v>
      </c>
      <c r="E2507" s="8">
        <v>700</v>
      </c>
      <c r="F2507" s="8">
        <v>15000</v>
      </c>
      <c r="G2507" s="30">
        <f t="shared" si="2624"/>
        <v>2400</v>
      </c>
      <c r="H2507" s="8">
        <v>25000</v>
      </c>
      <c r="I2507" s="30">
        <f t="shared" si="2625"/>
        <v>8000</v>
      </c>
      <c r="J2507" s="8">
        <v>25000</v>
      </c>
      <c r="K2507" s="30">
        <f t="shared" si="2626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VLOOKUP(VLOOKUP(DATEVALUE(TEXT(A2507,"m/d/yyyy")),FY24_Temp[],5,FALSE)&amp;TEXT(A2507,"-h"),Table6[],4,FALSE)</f>
        <v>0.95157144750867573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VLOOKUP(TEXT(A2507,"yy-mm")&amp;"-"&amp;IF(AND(WEEKDAY(A2507)&gt;1,WEEKDAY(A2507)&lt;7),"Wkd",TEXT(A2507,"Ddd"))&amp;"-"&amp;TEXT(A2507,"hh"),LoadTable[],5,FALSE)*0.92</f>
        <v>236.10788000000002</v>
      </c>
      <c r="U2507" s="104">
        <f>VLOOKUP(TEXT(A2507,"yy-mm")&amp;"-"&amp;IF(AND(WEEKDAY(A2507)&gt;1,WEEKDAY(A2507)&lt;7),"Wkd",TEXT(A2507,"Ddd"))&amp;"-"&amp;TEXT(A2507,"hh"),LoadTable[],6,FALSE)*T2507</f>
        <v>10919.281126360002</v>
      </c>
      <c r="V2507">
        <f t="shared" ref="V2507:W2507" si="2675">V2483</f>
        <v>3.2</v>
      </c>
      <c r="W2507">
        <f t="shared" si="2675"/>
        <v>3</v>
      </c>
      <c r="X2507" s="9">
        <v>-134.238995066672</v>
      </c>
    </row>
    <row r="2508" spans="1:24">
      <c r="A2508" s="29">
        <f t="shared" si="2668"/>
        <v>45940.374999993925</v>
      </c>
      <c r="B2508" s="30">
        <f t="shared" si="2623"/>
        <v>8000</v>
      </c>
      <c r="C2508" s="8">
        <v>25000</v>
      </c>
      <c r="D2508" s="8">
        <v>0</v>
      </c>
      <c r="E2508" s="8">
        <v>700</v>
      </c>
      <c r="F2508" s="8">
        <v>15000</v>
      </c>
      <c r="G2508" s="30">
        <f t="shared" si="2624"/>
        <v>2400</v>
      </c>
      <c r="H2508" s="8">
        <v>25000</v>
      </c>
      <c r="I2508" s="30">
        <f t="shared" si="2625"/>
        <v>8000</v>
      </c>
      <c r="J2508" s="8">
        <v>25000</v>
      </c>
      <c r="K2508" s="30">
        <f t="shared" si="2626"/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VLOOKUP(VLOOKUP(DATEVALUE(TEXT(A2508,"m/d/yyyy")),FY24_Temp[],5,FALSE)&amp;TEXT(A2508,"-h"),Table6[],4,FALSE)</f>
        <v>0.83871427604130333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VLOOKUP(TEXT(A2508,"yy-mm")&amp;"-"&amp;IF(AND(WEEKDAY(A2508)&gt;1,WEEKDAY(A2508)&lt;7),"Wkd",TEXT(A2508,"Ddd"))&amp;"-"&amp;TEXT(A2508,"hh"),LoadTable[],5,FALSE)*0.92</f>
        <v>236.10788000000002</v>
      </c>
      <c r="U2508" s="104">
        <f>VLOOKUP(TEXT(A2508,"yy-mm")&amp;"-"&amp;IF(AND(WEEKDAY(A2508)&gt;1,WEEKDAY(A2508)&lt;7),"Wkd",TEXT(A2508,"Ddd"))&amp;"-"&amp;TEXT(A2508,"hh"),LoadTable[],6,FALSE)*T2508</f>
        <v>10592.271712560001</v>
      </c>
      <c r="V2508">
        <f t="shared" ref="V2508:W2508" si="2676">V2484</f>
        <v>2.9</v>
      </c>
      <c r="W2508">
        <f t="shared" si="2676"/>
        <v>3</v>
      </c>
      <c r="X2508" s="9">
        <v>-134.316789616672</v>
      </c>
    </row>
    <row r="2509" spans="1:24">
      <c r="A2509" s="29">
        <f t="shared" si="2668"/>
        <v>45940.416666660589</v>
      </c>
      <c r="B2509" s="30">
        <f t="shared" si="2623"/>
        <v>8000</v>
      </c>
      <c r="C2509" s="8">
        <v>25000</v>
      </c>
      <c r="D2509" s="8">
        <v>0</v>
      </c>
      <c r="E2509" s="8">
        <v>700</v>
      </c>
      <c r="F2509" s="8">
        <v>15000</v>
      </c>
      <c r="G2509" s="30">
        <f t="shared" si="2624"/>
        <v>2400</v>
      </c>
      <c r="H2509" s="8">
        <v>25000</v>
      </c>
      <c r="I2509" s="30">
        <f t="shared" si="2625"/>
        <v>8000</v>
      </c>
      <c r="J2509" s="8">
        <v>25000</v>
      </c>
      <c r="K2509" s="30">
        <f t="shared" si="2626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VLOOKUP(VLOOKUP(DATEVALUE(TEXT(A2509,"m/d/yyyy")),FY24_Temp[],5,FALSE)&amp;TEXT(A2509,"-h"),Table6[],4,FALSE)</f>
        <v>0.72357143674577984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VLOOKUP(TEXT(A2509,"yy-mm")&amp;"-"&amp;IF(AND(WEEKDAY(A2509)&gt;1,WEEKDAY(A2509)&lt;7),"Wkd",TEXT(A2509,"Ddd"))&amp;"-"&amp;TEXT(A2509,"hh"),LoadTable[],5,FALSE)*0.92</f>
        <v>236.10788000000002</v>
      </c>
      <c r="U2509" s="104">
        <f>VLOOKUP(TEXT(A2509,"yy-mm")&amp;"-"&amp;IF(AND(WEEKDAY(A2509)&gt;1,WEEKDAY(A2509)&lt;7),"Wkd",TEXT(A2509,"Ddd"))&amp;"-"&amp;TEXT(A2509,"hh"),LoadTable[],6,FALSE)*T2509</f>
        <v>10565.591522120001</v>
      </c>
      <c r="V2509">
        <f t="shared" ref="V2509:W2509" si="2677">V2485</f>
        <v>2.9</v>
      </c>
      <c r="W2509">
        <f t="shared" si="2677"/>
        <v>3</v>
      </c>
      <c r="X2509" s="9">
        <v>-134.39458416667199</v>
      </c>
    </row>
    <row r="2510" spans="1:24">
      <c r="A2510" s="29">
        <f t="shared" si="2668"/>
        <v>45940.458333327253</v>
      </c>
      <c r="B2510" s="30">
        <f t="shared" si="2623"/>
        <v>8000</v>
      </c>
      <c r="C2510" s="8">
        <v>25000</v>
      </c>
      <c r="D2510" s="8">
        <v>0</v>
      </c>
      <c r="E2510" s="8">
        <v>700</v>
      </c>
      <c r="F2510" s="8">
        <v>15000</v>
      </c>
      <c r="G2510" s="30">
        <f t="shared" si="2624"/>
        <v>2400</v>
      </c>
      <c r="H2510" s="8">
        <v>25000</v>
      </c>
      <c r="I2510" s="30">
        <f t="shared" si="2625"/>
        <v>8000</v>
      </c>
      <c r="J2510" s="8">
        <v>25000</v>
      </c>
      <c r="K2510" s="30">
        <f t="shared" si="2626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VLOOKUP(VLOOKUP(DATEVALUE(TEXT(A2510,"m/d/yyyy")),FY24_Temp[],5,FALSE)&amp;TEXT(A2510,"-h"),Table6[],4,FALSE)</f>
        <v>0.61371428200176781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VLOOKUP(TEXT(A2510,"yy-mm")&amp;"-"&amp;IF(AND(WEEKDAY(A2510)&gt;1,WEEKDAY(A2510)&lt;7),"Wkd",TEXT(A2510,"Ddd"))&amp;"-"&amp;TEXT(A2510,"hh"),LoadTable[],5,FALSE)*0.92</f>
        <v>236.10788000000002</v>
      </c>
      <c r="U2510" s="104">
        <f>VLOOKUP(TEXT(A2510,"yy-mm")&amp;"-"&amp;IF(AND(WEEKDAY(A2510)&gt;1,WEEKDAY(A2510)&lt;7),"Wkd",TEXT(A2510,"Ddd"))&amp;"-"&amp;TEXT(A2510,"hh"),LoadTable[],6,FALSE)*T2510</f>
        <v>10548.355646880002</v>
      </c>
      <c r="V2510">
        <f t="shared" ref="V2510:W2510" si="2678">V2486</f>
        <v>3.4</v>
      </c>
      <c r="W2510">
        <f t="shared" si="2678"/>
        <v>3</v>
      </c>
      <c r="X2510" s="9">
        <v>-134.47237871667201</v>
      </c>
    </row>
    <row r="2511" spans="1:24">
      <c r="A2511" s="29">
        <f t="shared" si="2668"/>
        <v>45940.499999993917</v>
      </c>
      <c r="B2511" s="30">
        <f t="shared" si="2623"/>
        <v>8000</v>
      </c>
      <c r="C2511" s="8">
        <v>25000</v>
      </c>
      <c r="D2511" s="8">
        <v>0</v>
      </c>
      <c r="E2511" s="8">
        <v>700</v>
      </c>
      <c r="F2511" s="8">
        <v>15000</v>
      </c>
      <c r="G2511" s="30">
        <f t="shared" si="2624"/>
        <v>2400</v>
      </c>
      <c r="H2511" s="8">
        <v>25000</v>
      </c>
      <c r="I2511" s="30">
        <f t="shared" si="2625"/>
        <v>8000</v>
      </c>
      <c r="J2511" s="8">
        <v>25000</v>
      </c>
      <c r="K2511" s="30">
        <f t="shared" si="2626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VLOOKUP(VLOOKUP(DATEVALUE(TEXT(A2511,"m/d/yyyy")),FY24_Temp[],5,FALSE)&amp;TEXT(A2511,"-h"),Table6[],4,FALSE)</f>
        <v>0.48757142680031912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VLOOKUP(TEXT(A2511,"yy-mm")&amp;"-"&amp;IF(AND(WEEKDAY(A2511)&gt;1,WEEKDAY(A2511)&lt;7),"Wkd",TEXT(A2511,"Ddd"))&amp;"-"&amp;TEXT(A2511,"hh"),LoadTable[],5,FALSE)*0.92</f>
        <v>236.10788000000002</v>
      </c>
      <c r="U2511" s="104">
        <f>VLOOKUP(TEXT(A2511,"yy-mm")&amp;"-"&amp;IF(AND(WEEKDAY(A2511)&gt;1,WEEKDAY(A2511)&lt;7),"Wkd",TEXT(A2511,"Ddd"))&amp;"-"&amp;TEXT(A2511,"hh"),LoadTable[],6,FALSE)*T2511</f>
        <v>10540.327978960002</v>
      </c>
      <c r="V2511">
        <f t="shared" ref="V2511:W2511" si="2679">V2487</f>
        <v>3.1</v>
      </c>
      <c r="W2511">
        <f t="shared" si="2679"/>
        <v>2.9</v>
      </c>
      <c r="X2511" s="9">
        <v>-134.550173266672</v>
      </c>
    </row>
    <row r="2512" spans="1:24">
      <c r="A2512" s="29">
        <f t="shared" si="2668"/>
        <v>45940.541666660582</v>
      </c>
      <c r="B2512" s="30">
        <f t="shared" si="2623"/>
        <v>8000</v>
      </c>
      <c r="C2512" s="8">
        <v>25000</v>
      </c>
      <c r="D2512" s="8">
        <v>0</v>
      </c>
      <c r="E2512" s="8">
        <v>700</v>
      </c>
      <c r="F2512" s="8">
        <v>15000</v>
      </c>
      <c r="G2512" s="30">
        <f t="shared" si="2624"/>
        <v>2400</v>
      </c>
      <c r="H2512" s="8">
        <v>25000</v>
      </c>
      <c r="I2512" s="30">
        <f t="shared" si="2625"/>
        <v>8000</v>
      </c>
      <c r="J2512" s="8">
        <v>25000</v>
      </c>
      <c r="K2512" s="30">
        <f t="shared" si="2626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VLOOKUP(VLOOKUP(DATEVALUE(TEXT(A2512,"m/d/yyyy")),FY24_Temp[],5,FALSE)&amp;TEXT(A2512,"-h"),Table6[],4,FALSE)</f>
        <v>0.37585713820798056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VLOOKUP(TEXT(A2512,"yy-mm")&amp;"-"&amp;IF(AND(WEEKDAY(A2512)&gt;1,WEEKDAY(A2512)&lt;7),"Wkd",TEXT(A2512,"Ddd"))&amp;"-"&amp;TEXT(A2512,"hh"),LoadTable[],5,FALSE)*0.92</f>
        <v>236.10788000000002</v>
      </c>
      <c r="U2512" s="104">
        <f>VLOOKUP(TEXT(A2512,"yy-mm")&amp;"-"&amp;IF(AND(WEEKDAY(A2512)&gt;1,WEEKDAY(A2512)&lt;7),"Wkd",TEXT(A2512,"Ddd"))&amp;"-"&amp;TEXT(A2512,"hh"),LoadTable[],6,FALSE)*T2512</f>
        <v>10541.50851836</v>
      </c>
      <c r="V2512">
        <f t="shared" ref="V2512:W2512" si="2680">V2488</f>
        <v>3.2</v>
      </c>
      <c r="W2512">
        <f t="shared" si="2680"/>
        <v>2.9</v>
      </c>
      <c r="X2512" s="9">
        <v>-134.627967816672</v>
      </c>
    </row>
    <row r="2513" spans="1:24">
      <c r="A2513" s="29">
        <f t="shared" si="2668"/>
        <v>45940.583333327246</v>
      </c>
      <c r="B2513" s="30">
        <f t="shared" si="2623"/>
        <v>8000</v>
      </c>
      <c r="C2513" s="8">
        <v>25000</v>
      </c>
      <c r="D2513" s="8">
        <v>0</v>
      </c>
      <c r="E2513" s="8">
        <v>700</v>
      </c>
      <c r="F2513" s="8">
        <v>15000</v>
      </c>
      <c r="G2513" s="30">
        <f t="shared" si="2624"/>
        <v>2400</v>
      </c>
      <c r="H2513" s="8">
        <v>25000</v>
      </c>
      <c r="I2513" s="30">
        <f t="shared" si="2625"/>
        <v>8000</v>
      </c>
      <c r="J2513" s="8">
        <v>25000</v>
      </c>
      <c r="K2513" s="30">
        <f t="shared" si="2626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VLOOKUP(VLOOKUP(DATEVALUE(TEXT(A2513,"m/d/yyyy")),FY24_Temp[],5,FALSE)&amp;TEXT(A2513,"-h"),Table6[],4,FALSE)</f>
        <v>0.32000000349112917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VLOOKUP(TEXT(A2513,"yy-mm")&amp;"-"&amp;IF(AND(WEEKDAY(A2513)&gt;1,WEEKDAY(A2513)&lt;7),"Wkd",TEXT(A2513,"Ddd"))&amp;"-"&amp;TEXT(A2513,"hh"),LoadTable[],5,FALSE)*0.92</f>
        <v>236.10788000000002</v>
      </c>
      <c r="U2513" s="104">
        <f>VLOOKUP(TEXT(A2513,"yy-mm")&amp;"-"&amp;IF(AND(WEEKDAY(A2513)&gt;1,WEEKDAY(A2513)&lt;7),"Wkd",TEXT(A2513,"Ddd"))&amp;"-"&amp;TEXT(A2513,"hh"),LoadTable[],6,FALSE)*T2513</f>
        <v>10551.188941440001</v>
      </c>
      <c r="V2513">
        <f t="shared" ref="V2513:W2513" si="2681">V2489</f>
        <v>3.5</v>
      </c>
      <c r="W2513">
        <f t="shared" si="2681"/>
        <v>2.9</v>
      </c>
      <c r="X2513" s="9">
        <v>-134.70576236667199</v>
      </c>
    </row>
    <row r="2514" spans="1:24">
      <c r="A2514" s="29">
        <f t="shared" si="2668"/>
        <v>45940.62499999391</v>
      </c>
      <c r="B2514" s="30">
        <f t="shared" si="2623"/>
        <v>8000</v>
      </c>
      <c r="C2514" s="8">
        <v>25000</v>
      </c>
      <c r="D2514" s="8">
        <v>0</v>
      </c>
      <c r="E2514" s="8">
        <v>700</v>
      </c>
      <c r="F2514" s="8">
        <v>15000</v>
      </c>
      <c r="G2514" s="30">
        <f t="shared" si="2624"/>
        <v>2400</v>
      </c>
      <c r="H2514" s="8">
        <v>25000</v>
      </c>
      <c r="I2514" s="30">
        <f t="shared" si="2625"/>
        <v>8000</v>
      </c>
      <c r="J2514" s="8">
        <v>25000</v>
      </c>
      <c r="K2514" s="30">
        <f t="shared" si="2626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VLOOKUP(VLOOKUP(DATEVALUE(TEXT(A2514,"m/d/yyyy")),FY24_Temp[],5,FALSE)&amp;TEXT(A2514,"-h"),Table6[],4,FALSE)</f>
        <v>0.4050000011920929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VLOOKUP(TEXT(A2514,"yy-mm")&amp;"-"&amp;IF(AND(WEEKDAY(A2514)&gt;1,WEEKDAY(A2514)&lt;7),"Wkd",TEXT(A2514,"Ddd"))&amp;"-"&amp;TEXT(A2514,"hh"),LoadTable[],5,FALSE)*0.92</f>
        <v>236.10788000000002</v>
      </c>
      <c r="U2514" s="104">
        <f>VLOOKUP(TEXT(A2514,"yy-mm")&amp;"-"&amp;IF(AND(WEEKDAY(A2514)&gt;1,WEEKDAY(A2514)&lt;7),"Wkd",TEXT(A2514,"Ddd"))&amp;"-"&amp;TEXT(A2514,"hh"),LoadTable[],6,FALSE)*T2514</f>
        <v>10572.202542760002</v>
      </c>
      <c r="V2514">
        <f t="shared" ref="V2514:W2514" si="2682">V2490</f>
        <v>3.2</v>
      </c>
      <c r="W2514">
        <f t="shared" si="2682"/>
        <v>2.9</v>
      </c>
      <c r="X2514" s="9">
        <v>-134.78355691667201</v>
      </c>
    </row>
    <row r="2515" spans="1:24">
      <c r="A2515" s="29">
        <f t="shared" si="2668"/>
        <v>45940.666666660574</v>
      </c>
      <c r="B2515" s="30">
        <f t="shared" si="2623"/>
        <v>8000</v>
      </c>
      <c r="C2515" s="8">
        <v>25000</v>
      </c>
      <c r="D2515" s="8">
        <v>0</v>
      </c>
      <c r="E2515" s="8">
        <v>700</v>
      </c>
      <c r="F2515" s="8">
        <v>15000</v>
      </c>
      <c r="G2515" s="30">
        <f t="shared" si="2624"/>
        <v>2400</v>
      </c>
      <c r="H2515" s="8">
        <v>25000</v>
      </c>
      <c r="I2515" s="30">
        <f t="shared" si="2625"/>
        <v>8000</v>
      </c>
      <c r="J2515" s="8">
        <v>25000</v>
      </c>
      <c r="K2515" s="30">
        <f t="shared" si="2626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VLOOKUP(VLOOKUP(DATEVALUE(TEXT(A2515,"m/d/yyyy")),FY24_Temp[],5,FALSE)&amp;TEXT(A2515,"-h"),Table6[],4,FALSE)</f>
        <v>0.67542857357433861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VLOOKUP(TEXT(A2515,"yy-mm")&amp;"-"&amp;IF(AND(WEEKDAY(A2515)&gt;1,WEEKDAY(A2515)&lt;7),"Wkd",TEXT(A2515,"Ddd"))&amp;"-"&amp;TEXT(A2515,"hh"),LoadTable[],5,FALSE)*0.92</f>
        <v>236.10788000000002</v>
      </c>
      <c r="U2515" s="104">
        <f>VLOOKUP(TEXT(A2515,"yy-mm")&amp;"-"&amp;IF(AND(WEEKDAY(A2515)&gt;1,WEEKDAY(A2515)&lt;7),"Wkd",TEXT(A2515,"Ddd"))&amp;"-"&amp;TEXT(A2515,"hh"),LoadTable[],6,FALSE)*T2515</f>
        <v>10648.93760376</v>
      </c>
      <c r="V2515">
        <f t="shared" ref="V2515:W2515" si="2683">V2491</f>
        <v>3.5</v>
      </c>
      <c r="W2515">
        <f t="shared" si="2683"/>
        <v>3</v>
      </c>
      <c r="X2515" s="9">
        <v>-134.86135146667201</v>
      </c>
    </row>
    <row r="2516" spans="1:24">
      <c r="A2516" s="29">
        <f t="shared" si="2668"/>
        <v>45940.708333327239</v>
      </c>
      <c r="B2516" s="30">
        <f t="shared" si="2623"/>
        <v>8000</v>
      </c>
      <c r="C2516" s="8">
        <v>25000</v>
      </c>
      <c r="D2516" s="8">
        <v>0</v>
      </c>
      <c r="E2516" s="8">
        <v>700</v>
      </c>
      <c r="F2516" s="8">
        <v>15000</v>
      </c>
      <c r="G2516" s="30">
        <f t="shared" si="2624"/>
        <v>2400</v>
      </c>
      <c r="H2516" s="8">
        <v>25000</v>
      </c>
      <c r="I2516" s="30">
        <f t="shared" si="2625"/>
        <v>8000</v>
      </c>
      <c r="J2516" s="8">
        <v>25000</v>
      </c>
      <c r="K2516" s="30">
        <f t="shared" si="2626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VLOOKUP(VLOOKUP(DATEVALUE(TEXT(A2516,"m/d/yyyy")),FY24_Temp[],5,FALSE)&amp;TEXT(A2516,"-h"),Table6[],4,FALSE)</f>
        <v>1.0648571423121862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VLOOKUP(TEXT(A2516,"yy-mm")&amp;"-"&amp;IF(AND(WEEKDAY(A2516)&gt;1,WEEKDAY(A2516)&lt;7),"Wkd",TEXT(A2516,"Ddd"))&amp;"-"&amp;TEXT(A2516,"hh"),LoadTable[],5,FALSE)*0.92</f>
        <v>236.10788000000002</v>
      </c>
      <c r="U2516" s="104">
        <f>VLOOKUP(TEXT(A2516,"yy-mm")&amp;"-"&amp;IF(AND(WEEKDAY(A2516)&gt;1,WEEKDAY(A2516)&lt;7),"Wkd",TEXT(A2516,"Ddd"))&amp;"-"&amp;TEXT(A2516,"hh"),LoadTable[],6,FALSE)*T2516</f>
        <v>11157.513977280001</v>
      </c>
      <c r="V2516">
        <f t="shared" ref="V2516:W2516" si="2684">V2492</f>
        <v>3.6</v>
      </c>
      <c r="W2516">
        <f t="shared" si="2684"/>
        <v>3</v>
      </c>
      <c r="X2516" s="9">
        <v>-134.939146016672</v>
      </c>
    </row>
    <row r="2517" spans="1:24">
      <c r="A2517" s="29">
        <f t="shared" si="2668"/>
        <v>45940.749999993903</v>
      </c>
      <c r="B2517" s="30">
        <f t="shared" si="2623"/>
        <v>5000</v>
      </c>
      <c r="C2517" s="8">
        <v>25000</v>
      </c>
      <c r="D2517" s="8">
        <v>0</v>
      </c>
      <c r="E2517" s="8">
        <v>700</v>
      </c>
      <c r="F2517" s="8">
        <v>15000</v>
      </c>
      <c r="G2517" s="30">
        <f t="shared" si="2624"/>
        <v>2400</v>
      </c>
      <c r="H2517" s="8">
        <v>25000</v>
      </c>
      <c r="I2517" s="30">
        <f t="shared" si="2625"/>
        <v>5000</v>
      </c>
      <c r="J2517" s="8">
        <v>25000</v>
      </c>
      <c r="K2517" s="30">
        <f t="shared" si="2626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VLOOKUP(VLOOKUP(DATEVALUE(TEXT(A2517,"m/d/yyyy")),FY24_Temp[],5,FALSE)&amp;TEXT(A2517,"-h"),Table6[],4,FALSE)</f>
        <v>1.3020000287464686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VLOOKUP(TEXT(A2517,"yy-mm")&amp;"-"&amp;IF(AND(WEEKDAY(A2517)&gt;1,WEEKDAY(A2517)&lt;7),"Wkd",TEXT(A2517,"Ddd"))&amp;"-"&amp;TEXT(A2517,"hh"),LoadTable[],5,FALSE)*0.92</f>
        <v>308.12363999999997</v>
      </c>
      <c r="U2517" s="104">
        <f>VLOOKUP(TEXT(A2517,"yy-mm")&amp;"-"&amp;IF(AND(WEEKDAY(A2517)&gt;1,WEEKDAY(A2517)&lt;7),"Wkd",TEXT(A2517,"Ddd"))&amp;"-"&amp;TEXT(A2517,"hh"),LoadTable[],6,FALSE)*T2517</f>
        <v>15139.963175039999</v>
      </c>
      <c r="V2517">
        <f t="shared" ref="V2517:W2517" si="2685">V2493</f>
        <v>2.9</v>
      </c>
      <c r="W2517">
        <f t="shared" si="2685"/>
        <v>3</v>
      </c>
      <c r="X2517" s="9">
        <v>-135.01694056667199</v>
      </c>
    </row>
    <row r="2518" spans="1:24">
      <c r="A2518" s="29">
        <f t="shared" si="2668"/>
        <v>45940.791666660567</v>
      </c>
      <c r="B2518" s="30">
        <f t="shared" si="2623"/>
        <v>5000</v>
      </c>
      <c r="C2518" s="8">
        <v>25000</v>
      </c>
      <c r="D2518" s="8">
        <v>0</v>
      </c>
      <c r="E2518" s="8">
        <v>700</v>
      </c>
      <c r="F2518" s="8">
        <v>15000</v>
      </c>
      <c r="G2518" s="30">
        <f t="shared" si="2624"/>
        <v>2400</v>
      </c>
      <c r="H2518" s="8">
        <v>25000</v>
      </c>
      <c r="I2518" s="30">
        <f t="shared" si="2625"/>
        <v>5000</v>
      </c>
      <c r="J2518" s="8">
        <v>25000</v>
      </c>
      <c r="K2518" s="30">
        <f t="shared" si="2626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VLOOKUP(VLOOKUP(DATEVALUE(TEXT(A2518,"m/d/yyyy")),FY24_Temp[],5,FALSE)&amp;TEXT(A2518,"-h"),Table6[],4,FALSE)</f>
        <v>1.449857132775443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VLOOKUP(TEXT(A2518,"yy-mm")&amp;"-"&amp;IF(AND(WEEKDAY(A2518)&gt;1,WEEKDAY(A2518)&lt;7),"Wkd",TEXT(A2518,"Ddd"))&amp;"-"&amp;TEXT(A2518,"hh"),LoadTable[],5,FALSE)*0.92</f>
        <v>308.12363999999997</v>
      </c>
      <c r="U2518" s="104">
        <f>VLOOKUP(TEXT(A2518,"yy-mm")&amp;"-"&amp;IF(AND(WEEKDAY(A2518)&gt;1,WEEKDAY(A2518)&lt;7),"Wkd",TEXT(A2518,"Ddd"))&amp;"-"&amp;TEXT(A2518,"hh"),LoadTable[],6,FALSE)*T2518</f>
        <v>15247.806449039997</v>
      </c>
      <c r="V2518">
        <f t="shared" ref="V2518:W2518" si="2686">V2494</f>
        <v>3</v>
      </c>
      <c r="W2518">
        <f t="shared" si="2686"/>
        <v>3</v>
      </c>
      <c r="X2518" s="9">
        <v>-135.09473511667201</v>
      </c>
    </row>
    <row r="2519" spans="1:24">
      <c r="A2519" s="29">
        <f t="shared" si="2668"/>
        <v>45940.833333327231</v>
      </c>
      <c r="B2519" s="30">
        <f t="shared" si="2623"/>
        <v>5000</v>
      </c>
      <c r="C2519" s="8">
        <v>25000</v>
      </c>
      <c r="D2519" s="8">
        <v>0</v>
      </c>
      <c r="E2519" s="8">
        <v>700</v>
      </c>
      <c r="F2519" s="8">
        <v>15000</v>
      </c>
      <c r="G2519" s="30">
        <f t="shared" si="2624"/>
        <v>2400</v>
      </c>
      <c r="H2519" s="8">
        <v>25000</v>
      </c>
      <c r="I2519" s="30">
        <f t="shared" si="2625"/>
        <v>5000</v>
      </c>
      <c r="J2519" s="8">
        <v>25000</v>
      </c>
      <c r="K2519" s="30">
        <f t="shared" si="2626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VLOOKUP(VLOOKUP(DATEVALUE(TEXT(A2519,"m/d/yyyy")),FY24_Temp[],5,FALSE)&amp;TEXT(A2519,"-h"),Table6[],4,FALSE)</f>
        <v>1.5270000014986311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VLOOKUP(TEXT(A2519,"yy-mm")&amp;"-"&amp;IF(AND(WEEKDAY(A2519)&gt;1,WEEKDAY(A2519)&lt;7),"Wkd",TEXT(A2519,"Ddd"))&amp;"-"&amp;TEXT(A2519,"hh"),LoadTable[],5,FALSE)*0.92</f>
        <v>308.12363999999997</v>
      </c>
      <c r="U2519" s="104">
        <f>VLOOKUP(TEXT(A2519,"yy-mm")&amp;"-"&amp;IF(AND(WEEKDAY(A2519)&gt;1,WEEKDAY(A2519)&lt;7),"Wkd",TEXT(A2519,"Ddd"))&amp;"-"&amp;TEXT(A2519,"hh"),LoadTable[],6,FALSE)*T2519</f>
        <v>15157.218098879999</v>
      </c>
      <c r="V2519">
        <f t="shared" ref="V2519:W2519" si="2687">V2495</f>
        <v>2.8</v>
      </c>
      <c r="W2519">
        <f t="shared" si="2687"/>
        <v>3.1</v>
      </c>
      <c r="X2519" s="9">
        <v>-135.17252966667201</v>
      </c>
    </row>
    <row r="2520" spans="1:24">
      <c r="A2520" s="29">
        <f t="shared" si="2668"/>
        <v>45940.874999993895</v>
      </c>
      <c r="B2520" s="30">
        <f t="shared" si="2623"/>
        <v>5000</v>
      </c>
      <c r="C2520" s="8">
        <v>25000</v>
      </c>
      <c r="D2520" s="8">
        <v>0</v>
      </c>
      <c r="E2520" s="8">
        <v>700</v>
      </c>
      <c r="F2520" s="8">
        <v>15000</v>
      </c>
      <c r="G2520" s="30">
        <f t="shared" si="2624"/>
        <v>2400</v>
      </c>
      <c r="H2520" s="8">
        <v>25000</v>
      </c>
      <c r="I2520" s="30">
        <f t="shared" si="2625"/>
        <v>5000</v>
      </c>
      <c r="J2520" s="8">
        <v>25000</v>
      </c>
      <c r="K2520" s="30">
        <f t="shared" si="2626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VLOOKUP(VLOOKUP(DATEVALUE(TEXT(A2520,"m/d/yyyy")),FY24_Temp[],5,FALSE)&amp;TEXT(A2520,"-h"),Table6[],4,FALSE)</f>
        <v>1.6015714406967163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VLOOKUP(TEXT(A2520,"yy-mm")&amp;"-"&amp;IF(AND(WEEKDAY(A2520)&gt;1,WEEKDAY(A2520)&lt;7),"Wkd",TEXT(A2520,"Ddd"))&amp;"-"&amp;TEXT(A2520,"hh"),LoadTable[],5,FALSE)*0.92</f>
        <v>234.33964000000003</v>
      </c>
      <c r="U2520" s="104">
        <f>VLOOKUP(TEXT(A2520,"yy-mm")&amp;"-"&amp;IF(AND(WEEKDAY(A2520)&gt;1,WEEKDAY(A2520)&lt;7),"Wkd",TEXT(A2520,"Ddd"))&amp;"-"&amp;TEXT(A2520,"hh"),LoadTable[],6,FALSE)*T2520</f>
        <v>11344.147632760001</v>
      </c>
      <c r="V2520">
        <f t="shared" ref="V2520:W2520" si="2688">V2496</f>
        <v>3.5</v>
      </c>
      <c r="W2520">
        <f t="shared" si="2688"/>
        <v>3.1</v>
      </c>
      <c r="X2520" s="9">
        <v>-135.250324216672</v>
      </c>
    </row>
    <row r="2521" spans="1:24">
      <c r="A2521" s="29">
        <f t="shared" si="2668"/>
        <v>45940.91666666056</v>
      </c>
      <c r="B2521" s="30">
        <f t="shared" si="2623"/>
        <v>5000</v>
      </c>
      <c r="C2521" s="8">
        <v>25000</v>
      </c>
      <c r="D2521" s="8">
        <v>0</v>
      </c>
      <c r="E2521" s="8">
        <v>700</v>
      </c>
      <c r="F2521" s="8">
        <v>15000</v>
      </c>
      <c r="G2521" s="30">
        <f t="shared" si="2624"/>
        <v>2400</v>
      </c>
      <c r="H2521" s="8">
        <v>25000</v>
      </c>
      <c r="I2521" s="30">
        <f t="shared" si="2625"/>
        <v>5000</v>
      </c>
      <c r="J2521" s="8">
        <v>25000</v>
      </c>
      <c r="K2521" s="30">
        <f t="shared" si="2626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VLOOKUP(VLOOKUP(DATEVALUE(TEXT(A2521,"m/d/yyyy")),FY24_Temp[],5,FALSE)&amp;TEXT(A2521,"-h"),Table6[],4,FALSE)</f>
        <v>1.6414285898208618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VLOOKUP(TEXT(A2521,"yy-mm")&amp;"-"&amp;IF(AND(WEEKDAY(A2521)&gt;1,WEEKDAY(A2521)&lt;7),"Wkd",TEXT(A2521,"Ddd"))&amp;"-"&amp;TEXT(A2521,"hh"),LoadTable[],5,FALSE)*0.92</f>
        <v>180.62544</v>
      </c>
      <c r="U2521" s="104">
        <f>VLOOKUP(TEXT(A2521,"yy-mm")&amp;"-"&amp;IF(AND(WEEKDAY(A2521)&gt;1,WEEKDAY(A2521)&lt;7),"Wkd",TEXT(A2521,"Ddd"))&amp;"-"&amp;TEXT(A2521,"hh"),LoadTable[],6,FALSE)*T2521</f>
        <v>8304.2546039999997</v>
      </c>
      <c r="V2521">
        <f t="shared" ref="V2521:W2521" si="2689">V2497</f>
        <v>2.9</v>
      </c>
      <c r="W2521">
        <f t="shared" si="2689"/>
        <v>3.1</v>
      </c>
      <c r="X2521" s="9">
        <v>-135.32811876667199</v>
      </c>
    </row>
    <row r="2522" spans="1:24" ht="16" thickBot="1">
      <c r="A2522" s="29">
        <f t="shared" si="2668"/>
        <v>45940.958333327224</v>
      </c>
      <c r="B2522" s="30">
        <f t="shared" si="2623"/>
        <v>5000</v>
      </c>
      <c r="C2522" s="8">
        <v>25000</v>
      </c>
      <c r="D2522" s="8">
        <v>0</v>
      </c>
      <c r="E2522" s="8">
        <v>700</v>
      </c>
      <c r="F2522" s="8">
        <v>15000</v>
      </c>
      <c r="G2522" s="30">
        <f t="shared" si="2624"/>
        <v>2400</v>
      </c>
      <c r="H2522" s="8">
        <v>25000</v>
      </c>
      <c r="I2522" s="30">
        <f t="shared" si="2625"/>
        <v>5000</v>
      </c>
      <c r="J2522" s="8">
        <v>25000</v>
      </c>
      <c r="K2522" s="30">
        <f t="shared" si="2626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VLOOKUP(VLOOKUP(DATEVALUE(TEXT(A2522,"m/d/yyyy")),FY24_Temp[],5,FALSE)&amp;TEXT(A2522,"-h"),Table6[],4,FALSE)</f>
        <v>1.6130000182560511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VLOOKUP(TEXT(A2522,"yy-mm")&amp;"-"&amp;IF(AND(WEEKDAY(A2522)&gt;1,WEEKDAY(A2522)&lt;7),"Wkd",TEXT(A2522,"Ddd"))&amp;"-"&amp;TEXT(A2522,"hh"),LoadTable[],5,FALSE)*0.92</f>
        <v>180.62544</v>
      </c>
      <c r="U2522" s="104">
        <f>VLOOKUP(TEXT(A2522,"yy-mm")&amp;"-"&amp;IF(AND(WEEKDAY(A2522)&gt;1,WEEKDAY(A2522)&lt;7),"Wkd",TEXT(A2522,"Ddd"))&amp;"-"&amp;TEXT(A2522,"hh"),LoadTable[],6,FALSE)*T2522</f>
        <v>8217.1931419200009</v>
      </c>
      <c r="V2522">
        <f t="shared" ref="V2522:W2522" si="2690">V2498</f>
        <v>3.6</v>
      </c>
      <c r="W2522">
        <f t="shared" si="2690"/>
        <v>3.1</v>
      </c>
      <c r="X2522" s="9">
        <v>-135.40591331667201</v>
      </c>
    </row>
    <row r="2523" spans="1:24" ht="16" thickBot="1">
      <c r="A2523" s="120">
        <f t="shared" si="2668"/>
        <v>45940.999999993888</v>
      </c>
      <c r="B2523" s="121">
        <f t="shared" si="2623"/>
        <v>5000</v>
      </c>
      <c r="C2523" s="114">
        <v>25000</v>
      </c>
      <c r="D2523" s="114">
        <v>0</v>
      </c>
      <c r="E2523" s="114">
        <v>700</v>
      </c>
      <c r="F2523" s="114">
        <v>15000</v>
      </c>
      <c r="G2523" s="114">
        <f t="shared" si="2624"/>
        <v>2400</v>
      </c>
      <c r="H2523" s="114">
        <v>25000</v>
      </c>
      <c r="I2523" s="114">
        <f t="shared" si="2625"/>
        <v>5000</v>
      </c>
      <c r="J2523" s="114">
        <v>25000</v>
      </c>
      <c r="K2523" s="114">
        <f t="shared" si="2626"/>
        <v>5000</v>
      </c>
      <c r="L2523" s="114">
        <v>25000</v>
      </c>
      <c r="M2523" s="115">
        <f>VLOOKUP(DATE(YEAR(A2523),MONTH(A2523),DAY(A2523)),FY24_Temp[],4,FALSE)</f>
        <v>9</v>
      </c>
      <c r="N2523" s="115">
        <f>VLOOKUP(DATE(YEAR(A2523),MONTH(A2523),DAY(A2523)),FY24_Temp[],3,FALSE)</f>
        <v>17.25</v>
      </c>
      <c r="O2523" s="115">
        <v>13.5</v>
      </c>
      <c r="P2523" s="115">
        <v>19.5</v>
      </c>
      <c r="Q2523" s="116">
        <f>VLOOKUP(VLOOKUP(DATEVALUE(TEXT(A2523,"m/d/yyyy")),FY24_Temp[],5,FALSE)&amp;TEXT(A2523,"-h"),Table6[],4,FALSE)</f>
        <v>1.232285703931536</v>
      </c>
      <c r="R2523" s="117">
        <v>10</v>
      </c>
      <c r="S2523" s="117">
        <v>1000</v>
      </c>
      <c r="T2523" s="100">
        <f>VLOOKUP(TEXT(A2523,"yy-mm")&amp;"-"&amp;IF(AND(WEEKDAY(A2523)&gt;1,WEEKDAY(A2523)&lt;7),"Wkd",TEXT(A2523,"Ddd"))&amp;"-"&amp;TEXT(A2523,"hh"),LoadTable[],5,FALSE)*0.92</f>
        <v>180.62544</v>
      </c>
      <c r="U2523" s="118">
        <f>VLOOKUP(TEXT(A2523,"yy-mm")&amp;"-"&amp;IF(AND(WEEKDAY(A2523)&gt;1,WEEKDAY(A2523)&lt;7),"Wkd",TEXT(A2523,"Ddd"))&amp;"-"&amp;TEXT(A2523,"hh"),LoadTable[],6,FALSE)*T2523</f>
        <v>8140.6079553600002</v>
      </c>
      <c r="V2523" s="117">
        <f t="shared" ref="V2523:W2523" si="2691">V2499</f>
        <v>3</v>
      </c>
      <c r="W2523" s="117">
        <f t="shared" si="2691"/>
        <v>3.2</v>
      </c>
      <c r="X2523" s="119">
        <v>-135.48370786667201</v>
      </c>
    </row>
    <row r="2524" spans="1:24">
      <c r="A2524" s="29">
        <f t="shared" si="2668"/>
        <v>45941.041666660552</v>
      </c>
      <c r="B2524" s="30">
        <f t="shared" ref="B2524:B2587" si="2692">B2500</f>
        <v>5000</v>
      </c>
      <c r="C2524" s="8">
        <v>25000</v>
      </c>
      <c r="D2524" s="8">
        <v>0</v>
      </c>
      <c r="E2524" s="8">
        <v>700</v>
      </c>
      <c r="F2524" s="8">
        <v>15000</v>
      </c>
      <c r="G2524" s="30">
        <f t="shared" ref="G2524:G2587" si="2693">G2500</f>
        <v>2400</v>
      </c>
      <c r="H2524" s="8">
        <v>25000</v>
      </c>
      <c r="I2524" s="30">
        <f t="shared" ref="I2524:I2587" si="2694">I2500</f>
        <v>5000</v>
      </c>
      <c r="J2524" s="8">
        <v>25000</v>
      </c>
      <c r="K2524" s="30">
        <f t="shared" ref="K2524:K2587" si="2695">K2500</f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VLOOKUP(VLOOKUP(DATEVALUE(TEXT(A2524,"m/d/yyyy")),FY24_Temp[],5,FALSE)&amp;TEXT(A2524,"-h"),Table6[],4,FALSE)</f>
        <v>1.2795714139938354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VLOOKUP(TEXT(A2524,"yy-mm")&amp;"-"&amp;IF(AND(WEEKDAY(A2524)&gt;1,WEEKDAY(A2524)&lt;7),"Wkd",TEXT(A2524,"Ddd"))&amp;"-"&amp;TEXT(A2524,"hh"),LoadTable[],5,FALSE)*0.92</f>
        <v>180.62544</v>
      </c>
      <c r="U2524" s="104">
        <f>VLOOKUP(TEXT(A2524,"yy-mm")&amp;"-"&amp;IF(AND(WEEKDAY(A2524)&gt;1,WEEKDAY(A2524)&lt;7),"Wkd",TEXT(A2524,"Ddd"))&amp;"-"&amp;TEXT(A2524,"hh"),LoadTable[],6,FALSE)*T2524</f>
        <v>8136.8148211200005</v>
      </c>
      <c r="V2524">
        <f t="shared" ref="V2524:W2524" si="2696">V2500</f>
        <v>2.6</v>
      </c>
      <c r="W2524">
        <f t="shared" si="2696"/>
        <v>3.2</v>
      </c>
      <c r="X2524" s="9">
        <v>-135.561502416672</v>
      </c>
    </row>
    <row r="2525" spans="1:24">
      <c r="A2525" s="29">
        <f t="shared" si="2668"/>
        <v>45941.083333327217</v>
      </c>
      <c r="B2525" s="30">
        <f t="shared" si="2692"/>
        <v>5000</v>
      </c>
      <c r="C2525" s="8">
        <v>25000</v>
      </c>
      <c r="D2525" s="8">
        <v>0</v>
      </c>
      <c r="E2525" s="8">
        <v>700</v>
      </c>
      <c r="F2525" s="8">
        <v>15000</v>
      </c>
      <c r="G2525" s="30">
        <f t="shared" si="2693"/>
        <v>2400</v>
      </c>
      <c r="H2525" s="8">
        <v>25000</v>
      </c>
      <c r="I2525" s="30">
        <f t="shared" si="2694"/>
        <v>5000</v>
      </c>
      <c r="J2525" s="8">
        <v>25000</v>
      </c>
      <c r="K2525" s="30">
        <f t="shared" si="2695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VLOOKUP(VLOOKUP(DATEVALUE(TEXT(A2525,"m/d/yyyy")),FY24_Temp[],5,FALSE)&amp;TEXT(A2525,"-h"),Table6[],4,FALSE)</f>
        <v>1.2324285677501134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VLOOKUP(TEXT(A2525,"yy-mm")&amp;"-"&amp;IF(AND(WEEKDAY(A2525)&gt;1,WEEKDAY(A2525)&lt;7),"Wkd",TEXT(A2525,"Ddd"))&amp;"-"&amp;TEXT(A2525,"hh"),LoadTable[],5,FALSE)*0.92</f>
        <v>180.62544</v>
      </c>
      <c r="U2525" s="104">
        <f>VLOOKUP(TEXT(A2525,"yy-mm")&amp;"-"&amp;IF(AND(WEEKDAY(A2525)&gt;1,WEEKDAY(A2525)&lt;7),"Wkd",TEXT(A2525,"Ddd"))&amp;"-"&amp;TEXT(A2525,"hh"),LoadTable[],6,FALSE)*T2525</f>
        <v>8129.9510543999995</v>
      </c>
      <c r="V2525">
        <f t="shared" ref="V2525:W2525" si="2697">V2501</f>
        <v>2.8</v>
      </c>
      <c r="W2525">
        <f t="shared" si="2697"/>
        <v>3.2</v>
      </c>
      <c r="X2525" s="9">
        <v>-135.63929696667199</v>
      </c>
    </row>
    <row r="2526" spans="1:24">
      <c r="A2526" s="29">
        <f t="shared" si="2668"/>
        <v>45941.124999993881</v>
      </c>
      <c r="B2526" s="30">
        <f t="shared" si="2692"/>
        <v>5000</v>
      </c>
      <c r="C2526" s="8">
        <v>25000</v>
      </c>
      <c r="D2526" s="8">
        <v>0</v>
      </c>
      <c r="E2526" s="8">
        <v>700</v>
      </c>
      <c r="F2526" s="8">
        <v>15000</v>
      </c>
      <c r="G2526" s="30">
        <f t="shared" si="2693"/>
        <v>2400</v>
      </c>
      <c r="H2526" s="8">
        <v>25000</v>
      </c>
      <c r="I2526" s="30">
        <f t="shared" si="2694"/>
        <v>5000</v>
      </c>
      <c r="J2526" s="8">
        <v>25000</v>
      </c>
      <c r="K2526" s="30">
        <f t="shared" si="2695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VLOOKUP(VLOOKUP(DATEVALUE(TEXT(A2526,"m/d/yyyy")),FY24_Temp[],5,FALSE)&amp;TEXT(A2526,"-h"),Table6[],4,FALSE)</f>
        <v>1.132857152393886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VLOOKUP(TEXT(A2526,"yy-mm")&amp;"-"&amp;IF(AND(WEEKDAY(A2526)&gt;1,WEEKDAY(A2526)&lt;7),"Wkd",TEXT(A2526,"Ddd"))&amp;"-"&amp;TEXT(A2526,"hh"),LoadTable[],5,FALSE)*0.92</f>
        <v>180.62544</v>
      </c>
      <c r="U2526" s="104">
        <f>VLOOKUP(TEXT(A2526,"yy-mm")&amp;"-"&amp;IF(AND(WEEKDAY(A2526)&gt;1,WEEKDAY(A2526)&lt;7),"Wkd",TEXT(A2526,"Ddd"))&amp;"-"&amp;TEXT(A2526,"hh"),LoadTable[],6,FALSE)*T2526</f>
        <v>8141.5110825599995</v>
      </c>
      <c r="V2526">
        <f t="shared" ref="V2526:W2526" si="2698">V2502</f>
        <v>2.7</v>
      </c>
      <c r="W2526">
        <f t="shared" si="2698"/>
        <v>3.2</v>
      </c>
      <c r="X2526" s="9">
        <v>-135.71709151667201</v>
      </c>
    </row>
    <row r="2527" spans="1:24">
      <c r="A2527" s="29">
        <f t="shared" si="2668"/>
        <v>45941.166666660545</v>
      </c>
      <c r="B2527" s="30">
        <f t="shared" si="2692"/>
        <v>5000</v>
      </c>
      <c r="C2527" s="8">
        <v>25000</v>
      </c>
      <c r="D2527" s="8">
        <v>0</v>
      </c>
      <c r="E2527" s="8">
        <v>700</v>
      </c>
      <c r="F2527" s="8">
        <v>15000</v>
      </c>
      <c r="G2527" s="30">
        <f t="shared" si="2693"/>
        <v>2400</v>
      </c>
      <c r="H2527" s="8">
        <v>25000</v>
      </c>
      <c r="I2527" s="30">
        <f t="shared" si="2694"/>
        <v>5000</v>
      </c>
      <c r="J2527" s="8">
        <v>25000</v>
      </c>
      <c r="K2527" s="30">
        <f t="shared" si="2695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VLOOKUP(VLOOKUP(DATEVALUE(TEXT(A2527,"m/d/yyyy")),FY24_Temp[],5,FALSE)&amp;TEXT(A2527,"-h"),Table6[],4,FALSE)</f>
        <v>1.0471428547586714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VLOOKUP(TEXT(A2527,"yy-mm")&amp;"-"&amp;IF(AND(WEEKDAY(A2527)&gt;1,WEEKDAY(A2527)&lt;7),"Wkd",TEXT(A2527,"Ddd"))&amp;"-"&amp;TEXT(A2527,"hh"),LoadTable[],5,FALSE)*0.92</f>
        <v>209.07184000000001</v>
      </c>
      <c r="U2527" s="104">
        <f>VLOOKUP(TEXT(A2527,"yy-mm")&amp;"-"&amp;IF(AND(WEEKDAY(A2527)&gt;1,WEEKDAY(A2527)&lt;7),"Wkd",TEXT(A2527,"Ddd"))&amp;"-"&amp;TEXT(A2527,"hh"),LoadTable[],6,FALSE)*T2527</f>
        <v>9412.2051649599998</v>
      </c>
      <c r="V2527">
        <f t="shared" ref="V2527:W2527" si="2699">V2503</f>
        <v>3</v>
      </c>
      <c r="W2527">
        <f t="shared" si="2699"/>
        <v>3.1</v>
      </c>
      <c r="X2527" s="9">
        <v>-135.79488606667201</v>
      </c>
    </row>
    <row r="2528" spans="1:24">
      <c r="A2528" s="29">
        <f t="shared" si="2668"/>
        <v>45941.208333327209</v>
      </c>
      <c r="B2528" s="30">
        <f t="shared" si="2692"/>
        <v>5000</v>
      </c>
      <c r="C2528" s="8">
        <v>25000</v>
      </c>
      <c r="D2528" s="8">
        <v>0</v>
      </c>
      <c r="E2528" s="8">
        <v>700</v>
      </c>
      <c r="F2528" s="8">
        <v>15000</v>
      </c>
      <c r="G2528" s="30">
        <f t="shared" si="2693"/>
        <v>2400</v>
      </c>
      <c r="H2528" s="8">
        <v>25000</v>
      </c>
      <c r="I2528" s="30">
        <f t="shared" si="2694"/>
        <v>5000</v>
      </c>
      <c r="J2528" s="8">
        <v>25000</v>
      </c>
      <c r="K2528" s="30">
        <f t="shared" si="2695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VLOOKUP(VLOOKUP(DATEVALUE(TEXT(A2528,"m/d/yyyy")),FY24_Temp[],5,FALSE)&amp;TEXT(A2528,"-h"),Table6[],4,FALSE)</f>
        <v>1.0077142885753088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VLOOKUP(TEXT(A2528,"yy-mm")&amp;"-"&amp;IF(AND(WEEKDAY(A2528)&gt;1,WEEKDAY(A2528)&lt;7),"Wkd",TEXT(A2528,"Ddd"))&amp;"-"&amp;TEXT(A2528,"hh"),LoadTable[],5,FALSE)*0.92</f>
        <v>209.07184000000001</v>
      </c>
      <c r="U2528" s="104">
        <f>VLOOKUP(TEXT(A2528,"yy-mm")&amp;"-"&amp;IF(AND(WEEKDAY(A2528)&gt;1,WEEKDAY(A2528)&lt;7),"Wkd",TEXT(A2528,"Ddd"))&amp;"-"&amp;TEXT(A2528,"hh"),LoadTable[],6,FALSE)*T2528</f>
        <v>9445.4475875200005</v>
      </c>
      <c r="V2528">
        <f t="shared" ref="V2528:W2528" si="2700">V2504</f>
        <v>2.9</v>
      </c>
      <c r="W2528">
        <f t="shared" si="2700"/>
        <v>3.1</v>
      </c>
      <c r="X2528" s="9">
        <v>-135.872680616672</v>
      </c>
    </row>
    <row r="2529" spans="1:24">
      <c r="A2529" s="29">
        <f t="shared" si="2668"/>
        <v>45941.249999993874</v>
      </c>
      <c r="B2529" s="30">
        <f t="shared" si="2692"/>
        <v>8000</v>
      </c>
      <c r="C2529" s="8">
        <v>25000</v>
      </c>
      <c r="D2529" s="8">
        <v>0</v>
      </c>
      <c r="E2529" s="8">
        <v>700</v>
      </c>
      <c r="F2529" s="8">
        <v>15000</v>
      </c>
      <c r="G2529" s="30">
        <f t="shared" si="2693"/>
        <v>2400</v>
      </c>
      <c r="H2529" s="8">
        <v>25000</v>
      </c>
      <c r="I2529" s="30">
        <f t="shared" si="2694"/>
        <v>8000</v>
      </c>
      <c r="J2529" s="8">
        <v>25000</v>
      </c>
      <c r="K2529" s="30">
        <f t="shared" si="2695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VLOOKUP(VLOOKUP(DATEVALUE(TEXT(A2529,"m/d/yyyy")),FY24_Temp[],5,FALSE)&amp;TEXT(A2529,"-h"),Table6[],4,FALSE)</f>
        <v>0.85642857210976742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VLOOKUP(TEXT(A2529,"yy-mm")&amp;"-"&amp;IF(AND(WEEKDAY(A2529)&gt;1,WEEKDAY(A2529)&lt;7),"Wkd",TEXT(A2529,"Ddd"))&amp;"-"&amp;TEXT(A2529,"hh"),LoadTable[],5,FALSE)*0.92</f>
        <v>236.10788000000002</v>
      </c>
      <c r="U2529" s="104">
        <f>VLOOKUP(TEXT(A2529,"yy-mm")&amp;"-"&amp;IF(AND(WEEKDAY(A2529)&gt;1,WEEKDAY(A2529)&lt;7),"Wkd",TEXT(A2529,"Ddd"))&amp;"-"&amp;TEXT(A2529,"hh"),LoadTable[],6,FALSE)*T2529</f>
        <v>11185.610815000002</v>
      </c>
      <c r="V2529">
        <f t="shared" ref="V2529:W2529" si="2701">V2505</f>
        <v>2.5</v>
      </c>
      <c r="W2529">
        <f t="shared" si="2701"/>
        <v>3.1</v>
      </c>
      <c r="X2529" s="9">
        <v>-135.95047516667199</v>
      </c>
    </row>
    <row r="2530" spans="1:24">
      <c r="A2530" s="29">
        <f t="shared" si="2668"/>
        <v>45941.291666660538</v>
      </c>
      <c r="B2530" s="30">
        <f t="shared" si="2692"/>
        <v>8000</v>
      </c>
      <c r="C2530" s="8">
        <v>25000</v>
      </c>
      <c r="D2530" s="8">
        <v>0</v>
      </c>
      <c r="E2530" s="8">
        <v>700</v>
      </c>
      <c r="F2530" s="8">
        <v>15000</v>
      </c>
      <c r="G2530" s="30">
        <f t="shared" si="2693"/>
        <v>2400</v>
      </c>
      <c r="H2530" s="8">
        <v>25000</v>
      </c>
      <c r="I2530" s="30">
        <f t="shared" si="2694"/>
        <v>8000</v>
      </c>
      <c r="J2530" s="8">
        <v>25000</v>
      </c>
      <c r="K2530" s="30">
        <f t="shared" si="2695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VLOOKUP(VLOOKUP(DATEVALUE(TEXT(A2530,"m/d/yyyy")),FY24_Temp[],5,FALSE)&amp;TEXT(A2530,"-h"),Table6[],4,FALSE)</f>
        <v>0.70771429368427818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VLOOKUP(TEXT(A2530,"yy-mm")&amp;"-"&amp;IF(AND(WEEKDAY(A2530)&gt;1,WEEKDAY(A2530)&lt;7),"Wkd",TEXT(A2530,"Ddd"))&amp;"-"&amp;TEXT(A2530,"hh"),LoadTable[],5,FALSE)*0.92</f>
        <v>236.10788000000002</v>
      </c>
      <c r="U2530" s="104">
        <f>VLOOKUP(TEXT(A2530,"yy-mm")&amp;"-"&amp;IF(AND(WEEKDAY(A2530)&gt;1,WEEKDAY(A2530)&lt;7),"Wkd",TEXT(A2530,"Ddd"))&amp;"-"&amp;TEXT(A2530,"hh"),LoadTable[],6,FALSE)*T2530</f>
        <v>11205.916092680001</v>
      </c>
      <c r="V2530">
        <f t="shared" ref="V2530:W2530" si="2702">V2506</f>
        <v>2.5</v>
      </c>
      <c r="W2530">
        <f t="shared" si="2702"/>
        <v>3.1</v>
      </c>
      <c r="X2530" s="9">
        <v>-136.02826971667201</v>
      </c>
    </row>
    <row r="2531" spans="1:24">
      <c r="A2531" s="29">
        <f t="shared" si="2668"/>
        <v>45941.333333327202</v>
      </c>
      <c r="B2531" s="30">
        <f t="shared" si="2692"/>
        <v>8000</v>
      </c>
      <c r="C2531" s="8">
        <v>25000</v>
      </c>
      <c r="D2531" s="8">
        <v>0</v>
      </c>
      <c r="E2531" s="8">
        <v>700</v>
      </c>
      <c r="F2531" s="8">
        <v>15000</v>
      </c>
      <c r="G2531" s="30">
        <f t="shared" si="2693"/>
        <v>2400</v>
      </c>
      <c r="H2531" s="8">
        <v>25000</v>
      </c>
      <c r="I2531" s="30">
        <f t="shared" si="2694"/>
        <v>8000</v>
      </c>
      <c r="J2531" s="8">
        <v>25000</v>
      </c>
      <c r="K2531" s="30">
        <f t="shared" si="2695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VLOOKUP(VLOOKUP(DATEVALUE(TEXT(A2531,"m/d/yyyy")),FY24_Temp[],5,FALSE)&amp;TEXT(A2531,"-h"),Table6[],4,FALSE)</f>
        <v>0.6007142875875745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VLOOKUP(TEXT(A2531,"yy-mm")&amp;"-"&amp;IF(AND(WEEKDAY(A2531)&gt;1,WEEKDAY(A2531)&lt;7),"Wkd",TEXT(A2531,"Ddd"))&amp;"-"&amp;TEXT(A2531,"hh"),LoadTable[],5,FALSE)*0.92</f>
        <v>236.10788000000002</v>
      </c>
      <c r="U2531" s="104">
        <f>VLOOKUP(TEXT(A2531,"yy-mm")&amp;"-"&amp;IF(AND(WEEKDAY(A2531)&gt;1,WEEKDAY(A2531)&lt;7),"Wkd",TEXT(A2531,"Ddd"))&amp;"-"&amp;TEXT(A2531,"hh"),LoadTable[],6,FALSE)*T2531</f>
        <v>10774.546995920002</v>
      </c>
      <c r="V2531">
        <f t="shared" ref="V2531:W2531" si="2703">V2507</f>
        <v>3.2</v>
      </c>
      <c r="W2531">
        <f t="shared" si="2703"/>
        <v>3</v>
      </c>
      <c r="X2531" s="9">
        <v>-136.10606426667201</v>
      </c>
    </row>
    <row r="2532" spans="1:24">
      <c r="A2532" s="29">
        <f t="shared" si="2668"/>
        <v>45941.374999993866</v>
      </c>
      <c r="B2532" s="30">
        <f t="shared" si="2692"/>
        <v>8000</v>
      </c>
      <c r="C2532" s="8">
        <v>25000</v>
      </c>
      <c r="D2532" s="8">
        <v>0</v>
      </c>
      <c r="E2532" s="8">
        <v>700</v>
      </c>
      <c r="F2532" s="8">
        <v>15000</v>
      </c>
      <c r="G2532" s="30">
        <f t="shared" si="2693"/>
        <v>2400</v>
      </c>
      <c r="H2532" s="8">
        <v>25000</v>
      </c>
      <c r="I2532" s="30">
        <f t="shared" si="2694"/>
        <v>8000</v>
      </c>
      <c r="J2532" s="8">
        <v>25000</v>
      </c>
      <c r="K2532" s="30">
        <f t="shared" si="2695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VLOOKUP(VLOOKUP(DATEVALUE(TEXT(A2532,"m/d/yyyy")),FY24_Temp[],5,FALSE)&amp;TEXT(A2532,"-h"),Table6[],4,FALSE)</f>
        <v>0.50428572722843712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VLOOKUP(TEXT(A2532,"yy-mm")&amp;"-"&amp;IF(AND(WEEKDAY(A2532)&gt;1,WEEKDAY(A2532)&lt;7),"Wkd",TEXT(A2532,"Ddd"))&amp;"-"&amp;TEXT(A2532,"hh"),LoadTable[],5,FALSE)*0.92</f>
        <v>236.10788000000002</v>
      </c>
      <c r="U2532" s="104">
        <f>VLOOKUP(TEXT(A2532,"yy-mm")&amp;"-"&amp;IF(AND(WEEKDAY(A2532)&gt;1,WEEKDAY(A2532)&lt;7),"Wkd",TEXT(A2532,"Ddd"))&amp;"-"&amp;TEXT(A2532,"hh"),LoadTable[],6,FALSE)*T2532</f>
        <v>10582.119073720001</v>
      </c>
      <c r="V2532">
        <f t="shared" ref="V2532:W2532" si="2704">V2508</f>
        <v>2.9</v>
      </c>
      <c r="W2532">
        <f t="shared" si="2704"/>
        <v>3</v>
      </c>
      <c r="X2532" s="9">
        <v>-136.183858816672</v>
      </c>
    </row>
    <row r="2533" spans="1:24">
      <c r="A2533" s="29">
        <f t="shared" si="2668"/>
        <v>45941.416666660531</v>
      </c>
      <c r="B2533" s="30">
        <f t="shared" si="2692"/>
        <v>8000</v>
      </c>
      <c r="C2533" s="8">
        <v>25000</v>
      </c>
      <c r="D2533" s="8">
        <v>0</v>
      </c>
      <c r="E2533" s="8">
        <v>700</v>
      </c>
      <c r="F2533" s="8">
        <v>15000</v>
      </c>
      <c r="G2533" s="30">
        <f t="shared" si="2693"/>
        <v>2400</v>
      </c>
      <c r="H2533" s="8">
        <v>25000</v>
      </c>
      <c r="I2533" s="30">
        <f t="shared" si="2694"/>
        <v>8000</v>
      </c>
      <c r="J2533" s="8">
        <v>25000</v>
      </c>
      <c r="K2533" s="30">
        <f t="shared" si="2695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VLOOKUP(VLOOKUP(DATEVALUE(TEXT(A2533,"m/d/yyyy")),FY24_Temp[],5,FALSE)&amp;TEXT(A2533,"-h"),Table6[],4,FALSE)</f>
        <v>0.40428571828774046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VLOOKUP(TEXT(A2533,"yy-mm")&amp;"-"&amp;IF(AND(WEEKDAY(A2533)&gt;1,WEEKDAY(A2533)&lt;7),"Wkd",TEXT(A2533,"Ddd"))&amp;"-"&amp;TEXT(A2533,"hh"),LoadTable[],5,FALSE)*0.92</f>
        <v>236.10788000000002</v>
      </c>
      <c r="U2533" s="104">
        <f>VLOOKUP(TEXT(A2533,"yy-mm")&amp;"-"&amp;IF(AND(WEEKDAY(A2533)&gt;1,WEEKDAY(A2533)&lt;7),"Wkd",TEXT(A2533,"Ddd"))&amp;"-"&amp;TEXT(A2533,"hh"),LoadTable[],6,FALSE)*T2533</f>
        <v>10558.272177840001</v>
      </c>
      <c r="V2533">
        <f t="shared" ref="V2533:W2533" si="2705">V2509</f>
        <v>2.9</v>
      </c>
      <c r="W2533">
        <f t="shared" si="2705"/>
        <v>3</v>
      </c>
      <c r="X2533" s="9">
        <v>-136.26165336667199</v>
      </c>
    </row>
    <row r="2534" spans="1:24">
      <c r="A2534" s="29">
        <f t="shared" si="2668"/>
        <v>45941.458333327195</v>
      </c>
      <c r="B2534" s="30">
        <f t="shared" si="2692"/>
        <v>8000</v>
      </c>
      <c r="C2534" s="8">
        <v>25000</v>
      </c>
      <c r="D2534" s="8">
        <v>0</v>
      </c>
      <c r="E2534" s="8">
        <v>700</v>
      </c>
      <c r="F2534" s="8">
        <v>15000</v>
      </c>
      <c r="G2534" s="30">
        <f t="shared" si="2693"/>
        <v>2400</v>
      </c>
      <c r="H2534" s="8">
        <v>25000</v>
      </c>
      <c r="I2534" s="30">
        <f t="shared" si="2694"/>
        <v>8000</v>
      </c>
      <c r="J2534" s="8">
        <v>25000</v>
      </c>
      <c r="K2534" s="30">
        <f t="shared" si="2695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VLOOKUP(VLOOKUP(DATEVALUE(TEXT(A2534,"m/d/yyyy")),FY24_Temp[],5,FALSE)&amp;TEXT(A2534,"-h"),Table6[],4,FALSE)</f>
        <v>0.29914285136120661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VLOOKUP(TEXT(A2534,"yy-mm")&amp;"-"&amp;IF(AND(WEEKDAY(A2534)&gt;1,WEEKDAY(A2534)&lt;7),"Wkd",TEXT(A2534,"Ddd"))&amp;"-"&amp;TEXT(A2534,"hh"),LoadTable[],5,FALSE)*0.92</f>
        <v>236.10788000000002</v>
      </c>
      <c r="U2534" s="104">
        <f>VLOOKUP(TEXT(A2534,"yy-mm")&amp;"-"&amp;IF(AND(WEEKDAY(A2534)&gt;1,WEEKDAY(A2534)&lt;7),"Wkd",TEXT(A2534,"Ddd"))&amp;"-"&amp;TEXT(A2534,"hh"),LoadTable[],6,FALSE)*T2534</f>
        <v>10539.38354744</v>
      </c>
      <c r="V2534">
        <f t="shared" ref="V2534:W2534" si="2706">V2510</f>
        <v>3.4</v>
      </c>
      <c r="W2534">
        <f t="shared" si="2706"/>
        <v>3</v>
      </c>
      <c r="X2534" s="9">
        <v>-136.33944791667199</v>
      </c>
    </row>
    <row r="2535" spans="1:24">
      <c r="A2535" s="29">
        <f t="shared" si="2668"/>
        <v>45941.499999993859</v>
      </c>
      <c r="B2535" s="30">
        <f t="shared" si="2692"/>
        <v>8000</v>
      </c>
      <c r="C2535" s="8">
        <v>25000</v>
      </c>
      <c r="D2535" s="8">
        <v>0</v>
      </c>
      <c r="E2535" s="8">
        <v>700</v>
      </c>
      <c r="F2535" s="8">
        <v>15000</v>
      </c>
      <c r="G2535" s="30">
        <f t="shared" si="2693"/>
        <v>2400</v>
      </c>
      <c r="H2535" s="8">
        <v>25000</v>
      </c>
      <c r="I2535" s="30">
        <f t="shared" si="2694"/>
        <v>8000</v>
      </c>
      <c r="J2535" s="8">
        <v>25000</v>
      </c>
      <c r="K2535" s="30">
        <f t="shared" si="2695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VLOOKUP(VLOOKUP(DATEVALUE(TEXT(A2535,"m/d/yyyy")),FY24_Temp[],5,FALSE)&amp;TEXT(A2535,"-h"),Table6[],4,FALSE)</f>
        <v>0.19471428463501589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VLOOKUP(TEXT(A2535,"yy-mm")&amp;"-"&amp;IF(AND(WEEKDAY(A2535)&gt;1,WEEKDAY(A2535)&lt;7),"Wkd",TEXT(A2535,"Ddd"))&amp;"-"&amp;TEXT(A2535,"hh"),LoadTable[],5,FALSE)*0.92</f>
        <v>236.10788000000002</v>
      </c>
      <c r="U2535" s="104">
        <f>VLOOKUP(TEXT(A2535,"yy-mm")&amp;"-"&amp;IF(AND(WEEKDAY(A2535)&gt;1,WEEKDAY(A2535)&lt;7),"Wkd",TEXT(A2535,"Ddd"))&amp;"-"&amp;TEXT(A2535,"hh"),LoadTable[],6,FALSE)*T2535</f>
        <v>10532.30031104</v>
      </c>
      <c r="V2535">
        <f t="shared" ref="V2535:W2535" si="2707">V2511</f>
        <v>3.1</v>
      </c>
      <c r="W2535">
        <f t="shared" si="2707"/>
        <v>2.9</v>
      </c>
      <c r="X2535" s="9">
        <v>-136.41724246667201</v>
      </c>
    </row>
    <row r="2536" spans="1:24">
      <c r="A2536" s="29">
        <f t="shared" si="2668"/>
        <v>45941.541666660523</v>
      </c>
      <c r="B2536" s="30">
        <f t="shared" si="2692"/>
        <v>8000</v>
      </c>
      <c r="C2536" s="8">
        <v>25000</v>
      </c>
      <c r="D2536" s="8">
        <v>0</v>
      </c>
      <c r="E2536" s="8">
        <v>700</v>
      </c>
      <c r="F2536" s="8">
        <v>15000</v>
      </c>
      <c r="G2536" s="30">
        <f t="shared" si="2693"/>
        <v>2400</v>
      </c>
      <c r="H2536" s="8">
        <v>25000</v>
      </c>
      <c r="I2536" s="30">
        <f t="shared" si="2694"/>
        <v>8000</v>
      </c>
      <c r="J2536" s="8">
        <v>25000</v>
      </c>
      <c r="K2536" s="30">
        <f t="shared" si="2695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VLOOKUP(VLOOKUP(DATEVALUE(TEXT(A2536,"m/d/yyyy")),FY24_Temp[],5,FALSE)&amp;TEXT(A2536,"-h"),Table6[],4,FALSE)</f>
        <v>0.10557143097477299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VLOOKUP(TEXT(A2536,"yy-mm")&amp;"-"&amp;IF(AND(WEEKDAY(A2536)&gt;1,WEEKDAY(A2536)&lt;7),"Wkd",TEXT(A2536,"Ddd"))&amp;"-"&amp;TEXT(A2536,"hh"),LoadTable[],5,FALSE)*0.92</f>
        <v>236.10788000000002</v>
      </c>
      <c r="U2536" s="104">
        <f>VLOOKUP(TEXT(A2536,"yy-mm")&amp;"-"&amp;IF(AND(WEEKDAY(A2536)&gt;1,WEEKDAY(A2536)&lt;7),"Wkd",TEXT(A2536,"Ddd"))&amp;"-"&amp;TEXT(A2536,"hh"),LoadTable[],6,FALSE)*T2536</f>
        <v>10537.966900160001</v>
      </c>
      <c r="V2536">
        <f t="shared" ref="V2536:W2536" si="2708">V2512</f>
        <v>3.2</v>
      </c>
      <c r="W2536">
        <f t="shared" si="2708"/>
        <v>2.9</v>
      </c>
      <c r="X2536" s="9">
        <v>-136.495037016672</v>
      </c>
    </row>
    <row r="2537" spans="1:24">
      <c r="A2537" s="29">
        <f t="shared" si="2668"/>
        <v>45941.583333327188</v>
      </c>
      <c r="B2537" s="30">
        <f t="shared" si="2692"/>
        <v>8000</v>
      </c>
      <c r="C2537" s="8">
        <v>25000</v>
      </c>
      <c r="D2537" s="8">
        <v>0</v>
      </c>
      <c r="E2537" s="8">
        <v>700</v>
      </c>
      <c r="F2537" s="8">
        <v>15000</v>
      </c>
      <c r="G2537" s="30">
        <f t="shared" si="2693"/>
        <v>2400</v>
      </c>
      <c r="H2537" s="8">
        <v>25000</v>
      </c>
      <c r="I2537" s="30">
        <f t="shared" si="2694"/>
        <v>8000</v>
      </c>
      <c r="J2537" s="8">
        <v>25000</v>
      </c>
      <c r="K2537" s="30">
        <f t="shared" si="2695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VLOOKUP(VLOOKUP(DATEVALUE(TEXT(A2537,"m/d/yyyy")),FY24_Temp[],5,FALSE)&amp;TEXT(A2537,"-h"),Table6[],4,FALSE)</f>
        <v>7.8714286110230861E-2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VLOOKUP(TEXT(A2537,"yy-mm")&amp;"-"&amp;IF(AND(WEEKDAY(A2537)&gt;1,WEEKDAY(A2537)&lt;7),"Wkd",TEXT(A2537,"Ddd"))&amp;"-"&amp;TEXT(A2537,"hh"),LoadTable[],5,FALSE)*0.92</f>
        <v>236.10788000000002</v>
      </c>
      <c r="U2537" s="104">
        <f>VLOOKUP(TEXT(A2537,"yy-mm")&amp;"-"&amp;IF(AND(WEEKDAY(A2537)&gt;1,WEEKDAY(A2537)&lt;7),"Wkd",TEXT(A2537,"Ddd"))&amp;"-"&amp;TEXT(A2537,"hh"),LoadTable[],6,FALSE)*T2537</f>
        <v>10545.050136560001</v>
      </c>
      <c r="V2537">
        <f t="shared" ref="V2537:W2537" si="2709">V2513</f>
        <v>3.5</v>
      </c>
      <c r="W2537">
        <f t="shared" si="2709"/>
        <v>2.9</v>
      </c>
      <c r="X2537" s="9">
        <v>-136.57283156667199</v>
      </c>
    </row>
    <row r="2538" spans="1:24">
      <c r="A2538" s="29">
        <f t="shared" si="2668"/>
        <v>45941.624999993852</v>
      </c>
      <c r="B2538" s="30">
        <f t="shared" si="2692"/>
        <v>8000</v>
      </c>
      <c r="C2538" s="8">
        <v>25000</v>
      </c>
      <c r="D2538" s="8">
        <v>0</v>
      </c>
      <c r="E2538" s="8">
        <v>700</v>
      </c>
      <c r="F2538" s="8">
        <v>15000</v>
      </c>
      <c r="G2538" s="30">
        <f t="shared" si="2693"/>
        <v>2400</v>
      </c>
      <c r="H2538" s="8">
        <v>25000</v>
      </c>
      <c r="I2538" s="30">
        <f t="shared" si="2694"/>
        <v>8000</v>
      </c>
      <c r="J2538" s="8">
        <v>25000</v>
      </c>
      <c r="K2538" s="30">
        <f t="shared" si="2695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VLOOKUP(VLOOKUP(DATEVALUE(TEXT(A2538,"m/d/yyyy")),FY24_Temp[],5,FALSE)&amp;TEXT(A2538,"-h"),Table6[],4,FALSE)</f>
        <v>0.20828571436660631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VLOOKUP(TEXT(A2538,"yy-mm")&amp;"-"&amp;IF(AND(WEEKDAY(A2538)&gt;1,WEEKDAY(A2538)&lt;7),"Wkd",TEXT(A2538,"Ddd"))&amp;"-"&amp;TEXT(A2538,"hh"),LoadTable[],5,FALSE)*0.92</f>
        <v>236.10788000000002</v>
      </c>
      <c r="U2538" s="104">
        <f>VLOOKUP(TEXT(A2538,"yy-mm")&amp;"-"&amp;IF(AND(WEEKDAY(A2538)&gt;1,WEEKDAY(A2538)&lt;7),"Wkd",TEXT(A2538,"Ddd"))&amp;"-"&amp;TEXT(A2538,"hh"),LoadTable[],6,FALSE)*T2538</f>
        <v>10562.286011800001</v>
      </c>
      <c r="V2538">
        <f t="shared" ref="V2538:W2538" si="2710">V2514</f>
        <v>3.2</v>
      </c>
      <c r="W2538">
        <f t="shared" si="2710"/>
        <v>2.9</v>
      </c>
      <c r="X2538" s="9">
        <v>-136.65062611667199</v>
      </c>
    </row>
    <row r="2539" spans="1:24">
      <c r="A2539" s="29">
        <f t="shared" si="2668"/>
        <v>45941.666666660516</v>
      </c>
      <c r="B2539" s="30">
        <f t="shared" si="2692"/>
        <v>8000</v>
      </c>
      <c r="C2539" s="8">
        <v>25000</v>
      </c>
      <c r="D2539" s="8">
        <v>0</v>
      </c>
      <c r="E2539" s="8">
        <v>700</v>
      </c>
      <c r="F2539" s="8">
        <v>15000</v>
      </c>
      <c r="G2539" s="30">
        <f t="shared" si="2693"/>
        <v>2400</v>
      </c>
      <c r="H2539" s="8">
        <v>25000</v>
      </c>
      <c r="I2539" s="30">
        <f t="shared" si="2694"/>
        <v>8000</v>
      </c>
      <c r="J2539" s="8">
        <v>25000</v>
      </c>
      <c r="K2539" s="30">
        <f t="shared" si="2695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VLOOKUP(VLOOKUP(DATEVALUE(TEXT(A2539,"m/d/yyyy")),FY24_Temp[],5,FALSE)&amp;TEXT(A2539,"-h"),Table6[],4,FALSE)</f>
        <v>0.47971428292138235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VLOOKUP(TEXT(A2539,"yy-mm")&amp;"-"&amp;IF(AND(WEEKDAY(A2539)&gt;1,WEEKDAY(A2539)&lt;7),"Wkd",TEXT(A2539,"Ddd"))&amp;"-"&amp;TEXT(A2539,"hh"),LoadTable[],5,FALSE)*0.92</f>
        <v>236.10788000000002</v>
      </c>
      <c r="U2539" s="104">
        <f>VLOOKUP(TEXT(A2539,"yy-mm")&amp;"-"&amp;IF(AND(WEEKDAY(A2539)&gt;1,WEEKDAY(A2539)&lt;7),"Wkd",TEXT(A2539,"Ddd"))&amp;"-"&amp;TEXT(A2539,"hh"),LoadTable[],6,FALSE)*T2539</f>
        <v>10585.660691920002</v>
      </c>
      <c r="V2539">
        <f t="shared" ref="V2539:W2539" si="2711">V2515</f>
        <v>3.5</v>
      </c>
      <c r="W2539">
        <f t="shared" si="2711"/>
        <v>3</v>
      </c>
      <c r="X2539" s="9">
        <v>-136.72842066667201</v>
      </c>
    </row>
    <row r="2540" spans="1:24">
      <c r="A2540" s="29">
        <f t="shared" si="2668"/>
        <v>45941.70833332718</v>
      </c>
      <c r="B2540" s="30">
        <f t="shared" si="2692"/>
        <v>8000</v>
      </c>
      <c r="C2540" s="8">
        <v>25000</v>
      </c>
      <c r="D2540" s="8">
        <v>0</v>
      </c>
      <c r="E2540" s="8">
        <v>700</v>
      </c>
      <c r="F2540" s="8">
        <v>15000</v>
      </c>
      <c r="G2540" s="30">
        <f t="shared" si="2693"/>
        <v>2400</v>
      </c>
      <c r="H2540" s="8">
        <v>25000</v>
      </c>
      <c r="I2540" s="30">
        <f t="shared" si="2694"/>
        <v>8000</v>
      </c>
      <c r="J2540" s="8">
        <v>25000</v>
      </c>
      <c r="K2540" s="30">
        <f t="shared" si="2695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VLOOKUP(VLOOKUP(DATEVALUE(TEXT(A2540,"m/d/yyyy")),FY24_Temp[],5,FALSE)&amp;TEXT(A2540,"-h"),Table6[],4,FALSE)</f>
        <v>0.81442855937140324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VLOOKUP(TEXT(A2540,"yy-mm")&amp;"-"&amp;IF(AND(WEEKDAY(A2540)&gt;1,WEEKDAY(A2540)&lt;7),"Wkd",TEXT(A2540,"Ddd"))&amp;"-"&amp;TEXT(A2540,"hh"),LoadTable[],5,FALSE)*0.92</f>
        <v>236.10788000000002</v>
      </c>
      <c r="U2540" s="104">
        <f>VLOOKUP(TEXT(A2540,"yy-mm")&amp;"-"&amp;IF(AND(WEEKDAY(A2540)&gt;1,WEEKDAY(A2540)&lt;7),"Wkd",TEXT(A2540,"Ddd"))&amp;"-"&amp;TEXT(A2540,"hh"),LoadTable[],6,FALSE)*T2540</f>
        <v>10937.933648880002</v>
      </c>
      <c r="V2540">
        <f t="shared" ref="V2540:W2540" si="2712">V2516</f>
        <v>3.6</v>
      </c>
      <c r="W2540">
        <f t="shared" si="2712"/>
        <v>3</v>
      </c>
      <c r="X2540" s="9">
        <v>-136.806215216672</v>
      </c>
    </row>
    <row r="2541" spans="1:24">
      <c r="A2541" s="29">
        <f t="shared" si="2668"/>
        <v>45941.749999993845</v>
      </c>
      <c r="B2541" s="30">
        <f t="shared" si="2692"/>
        <v>5000</v>
      </c>
      <c r="C2541" s="8">
        <v>25000</v>
      </c>
      <c r="D2541" s="8">
        <v>0</v>
      </c>
      <c r="E2541" s="8">
        <v>700</v>
      </c>
      <c r="F2541" s="8">
        <v>15000</v>
      </c>
      <c r="G2541" s="30">
        <f t="shared" si="2693"/>
        <v>2400</v>
      </c>
      <c r="H2541" s="8">
        <v>25000</v>
      </c>
      <c r="I2541" s="30">
        <f t="shared" si="2694"/>
        <v>5000</v>
      </c>
      <c r="J2541" s="8">
        <v>25000</v>
      </c>
      <c r="K2541" s="30">
        <f t="shared" si="2695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VLOOKUP(VLOOKUP(DATEVALUE(TEXT(A2541,"m/d/yyyy")),FY24_Temp[],5,FALSE)&amp;TEXT(A2541,"-h"),Table6[],4,FALSE)</f>
        <v>0.94428572484425133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VLOOKUP(TEXT(A2541,"yy-mm")&amp;"-"&amp;IF(AND(WEEKDAY(A2541)&gt;1,WEEKDAY(A2541)&lt;7),"Wkd",TEXT(A2541,"Ddd"))&amp;"-"&amp;TEXT(A2541,"hh"),LoadTable[],5,FALSE)*0.92</f>
        <v>308.12363999999997</v>
      </c>
      <c r="U2541" s="104">
        <f>VLOOKUP(TEXT(A2541,"yy-mm")&amp;"-"&amp;IF(AND(WEEKDAY(A2541)&gt;1,WEEKDAY(A2541)&lt;7),"Wkd",TEXT(A2541,"Ddd"))&amp;"-"&amp;TEXT(A2541,"hh"),LoadTable[],6,FALSE)*T2541</f>
        <v>14937.525943559998</v>
      </c>
      <c r="V2541">
        <f t="shared" ref="V2541:W2541" si="2713">V2517</f>
        <v>2.9</v>
      </c>
      <c r="W2541">
        <f t="shared" si="2713"/>
        <v>3</v>
      </c>
      <c r="X2541" s="9">
        <v>-136.88400976667199</v>
      </c>
    </row>
    <row r="2542" spans="1:24">
      <c r="A2542" s="29">
        <f t="shared" si="2668"/>
        <v>45941.791666660509</v>
      </c>
      <c r="B2542" s="30">
        <f t="shared" si="2692"/>
        <v>5000</v>
      </c>
      <c r="C2542" s="8">
        <v>25000</v>
      </c>
      <c r="D2542" s="8">
        <v>0</v>
      </c>
      <c r="E2542" s="8">
        <v>700</v>
      </c>
      <c r="F2542" s="8">
        <v>15000</v>
      </c>
      <c r="G2542" s="30">
        <f t="shared" si="2693"/>
        <v>2400</v>
      </c>
      <c r="H2542" s="8">
        <v>25000</v>
      </c>
      <c r="I2542" s="30">
        <f t="shared" si="2694"/>
        <v>5000</v>
      </c>
      <c r="J2542" s="8">
        <v>25000</v>
      </c>
      <c r="K2542" s="30">
        <f t="shared" si="2695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VLOOKUP(VLOOKUP(DATEVALUE(TEXT(A2542,"m/d/yyyy")),FY24_Temp[],5,FALSE)&amp;TEXT(A2542,"-h"),Table6[],4,FALSE)</f>
        <v>1.0365714345659529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VLOOKUP(TEXT(A2542,"yy-mm")&amp;"-"&amp;IF(AND(WEEKDAY(A2542)&gt;1,WEEKDAY(A2542)&lt;7),"Wkd",TEXT(A2542,"Ddd"))&amp;"-"&amp;TEXT(A2542,"hh"),LoadTable[],5,FALSE)*0.92</f>
        <v>308.12363999999997</v>
      </c>
      <c r="U2542" s="104">
        <f>VLOOKUP(TEXT(A2542,"yy-mm")&amp;"-"&amp;IF(AND(WEEKDAY(A2542)&gt;1,WEEKDAY(A2542)&lt;7),"Wkd",TEXT(A2542,"Ddd"))&amp;"-"&amp;TEXT(A2542,"hh"),LoadTable[],6,FALSE)*T2542</f>
        <v>15039.206744759998</v>
      </c>
      <c r="V2542">
        <f t="shared" ref="V2542:W2542" si="2714">V2518</f>
        <v>3</v>
      </c>
      <c r="W2542">
        <f t="shared" si="2714"/>
        <v>3</v>
      </c>
      <c r="X2542" s="9">
        <v>-136.96180431667199</v>
      </c>
    </row>
    <row r="2543" spans="1:24">
      <c r="A2543" s="29">
        <f t="shared" si="2668"/>
        <v>45941.833333327173</v>
      </c>
      <c r="B2543" s="30">
        <f t="shared" si="2692"/>
        <v>5000</v>
      </c>
      <c r="C2543" s="8">
        <v>25000</v>
      </c>
      <c r="D2543" s="8">
        <v>0</v>
      </c>
      <c r="E2543" s="8">
        <v>700</v>
      </c>
      <c r="F2543" s="8">
        <v>15000</v>
      </c>
      <c r="G2543" s="30">
        <f t="shared" si="2693"/>
        <v>2400</v>
      </c>
      <c r="H2543" s="8">
        <v>25000</v>
      </c>
      <c r="I2543" s="30">
        <f t="shared" si="2694"/>
        <v>5000</v>
      </c>
      <c r="J2543" s="8">
        <v>25000</v>
      </c>
      <c r="K2543" s="30">
        <f t="shared" si="2695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VLOOKUP(VLOOKUP(DATEVALUE(TEXT(A2543,"m/d/yyyy")),FY24_Temp[],5,FALSE)&amp;TEXT(A2543,"-h"),Table6[],4,FALSE)</f>
        <v>1.1094285760607039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VLOOKUP(TEXT(A2543,"yy-mm")&amp;"-"&amp;IF(AND(WEEKDAY(A2543)&gt;1,WEEKDAY(A2543)&lt;7),"Wkd",TEXT(A2543,"Ddd"))&amp;"-"&amp;TEXT(A2543,"hh"),LoadTable[],5,FALSE)*0.92</f>
        <v>254.40852000000001</v>
      </c>
      <c r="U2543" s="104">
        <f>VLOOKUP(TEXT(A2543,"yy-mm")&amp;"-"&amp;IF(AND(WEEKDAY(A2543)&gt;1,WEEKDAY(A2543)&lt;7),"Wkd",TEXT(A2543,"Ddd"))&amp;"-"&amp;TEXT(A2543,"hh"),LoadTable[],6,FALSE)*T2543</f>
        <v>12270.377328120001</v>
      </c>
      <c r="V2543">
        <f t="shared" ref="V2543:W2543" si="2715">V2519</f>
        <v>2.8</v>
      </c>
      <c r="W2543">
        <f t="shared" si="2715"/>
        <v>3.1</v>
      </c>
      <c r="X2543" s="9">
        <v>-137.03959886667201</v>
      </c>
    </row>
    <row r="2544" spans="1:24">
      <c r="A2544" s="29">
        <f t="shared" si="2668"/>
        <v>45941.874999993837</v>
      </c>
      <c r="B2544" s="30">
        <f t="shared" si="2692"/>
        <v>5000</v>
      </c>
      <c r="C2544" s="8">
        <v>25000</v>
      </c>
      <c r="D2544" s="8">
        <v>0</v>
      </c>
      <c r="E2544" s="8">
        <v>700</v>
      </c>
      <c r="F2544" s="8">
        <v>15000</v>
      </c>
      <c r="G2544" s="30">
        <f t="shared" si="2693"/>
        <v>2400</v>
      </c>
      <c r="H2544" s="8">
        <v>25000</v>
      </c>
      <c r="I2544" s="30">
        <f t="shared" si="2694"/>
        <v>5000</v>
      </c>
      <c r="J2544" s="8">
        <v>25000</v>
      </c>
      <c r="K2544" s="30">
        <f t="shared" si="2695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VLOOKUP(VLOOKUP(DATEVALUE(TEXT(A2544,"m/d/yyyy")),FY24_Temp[],5,FALSE)&amp;TEXT(A2544,"-h"),Table6[],4,FALSE)</f>
        <v>1.2048571450369698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VLOOKUP(TEXT(A2544,"yy-mm")&amp;"-"&amp;IF(AND(WEEKDAY(A2544)&gt;1,WEEKDAY(A2544)&lt;7),"Wkd",TEXT(A2544,"Ddd"))&amp;"-"&amp;TEXT(A2544,"hh"),LoadTable[],5,FALSE)*0.92</f>
        <v>180.62544</v>
      </c>
      <c r="U2544" s="104">
        <f>VLOOKUP(TEXT(A2544,"yy-mm")&amp;"-"&amp;IF(AND(WEEKDAY(A2544)&gt;1,WEEKDAY(A2544)&lt;7),"Wkd",TEXT(A2544,"Ddd"))&amp;"-"&amp;TEXT(A2544,"hh"),LoadTable[],6,FALSE)*T2544</f>
        <v>8522.4501355199991</v>
      </c>
      <c r="V2544">
        <f t="shared" ref="V2544:W2544" si="2716">V2520</f>
        <v>3.5</v>
      </c>
      <c r="W2544">
        <f t="shared" si="2716"/>
        <v>3.1</v>
      </c>
      <c r="X2544" s="9">
        <v>-137.117393416672</v>
      </c>
    </row>
    <row r="2545" spans="1:24">
      <c r="A2545" s="29">
        <f t="shared" si="2668"/>
        <v>45941.916666660502</v>
      </c>
      <c r="B2545" s="30">
        <f t="shared" si="2692"/>
        <v>5000</v>
      </c>
      <c r="C2545" s="8">
        <v>25000</v>
      </c>
      <c r="D2545" s="8">
        <v>0</v>
      </c>
      <c r="E2545" s="8">
        <v>700</v>
      </c>
      <c r="F2545" s="8">
        <v>15000</v>
      </c>
      <c r="G2545" s="30">
        <f t="shared" si="2693"/>
        <v>2400</v>
      </c>
      <c r="H2545" s="8">
        <v>25000</v>
      </c>
      <c r="I2545" s="30">
        <f t="shared" si="2694"/>
        <v>5000</v>
      </c>
      <c r="J2545" s="8">
        <v>25000</v>
      </c>
      <c r="K2545" s="30">
        <f t="shared" si="2695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VLOOKUP(VLOOKUP(DATEVALUE(TEXT(A2545,"m/d/yyyy")),FY24_Temp[],5,FALSE)&amp;TEXT(A2545,"-h"),Table6[],4,FALSE)</f>
        <v>1.2747142825807845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VLOOKUP(TEXT(A2545,"yy-mm")&amp;"-"&amp;IF(AND(WEEKDAY(A2545)&gt;1,WEEKDAY(A2545)&lt;7),"Wkd",TEXT(A2545,"Ddd"))&amp;"-"&amp;TEXT(A2545,"hh"),LoadTable[],5,FALSE)*0.92</f>
        <v>180.62544</v>
      </c>
      <c r="U2545" s="104">
        <f>VLOOKUP(TEXT(A2545,"yy-mm")&amp;"-"&amp;IF(AND(WEEKDAY(A2545)&gt;1,WEEKDAY(A2545)&lt;7),"Wkd",TEXT(A2545,"Ddd"))&amp;"-"&amp;TEXT(A2545,"hh"),LoadTable[],6,FALSE)*T2545</f>
        <v>8193.1699583999998</v>
      </c>
      <c r="V2545">
        <f t="shared" ref="V2545:W2545" si="2717">V2521</f>
        <v>2.9</v>
      </c>
      <c r="W2545">
        <f t="shared" si="2717"/>
        <v>3.1</v>
      </c>
      <c r="X2545" s="9">
        <v>-137.19518796667199</v>
      </c>
    </row>
    <row r="2546" spans="1:24">
      <c r="A2546" s="29">
        <f t="shared" si="2668"/>
        <v>45941.958333327166</v>
      </c>
      <c r="B2546" s="30">
        <f t="shared" si="2692"/>
        <v>5000</v>
      </c>
      <c r="C2546" s="8">
        <v>25000</v>
      </c>
      <c r="D2546" s="8">
        <v>0</v>
      </c>
      <c r="E2546" s="8">
        <v>700</v>
      </c>
      <c r="F2546" s="8">
        <v>15000</v>
      </c>
      <c r="G2546" s="30">
        <f t="shared" si="2693"/>
        <v>2400</v>
      </c>
      <c r="H2546" s="8">
        <v>25000</v>
      </c>
      <c r="I2546" s="30">
        <f t="shared" si="2694"/>
        <v>5000</v>
      </c>
      <c r="J2546" s="8">
        <v>25000</v>
      </c>
      <c r="K2546" s="30">
        <f t="shared" si="2695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VLOOKUP(VLOOKUP(DATEVALUE(TEXT(A2546,"m/d/yyyy")),FY24_Temp[],5,FALSE)&amp;TEXT(A2546,"-h"),Table6[],4,FALSE)</f>
        <v>1.2435714176722936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VLOOKUP(TEXT(A2546,"yy-mm")&amp;"-"&amp;IF(AND(WEEKDAY(A2546)&gt;1,WEEKDAY(A2546)&lt;7),"Wkd",TEXT(A2546,"Ddd"))&amp;"-"&amp;TEXT(A2546,"hh"),LoadTable[],5,FALSE)*0.92</f>
        <v>180.62544</v>
      </c>
      <c r="U2546" s="104">
        <f>VLOOKUP(TEXT(A2546,"yy-mm")&amp;"-"&amp;IF(AND(WEEKDAY(A2546)&gt;1,WEEKDAY(A2546)&lt;7),"Wkd",TEXT(A2546,"Ddd"))&amp;"-"&amp;TEXT(A2546,"hh"),LoadTable[],6,FALSE)*T2546</f>
        <v>8178.1780468799998</v>
      </c>
      <c r="V2546">
        <f t="shared" ref="V2546:W2546" si="2718">V2522</f>
        <v>3.6</v>
      </c>
      <c r="W2546">
        <f t="shared" si="2718"/>
        <v>3.1</v>
      </c>
      <c r="X2546" s="9">
        <v>-137.27298251667199</v>
      </c>
    </row>
    <row r="2547" spans="1:24">
      <c r="A2547" s="29">
        <f t="shared" si="2668"/>
        <v>45941.99999999383</v>
      </c>
      <c r="B2547" s="30">
        <f t="shared" si="2692"/>
        <v>5000</v>
      </c>
      <c r="C2547" s="8">
        <v>25000</v>
      </c>
      <c r="D2547" s="8">
        <v>0</v>
      </c>
      <c r="E2547" s="8">
        <v>700</v>
      </c>
      <c r="F2547" s="8">
        <v>15000</v>
      </c>
      <c r="G2547" s="30">
        <f t="shared" si="2693"/>
        <v>2400</v>
      </c>
      <c r="H2547" s="8">
        <v>25000</v>
      </c>
      <c r="I2547" s="30">
        <f t="shared" si="2694"/>
        <v>5000</v>
      </c>
      <c r="J2547" s="8">
        <v>25000</v>
      </c>
      <c r="K2547" s="30">
        <f t="shared" si="2695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VLOOKUP(VLOOKUP(DATEVALUE(TEXT(A2547,"m/d/yyyy")),FY24_Temp[],5,FALSE)&amp;TEXT(A2547,"-h"),Table6[],4,FALSE)</f>
        <v>1.232285703931536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VLOOKUP(TEXT(A2547,"yy-mm")&amp;"-"&amp;IF(AND(WEEKDAY(A2547)&gt;1,WEEKDAY(A2547)&lt;7),"Wkd",TEXT(A2547,"Ddd"))&amp;"-"&amp;TEXT(A2547,"hh"),LoadTable[],5,FALSE)*0.92</f>
        <v>180.62544</v>
      </c>
      <c r="U2547" s="104">
        <f>VLOOKUP(TEXT(A2547,"yy-mm")&amp;"-"&amp;IF(AND(WEEKDAY(A2547)&gt;1,WEEKDAY(A2547)&lt;7),"Wkd",TEXT(A2547,"Ddd"))&amp;"-"&amp;TEXT(A2547,"hh"),LoadTable[],6,FALSE)*T2547</f>
        <v>8118.2104007999997</v>
      </c>
      <c r="V2547">
        <f t="shared" ref="V2547:W2547" si="2719">V2523</f>
        <v>3</v>
      </c>
      <c r="W2547">
        <f t="shared" si="2719"/>
        <v>3.2</v>
      </c>
      <c r="X2547" s="9">
        <v>-137.35077706667201</v>
      </c>
    </row>
    <row r="2548" spans="1:24">
      <c r="A2548" s="29">
        <f t="shared" si="2668"/>
        <v>45942.041666660494</v>
      </c>
      <c r="B2548" s="30">
        <f t="shared" si="2692"/>
        <v>5000</v>
      </c>
      <c r="C2548" s="8">
        <v>25000</v>
      </c>
      <c r="D2548" s="8">
        <v>0</v>
      </c>
      <c r="E2548" s="8">
        <v>700</v>
      </c>
      <c r="F2548" s="8">
        <v>15000</v>
      </c>
      <c r="G2548" s="30">
        <f t="shared" si="2693"/>
        <v>2400</v>
      </c>
      <c r="H2548" s="8">
        <v>25000</v>
      </c>
      <c r="I2548" s="30">
        <f t="shared" si="2694"/>
        <v>5000</v>
      </c>
      <c r="J2548" s="8">
        <v>25000</v>
      </c>
      <c r="K2548" s="30">
        <f t="shared" si="2695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VLOOKUP(VLOOKUP(DATEVALUE(TEXT(A2548,"m/d/yyyy")),FY24_Temp[],5,FALSE)&amp;TEXT(A2548,"-h"),Table6[],4,FALSE)</f>
        <v>1.2795714139938354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VLOOKUP(TEXT(A2548,"yy-mm")&amp;"-"&amp;IF(AND(WEEKDAY(A2548)&gt;1,WEEKDAY(A2548)&lt;7),"Wkd",TEXT(A2548,"Ddd"))&amp;"-"&amp;TEXT(A2548,"hh"),LoadTable[],5,FALSE)*0.92</f>
        <v>180.62544</v>
      </c>
      <c r="U2548" s="104">
        <f>VLOOKUP(TEXT(A2548,"yy-mm")&amp;"-"&amp;IF(AND(WEEKDAY(A2548)&gt;1,WEEKDAY(A2548)&lt;7),"Wkd",TEXT(A2548,"Ddd"))&amp;"-"&amp;TEXT(A2548,"hh"),LoadTable[],6,FALSE)*T2548</f>
        <v>8109.7210051200009</v>
      </c>
      <c r="V2548">
        <f t="shared" ref="V2548:W2548" si="2720">V2524</f>
        <v>2.6</v>
      </c>
      <c r="W2548">
        <f t="shared" si="2720"/>
        <v>3.2</v>
      </c>
      <c r="X2548" s="9">
        <v>-137.428571616672</v>
      </c>
    </row>
    <row r="2549" spans="1:24">
      <c r="A2549" s="29">
        <f t="shared" si="2668"/>
        <v>45942.083333327158</v>
      </c>
      <c r="B2549" s="30">
        <f t="shared" si="2692"/>
        <v>5000</v>
      </c>
      <c r="C2549" s="8">
        <v>25000</v>
      </c>
      <c r="D2549" s="8">
        <v>0</v>
      </c>
      <c r="E2549" s="8">
        <v>700</v>
      </c>
      <c r="F2549" s="8">
        <v>15000</v>
      </c>
      <c r="G2549" s="30">
        <f t="shared" si="2693"/>
        <v>2400</v>
      </c>
      <c r="H2549" s="8">
        <v>25000</v>
      </c>
      <c r="I2549" s="30">
        <f t="shared" si="2694"/>
        <v>5000</v>
      </c>
      <c r="J2549" s="8">
        <v>25000</v>
      </c>
      <c r="K2549" s="30">
        <f t="shared" si="2695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VLOOKUP(VLOOKUP(DATEVALUE(TEXT(A2549,"m/d/yyyy")),FY24_Temp[],5,FALSE)&amp;TEXT(A2549,"-h"),Table6[],4,FALSE)</f>
        <v>1.2324285677501134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VLOOKUP(TEXT(A2549,"yy-mm")&amp;"-"&amp;IF(AND(WEEKDAY(A2549)&gt;1,WEEKDAY(A2549)&lt;7),"Wkd",TEXT(A2549,"Ddd"))&amp;"-"&amp;TEXT(A2549,"hh"),LoadTable[],5,FALSE)*0.92</f>
        <v>180.62544</v>
      </c>
      <c r="U2549" s="104">
        <f>VLOOKUP(TEXT(A2549,"yy-mm")&amp;"-"&amp;IF(AND(WEEKDAY(A2549)&gt;1,WEEKDAY(A2549)&lt;7),"Wkd",TEXT(A2549,"Ddd"))&amp;"-"&amp;TEXT(A2549,"hh"),LoadTable[],6,FALSE)*T2549</f>
        <v>8120.3779060799998</v>
      </c>
      <c r="V2549">
        <f t="shared" ref="V2549:W2549" si="2721">V2525</f>
        <v>2.8</v>
      </c>
      <c r="W2549">
        <f t="shared" si="2721"/>
        <v>3.2</v>
      </c>
      <c r="X2549" s="9">
        <v>-137.50636616667299</v>
      </c>
    </row>
    <row r="2550" spans="1:24">
      <c r="A2550" s="29">
        <f t="shared" si="2668"/>
        <v>45942.124999993823</v>
      </c>
      <c r="B2550" s="30">
        <f t="shared" si="2692"/>
        <v>5000</v>
      </c>
      <c r="C2550" s="8">
        <v>25000</v>
      </c>
      <c r="D2550" s="8">
        <v>0</v>
      </c>
      <c r="E2550" s="8">
        <v>700</v>
      </c>
      <c r="F2550" s="8">
        <v>15000</v>
      </c>
      <c r="G2550" s="30">
        <f t="shared" si="2693"/>
        <v>2400</v>
      </c>
      <c r="H2550" s="8">
        <v>25000</v>
      </c>
      <c r="I2550" s="30">
        <f t="shared" si="2694"/>
        <v>5000</v>
      </c>
      <c r="J2550" s="8">
        <v>25000</v>
      </c>
      <c r="K2550" s="30">
        <f t="shared" si="2695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VLOOKUP(VLOOKUP(DATEVALUE(TEXT(A2550,"m/d/yyyy")),FY24_Temp[],5,FALSE)&amp;TEXT(A2550,"-h"),Table6[],4,FALSE)</f>
        <v>1.132857152393886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VLOOKUP(TEXT(A2550,"yy-mm")&amp;"-"&amp;IF(AND(WEEKDAY(A2550)&gt;1,WEEKDAY(A2550)&lt;7),"Wkd",TEXT(A2550,"Ddd"))&amp;"-"&amp;TEXT(A2550,"hh"),LoadTable[],5,FALSE)*0.92</f>
        <v>180.62544</v>
      </c>
      <c r="U2550" s="104">
        <f>VLOOKUP(TEXT(A2550,"yy-mm")&amp;"-"&amp;IF(AND(WEEKDAY(A2550)&gt;1,WEEKDAY(A2550)&lt;7),"Wkd",TEXT(A2550,"Ddd"))&amp;"-"&amp;TEXT(A2550,"hh"),LoadTable[],6,FALSE)*T2550</f>
        <v>8130.1316798400003</v>
      </c>
      <c r="V2550">
        <f t="shared" ref="V2550:W2550" si="2722">V2526</f>
        <v>2.7</v>
      </c>
      <c r="W2550">
        <f t="shared" si="2722"/>
        <v>3.2</v>
      </c>
      <c r="X2550" s="9">
        <v>-137.58416071667199</v>
      </c>
    </row>
    <row r="2551" spans="1:24">
      <c r="A2551" s="29">
        <f t="shared" si="2668"/>
        <v>45942.166666660487</v>
      </c>
      <c r="B2551" s="30">
        <f t="shared" si="2692"/>
        <v>5000</v>
      </c>
      <c r="C2551" s="8">
        <v>25000</v>
      </c>
      <c r="D2551" s="8">
        <v>0</v>
      </c>
      <c r="E2551" s="8">
        <v>700</v>
      </c>
      <c r="F2551" s="8">
        <v>15000</v>
      </c>
      <c r="G2551" s="30">
        <f t="shared" si="2693"/>
        <v>2400</v>
      </c>
      <c r="H2551" s="8">
        <v>25000</v>
      </c>
      <c r="I2551" s="30">
        <f t="shared" si="2694"/>
        <v>5000</v>
      </c>
      <c r="J2551" s="8">
        <v>25000</v>
      </c>
      <c r="K2551" s="30">
        <f t="shared" si="2695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VLOOKUP(VLOOKUP(DATEVALUE(TEXT(A2551,"m/d/yyyy")),FY24_Temp[],5,FALSE)&amp;TEXT(A2551,"-h"),Table6[],4,FALSE)</f>
        <v>1.0471428547586714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VLOOKUP(TEXT(A2551,"yy-mm")&amp;"-"&amp;IF(AND(WEEKDAY(A2551)&gt;1,WEEKDAY(A2551)&lt;7),"Wkd",TEXT(A2551,"Ddd"))&amp;"-"&amp;TEXT(A2551,"hh"),LoadTable[],5,FALSE)*0.92</f>
        <v>180.62544</v>
      </c>
      <c r="U2551" s="104">
        <f>VLOOKUP(TEXT(A2551,"yy-mm")&amp;"-"&amp;IF(AND(WEEKDAY(A2551)&gt;1,WEEKDAY(A2551)&lt;7),"Wkd",TEXT(A2551,"Ddd"))&amp;"-"&amp;TEXT(A2551,"hh"),LoadTable[],6,FALSE)*T2551</f>
        <v>8136.0923193599992</v>
      </c>
      <c r="V2551">
        <f t="shared" ref="V2551:W2551" si="2723">V2527</f>
        <v>3</v>
      </c>
      <c r="W2551">
        <f t="shared" si="2723"/>
        <v>3.1</v>
      </c>
      <c r="X2551" s="9">
        <v>-137.66195526667201</v>
      </c>
    </row>
    <row r="2552" spans="1:24">
      <c r="A2552" s="29">
        <f t="shared" si="2668"/>
        <v>45942.208333327151</v>
      </c>
      <c r="B2552" s="30">
        <f t="shared" si="2692"/>
        <v>5000</v>
      </c>
      <c r="C2552" s="8">
        <v>25000</v>
      </c>
      <c r="D2552" s="8">
        <v>0</v>
      </c>
      <c r="E2552" s="8">
        <v>700</v>
      </c>
      <c r="F2552" s="8">
        <v>15000</v>
      </c>
      <c r="G2552" s="30">
        <f t="shared" si="2693"/>
        <v>2400</v>
      </c>
      <c r="H2552" s="8">
        <v>25000</v>
      </c>
      <c r="I2552" s="30">
        <f t="shared" si="2694"/>
        <v>5000</v>
      </c>
      <c r="J2552" s="8">
        <v>25000</v>
      </c>
      <c r="K2552" s="30">
        <f t="shared" si="2695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VLOOKUP(VLOOKUP(DATEVALUE(TEXT(A2552,"m/d/yyyy")),FY24_Temp[],5,FALSE)&amp;TEXT(A2552,"-h"),Table6[],4,FALSE)</f>
        <v>1.0077142885753088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VLOOKUP(TEXT(A2552,"yy-mm")&amp;"-"&amp;IF(AND(WEEKDAY(A2552)&gt;1,WEEKDAY(A2552)&lt;7),"Wkd",TEXT(A2552,"Ddd"))&amp;"-"&amp;TEXT(A2552,"hh"),LoadTable[],5,FALSE)*0.92</f>
        <v>180.62544</v>
      </c>
      <c r="U2552" s="104">
        <f>VLOOKUP(TEXT(A2552,"yy-mm")&amp;"-"&amp;IF(AND(WEEKDAY(A2552)&gt;1,WEEKDAY(A2552)&lt;7),"Wkd",TEXT(A2552,"Ddd"))&amp;"-"&amp;TEXT(A2552,"hh"),LoadTable[],6,FALSE)*T2552</f>
        <v>8201.4787286400006</v>
      </c>
      <c r="V2552">
        <f t="shared" ref="V2552:W2552" si="2724">V2528</f>
        <v>2.9</v>
      </c>
      <c r="W2552">
        <f t="shared" si="2724"/>
        <v>3.1</v>
      </c>
      <c r="X2552" s="9">
        <v>-137.739749816672</v>
      </c>
    </row>
    <row r="2553" spans="1:24">
      <c r="A2553" s="29">
        <f t="shared" si="2668"/>
        <v>45942.249999993815</v>
      </c>
      <c r="B2553" s="30">
        <f t="shared" si="2692"/>
        <v>8000</v>
      </c>
      <c r="C2553" s="8">
        <v>25000</v>
      </c>
      <c r="D2553" s="8">
        <v>0</v>
      </c>
      <c r="E2553" s="8">
        <v>700</v>
      </c>
      <c r="F2553" s="8">
        <v>15000</v>
      </c>
      <c r="G2553" s="30">
        <f t="shared" si="2693"/>
        <v>2400</v>
      </c>
      <c r="H2553" s="8">
        <v>25000</v>
      </c>
      <c r="I2553" s="30">
        <f t="shared" si="2694"/>
        <v>8000</v>
      </c>
      <c r="J2553" s="8">
        <v>25000</v>
      </c>
      <c r="K2553" s="30">
        <f t="shared" si="2695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VLOOKUP(VLOOKUP(DATEVALUE(TEXT(A2553,"m/d/yyyy")),FY24_Temp[],5,FALSE)&amp;TEXT(A2553,"-h"),Table6[],4,FALSE)</f>
        <v>0.85642857210976742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VLOOKUP(TEXT(A2553,"yy-mm")&amp;"-"&amp;IF(AND(WEEKDAY(A2553)&gt;1,WEEKDAY(A2553)&lt;7),"Wkd",TEXT(A2553,"Ddd"))&amp;"-"&amp;TEXT(A2553,"hh"),LoadTable[],5,FALSE)*0.92</f>
        <v>236.10788000000002</v>
      </c>
      <c r="U2553" s="104">
        <f>VLOOKUP(TEXT(A2553,"yy-mm")&amp;"-"&amp;IF(AND(WEEKDAY(A2553)&gt;1,WEEKDAY(A2553)&lt;7),"Wkd",TEXT(A2553,"Ddd"))&amp;"-"&amp;TEXT(A2553,"hh"),LoadTable[],6,FALSE)*T2553</f>
        <v>10800.282754840002</v>
      </c>
      <c r="V2553">
        <f t="shared" ref="V2553:W2553" si="2725">V2529</f>
        <v>2.5</v>
      </c>
      <c r="W2553">
        <f t="shared" si="2725"/>
        <v>3.1</v>
      </c>
      <c r="X2553" s="9">
        <v>-137.81754436667299</v>
      </c>
    </row>
    <row r="2554" spans="1:24">
      <c r="A2554" s="29">
        <f t="shared" si="2668"/>
        <v>45942.29166666048</v>
      </c>
      <c r="B2554" s="30">
        <f t="shared" si="2692"/>
        <v>8000</v>
      </c>
      <c r="C2554" s="8">
        <v>25000</v>
      </c>
      <c r="D2554" s="8">
        <v>0</v>
      </c>
      <c r="E2554" s="8">
        <v>700</v>
      </c>
      <c r="F2554" s="8">
        <v>15000</v>
      </c>
      <c r="G2554" s="30">
        <f t="shared" si="2693"/>
        <v>2400</v>
      </c>
      <c r="H2554" s="8">
        <v>25000</v>
      </c>
      <c r="I2554" s="30">
        <f t="shared" si="2694"/>
        <v>8000</v>
      </c>
      <c r="J2554" s="8">
        <v>25000</v>
      </c>
      <c r="K2554" s="30">
        <f t="shared" si="2695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VLOOKUP(VLOOKUP(DATEVALUE(TEXT(A2554,"m/d/yyyy")),FY24_Temp[],5,FALSE)&amp;TEXT(A2554,"-h"),Table6[],4,FALSE)</f>
        <v>0.70771429368427818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VLOOKUP(TEXT(A2554,"yy-mm")&amp;"-"&amp;IF(AND(WEEKDAY(A2554)&gt;1,WEEKDAY(A2554)&lt;7),"Wkd",TEXT(A2554,"Ddd"))&amp;"-"&amp;TEXT(A2554,"hh"),LoadTable[],5,FALSE)*0.92</f>
        <v>236.10788000000002</v>
      </c>
      <c r="U2554" s="104">
        <f>VLOOKUP(TEXT(A2554,"yy-mm")&amp;"-"&amp;IF(AND(WEEKDAY(A2554)&gt;1,WEEKDAY(A2554)&lt;7),"Wkd",TEXT(A2554,"Ddd"))&amp;"-"&amp;TEXT(A2554,"hh"),LoadTable[],6,FALSE)*T2554</f>
        <v>10734.40865632</v>
      </c>
      <c r="V2554">
        <f t="shared" ref="V2554:W2554" si="2726">V2530</f>
        <v>2.5</v>
      </c>
      <c r="W2554">
        <f t="shared" si="2726"/>
        <v>3.1</v>
      </c>
      <c r="X2554" s="9">
        <v>-137.89533891667301</v>
      </c>
    </row>
    <row r="2555" spans="1:24">
      <c r="A2555" s="29">
        <f t="shared" si="2668"/>
        <v>45942.333333327144</v>
      </c>
      <c r="B2555" s="30">
        <f t="shared" si="2692"/>
        <v>8000</v>
      </c>
      <c r="C2555" s="8">
        <v>25000</v>
      </c>
      <c r="D2555" s="8">
        <v>0</v>
      </c>
      <c r="E2555" s="8">
        <v>700</v>
      </c>
      <c r="F2555" s="8">
        <v>15000</v>
      </c>
      <c r="G2555" s="30">
        <f t="shared" si="2693"/>
        <v>2400</v>
      </c>
      <c r="H2555" s="8">
        <v>25000</v>
      </c>
      <c r="I2555" s="30">
        <f t="shared" si="2694"/>
        <v>8000</v>
      </c>
      <c r="J2555" s="8">
        <v>25000</v>
      </c>
      <c r="K2555" s="30">
        <f t="shared" si="2695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VLOOKUP(VLOOKUP(DATEVALUE(TEXT(A2555,"m/d/yyyy")),FY24_Temp[],5,FALSE)&amp;TEXT(A2555,"-h"),Table6[],4,FALSE)</f>
        <v>0.6007142875875745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VLOOKUP(TEXT(A2555,"yy-mm")&amp;"-"&amp;IF(AND(WEEKDAY(A2555)&gt;1,WEEKDAY(A2555)&lt;7),"Wkd",TEXT(A2555,"Ddd"))&amp;"-"&amp;TEXT(A2555,"hh"),LoadTable[],5,FALSE)*0.92</f>
        <v>236.10788000000002</v>
      </c>
      <c r="U2555" s="104">
        <f>VLOOKUP(TEXT(A2555,"yy-mm")&amp;"-"&amp;IF(AND(WEEKDAY(A2555)&gt;1,WEEKDAY(A2555)&lt;7),"Wkd",TEXT(A2555,"Ddd"))&amp;"-"&amp;TEXT(A2555,"hh"),LoadTable[],6,FALSE)*T2555</f>
        <v>10590.6189574</v>
      </c>
      <c r="V2555">
        <f t="shared" ref="V2555:W2555" si="2727">V2531</f>
        <v>3.2</v>
      </c>
      <c r="W2555">
        <f t="shared" si="2727"/>
        <v>3</v>
      </c>
      <c r="X2555" s="9">
        <v>-137.97313346667201</v>
      </c>
    </row>
    <row r="2556" spans="1:24">
      <c r="A2556" s="29">
        <f t="shared" si="2668"/>
        <v>45942.374999993808</v>
      </c>
      <c r="B2556" s="30">
        <f t="shared" si="2692"/>
        <v>8000</v>
      </c>
      <c r="C2556" s="8">
        <v>25000</v>
      </c>
      <c r="D2556" s="8">
        <v>0</v>
      </c>
      <c r="E2556" s="8">
        <v>700</v>
      </c>
      <c r="F2556" s="8">
        <v>15000</v>
      </c>
      <c r="G2556" s="30">
        <f t="shared" si="2693"/>
        <v>2400</v>
      </c>
      <c r="H2556" s="8">
        <v>25000</v>
      </c>
      <c r="I2556" s="30">
        <f t="shared" si="2694"/>
        <v>8000</v>
      </c>
      <c r="J2556" s="8">
        <v>25000</v>
      </c>
      <c r="K2556" s="30">
        <f t="shared" si="2695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VLOOKUP(VLOOKUP(DATEVALUE(TEXT(A2556,"m/d/yyyy")),FY24_Temp[],5,FALSE)&amp;TEXT(A2556,"-h"),Table6[],4,FALSE)</f>
        <v>0.50428572722843712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VLOOKUP(TEXT(A2556,"yy-mm")&amp;"-"&amp;IF(AND(WEEKDAY(A2556)&gt;1,WEEKDAY(A2556)&lt;7),"Wkd",TEXT(A2556,"Ddd"))&amp;"-"&amp;TEXT(A2556,"hh"),LoadTable[],5,FALSE)*0.92</f>
        <v>236.10788000000002</v>
      </c>
      <c r="U2556" s="104">
        <f>VLOOKUP(TEXT(A2556,"yy-mm")&amp;"-"&amp;IF(AND(WEEKDAY(A2556)&gt;1,WEEKDAY(A2556)&lt;7),"Wkd",TEXT(A2556,"Ddd"))&amp;"-"&amp;TEXT(A2556,"hh"),LoadTable[],6,FALSE)*T2556</f>
        <v>10564.883198480002</v>
      </c>
      <c r="V2556">
        <f t="shared" ref="V2556:W2556" si="2728">V2532</f>
        <v>2.9</v>
      </c>
      <c r="W2556">
        <f t="shared" si="2728"/>
        <v>3</v>
      </c>
      <c r="X2556" s="9">
        <v>-138.050928016672</v>
      </c>
    </row>
    <row r="2557" spans="1:24">
      <c r="A2557" s="29">
        <f t="shared" si="2668"/>
        <v>45942.416666660472</v>
      </c>
      <c r="B2557" s="30">
        <f t="shared" si="2692"/>
        <v>8000</v>
      </c>
      <c r="C2557" s="8">
        <v>25000</v>
      </c>
      <c r="D2557" s="8">
        <v>0</v>
      </c>
      <c r="E2557" s="8">
        <v>700</v>
      </c>
      <c r="F2557" s="8">
        <v>15000</v>
      </c>
      <c r="G2557" s="30">
        <f t="shared" si="2693"/>
        <v>2400</v>
      </c>
      <c r="H2557" s="8">
        <v>25000</v>
      </c>
      <c r="I2557" s="30">
        <f t="shared" si="2694"/>
        <v>8000</v>
      </c>
      <c r="J2557" s="8">
        <v>25000</v>
      </c>
      <c r="K2557" s="30">
        <f t="shared" si="2695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VLOOKUP(VLOOKUP(DATEVALUE(TEXT(A2557,"m/d/yyyy")),FY24_Temp[],5,FALSE)&amp;TEXT(A2557,"-h"),Table6[],4,FALSE)</f>
        <v>0.40428571828774046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VLOOKUP(TEXT(A2557,"yy-mm")&amp;"-"&amp;IF(AND(WEEKDAY(A2557)&gt;1,WEEKDAY(A2557)&lt;7),"Wkd",TEXT(A2557,"Ddd"))&amp;"-"&amp;TEXT(A2557,"hh"),LoadTable[],5,FALSE)*0.92</f>
        <v>236.10788000000002</v>
      </c>
      <c r="U2557" s="104">
        <f>VLOOKUP(TEXT(A2557,"yy-mm")&amp;"-"&amp;IF(AND(WEEKDAY(A2557)&gt;1,WEEKDAY(A2557)&lt;7),"Wkd",TEXT(A2557,"Ddd"))&amp;"-"&amp;TEXT(A2557,"hh"),LoadTable[],6,FALSE)*T2557</f>
        <v>10542.689057760001</v>
      </c>
      <c r="V2557">
        <f t="shared" ref="V2557:W2557" si="2729">V2533</f>
        <v>2.9</v>
      </c>
      <c r="W2557">
        <f t="shared" si="2729"/>
        <v>3</v>
      </c>
      <c r="X2557" s="9">
        <v>-138.12872256667299</v>
      </c>
    </row>
    <row r="2558" spans="1:24">
      <c r="A2558" s="29">
        <f t="shared" si="2668"/>
        <v>45942.458333327137</v>
      </c>
      <c r="B2558" s="30">
        <f t="shared" si="2692"/>
        <v>8000</v>
      </c>
      <c r="C2558" s="8">
        <v>25000</v>
      </c>
      <c r="D2558" s="8">
        <v>0</v>
      </c>
      <c r="E2558" s="8">
        <v>700</v>
      </c>
      <c r="F2558" s="8">
        <v>15000</v>
      </c>
      <c r="G2558" s="30">
        <f t="shared" si="2693"/>
        <v>2400</v>
      </c>
      <c r="H2558" s="8">
        <v>25000</v>
      </c>
      <c r="I2558" s="30">
        <f t="shared" si="2694"/>
        <v>8000</v>
      </c>
      <c r="J2558" s="8">
        <v>25000</v>
      </c>
      <c r="K2558" s="30">
        <f t="shared" si="2695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VLOOKUP(VLOOKUP(DATEVALUE(TEXT(A2558,"m/d/yyyy")),FY24_Temp[],5,FALSE)&amp;TEXT(A2558,"-h"),Table6[],4,FALSE)</f>
        <v>0.29914285136120661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VLOOKUP(TEXT(A2558,"yy-mm")&amp;"-"&amp;IF(AND(WEEKDAY(A2558)&gt;1,WEEKDAY(A2558)&lt;7),"Wkd",TEXT(A2558,"Ddd"))&amp;"-"&amp;TEXT(A2558,"hh"),LoadTable[],5,FALSE)*0.92</f>
        <v>236.10788000000002</v>
      </c>
      <c r="U2558" s="104">
        <f>VLOOKUP(TEXT(A2558,"yy-mm")&amp;"-"&amp;IF(AND(WEEKDAY(A2558)&gt;1,WEEKDAY(A2558)&lt;7),"Wkd",TEXT(A2558,"Ddd"))&amp;"-"&amp;TEXT(A2558,"hh"),LoadTable[],6,FALSE)*T2558</f>
        <v>10524.98096676</v>
      </c>
      <c r="V2558">
        <f t="shared" ref="V2558:W2558" si="2730">V2534</f>
        <v>3.4</v>
      </c>
      <c r="W2558">
        <f t="shared" si="2730"/>
        <v>3</v>
      </c>
      <c r="X2558" s="9">
        <v>-138.20651711667301</v>
      </c>
    </row>
    <row r="2559" spans="1:24">
      <c r="A2559" s="29">
        <f t="shared" si="2668"/>
        <v>45942.499999993801</v>
      </c>
      <c r="B2559" s="30">
        <f t="shared" si="2692"/>
        <v>8000</v>
      </c>
      <c r="C2559" s="8">
        <v>25000</v>
      </c>
      <c r="D2559" s="8">
        <v>0</v>
      </c>
      <c r="E2559" s="8">
        <v>700</v>
      </c>
      <c r="F2559" s="8">
        <v>15000</v>
      </c>
      <c r="G2559" s="30">
        <f t="shared" si="2693"/>
        <v>2400</v>
      </c>
      <c r="H2559" s="8">
        <v>25000</v>
      </c>
      <c r="I2559" s="30">
        <f t="shared" si="2694"/>
        <v>8000</v>
      </c>
      <c r="J2559" s="8">
        <v>25000</v>
      </c>
      <c r="K2559" s="30">
        <f t="shared" si="2695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VLOOKUP(VLOOKUP(DATEVALUE(TEXT(A2559,"m/d/yyyy")),FY24_Temp[],5,FALSE)&amp;TEXT(A2559,"-h"),Table6[],4,FALSE)</f>
        <v>0.19471428463501589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VLOOKUP(TEXT(A2559,"yy-mm")&amp;"-"&amp;IF(AND(WEEKDAY(A2559)&gt;1,WEEKDAY(A2559)&lt;7),"Wkd",TEXT(A2559,"Ddd"))&amp;"-"&amp;TEXT(A2559,"hh"),LoadTable[],5,FALSE)*0.92</f>
        <v>236.10788000000002</v>
      </c>
      <c r="U2559" s="104">
        <f>VLOOKUP(TEXT(A2559,"yy-mm")&amp;"-"&amp;IF(AND(WEEKDAY(A2559)&gt;1,WEEKDAY(A2559)&lt;7),"Wkd",TEXT(A2559,"Ddd"))&amp;"-"&amp;TEXT(A2559,"hh"),LoadTable[],6,FALSE)*T2559</f>
        <v>10519.314377640001</v>
      </c>
      <c r="V2559">
        <f t="shared" ref="V2559:W2559" si="2731">V2535</f>
        <v>3.1</v>
      </c>
      <c r="W2559">
        <f t="shared" si="2731"/>
        <v>2.9</v>
      </c>
      <c r="X2559" s="9">
        <v>-138.28431166667201</v>
      </c>
    </row>
    <row r="2560" spans="1:24">
      <c r="A2560" s="29">
        <f t="shared" si="2668"/>
        <v>45942.541666660465</v>
      </c>
      <c r="B2560" s="30">
        <f t="shared" si="2692"/>
        <v>8000</v>
      </c>
      <c r="C2560" s="8">
        <v>25000</v>
      </c>
      <c r="D2560" s="8">
        <v>0</v>
      </c>
      <c r="E2560" s="8">
        <v>700</v>
      </c>
      <c r="F2560" s="8">
        <v>15000</v>
      </c>
      <c r="G2560" s="30">
        <f t="shared" si="2693"/>
        <v>2400</v>
      </c>
      <c r="H2560" s="8">
        <v>25000</v>
      </c>
      <c r="I2560" s="30">
        <f t="shared" si="2694"/>
        <v>8000</v>
      </c>
      <c r="J2560" s="8">
        <v>25000</v>
      </c>
      <c r="K2560" s="30">
        <f t="shared" si="2695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VLOOKUP(VLOOKUP(DATEVALUE(TEXT(A2560,"m/d/yyyy")),FY24_Temp[],5,FALSE)&amp;TEXT(A2560,"-h"),Table6[],4,FALSE)</f>
        <v>0.10557143097477299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VLOOKUP(TEXT(A2560,"yy-mm")&amp;"-"&amp;IF(AND(WEEKDAY(A2560)&gt;1,WEEKDAY(A2560)&lt;7),"Wkd",TEXT(A2560,"Ddd"))&amp;"-"&amp;TEXT(A2560,"hh"),LoadTable[],5,FALSE)*0.92</f>
        <v>236.10788000000002</v>
      </c>
      <c r="U2560" s="104">
        <f>VLOOKUP(TEXT(A2560,"yy-mm")&amp;"-"&amp;IF(AND(WEEKDAY(A2560)&gt;1,WEEKDAY(A2560)&lt;7),"Wkd",TEXT(A2560,"Ddd"))&amp;"-"&amp;TEXT(A2560,"hh"),LoadTable[],6,FALSE)*T2560</f>
        <v>10522.85599584</v>
      </c>
      <c r="V2560">
        <f t="shared" ref="V2560:W2560" si="2732">V2536</f>
        <v>3.2</v>
      </c>
      <c r="W2560">
        <f t="shared" si="2732"/>
        <v>2.9</v>
      </c>
      <c r="X2560" s="9">
        <v>-138.362106216672</v>
      </c>
    </row>
    <row r="2561" spans="1:24">
      <c r="A2561" s="29">
        <f t="shared" si="2668"/>
        <v>45942.583333327129</v>
      </c>
      <c r="B2561" s="30">
        <f t="shared" si="2692"/>
        <v>8000</v>
      </c>
      <c r="C2561" s="8">
        <v>25000</v>
      </c>
      <c r="D2561" s="8">
        <v>0</v>
      </c>
      <c r="E2561" s="8">
        <v>700</v>
      </c>
      <c r="F2561" s="8">
        <v>15000</v>
      </c>
      <c r="G2561" s="30">
        <f t="shared" si="2693"/>
        <v>2400</v>
      </c>
      <c r="H2561" s="8">
        <v>25000</v>
      </c>
      <c r="I2561" s="30">
        <f t="shared" si="2694"/>
        <v>8000</v>
      </c>
      <c r="J2561" s="8">
        <v>25000</v>
      </c>
      <c r="K2561" s="30">
        <f t="shared" si="2695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VLOOKUP(VLOOKUP(DATEVALUE(TEXT(A2561,"m/d/yyyy")),FY24_Temp[],5,FALSE)&amp;TEXT(A2561,"-h"),Table6[],4,FALSE)</f>
        <v>7.8714286110230861E-2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VLOOKUP(TEXT(A2561,"yy-mm")&amp;"-"&amp;IF(AND(WEEKDAY(A2561)&gt;1,WEEKDAY(A2561)&lt;7),"Wkd",TEXT(A2561,"Ddd"))&amp;"-"&amp;TEXT(A2561,"hh"),LoadTable[],5,FALSE)*0.92</f>
        <v>236.10788000000002</v>
      </c>
      <c r="U2561" s="104">
        <f>VLOOKUP(TEXT(A2561,"yy-mm")&amp;"-"&amp;IF(AND(WEEKDAY(A2561)&gt;1,WEEKDAY(A2561)&lt;7),"Wkd",TEXT(A2561,"Ddd"))&amp;"-"&amp;TEXT(A2561,"hh"),LoadTable[],6,FALSE)*T2561</f>
        <v>10530.88366376</v>
      </c>
      <c r="V2561">
        <f t="shared" ref="V2561:W2561" si="2733">V2537</f>
        <v>3.5</v>
      </c>
      <c r="W2561">
        <f t="shared" si="2733"/>
        <v>2.9</v>
      </c>
      <c r="X2561" s="9">
        <v>-138.43990076667299</v>
      </c>
    </row>
    <row r="2562" spans="1:24">
      <c r="A2562" s="29">
        <f t="shared" si="2668"/>
        <v>45942.624999993794</v>
      </c>
      <c r="B2562" s="30">
        <f t="shared" si="2692"/>
        <v>8000</v>
      </c>
      <c r="C2562" s="8">
        <v>25000</v>
      </c>
      <c r="D2562" s="8">
        <v>0</v>
      </c>
      <c r="E2562" s="8">
        <v>700</v>
      </c>
      <c r="F2562" s="8">
        <v>15000</v>
      </c>
      <c r="G2562" s="30">
        <f t="shared" si="2693"/>
        <v>2400</v>
      </c>
      <c r="H2562" s="8">
        <v>25000</v>
      </c>
      <c r="I2562" s="30">
        <f t="shared" si="2694"/>
        <v>8000</v>
      </c>
      <c r="J2562" s="8">
        <v>25000</v>
      </c>
      <c r="K2562" s="30">
        <f t="shared" si="2695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VLOOKUP(VLOOKUP(DATEVALUE(TEXT(A2562,"m/d/yyyy")),FY24_Temp[],5,FALSE)&amp;TEXT(A2562,"-h"),Table6[],4,FALSE)</f>
        <v>0.20828571436660631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VLOOKUP(TEXT(A2562,"yy-mm")&amp;"-"&amp;IF(AND(WEEKDAY(A2562)&gt;1,WEEKDAY(A2562)&lt;7),"Wkd",TEXT(A2562,"Ddd"))&amp;"-"&amp;TEXT(A2562,"hh"),LoadTable[],5,FALSE)*0.92</f>
        <v>236.10788000000002</v>
      </c>
      <c r="U2562" s="104">
        <f>VLOOKUP(TEXT(A2562,"yy-mm")&amp;"-"&amp;IF(AND(WEEKDAY(A2562)&gt;1,WEEKDAY(A2562)&lt;7),"Wkd",TEXT(A2562,"Ddd"))&amp;"-"&amp;TEXT(A2562,"hh"),LoadTable[],6,FALSE)*T2562</f>
        <v>10550.480617800002</v>
      </c>
      <c r="V2562">
        <f t="shared" ref="V2562:W2562" si="2734">V2538</f>
        <v>3.2</v>
      </c>
      <c r="W2562">
        <f t="shared" si="2734"/>
        <v>2.9</v>
      </c>
      <c r="X2562" s="9">
        <v>-138.51769531667301</v>
      </c>
    </row>
    <row r="2563" spans="1:24">
      <c r="A2563" s="29">
        <f t="shared" si="2668"/>
        <v>45942.666666660458</v>
      </c>
      <c r="B2563" s="30">
        <f t="shared" si="2692"/>
        <v>8000</v>
      </c>
      <c r="C2563" s="8">
        <v>25000</v>
      </c>
      <c r="D2563" s="8">
        <v>0</v>
      </c>
      <c r="E2563" s="8">
        <v>700</v>
      </c>
      <c r="F2563" s="8">
        <v>15000</v>
      </c>
      <c r="G2563" s="30">
        <f t="shared" si="2693"/>
        <v>2400</v>
      </c>
      <c r="H2563" s="8">
        <v>25000</v>
      </c>
      <c r="I2563" s="30">
        <f t="shared" si="2694"/>
        <v>8000</v>
      </c>
      <c r="J2563" s="8">
        <v>25000</v>
      </c>
      <c r="K2563" s="30">
        <f t="shared" si="2695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VLOOKUP(VLOOKUP(DATEVALUE(TEXT(A2563,"m/d/yyyy")),FY24_Temp[],5,FALSE)&amp;TEXT(A2563,"-h"),Table6[],4,FALSE)</f>
        <v>0.47971428292138235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VLOOKUP(TEXT(A2563,"yy-mm")&amp;"-"&amp;IF(AND(WEEKDAY(A2563)&gt;1,WEEKDAY(A2563)&lt;7),"Wkd",TEXT(A2563,"Ddd"))&amp;"-"&amp;TEXT(A2563,"hh"),LoadTable[],5,FALSE)*0.92</f>
        <v>236.10788000000002</v>
      </c>
      <c r="U2563" s="104">
        <f>VLOOKUP(TEXT(A2563,"yy-mm")&amp;"-"&amp;IF(AND(WEEKDAY(A2563)&gt;1,WEEKDAY(A2563)&lt;7),"Wkd",TEXT(A2563,"Ddd"))&amp;"-"&amp;TEXT(A2563,"hh"),LoadTable[],6,FALSE)*T2563</f>
        <v>10580.230210680002</v>
      </c>
      <c r="V2563">
        <f t="shared" ref="V2563:W2563" si="2735">V2539</f>
        <v>3.5</v>
      </c>
      <c r="W2563">
        <f t="shared" si="2735"/>
        <v>3</v>
      </c>
      <c r="X2563" s="9">
        <v>-138.59548986667301</v>
      </c>
    </row>
    <row r="2564" spans="1:24">
      <c r="A2564" s="29">
        <f t="shared" si="2668"/>
        <v>45942.708333327122</v>
      </c>
      <c r="B2564" s="30">
        <f t="shared" si="2692"/>
        <v>8000</v>
      </c>
      <c r="C2564" s="8">
        <v>25000</v>
      </c>
      <c r="D2564" s="8">
        <v>0</v>
      </c>
      <c r="E2564" s="8">
        <v>700</v>
      </c>
      <c r="F2564" s="8">
        <v>15000</v>
      </c>
      <c r="G2564" s="30">
        <f t="shared" si="2693"/>
        <v>2400</v>
      </c>
      <c r="H2564" s="8">
        <v>25000</v>
      </c>
      <c r="I2564" s="30">
        <f t="shared" si="2694"/>
        <v>8000</v>
      </c>
      <c r="J2564" s="8">
        <v>25000</v>
      </c>
      <c r="K2564" s="30">
        <f t="shared" si="2695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VLOOKUP(VLOOKUP(DATEVALUE(TEXT(A2564,"m/d/yyyy")),FY24_Temp[],5,FALSE)&amp;TEXT(A2564,"-h"),Table6[],4,FALSE)</f>
        <v>0.81442855937140324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VLOOKUP(TEXT(A2564,"yy-mm")&amp;"-"&amp;IF(AND(WEEKDAY(A2564)&gt;1,WEEKDAY(A2564)&lt;7),"Wkd",TEXT(A2564,"Ddd"))&amp;"-"&amp;TEXT(A2564,"hh"),LoadTable[],5,FALSE)*0.92</f>
        <v>236.10788000000002</v>
      </c>
      <c r="U2564" s="104">
        <f>VLOOKUP(TEXT(A2564,"yy-mm")&amp;"-"&amp;IF(AND(WEEKDAY(A2564)&gt;1,WEEKDAY(A2564)&lt;7),"Wkd",TEXT(A2564,"Ddd"))&amp;"-"&amp;TEXT(A2564,"hh"),LoadTable[],6,FALSE)*T2564</f>
        <v>10899.684172320001</v>
      </c>
      <c r="V2564">
        <f t="shared" ref="V2564:W2564" si="2736">V2540</f>
        <v>3.6</v>
      </c>
      <c r="W2564">
        <f t="shared" si="2736"/>
        <v>3</v>
      </c>
      <c r="X2564" s="9">
        <v>-138.673284416673</v>
      </c>
    </row>
    <row r="2565" spans="1:24">
      <c r="A2565" s="29">
        <f t="shared" ref="A2565:A2628" si="2737">A2564+TIME(1,0,0)</f>
        <v>45942.749999993786</v>
      </c>
      <c r="B2565" s="30">
        <f t="shared" si="2692"/>
        <v>5000</v>
      </c>
      <c r="C2565" s="8">
        <v>25000</v>
      </c>
      <c r="D2565" s="8">
        <v>0</v>
      </c>
      <c r="E2565" s="8">
        <v>700</v>
      </c>
      <c r="F2565" s="8">
        <v>15000</v>
      </c>
      <c r="G2565" s="30">
        <f t="shared" si="2693"/>
        <v>2400</v>
      </c>
      <c r="H2565" s="8">
        <v>25000</v>
      </c>
      <c r="I2565" s="30">
        <f t="shared" si="2694"/>
        <v>5000</v>
      </c>
      <c r="J2565" s="8">
        <v>25000</v>
      </c>
      <c r="K2565" s="30">
        <f t="shared" si="2695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VLOOKUP(VLOOKUP(DATEVALUE(TEXT(A2565,"m/d/yyyy")),FY24_Temp[],5,FALSE)&amp;TEXT(A2565,"-h"),Table6[],4,FALSE)</f>
        <v>0.94428572484425133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VLOOKUP(TEXT(A2565,"yy-mm")&amp;"-"&amp;IF(AND(WEEKDAY(A2565)&gt;1,WEEKDAY(A2565)&lt;7),"Wkd",TEXT(A2565,"Ddd"))&amp;"-"&amp;TEXT(A2565,"hh"),LoadTable[],5,FALSE)*0.92</f>
        <v>308.12363999999997</v>
      </c>
      <c r="U2565" s="104">
        <f>VLOOKUP(TEXT(A2565,"yy-mm")&amp;"-"&amp;IF(AND(WEEKDAY(A2565)&gt;1,WEEKDAY(A2565)&lt;7),"Wkd",TEXT(A2565,"Ddd"))&amp;"-"&amp;TEXT(A2565,"hh"),LoadTable[],6,FALSE)*T2565</f>
        <v>14932.595965319999</v>
      </c>
      <c r="V2565">
        <f t="shared" ref="V2565:W2565" si="2738">V2541</f>
        <v>2.9</v>
      </c>
      <c r="W2565">
        <f t="shared" si="2738"/>
        <v>3</v>
      </c>
      <c r="X2565" s="9">
        <v>-138.75107896667299</v>
      </c>
    </row>
    <row r="2566" spans="1:24">
      <c r="A2566" s="29">
        <f t="shared" si="2737"/>
        <v>45942.791666660451</v>
      </c>
      <c r="B2566" s="30">
        <f t="shared" si="2692"/>
        <v>5000</v>
      </c>
      <c r="C2566" s="8">
        <v>25000</v>
      </c>
      <c r="D2566" s="8">
        <v>0</v>
      </c>
      <c r="E2566" s="8">
        <v>700</v>
      </c>
      <c r="F2566" s="8">
        <v>15000</v>
      </c>
      <c r="G2566" s="30">
        <f t="shared" si="2693"/>
        <v>2400</v>
      </c>
      <c r="H2566" s="8">
        <v>25000</v>
      </c>
      <c r="I2566" s="30">
        <f t="shared" si="2694"/>
        <v>5000</v>
      </c>
      <c r="J2566" s="8">
        <v>25000</v>
      </c>
      <c r="K2566" s="30">
        <f t="shared" si="2695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VLOOKUP(VLOOKUP(DATEVALUE(TEXT(A2566,"m/d/yyyy")),FY24_Temp[],5,FALSE)&amp;TEXT(A2566,"-h"),Table6[],4,FALSE)</f>
        <v>1.0365714345659529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VLOOKUP(TEXT(A2566,"yy-mm")&amp;"-"&amp;IF(AND(WEEKDAY(A2566)&gt;1,WEEKDAY(A2566)&lt;7),"Wkd",TEXT(A2566,"Ddd"))&amp;"-"&amp;TEXT(A2566,"hh"),LoadTable[],5,FALSE)*0.92</f>
        <v>308.12363999999997</v>
      </c>
      <c r="U2566" s="104">
        <f>VLOOKUP(TEXT(A2566,"yy-mm")&amp;"-"&amp;IF(AND(WEEKDAY(A2566)&gt;1,WEEKDAY(A2566)&lt;7),"Wkd",TEXT(A2566,"Ddd"))&amp;"-"&amp;TEXT(A2566,"hh"),LoadTable[],6,FALSE)*T2566</f>
        <v>14998.226300639999</v>
      </c>
      <c r="V2566">
        <f t="shared" ref="V2566:W2566" si="2739">V2542</f>
        <v>3</v>
      </c>
      <c r="W2566">
        <f t="shared" si="2739"/>
        <v>3</v>
      </c>
      <c r="X2566" s="9">
        <v>-138.82887351667301</v>
      </c>
    </row>
    <row r="2567" spans="1:24">
      <c r="A2567" s="29">
        <f t="shared" si="2737"/>
        <v>45942.833333327115</v>
      </c>
      <c r="B2567" s="30">
        <f t="shared" si="2692"/>
        <v>5000</v>
      </c>
      <c r="C2567" s="8">
        <v>25000</v>
      </c>
      <c r="D2567" s="8">
        <v>0</v>
      </c>
      <c r="E2567" s="8">
        <v>700</v>
      </c>
      <c r="F2567" s="8">
        <v>15000</v>
      </c>
      <c r="G2567" s="30">
        <f t="shared" si="2693"/>
        <v>2400</v>
      </c>
      <c r="H2567" s="8">
        <v>25000</v>
      </c>
      <c r="I2567" s="30">
        <f t="shared" si="2694"/>
        <v>5000</v>
      </c>
      <c r="J2567" s="8">
        <v>25000</v>
      </c>
      <c r="K2567" s="30">
        <f t="shared" si="2695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VLOOKUP(VLOOKUP(DATEVALUE(TEXT(A2567,"m/d/yyyy")),FY24_Temp[],5,FALSE)&amp;TEXT(A2567,"-h"),Table6[],4,FALSE)</f>
        <v>1.1094285760607039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VLOOKUP(TEXT(A2567,"yy-mm")&amp;"-"&amp;IF(AND(WEEKDAY(A2567)&gt;1,WEEKDAY(A2567)&lt;7),"Wkd",TEXT(A2567,"Ddd"))&amp;"-"&amp;TEXT(A2567,"hh"),LoadTable[],5,FALSE)*0.92</f>
        <v>308.12363999999997</v>
      </c>
      <c r="U2567" s="104">
        <f>VLOOKUP(TEXT(A2567,"yy-mm")&amp;"-"&amp;IF(AND(WEEKDAY(A2567)&gt;1,WEEKDAY(A2567)&lt;7),"Wkd",TEXT(A2567,"Ddd"))&amp;"-"&amp;TEXT(A2567,"hh"),LoadTable[],6,FALSE)*T2567</f>
        <v>14785.004741759998</v>
      </c>
      <c r="V2567">
        <f t="shared" ref="V2567:W2567" si="2740">V2543</f>
        <v>2.8</v>
      </c>
      <c r="W2567">
        <f t="shared" si="2740"/>
        <v>3.1</v>
      </c>
      <c r="X2567" s="9">
        <v>-138.90666806667301</v>
      </c>
    </row>
    <row r="2568" spans="1:24">
      <c r="A2568" s="29">
        <f t="shared" si="2737"/>
        <v>45942.874999993779</v>
      </c>
      <c r="B2568" s="30">
        <f t="shared" si="2692"/>
        <v>5000</v>
      </c>
      <c r="C2568" s="8">
        <v>25000</v>
      </c>
      <c r="D2568" s="8">
        <v>0</v>
      </c>
      <c r="E2568" s="8">
        <v>700</v>
      </c>
      <c r="F2568" s="8">
        <v>15000</v>
      </c>
      <c r="G2568" s="30">
        <f t="shared" si="2693"/>
        <v>2400</v>
      </c>
      <c r="H2568" s="8">
        <v>25000</v>
      </c>
      <c r="I2568" s="30">
        <f t="shared" si="2694"/>
        <v>5000</v>
      </c>
      <c r="J2568" s="8">
        <v>25000</v>
      </c>
      <c r="K2568" s="30">
        <f t="shared" si="2695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VLOOKUP(VLOOKUP(DATEVALUE(TEXT(A2568,"m/d/yyyy")),FY24_Temp[],5,FALSE)&amp;TEXT(A2568,"-h"),Table6[],4,FALSE)</f>
        <v>1.2048571450369698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VLOOKUP(TEXT(A2568,"yy-mm")&amp;"-"&amp;IF(AND(WEEKDAY(A2568)&gt;1,WEEKDAY(A2568)&lt;7),"Wkd",TEXT(A2568,"Ddd"))&amp;"-"&amp;TEXT(A2568,"hh"),LoadTable[],5,FALSE)*0.92</f>
        <v>234.33964000000003</v>
      </c>
      <c r="U2568" s="104">
        <f>VLOOKUP(TEXT(A2568,"yy-mm")&amp;"-"&amp;IF(AND(WEEKDAY(A2568)&gt;1,WEEKDAY(A2568)&lt;7),"Wkd",TEXT(A2568,"Ddd"))&amp;"-"&amp;TEXT(A2568,"hh"),LoadTable[],6,FALSE)*T2568</f>
        <v>10881.795523040002</v>
      </c>
      <c r="V2568">
        <f t="shared" ref="V2568:W2568" si="2741">V2544</f>
        <v>3.5</v>
      </c>
      <c r="W2568">
        <f t="shared" si="2741"/>
        <v>3.1</v>
      </c>
      <c r="X2568" s="9">
        <v>-138.984462616673</v>
      </c>
    </row>
    <row r="2569" spans="1:24">
      <c r="A2569" s="29">
        <f t="shared" si="2737"/>
        <v>45942.916666660443</v>
      </c>
      <c r="B2569" s="30">
        <f t="shared" si="2692"/>
        <v>5000</v>
      </c>
      <c r="C2569" s="8">
        <v>25000</v>
      </c>
      <c r="D2569" s="8">
        <v>0</v>
      </c>
      <c r="E2569" s="8">
        <v>700</v>
      </c>
      <c r="F2569" s="8">
        <v>15000</v>
      </c>
      <c r="G2569" s="30">
        <f t="shared" si="2693"/>
        <v>2400</v>
      </c>
      <c r="H2569" s="8">
        <v>25000</v>
      </c>
      <c r="I2569" s="30">
        <f t="shared" si="2694"/>
        <v>5000</v>
      </c>
      <c r="J2569" s="8">
        <v>25000</v>
      </c>
      <c r="K2569" s="30">
        <f t="shared" si="2695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VLOOKUP(VLOOKUP(DATEVALUE(TEXT(A2569,"m/d/yyyy")),FY24_Temp[],5,FALSE)&amp;TEXT(A2569,"-h"),Table6[],4,FALSE)</f>
        <v>1.2747142825807845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VLOOKUP(TEXT(A2569,"yy-mm")&amp;"-"&amp;IF(AND(WEEKDAY(A2569)&gt;1,WEEKDAY(A2569)&lt;7),"Wkd",TEXT(A2569,"Ddd"))&amp;"-"&amp;TEXT(A2569,"hh"),LoadTable[],5,FALSE)*0.92</f>
        <v>180.62544</v>
      </c>
      <c r="U2569" s="104">
        <f>VLOOKUP(TEXT(A2569,"yy-mm")&amp;"-"&amp;IF(AND(WEEKDAY(A2569)&gt;1,WEEKDAY(A2569)&lt;7),"Wkd",TEXT(A2569,"Ddd"))&amp;"-"&amp;TEXT(A2569,"hh"),LoadTable[],6,FALSE)*T2569</f>
        <v>8231.1013007999991</v>
      </c>
      <c r="V2569">
        <f t="shared" ref="V2569:W2569" si="2742">V2545</f>
        <v>2.9</v>
      </c>
      <c r="W2569">
        <f t="shared" si="2742"/>
        <v>3.1</v>
      </c>
      <c r="X2569" s="9">
        <v>-139.06225716667299</v>
      </c>
    </row>
    <row r="2570" spans="1:24">
      <c r="A2570" s="29">
        <f t="shared" si="2737"/>
        <v>45942.958333327108</v>
      </c>
      <c r="B2570" s="30">
        <f t="shared" si="2692"/>
        <v>5000</v>
      </c>
      <c r="C2570" s="8">
        <v>25000</v>
      </c>
      <c r="D2570" s="8">
        <v>0</v>
      </c>
      <c r="E2570" s="8">
        <v>700</v>
      </c>
      <c r="F2570" s="8">
        <v>15000</v>
      </c>
      <c r="G2570" s="30">
        <f t="shared" si="2693"/>
        <v>2400</v>
      </c>
      <c r="H2570" s="8">
        <v>25000</v>
      </c>
      <c r="I2570" s="30">
        <f t="shared" si="2694"/>
        <v>5000</v>
      </c>
      <c r="J2570" s="8">
        <v>25000</v>
      </c>
      <c r="K2570" s="30">
        <f t="shared" si="2695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VLOOKUP(VLOOKUP(DATEVALUE(TEXT(A2570,"m/d/yyyy")),FY24_Temp[],5,FALSE)&amp;TEXT(A2570,"-h"),Table6[],4,FALSE)</f>
        <v>1.2435714176722936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VLOOKUP(TEXT(A2570,"yy-mm")&amp;"-"&amp;IF(AND(WEEKDAY(A2570)&gt;1,WEEKDAY(A2570)&lt;7),"Wkd",TEXT(A2570,"Ddd"))&amp;"-"&amp;TEXT(A2570,"hh"),LoadTable[],5,FALSE)*0.92</f>
        <v>180.62544</v>
      </c>
      <c r="U2570" s="104">
        <f>VLOOKUP(TEXT(A2570,"yy-mm")&amp;"-"&amp;IF(AND(WEEKDAY(A2570)&gt;1,WEEKDAY(A2570)&lt;7),"Wkd",TEXT(A2570,"Ddd"))&amp;"-"&amp;TEXT(A2570,"hh"),LoadTable[],6,FALSE)*T2570</f>
        <v>8164.4505134399997</v>
      </c>
      <c r="V2570">
        <f t="shared" ref="V2570:W2570" si="2743">V2546</f>
        <v>3.6</v>
      </c>
      <c r="W2570">
        <f t="shared" si="2743"/>
        <v>3.1</v>
      </c>
      <c r="X2570" s="9">
        <v>-139.14005171667301</v>
      </c>
    </row>
    <row r="2571" spans="1:24">
      <c r="A2571" s="29">
        <f t="shared" si="2737"/>
        <v>45942.999999993772</v>
      </c>
      <c r="B2571" s="30">
        <f t="shared" si="2692"/>
        <v>5000</v>
      </c>
      <c r="C2571" s="8">
        <v>25000</v>
      </c>
      <c r="D2571" s="8">
        <v>0</v>
      </c>
      <c r="E2571" s="8">
        <v>700</v>
      </c>
      <c r="F2571" s="8">
        <v>15000</v>
      </c>
      <c r="G2571" s="30">
        <f t="shared" si="2693"/>
        <v>2400</v>
      </c>
      <c r="H2571" s="8">
        <v>25000</v>
      </c>
      <c r="I2571" s="30">
        <f t="shared" si="2694"/>
        <v>5000</v>
      </c>
      <c r="J2571" s="8">
        <v>25000</v>
      </c>
      <c r="K2571" s="30">
        <f t="shared" si="2695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VLOOKUP(VLOOKUP(DATEVALUE(TEXT(A2571,"m/d/yyyy")),FY24_Temp[],5,FALSE)&amp;TEXT(A2571,"-h"),Table6[],4,FALSE)</f>
        <v>1.232285703931536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VLOOKUP(TEXT(A2571,"yy-mm")&amp;"-"&amp;IF(AND(WEEKDAY(A2571)&gt;1,WEEKDAY(A2571)&lt;7),"Wkd",TEXT(A2571,"Ddd"))&amp;"-"&amp;TEXT(A2571,"hh"),LoadTable[],5,FALSE)*0.92</f>
        <v>180.62544</v>
      </c>
      <c r="U2571" s="104">
        <f>VLOOKUP(TEXT(A2571,"yy-mm")&amp;"-"&amp;IF(AND(WEEKDAY(A2571)&gt;1,WEEKDAY(A2571)&lt;7),"Wkd",TEXT(A2571,"Ddd"))&amp;"-"&amp;TEXT(A2571,"hh"),LoadTable[],6,FALSE)*T2571</f>
        <v>8132.4798105600003</v>
      </c>
      <c r="V2571">
        <f t="shared" ref="V2571:W2571" si="2744">V2547</f>
        <v>3</v>
      </c>
      <c r="W2571">
        <f t="shared" si="2744"/>
        <v>3.2</v>
      </c>
      <c r="X2571" s="9">
        <v>-139.21784626667301</v>
      </c>
    </row>
    <row r="2572" spans="1:24">
      <c r="A2572" s="29">
        <f t="shared" si="2737"/>
        <v>45943.041666660436</v>
      </c>
      <c r="B2572" s="30">
        <f t="shared" si="2692"/>
        <v>5000</v>
      </c>
      <c r="C2572" s="8">
        <v>25000</v>
      </c>
      <c r="D2572" s="8">
        <v>0</v>
      </c>
      <c r="E2572" s="8">
        <v>700</v>
      </c>
      <c r="F2572" s="8">
        <v>15000</v>
      </c>
      <c r="G2572" s="30">
        <f t="shared" si="2693"/>
        <v>2400</v>
      </c>
      <c r="H2572" s="8">
        <v>25000</v>
      </c>
      <c r="I2572" s="30">
        <f t="shared" si="2694"/>
        <v>5000</v>
      </c>
      <c r="J2572" s="8">
        <v>25000</v>
      </c>
      <c r="K2572" s="30">
        <f t="shared" si="2695"/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VLOOKUP(VLOOKUP(DATEVALUE(TEXT(A2572,"m/d/yyyy")),FY24_Temp[],5,FALSE)&amp;TEXT(A2572,"-h"),Table6[],4,FALSE)</f>
        <v>1.2795714139938354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VLOOKUP(TEXT(A2572,"yy-mm")&amp;"-"&amp;IF(AND(WEEKDAY(A2572)&gt;1,WEEKDAY(A2572)&lt;7),"Wkd",TEXT(A2572,"Ddd"))&amp;"-"&amp;TEXT(A2572,"hh"),LoadTable[],5,FALSE)*0.92</f>
        <v>180.62544</v>
      </c>
      <c r="U2572" s="104">
        <f>VLOOKUP(TEXT(A2572,"yy-mm")&amp;"-"&amp;IF(AND(WEEKDAY(A2572)&gt;1,WEEKDAY(A2572)&lt;7),"Wkd",TEXT(A2572,"Ddd"))&amp;"-"&amp;TEXT(A2572,"hh"),LoadTable[],6,FALSE)*T2572</f>
        <v>8124.71291664</v>
      </c>
      <c r="V2572">
        <f t="shared" ref="V2572:W2572" si="2745">V2548</f>
        <v>2.6</v>
      </c>
      <c r="W2572">
        <f t="shared" si="2745"/>
        <v>3.2</v>
      </c>
      <c r="X2572" s="9">
        <v>-139.295640816673</v>
      </c>
    </row>
    <row r="2573" spans="1:24">
      <c r="A2573" s="29">
        <f t="shared" si="2737"/>
        <v>45943.0833333271</v>
      </c>
      <c r="B2573" s="30">
        <f t="shared" si="2692"/>
        <v>5000</v>
      </c>
      <c r="C2573" s="8">
        <v>25000</v>
      </c>
      <c r="D2573" s="8">
        <v>0</v>
      </c>
      <c r="E2573" s="8">
        <v>700</v>
      </c>
      <c r="F2573" s="8">
        <v>15000</v>
      </c>
      <c r="G2573" s="30">
        <f t="shared" si="2693"/>
        <v>2400</v>
      </c>
      <c r="H2573" s="8">
        <v>25000</v>
      </c>
      <c r="I2573" s="30">
        <f t="shared" si="2694"/>
        <v>5000</v>
      </c>
      <c r="J2573" s="8">
        <v>25000</v>
      </c>
      <c r="K2573" s="30">
        <f t="shared" si="2695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VLOOKUP(VLOOKUP(DATEVALUE(TEXT(A2573,"m/d/yyyy")),FY24_Temp[],5,FALSE)&amp;TEXT(A2573,"-h"),Table6[],4,FALSE)</f>
        <v>1.2324285677501134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VLOOKUP(TEXT(A2573,"yy-mm")&amp;"-"&amp;IF(AND(WEEKDAY(A2573)&gt;1,WEEKDAY(A2573)&lt;7),"Wkd",TEXT(A2573,"Ddd"))&amp;"-"&amp;TEXT(A2573,"hh"),LoadTable[],5,FALSE)*0.92</f>
        <v>180.62544</v>
      </c>
      <c r="U2573" s="104">
        <f>VLOOKUP(TEXT(A2573,"yy-mm")&amp;"-"&amp;IF(AND(WEEKDAY(A2573)&gt;1,WEEKDAY(A2573)&lt;7),"Wkd",TEXT(A2573,"Ddd"))&amp;"-"&amp;TEXT(A2573,"hh"),LoadTable[],6,FALSE)*T2573</f>
        <v>8120.1972806400008</v>
      </c>
      <c r="V2573">
        <f t="shared" ref="V2573:W2573" si="2746">V2549</f>
        <v>2.8</v>
      </c>
      <c r="W2573">
        <f t="shared" si="2746"/>
        <v>3.2</v>
      </c>
      <c r="X2573" s="9">
        <v>-139.37343536667299</v>
      </c>
    </row>
    <row r="2574" spans="1:24">
      <c r="A2574" s="29">
        <f t="shared" si="2737"/>
        <v>45943.124999993765</v>
      </c>
      <c r="B2574" s="30">
        <f t="shared" si="2692"/>
        <v>5000</v>
      </c>
      <c r="C2574" s="8">
        <v>25000</v>
      </c>
      <c r="D2574" s="8">
        <v>0</v>
      </c>
      <c r="E2574" s="8">
        <v>700</v>
      </c>
      <c r="F2574" s="8">
        <v>15000</v>
      </c>
      <c r="G2574" s="30">
        <f t="shared" si="2693"/>
        <v>2400</v>
      </c>
      <c r="H2574" s="8">
        <v>25000</v>
      </c>
      <c r="I2574" s="30">
        <f t="shared" si="2694"/>
        <v>5000</v>
      </c>
      <c r="J2574" s="8">
        <v>25000</v>
      </c>
      <c r="K2574" s="30">
        <f t="shared" si="2695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VLOOKUP(VLOOKUP(DATEVALUE(TEXT(A2574,"m/d/yyyy")),FY24_Temp[],5,FALSE)&amp;TEXT(A2574,"-h"),Table6[],4,FALSE)</f>
        <v>1.132857152393886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VLOOKUP(TEXT(A2574,"yy-mm")&amp;"-"&amp;IF(AND(WEEKDAY(A2574)&gt;1,WEEKDAY(A2574)&lt;7),"Wkd",TEXT(A2574,"Ddd"))&amp;"-"&amp;TEXT(A2574,"hh"),LoadTable[],5,FALSE)*0.92</f>
        <v>180.62544</v>
      </c>
      <c r="U2574" s="104">
        <f>VLOOKUP(TEXT(A2574,"yy-mm")&amp;"-"&amp;IF(AND(WEEKDAY(A2574)&gt;1,WEEKDAY(A2574)&lt;7),"Wkd",TEXT(A2574,"Ddd"))&amp;"-"&amp;TEXT(A2574,"hh"),LoadTable[],6,FALSE)*T2574</f>
        <v>8141.3304571199997</v>
      </c>
      <c r="V2574">
        <f t="shared" ref="V2574:W2574" si="2747">V2550</f>
        <v>2.7</v>
      </c>
      <c r="W2574">
        <f t="shared" si="2747"/>
        <v>3.2</v>
      </c>
      <c r="X2574" s="9">
        <v>-139.45122991667299</v>
      </c>
    </row>
    <row r="2575" spans="1:24">
      <c r="A2575" s="29">
        <f t="shared" si="2737"/>
        <v>45943.166666660429</v>
      </c>
      <c r="B2575" s="30">
        <f t="shared" si="2692"/>
        <v>5000</v>
      </c>
      <c r="C2575" s="8">
        <v>25000</v>
      </c>
      <c r="D2575" s="8">
        <v>0</v>
      </c>
      <c r="E2575" s="8">
        <v>700</v>
      </c>
      <c r="F2575" s="8">
        <v>15000</v>
      </c>
      <c r="G2575" s="30">
        <f t="shared" si="2693"/>
        <v>2400</v>
      </c>
      <c r="H2575" s="8">
        <v>25000</v>
      </c>
      <c r="I2575" s="30">
        <f t="shared" si="2694"/>
        <v>5000</v>
      </c>
      <c r="J2575" s="8">
        <v>25000</v>
      </c>
      <c r="K2575" s="30">
        <f t="shared" si="2695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VLOOKUP(VLOOKUP(DATEVALUE(TEXT(A2575,"m/d/yyyy")),FY24_Temp[],5,FALSE)&amp;TEXT(A2575,"-h"),Table6[],4,FALSE)</f>
        <v>1.0471428547586714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VLOOKUP(TEXT(A2575,"yy-mm")&amp;"-"&amp;IF(AND(WEEKDAY(A2575)&gt;1,WEEKDAY(A2575)&lt;7),"Wkd",TEXT(A2575,"Ddd"))&amp;"-"&amp;TEXT(A2575,"hh"),LoadTable[],5,FALSE)*0.92</f>
        <v>180.62544</v>
      </c>
      <c r="U2575" s="104">
        <f>VLOOKUP(TEXT(A2575,"yy-mm")&amp;"-"&amp;IF(AND(WEEKDAY(A2575)&gt;1,WEEKDAY(A2575)&lt;7),"Wkd",TEXT(A2575,"Ddd"))&amp;"-"&amp;TEXT(A2575,"hh"),LoadTable[],6,FALSE)*T2575</f>
        <v>8184.86118816</v>
      </c>
      <c r="V2575">
        <f t="shared" ref="V2575:W2575" si="2748">V2551</f>
        <v>3</v>
      </c>
      <c r="W2575">
        <f t="shared" si="2748"/>
        <v>3.1</v>
      </c>
      <c r="X2575" s="9">
        <v>-139.52902446667301</v>
      </c>
    </row>
    <row r="2576" spans="1:24">
      <c r="A2576" s="29">
        <f t="shared" si="2737"/>
        <v>45943.208333327093</v>
      </c>
      <c r="B2576" s="30">
        <f t="shared" si="2692"/>
        <v>5000</v>
      </c>
      <c r="C2576" s="8">
        <v>25000</v>
      </c>
      <c r="D2576" s="8">
        <v>0</v>
      </c>
      <c r="E2576" s="8">
        <v>700</v>
      </c>
      <c r="F2576" s="8">
        <v>15000</v>
      </c>
      <c r="G2576" s="30">
        <f t="shared" si="2693"/>
        <v>2400</v>
      </c>
      <c r="H2576" s="8">
        <v>25000</v>
      </c>
      <c r="I2576" s="30">
        <f t="shared" si="2694"/>
        <v>5000</v>
      </c>
      <c r="J2576" s="8">
        <v>25000</v>
      </c>
      <c r="K2576" s="30">
        <f t="shared" si="2695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VLOOKUP(VLOOKUP(DATEVALUE(TEXT(A2576,"m/d/yyyy")),FY24_Temp[],5,FALSE)&amp;TEXT(A2576,"-h"),Table6[],4,FALSE)</f>
        <v>1.0077142885753088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VLOOKUP(TEXT(A2576,"yy-mm")&amp;"-"&amp;IF(AND(WEEKDAY(A2576)&gt;1,WEEKDAY(A2576)&lt;7),"Wkd",TEXT(A2576,"Ddd"))&amp;"-"&amp;TEXT(A2576,"hh"),LoadTable[],5,FALSE)*0.92</f>
        <v>275.09195999999997</v>
      </c>
      <c r="U2576" s="104">
        <f>VLOOKUP(TEXT(A2576,"yy-mm")&amp;"-"&amp;IF(AND(WEEKDAY(A2576)&gt;1,WEEKDAY(A2576)&lt;7),"Wkd",TEXT(A2576,"Ddd"))&amp;"-"&amp;TEXT(A2576,"hh"),LoadTable[],6,FALSE)*T2576</f>
        <v>12729.880448999998</v>
      </c>
      <c r="V2576">
        <f t="shared" ref="V2576:W2576" si="2749">V2552</f>
        <v>2.9</v>
      </c>
      <c r="W2576">
        <f t="shared" si="2749"/>
        <v>3.1</v>
      </c>
      <c r="X2576" s="9">
        <v>-139.606819016673</v>
      </c>
    </row>
    <row r="2577" spans="1:24">
      <c r="A2577" s="29">
        <f t="shared" si="2737"/>
        <v>45943.249999993757</v>
      </c>
      <c r="B2577" s="30">
        <f t="shared" si="2692"/>
        <v>8000</v>
      </c>
      <c r="C2577" s="8">
        <v>25000</v>
      </c>
      <c r="D2577" s="8">
        <v>0</v>
      </c>
      <c r="E2577" s="8">
        <v>700</v>
      </c>
      <c r="F2577" s="8">
        <v>15000</v>
      </c>
      <c r="G2577" s="30">
        <f t="shared" si="2693"/>
        <v>2400</v>
      </c>
      <c r="H2577" s="8">
        <v>25000</v>
      </c>
      <c r="I2577" s="30">
        <f t="shared" si="2694"/>
        <v>8000</v>
      </c>
      <c r="J2577" s="8">
        <v>25000</v>
      </c>
      <c r="K2577" s="30">
        <f t="shared" si="2695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VLOOKUP(VLOOKUP(DATEVALUE(TEXT(A2577,"m/d/yyyy")),FY24_Temp[],5,FALSE)&amp;TEXT(A2577,"-h"),Table6[],4,FALSE)</f>
        <v>0.85642857210976742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VLOOKUP(TEXT(A2577,"yy-mm")&amp;"-"&amp;IF(AND(WEEKDAY(A2577)&gt;1,WEEKDAY(A2577)&lt;7),"Wkd",TEXT(A2577,"Ddd"))&amp;"-"&amp;TEXT(A2577,"hh"),LoadTable[],5,FALSE)*0.92</f>
        <v>275.09195999999997</v>
      </c>
      <c r="U2577" s="104">
        <f>VLOOKUP(TEXT(A2577,"yy-mm")&amp;"-"&amp;IF(AND(WEEKDAY(A2577)&gt;1,WEEKDAY(A2577)&lt;7),"Wkd",TEXT(A2577,"Ddd"))&amp;"-"&amp;TEXT(A2577,"hh"),LoadTable[],6,FALSE)*T2577</f>
        <v>13284.465840359997</v>
      </c>
      <c r="V2577">
        <f t="shared" ref="V2577:W2577" si="2750">V2553</f>
        <v>2.5</v>
      </c>
      <c r="W2577">
        <f t="shared" si="2750"/>
        <v>3.1</v>
      </c>
      <c r="X2577" s="9">
        <v>-139.68461356667299</v>
      </c>
    </row>
    <row r="2578" spans="1:24">
      <c r="A2578" s="29">
        <f t="shared" si="2737"/>
        <v>45943.291666660421</v>
      </c>
      <c r="B2578" s="30">
        <f t="shared" si="2692"/>
        <v>8000</v>
      </c>
      <c r="C2578" s="8">
        <v>25000</v>
      </c>
      <c r="D2578" s="8">
        <v>0</v>
      </c>
      <c r="E2578" s="8">
        <v>700</v>
      </c>
      <c r="F2578" s="8">
        <v>15000</v>
      </c>
      <c r="G2578" s="30">
        <f t="shared" si="2693"/>
        <v>2400</v>
      </c>
      <c r="H2578" s="8">
        <v>25000</v>
      </c>
      <c r="I2578" s="30">
        <f t="shared" si="2694"/>
        <v>8000</v>
      </c>
      <c r="J2578" s="8">
        <v>25000</v>
      </c>
      <c r="K2578" s="30">
        <f t="shared" si="2695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VLOOKUP(VLOOKUP(DATEVALUE(TEXT(A2578,"m/d/yyyy")),FY24_Temp[],5,FALSE)&amp;TEXT(A2578,"-h"),Table6[],4,FALSE)</f>
        <v>0.70771429368427818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VLOOKUP(TEXT(A2578,"yy-mm")&amp;"-"&amp;IF(AND(WEEKDAY(A2578)&gt;1,WEEKDAY(A2578)&lt;7),"Wkd",TEXT(A2578,"Ddd"))&amp;"-"&amp;TEXT(A2578,"hh"),LoadTable[],5,FALSE)*0.92</f>
        <v>236.10788000000002</v>
      </c>
      <c r="U2578" s="104">
        <f>VLOOKUP(TEXT(A2578,"yy-mm")&amp;"-"&amp;IF(AND(WEEKDAY(A2578)&gt;1,WEEKDAY(A2578)&lt;7),"Wkd",TEXT(A2578,"Ddd"))&amp;"-"&amp;TEXT(A2578,"hh"),LoadTable[],6,FALSE)*T2578</f>
        <v>11438.48235448</v>
      </c>
      <c r="V2578">
        <f t="shared" ref="V2578:W2578" si="2751">V2554</f>
        <v>2.5</v>
      </c>
      <c r="W2578">
        <f t="shared" si="2751"/>
        <v>3.1</v>
      </c>
      <c r="X2578" s="9">
        <v>-139.76240811667299</v>
      </c>
    </row>
    <row r="2579" spans="1:24">
      <c r="A2579" s="29">
        <f t="shared" si="2737"/>
        <v>45943.333333327086</v>
      </c>
      <c r="B2579" s="30">
        <f t="shared" si="2692"/>
        <v>8000</v>
      </c>
      <c r="C2579" s="8">
        <v>25000</v>
      </c>
      <c r="D2579" s="8">
        <v>0</v>
      </c>
      <c r="E2579" s="8">
        <v>700</v>
      </c>
      <c r="F2579" s="8">
        <v>15000</v>
      </c>
      <c r="G2579" s="30">
        <f t="shared" si="2693"/>
        <v>2400</v>
      </c>
      <c r="H2579" s="8">
        <v>25000</v>
      </c>
      <c r="I2579" s="30">
        <f t="shared" si="2694"/>
        <v>8000</v>
      </c>
      <c r="J2579" s="8">
        <v>25000</v>
      </c>
      <c r="K2579" s="30">
        <f t="shared" si="2695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VLOOKUP(VLOOKUP(DATEVALUE(TEXT(A2579,"m/d/yyyy")),FY24_Temp[],5,FALSE)&amp;TEXT(A2579,"-h"),Table6[],4,FALSE)</f>
        <v>0.6007142875875745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VLOOKUP(TEXT(A2579,"yy-mm")&amp;"-"&amp;IF(AND(WEEKDAY(A2579)&gt;1,WEEKDAY(A2579)&lt;7),"Wkd",TEXT(A2579,"Ddd"))&amp;"-"&amp;TEXT(A2579,"hh"),LoadTable[],5,FALSE)*0.92</f>
        <v>236.10788000000002</v>
      </c>
      <c r="U2579" s="104">
        <f>VLOOKUP(TEXT(A2579,"yy-mm")&amp;"-"&amp;IF(AND(WEEKDAY(A2579)&gt;1,WEEKDAY(A2579)&lt;7),"Wkd",TEXT(A2579,"Ddd"))&amp;"-"&amp;TEXT(A2579,"hh"),LoadTable[],6,FALSE)*T2579</f>
        <v>10919.281126360002</v>
      </c>
      <c r="V2579">
        <f t="shared" ref="V2579:W2579" si="2752">V2555</f>
        <v>3.2</v>
      </c>
      <c r="W2579">
        <f t="shared" si="2752"/>
        <v>3</v>
      </c>
      <c r="X2579" s="9">
        <v>-139.84020266667301</v>
      </c>
    </row>
    <row r="2580" spans="1:24">
      <c r="A2580" s="29">
        <f t="shared" si="2737"/>
        <v>45943.37499999375</v>
      </c>
      <c r="B2580" s="30">
        <f t="shared" si="2692"/>
        <v>8000</v>
      </c>
      <c r="C2580" s="8">
        <v>25000</v>
      </c>
      <c r="D2580" s="8">
        <v>0</v>
      </c>
      <c r="E2580" s="8">
        <v>700</v>
      </c>
      <c r="F2580" s="8">
        <v>15000</v>
      </c>
      <c r="G2580" s="30">
        <f t="shared" si="2693"/>
        <v>2400</v>
      </c>
      <c r="H2580" s="8">
        <v>25000</v>
      </c>
      <c r="I2580" s="30">
        <f t="shared" si="2694"/>
        <v>8000</v>
      </c>
      <c r="J2580" s="8">
        <v>25000</v>
      </c>
      <c r="K2580" s="30">
        <f t="shared" si="2695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VLOOKUP(VLOOKUP(DATEVALUE(TEXT(A2580,"m/d/yyyy")),FY24_Temp[],5,FALSE)&amp;TEXT(A2580,"-h"),Table6[],4,FALSE)</f>
        <v>0.50428572722843712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VLOOKUP(TEXT(A2580,"yy-mm")&amp;"-"&amp;IF(AND(WEEKDAY(A2580)&gt;1,WEEKDAY(A2580)&lt;7),"Wkd",TEXT(A2580,"Ddd"))&amp;"-"&amp;TEXT(A2580,"hh"),LoadTable[],5,FALSE)*0.92</f>
        <v>236.10788000000002</v>
      </c>
      <c r="U2580" s="104">
        <f>VLOOKUP(TEXT(A2580,"yy-mm")&amp;"-"&amp;IF(AND(WEEKDAY(A2580)&gt;1,WEEKDAY(A2580)&lt;7),"Wkd",TEXT(A2580,"Ddd"))&amp;"-"&amp;TEXT(A2580,"hh"),LoadTable[],6,FALSE)*T2580</f>
        <v>10592.271712560001</v>
      </c>
      <c r="V2580">
        <f t="shared" ref="V2580:W2580" si="2753">V2556</f>
        <v>2.9</v>
      </c>
      <c r="W2580">
        <f t="shared" si="2753"/>
        <v>3</v>
      </c>
      <c r="X2580" s="9">
        <v>-139.917997216673</v>
      </c>
    </row>
    <row r="2581" spans="1:24">
      <c r="A2581" s="29">
        <f t="shared" si="2737"/>
        <v>45943.416666660414</v>
      </c>
      <c r="B2581" s="30">
        <f t="shared" si="2692"/>
        <v>8000</v>
      </c>
      <c r="C2581" s="8">
        <v>25000</v>
      </c>
      <c r="D2581" s="8">
        <v>0</v>
      </c>
      <c r="E2581" s="8">
        <v>700</v>
      </c>
      <c r="F2581" s="8">
        <v>15000</v>
      </c>
      <c r="G2581" s="30">
        <f t="shared" si="2693"/>
        <v>2400</v>
      </c>
      <c r="H2581" s="8">
        <v>25000</v>
      </c>
      <c r="I2581" s="30">
        <f t="shared" si="2694"/>
        <v>8000</v>
      </c>
      <c r="J2581" s="8">
        <v>25000</v>
      </c>
      <c r="K2581" s="30">
        <f t="shared" si="2695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VLOOKUP(VLOOKUP(DATEVALUE(TEXT(A2581,"m/d/yyyy")),FY24_Temp[],5,FALSE)&amp;TEXT(A2581,"-h"),Table6[],4,FALSE)</f>
        <v>0.40428571828774046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VLOOKUP(TEXT(A2581,"yy-mm")&amp;"-"&amp;IF(AND(WEEKDAY(A2581)&gt;1,WEEKDAY(A2581)&lt;7),"Wkd",TEXT(A2581,"Ddd"))&amp;"-"&amp;TEXT(A2581,"hh"),LoadTable[],5,FALSE)*0.92</f>
        <v>236.10788000000002</v>
      </c>
      <c r="U2581" s="104">
        <f>VLOOKUP(TEXT(A2581,"yy-mm")&amp;"-"&amp;IF(AND(WEEKDAY(A2581)&gt;1,WEEKDAY(A2581)&lt;7),"Wkd",TEXT(A2581,"Ddd"))&amp;"-"&amp;TEXT(A2581,"hh"),LoadTable[],6,FALSE)*T2581</f>
        <v>10565.591522120001</v>
      </c>
      <c r="V2581">
        <f t="shared" ref="V2581:W2581" si="2754">V2557</f>
        <v>2.9</v>
      </c>
      <c r="W2581">
        <f t="shared" si="2754"/>
        <v>3</v>
      </c>
      <c r="X2581" s="9">
        <v>-139.99579176667299</v>
      </c>
    </row>
    <row r="2582" spans="1:24">
      <c r="A2582" s="29">
        <f t="shared" si="2737"/>
        <v>45943.458333327078</v>
      </c>
      <c r="B2582" s="30">
        <f t="shared" si="2692"/>
        <v>8000</v>
      </c>
      <c r="C2582" s="8">
        <v>25000</v>
      </c>
      <c r="D2582" s="8">
        <v>0</v>
      </c>
      <c r="E2582" s="8">
        <v>700</v>
      </c>
      <c r="F2582" s="8">
        <v>15000</v>
      </c>
      <c r="G2582" s="30">
        <f t="shared" si="2693"/>
        <v>2400</v>
      </c>
      <c r="H2582" s="8">
        <v>25000</v>
      </c>
      <c r="I2582" s="30">
        <f t="shared" si="2694"/>
        <v>8000</v>
      </c>
      <c r="J2582" s="8">
        <v>25000</v>
      </c>
      <c r="K2582" s="30">
        <f t="shared" si="2695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VLOOKUP(VLOOKUP(DATEVALUE(TEXT(A2582,"m/d/yyyy")),FY24_Temp[],5,FALSE)&amp;TEXT(A2582,"-h"),Table6[],4,FALSE)</f>
        <v>0.29914285136120661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VLOOKUP(TEXT(A2582,"yy-mm")&amp;"-"&amp;IF(AND(WEEKDAY(A2582)&gt;1,WEEKDAY(A2582)&lt;7),"Wkd",TEXT(A2582,"Ddd"))&amp;"-"&amp;TEXT(A2582,"hh"),LoadTable[],5,FALSE)*0.92</f>
        <v>236.10788000000002</v>
      </c>
      <c r="U2582" s="104">
        <f>VLOOKUP(TEXT(A2582,"yy-mm")&amp;"-"&amp;IF(AND(WEEKDAY(A2582)&gt;1,WEEKDAY(A2582)&lt;7),"Wkd",TEXT(A2582,"Ddd"))&amp;"-"&amp;TEXT(A2582,"hh"),LoadTable[],6,FALSE)*T2582</f>
        <v>10548.355646880002</v>
      </c>
      <c r="V2582">
        <f t="shared" ref="V2582:W2582" si="2755">V2558</f>
        <v>3.4</v>
      </c>
      <c r="W2582">
        <f t="shared" si="2755"/>
        <v>3</v>
      </c>
      <c r="X2582" s="9">
        <v>-140.07358631667299</v>
      </c>
    </row>
    <row r="2583" spans="1:24">
      <c r="A2583" s="29">
        <f t="shared" si="2737"/>
        <v>45943.499999993743</v>
      </c>
      <c r="B2583" s="30">
        <f t="shared" si="2692"/>
        <v>8000</v>
      </c>
      <c r="C2583" s="8">
        <v>25000</v>
      </c>
      <c r="D2583" s="8">
        <v>0</v>
      </c>
      <c r="E2583" s="8">
        <v>700</v>
      </c>
      <c r="F2583" s="8">
        <v>15000</v>
      </c>
      <c r="G2583" s="30">
        <f t="shared" si="2693"/>
        <v>2400</v>
      </c>
      <c r="H2583" s="8">
        <v>25000</v>
      </c>
      <c r="I2583" s="30">
        <f t="shared" si="2694"/>
        <v>8000</v>
      </c>
      <c r="J2583" s="8">
        <v>25000</v>
      </c>
      <c r="K2583" s="30">
        <f t="shared" si="2695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VLOOKUP(VLOOKUP(DATEVALUE(TEXT(A2583,"m/d/yyyy")),FY24_Temp[],5,FALSE)&amp;TEXT(A2583,"-h"),Table6[],4,FALSE)</f>
        <v>0.19471428463501589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VLOOKUP(TEXT(A2583,"yy-mm")&amp;"-"&amp;IF(AND(WEEKDAY(A2583)&gt;1,WEEKDAY(A2583)&lt;7),"Wkd",TEXT(A2583,"Ddd"))&amp;"-"&amp;TEXT(A2583,"hh"),LoadTable[],5,FALSE)*0.92</f>
        <v>236.10788000000002</v>
      </c>
      <c r="U2583" s="104">
        <f>VLOOKUP(TEXT(A2583,"yy-mm")&amp;"-"&amp;IF(AND(WEEKDAY(A2583)&gt;1,WEEKDAY(A2583)&lt;7),"Wkd",TEXT(A2583,"Ddd"))&amp;"-"&amp;TEXT(A2583,"hh"),LoadTable[],6,FALSE)*T2583</f>
        <v>10540.327978960002</v>
      </c>
      <c r="V2583">
        <f t="shared" ref="V2583:W2583" si="2756">V2559</f>
        <v>3.1</v>
      </c>
      <c r="W2583">
        <f t="shared" si="2756"/>
        <v>2.9</v>
      </c>
      <c r="X2583" s="9">
        <v>-140.15138086667301</v>
      </c>
    </row>
    <row r="2584" spans="1:24">
      <c r="A2584" s="29">
        <f t="shared" si="2737"/>
        <v>45943.541666660407</v>
      </c>
      <c r="B2584" s="30">
        <f t="shared" si="2692"/>
        <v>8000</v>
      </c>
      <c r="C2584" s="8">
        <v>25000</v>
      </c>
      <c r="D2584" s="8">
        <v>0</v>
      </c>
      <c r="E2584" s="8">
        <v>700</v>
      </c>
      <c r="F2584" s="8">
        <v>15000</v>
      </c>
      <c r="G2584" s="30">
        <f t="shared" si="2693"/>
        <v>2400</v>
      </c>
      <c r="H2584" s="8">
        <v>25000</v>
      </c>
      <c r="I2584" s="30">
        <f t="shared" si="2694"/>
        <v>8000</v>
      </c>
      <c r="J2584" s="8">
        <v>25000</v>
      </c>
      <c r="K2584" s="30">
        <f t="shared" si="2695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VLOOKUP(VLOOKUP(DATEVALUE(TEXT(A2584,"m/d/yyyy")),FY24_Temp[],5,FALSE)&amp;TEXT(A2584,"-h"),Table6[],4,FALSE)</f>
        <v>0.10557143097477299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VLOOKUP(TEXT(A2584,"yy-mm")&amp;"-"&amp;IF(AND(WEEKDAY(A2584)&gt;1,WEEKDAY(A2584)&lt;7),"Wkd",TEXT(A2584,"Ddd"))&amp;"-"&amp;TEXT(A2584,"hh"),LoadTable[],5,FALSE)*0.92</f>
        <v>236.10788000000002</v>
      </c>
      <c r="U2584" s="104">
        <f>VLOOKUP(TEXT(A2584,"yy-mm")&amp;"-"&amp;IF(AND(WEEKDAY(A2584)&gt;1,WEEKDAY(A2584)&lt;7),"Wkd",TEXT(A2584,"Ddd"))&amp;"-"&amp;TEXT(A2584,"hh"),LoadTable[],6,FALSE)*T2584</f>
        <v>10541.50851836</v>
      </c>
      <c r="V2584">
        <f t="shared" ref="V2584:W2584" si="2757">V2560</f>
        <v>3.2</v>
      </c>
      <c r="W2584">
        <f t="shared" si="2757"/>
        <v>2.9</v>
      </c>
      <c r="X2584" s="9">
        <v>-140.229175416673</v>
      </c>
    </row>
    <row r="2585" spans="1:24">
      <c r="A2585" s="29">
        <f t="shared" si="2737"/>
        <v>45943.583333327071</v>
      </c>
      <c r="B2585" s="30">
        <f t="shared" si="2692"/>
        <v>8000</v>
      </c>
      <c r="C2585" s="8">
        <v>25000</v>
      </c>
      <c r="D2585" s="8">
        <v>0</v>
      </c>
      <c r="E2585" s="8">
        <v>700</v>
      </c>
      <c r="F2585" s="8">
        <v>15000</v>
      </c>
      <c r="G2585" s="30">
        <f t="shared" si="2693"/>
        <v>2400</v>
      </c>
      <c r="H2585" s="8">
        <v>25000</v>
      </c>
      <c r="I2585" s="30">
        <f t="shared" si="2694"/>
        <v>8000</v>
      </c>
      <c r="J2585" s="8">
        <v>25000</v>
      </c>
      <c r="K2585" s="30">
        <f t="shared" si="2695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VLOOKUP(VLOOKUP(DATEVALUE(TEXT(A2585,"m/d/yyyy")),FY24_Temp[],5,FALSE)&amp;TEXT(A2585,"-h"),Table6[],4,FALSE)</f>
        <v>7.8714286110230861E-2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VLOOKUP(TEXT(A2585,"yy-mm")&amp;"-"&amp;IF(AND(WEEKDAY(A2585)&gt;1,WEEKDAY(A2585)&lt;7),"Wkd",TEXT(A2585,"Ddd"))&amp;"-"&amp;TEXT(A2585,"hh"),LoadTable[],5,FALSE)*0.92</f>
        <v>236.10788000000002</v>
      </c>
      <c r="U2585" s="104">
        <f>VLOOKUP(TEXT(A2585,"yy-mm")&amp;"-"&amp;IF(AND(WEEKDAY(A2585)&gt;1,WEEKDAY(A2585)&lt;7),"Wkd",TEXT(A2585,"Ddd"))&amp;"-"&amp;TEXT(A2585,"hh"),LoadTable[],6,FALSE)*T2585</f>
        <v>10551.188941440001</v>
      </c>
      <c r="V2585">
        <f t="shared" ref="V2585:W2585" si="2758">V2561</f>
        <v>3.5</v>
      </c>
      <c r="W2585">
        <f t="shared" si="2758"/>
        <v>2.9</v>
      </c>
      <c r="X2585" s="9">
        <v>-140.30696996667299</v>
      </c>
    </row>
    <row r="2586" spans="1:24">
      <c r="A2586" s="29">
        <f t="shared" si="2737"/>
        <v>45943.624999993735</v>
      </c>
      <c r="B2586" s="30">
        <f t="shared" si="2692"/>
        <v>8000</v>
      </c>
      <c r="C2586" s="8">
        <v>25000</v>
      </c>
      <c r="D2586" s="8">
        <v>0</v>
      </c>
      <c r="E2586" s="8">
        <v>700</v>
      </c>
      <c r="F2586" s="8">
        <v>15000</v>
      </c>
      <c r="G2586" s="30">
        <f t="shared" si="2693"/>
        <v>2400</v>
      </c>
      <c r="H2586" s="8">
        <v>25000</v>
      </c>
      <c r="I2586" s="30">
        <f t="shared" si="2694"/>
        <v>8000</v>
      </c>
      <c r="J2586" s="8">
        <v>25000</v>
      </c>
      <c r="K2586" s="30">
        <f t="shared" si="2695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VLOOKUP(VLOOKUP(DATEVALUE(TEXT(A2586,"m/d/yyyy")),FY24_Temp[],5,FALSE)&amp;TEXT(A2586,"-h"),Table6[],4,FALSE)</f>
        <v>0.20828571436660631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VLOOKUP(TEXT(A2586,"yy-mm")&amp;"-"&amp;IF(AND(WEEKDAY(A2586)&gt;1,WEEKDAY(A2586)&lt;7),"Wkd",TEXT(A2586,"Ddd"))&amp;"-"&amp;TEXT(A2586,"hh"),LoadTable[],5,FALSE)*0.92</f>
        <v>236.10788000000002</v>
      </c>
      <c r="U2586" s="104">
        <f>VLOOKUP(TEXT(A2586,"yy-mm")&amp;"-"&amp;IF(AND(WEEKDAY(A2586)&gt;1,WEEKDAY(A2586)&lt;7),"Wkd",TEXT(A2586,"Ddd"))&amp;"-"&amp;TEXT(A2586,"hh"),LoadTable[],6,FALSE)*T2586</f>
        <v>10572.202542760002</v>
      </c>
      <c r="V2586">
        <f t="shared" ref="V2586:W2586" si="2759">V2562</f>
        <v>3.2</v>
      </c>
      <c r="W2586">
        <f t="shared" si="2759"/>
        <v>2.9</v>
      </c>
      <c r="X2586" s="9">
        <v>-140.38476451667299</v>
      </c>
    </row>
    <row r="2587" spans="1:24">
      <c r="A2587" s="29">
        <f t="shared" si="2737"/>
        <v>45943.6666666604</v>
      </c>
      <c r="B2587" s="30">
        <f t="shared" si="2692"/>
        <v>8000</v>
      </c>
      <c r="C2587" s="8">
        <v>25000</v>
      </c>
      <c r="D2587" s="8">
        <v>0</v>
      </c>
      <c r="E2587" s="8">
        <v>700</v>
      </c>
      <c r="F2587" s="8">
        <v>15000</v>
      </c>
      <c r="G2587" s="30">
        <f t="shared" si="2693"/>
        <v>2400</v>
      </c>
      <c r="H2587" s="8">
        <v>25000</v>
      </c>
      <c r="I2587" s="30">
        <f t="shared" si="2694"/>
        <v>8000</v>
      </c>
      <c r="J2587" s="8">
        <v>25000</v>
      </c>
      <c r="K2587" s="30">
        <f t="shared" si="2695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VLOOKUP(VLOOKUP(DATEVALUE(TEXT(A2587,"m/d/yyyy")),FY24_Temp[],5,FALSE)&amp;TEXT(A2587,"-h"),Table6[],4,FALSE)</f>
        <v>0.47971428292138235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VLOOKUP(TEXT(A2587,"yy-mm")&amp;"-"&amp;IF(AND(WEEKDAY(A2587)&gt;1,WEEKDAY(A2587)&lt;7),"Wkd",TEXT(A2587,"Ddd"))&amp;"-"&amp;TEXT(A2587,"hh"),LoadTable[],5,FALSE)*0.92</f>
        <v>236.10788000000002</v>
      </c>
      <c r="U2587" s="104">
        <f>VLOOKUP(TEXT(A2587,"yy-mm")&amp;"-"&amp;IF(AND(WEEKDAY(A2587)&gt;1,WEEKDAY(A2587)&lt;7),"Wkd",TEXT(A2587,"Ddd"))&amp;"-"&amp;TEXT(A2587,"hh"),LoadTable[],6,FALSE)*T2587</f>
        <v>10648.93760376</v>
      </c>
      <c r="V2587">
        <f t="shared" ref="V2587:W2587" si="2760">V2563</f>
        <v>3.5</v>
      </c>
      <c r="W2587">
        <f t="shared" si="2760"/>
        <v>3</v>
      </c>
      <c r="X2587" s="9">
        <v>-140.46255906667301</v>
      </c>
    </row>
    <row r="2588" spans="1:24">
      <c r="A2588" s="29">
        <f t="shared" si="2737"/>
        <v>45943.708333327064</v>
      </c>
      <c r="B2588" s="30">
        <f t="shared" ref="B2588:B2651" si="2761">B2564</f>
        <v>8000</v>
      </c>
      <c r="C2588" s="8">
        <v>25000</v>
      </c>
      <c r="D2588" s="8">
        <v>0</v>
      </c>
      <c r="E2588" s="8">
        <v>700</v>
      </c>
      <c r="F2588" s="8">
        <v>15000</v>
      </c>
      <c r="G2588" s="30">
        <f t="shared" ref="G2588:G2651" si="2762">G2564</f>
        <v>2400</v>
      </c>
      <c r="H2588" s="8">
        <v>25000</v>
      </c>
      <c r="I2588" s="30">
        <f t="shared" ref="I2588:I2651" si="2763">I2564</f>
        <v>8000</v>
      </c>
      <c r="J2588" s="8">
        <v>25000</v>
      </c>
      <c r="K2588" s="30">
        <f t="shared" ref="K2588:K2651" si="2764">K2564</f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VLOOKUP(VLOOKUP(DATEVALUE(TEXT(A2588,"m/d/yyyy")),FY24_Temp[],5,FALSE)&amp;TEXT(A2588,"-h"),Table6[],4,FALSE)</f>
        <v>0.81442855937140324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VLOOKUP(TEXT(A2588,"yy-mm")&amp;"-"&amp;IF(AND(WEEKDAY(A2588)&gt;1,WEEKDAY(A2588)&lt;7),"Wkd",TEXT(A2588,"Ddd"))&amp;"-"&amp;TEXT(A2588,"hh"),LoadTable[],5,FALSE)*0.92</f>
        <v>236.10788000000002</v>
      </c>
      <c r="U2588" s="104">
        <f>VLOOKUP(TEXT(A2588,"yy-mm")&amp;"-"&amp;IF(AND(WEEKDAY(A2588)&gt;1,WEEKDAY(A2588)&lt;7),"Wkd",TEXT(A2588,"Ddd"))&amp;"-"&amp;TEXT(A2588,"hh"),LoadTable[],6,FALSE)*T2588</f>
        <v>11157.513977280001</v>
      </c>
      <c r="V2588">
        <f t="shared" ref="V2588:W2588" si="2765">V2564</f>
        <v>3.6</v>
      </c>
      <c r="W2588">
        <f t="shared" si="2765"/>
        <v>3</v>
      </c>
      <c r="X2588" s="9">
        <v>-140.540353616673</v>
      </c>
    </row>
    <row r="2589" spans="1:24">
      <c r="A2589" s="29">
        <f t="shared" si="2737"/>
        <v>45943.749999993728</v>
      </c>
      <c r="B2589" s="30">
        <f t="shared" si="2761"/>
        <v>5000</v>
      </c>
      <c r="C2589" s="8">
        <v>25000</v>
      </c>
      <c r="D2589" s="8">
        <v>0</v>
      </c>
      <c r="E2589" s="8">
        <v>700</v>
      </c>
      <c r="F2589" s="8">
        <v>15000</v>
      </c>
      <c r="G2589" s="30">
        <f t="shared" si="2762"/>
        <v>2400</v>
      </c>
      <c r="H2589" s="8">
        <v>25000</v>
      </c>
      <c r="I2589" s="30">
        <f t="shared" si="2763"/>
        <v>5000</v>
      </c>
      <c r="J2589" s="8">
        <v>25000</v>
      </c>
      <c r="K2589" s="30">
        <f t="shared" si="2764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VLOOKUP(VLOOKUP(DATEVALUE(TEXT(A2589,"m/d/yyyy")),FY24_Temp[],5,FALSE)&amp;TEXT(A2589,"-h"),Table6[],4,FALSE)</f>
        <v>0.94428572484425133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VLOOKUP(TEXT(A2589,"yy-mm")&amp;"-"&amp;IF(AND(WEEKDAY(A2589)&gt;1,WEEKDAY(A2589)&lt;7),"Wkd",TEXT(A2589,"Ddd"))&amp;"-"&amp;TEXT(A2589,"hh"),LoadTable[],5,FALSE)*0.92</f>
        <v>308.12363999999997</v>
      </c>
      <c r="U2589" s="104">
        <f>VLOOKUP(TEXT(A2589,"yy-mm")&amp;"-"&amp;IF(AND(WEEKDAY(A2589)&gt;1,WEEKDAY(A2589)&lt;7),"Wkd",TEXT(A2589,"Ddd"))&amp;"-"&amp;TEXT(A2589,"hh"),LoadTable[],6,FALSE)*T2589</f>
        <v>15139.963175039999</v>
      </c>
      <c r="V2589">
        <f t="shared" ref="V2589:W2589" si="2766">V2565</f>
        <v>2.9</v>
      </c>
      <c r="W2589">
        <f t="shared" si="2766"/>
        <v>3</v>
      </c>
      <c r="X2589" s="9">
        <v>-140.618148166673</v>
      </c>
    </row>
    <row r="2590" spans="1:24">
      <c r="A2590" s="29">
        <f t="shared" si="2737"/>
        <v>45943.791666660392</v>
      </c>
      <c r="B2590" s="30">
        <f t="shared" si="2761"/>
        <v>5000</v>
      </c>
      <c r="C2590" s="8">
        <v>25000</v>
      </c>
      <c r="D2590" s="8">
        <v>0</v>
      </c>
      <c r="E2590" s="8">
        <v>700</v>
      </c>
      <c r="F2590" s="8">
        <v>15000</v>
      </c>
      <c r="G2590" s="30">
        <f t="shared" si="2762"/>
        <v>2400</v>
      </c>
      <c r="H2590" s="8">
        <v>25000</v>
      </c>
      <c r="I2590" s="30">
        <f t="shared" si="2763"/>
        <v>5000</v>
      </c>
      <c r="J2590" s="8">
        <v>25000</v>
      </c>
      <c r="K2590" s="30">
        <f t="shared" si="2764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VLOOKUP(VLOOKUP(DATEVALUE(TEXT(A2590,"m/d/yyyy")),FY24_Temp[],5,FALSE)&amp;TEXT(A2590,"-h"),Table6[],4,FALSE)</f>
        <v>1.0365714345659529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VLOOKUP(TEXT(A2590,"yy-mm")&amp;"-"&amp;IF(AND(WEEKDAY(A2590)&gt;1,WEEKDAY(A2590)&lt;7),"Wkd",TEXT(A2590,"Ddd"))&amp;"-"&amp;TEXT(A2590,"hh"),LoadTable[],5,FALSE)*0.92</f>
        <v>308.12363999999997</v>
      </c>
      <c r="U2590" s="104">
        <f>VLOOKUP(TEXT(A2590,"yy-mm")&amp;"-"&amp;IF(AND(WEEKDAY(A2590)&gt;1,WEEKDAY(A2590)&lt;7),"Wkd",TEXT(A2590,"Ddd"))&amp;"-"&amp;TEXT(A2590,"hh"),LoadTable[],6,FALSE)*T2590</f>
        <v>15247.806449039997</v>
      </c>
      <c r="V2590">
        <f t="shared" ref="V2590:W2590" si="2767">V2566</f>
        <v>3</v>
      </c>
      <c r="W2590">
        <f t="shared" si="2767"/>
        <v>3</v>
      </c>
      <c r="X2590" s="9">
        <v>-140.69594271667299</v>
      </c>
    </row>
    <row r="2591" spans="1:24">
      <c r="A2591" s="29">
        <f t="shared" si="2737"/>
        <v>45943.833333327057</v>
      </c>
      <c r="B2591" s="30">
        <f t="shared" si="2761"/>
        <v>5000</v>
      </c>
      <c r="C2591" s="8">
        <v>25000</v>
      </c>
      <c r="D2591" s="8">
        <v>0</v>
      </c>
      <c r="E2591" s="8">
        <v>700</v>
      </c>
      <c r="F2591" s="8">
        <v>15000</v>
      </c>
      <c r="G2591" s="30">
        <f t="shared" si="2762"/>
        <v>2400</v>
      </c>
      <c r="H2591" s="8">
        <v>25000</v>
      </c>
      <c r="I2591" s="30">
        <f t="shared" si="2763"/>
        <v>5000</v>
      </c>
      <c r="J2591" s="8">
        <v>25000</v>
      </c>
      <c r="K2591" s="30">
        <f t="shared" si="2764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VLOOKUP(VLOOKUP(DATEVALUE(TEXT(A2591,"m/d/yyyy")),FY24_Temp[],5,FALSE)&amp;TEXT(A2591,"-h"),Table6[],4,FALSE)</f>
        <v>1.1094285760607039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VLOOKUP(TEXT(A2591,"yy-mm")&amp;"-"&amp;IF(AND(WEEKDAY(A2591)&gt;1,WEEKDAY(A2591)&lt;7),"Wkd",TEXT(A2591,"Ddd"))&amp;"-"&amp;TEXT(A2591,"hh"),LoadTable[],5,FALSE)*0.92</f>
        <v>308.12363999999997</v>
      </c>
      <c r="U2591" s="104">
        <f>VLOOKUP(TEXT(A2591,"yy-mm")&amp;"-"&amp;IF(AND(WEEKDAY(A2591)&gt;1,WEEKDAY(A2591)&lt;7),"Wkd",TEXT(A2591,"Ddd"))&amp;"-"&amp;TEXT(A2591,"hh"),LoadTable[],6,FALSE)*T2591</f>
        <v>15157.218098879999</v>
      </c>
      <c r="V2591">
        <f t="shared" ref="V2591:W2591" si="2768">V2567</f>
        <v>2.8</v>
      </c>
      <c r="W2591">
        <f t="shared" si="2768"/>
        <v>3.1</v>
      </c>
      <c r="X2591" s="9">
        <v>-140.77373726667301</v>
      </c>
    </row>
    <row r="2592" spans="1:24">
      <c r="A2592" s="29">
        <f t="shared" si="2737"/>
        <v>45943.874999993721</v>
      </c>
      <c r="B2592" s="30">
        <f t="shared" si="2761"/>
        <v>5000</v>
      </c>
      <c r="C2592" s="8">
        <v>25000</v>
      </c>
      <c r="D2592" s="8">
        <v>0</v>
      </c>
      <c r="E2592" s="8">
        <v>700</v>
      </c>
      <c r="F2592" s="8">
        <v>15000</v>
      </c>
      <c r="G2592" s="30">
        <f t="shared" si="2762"/>
        <v>2400</v>
      </c>
      <c r="H2592" s="8">
        <v>25000</v>
      </c>
      <c r="I2592" s="30">
        <f t="shared" si="2763"/>
        <v>5000</v>
      </c>
      <c r="J2592" s="8">
        <v>25000</v>
      </c>
      <c r="K2592" s="30">
        <f t="shared" si="2764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VLOOKUP(VLOOKUP(DATEVALUE(TEXT(A2592,"m/d/yyyy")),FY24_Temp[],5,FALSE)&amp;TEXT(A2592,"-h"),Table6[],4,FALSE)</f>
        <v>1.2048571450369698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VLOOKUP(TEXT(A2592,"yy-mm")&amp;"-"&amp;IF(AND(WEEKDAY(A2592)&gt;1,WEEKDAY(A2592)&lt;7),"Wkd",TEXT(A2592,"Ddd"))&amp;"-"&amp;TEXT(A2592,"hh"),LoadTable[],5,FALSE)*0.92</f>
        <v>234.33964000000003</v>
      </c>
      <c r="U2592" s="104">
        <f>VLOOKUP(TEXT(A2592,"yy-mm")&amp;"-"&amp;IF(AND(WEEKDAY(A2592)&gt;1,WEEKDAY(A2592)&lt;7),"Wkd",TEXT(A2592,"Ddd"))&amp;"-"&amp;TEXT(A2592,"hh"),LoadTable[],6,FALSE)*T2592</f>
        <v>11344.147632760001</v>
      </c>
      <c r="V2592">
        <f t="shared" ref="V2592:W2592" si="2769">V2568</f>
        <v>3.5</v>
      </c>
      <c r="W2592">
        <f t="shared" si="2769"/>
        <v>3.1</v>
      </c>
      <c r="X2592" s="9">
        <v>-140.851531816673</v>
      </c>
    </row>
    <row r="2593" spans="1:24">
      <c r="A2593" s="29">
        <f t="shared" si="2737"/>
        <v>45943.916666660385</v>
      </c>
      <c r="B2593" s="30">
        <f t="shared" si="2761"/>
        <v>5000</v>
      </c>
      <c r="C2593" s="8">
        <v>25000</v>
      </c>
      <c r="D2593" s="8">
        <v>0</v>
      </c>
      <c r="E2593" s="8">
        <v>700</v>
      </c>
      <c r="F2593" s="8">
        <v>15000</v>
      </c>
      <c r="G2593" s="30">
        <f t="shared" si="2762"/>
        <v>2400</v>
      </c>
      <c r="H2593" s="8">
        <v>25000</v>
      </c>
      <c r="I2593" s="30">
        <f t="shared" si="2763"/>
        <v>5000</v>
      </c>
      <c r="J2593" s="8">
        <v>25000</v>
      </c>
      <c r="K2593" s="30">
        <f t="shared" si="2764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VLOOKUP(VLOOKUP(DATEVALUE(TEXT(A2593,"m/d/yyyy")),FY24_Temp[],5,FALSE)&amp;TEXT(A2593,"-h"),Table6[],4,FALSE)</f>
        <v>1.2747142825807845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VLOOKUP(TEXT(A2593,"yy-mm")&amp;"-"&amp;IF(AND(WEEKDAY(A2593)&gt;1,WEEKDAY(A2593)&lt;7),"Wkd",TEXT(A2593,"Ddd"))&amp;"-"&amp;TEXT(A2593,"hh"),LoadTable[],5,FALSE)*0.92</f>
        <v>180.62544</v>
      </c>
      <c r="U2593" s="104">
        <f>VLOOKUP(TEXT(A2593,"yy-mm")&amp;"-"&amp;IF(AND(WEEKDAY(A2593)&gt;1,WEEKDAY(A2593)&lt;7),"Wkd",TEXT(A2593,"Ddd"))&amp;"-"&amp;TEXT(A2593,"hh"),LoadTable[],6,FALSE)*T2593</f>
        <v>8304.2546039999997</v>
      </c>
      <c r="V2593">
        <f t="shared" ref="V2593:W2593" si="2770">V2569</f>
        <v>2.9</v>
      </c>
      <c r="W2593">
        <f t="shared" si="2770"/>
        <v>3.1</v>
      </c>
      <c r="X2593" s="9">
        <v>-140.929326366673</v>
      </c>
    </row>
    <row r="2594" spans="1:24">
      <c r="A2594" s="29">
        <f t="shared" si="2737"/>
        <v>45943.958333327049</v>
      </c>
      <c r="B2594" s="30">
        <f t="shared" si="2761"/>
        <v>5000</v>
      </c>
      <c r="C2594" s="8">
        <v>25000</v>
      </c>
      <c r="D2594" s="8">
        <v>0</v>
      </c>
      <c r="E2594" s="8">
        <v>700</v>
      </c>
      <c r="F2594" s="8">
        <v>15000</v>
      </c>
      <c r="G2594" s="30">
        <f t="shared" si="2762"/>
        <v>2400</v>
      </c>
      <c r="H2594" s="8">
        <v>25000</v>
      </c>
      <c r="I2594" s="30">
        <f t="shared" si="2763"/>
        <v>5000</v>
      </c>
      <c r="J2594" s="8">
        <v>25000</v>
      </c>
      <c r="K2594" s="30">
        <f t="shared" si="2764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VLOOKUP(VLOOKUP(DATEVALUE(TEXT(A2594,"m/d/yyyy")),FY24_Temp[],5,FALSE)&amp;TEXT(A2594,"-h"),Table6[],4,FALSE)</f>
        <v>1.2435714176722936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VLOOKUP(TEXT(A2594,"yy-mm")&amp;"-"&amp;IF(AND(WEEKDAY(A2594)&gt;1,WEEKDAY(A2594)&lt;7),"Wkd",TEXT(A2594,"Ddd"))&amp;"-"&amp;TEXT(A2594,"hh"),LoadTable[],5,FALSE)*0.92</f>
        <v>180.62544</v>
      </c>
      <c r="U2594" s="104">
        <f>VLOOKUP(TEXT(A2594,"yy-mm")&amp;"-"&amp;IF(AND(WEEKDAY(A2594)&gt;1,WEEKDAY(A2594)&lt;7),"Wkd",TEXT(A2594,"Ddd"))&amp;"-"&amp;TEXT(A2594,"hh"),LoadTable[],6,FALSE)*T2594</f>
        <v>8217.1931419200009</v>
      </c>
      <c r="V2594">
        <f t="shared" ref="V2594:W2594" si="2771">V2570</f>
        <v>3.6</v>
      </c>
      <c r="W2594">
        <f t="shared" si="2771"/>
        <v>3.1</v>
      </c>
      <c r="X2594" s="9">
        <v>-141.00712091667299</v>
      </c>
    </row>
    <row r="2595" spans="1:24">
      <c r="A2595" s="29">
        <f t="shared" si="2737"/>
        <v>45943.999999993714</v>
      </c>
      <c r="B2595" s="30">
        <f t="shared" si="2761"/>
        <v>5000</v>
      </c>
      <c r="C2595" s="8">
        <v>25000</v>
      </c>
      <c r="D2595" s="8">
        <v>0</v>
      </c>
      <c r="E2595" s="8">
        <v>700</v>
      </c>
      <c r="F2595" s="8">
        <v>15000</v>
      </c>
      <c r="G2595" s="30">
        <f t="shared" si="2762"/>
        <v>2400</v>
      </c>
      <c r="H2595" s="8">
        <v>25000</v>
      </c>
      <c r="I2595" s="30">
        <f t="shared" si="2763"/>
        <v>5000</v>
      </c>
      <c r="J2595" s="8">
        <v>25000</v>
      </c>
      <c r="K2595" s="30">
        <f t="shared" si="2764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VLOOKUP(VLOOKUP(DATEVALUE(TEXT(A2595,"m/d/yyyy")),FY24_Temp[],5,FALSE)&amp;TEXT(A2595,"-h"),Table6[],4,FALSE)</f>
        <v>1.232285703931536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VLOOKUP(TEXT(A2595,"yy-mm")&amp;"-"&amp;IF(AND(WEEKDAY(A2595)&gt;1,WEEKDAY(A2595)&lt;7),"Wkd",TEXT(A2595,"Ddd"))&amp;"-"&amp;TEXT(A2595,"hh"),LoadTable[],5,FALSE)*0.92</f>
        <v>180.62544</v>
      </c>
      <c r="U2595" s="104">
        <f>VLOOKUP(TEXT(A2595,"yy-mm")&amp;"-"&amp;IF(AND(WEEKDAY(A2595)&gt;1,WEEKDAY(A2595)&lt;7),"Wkd",TEXT(A2595,"Ddd"))&amp;"-"&amp;TEXT(A2595,"hh"),LoadTable[],6,FALSE)*T2595</f>
        <v>8132.4798105600003</v>
      </c>
      <c r="V2595">
        <f t="shared" ref="V2595:W2595" si="2772">V2571</f>
        <v>3</v>
      </c>
      <c r="W2595">
        <f t="shared" si="2772"/>
        <v>3.2</v>
      </c>
      <c r="X2595" s="9">
        <v>-141.08491546667301</v>
      </c>
    </row>
    <row r="2596" spans="1:24">
      <c r="A2596" s="29">
        <f t="shared" si="2737"/>
        <v>45944.041666660378</v>
      </c>
      <c r="B2596" s="30">
        <f t="shared" si="2761"/>
        <v>5000</v>
      </c>
      <c r="C2596" s="8">
        <v>25000</v>
      </c>
      <c r="D2596" s="8">
        <v>0</v>
      </c>
      <c r="E2596" s="8">
        <v>700</v>
      </c>
      <c r="F2596" s="8">
        <v>15000</v>
      </c>
      <c r="G2596" s="30">
        <f t="shared" si="2762"/>
        <v>2400</v>
      </c>
      <c r="H2596" s="8">
        <v>25000</v>
      </c>
      <c r="I2596" s="30">
        <f t="shared" si="2763"/>
        <v>5000</v>
      </c>
      <c r="J2596" s="8">
        <v>25000</v>
      </c>
      <c r="K2596" s="30">
        <f t="shared" si="2764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VLOOKUP(VLOOKUP(DATEVALUE(TEXT(A2596,"m/d/yyyy")),FY24_Temp[],5,FALSE)&amp;TEXT(A2596,"-h"),Table6[],4,FALSE)</f>
        <v>1.2795714139938354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VLOOKUP(TEXT(A2596,"yy-mm")&amp;"-"&amp;IF(AND(WEEKDAY(A2596)&gt;1,WEEKDAY(A2596)&lt;7),"Wkd",TEXT(A2596,"Ddd"))&amp;"-"&amp;TEXT(A2596,"hh"),LoadTable[],5,FALSE)*0.92</f>
        <v>180.62544</v>
      </c>
      <c r="U2596" s="104">
        <f>VLOOKUP(TEXT(A2596,"yy-mm")&amp;"-"&amp;IF(AND(WEEKDAY(A2596)&gt;1,WEEKDAY(A2596)&lt;7),"Wkd",TEXT(A2596,"Ddd"))&amp;"-"&amp;TEXT(A2596,"hh"),LoadTable[],6,FALSE)*T2596</f>
        <v>8124.71291664</v>
      </c>
      <c r="V2596">
        <f t="shared" ref="V2596:W2596" si="2773">V2572</f>
        <v>2.6</v>
      </c>
      <c r="W2596">
        <f t="shared" si="2773"/>
        <v>3.2</v>
      </c>
      <c r="X2596" s="9">
        <v>-141.162710016673</v>
      </c>
    </row>
    <row r="2597" spans="1:24">
      <c r="A2597" s="29">
        <f t="shared" si="2737"/>
        <v>45944.083333327042</v>
      </c>
      <c r="B2597" s="30">
        <f t="shared" si="2761"/>
        <v>5000</v>
      </c>
      <c r="C2597" s="8">
        <v>25000</v>
      </c>
      <c r="D2597" s="8">
        <v>0</v>
      </c>
      <c r="E2597" s="8">
        <v>700</v>
      </c>
      <c r="F2597" s="8">
        <v>15000</v>
      </c>
      <c r="G2597" s="30">
        <f t="shared" si="2762"/>
        <v>2400</v>
      </c>
      <c r="H2597" s="8">
        <v>25000</v>
      </c>
      <c r="I2597" s="30">
        <f t="shared" si="2763"/>
        <v>5000</v>
      </c>
      <c r="J2597" s="8">
        <v>25000</v>
      </c>
      <c r="K2597" s="30">
        <f t="shared" si="2764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VLOOKUP(VLOOKUP(DATEVALUE(TEXT(A2597,"m/d/yyyy")),FY24_Temp[],5,FALSE)&amp;TEXT(A2597,"-h"),Table6[],4,FALSE)</f>
        <v>1.2324285677501134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VLOOKUP(TEXT(A2597,"yy-mm")&amp;"-"&amp;IF(AND(WEEKDAY(A2597)&gt;1,WEEKDAY(A2597)&lt;7),"Wkd",TEXT(A2597,"Ddd"))&amp;"-"&amp;TEXT(A2597,"hh"),LoadTable[],5,FALSE)*0.92</f>
        <v>180.62544</v>
      </c>
      <c r="U2597" s="104">
        <f>VLOOKUP(TEXT(A2597,"yy-mm")&amp;"-"&amp;IF(AND(WEEKDAY(A2597)&gt;1,WEEKDAY(A2597)&lt;7),"Wkd",TEXT(A2597,"Ddd"))&amp;"-"&amp;TEXT(A2597,"hh"),LoadTable[],6,FALSE)*T2597</f>
        <v>8120.1972806400008</v>
      </c>
      <c r="V2597">
        <f t="shared" ref="V2597:W2597" si="2774">V2573</f>
        <v>2.8</v>
      </c>
      <c r="W2597">
        <f t="shared" si="2774"/>
        <v>3.2</v>
      </c>
      <c r="X2597" s="9">
        <v>-141.240504566673</v>
      </c>
    </row>
    <row r="2598" spans="1:24">
      <c r="A2598" s="29">
        <f t="shared" si="2737"/>
        <v>45944.124999993706</v>
      </c>
      <c r="B2598" s="30">
        <f t="shared" si="2761"/>
        <v>5000</v>
      </c>
      <c r="C2598" s="8">
        <v>25000</v>
      </c>
      <c r="D2598" s="8">
        <v>0</v>
      </c>
      <c r="E2598" s="8">
        <v>700</v>
      </c>
      <c r="F2598" s="8">
        <v>15000</v>
      </c>
      <c r="G2598" s="30">
        <f t="shared" si="2762"/>
        <v>2400</v>
      </c>
      <c r="H2598" s="8">
        <v>25000</v>
      </c>
      <c r="I2598" s="30">
        <f t="shared" si="2763"/>
        <v>5000</v>
      </c>
      <c r="J2598" s="8">
        <v>25000</v>
      </c>
      <c r="K2598" s="30">
        <f t="shared" si="2764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VLOOKUP(VLOOKUP(DATEVALUE(TEXT(A2598,"m/d/yyyy")),FY24_Temp[],5,FALSE)&amp;TEXT(A2598,"-h"),Table6[],4,FALSE)</f>
        <v>1.132857152393886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VLOOKUP(TEXT(A2598,"yy-mm")&amp;"-"&amp;IF(AND(WEEKDAY(A2598)&gt;1,WEEKDAY(A2598)&lt;7),"Wkd",TEXT(A2598,"Ddd"))&amp;"-"&amp;TEXT(A2598,"hh"),LoadTable[],5,FALSE)*0.92</f>
        <v>180.62544</v>
      </c>
      <c r="U2598" s="104">
        <f>VLOOKUP(TEXT(A2598,"yy-mm")&amp;"-"&amp;IF(AND(WEEKDAY(A2598)&gt;1,WEEKDAY(A2598)&lt;7),"Wkd",TEXT(A2598,"Ddd"))&amp;"-"&amp;TEXT(A2598,"hh"),LoadTable[],6,FALSE)*T2598</f>
        <v>8141.3304571199997</v>
      </c>
      <c r="V2598">
        <f t="shared" ref="V2598:W2598" si="2775">V2574</f>
        <v>2.7</v>
      </c>
      <c r="W2598">
        <f t="shared" si="2775"/>
        <v>3.2</v>
      </c>
      <c r="X2598" s="9">
        <v>-141.31829911667299</v>
      </c>
    </row>
    <row r="2599" spans="1:24">
      <c r="A2599" s="29">
        <f t="shared" si="2737"/>
        <v>45944.166666660371</v>
      </c>
      <c r="B2599" s="30">
        <f t="shared" si="2761"/>
        <v>5000</v>
      </c>
      <c r="C2599" s="8">
        <v>25000</v>
      </c>
      <c r="D2599" s="8">
        <v>0</v>
      </c>
      <c r="E2599" s="8">
        <v>700</v>
      </c>
      <c r="F2599" s="8">
        <v>15000</v>
      </c>
      <c r="G2599" s="30">
        <f t="shared" si="2762"/>
        <v>2400</v>
      </c>
      <c r="H2599" s="8">
        <v>25000</v>
      </c>
      <c r="I2599" s="30">
        <f t="shared" si="2763"/>
        <v>5000</v>
      </c>
      <c r="J2599" s="8">
        <v>25000</v>
      </c>
      <c r="K2599" s="30">
        <f t="shared" si="2764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VLOOKUP(VLOOKUP(DATEVALUE(TEXT(A2599,"m/d/yyyy")),FY24_Temp[],5,FALSE)&amp;TEXT(A2599,"-h"),Table6[],4,FALSE)</f>
        <v>1.0471428547586714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VLOOKUP(TEXT(A2599,"yy-mm")&amp;"-"&amp;IF(AND(WEEKDAY(A2599)&gt;1,WEEKDAY(A2599)&lt;7),"Wkd",TEXT(A2599,"Ddd"))&amp;"-"&amp;TEXT(A2599,"hh"),LoadTable[],5,FALSE)*0.92</f>
        <v>180.62544</v>
      </c>
      <c r="U2599" s="104">
        <f>VLOOKUP(TEXT(A2599,"yy-mm")&amp;"-"&amp;IF(AND(WEEKDAY(A2599)&gt;1,WEEKDAY(A2599)&lt;7),"Wkd",TEXT(A2599,"Ddd"))&amp;"-"&amp;TEXT(A2599,"hh"),LoadTable[],6,FALSE)*T2599</f>
        <v>8184.86118816</v>
      </c>
      <c r="V2599">
        <f t="shared" ref="V2599:W2599" si="2776">V2575</f>
        <v>3</v>
      </c>
      <c r="W2599">
        <f t="shared" si="2776"/>
        <v>3.1</v>
      </c>
      <c r="X2599" s="9">
        <v>-141.39609366667301</v>
      </c>
    </row>
    <row r="2600" spans="1:24">
      <c r="A2600" s="29">
        <f t="shared" si="2737"/>
        <v>45944.208333327035</v>
      </c>
      <c r="B2600" s="30">
        <f t="shared" si="2761"/>
        <v>5000</v>
      </c>
      <c r="C2600" s="8">
        <v>25000</v>
      </c>
      <c r="D2600" s="8">
        <v>0</v>
      </c>
      <c r="E2600" s="8">
        <v>700</v>
      </c>
      <c r="F2600" s="8">
        <v>15000</v>
      </c>
      <c r="G2600" s="30">
        <f t="shared" si="2762"/>
        <v>2400</v>
      </c>
      <c r="H2600" s="8">
        <v>25000</v>
      </c>
      <c r="I2600" s="30">
        <f t="shared" si="2763"/>
        <v>5000</v>
      </c>
      <c r="J2600" s="8">
        <v>25000</v>
      </c>
      <c r="K2600" s="30">
        <f t="shared" si="2764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VLOOKUP(VLOOKUP(DATEVALUE(TEXT(A2600,"m/d/yyyy")),FY24_Temp[],5,FALSE)&amp;TEXT(A2600,"-h"),Table6[],4,FALSE)</f>
        <v>1.0077142885753088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VLOOKUP(TEXT(A2600,"yy-mm")&amp;"-"&amp;IF(AND(WEEKDAY(A2600)&gt;1,WEEKDAY(A2600)&lt;7),"Wkd",TEXT(A2600,"Ddd"))&amp;"-"&amp;TEXT(A2600,"hh"),LoadTable[],5,FALSE)*0.92</f>
        <v>275.09195999999997</v>
      </c>
      <c r="U2600" s="104">
        <f>VLOOKUP(TEXT(A2600,"yy-mm")&amp;"-"&amp;IF(AND(WEEKDAY(A2600)&gt;1,WEEKDAY(A2600)&lt;7),"Wkd",TEXT(A2600,"Ddd"))&amp;"-"&amp;TEXT(A2600,"hh"),LoadTable[],6,FALSE)*T2600</f>
        <v>12729.880448999998</v>
      </c>
      <c r="V2600">
        <f t="shared" ref="V2600:W2600" si="2777">V2576</f>
        <v>2.9</v>
      </c>
      <c r="W2600">
        <f t="shared" si="2777"/>
        <v>3.1</v>
      </c>
      <c r="X2600" s="9">
        <v>-141.473888216673</v>
      </c>
    </row>
    <row r="2601" spans="1:24">
      <c r="A2601" s="29">
        <f t="shared" si="2737"/>
        <v>45944.249999993699</v>
      </c>
      <c r="B2601" s="30">
        <f t="shared" si="2761"/>
        <v>8000</v>
      </c>
      <c r="C2601" s="8">
        <v>25000</v>
      </c>
      <c r="D2601" s="8">
        <v>0</v>
      </c>
      <c r="E2601" s="8">
        <v>700</v>
      </c>
      <c r="F2601" s="8">
        <v>15000</v>
      </c>
      <c r="G2601" s="30">
        <f t="shared" si="2762"/>
        <v>2400</v>
      </c>
      <c r="H2601" s="8">
        <v>25000</v>
      </c>
      <c r="I2601" s="30">
        <f t="shared" si="2763"/>
        <v>8000</v>
      </c>
      <c r="J2601" s="8">
        <v>25000</v>
      </c>
      <c r="K2601" s="30">
        <f t="shared" si="2764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VLOOKUP(VLOOKUP(DATEVALUE(TEXT(A2601,"m/d/yyyy")),FY24_Temp[],5,FALSE)&amp;TEXT(A2601,"-h"),Table6[],4,FALSE)</f>
        <v>0.85642857210976742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VLOOKUP(TEXT(A2601,"yy-mm")&amp;"-"&amp;IF(AND(WEEKDAY(A2601)&gt;1,WEEKDAY(A2601)&lt;7),"Wkd",TEXT(A2601,"Ddd"))&amp;"-"&amp;TEXT(A2601,"hh"),LoadTable[],5,FALSE)*0.92</f>
        <v>275.09195999999997</v>
      </c>
      <c r="U2601" s="104">
        <f>VLOOKUP(TEXT(A2601,"yy-mm")&amp;"-"&amp;IF(AND(WEEKDAY(A2601)&gt;1,WEEKDAY(A2601)&lt;7),"Wkd",TEXT(A2601,"Ddd"))&amp;"-"&amp;TEXT(A2601,"hh"),LoadTable[],6,FALSE)*T2601</f>
        <v>13284.465840359997</v>
      </c>
      <c r="V2601">
        <f t="shared" ref="V2601:W2601" si="2778">V2577</f>
        <v>2.5</v>
      </c>
      <c r="W2601">
        <f t="shared" si="2778"/>
        <v>3.1</v>
      </c>
      <c r="X2601" s="9">
        <v>-141.551682766673</v>
      </c>
    </row>
    <row r="2602" spans="1:24">
      <c r="A2602" s="29">
        <f t="shared" si="2737"/>
        <v>45944.291666660363</v>
      </c>
      <c r="B2602" s="30">
        <f t="shared" si="2761"/>
        <v>8000</v>
      </c>
      <c r="C2602" s="8">
        <v>25000</v>
      </c>
      <c r="D2602" s="8">
        <v>0</v>
      </c>
      <c r="E2602" s="8">
        <v>700</v>
      </c>
      <c r="F2602" s="8">
        <v>15000</v>
      </c>
      <c r="G2602" s="30">
        <f t="shared" si="2762"/>
        <v>2400</v>
      </c>
      <c r="H2602" s="8">
        <v>25000</v>
      </c>
      <c r="I2602" s="30">
        <f t="shared" si="2763"/>
        <v>8000</v>
      </c>
      <c r="J2602" s="8">
        <v>25000</v>
      </c>
      <c r="K2602" s="30">
        <f t="shared" si="2764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VLOOKUP(VLOOKUP(DATEVALUE(TEXT(A2602,"m/d/yyyy")),FY24_Temp[],5,FALSE)&amp;TEXT(A2602,"-h"),Table6[],4,FALSE)</f>
        <v>0.70771429368427818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VLOOKUP(TEXT(A2602,"yy-mm")&amp;"-"&amp;IF(AND(WEEKDAY(A2602)&gt;1,WEEKDAY(A2602)&lt;7),"Wkd",TEXT(A2602,"Ddd"))&amp;"-"&amp;TEXT(A2602,"hh"),LoadTable[],5,FALSE)*0.92</f>
        <v>236.10788000000002</v>
      </c>
      <c r="U2602" s="104">
        <f>VLOOKUP(TEXT(A2602,"yy-mm")&amp;"-"&amp;IF(AND(WEEKDAY(A2602)&gt;1,WEEKDAY(A2602)&lt;7),"Wkd",TEXT(A2602,"Ddd"))&amp;"-"&amp;TEXT(A2602,"hh"),LoadTable[],6,FALSE)*T2602</f>
        <v>11438.48235448</v>
      </c>
      <c r="V2602">
        <f t="shared" ref="V2602:W2602" si="2779">V2578</f>
        <v>2.5</v>
      </c>
      <c r="W2602">
        <f t="shared" si="2779"/>
        <v>3.1</v>
      </c>
      <c r="X2602" s="9">
        <v>-141.62947731667299</v>
      </c>
    </row>
    <row r="2603" spans="1:24">
      <c r="A2603" s="29">
        <f t="shared" si="2737"/>
        <v>45944.333333327028</v>
      </c>
      <c r="B2603" s="30">
        <f t="shared" si="2761"/>
        <v>8000</v>
      </c>
      <c r="C2603" s="8">
        <v>25000</v>
      </c>
      <c r="D2603" s="8">
        <v>0</v>
      </c>
      <c r="E2603" s="8">
        <v>700</v>
      </c>
      <c r="F2603" s="8">
        <v>15000</v>
      </c>
      <c r="G2603" s="30">
        <f t="shared" si="2762"/>
        <v>2400</v>
      </c>
      <c r="H2603" s="8">
        <v>25000</v>
      </c>
      <c r="I2603" s="30">
        <f t="shared" si="2763"/>
        <v>8000</v>
      </c>
      <c r="J2603" s="8">
        <v>25000</v>
      </c>
      <c r="K2603" s="30">
        <f t="shared" si="2764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VLOOKUP(VLOOKUP(DATEVALUE(TEXT(A2603,"m/d/yyyy")),FY24_Temp[],5,FALSE)&amp;TEXT(A2603,"-h"),Table6[],4,FALSE)</f>
        <v>0.6007142875875745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VLOOKUP(TEXT(A2603,"yy-mm")&amp;"-"&amp;IF(AND(WEEKDAY(A2603)&gt;1,WEEKDAY(A2603)&lt;7),"Wkd",TEXT(A2603,"Ddd"))&amp;"-"&amp;TEXT(A2603,"hh"),LoadTable[],5,FALSE)*0.92</f>
        <v>236.10788000000002</v>
      </c>
      <c r="U2603" s="104">
        <f>VLOOKUP(TEXT(A2603,"yy-mm")&amp;"-"&amp;IF(AND(WEEKDAY(A2603)&gt;1,WEEKDAY(A2603)&lt;7),"Wkd",TEXT(A2603,"Ddd"))&amp;"-"&amp;TEXT(A2603,"hh"),LoadTable[],6,FALSE)*T2603</f>
        <v>10919.281126360002</v>
      </c>
      <c r="V2603">
        <f t="shared" ref="V2603:W2603" si="2780">V2579</f>
        <v>3.2</v>
      </c>
      <c r="W2603">
        <f t="shared" si="2780"/>
        <v>3</v>
      </c>
      <c r="X2603" s="9">
        <v>-141.70727186667301</v>
      </c>
    </row>
    <row r="2604" spans="1:24">
      <c r="A2604" s="29">
        <f t="shared" si="2737"/>
        <v>45944.374999993692</v>
      </c>
      <c r="B2604" s="30">
        <f t="shared" si="2761"/>
        <v>8000</v>
      </c>
      <c r="C2604" s="8">
        <v>25000</v>
      </c>
      <c r="D2604" s="8">
        <v>0</v>
      </c>
      <c r="E2604" s="8">
        <v>700</v>
      </c>
      <c r="F2604" s="8">
        <v>15000</v>
      </c>
      <c r="G2604" s="30">
        <f t="shared" si="2762"/>
        <v>2400</v>
      </c>
      <c r="H2604" s="8">
        <v>25000</v>
      </c>
      <c r="I2604" s="30">
        <f t="shared" si="2763"/>
        <v>8000</v>
      </c>
      <c r="J2604" s="8">
        <v>25000</v>
      </c>
      <c r="K2604" s="30">
        <f t="shared" si="2764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VLOOKUP(VLOOKUP(DATEVALUE(TEXT(A2604,"m/d/yyyy")),FY24_Temp[],5,FALSE)&amp;TEXT(A2604,"-h"),Table6[],4,FALSE)</f>
        <v>0.50428572722843712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VLOOKUP(TEXT(A2604,"yy-mm")&amp;"-"&amp;IF(AND(WEEKDAY(A2604)&gt;1,WEEKDAY(A2604)&lt;7),"Wkd",TEXT(A2604,"Ddd"))&amp;"-"&amp;TEXT(A2604,"hh"),LoadTable[],5,FALSE)*0.92</f>
        <v>236.10788000000002</v>
      </c>
      <c r="U2604" s="104">
        <f>VLOOKUP(TEXT(A2604,"yy-mm")&amp;"-"&amp;IF(AND(WEEKDAY(A2604)&gt;1,WEEKDAY(A2604)&lt;7),"Wkd",TEXT(A2604,"Ddd"))&amp;"-"&amp;TEXT(A2604,"hh"),LoadTable[],6,FALSE)*T2604</f>
        <v>10592.271712560001</v>
      </c>
      <c r="V2604">
        <f t="shared" ref="V2604:W2604" si="2781">V2580</f>
        <v>2.9</v>
      </c>
      <c r="W2604">
        <f t="shared" si="2781"/>
        <v>3</v>
      </c>
      <c r="X2604" s="9">
        <v>-141.785066416673</v>
      </c>
    </row>
    <row r="2605" spans="1:24">
      <c r="A2605" s="29">
        <f t="shared" si="2737"/>
        <v>45944.416666660356</v>
      </c>
      <c r="B2605" s="30">
        <f t="shared" si="2761"/>
        <v>8000</v>
      </c>
      <c r="C2605" s="8">
        <v>25000</v>
      </c>
      <c r="D2605" s="8">
        <v>0</v>
      </c>
      <c r="E2605" s="8">
        <v>700</v>
      </c>
      <c r="F2605" s="8">
        <v>15000</v>
      </c>
      <c r="G2605" s="30">
        <f t="shared" si="2762"/>
        <v>2400</v>
      </c>
      <c r="H2605" s="8">
        <v>25000</v>
      </c>
      <c r="I2605" s="30">
        <f t="shared" si="2763"/>
        <v>8000</v>
      </c>
      <c r="J2605" s="8">
        <v>25000</v>
      </c>
      <c r="K2605" s="30">
        <f t="shared" si="2764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VLOOKUP(VLOOKUP(DATEVALUE(TEXT(A2605,"m/d/yyyy")),FY24_Temp[],5,FALSE)&amp;TEXT(A2605,"-h"),Table6[],4,FALSE)</f>
        <v>0.40428571828774046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VLOOKUP(TEXT(A2605,"yy-mm")&amp;"-"&amp;IF(AND(WEEKDAY(A2605)&gt;1,WEEKDAY(A2605)&lt;7),"Wkd",TEXT(A2605,"Ddd"))&amp;"-"&amp;TEXT(A2605,"hh"),LoadTable[],5,FALSE)*0.92</f>
        <v>236.10788000000002</v>
      </c>
      <c r="U2605" s="104">
        <f>VLOOKUP(TEXT(A2605,"yy-mm")&amp;"-"&amp;IF(AND(WEEKDAY(A2605)&gt;1,WEEKDAY(A2605)&lt;7),"Wkd",TEXT(A2605,"Ddd"))&amp;"-"&amp;TEXT(A2605,"hh"),LoadTable[],6,FALSE)*T2605</f>
        <v>10565.591522120001</v>
      </c>
      <c r="V2605">
        <f t="shared" ref="V2605:W2605" si="2782">V2581</f>
        <v>2.9</v>
      </c>
      <c r="W2605">
        <f t="shared" si="2782"/>
        <v>3</v>
      </c>
      <c r="X2605" s="9">
        <v>-141.862860966673</v>
      </c>
    </row>
    <row r="2606" spans="1:24">
      <c r="A2606" s="29">
        <f t="shared" si="2737"/>
        <v>45944.45833332702</v>
      </c>
      <c r="B2606" s="30">
        <f t="shared" si="2761"/>
        <v>8000</v>
      </c>
      <c r="C2606" s="8">
        <v>25000</v>
      </c>
      <c r="D2606" s="8">
        <v>0</v>
      </c>
      <c r="E2606" s="8">
        <v>700</v>
      </c>
      <c r="F2606" s="8">
        <v>15000</v>
      </c>
      <c r="G2606" s="30">
        <f t="shared" si="2762"/>
        <v>2400</v>
      </c>
      <c r="H2606" s="8">
        <v>25000</v>
      </c>
      <c r="I2606" s="30">
        <f t="shared" si="2763"/>
        <v>8000</v>
      </c>
      <c r="J2606" s="8">
        <v>25000</v>
      </c>
      <c r="K2606" s="30">
        <f t="shared" si="2764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VLOOKUP(VLOOKUP(DATEVALUE(TEXT(A2606,"m/d/yyyy")),FY24_Temp[],5,FALSE)&amp;TEXT(A2606,"-h"),Table6[],4,FALSE)</f>
        <v>0.29914285136120661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VLOOKUP(TEXT(A2606,"yy-mm")&amp;"-"&amp;IF(AND(WEEKDAY(A2606)&gt;1,WEEKDAY(A2606)&lt;7),"Wkd",TEXT(A2606,"Ddd"))&amp;"-"&amp;TEXT(A2606,"hh"),LoadTable[],5,FALSE)*0.92</f>
        <v>236.10788000000002</v>
      </c>
      <c r="U2606" s="104">
        <f>VLOOKUP(TEXT(A2606,"yy-mm")&amp;"-"&amp;IF(AND(WEEKDAY(A2606)&gt;1,WEEKDAY(A2606)&lt;7),"Wkd",TEXT(A2606,"Ddd"))&amp;"-"&amp;TEXT(A2606,"hh"),LoadTable[],6,FALSE)*T2606</f>
        <v>10548.355646880002</v>
      </c>
      <c r="V2606">
        <f t="shared" ref="V2606:W2606" si="2783">V2582</f>
        <v>3.4</v>
      </c>
      <c r="W2606">
        <f t="shared" si="2783"/>
        <v>3</v>
      </c>
      <c r="X2606" s="9">
        <v>-141.94065551667299</v>
      </c>
    </row>
    <row r="2607" spans="1:24">
      <c r="A2607" s="29">
        <f t="shared" si="2737"/>
        <v>45944.499999993684</v>
      </c>
      <c r="B2607" s="30">
        <f t="shared" si="2761"/>
        <v>8000</v>
      </c>
      <c r="C2607" s="8">
        <v>25000</v>
      </c>
      <c r="D2607" s="8">
        <v>0</v>
      </c>
      <c r="E2607" s="8">
        <v>700</v>
      </c>
      <c r="F2607" s="8">
        <v>15000</v>
      </c>
      <c r="G2607" s="30">
        <f t="shared" si="2762"/>
        <v>2400</v>
      </c>
      <c r="H2607" s="8">
        <v>25000</v>
      </c>
      <c r="I2607" s="30">
        <f t="shared" si="2763"/>
        <v>8000</v>
      </c>
      <c r="J2607" s="8">
        <v>25000</v>
      </c>
      <c r="K2607" s="30">
        <f t="shared" si="2764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VLOOKUP(VLOOKUP(DATEVALUE(TEXT(A2607,"m/d/yyyy")),FY24_Temp[],5,FALSE)&amp;TEXT(A2607,"-h"),Table6[],4,FALSE)</f>
        <v>0.19471428463501589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VLOOKUP(TEXT(A2607,"yy-mm")&amp;"-"&amp;IF(AND(WEEKDAY(A2607)&gt;1,WEEKDAY(A2607)&lt;7),"Wkd",TEXT(A2607,"Ddd"))&amp;"-"&amp;TEXT(A2607,"hh"),LoadTable[],5,FALSE)*0.92</f>
        <v>236.10788000000002</v>
      </c>
      <c r="U2607" s="104">
        <f>VLOOKUP(TEXT(A2607,"yy-mm")&amp;"-"&amp;IF(AND(WEEKDAY(A2607)&gt;1,WEEKDAY(A2607)&lt;7),"Wkd",TEXT(A2607,"Ddd"))&amp;"-"&amp;TEXT(A2607,"hh"),LoadTable[],6,FALSE)*T2607</f>
        <v>10540.327978960002</v>
      </c>
      <c r="V2607">
        <f t="shared" ref="V2607:W2607" si="2784">V2583</f>
        <v>3.1</v>
      </c>
      <c r="W2607">
        <f t="shared" si="2784"/>
        <v>2.9</v>
      </c>
      <c r="X2607" s="9">
        <v>-142.01845006667301</v>
      </c>
    </row>
    <row r="2608" spans="1:24">
      <c r="A2608" s="29">
        <f t="shared" si="2737"/>
        <v>45944.541666660349</v>
      </c>
      <c r="B2608" s="30">
        <f t="shared" si="2761"/>
        <v>8000</v>
      </c>
      <c r="C2608" s="8">
        <v>25000</v>
      </c>
      <c r="D2608" s="8">
        <v>0</v>
      </c>
      <c r="E2608" s="8">
        <v>700</v>
      </c>
      <c r="F2608" s="8">
        <v>15000</v>
      </c>
      <c r="G2608" s="30">
        <f t="shared" si="2762"/>
        <v>2400</v>
      </c>
      <c r="H2608" s="8">
        <v>25000</v>
      </c>
      <c r="I2608" s="30">
        <f t="shared" si="2763"/>
        <v>8000</v>
      </c>
      <c r="J2608" s="8">
        <v>25000</v>
      </c>
      <c r="K2608" s="30">
        <f t="shared" si="2764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VLOOKUP(VLOOKUP(DATEVALUE(TEXT(A2608,"m/d/yyyy")),FY24_Temp[],5,FALSE)&amp;TEXT(A2608,"-h"),Table6[],4,FALSE)</f>
        <v>0.10557143097477299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VLOOKUP(TEXT(A2608,"yy-mm")&amp;"-"&amp;IF(AND(WEEKDAY(A2608)&gt;1,WEEKDAY(A2608)&lt;7),"Wkd",TEXT(A2608,"Ddd"))&amp;"-"&amp;TEXT(A2608,"hh"),LoadTable[],5,FALSE)*0.92</f>
        <v>236.10788000000002</v>
      </c>
      <c r="U2608" s="104">
        <f>VLOOKUP(TEXT(A2608,"yy-mm")&amp;"-"&amp;IF(AND(WEEKDAY(A2608)&gt;1,WEEKDAY(A2608)&lt;7),"Wkd",TEXT(A2608,"Ddd"))&amp;"-"&amp;TEXT(A2608,"hh"),LoadTable[],6,FALSE)*T2608</f>
        <v>10541.50851836</v>
      </c>
      <c r="V2608">
        <f t="shared" ref="V2608:W2608" si="2785">V2584</f>
        <v>3.2</v>
      </c>
      <c r="W2608">
        <f t="shared" si="2785"/>
        <v>2.9</v>
      </c>
      <c r="X2608" s="9">
        <v>-142.096244616673</v>
      </c>
    </row>
    <row r="2609" spans="1:24">
      <c r="A2609" s="29">
        <f t="shared" si="2737"/>
        <v>45944.583333327013</v>
      </c>
      <c r="B2609" s="30">
        <f t="shared" si="2761"/>
        <v>8000</v>
      </c>
      <c r="C2609" s="8">
        <v>25000</v>
      </c>
      <c r="D2609" s="8">
        <v>0</v>
      </c>
      <c r="E2609" s="8">
        <v>700</v>
      </c>
      <c r="F2609" s="8">
        <v>15000</v>
      </c>
      <c r="G2609" s="30">
        <f t="shared" si="2762"/>
        <v>2400</v>
      </c>
      <c r="H2609" s="8">
        <v>25000</v>
      </c>
      <c r="I2609" s="30">
        <f t="shared" si="2763"/>
        <v>8000</v>
      </c>
      <c r="J2609" s="8">
        <v>25000</v>
      </c>
      <c r="K2609" s="30">
        <f t="shared" si="2764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VLOOKUP(VLOOKUP(DATEVALUE(TEXT(A2609,"m/d/yyyy")),FY24_Temp[],5,FALSE)&amp;TEXT(A2609,"-h"),Table6[],4,FALSE)</f>
        <v>7.8714286110230861E-2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VLOOKUP(TEXT(A2609,"yy-mm")&amp;"-"&amp;IF(AND(WEEKDAY(A2609)&gt;1,WEEKDAY(A2609)&lt;7),"Wkd",TEXT(A2609,"Ddd"))&amp;"-"&amp;TEXT(A2609,"hh"),LoadTable[],5,FALSE)*0.92</f>
        <v>236.10788000000002</v>
      </c>
      <c r="U2609" s="104">
        <f>VLOOKUP(TEXT(A2609,"yy-mm")&amp;"-"&amp;IF(AND(WEEKDAY(A2609)&gt;1,WEEKDAY(A2609)&lt;7),"Wkd",TEXT(A2609,"Ddd"))&amp;"-"&amp;TEXT(A2609,"hh"),LoadTable[],6,FALSE)*T2609</f>
        <v>10551.188941440001</v>
      </c>
      <c r="V2609">
        <f t="shared" ref="V2609:W2609" si="2786">V2585</f>
        <v>3.5</v>
      </c>
      <c r="W2609">
        <f t="shared" si="2786"/>
        <v>2.9</v>
      </c>
      <c r="X2609" s="9">
        <v>-142.174039166673</v>
      </c>
    </row>
    <row r="2610" spans="1:24">
      <c r="A2610" s="29">
        <f t="shared" si="2737"/>
        <v>45944.624999993677</v>
      </c>
      <c r="B2610" s="30">
        <f t="shared" si="2761"/>
        <v>8000</v>
      </c>
      <c r="C2610" s="8">
        <v>25000</v>
      </c>
      <c r="D2610" s="8">
        <v>0</v>
      </c>
      <c r="E2610" s="8">
        <v>700</v>
      </c>
      <c r="F2610" s="8">
        <v>15000</v>
      </c>
      <c r="G2610" s="30">
        <f t="shared" si="2762"/>
        <v>2400</v>
      </c>
      <c r="H2610" s="8">
        <v>25000</v>
      </c>
      <c r="I2610" s="30">
        <f t="shared" si="2763"/>
        <v>8000</v>
      </c>
      <c r="J2610" s="8">
        <v>25000</v>
      </c>
      <c r="K2610" s="30">
        <f t="shared" si="2764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VLOOKUP(VLOOKUP(DATEVALUE(TEXT(A2610,"m/d/yyyy")),FY24_Temp[],5,FALSE)&amp;TEXT(A2610,"-h"),Table6[],4,FALSE)</f>
        <v>0.20828571436660631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VLOOKUP(TEXT(A2610,"yy-mm")&amp;"-"&amp;IF(AND(WEEKDAY(A2610)&gt;1,WEEKDAY(A2610)&lt;7),"Wkd",TEXT(A2610,"Ddd"))&amp;"-"&amp;TEXT(A2610,"hh"),LoadTable[],5,FALSE)*0.92</f>
        <v>236.10788000000002</v>
      </c>
      <c r="U2610" s="104">
        <f>VLOOKUP(TEXT(A2610,"yy-mm")&amp;"-"&amp;IF(AND(WEEKDAY(A2610)&gt;1,WEEKDAY(A2610)&lt;7),"Wkd",TEXT(A2610,"Ddd"))&amp;"-"&amp;TEXT(A2610,"hh"),LoadTable[],6,FALSE)*T2610</f>
        <v>10572.202542760002</v>
      </c>
      <c r="V2610">
        <f t="shared" ref="V2610:W2610" si="2787">V2586</f>
        <v>3.2</v>
      </c>
      <c r="W2610">
        <f t="shared" si="2787"/>
        <v>2.9</v>
      </c>
      <c r="X2610" s="9">
        <v>-142.25183371667299</v>
      </c>
    </row>
    <row r="2611" spans="1:24">
      <c r="A2611" s="29">
        <f t="shared" si="2737"/>
        <v>45944.666666660341</v>
      </c>
      <c r="B2611" s="30">
        <f t="shared" si="2761"/>
        <v>8000</v>
      </c>
      <c r="C2611" s="8">
        <v>25000</v>
      </c>
      <c r="D2611" s="8">
        <v>0</v>
      </c>
      <c r="E2611" s="8">
        <v>700</v>
      </c>
      <c r="F2611" s="8">
        <v>15000</v>
      </c>
      <c r="G2611" s="30">
        <f t="shared" si="2762"/>
        <v>2400</v>
      </c>
      <c r="H2611" s="8">
        <v>25000</v>
      </c>
      <c r="I2611" s="30">
        <f t="shared" si="2763"/>
        <v>8000</v>
      </c>
      <c r="J2611" s="8">
        <v>25000</v>
      </c>
      <c r="K2611" s="30">
        <f t="shared" si="2764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VLOOKUP(VLOOKUP(DATEVALUE(TEXT(A2611,"m/d/yyyy")),FY24_Temp[],5,FALSE)&amp;TEXT(A2611,"-h"),Table6[],4,FALSE)</f>
        <v>0.47971428292138235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VLOOKUP(TEXT(A2611,"yy-mm")&amp;"-"&amp;IF(AND(WEEKDAY(A2611)&gt;1,WEEKDAY(A2611)&lt;7),"Wkd",TEXT(A2611,"Ddd"))&amp;"-"&amp;TEXT(A2611,"hh"),LoadTable[],5,FALSE)*0.92</f>
        <v>236.10788000000002</v>
      </c>
      <c r="U2611" s="104">
        <f>VLOOKUP(TEXT(A2611,"yy-mm")&amp;"-"&amp;IF(AND(WEEKDAY(A2611)&gt;1,WEEKDAY(A2611)&lt;7),"Wkd",TEXT(A2611,"Ddd"))&amp;"-"&amp;TEXT(A2611,"hh"),LoadTable[],6,FALSE)*T2611</f>
        <v>10648.93760376</v>
      </c>
      <c r="V2611">
        <f t="shared" ref="V2611:W2611" si="2788">V2587</f>
        <v>3.5</v>
      </c>
      <c r="W2611">
        <f t="shared" si="2788"/>
        <v>3</v>
      </c>
      <c r="X2611" s="9">
        <v>-142.32962826667301</v>
      </c>
    </row>
    <row r="2612" spans="1:24">
      <c r="A2612" s="29">
        <f t="shared" si="2737"/>
        <v>45944.708333327006</v>
      </c>
      <c r="B2612" s="30">
        <f t="shared" si="2761"/>
        <v>8000</v>
      </c>
      <c r="C2612" s="8">
        <v>25000</v>
      </c>
      <c r="D2612" s="8">
        <v>0</v>
      </c>
      <c r="E2612" s="8">
        <v>700</v>
      </c>
      <c r="F2612" s="8">
        <v>15000</v>
      </c>
      <c r="G2612" s="30">
        <f t="shared" si="2762"/>
        <v>2400</v>
      </c>
      <c r="H2612" s="8">
        <v>25000</v>
      </c>
      <c r="I2612" s="30">
        <f t="shared" si="2763"/>
        <v>8000</v>
      </c>
      <c r="J2612" s="8">
        <v>25000</v>
      </c>
      <c r="K2612" s="30">
        <f t="shared" si="2764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VLOOKUP(VLOOKUP(DATEVALUE(TEXT(A2612,"m/d/yyyy")),FY24_Temp[],5,FALSE)&amp;TEXT(A2612,"-h"),Table6[],4,FALSE)</f>
        <v>0.81442855937140324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VLOOKUP(TEXT(A2612,"yy-mm")&amp;"-"&amp;IF(AND(WEEKDAY(A2612)&gt;1,WEEKDAY(A2612)&lt;7),"Wkd",TEXT(A2612,"Ddd"))&amp;"-"&amp;TEXT(A2612,"hh"),LoadTable[],5,FALSE)*0.92</f>
        <v>236.10788000000002</v>
      </c>
      <c r="U2612" s="104">
        <f>VLOOKUP(TEXT(A2612,"yy-mm")&amp;"-"&amp;IF(AND(WEEKDAY(A2612)&gt;1,WEEKDAY(A2612)&lt;7),"Wkd",TEXT(A2612,"Ddd"))&amp;"-"&amp;TEXT(A2612,"hh"),LoadTable[],6,FALSE)*T2612</f>
        <v>11157.513977280001</v>
      </c>
      <c r="V2612">
        <f t="shared" ref="V2612:W2612" si="2789">V2588</f>
        <v>3.6</v>
      </c>
      <c r="W2612">
        <f t="shared" si="2789"/>
        <v>3</v>
      </c>
      <c r="X2612" s="9">
        <v>-142.40742281667301</v>
      </c>
    </row>
    <row r="2613" spans="1:24">
      <c r="A2613" s="29">
        <f t="shared" si="2737"/>
        <v>45944.74999999367</v>
      </c>
      <c r="B2613" s="30">
        <f t="shared" si="2761"/>
        <v>5000</v>
      </c>
      <c r="C2613" s="8">
        <v>25000</v>
      </c>
      <c r="D2613" s="8">
        <v>0</v>
      </c>
      <c r="E2613" s="8">
        <v>700</v>
      </c>
      <c r="F2613" s="8">
        <v>15000</v>
      </c>
      <c r="G2613" s="30">
        <f t="shared" si="2762"/>
        <v>2400</v>
      </c>
      <c r="H2613" s="8">
        <v>25000</v>
      </c>
      <c r="I2613" s="30">
        <f t="shared" si="2763"/>
        <v>5000</v>
      </c>
      <c r="J2613" s="8">
        <v>25000</v>
      </c>
      <c r="K2613" s="30">
        <f t="shared" si="2764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VLOOKUP(VLOOKUP(DATEVALUE(TEXT(A2613,"m/d/yyyy")),FY24_Temp[],5,FALSE)&amp;TEXT(A2613,"-h"),Table6[],4,FALSE)</f>
        <v>0.94428572484425133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VLOOKUP(TEXT(A2613,"yy-mm")&amp;"-"&amp;IF(AND(WEEKDAY(A2613)&gt;1,WEEKDAY(A2613)&lt;7),"Wkd",TEXT(A2613,"Ddd"))&amp;"-"&amp;TEXT(A2613,"hh"),LoadTable[],5,FALSE)*0.92</f>
        <v>308.12363999999997</v>
      </c>
      <c r="U2613" s="104">
        <f>VLOOKUP(TEXT(A2613,"yy-mm")&amp;"-"&amp;IF(AND(WEEKDAY(A2613)&gt;1,WEEKDAY(A2613)&lt;7),"Wkd",TEXT(A2613,"Ddd"))&amp;"-"&amp;TEXT(A2613,"hh"),LoadTable[],6,FALSE)*T2613</f>
        <v>15139.963175039999</v>
      </c>
      <c r="V2613">
        <f t="shared" ref="V2613:W2613" si="2790">V2589</f>
        <v>2.9</v>
      </c>
      <c r="W2613">
        <f t="shared" si="2790"/>
        <v>3</v>
      </c>
      <c r="X2613" s="9">
        <v>-142.485217366673</v>
      </c>
    </row>
    <row r="2614" spans="1:24">
      <c r="A2614" s="29">
        <f t="shared" si="2737"/>
        <v>45944.791666660334</v>
      </c>
      <c r="B2614" s="30">
        <f t="shared" si="2761"/>
        <v>5000</v>
      </c>
      <c r="C2614" s="8">
        <v>25000</v>
      </c>
      <c r="D2614" s="8">
        <v>0</v>
      </c>
      <c r="E2614" s="8">
        <v>700</v>
      </c>
      <c r="F2614" s="8">
        <v>15000</v>
      </c>
      <c r="G2614" s="30">
        <f t="shared" si="2762"/>
        <v>2400</v>
      </c>
      <c r="H2614" s="8">
        <v>25000</v>
      </c>
      <c r="I2614" s="30">
        <f t="shared" si="2763"/>
        <v>5000</v>
      </c>
      <c r="J2614" s="8">
        <v>25000</v>
      </c>
      <c r="K2614" s="30">
        <f t="shared" si="2764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VLOOKUP(VLOOKUP(DATEVALUE(TEXT(A2614,"m/d/yyyy")),FY24_Temp[],5,FALSE)&amp;TEXT(A2614,"-h"),Table6[],4,FALSE)</f>
        <v>1.0365714345659529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VLOOKUP(TEXT(A2614,"yy-mm")&amp;"-"&amp;IF(AND(WEEKDAY(A2614)&gt;1,WEEKDAY(A2614)&lt;7),"Wkd",TEXT(A2614,"Ddd"))&amp;"-"&amp;TEXT(A2614,"hh"),LoadTable[],5,FALSE)*0.92</f>
        <v>308.12363999999997</v>
      </c>
      <c r="U2614" s="104">
        <f>VLOOKUP(TEXT(A2614,"yy-mm")&amp;"-"&amp;IF(AND(WEEKDAY(A2614)&gt;1,WEEKDAY(A2614)&lt;7),"Wkd",TEXT(A2614,"Ddd"))&amp;"-"&amp;TEXT(A2614,"hh"),LoadTable[],6,FALSE)*T2614</f>
        <v>15247.806449039997</v>
      </c>
      <c r="V2614">
        <f t="shared" ref="V2614:W2614" si="2791">V2590</f>
        <v>3</v>
      </c>
      <c r="W2614">
        <f t="shared" si="2791"/>
        <v>3</v>
      </c>
      <c r="X2614" s="9">
        <v>-142.56301191667299</v>
      </c>
    </row>
    <row r="2615" spans="1:24">
      <c r="A2615" s="29">
        <f t="shared" si="2737"/>
        <v>45944.833333326998</v>
      </c>
      <c r="B2615" s="30">
        <f t="shared" si="2761"/>
        <v>5000</v>
      </c>
      <c r="C2615" s="8">
        <v>25000</v>
      </c>
      <c r="D2615" s="8">
        <v>0</v>
      </c>
      <c r="E2615" s="8">
        <v>700</v>
      </c>
      <c r="F2615" s="8">
        <v>15000</v>
      </c>
      <c r="G2615" s="30">
        <f t="shared" si="2762"/>
        <v>2400</v>
      </c>
      <c r="H2615" s="8">
        <v>25000</v>
      </c>
      <c r="I2615" s="30">
        <f t="shared" si="2763"/>
        <v>5000</v>
      </c>
      <c r="J2615" s="8">
        <v>25000</v>
      </c>
      <c r="K2615" s="30">
        <f t="shared" si="2764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VLOOKUP(VLOOKUP(DATEVALUE(TEXT(A2615,"m/d/yyyy")),FY24_Temp[],5,FALSE)&amp;TEXT(A2615,"-h"),Table6[],4,FALSE)</f>
        <v>1.1094285760607039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VLOOKUP(TEXT(A2615,"yy-mm")&amp;"-"&amp;IF(AND(WEEKDAY(A2615)&gt;1,WEEKDAY(A2615)&lt;7),"Wkd",TEXT(A2615,"Ddd"))&amp;"-"&amp;TEXT(A2615,"hh"),LoadTable[],5,FALSE)*0.92</f>
        <v>308.12363999999997</v>
      </c>
      <c r="U2615" s="104">
        <f>VLOOKUP(TEXT(A2615,"yy-mm")&amp;"-"&amp;IF(AND(WEEKDAY(A2615)&gt;1,WEEKDAY(A2615)&lt;7),"Wkd",TEXT(A2615,"Ddd"))&amp;"-"&amp;TEXT(A2615,"hh"),LoadTable[],6,FALSE)*T2615</f>
        <v>15157.218098879999</v>
      </c>
      <c r="V2615">
        <f t="shared" ref="V2615:W2615" si="2792">V2591</f>
        <v>2.8</v>
      </c>
      <c r="W2615">
        <f t="shared" si="2792"/>
        <v>3.1</v>
      </c>
      <c r="X2615" s="9">
        <v>-142.64080646667301</v>
      </c>
    </row>
    <row r="2616" spans="1:24">
      <c r="A2616" s="29">
        <f t="shared" si="2737"/>
        <v>45944.874999993663</v>
      </c>
      <c r="B2616" s="30">
        <f t="shared" si="2761"/>
        <v>5000</v>
      </c>
      <c r="C2616" s="8">
        <v>25000</v>
      </c>
      <c r="D2616" s="8">
        <v>0</v>
      </c>
      <c r="E2616" s="8">
        <v>700</v>
      </c>
      <c r="F2616" s="8">
        <v>15000</v>
      </c>
      <c r="G2616" s="30">
        <f t="shared" si="2762"/>
        <v>2400</v>
      </c>
      <c r="H2616" s="8">
        <v>25000</v>
      </c>
      <c r="I2616" s="30">
        <f t="shared" si="2763"/>
        <v>5000</v>
      </c>
      <c r="J2616" s="8">
        <v>25000</v>
      </c>
      <c r="K2616" s="30">
        <f t="shared" si="2764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VLOOKUP(VLOOKUP(DATEVALUE(TEXT(A2616,"m/d/yyyy")),FY24_Temp[],5,FALSE)&amp;TEXT(A2616,"-h"),Table6[],4,FALSE)</f>
        <v>1.2048571450369698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VLOOKUP(TEXT(A2616,"yy-mm")&amp;"-"&amp;IF(AND(WEEKDAY(A2616)&gt;1,WEEKDAY(A2616)&lt;7),"Wkd",TEXT(A2616,"Ddd"))&amp;"-"&amp;TEXT(A2616,"hh"),LoadTable[],5,FALSE)*0.92</f>
        <v>234.33964000000003</v>
      </c>
      <c r="U2616" s="104">
        <f>VLOOKUP(TEXT(A2616,"yy-mm")&amp;"-"&amp;IF(AND(WEEKDAY(A2616)&gt;1,WEEKDAY(A2616)&lt;7),"Wkd",TEXT(A2616,"Ddd"))&amp;"-"&amp;TEXT(A2616,"hh"),LoadTable[],6,FALSE)*T2616</f>
        <v>11344.147632760001</v>
      </c>
      <c r="V2616">
        <f t="shared" ref="V2616:W2616" si="2793">V2592</f>
        <v>3.5</v>
      </c>
      <c r="W2616">
        <f t="shared" si="2793"/>
        <v>3.1</v>
      </c>
      <c r="X2616" s="9">
        <v>-142.71860101667301</v>
      </c>
    </row>
    <row r="2617" spans="1:24">
      <c r="A2617" s="29">
        <f t="shared" si="2737"/>
        <v>45944.916666660327</v>
      </c>
      <c r="B2617" s="30">
        <f t="shared" si="2761"/>
        <v>5000</v>
      </c>
      <c r="C2617" s="8">
        <v>25000</v>
      </c>
      <c r="D2617" s="8">
        <v>0</v>
      </c>
      <c r="E2617" s="8">
        <v>700</v>
      </c>
      <c r="F2617" s="8">
        <v>15000</v>
      </c>
      <c r="G2617" s="30">
        <f t="shared" si="2762"/>
        <v>2400</v>
      </c>
      <c r="H2617" s="8">
        <v>25000</v>
      </c>
      <c r="I2617" s="30">
        <f t="shared" si="2763"/>
        <v>5000</v>
      </c>
      <c r="J2617" s="8">
        <v>25000</v>
      </c>
      <c r="K2617" s="30">
        <f t="shared" si="2764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VLOOKUP(VLOOKUP(DATEVALUE(TEXT(A2617,"m/d/yyyy")),FY24_Temp[],5,FALSE)&amp;TEXT(A2617,"-h"),Table6[],4,FALSE)</f>
        <v>1.2747142825807845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VLOOKUP(TEXT(A2617,"yy-mm")&amp;"-"&amp;IF(AND(WEEKDAY(A2617)&gt;1,WEEKDAY(A2617)&lt;7),"Wkd",TEXT(A2617,"Ddd"))&amp;"-"&amp;TEXT(A2617,"hh"),LoadTable[],5,FALSE)*0.92</f>
        <v>180.62544</v>
      </c>
      <c r="U2617" s="104">
        <f>VLOOKUP(TEXT(A2617,"yy-mm")&amp;"-"&amp;IF(AND(WEEKDAY(A2617)&gt;1,WEEKDAY(A2617)&lt;7),"Wkd",TEXT(A2617,"Ddd"))&amp;"-"&amp;TEXT(A2617,"hh"),LoadTable[],6,FALSE)*T2617</f>
        <v>8304.2546039999997</v>
      </c>
      <c r="V2617">
        <f t="shared" ref="V2617:W2617" si="2794">V2593</f>
        <v>2.9</v>
      </c>
      <c r="W2617">
        <f t="shared" si="2794"/>
        <v>3.1</v>
      </c>
      <c r="X2617" s="9">
        <v>-142.796395566673</v>
      </c>
    </row>
    <row r="2618" spans="1:24">
      <c r="A2618" s="29">
        <f t="shared" si="2737"/>
        <v>45944.958333326991</v>
      </c>
      <c r="B2618" s="30">
        <f t="shared" si="2761"/>
        <v>5000</v>
      </c>
      <c r="C2618" s="8">
        <v>25000</v>
      </c>
      <c r="D2618" s="8">
        <v>0</v>
      </c>
      <c r="E2618" s="8">
        <v>700</v>
      </c>
      <c r="F2618" s="8">
        <v>15000</v>
      </c>
      <c r="G2618" s="30">
        <f t="shared" si="2762"/>
        <v>2400</v>
      </c>
      <c r="H2618" s="8">
        <v>25000</v>
      </c>
      <c r="I2618" s="30">
        <f t="shared" si="2763"/>
        <v>5000</v>
      </c>
      <c r="J2618" s="8">
        <v>25000</v>
      </c>
      <c r="K2618" s="30">
        <f t="shared" si="2764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VLOOKUP(VLOOKUP(DATEVALUE(TEXT(A2618,"m/d/yyyy")),FY24_Temp[],5,FALSE)&amp;TEXT(A2618,"-h"),Table6[],4,FALSE)</f>
        <v>1.2435714176722936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VLOOKUP(TEXT(A2618,"yy-mm")&amp;"-"&amp;IF(AND(WEEKDAY(A2618)&gt;1,WEEKDAY(A2618)&lt;7),"Wkd",TEXT(A2618,"Ddd"))&amp;"-"&amp;TEXT(A2618,"hh"),LoadTable[],5,FALSE)*0.92</f>
        <v>180.62544</v>
      </c>
      <c r="U2618" s="104">
        <f>VLOOKUP(TEXT(A2618,"yy-mm")&amp;"-"&amp;IF(AND(WEEKDAY(A2618)&gt;1,WEEKDAY(A2618)&lt;7),"Wkd",TEXT(A2618,"Ddd"))&amp;"-"&amp;TEXT(A2618,"hh"),LoadTable[],6,FALSE)*T2618</f>
        <v>8217.1931419200009</v>
      </c>
      <c r="V2618">
        <f t="shared" ref="V2618:W2618" si="2795">V2594</f>
        <v>3.6</v>
      </c>
      <c r="W2618">
        <f t="shared" si="2795"/>
        <v>3.1</v>
      </c>
      <c r="X2618" s="9">
        <v>-142.87419011667299</v>
      </c>
    </row>
    <row r="2619" spans="1:24">
      <c r="A2619" s="29">
        <f t="shared" si="2737"/>
        <v>45944.999999993655</v>
      </c>
      <c r="B2619" s="30">
        <f t="shared" si="2761"/>
        <v>5000</v>
      </c>
      <c r="C2619" s="8">
        <v>25000</v>
      </c>
      <c r="D2619" s="8">
        <v>0</v>
      </c>
      <c r="E2619" s="8">
        <v>700</v>
      </c>
      <c r="F2619" s="8">
        <v>15000</v>
      </c>
      <c r="G2619" s="30">
        <f t="shared" si="2762"/>
        <v>2400</v>
      </c>
      <c r="H2619" s="8">
        <v>25000</v>
      </c>
      <c r="I2619" s="30">
        <f t="shared" si="2763"/>
        <v>5000</v>
      </c>
      <c r="J2619" s="8">
        <v>25000</v>
      </c>
      <c r="K2619" s="30">
        <f t="shared" si="2764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VLOOKUP(VLOOKUP(DATEVALUE(TEXT(A2619,"m/d/yyyy")),FY24_Temp[],5,FALSE)&amp;TEXT(A2619,"-h"),Table6[],4,FALSE)</f>
        <v>1.232285703931536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VLOOKUP(TEXT(A2619,"yy-mm")&amp;"-"&amp;IF(AND(WEEKDAY(A2619)&gt;1,WEEKDAY(A2619)&lt;7),"Wkd",TEXT(A2619,"Ddd"))&amp;"-"&amp;TEXT(A2619,"hh"),LoadTable[],5,FALSE)*0.92</f>
        <v>180.62544</v>
      </c>
      <c r="U2619" s="104">
        <f>VLOOKUP(TEXT(A2619,"yy-mm")&amp;"-"&amp;IF(AND(WEEKDAY(A2619)&gt;1,WEEKDAY(A2619)&lt;7),"Wkd",TEXT(A2619,"Ddd"))&amp;"-"&amp;TEXT(A2619,"hh"),LoadTable[],6,FALSE)*T2619</f>
        <v>8132.4798105600003</v>
      </c>
      <c r="V2619">
        <f t="shared" ref="V2619:W2619" si="2796">V2595</f>
        <v>3</v>
      </c>
      <c r="W2619">
        <f t="shared" si="2796"/>
        <v>3.2</v>
      </c>
      <c r="X2619" s="9">
        <v>-142.95198466667301</v>
      </c>
    </row>
    <row r="2620" spans="1:24">
      <c r="A2620" s="29">
        <f t="shared" si="2737"/>
        <v>45945.04166666032</v>
      </c>
      <c r="B2620" s="30">
        <f t="shared" si="2761"/>
        <v>5000</v>
      </c>
      <c r="C2620" s="8">
        <v>25000</v>
      </c>
      <c r="D2620" s="8">
        <v>0</v>
      </c>
      <c r="E2620" s="8">
        <v>700</v>
      </c>
      <c r="F2620" s="8">
        <v>15000</v>
      </c>
      <c r="G2620" s="30">
        <f t="shared" si="2762"/>
        <v>2400</v>
      </c>
      <c r="H2620" s="8">
        <v>25000</v>
      </c>
      <c r="I2620" s="30">
        <f t="shared" si="2763"/>
        <v>5000</v>
      </c>
      <c r="J2620" s="8">
        <v>25000</v>
      </c>
      <c r="K2620" s="30">
        <f t="shared" si="2764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VLOOKUP(VLOOKUP(DATEVALUE(TEXT(A2620,"m/d/yyyy")),FY24_Temp[],5,FALSE)&amp;TEXT(A2620,"-h"),Table6[],4,FALSE)</f>
        <v>1.2795714139938354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VLOOKUP(TEXT(A2620,"yy-mm")&amp;"-"&amp;IF(AND(WEEKDAY(A2620)&gt;1,WEEKDAY(A2620)&lt;7),"Wkd",TEXT(A2620,"Ddd"))&amp;"-"&amp;TEXT(A2620,"hh"),LoadTable[],5,FALSE)*0.92</f>
        <v>180.62544</v>
      </c>
      <c r="U2620" s="104">
        <f>VLOOKUP(TEXT(A2620,"yy-mm")&amp;"-"&amp;IF(AND(WEEKDAY(A2620)&gt;1,WEEKDAY(A2620)&lt;7),"Wkd",TEXT(A2620,"Ddd"))&amp;"-"&amp;TEXT(A2620,"hh"),LoadTable[],6,FALSE)*T2620</f>
        <v>8124.71291664</v>
      </c>
      <c r="V2620">
        <f t="shared" ref="V2620:W2620" si="2797">V2596</f>
        <v>2.6</v>
      </c>
      <c r="W2620">
        <f t="shared" si="2797"/>
        <v>3.2</v>
      </c>
      <c r="X2620" s="9">
        <v>-143.02977921667301</v>
      </c>
    </row>
    <row r="2621" spans="1:24">
      <c r="A2621" s="29">
        <f t="shared" si="2737"/>
        <v>45945.083333326984</v>
      </c>
      <c r="B2621" s="30">
        <f t="shared" si="2761"/>
        <v>5000</v>
      </c>
      <c r="C2621" s="8">
        <v>25000</v>
      </c>
      <c r="D2621" s="8">
        <v>0</v>
      </c>
      <c r="E2621" s="8">
        <v>700</v>
      </c>
      <c r="F2621" s="8">
        <v>15000</v>
      </c>
      <c r="G2621" s="30">
        <f t="shared" si="2762"/>
        <v>2400</v>
      </c>
      <c r="H2621" s="8">
        <v>25000</v>
      </c>
      <c r="I2621" s="30">
        <f t="shared" si="2763"/>
        <v>5000</v>
      </c>
      <c r="J2621" s="8">
        <v>25000</v>
      </c>
      <c r="K2621" s="30">
        <f t="shared" si="2764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VLOOKUP(VLOOKUP(DATEVALUE(TEXT(A2621,"m/d/yyyy")),FY24_Temp[],5,FALSE)&amp;TEXT(A2621,"-h"),Table6[],4,FALSE)</f>
        <v>1.2324285677501134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VLOOKUP(TEXT(A2621,"yy-mm")&amp;"-"&amp;IF(AND(WEEKDAY(A2621)&gt;1,WEEKDAY(A2621)&lt;7),"Wkd",TEXT(A2621,"Ddd"))&amp;"-"&amp;TEXT(A2621,"hh"),LoadTable[],5,FALSE)*0.92</f>
        <v>180.62544</v>
      </c>
      <c r="U2621" s="104">
        <f>VLOOKUP(TEXT(A2621,"yy-mm")&amp;"-"&amp;IF(AND(WEEKDAY(A2621)&gt;1,WEEKDAY(A2621)&lt;7),"Wkd",TEXT(A2621,"Ddd"))&amp;"-"&amp;TEXT(A2621,"hh"),LoadTable[],6,FALSE)*T2621</f>
        <v>8120.1972806400008</v>
      </c>
      <c r="V2621">
        <f t="shared" ref="V2621:W2621" si="2798">V2597</f>
        <v>2.8</v>
      </c>
      <c r="W2621">
        <f t="shared" si="2798"/>
        <v>3.2</v>
      </c>
      <c r="X2621" s="9">
        <v>-143.107573766673</v>
      </c>
    </row>
    <row r="2622" spans="1:24">
      <c r="A2622" s="29">
        <f t="shared" si="2737"/>
        <v>45945.124999993648</v>
      </c>
      <c r="B2622" s="30">
        <f t="shared" si="2761"/>
        <v>5000</v>
      </c>
      <c r="C2622" s="8">
        <v>25000</v>
      </c>
      <c r="D2622" s="8">
        <v>0</v>
      </c>
      <c r="E2622" s="8">
        <v>700</v>
      </c>
      <c r="F2622" s="8">
        <v>15000</v>
      </c>
      <c r="G2622" s="30">
        <f t="shared" si="2762"/>
        <v>2400</v>
      </c>
      <c r="H2622" s="8">
        <v>25000</v>
      </c>
      <c r="I2622" s="30">
        <f t="shared" si="2763"/>
        <v>5000</v>
      </c>
      <c r="J2622" s="8">
        <v>25000</v>
      </c>
      <c r="K2622" s="30">
        <f t="shared" si="2764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VLOOKUP(VLOOKUP(DATEVALUE(TEXT(A2622,"m/d/yyyy")),FY24_Temp[],5,FALSE)&amp;TEXT(A2622,"-h"),Table6[],4,FALSE)</f>
        <v>1.132857152393886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VLOOKUP(TEXT(A2622,"yy-mm")&amp;"-"&amp;IF(AND(WEEKDAY(A2622)&gt;1,WEEKDAY(A2622)&lt;7),"Wkd",TEXT(A2622,"Ddd"))&amp;"-"&amp;TEXT(A2622,"hh"),LoadTable[],5,FALSE)*0.92</f>
        <v>180.62544</v>
      </c>
      <c r="U2622" s="104">
        <f>VLOOKUP(TEXT(A2622,"yy-mm")&amp;"-"&amp;IF(AND(WEEKDAY(A2622)&gt;1,WEEKDAY(A2622)&lt;7),"Wkd",TEXT(A2622,"Ddd"))&amp;"-"&amp;TEXT(A2622,"hh"),LoadTable[],6,FALSE)*T2622</f>
        <v>8141.3304571199997</v>
      </c>
      <c r="V2622">
        <f t="shared" ref="V2622:W2622" si="2799">V2598</f>
        <v>2.7</v>
      </c>
      <c r="W2622">
        <f t="shared" si="2799"/>
        <v>3.2</v>
      </c>
      <c r="X2622" s="9">
        <v>-143.18536831667299</v>
      </c>
    </row>
    <row r="2623" spans="1:24">
      <c r="A2623" s="29">
        <f t="shared" si="2737"/>
        <v>45945.166666660312</v>
      </c>
      <c r="B2623" s="30">
        <f t="shared" si="2761"/>
        <v>5000</v>
      </c>
      <c r="C2623" s="8">
        <v>25000</v>
      </c>
      <c r="D2623" s="8">
        <v>0</v>
      </c>
      <c r="E2623" s="8">
        <v>700</v>
      </c>
      <c r="F2623" s="8">
        <v>15000</v>
      </c>
      <c r="G2623" s="30">
        <f t="shared" si="2762"/>
        <v>2400</v>
      </c>
      <c r="H2623" s="8">
        <v>25000</v>
      </c>
      <c r="I2623" s="30">
        <f t="shared" si="2763"/>
        <v>5000</v>
      </c>
      <c r="J2623" s="8">
        <v>25000</v>
      </c>
      <c r="K2623" s="30">
        <f t="shared" si="2764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VLOOKUP(VLOOKUP(DATEVALUE(TEXT(A2623,"m/d/yyyy")),FY24_Temp[],5,FALSE)&amp;TEXT(A2623,"-h"),Table6[],4,FALSE)</f>
        <v>1.0471428547586714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VLOOKUP(TEXT(A2623,"yy-mm")&amp;"-"&amp;IF(AND(WEEKDAY(A2623)&gt;1,WEEKDAY(A2623)&lt;7),"Wkd",TEXT(A2623,"Ddd"))&amp;"-"&amp;TEXT(A2623,"hh"),LoadTable[],5,FALSE)*0.92</f>
        <v>180.62544</v>
      </c>
      <c r="U2623" s="104">
        <f>VLOOKUP(TEXT(A2623,"yy-mm")&amp;"-"&amp;IF(AND(WEEKDAY(A2623)&gt;1,WEEKDAY(A2623)&lt;7),"Wkd",TEXT(A2623,"Ddd"))&amp;"-"&amp;TEXT(A2623,"hh"),LoadTable[],6,FALSE)*T2623</f>
        <v>8184.86118816</v>
      </c>
      <c r="V2623">
        <f t="shared" ref="V2623:W2623" si="2800">V2599</f>
        <v>3</v>
      </c>
      <c r="W2623">
        <f t="shared" si="2800"/>
        <v>3.1</v>
      </c>
      <c r="X2623" s="9">
        <v>-143.26316286667301</v>
      </c>
    </row>
    <row r="2624" spans="1:24">
      <c r="A2624" s="29">
        <f t="shared" si="2737"/>
        <v>45945.208333326977</v>
      </c>
      <c r="B2624" s="30">
        <f t="shared" si="2761"/>
        <v>5000</v>
      </c>
      <c r="C2624" s="8">
        <v>25000</v>
      </c>
      <c r="D2624" s="8">
        <v>0</v>
      </c>
      <c r="E2624" s="8">
        <v>700</v>
      </c>
      <c r="F2624" s="8">
        <v>15000</v>
      </c>
      <c r="G2624" s="30">
        <f t="shared" si="2762"/>
        <v>2400</v>
      </c>
      <c r="H2624" s="8">
        <v>25000</v>
      </c>
      <c r="I2624" s="30">
        <f t="shared" si="2763"/>
        <v>5000</v>
      </c>
      <c r="J2624" s="8">
        <v>25000</v>
      </c>
      <c r="K2624" s="30">
        <f t="shared" si="2764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VLOOKUP(VLOOKUP(DATEVALUE(TEXT(A2624,"m/d/yyyy")),FY24_Temp[],5,FALSE)&amp;TEXT(A2624,"-h"),Table6[],4,FALSE)</f>
        <v>1.0077142885753088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VLOOKUP(TEXT(A2624,"yy-mm")&amp;"-"&amp;IF(AND(WEEKDAY(A2624)&gt;1,WEEKDAY(A2624)&lt;7),"Wkd",TEXT(A2624,"Ddd"))&amp;"-"&amp;TEXT(A2624,"hh"),LoadTable[],5,FALSE)*0.92</f>
        <v>275.09195999999997</v>
      </c>
      <c r="U2624" s="104">
        <f>VLOOKUP(TEXT(A2624,"yy-mm")&amp;"-"&amp;IF(AND(WEEKDAY(A2624)&gt;1,WEEKDAY(A2624)&lt;7),"Wkd",TEXT(A2624,"Ddd"))&amp;"-"&amp;TEXT(A2624,"hh"),LoadTable[],6,FALSE)*T2624</f>
        <v>12729.880448999998</v>
      </c>
      <c r="V2624">
        <f t="shared" ref="V2624:W2624" si="2801">V2600</f>
        <v>2.9</v>
      </c>
      <c r="W2624">
        <f t="shared" si="2801"/>
        <v>3.1</v>
      </c>
      <c r="X2624" s="9">
        <v>-143.34095741667301</v>
      </c>
    </row>
    <row r="2625" spans="1:24">
      <c r="A2625" s="29">
        <f t="shared" si="2737"/>
        <v>45945.249999993641</v>
      </c>
      <c r="B2625" s="30">
        <f t="shared" si="2761"/>
        <v>8000</v>
      </c>
      <c r="C2625" s="8">
        <v>25000</v>
      </c>
      <c r="D2625" s="8">
        <v>0</v>
      </c>
      <c r="E2625" s="8">
        <v>700</v>
      </c>
      <c r="F2625" s="8">
        <v>15000</v>
      </c>
      <c r="G2625" s="30">
        <f t="shared" si="2762"/>
        <v>2400</v>
      </c>
      <c r="H2625" s="8">
        <v>25000</v>
      </c>
      <c r="I2625" s="30">
        <f t="shared" si="2763"/>
        <v>8000</v>
      </c>
      <c r="J2625" s="8">
        <v>25000</v>
      </c>
      <c r="K2625" s="30">
        <f t="shared" si="2764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VLOOKUP(VLOOKUP(DATEVALUE(TEXT(A2625,"m/d/yyyy")),FY24_Temp[],5,FALSE)&amp;TEXT(A2625,"-h"),Table6[],4,FALSE)</f>
        <v>0.85642857210976742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VLOOKUP(TEXT(A2625,"yy-mm")&amp;"-"&amp;IF(AND(WEEKDAY(A2625)&gt;1,WEEKDAY(A2625)&lt;7),"Wkd",TEXT(A2625,"Ddd"))&amp;"-"&amp;TEXT(A2625,"hh"),LoadTable[],5,FALSE)*0.92</f>
        <v>275.09195999999997</v>
      </c>
      <c r="U2625" s="104">
        <f>VLOOKUP(TEXT(A2625,"yy-mm")&amp;"-"&amp;IF(AND(WEEKDAY(A2625)&gt;1,WEEKDAY(A2625)&lt;7),"Wkd",TEXT(A2625,"Ddd"))&amp;"-"&amp;TEXT(A2625,"hh"),LoadTable[],6,FALSE)*T2625</f>
        <v>13284.465840359997</v>
      </c>
      <c r="V2625">
        <f t="shared" ref="V2625:W2625" si="2802">V2601</f>
        <v>2.5</v>
      </c>
      <c r="W2625">
        <f t="shared" si="2802"/>
        <v>3.1</v>
      </c>
      <c r="X2625" s="9">
        <v>-143.418751966673</v>
      </c>
    </row>
    <row r="2626" spans="1:24">
      <c r="A2626" s="29">
        <f t="shared" si="2737"/>
        <v>45945.291666660305</v>
      </c>
      <c r="B2626" s="30">
        <f t="shared" si="2761"/>
        <v>8000</v>
      </c>
      <c r="C2626" s="8">
        <v>25000</v>
      </c>
      <c r="D2626" s="8">
        <v>0</v>
      </c>
      <c r="E2626" s="8">
        <v>700</v>
      </c>
      <c r="F2626" s="8">
        <v>15000</v>
      </c>
      <c r="G2626" s="30">
        <f t="shared" si="2762"/>
        <v>2400</v>
      </c>
      <c r="H2626" s="8">
        <v>25000</v>
      </c>
      <c r="I2626" s="30">
        <f t="shared" si="2763"/>
        <v>8000</v>
      </c>
      <c r="J2626" s="8">
        <v>25000</v>
      </c>
      <c r="K2626" s="30">
        <f t="shared" si="2764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VLOOKUP(VLOOKUP(DATEVALUE(TEXT(A2626,"m/d/yyyy")),FY24_Temp[],5,FALSE)&amp;TEXT(A2626,"-h"),Table6[],4,FALSE)</f>
        <v>0.70771429368427818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VLOOKUP(TEXT(A2626,"yy-mm")&amp;"-"&amp;IF(AND(WEEKDAY(A2626)&gt;1,WEEKDAY(A2626)&lt;7),"Wkd",TEXT(A2626,"Ddd"))&amp;"-"&amp;TEXT(A2626,"hh"),LoadTable[],5,FALSE)*0.92</f>
        <v>236.10788000000002</v>
      </c>
      <c r="U2626" s="104">
        <f>VLOOKUP(TEXT(A2626,"yy-mm")&amp;"-"&amp;IF(AND(WEEKDAY(A2626)&gt;1,WEEKDAY(A2626)&lt;7),"Wkd",TEXT(A2626,"Ddd"))&amp;"-"&amp;TEXT(A2626,"hh"),LoadTable[],6,FALSE)*T2626</f>
        <v>11438.48235448</v>
      </c>
      <c r="V2626">
        <f t="shared" ref="V2626:W2626" si="2803">V2602</f>
        <v>2.5</v>
      </c>
      <c r="W2626">
        <f t="shared" si="2803"/>
        <v>3.1</v>
      </c>
      <c r="X2626" s="9">
        <v>-143.49654651667299</v>
      </c>
    </row>
    <row r="2627" spans="1:24">
      <c r="A2627" s="29">
        <f t="shared" si="2737"/>
        <v>45945.333333326969</v>
      </c>
      <c r="B2627" s="30">
        <f t="shared" si="2761"/>
        <v>8000</v>
      </c>
      <c r="C2627" s="8">
        <v>25000</v>
      </c>
      <c r="D2627" s="8">
        <v>0</v>
      </c>
      <c r="E2627" s="8">
        <v>700</v>
      </c>
      <c r="F2627" s="8">
        <v>15000</v>
      </c>
      <c r="G2627" s="30">
        <f t="shared" si="2762"/>
        <v>2400</v>
      </c>
      <c r="H2627" s="8">
        <v>25000</v>
      </c>
      <c r="I2627" s="30">
        <f t="shared" si="2763"/>
        <v>8000</v>
      </c>
      <c r="J2627" s="8">
        <v>25000</v>
      </c>
      <c r="K2627" s="30">
        <f t="shared" si="2764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VLOOKUP(VLOOKUP(DATEVALUE(TEXT(A2627,"m/d/yyyy")),FY24_Temp[],5,FALSE)&amp;TEXT(A2627,"-h"),Table6[],4,FALSE)</f>
        <v>0.6007142875875745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VLOOKUP(TEXT(A2627,"yy-mm")&amp;"-"&amp;IF(AND(WEEKDAY(A2627)&gt;1,WEEKDAY(A2627)&lt;7),"Wkd",TEXT(A2627,"Ddd"))&amp;"-"&amp;TEXT(A2627,"hh"),LoadTable[],5,FALSE)*0.92</f>
        <v>236.10788000000002</v>
      </c>
      <c r="U2627" s="104">
        <f>VLOOKUP(TEXT(A2627,"yy-mm")&amp;"-"&amp;IF(AND(WEEKDAY(A2627)&gt;1,WEEKDAY(A2627)&lt;7),"Wkd",TEXT(A2627,"Ddd"))&amp;"-"&amp;TEXT(A2627,"hh"),LoadTable[],6,FALSE)*T2627</f>
        <v>10919.281126360002</v>
      </c>
      <c r="V2627">
        <f t="shared" ref="V2627:W2627" si="2804">V2603</f>
        <v>3.2</v>
      </c>
      <c r="W2627">
        <f t="shared" si="2804"/>
        <v>3</v>
      </c>
      <c r="X2627" s="9">
        <v>-143.57434106667301</v>
      </c>
    </row>
    <row r="2628" spans="1:24">
      <c r="A2628" s="29">
        <f t="shared" si="2737"/>
        <v>45945.374999993634</v>
      </c>
      <c r="B2628" s="30">
        <f t="shared" si="2761"/>
        <v>8000</v>
      </c>
      <c r="C2628" s="8">
        <v>25000</v>
      </c>
      <c r="D2628" s="8">
        <v>0</v>
      </c>
      <c r="E2628" s="8">
        <v>700</v>
      </c>
      <c r="F2628" s="8">
        <v>15000</v>
      </c>
      <c r="G2628" s="30">
        <f t="shared" si="2762"/>
        <v>2400</v>
      </c>
      <c r="H2628" s="8">
        <v>25000</v>
      </c>
      <c r="I2628" s="30">
        <f t="shared" si="2763"/>
        <v>8000</v>
      </c>
      <c r="J2628" s="8">
        <v>25000</v>
      </c>
      <c r="K2628" s="30">
        <f t="shared" si="2764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VLOOKUP(VLOOKUP(DATEVALUE(TEXT(A2628,"m/d/yyyy")),FY24_Temp[],5,FALSE)&amp;TEXT(A2628,"-h"),Table6[],4,FALSE)</f>
        <v>0.50428572722843712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VLOOKUP(TEXT(A2628,"yy-mm")&amp;"-"&amp;IF(AND(WEEKDAY(A2628)&gt;1,WEEKDAY(A2628)&lt;7),"Wkd",TEXT(A2628,"Ddd"))&amp;"-"&amp;TEXT(A2628,"hh"),LoadTable[],5,FALSE)*0.92</f>
        <v>236.10788000000002</v>
      </c>
      <c r="U2628" s="104">
        <f>VLOOKUP(TEXT(A2628,"yy-mm")&amp;"-"&amp;IF(AND(WEEKDAY(A2628)&gt;1,WEEKDAY(A2628)&lt;7),"Wkd",TEXT(A2628,"Ddd"))&amp;"-"&amp;TEXT(A2628,"hh"),LoadTable[],6,FALSE)*T2628</f>
        <v>10592.271712560001</v>
      </c>
      <c r="V2628">
        <f t="shared" ref="V2628:W2628" si="2805">V2604</f>
        <v>2.9</v>
      </c>
      <c r="W2628">
        <f t="shared" si="2805"/>
        <v>3</v>
      </c>
      <c r="X2628" s="9">
        <v>-143.65213561667301</v>
      </c>
    </row>
    <row r="2629" spans="1:24">
      <c r="A2629" s="29">
        <f t="shared" ref="A2629:A2692" si="2806">A2628+TIME(1,0,0)</f>
        <v>45945.416666660298</v>
      </c>
      <c r="B2629" s="30">
        <f t="shared" si="2761"/>
        <v>8000</v>
      </c>
      <c r="C2629" s="8">
        <v>25000</v>
      </c>
      <c r="D2629" s="8">
        <v>0</v>
      </c>
      <c r="E2629" s="8">
        <v>700</v>
      </c>
      <c r="F2629" s="8">
        <v>15000</v>
      </c>
      <c r="G2629" s="30">
        <f t="shared" si="2762"/>
        <v>2400</v>
      </c>
      <c r="H2629" s="8">
        <v>25000</v>
      </c>
      <c r="I2629" s="30">
        <f t="shared" si="2763"/>
        <v>8000</v>
      </c>
      <c r="J2629" s="8">
        <v>25000</v>
      </c>
      <c r="K2629" s="30">
        <f t="shared" si="2764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VLOOKUP(VLOOKUP(DATEVALUE(TEXT(A2629,"m/d/yyyy")),FY24_Temp[],5,FALSE)&amp;TEXT(A2629,"-h"),Table6[],4,FALSE)</f>
        <v>0.40428571828774046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VLOOKUP(TEXT(A2629,"yy-mm")&amp;"-"&amp;IF(AND(WEEKDAY(A2629)&gt;1,WEEKDAY(A2629)&lt;7),"Wkd",TEXT(A2629,"Ddd"))&amp;"-"&amp;TEXT(A2629,"hh"),LoadTable[],5,FALSE)*0.92</f>
        <v>236.10788000000002</v>
      </c>
      <c r="U2629" s="104">
        <f>VLOOKUP(TEXT(A2629,"yy-mm")&amp;"-"&amp;IF(AND(WEEKDAY(A2629)&gt;1,WEEKDAY(A2629)&lt;7),"Wkd",TEXT(A2629,"Ddd"))&amp;"-"&amp;TEXT(A2629,"hh"),LoadTable[],6,FALSE)*T2629</f>
        <v>10565.591522120001</v>
      </c>
      <c r="V2629">
        <f t="shared" ref="V2629:W2629" si="2807">V2605</f>
        <v>2.9</v>
      </c>
      <c r="W2629">
        <f t="shared" si="2807"/>
        <v>3</v>
      </c>
      <c r="X2629" s="9">
        <v>-143.729930166673</v>
      </c>
    </row>
    <row r="2630" spans="1:24">
      <c r="A2630" s="29">
        <f t="shared" si="2806"/>
        <v>45945.458333326962</v>
      </c>
      <c r="B2630" s="30">
        <f t="shared" si="2761"/>
        <v>8000</v>
      </c>
      <c r="C2630" s="8">
        <v>25000</v>
      </c>
      <c r="D2630" s="8">
        <v>0</v>
      </c>
      <c r="E2630" s="8">
        <v>700</v>
      </c>
      <c r="F2630" s="8">
        <v>15000</v>
      </c>
      <c r="G2630" s="30">
        <f t="shared" si="2762"/>
        <v>2400</v>
      </c>
      <c r="H2630" s="8">
        <v>25000</v>
      </c>
      <c r="I2630" s="30">
        <f t="shared" si="2763"/>
        <v>8000</v>
      </c>
      <c r="J2630" s="8">
        <v>25000</v>
      </c>
      <c r="K2630" s="30">
        <f t="shared" si="2764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VLOOKUP(VLOOKUP(DATEVALUE(TEXT(A2630,"m/d/yyyy")),FY24_Temp[],5,FALSE)&amp;TEXT(A2630,"-h"),Table6[],4,FALSE)</f>
        <v>0.29914285136120661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VLOOKUP(TEXT(A2630,"yy-mm")&amp;"-"&amp;IF(AND(WEEKDAY(A2630)&gt;1,WEEKDAY(A2630)&lt;7),"Wkd",TEXT(A2630,"Ddd"))&amp;"-"&amp;TEXT(A2630,"hh"),LoadTable[],5,FALSE)*0.92</f>
        <v>236.10788000000002</v>
      </c>
      <c r="U2630" s="104">
        <f>VLOOKUP(TEXT(A2630,"yy-mm")&amp;"-"&amp;IF(AND(WEEKDAY(A2630)&gt;1,WEEKDAY(A2630)&lt;7),"Wkd",TEXT(A2630,"Ddd"))&amp;"-"&amp;TEXT(A2630,"hh"),LoadTable[],6,FALSE)*T2630</f>
        <v>10548.355646880002</v>
      </c>
      <c r="V2630">
        <f t="shared" ref="V2630:W2630" si="2808">V2606</f>
        <v>3.4</v>
      </c>
      <c r="W2630">
        <f t="shared" si="2808"/>
        <v>3</v>
      </c>
      <c r="X2630" s="9">
        <v>-143.80772471667299</v>
      </c>
    </row>
    <row r="2631" spans="1:24">
      <c r="A2631" s="29">
        <f t="shared" si="2806"/>
        <v>45945.499999993626</v>
      </c>
      <c r="B2631" s="30">
        <f t="shared" si="2761"/>
        <v>8000</v>
      </c>
      <c r="C2631" s="8">
        <v>25000</v>
      </c>
      <c r="D2631" s="8">
        <v>0</v>
      </c>
      <c r="E2631" s="8">
        <v>700</v>
      </c>
      <c r="F2631" s="8">
        <v>15000</v>
      </c>
      <c r="G2631" s="30">
        <f t="shared" si="2762"/>
        <v>2400</v>
      </c>
      <c r="H2631" s="8">
        <v>25000</v>
      </c>
      <c r="I2631" s="30">
        <f t="shared" si="2763"/>
        <v>8000</v>
      </c>
      <c r="J2631" s="8">
        <v>25000</v>
      </c>
      <c r="K2631" s="30">
        <f t="shared" si="2764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VLOOKUP(VLOOKUP(DATEVALUE(TEXT(A2631,"m/d/yyyy")),FY24_Temp[],5,FALSE)&amp;TEXT(A2631,"-h"),Table6[],4,FALSE)</f>
        <v>0.19471428463501589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VLOOKUP(TEXT(A2631,"yy-mm")&amp;"-"&amp;IF(AND(WEEKDAY(A2631)&gt;1,WEEKDAY(A2631)&lt;7),"Wkd",TEXT(A2631,"Ddd"))&amp;"-"&amp;TEXT(A2631,"hh"),LoadTable[],5,FALSE)*0.92</f>
        <v>236.10788000000002</v>
      </c>
      <c r="U2631" s="104">
        <f>VLOOKUP(TEXT(A2631,"yy-mm")&amp;"-"&amp;IF(AND(WEEKDAY(A2631)&gt;1,WEEKDAY(A2631)&lt;7),"Wkd",TEXT(A2631,"Ddd"))&amp;"-"&amp;TEXT(A2631,"hh"),LoadTable[],6,FALSE)*T2631</f>
        <v>10540.327978960002</v>
      </c>
      <c r="V2631">
        <f t="shared" ref="V2631:W2631" si="2809">V2607</f>
        <v>3.1</v>
      </c>
      <c r="W2631">
        <f t="shared" si="2809"/>
        <v>2.9</v>
      </c>
      <c r="X2631" s="9">
        <v>-143.88551926667299</v>
      </c>
    </row>
    <row r="2632" spans="1:24">
      <c r="A2632" s="29">
        <f t="shared" si="2806"/>
        <v>45945.541666660291</v>
      </c>
      <c r="B2632" s="30">
        <f t="shared" si="2761"/>
        <v>8000</v>
      </c>
      <c r="C2632" s="8">
        <v>25000</v>
      </c>
      <c r="D2632" s="8">
        <v>0</v>
      </c>
      <c r="E2632" s="8">
        <v>700</v>
      </c>
      <c r="F2632" s="8">
        <v>15000</v>
      </c>
      <c r="G2632" s="30">
        <f t="shared" si="2762"/>
        <v>2400</v>
      </c>
      <c r="H2632" s="8">
        <v>25000</v>
      </c>
      <c r="I2632" s="30">
        <f t="shared" si="2763"/>
        <v>8000</v>
      </c>
      <c r="J2632" s="8">
        <v>25000</v>
      </c>
      <c r="K2632" s="30">
        <f t="shared" si="2764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VLOOKUP(VLOOKUP(DATEVALUE(TEXT(A2632,"m/d/yyyy")),FY24_Temp[],5,FALSE)&amp;TEXT(A2632,"-h"),Table6[],4,FALSE)</f>
        <v>0.10557143097477299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VLOOKUP(TEXT(A2632,"yy-mm")&amp;"-"&amp;IF(AND(WEEKDAY(A2632)&gt;1,WEEKDAY(A2632)&lt;7),"Wkd",TEXT(A2632,"Ddd"))&amp;"-"&amp;TEXT(A2632,"hh"),LoadTable[],5,FALSE)*0.92</f>
        <v>236.10788000000002</v>
      </c>
      <c r="U2632" s="104">
        <f>VLOOKUP(TEXT(A2632,"yy-mm")&amp;"-"&amp;IF(AND(WEEKDAY(A2632)&gt;1,WEEKDAY(A2632)&lt;7),"Wkd",TEXT(A2632,"Ddd"))&amp;"-"&amp;TEXT(A2632,"hh"),LoadTable[],6,FALSE)*T2632</f>
        <v>10541.50851836</v>
      </c>
      <c r="V2632">
        <f t="shared" ref="V2632:W2632" si="2810">V2608</f>
        <v>3.2</v>
      </c>
      <c r="W2632">
        <f t="shared" si="2810"/>
        <v>2.9</v>
      </c>
      <c r="X2632" s="9">
        <v>-143.96331381667301</v>
      </c>
    </row>
    <row r="2633" spans="1:24">
      <c r="A2633" s="29">
        <f t="shared" si="2806"/>
        <v>45945.583333326955</v>
      </c>
      <c r="B2633" s="30">
        <f t="shared" si="2761"/>
        <v>8000</v>
      </c>
      <c r="C2633" s="8">
        <v>25000</v>
      </c>
      <c r="D2633" s="8">
        <v>0</v>
      </c>
      <c r="E2633" s="8">
        <v>700</v>
      </c>
      <c r="F2633" s="8">
        <v>15000</v>
      </c>
      <c r="G2633" s="30">
        <f t="shared" si="2762"/>
        <v>2400</v>
      </c>
      <c r="H2633" s="8">
        <v>25000</v>
      </c>
      <c r="I2633" s="30">
        <f t="shared" si="2763"/>
        <v>8000</v>
      </c>
      <c r="J2633" s="8">
        <v>25000</v>
      </c>
      <c r="K2633" s="30">
        <f t="shared" si="2764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VLOOKUP(VLOOKUP(DATEVALUE(TEXT(A2633,"m/d/yyyy")),FY24_Temp[],5,FALSE)&amp;TEXT(A2633,"-h"),Table6[],4,FALSE)</f>
        <v>7.8714286110230861E-2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VLOOKUP(TEXT(A2633,"yy-mm")&amp;"-"&amp;IF(AND(WEEKDAY(A2633)&gt;1,WEEKDAY(A2633)&lt;7),"Wkd",TEXT(A2633,"Ddd"))&amp;"-"&amp;TEXT(A2633,"hh"),LoadTable[],5,FALSE)*0.92</f>
        <v>236.10788000000002</v>
      </c>
      <c r="U2633" s="104">
        <f>VLOOKUP(TEXT(A2633,"yy-mm")&amp;"-"&amp;IF(AND(WEEKDAY(A2633)&gt;1,WEEKDAY(A2633)&lt;7),"Wkd",TEXT(A2633,"Ddd"))&amp;"-"&amp;TEXT(A2633,"hh"),LoadTable[],6,FALSE)*T2633</f>
        <v>10551.188941440001</v>
      </c>
      <c r="V2633">
        <f t="shared" ref="V2633:W2633" si="2811">V2609</f>
        <v>3.5</v>
      </c>
      <c r="W2633">
        <f t="shared" si="2811"/>
        <v>2.9</v>
      </c>
      <c r="X2633" s="9">
        <v>-144.041108366673</v>
      </c>
    </row>
    <row r="2634" spans="1:24">
      <c r="A2634" s="29">
        <f t="shared" si="2806"/>
        <v>45945.624999993619</v>
      </c>
      <c r="B2634" s="30">
        <f t="shared" si="2761"/>
        <v>8000</v>
      </c>
      <c r="C2634" s="8">
        <v>25000</v>
      </c>
      <c r="D2634" s="8">
        <v>0</v>
      </c>
      <c r="E2634" s="8">
        <v>700</v>
      </c>
      <c r="F2634" s="8">
        <v>15000</v>
      </c>
      <c r="G2634" s="30">
        <f t="shared" si="2762"/>
        <v>2400</v>
      </c>
      <c r="H2634" s="8">
        <v>25000</v>
      </c>
      <c r="I2634" s="30">
        <f t="shared" si="2763"/>
        <v>8000</v>
      </c>
      <c r="J2634" s="8">
        <v>25000</v>
      </c>
      <c r="K2634" s="30">
        <f t="shared" si="2764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VLOOKUP(VLOOKUP(DATEVALUE(TEXT(A2634,"m/d/yyyy")),FY24_Temp[],5,FALSE)&amp;TEXT(A2634,"-h"),Table6[],4,FALSE)</f>
        <v>0.20828571436660631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VLOOKUP(TEXT(A2634,"yy-mm")&amp;"-"&amp;IF(AND(WEEKDAY(A2634)&gt;1,WEEKDAY(A2634)&lt;7),"Wkd",TEXT(A2634,"Ddd"))&amp;"-"&amp;TEXT(A2634,"hh"),LoadTable[],5,FALSE)*0.92</f>
        <v>236.10788000000002</v>
      </c>
      <c r="U2634" s="104">
        <f>VLOOKUP(TEXT(A2634,"yy-mm")&amp;"-"&amp;IF(AND(WEEKDAY(A2634)&gt;1,WEEKDAY(A2634)&lt;7),"Wkd",TEXT(A2634,"Ddd"))&amp;"-"&amp;TEXT(A2634,"hh"),LoadTable[],6,FALSE)*T2634</f>
        <v>10572.202542760002</v>
      </c>
      <c r="V2634">
        <f t="shared" ref="V2634:W2634" si="2812">V2610</f>
        <v>3.2</v>
      </c>
      <c r="W2634">
        <f t="shared" si="2812"/>
        <v>2.9</v>
      </c>
      <c r="X2634" s="9">
        <v>-144.11890291667299</v>
      </c>
    </row>
    <row r="2635" spans="1:24">
      <c r="A2635" s="29">
        <f t="shared" si="2806"/>
        <v>45945.666666660283</v>
      </c>
      <c r="B2635" s="30">
        <f t="shared" si="2761"/>
        <v>8000</v>
      </c>
      <c r="C2635" s="8">
        <v>25000</v>
      </c>
      <c r="D2635" s="8">
        <v>0</v>
      </c>
      <c r="E2635" s="8">
        <v>700</v>
      </c>
      <c r="F2635" s="8">
        <v>15000</v>
      </c>
      <c r="G2635" s="30">
        <f t="shared" si="2762"/>
        <v>2400</v>
      </c>
      <c r="H2635" s="8">
        <v>25000</v>
      </c>
      <c r="I2635" s="30">
        <f t="shared" si="2763"/>
        <v>8000</v>
      </c>
      <c r="J2635" s="8">
        <v>25000</v>
      </c>
      <c r="K2635" s="30">
        <f t="shared" si="2764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VLOOKUP(VLOOKUP(DATEVALUE(TEXT(A2635,"m/d/yyyy")),FY24_Temp[],5,FALSE)&amp;TEXT(A2635,"-h"),Table6[],4,FALSE)</f>
        <v>0.47971428292138235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VLOOKUP(TEXT(A2635,"yy-mm")&amp;"-"&amp;IF(AND(WEEKDAY(A2635)&gt;1,WEEKDAY(A2635)&lt;7),"Wkd",TEXT(A2635,"Ddd"))&amp;"-"&amp;TEXT(A2635,"hh"),LoadTable[],5,FALSE)*0.92</f>
        <v>236.10788000000002</v>
      </c>
      <c r="U2635" s="104">
        <f>VLOOKUP(TEXT(A2635,"yy-mm")&amp;"-"&amp;IF(AND(WEEKDAY(A2635)&gt;1,WEEKDAY(A2635)&lt;7),"Wkd",TEXT(A2635,"Ddd"))&amp;"-"&amp;TEXT(A2635,"hh"),LoadTable[],6,FALSE)*T2635</f>
        <v>10648.93760376</v>
      </c>
      <c r="V2635">
        <f t="shared" ref="V2635:W2635" si="2813">V2611</f>
        <v>3.5</v>
      </c>
      <c r="W2635">
        <f t="shared" si="2813"/>
        <v>3</v>
      </c>
      <c r="X2635" s="9">
        <v>-144.19669746667299</v>
      </c>
    </row>
    <row r="2636" spans="1:24">
      <c r="A2636" s="29">
        <f t="shared" si="2806"/>
        <v>45945.708333326947</v>
      </c>
      <c r="B2636" s="30">
        <f t="shared" si="2761"/>
        <v>8000</v>
      </c>
      <c r="C2636" s="8">
        <v>25000</v>
      </c>
      <c r="D2636" s="8">
        <v>0</v>
      </c>
      <c r="E2636" s="8">
        <v>700</v>
      </c>
      <c r="F2636" s="8">
        <v>15000</v>
      </c>
      <c r="G2636" s="30">
        <f t="shared" si="2762"/>
        <v>2400</v>
      </c>
      <c r="H2636" s="8">
        <v>25000</v>
      </c>
      <c r="I2636" s="30">
        <f t="shared" si="2763"/>
        <v>8000</v>
      </c>
      <c r="J2636" s="8">
        <v>25000</v>
      </c>
      <c r="K2636" s="30">
        <f t="shared" si="2764"/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VLOOKUP(VLOOKUP(DATEVALUE(TEXT(A2636,"m/d/yyyy")),FY24_Temp[],5,FALSE)&amp;TEXT(A2636,"-h"),Table6[],4,FALSE)</f>
        <v>0.81442855937140324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VLOOKUP(TEXT(A2636,"yy-mm")&amp;"-"&amp;IF(AND(WEEKDAY(A2636)&gt;1,WEEKDAY(A2636)&lt;7),"Wkd",TEXT(A2636,"Ddd"))&amp;"-"&amp;TEXT(A2636,"hh"),LoadTable[],5,FALSE)*0.92</f>
        <v>236.10788000000002</v>
      </c>
      <c r="U2636" s="104">
        <f>VLOOKUP(TEXT(A2636,"yy-mm")&amp;"-"&amp;IF(AND(WEEKDAY(A2636)&gt;1,WEEKDAY(A2636)&lt;7),"Wkd",TEXT(A2636,"Ddd"))&amp;"-"&amp;TEXT(A2636,"hh"),LoadTable[],6,FALSE)*T2636</f>
        <v>11157.513977280001</v>
      </c>
      <c r="V2636">
        <f t="shared" ref="V2636:W2636" si="2814">V2612</f>
        <v>3.6</v>
      </c>
      <c r="W2636">
        <f t="shared" si="2814"/>
        <v>3</v>
      </c>
      <c r="X2636" s="9">
        <v>-144.27449201667301</v>
      </c>
    </row>
    <row r="2637" spans="1:24">
      <c r="A2637" s="29">
        <f t="shared" si="2806"/>
        <v>45945.749999993612</v>
      </c>
      <c r="B2637" s="30">
        <f t="shared" si="2761"/>
        <v>5000</v>
      </c>
      <c r="C2637" s="8">
        <v>25000</v>
      </c>
      <c r="D2637" s="8">
        <v>0</v>
      </c>
      <c r="E2637" s="8">
        <v>700</v>
      </c>
      <c r="F2637" s="8">
        <v>15000</v>
      </c>
      <c r="G2637" s="30">
        <f t="shared" si="2762"/>
        <v>2400</v>
      </c>
      <c r="H2637" s="8">
        <v>25000</v>
      </c>
      <c r="I2637" s="30">
        <f t="shared" si="2763"/>
        <v>5000</v>
      </c>
      <c r="J2637" s="8">
        <v>25000</v>
      </c>
      <c r="K2637" s="30">
        <f t="shared" si="2764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VLOOKUP(VLOOKUP(DATEVALUE(TEXT(A2637,"m/d/yyyy")),FY24_Temp[],5,FALSE)&amp;TEXT(A2637,"-h"),Table6[],4,FALSE)</f>
        <v>0.94428572484425133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VLOOKUP(TEXT(A2637,"yy-mm")&amp;"-"&amp;IF(AND(WEEKDAY(A2637)&gt;1,WEEKDAY(A2637)&lt;7),"Wkd",TEXT(A2637,"Ddd"))&amp;"-"&amp;TEXT(A2637,"hh"),LoadTable[],5,FALSE)*0.92</f>
        <v>308.12363999999997</v>
      </c>
      <c r="U2637" s="104">
        <f>VLOOKUP(TEXT(A2637,"yy-mm")&amp;"-"&amp;IF(AND(WEEKDAY(A2637)&gt;1,WEEKDAY(A2637)&lt;7),"Wkd",TEXT(A2637,"Ddd"))&amp;"-"&amp;TEXT(A2637,"hh"),LoadTable[],6,FALSE)*T2637</f>
        <v>15139.963175039999</v>
      </c>
      <c r="V2637">
        <f t="shared" ref="V2637:W2637" si="2815">V2613</f>
        <v>2.9</v>
      </c>
      <c r="W2637">
        <f t="shared" si="2815"/>
        <v>3</v>
      </c>
      <c r="X2637" s="9">
        <v>-144.352286566673</v>
      </c>
    </row>
    <row r="2638" spans="1:24">
      <c r="A2638" s="29">
        <f t="shared" si="2806"/>
        <v>45945.791666660276</v>
      </c>
      <c r="B2638" s="30">
        <f t="shared" si="2761"/>
        <v>5000</v>
      </c>
      <c r="C2638" s="8">
        <v>25000</v>
      </c>
      <c r="D2638" s="8">
        <v>0</v>
      </c>
      <c r="E2638" s="8">
        <v>700</v>
      </c>
      <c r="F2638" s="8">
        <v>15000</v>
      </c>
      <c r="G2638" s="30">
        <f t="shared" si="2762"/>
        <v>2400</v>
      </c>
      <c r="H2638" s="8">
        <v>25000</v>
      </c>
      <c r="I2638" s="30">
        <f t="shared" si="2763"/>
        <v>5000</v>
      </c>
      <c r="J2638" s="8">
        <v>25000</v>
      </c>
      <c r="K2638" s="30">
        <f t="shared" si="2764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VLOOKUP(VLOOKUP(DATEVALUE(TEXT(A2638,"m/d/yyyy")),FY24_Temp[],5,FALSE)&amp;TEXT(A2638,"-h"),Table6[],4,FALSE)</f>
        <v>1.0365714345659529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VLOOKUP(TEXT(A2638,"yy-mm")&amp;"-"&amp;IF(AND(WEEKDAY(A2638)&gt;1,WEEKDAY(A2638)&lt;7),"Wkd",TEXT(A2638,"Ddd"))&amp;"-"&amp;TEXT(A2638,"hh"),LoadTable[],5,FALSE)*0.92</f>
        <v>308.12363999999997</v>
      </c>
      <c r="U2638" s="104">
        <f>VLOOKUP(TEXT(A2638,"yy-mm")&amp;"-"&amp;IF(AND(WEEKDAY(A2638)&gt;1,WEEKDAY(A2638)&lt;7),"Wkd",TEXT(A2638,"Ddd"))&amp;"-"&amp;TEXT(A2638,"hh"),LoadTable[],6,FALSE)*T2638</f>
        <v>15247.806449039997</v>
      </c>
      <c r="V2638">
        <f t="shared" ref="V2638:W2638" si="2816">V2614</f>
        <v>3</v>
      </c>
      <c r="W2638">
        <f t="shared" si="2816"/>
        <v>3</v>
      </c>
      <c r="X2638" s="9">
        <v>-144.43008111667299</v>
      </c>
    </row>
    <row r="2639" spans="1:24">
      <c r="A2639" s="29">
        <f t="shared" si="2806"/>
        <v>45945.83333332694</v>
      </c>
      <c r="B2639" s="30">
        <f t="shared" si="2761"/>
        <v>5000</v>
      </c>
      <c r="C2639" s="8">
        <v>25000</v>
      </c>
      <c r="D2639" s="8">
        <v>0</v>
      </c>
      <c r="E2639" s="8">
        <v>700</v>
      </c>
      <c r="F2639" s="8">
        <v>15000</v>
      </c>
      <c r="G2639" s="30">
        <f t="shared" si="2762"/>
        <v>2400</v>
      </c>
      <c r="H2639" s="8">
        <v>25000</v>
      </c>
      <c r="I2639" s="30">
        <f t="shared" si="2763"/>
        <v>5000</v>
      </c>
      <c r="J2639" s="8">
        <v>25000</v>
      </c>
      <c r="K2639" s="30">
        <f t="shared" si="2764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VLOOKUP(VLOOKUP(DATEVALUE(TEXT(A2639,"m/d/yyyy")),FY24_Temp[],5,FALSE)&amp;TEXT(A2639,"-h"),Table6[],4,FALSE)</f>
        <v>1.1094285760607039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VLOOKUP(TEXT(A2639,"yy-mm")&amp;"-"&amp;IF(AND(WEEKDAY(A2639)&gt;1,WEEKDAY(A2639)&lt;7),"Wkd",TEXT(A2639,"Ddd"))&amp;"-"&amp;TEXT(A2639,"hh"),LoadTable[],5,FALSE)*0.92</f>
        <v>308.12363999999997</v>
      </c>
      <c r="U2639" s="104">
        <f>VLOOKUP(TEXT(A2639,"yy-mm")&amp;"-"&amp;IF(AND(WEEKDAY(A2639)&gt;1,WEEKDAY(A2639)&lt;7),"Wkd",TEXT(A2639,"Ddd"))&amp;"-"&amp;TEXT(A2639,"hh"),LoadTable[],6,FALSE)*T2639</f>
        <v>15157.218098879999</v>
      </c>
      <c r="V2639">
        <f t="shared" ref="V2639:W2639" si="2817">V2615</f>
        <v>2.8</v>
      </c>
      <c r="W2639">
        <f t="shared" si="2817"/>
        <v>3.1</v>
      </c>
      <c r="X2639" s="9">
        <v>-144.50787566667299</v>
      </c>
    </row>
    <row r="2640" spans="1:24">
      <c r="A2640" s="29">
        <f t="shared" si="2806"/>
        <v>45945.874999993604</v>
      </c>
      <c r="B2640" s="30">
        <f t="shared" si="2761"/>
        <v>5000</v>
      </c>
      <c r="C2640" s="8">
        <v>25000</v>
      </c>
      <c r="D2640" s="8">
        <v>0</v>
      </c>
      <c r="E2640" s="8">
        <v>700</v>
      </c>
      <c r="F2640" s="8">
        <v>15000</v>
      </c>
      <c r="G2640" s="30">
        <f t="shared" si="2762"/>
        <v>2400</v>
      </c>
      <c r="H2640" s="8">
        <v>25000</v>
      </c>
      <c r="I2640" s="30">
        <f t="shared" si="2763"/>
        <v>5000</v>
      </c>
      <c r="J2640" s="8">
        <v>25000</v>
      </c>
      <c r="K2640" s="30">
        <f t="shared" si="2764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VLOOKUP(VLOOKUP(DATEVALUE(TEXT(A2640,"m/d/yyyy")),FY24_Temp[],5,FALSE)&amp;TEXT(A2640,"-h"),Table6[],4,FALSE)</f>
        <v>1.2048571450369698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VLOOKUP(TEXT(A2640,"yy-mm")&amp;"-"&amp;IF(AND(WEEKDAY(A2640)&gt;1,WEEKDAY(A2640)&lt;7),"Wkd",TEXT(A2640,"Ddd"))&amp;"-"&amp;TEXT(A2640,"hh"),LoadTable[],5,FALSE)*0.92</f>
        <v>234.33964000000003</v>
      </c>
      <c r="U2640" s="104">
        <f>VLOOKUP(TEXT(A2640,"yy-mm")&amp;"-"&amp;IF(AND(WEEKDAY(A2640)&gt;1,WEEKDAY(A2640)&lt;7),"Wkd",TEXT(A2640,"Ddd"))&amp;"-"&amp;TEXT(A2640,"hh"),LoadTable[],6,FALSE)*T2640</f>
        <v>11344.147632760001</v>
      </c>
      <c r="V2640">
        <f t="shared" ref="V2640:W2640" si="2818">V2616</f>
        <v>3.5</v>
      </c>
      <c r="W2640">
        <f t="shared" si="2818"/>
        <v>3.1</v>
      </c>
      <c r="X2640" s="9">
        <v>-144.58567021667301</v>
      </c>
    </row>
    <row r="2641" spans="1:24">
      <c r="A2641" s="29">
        <f t="shared" si="2806"/>
        <v>45945.916666660269</v>
      </c>
      <c r="B2641" s="30">
        <f t="shared" si="2761"/>
        <v>5000</v>
      </c>
      <c r="C2641" s="8">
        <v>25000</v>
      </c>
      <c r="D2641" s="8">
        <v>0</v>
      </c>
      <c r="E2641" s="8">
        <v>700</v>
      </c>
      <c r="F2641" s="8">
        <v>15000</v>
      </c>
      <c r="G2641" s="30">
        <f t="shared" si="2762"/>
        <v>2400</v>
      </c>
      <c r="H2641" s="8">
        <v>25000</v>
      </c>
      <c r="I2641" s="30">
        <f t="shared" si="2763"/>
        <v>5000</v>
      </c>
      <c r="J2641" s="8">
        <v>25000</v>
      </c>
      <c r="K2641" s="30">
        <f t="shared" si="2764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VLOOKUP(VLOOKUP(DATEVALUE(TEXT(A2641,"m/d/yyyy")),FY24_Temp[],5,FALSE)&amp;TEXT(A2641,"-h"),Table6[],4,FALSE)</f>
        <v>1.2747142825807845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VLOOKUP(TEXT(A2641,"yy-mm")&amp;"-"&amp;IF(AND(WEEKDAY(A2641)&gt;1,WEEKDAY(A2641)&lt;7),"Wkd",TEXT(A2641,"Ddd"))&amp;"-"&amp;TEXT(A2641,"hh"),LoadTable[],5,FALSE)*0.92</f>
        <v>180.62544</v>
      </c>
      <c r="U2641" s="104">
        <f>VLOOKUP(TEXT(A2641,"yy-mm")&amp;"-"&amp;IF(AND(WEEKDAY(A2641)&gt;1,WEEKDAY(A2641)&lt;7),"Wkd",TEXT(A2641,"Ddd"))&amp;"-"&amp;TEXT(A2641,"hh"),LoadTable[],6,FALSE)*T2641</f>
        <v>8304.2546039999997</v>
      </c>
      <c r="V2641">
        <f t="shared" ref="V2641:W2641" si="2819">V2617</f>
        <v>2.9</v>
      </c>
      <c r="W2641">
        <f t="shared" si="2819"/>
        <v>3.1</v>
      </c>
      <c r="X2641" s="9">
        <v>-144.663464766673</v>
      </c>
    </row>
    <row r="2642" spans="1:24">
      <c r="A2642" s="29">
        <f t="shared" si="2806"/>
        <v>45945.958333326933</v>
      </c>
      <c r="B2642" s="30">
        <f t="shared" si="2761"/>
        <v>5000</v>
      </c>
      <c r="C2642" s="8">
        <v>25000</v>
      </c>
      <c r="D2642" s="8">
        <v>0</v>
      </c>
      <c r="E2642" s="8">
        <v>700</v>
      </c>
      <c r="F2642" s="8">
        <v>15000</v>
      </c>
      <c r="G2642" s="30">
        <f t="shared" si="2762"/>
        <v>2400</v>
      </c>
      <c r="H2642" s="8">
        <v>25000</v>
      </c>
      <c r="I2642" s="30">
        <f t="shared" si="2763"/>
        <v>5000</v>
      </c>
      <c r="J2642" s="8">
        <v>25000</v>
      </c>
      <c r="K2642" s="30">
        <f t="shared" si="2764"/>
        <v>5000</v>
      </c>
      <c r="L2642" s="8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9">
        <v>13.5</v>
      </c>
      <c r="P2642" s="9">
        <v>19.5</v>
      </c>
      <c r="Q2642" s="79">
        <f>VLOOKUP(VLOOKUP(DATEVALUE(TEXT(A2642,"m/d/yyyy")),FY24_Temp[],5,FALSE)&amp;TEXT(A2642,"-h"),Table6[],4,FALSE)</f>
        <v>1.2435714176722936</v>
      </c>
      <c r="R2642">
        <v>10</v>
      </c>
      <c r="S2642">
        <v>1000</v>
      </c>
      <c r="T2642" s="5">
        <f>VLOOKUP(TEXT(A2642,"yy-mm")&amp;"-"&amp;IF(AND(WEEKDAY(A2642)&gt;1,WEEKDAY(A2642)&lt;7),"Wkd",TEXT(A2642,"Ddd"))&amp;"-"&amp;TEXT(A2642,"hh"),LoadTable[],5,FALSE)*0.92</f>
        <v>180.62544</v>
      </c>
      <c r="U2642" s="104">
        <f>VLOOKUP(TEXT(A2642,"yy-mm")&amp;"-"&amp;IF(AND(WEEKDAY(A2642)&gt;1,WEEKDAY(A2642)&lt;7),"Wkd",TEXT(A2642,"Ddd"))&amp;"-"&amp;TEXT(A2642,"hh"),LoadTable[],6,FALSE)*T2642</f>
        <v>8217.1931419200009</v>
      </c>
      <c r="V2642">
        <f t="shared" ref="V2642:W2642" si="2820">V2618</f>
        <v>3.6</v>
      </c>
      <c r="W2642">
        <f t="shared" si="2820"/>
        <v>3.1</v>
      </c>
      <c r="X2642" s="9">
        <v>-144.74125931667299</v>
      </c>
    </row>
    <row r="2643" spans="1:24">
      <c r="A2643" s="29">
        <f t="shared" si="2806"/>
        <v>45945.999999993597</v>
      </c>
      <c r="B2643" s="30">
        <f t="shared" si="2761"/>
        <v>5000</v>
      </c>
      <c r="C2643" s="8">
        <v>25000</v>
      </c>
      <c r="D2643" s="8">
        <v>0</v>
      </c>
      <c r="E2643" s="8">
        <v>700</v>
      </c>
      <c r="F2643" s="8">
        <v>15000</v>
      </c>
      <c r="G2643" s="30">
        <f t="shared" si="2762"/>
        <v>2400</v>
      </c>
      <c r="H2643" s="8">
        <v>25000</v>
      </c>
      <c r="I2643" s="30">
        <f t="shared" si="2763"/>
        <v>5000</v>
      </c>
      <c r="J2643" s="8">
        <v>25000</v>
      </c>
      <c r="K2643" s="30">
        <f t="shared" si="2764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VLOOKUP(VLOOKUP(DATEVALUE(TEXT(A2643,"m/d/yyyy")),FY24_Temp[],5,FALSE)&amp;TEXT(A2643,"-h"),Table6[],4,FALSE)</f>
        <v>1.232285703931536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VLOOKUP(TEXT(A2643,"yy-mm")&amp;"-"&amp;IF(AND(WEEKDAY(A2643)&gt;1,WEEKDAY(A2643)&lt;7),"Wkd",TEXT(A2643,"Ddd"))&amp;"-"&amp;TEXT(A2643,"hh"),LoadTable[],5,FALSE)*0.92</f>
        <v>180.62544</v>
      </c>
      <c r="U2643" s="104">
        <f>VLOOKUP(TEXT(A2643,"yy-mm")&amp;"-"&amp;IF(AND(WEEKDAY(A2643)&gt;1,WEEKDAY(A2643)&lt;7),"Wkd",TEXT(A2643,"Ddd"))&amp;"-"&amp;TEXT(A2643,"hh"),LoadTable[],6,FALSE)*T2643</f>
        <v>8132.4798105600003</v>
      </c>
      <c r="V2643">
        <f t="shared" ref="V2643:W2643" si="2821">V2619</f>
        <v>3</v>
      </c>
      <c r="W2643">
        <f t="shared" si="2821"/>
        <v>3.2</v>
      </c>
      <c r="X2643" s="9">
        <v>-144.81905386667299</v>
      </c>
    </row>
    <row r="2644" spans="1:24">
      <c r="A2644" s="29">
        <f t="shared" si="2806"/>
        <v>45946.041666660261</v>
      </c>
      <c r="B2644" s="30">
        <f t="shared" si="2761"/>
        <v>5000</v>
      </c>
      <c r="C2644" s="8">
        <v>25000</v>
      </c>
      <c r="D2644" s="8">
        <v>0</v>
      </c>
      <c r="E2644" s="8">
        <v>700</v>
      </c>
      <c r="F2644" s="8">
        <v>15000</v>
      </c>
      <c r="G2644" s="30">
        <f t="shared" si="2762"/>
        <v>2400</v>
      </c>
      <c r="H2644" s="8">
        <v>25000</v>
      </c>
      <c r="I2644" s="30">
        <f t="shared" si="2763"/>
        <v>5000</v>
      </c>
      <c r="J2644" s="8">
        <v>25000</v>
      </c>
      <c r="K2644" s="30">
        <f t="shared" si="2764"/>
        <v>5000</v>
      </c>
      <c r="L2644" s="8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9">
        <v>13.5</v>
      </c>
      <c r="P2644" s="9">
        <v>19.5</v>
      </c>
      <c r="Q2644" s="79">
        <f>VLOOKUP(VLOOKUP(DATEVALUE(TEXT(A2644,"m/d/yyyy")),FY24_Temp[],5,FALSE)&amp;TEXT(A2644,"-h"),Table6[],4,FALSE)</f>
        <v>1.2795714139938354</v>
      </c>
      <c r="R2644">
        <v>10</v>
      </c>
      <c r="S2644">
        <v>1000</v>
      </c>
      <c r="T2644" s="5">
        <f>VLOOKUP(TEXT(A2644,"yy-mm")&amp;"-"&amp;IF(AND(WEEKDAY(A2644)&gt;1,WEEKDAY(A2644)&lt;7),"Wkd",TEXT(A2644,"Ddd"))&amp;"-"&amp;TEXT(A2644,"hh"),LoadTable[],5,FALSE)*0.92</f>
        <v>180.62544</v>
      </c>
      <c r="U2644" s="104">
        <f>VLOOKUP(TEXT(A2644,"yy-mm")&amp;"-"&amp;IF(AND(WEEKDAY(A2644)&gt;1,WEEKDAY(A2644)&lt;7),"Wkd",TEXT(A2644,"Ddd"))&amp;"-"&amp;TEXT(A2644,"hh"),LoadTable[],6,FALSE)*T2644</f>
        <v>8124.71291664</v>
      </c>
      <c r="V2644">
        <f t="shared" ref="V2644:W2644" si="2822">V2620</f>
        <v>2.6</v>
      </c>
      <c r="W2644">
        <f t="shared" si="2822"/>
        <v>3.2</v>
      </c>
      <c r="X2644" s="9">
        <v>-144.89684841667301</v>
      </c>
    </row>
    <row r="2645" spans="1:24">
      <c r="A2645" s="29">
        <f t="shared" si="2806"/>
        <v>45946.083333326926</v>
      </c>
      <c r="B2645" s="30">
        <f t="shared" si="2761"/>
        <v>5000</v>
      </c>
      <c r="C2645" s="8">
        <v>25000</v>
      </c>
      <c r="D2645" s="8">
        <v>0</v>
      </c>
      <c r="E2645" s="8">
        <v>700</v>
      </c>
      <c r="F2645" s="8">
        <v>15000</v>
      </c>
      <c r="G2645" s="30">
        <f t="shared" si="2762"/>
        <v>2400</v>
      </c>
      <c r="H2645" s="8">
        <v>25000</v>
      </c>
      <c r="I2645" s="30">
        <f t="shared" si="2763"/>
        <v>5000</v>
      </c>
      <c r="J2645" s="8">
        <v>25000</v>
      </c>
      <c r="K2645" s="30">
        <f t="shared" si="2764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VLOOKUP(VLOOKUP(DATEVALUE(TEXT(A2645,"m/d/yyyy")),FY24_Temp[],5,FALSE)&amp;TEXT(A2645,"-h"),Table6[],4,FALSE)</f>
        <v>1.2324285677501134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VLOOKUP(TEXT(A2645,"yy-mm")&amp;"-"&amp;IF(AND(WEEKDAY(A2645)&gt;1,WEEKDAY(A2645)&lt;7),"Wkd",TEXT(A2645,"Ddd"))&amp;"-"&amp;TEXT(A2645,"hh"),LoadTable[],5,FALSE)*0.92</f>
        <v>180.62544</v>
      </c>
      <c r="U2645" s="104">
        <f>VLOOKUP(TEXT(A2645,"yy-mm")&amp;"-"&amp;IF(AND(WEEKDAY(A2645)&gt;1,WEEKDAY(A2645)&lt;7),"Wkd",TEXT(A2645,"Ddd"))&amp;"-"&amp;TEXT(A2645,"hh"),LoadTable[],6,FALSE)*T2645</f>
        <v>8120.1972806400008</v>
      </c>
      <c r="V2645">
        <f t="shared" ref="V2645:W2645" si="2823">V2621</f>
        <v>2.8</v>
      </c>
      <c r="W2645">
        <f t="shared" si="2823"/>
        <v>3.2</v>
      </c>
      <c r="X2645" s="9">
        <v>-144.974642966673</v>
      </c>
    </row>
    <row r="2646" spans="1:24">
      <c r="A2646" s="29">
        <f t="shared" si="2806"/>
        <v>45946.12499999359</v>
      </c>
      <c r="B2646" s="30">
        <f t="shared" si="2761"/>
        <v>5000</v>
      </c>
      <c r="C2646" s="8">
        <v>25000</v>
      </c>
      <c r="D2646" s="8">
        <v>0</v>
      </c>
      <c r="E2646" s="8">
        <v>700</v>
      </c>
      <c r="F2646" s="8">
        <v>15000</v>
      </c>
      <c r="G2646" s="30">
        <f t="shared" si="2762"/>
        <v>2400</v>
      </c>
      <c r="H2646" s="8">
        <v>25000</v>
      </c>
      <c r="I2646" s="30">
        <f t="shared" si="2763"/>
        <v>5000</v>
      </c>
      <c r="J2646" s="8">
        <v>25000</v>
      </c>
      <c r="K2646" s="30">
        <f t="shared" si="2764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VLOOKUP(VLOOKUP(DATEVALUE(TEXT(A2646,"m/d/yyyy")),FY24_Temp[],5,FALSE)&amp;TEXT(A2646,"-h"),Table6[],4,FALSE)</f>
        <v>1.132857152393886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VLOOKUP(TEXT(A2646,"yy-mm")&amp;"-"&amp;IF(AND(WEEKDAY(A2646)&gt;1,WEEKDAY(A2646)&lt;7),"Wkd",TEXT(A2646,"Ddd"))&amp;"-"&amp;TEXT(A2646,"hh"),LoadTable[],5,FALSE)*0.92</f>
        <v>180.62544</v>
      </c>
      <c r="U2646" s="104">
        <f>VLOOKUP(TEXT(A2646,"yy-mm")&amp;"-"&amp;IF(AND(WEEKDAY(A2646)&gt;1,WEEKDAY(A2646)&lt;7),"Wkd",TEXT(A2646,"Ddd"))&amp;"-"&amp;TEXT(A2646,"hh"),LoadTable[],6,FALSE)*T2646</f>
        <v>8141.3304571199997</v>
      </c>
      <c r="V2646">
        <f t="shared" ref="V2646:W2646" si="2824">V2622</f>
        <v>2.7</v>
      </c>
      <c r="W2646">
        <f t="shared" si="2824"/>
        <v>3.2</v>
      </c>
      <c r="X2646" s="9">
        <v>-145.052437516673</v>
      </c>
    </row>
    <row r="2647" spans="1:24">
      <c r="A2647" s="29">
        <f t="shared" si="2806"/>
        <v>45946.166666660254</v>
      </c>
      <c r="B2647" s="30">
        <f t="shared" si="2761"/>
        <v>5000</v>
      </c>
      <c r="C2647" s="8">
        <v>25000</v>
      </c>
      <c r="D2647" s="8">
        <v>0</v>
      </c>
      <c r="E2647" s="8">
        <v>700</v>
      </c>
      <c r="F2647" s="8">
        <v>15000</v>
      </c>
      <c r="G2647" s="30">
        <f t="shared" si="2762"/>
        <v>2400</v>
      </c>
      <c r="H2647" s="8">
        <v>25000</v>
      </c>
      <c r="I2647" s="30">
        <f t="shared" si="2763"/>
        <v>5000</v>
      </c>
      <c r="J2647" s="8">
        <v>25000</v>
      </c>
      <c r="K2647" s="30">
        <f t="shared" si="2764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VLOOKUP(VLOOKUP(DATEVALUE(TEXT(A2647,"m/d/yyyy")),FY24_Temp[],5,FALSE)&amp;TEXT(A2647,"-h"),Table6[],4,FALSE)</f>
        <v>1.0471428547586714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VLOOKUP(TEXT(A2647,"yy-mm")&amp;"-"&amp;IF(AND(WEEKDAY(A2647)&gt;1,WEEKDAY(A2647)&lt;7),"Wkd",TEXT(A2647,"Ddd"))&amp;"-"&amp;TEXT(A2647,"hh"),LoadTable[],5,FALSE)*0.92</f>
        <v>180.62544</v>
      </c>
      <c r="U2647" s="104">
        <f>VLOOKUP(TEXT(A2647,"yy-mm")&amp;"-"&amp;IF(AND(WEEKDAY(A2647)&gt;1,WEEKDAY(A2647)&lt;7),"Wkd",TEXT(A2647,"Ddd"))&amp;"-"&amp;TEXT(A2647,"hh"),LoadTable[],6,FALSE)*T2647</f>
        <v>8184.86118816</v>
      </c>
      <c r="V2647">
        <f t="shared" ref="V2647:W2647" si="2825">V2623</f>
        <v>3</v>
      </c>
      <c r="W2647">
        <f t="shared" si="2825"/>
        <v>3.1</v>
      </c>
      <c r="X2647" s="9">
        <v>-145.13023206667299</v>
      </c>
    </row>
    <row r="2648" spans="1:24">
      <c r="A2648" s="29">
        <f t="shared" si="2806"/>
        <v>45946.208333326918</v>
      </c>
      <c r="B2648" s="30">
        <f t="shared" si="2761"/>
        <v>5000</v>
      </c>
      <c r="C2648" s="8">
        <v>25000</v>
      </c>
      <c r="D2648" s="8">
        <v>0</v>
      </c>
      <c r="E2648" s="8">
        <v>700</v>
      </c>
      <c r="F2648" s="8">
        <v>15000</v>
      </c>
      <c r="G2648" s="30">
        <f t="shared" si="2762"/>
        <v>2400</v>
      </c>
      <c r="H2648" s="8">
        <v>25000</v>
      </c>
      <c r="I2648" s="30">
        <f t="shared" si="2763"/>
        <v>5000</v>
      </c>
      <c r="J2648" s="8">
        <v>25000</v>
      </c>
      <c r="K2648" s="30">
        <f t="shared" si="2764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VLOOKUP(VLOOKUP(DATEVALUE(TEXT(A2648,"m/d/yyyy")),FY24_Temp[],5,FALSE)&amp;TEXT(A2648,"-h"),Table6[],4,FALSE)</f>
        <v>1.0077142885753088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VLOOKUP(TEXT(A2648,"yy-mm")&amp;"-"&amp;IF(AND(WEEKDAY(A2648)&gt;1,WEEKDAY(A2648)&lt;7),"Wkd",TEXT(A2648,"Ddd"))&amp;"-"&amp;TEXT(A2648,"hh"),LoadTable[],5,FALSE)*0.92</f>
        <v>275.09195999999997</v>
      </c>
      <c r="U2648" s="104">
        <f>VLOOKUP(TEXT(A2648,"yy-mm")&amp;"-"&amp;IF(AND(WEEKDAY(A2648)&gt;1,WEEKDAY(A2648)&lt;7),"Wkd",TEXT(A2648,"Ddd"))&amp;"-"&amp;TEXT(A2648,"hh"),LoadTable[],6,FALSE)*T2648</f>
        <v>12729.880448999998</v>
      </c>
      <c r="V2648">
        <f t="shared" ref="V2648:W2648" si="2826">V2624</f>
        <v>2.9</v>
      </c>
      <c r="W2648">
        <f t="shared" si="2826"/>
        <v>3.1</v>
      </c>
      <c r="X2648" s="9">
        <v>-145.20802661667301</v>
      </c>
    </row>
    <row r="2649" spans="1:24">
      <c r="A2649" s="29">
        <f t="shared" si="2806"/>
        <v>45946.249999993583</v>
      </c>
      <c r="B2649" s="30">
        <f t="shared" si="2761"/>
        <v>8000</v>
      </c>
      <c r="C2649" s="8">
        <v>25000</v>
      </c>
      <c r="D2649" s="8">
        <v>0</v>
      </c>
      <c r="E2649" s="8">
        <v>700</v>
      </c>
      <c r="F2649" s="8">
        <v>15000</v>
      </c>
      <c r="G2649" s="30">
        <f t="shared" si="2762"/>
        <v>2400</v>
      </c>
      <c r="H2649" s="8">
        <v>25000</v>
      </c>
      <c r="I2649" s="30">
        <f t="shared" si="2763"/>
        <v>8000</v>
      </c>
      <c r="J2649" s="8">
        <v>25000</v>
      </c>
      <c r="K2649" s="30">
        <f t="shared" si="2764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VLOOKUP(VLOOKUP(DATEVALUE(TEXT(A2649,"m/d/yyyy")),FY24_Temp[],5,FALSE)&amp;TEXT(A2649,"-h"),Table6[],4,FALSE)</f>
        <v>0.85642857210976742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VLOOKUP(TEXT(A2649,"yy-mm")&amp;"-"&amp;IF(AND(WEEKDAY(A2649)&gt;1,WEEKDAY(A2649)&lt;7),"Wkd",TEXT(A2649,"Ddd"))&amp;"-"&amp;TEXT(A2649,"hh"),LoadTable[],5,FALSE)*0.92</f>
        <v>275.09195999999997</v>
      </c>
      <c r="U2649" s="104">
        <f>VLOOKUP(TEXT(A2649,"yy-mm")&amp;"-"&amp;IF(AND(WEEKDAY(A2649)&gt;1,WEEKDAY(A2649)&lt;7),"Wkd",TEXT(A2649,"Ddd"))&amp;"-"&amp;TEXT(A2649,"hh"),LoadTable[],6,FALSE)*T2649</f>
        <v>13284.465840359997</v>
      </c>
      <c r="V2649">
        <f t="shared" ref="V2649:W2649" si="2827">V2625</f>
        <v>2.5</v>
      </c>
      <c r="W2649">
        <f t="shared" si="2827"/>
        <v>3.1</v>
      </c>
      <c r="X2649" s="9">
        <v>-145.285821166673</v>
      </c>
    </row>
    <row r="2650" spans="1:24">
      <c r="A2650" s="29">
        <f t="shared" si="2806"/>
        <v>45946.291666660247</v>
      </c>
      <c r="B2650" s="30">
        <f t="shared" si="2761"/>
        <v>8000</v>
      </c>
      <c r="C2650" s="8">
        <v>25000</v>
      </c>
      <c r="D2650" s="8">
        <v>0</v>
      </c>
      <c r="E2650" s="8">
        <v>700</v>
      </c>
      <c r="F2650" s="8">
        <v>15000</v>
      </c>
      <c r="G2650" s="30">
        <f t="shared" si="2762"/>
        <v>2400</v>
      </c>
      <c r="H2650" s="8">
        <v>25000</v>
      </c>
      <c r="I2650" s="30">
        <f t="shared" si="2763"/>
        <v>8000</v>
      </c>
      <c r="J2650" s="8">
        <v>25000</v>
      </c>
      <c r="K2650" s="30">
        <f t="shared" si="2764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VLOOKUP(VLOOKUP(DATEVALUE(TEXT(A2650,"m/d/yyyy")),FY24_Temp[],5,FALSE)&amp;TEXT(A2650,"-h"),Table6[],4,FALSE)</f>
        <v>0.70771429368427818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VLOOKUP(TEXT(A2650,"yy-mm")&amp;"-"&amp;IF(AND(WEEKDAY(A2650)&gt;1,WEEKDAY(A2650)&lt;7),"Wkd",TEXT(A2650,"Ddd"))&amp;"-"&amp;TEXT(A2650,"hh"),LoadTable[],5,FALSE)*0.92</f>
        <v>236.10788000000002</v>
      </c>
      <c r="U2650" s="104">
        <f>VLOOKUP(TEXT(A2650,"yy-mm")&amp;"-"&amp;IF(AND(WEEKDAY(A2650)&gt;1,WEEKDAY(A2650)&lt;7),"Wkd",TEXT(A2650,"Ddd"))&amp;"-"&amp;TEXT(A2650,"hh"),LoadTable[],6,FALSE)*T2650</f>
        <v>11438.48235448</v>
      </c>
      <c r="V2650">
        <f t="shared" ref="V2650:W2650" si="2828">V2626</f>
        <v>2.5</v>
      </c>
      <c r="W2650">
        <f t="shared" si="2828"/>
        <v>3.1</v>
      </c>
      <c r="X2650" s="9">
        <v>-145.363615716673</v>
      </c>
    </row>
    <row r="2651" spans="1:24">
      <c r="A2651" s="29">
        <f t="shared" si="2806"/>
        <v>45946.333333326911</v>
      </c>
      <c r="B2651" s="30">
        <f t="shared" si="2761"/>
        <v>8000</v>
      </c>
      <c r="C2651" s="8">
        <v>25000</v>
      </c>
      <c r="D2651" s="8">
        <v>0</v>
      </c>
      <c r="E2651" s="8">
        <v>700</v>
      </c>
      <c r="F2651" s="8">
        <v>15000</v>
      </c>
      <c r="G2651" s="30">
        <f t="shared" si="2762"/>
        <v>2400</v>
      </c>
      <c r="H2651" s="8">
        <v>25000</v>
      </c>
      <c r="I2651" s="30">
        <f t="shared" si="2763"/>
        <v>8000</v>
      </c>
      <c r="J2651" s="8">
        <v>25000</v>
      </c>
      <c r="K2651" s="30">
        <f t="shared" si="2764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VLOOKUP(VLOOKUP(DATEVALUE(TEXT(A2651,"m/d/yyyy")),FY24_Temp[],5,FALSE)&amp;TEXT(A2651,"-h"),Table6[],4,FALSE)</f>
        <v>0.6007142875875745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VLOOKUP(TEXT(A2651,"yy-mm")&amp;"-"&amp;IF(AND(WEEKDAY(A2651)&gt;1,WEEKDAY(A2651)&lt;7),"Wkd",TEXT(A2651,"Ddd"))&amp;"-"&amp;TEXT(A2651,"hh"),LoadTable[],5,FALSE)*0.92</f>
        <v>236.10788000000002</v>
      </c>
      <c r="U2651" s="104">
        <f>VLOOKUP(TEXT(A2651,"yy-mm")&amp;"-"&amp;IF(AND(WEEKDAY(A2651)&gt;1,WEEKDAY(A2651)&lt;7),"Wkd",TEXT(A2651,"Ddd"))&amp;"-"&amp;TEXT(A2651,"hh"),LoadTable[],6,FALSE)*T2651</f>
        <v>10919.281126360002</v>
      </c>
      <c r="V2651">
        <f t="shared" ref="V2651:W2651" si="2829">V2627</f>
        <v>3.2</v>
      </c>
      <c r="W2651">
        <f t="shared" si="2829"/>
        <v>3</v>
      </c>
      <c r="X2651" s="9">
        <v>-145.44141026667299</v>
      </c>
    </row>
    <row r="2652" spans="1:24">
      <c r="A2652" s="29">
        <f t="shared" si="2806"/>
        <v>45946.374999993575</v>
      </c>
      <c r="B2652" s="30">
        <f t="shared" ref="B2652:B2715" si="2830">B2628</f>
        <v>8000</v>
      </c>
      <c r="C2652" s="8">
        <v>25000</v>
      </c>
      <c r="D2652" s="8">
        <v>0</v>
      </c>
      <c r="E2652" s="8">
        <v>700</v>
      </c>
      <c r="F2652" s="8">
        <v>15000</v>
      </c>
      <c r="G2652" s="30">
        <f t="shared" ref="G2652:G2715" si="2831">G2628</f>
        <v>2400</v>
      </c>
      <c r="H2652" s="8">
        <v>25000</v>
      </c>
      <c r="I2652" s="30">
        <f t="shared" ref="I2652:I2715" si="2832">I2628</f>
        <v>8000</v>
      </c>
      <c r="J2652" s="8">
        <v>25000</v>
      </c>
      <c r="K2652" s="30">
        <f t="shared" ref="K2652:K2715" si="2833">K2628</f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VLOOKUP(VLOOKUP(DATEVALUE(TEXT(A2652,"m/d/yyyy")),FY24_Temp[],5,FALSE)&amp;TEXT(A2652,"-h"),Table6[],4,FALSE)</f>
        <v>0.50428572722843712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VLOOKUP(TEXT(A2652,"yy-mm")&amp;"-"&amp;IF(AND(WEEKDAY(A2652)&gt;1,WEEKDAY(A2652)&lt;7),"Wkd",TEXT(A2652,"Ddd"))&amp;"-"&amp;TEXT(A2652,"hh"),LoadTable[],5,FALSE)*0.92</f>
        <v>236.10788000000002</v>
      </c>
      <c r="U2652" s="104">
        <f>VLOOKUP(TEXT(A2652,"yy-mm")&amp;"-"&amp;IF(AND(WEEKDAY(A2652)&gt;1,WEEKDAY(A2652)&lt;7),"Wkd",TEXT(A2652,"Ddd"))&amp;"-"&amp;TEXT(A2652,"hh"),LoadTable[],6,FALSE)*T2652</f>
        <v>10592.271712560001</v>
      </c>
      <c r="V2652">
        <f t="shared" ref="V2652:W2652" si="2834">V2628</f>
        <v>2.9</v>
      </c>
      <c r="W2652">
        <f t="shared" si="2834"/>
        <v>3</v>
      </c>
      <c r="X2652" s="9">
        <v>-145.51920481667301</v>
      </c>
    </row>
    <row r="2653" spans="1:24">
      <c r="A2653" s="29">
        <f t="shared" si="2806"/>
        <v>45946.41666666024</v>
      </c>
      <c r="B2653" s="30">
        <f t="shared" si="2830"/>
        <v>8000</v>
      </c>
      <c r="C2653" s="8">
        <v>25000</v>
      </c>
      <c r="D2653" s="8">
        <v>0</v>
      </c>
      <c r="E2653" s="8">
        <v>700</v>
      </c>
      <c r="F2653" s="8">
        <v>15000</v>
      </c>
      <c r="G2653" s="30">
        <f t="shared" si="2831"/>
        <v>2400</v>
      </c>
      <c r="H2653" s="8">
        <v>25000</v>
      </c>
      <c r="I2653" s="30">
        <f t="shared" si="2832"/>
        <v>8000</v>
      </c>
      <c r="J2653" s="8">
        <v>25000</v>
      </c>
      <c r="K2653" s="30">
        <f t="shared" si="2833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VLOOKUP(VLOOKUP(DATEVALUE(TEXT(A2653,"m/d/yyyy")),FY24_Temp[],5,FALSE)&amp;TEXT(A2653,"-h"),Table6[],4,FALSE)</f>
        <v>0.40428571828774046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VLOOKUP(TEXT(A2653,"yy-mm")&amp;"-"&amp;IF(AND(WEEKDAY(A2653)&gt;1,WEEKDAY(A2653)&lt;7),"Wkd",TEXT(A2653,"Ddd"))&amp;"-"&amp;TEXT(A2653,"hh"),LoadTable[],5,FALSE)*0.92</f>
        <v>236.10788000000002</v>
      </c>
      <c r="U2653" s="104">
        <f>VLOOKUP(TEXT(A2653,"yy-mm")&amp;"-"&amp;IF(AND(WEEKDAY(A2653)&gt;1,WEEKDAY(A2653)&lt;7),"Wkd",TEXT(A2653,"Ddd"))&amp;"-"&amp;TEXT(A2653,"hh"),LoadTable[],6,FALSE)*T2653</f>
        <v>10565.591522120001</v>
      </c>
      <c r="V2653">
        <f t="shared" ref="V2653:W2653" si="2835">V2629</f>
        <v>2.9</v>
      </c>
      <c r="W2653">
        <f t="shared" si="2835"/>
        <v>3</v>
      </c>
      <c r="X2653" s="9">
        <v>-145.596999366673</v>
      </c>
    </row>
    <row r="2654" spans="1:24">
      <c r="A2654" s="29">
        <f t="shared" si="2806"/>
        <v>45946.458333326904</v>
      </c>
      <c r="B2654" s="30">
        <f t="shared" si="2830"/>
        <v>8000</v>
      </c>
      <c r="C2654" s="8">
        <v>25000</v>
      </c>
      <c r="D2654" s="8">
        <v>0</v>
      </c>
      <c r="E2654" s="8">
        <v>700</v>
      </c>
      <c r="F2654" s="8">
        <v>15000</v>
      </c>
      <c r="G2654" s="30">
        <f t="shared" si="2831"/>
        <v>2400</v>
      </c>
      <c r="H2654" s="8">
        <v>25000</v>
      </c>
      <c r="I2654" s="30">
        <f t="shared" si="2832"/>
        <v>8000</v>
      </c>
      <c r="J2654" s="8">
        <v>25000</v>
      </c>
      <c r="K2654" s="30">
        <f t="shared" si="2833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VLOOKUP(VLOOKUP(DATEVALUE(TEXT(A2654,"m/d/yyyy")),FY24_Temp[],5,FALSE)&amp;TEXT(A2654,"-h"),Table6[],4,FALSE)</f>
        <v>0.29914285136120661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VLOOKUP(TEXT(A2654,"yy-mm")&amp;"-"&amp;IF(AND(WEEKDAY(A2654)&gt;1,WEEKDAY(A2654)&lt;7),"Wkd",TEXT(A2654,"Ddd"))&amp;"-"&amp;TEXT(A2654,"hh"),LoadTable[],5,FALSE)*0.92</f>
        <v>236.10788000000002</v>
      </c>
      <c r="U2654" s="104">
        <f>VLOOKUP(TEXT(A2654,"yy-mm")&amp;"-"&amp;IF(AND(WEEKDAY(A2654)&gt;1,WEEKDAY(A2654)&lt;7),"Wkd",TEXT(A2654,"Ddd"))&amp;"-"&amp;TEXT(A2654,"hh"),LoadTable[],6,FALSE)*T2654</f>
        <v>10548.355646880002</v>
      </c>
      <c r="V2654">
        <f t="shared" ref="V2654:W2654" si="2836">V2630</f>
        <v>3.4</v>
      </c>
      <c r="W2654">
        <f t="shared" si="2836"/>
        <v>3</v>
      </c>
      <c r="X2654" s="9">
        <v>-145.674793916673</v>
      </c>
    </row>
    <row r="2655" spans="1:24">
      <c r="A2655" s="29">
        <f t="shared" si="2806"/>
        <v>45946.499999993568</v>
      </c>
      <c r="B2655" s="30">
        <f t="shared" si="2830"/>
        <v>8000</v>
      </c>
      <c r="C2655" s="8">
        <v>25000</v>
      </c>
      <c r="D2655" s="8">
        <v>0</v>
      </c>
      <c r="E2655" s="8">
        <v>700</v>
      </c>
      <c r="F2655" s="8">
        <v>15000</v>
      </c>
      <c r="G2655" s="30">
        <f t="shared" si="2831"/>
        <v>2400</v>
      </c>
      <c r="H2655" s="8">
        <v>25000</v>
      </c>
      <c r="I2655" s="30">
        <f t="shared" si="2832"/>
        <v>8000</v>
      </c>
      <c r="J2655" s="8">
        <v>25000</v>
      </c>
      <c r="K2655" s="30">
        <f t="shared" si="2833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VLOOKUP(VLOOKUP(DATEVALUE(TEXT(A2655,"m/d/yyyy")),FY24_Temp[],5,FALSE)&amp;TEXT(A2655,"-h"),Table6[],4,FALSE)</f>
        <v>0.19471428463501589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VLOOKUP(TEXT(A2655,"yy-mm")&amp;"-"&amp;IF(AND(WEEKDAY(A2655)&gt;1,WEEKDAY(A2655)&lt;7),"Wkd",TEXT(A2655,"Ddd"))&amp;"-"&amp;TEXT(A2655,"hh"),LoadTable[],5,FALSE)*0.92</f>
        <v>236.10788000000002</v>
      </c>
      <c r="U2655" s="104">
        <f>VLOOKUP(TEXT(A2655,"yy-mm")&amp;"-"&amp;IF(AND(WEEKDAY(A2655)&gt;1,WEEKDAY(A2655)&lt;7),"Wkd",TEXT(A2655,"Ddd"))&amp;"-"&amp;TEXT(A2655,"hh"),LoadTable[],6,FALSE)*T2655</f>
        <v>10540.327978960002</v>
      </c>
      <c r="V2655">
        <f t="shared" ref="V2655:W2655" si="2837">V2631</f>
        <v>3.1</v>
      </c>
      <c r="W2655">
        <f t="shared" si="2837"/>
        <v>2.9</v>
      </c>
      <c r="X2655" s="9">
        <v>-145.75258846667299</v>
      </c>
    </row>
    <row r="2656" spans="1:24">
      <c r="A2656" s="29">
        <f t="shared" si="2806"/>
        <v>45946.541666660232</v>
      </c>
      <c r="B2656" s="30">
        <f t="shared" si="2830"/>
        <v>8000</v>
      </c>
      <c r="C2656" s="8">
        <v>25000</v>
      </c>
      <c r="D2656" s="8">
        <v>0</v>
      </c>
      <c r="E2656" s="8">
        <v>700</v>
      </c>
      <c r="F2656" s="8">
        <v>15000</v>
      </c>
      <c r="G2656" s="30">
        <f t="shared" si="2831"/>
        <v>2400</v>
      </c>
      <c r="H2656" s="8">
        <v>25000</v>
      </c>
      <c r="I2656" s="30">
        <f t="shared" si="2832"/>
        <v>8000</v>
      </c>
      <c r="J2656" s="8">
        <v>25000</v>
      </c>
      <c r="K2656" s="30">
        <f t="shared" si="2833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VLOOKUP(VLOOKUP(DATEVALUE(TEXT(A2656,"m/d/yyyy")),FY24_Temp[],5,FALSE)&amp;TEXT(A2656,"-h"),Table6[],4,FALSE)</f>
        <v>0.10557143097477299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VLOOKUP(TEXT(A2656,"yy-mm")&amp;"-"&amp;IF(AND(WEEKDAY(A2656)&gt;1,WEEKDAY(A2656)&lt;7),"Wkd",TEXT(A2656,"Ddd"))&amp;"-"&amp;TEXT(A2656,"hh"),LoadTable[],5,FALSE)*0.92</f>
        <v>236.10788000000002</v>
      </c>
      <c r="U2656" s="104">
        <f>VLOOKUP(TEXT(A2656,"yy-mm")&amp;"-"&amp;IF(AND(WEEKDAY(A2656)&gt;1,WEEKDAY(A2656)&lt;7),"Wkd",TEXT(A2656,"Ddd"))&amp;"-"&amp;TEXT(A2656,"hh"),LoadTable[],6,FALSE)*T2656</f>
        <v>10541.50851836</v>
      </c>
      <c r="V2656">
        <f t="shared" ref="V2656:W2656" si="2838">V2632</f>
        <v>3.2</v>
      </c>
      <c r="W2656">
        <f t="shared" si="2838"/>
        <v>2.9</v>
      </c>
      <c r="X2656" s="9">
        <v>-145.83038301667301</v>
      </c>
    </row>
    <row r="2657" spans="1:24">
      <c r="A2657" s="29">
        <f t="shared" si="2806"/>
        <v>45946.583333326897</v>
      </c>
      <c r="B2657" s="30">
        <f t="shared" si="2830"/>
        <v>8000</v>
      </c>
      <c r="C2657" s="8">
        <v>25000</v>
      </c>
      <c r="D2657" s="8">
        <v>0</v>
      </c>
      <c r="E2657" s="8">
        <v>700</v>
      </c>
      <c r="F2657" s="8">
        <v>15000</v>
      </c>
      <c r="G2657" s="30">
        <f t="shared" si="2831"/>
        <v>2400</v>
      </c>
      <c r="H2657" s="8">
        <v>25000</v>
      </c>
      <c r="I2657" s="30">
        <f t="shared" si="2832"/>
        <v>8000</v>
      </c>
      <c r="J2657" s="8">
        <v>25000</v>
      </c>
      <c r="K2657" s="30">
        <f t="shared" si="2833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VLOOKUP(VLOOKUP(DATEVALUE(TEXT(A2657,"m/d/yyyy")),FY24_Temp[],5,FALSE)&amp;TEXT(A2657,"-h"),Table6[],4,FALSE)</f>
        <v>7.8714286110230861E-2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VLOOKUP(TEXT(A2657,"yy-mm")&amp;"-"&amp;IF(AND(WEEKDAY(A2657)&gt;1,WEEKDAY(A2657)&lt;7),"Wkd",TEXT(A2657,"Ddd"))&amp;"-"&amp;TEXT(A2657,"hh"),LoadTable[],5,FALSE)*0.92</f>
        <v>236.10788000000002</v>
      </c>
      <c r="U2657" s="104">
        <f>VLOOKUP(TEXT(A2657,"yy-mm")&amp;"-"&amp;IF(AND(WEEKDAY(A2657)&gt;1,WEEKDAY(A2657)&lt;7),"Wkd",TEXT(A2657,"Ddd"))&amp;"-"&amp;TEXT(A2657,"hh"),LoadTable[],6,FALSE)*T2657</f>
        <v>10551.188941440001</v>
      </c>
      <c r="V2657">
        <f t="shared" ref="V2657:W2657" si="2839">V2633</f>
        <v>3.5</v>
      </c>
      <c r="W2657">
        <f t="shared" si="2839"/>
        <v>2.9</v>
      </c>
      <c r="X2657" s="9">
        <v>-145.908177566673</v>
      </c>
    </row>
    <row r="2658" spans="1:24">
      <c r="A2658" s="29">
        <f t="shared" si="2806"/>
        <v>45946.624999993561</v>
      </c>
      <c r="B2658" s="30">
        <f t="shared" si="2830"/>
        <v>8000</v>
      </c>
      <c r="C2658" s="8">
        <v>25000</v>
      </c>
      <c r="D2658" s="8">
        <v>0</v>
      </c>
      <c r="E2658" s="8">
        <v>700</v>
      </c>
      <c r="F2658" s="8">
        <v>15000</v>
      </c>
      <c r="G2658" s="30">
        <f t="shared" si="2831"/>
        <v>2400</v>
      </c>
      <c r="H2658" s="8">
        <v>25000</v>
      </c>
      <c r="I2658" s="30">
        <f t="shared" si="2832"/>
        <v>8000</v>
      </c>
      <c r="J2658" s="8">
        <v>25000</v>
      </c>
      <c r="K2658" s="30">
        <f t="shared" si="2833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VLOOKUP(VLOOKUP(DATEVALUE(TEXT(A2658,"m/d/yyyy")),FY24_Temp[],5,FALSE)&amp;TEXT(A2658,"-h"),Table6[],4,FALSE)</f>
        <v>0.20828571436660631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VLOOKUP(TEXT(A2658,"yy-mm")&amp;"-"&amp;IF(AND(WEEKDAY(A2658)&gt;1,WEEKDAY(A2658)&lt;7),"Wkd",TEXT(A2658,"Ddd"))&amp;"-"&amp;TEXT(A2658,"hh"),LoadTable[],5,FALSE)*0.92</f>
        <v>236.10788000000002</v>
      </c>
      <c r="U2658" s="104">
        <f>VLOOKUP(TEXT(A2658,"yy-mm")&amp;"-"&amp;IF(AND(WEEKDAY(A2658)&gt;1,WEEKDAY(A2658)&lt;7),"Wkd",TEXT(A2658,"Ddd"))&amp;"-"&amp;TEXT(A2658,"hh"),LoadTable[],6,FALSE)*T2658</f>
        <v>10572.202542760002</v>
      </c>
      <c r="V2658">
        <f t="shared" ref="V2658:W2658" si="2840">V2634</f>
        <v>3.2</v>
      </c>
      <c r="W2658">
        <f t="shared" si="2840"/>
        <v>2.9</v>
      </c>
      <c r="X2658" s="9">
        <v>-145.985972116673</v>
      </c>
    </row>
    <row r="2659" spans="1:24">
      <c r="A2659" s="29">
        <f t="shared" si="2806"/>
        <v>45946.666666660225</v>
      </c>
      <c r="B2659" s="30">
        <f t="shared" si="2830"/>
        <v>8000</v>
      </c>
      <c r="C2659" s="8">
        <v>25000</v>
      </c>
      <c r="D2659" s="8">
        <v>0</v>
      </c>
      <c r="E2659" s="8">
        <v>700</v>
      </c>
      <c r="F2659" s="8">
        <v>15000</v>
      </c>
      <c r="G2659" s="30">
        <f t="shared" si="2831"/>
        <v>2400</v>
      </c>
      <c r="H2659" s="8">
        <v>25000</v>
      </c>
      <c r="I2659" s="30">
        <f t="shared" si="2832"/>
        <v>8000</v>
      </c>
      <c r="J2659" s="8">
        <v>25000</v>
      </c>
      <c r="K2659" s="30">
        <f t="shared" si="2833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VLOOKUP(VLOOKUP(DATEVALUE(TEXT(A2659,"m/d/yyyy")),FY24_Temp[],5,FALSE)&amp;TEXT(A2659,"-h"),Table6[],4,FALSE)</f>
        <v>0.47971428292138235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VLOOKUP(TEXT(A2659,"yy-mm")&amp;"-"&amp;IF(AND(WEEKDAY(A2659)&gt;1,WEEKDAY(A2659)&lt;7),"Wkd",TEXT(A2659,"Ddd"))&amp;"-"&amp;TEXT(A2659,"hh"),LoadTable[],5,FALSE)*0.92</f>
        <v>236.10788000000002</v>
      </c>
      <c r="U2659" s="104">
        <f>VLOOKUP(TEXT(A2659,"yy-mm")&amp;"-"&amp;IF(AND(WEEKDAY(A2659)&gt;1,WEEKDAY(A2659)&lt;7),"Wkd",TEXT(A2659,"Ddd"))&amp;"-"&amp;TEXT(A2659,"hh"),LoadTable[],6,FALSE)*T2659</f>
        <v>10648.93760376</v>
      </c>
      <c r="V2659">
        <f t="shared" ref="V2659:W2659" si="2841">V2635</f>
        <v>3.5</v>
      </c>
      <c r="W2659">
        <f t="shared" si="2841"/>
        <v>3</v>
      </c>
      <c r="X2659" s="9">
        <v>-146.06376666667299</v>
      </c>
    </row>
    <row r="2660" spans="1:24">
      <c r="A2660" s="29">
        <f t="shared" si="2806"/>
        <v>45946.708333326889</v>
      </c>
      <c r="B2660" s="30">
        <f t="shared" si="2830"/>
        <v>8000</v>
      </c>
      <c r="C2660" s="8">
        <v>25000</v>
      </c>
      <c r="D2660" s="8">
        <v>0</v>
      </c>
      <c r="E2660" s="8">
        <v>700</v>
      </c>
      <c r="F2660" s="8">
        <v>15000</v>
      </c>
      <c r="G2660" s="30">
        <f t="shared" si="2831"/>
        <v>2400</v>
      </c>
      <c r="H2660" s="8">
        <v>25000</v>
      </c>
      <c r="I2660" s="30">
        <f t="shared" si="2832"/>
        <v>8000</v>
      </c>
      <c r="J2660" s="8">
        <v>25000</v>
      </c>
      <c r="K2660" s="30">
        <f t="shared" si="2833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VLOOKUP(VLOOKUP(DATEVALUE(TEXT(A2660,"m/d/yyyy")),FY24_Temp[],5,FALSE)&amp;TEXT(A2660,"-h"),Table6[],4,FALSE)</f>
        <v>0.81442855937140324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VLOOKUP(TEXT(A2660,"yy-mm")&amp;"-"&amp;IF(AND(WEEKDAY(A2660)&gt;1,WEEKDAY(A2660)&lt;7),"Wkd",TEXT(A2660,"Ddd"))&amp;"-"&amp;TEXT(A2660,"hh"),LoadTable[],5,FALSE)*0.92</f>
        <v>236.10788000000002</v>
      </c>
      <c r="U2660" s="104">
        <f>VLOOKUP(TEXT(A2660,"yy-mm")&amp;"-"&amp;IF(AND(WEEKDAY(A2660)&gt;1,WEEKDAY(A2660)&lt;7),"Wkd",TEXT(A2660,"Ddd"))&amp;"-"&amp;TEXT(A2660,"hh"),LoadTable[],6,FALSE)*T2660</f>
        <v>11157.513977280001</v>
      </c>
      <c r="V2660">
        <f t="shared" ref="V2660:W2660" si="2842">V2636</f>
        <v>3.6</v>
      </c>
      <c r="W2660">
        <f t="shared" si="2842"/>
        <v>3</v>
      </c>
      <c r="X2660" s="9">
        <v>-146.14156121667301</v>
      </c>
    </row>
    <row r="2661" spans="1:24">
      <c r="A2661" s="29">
        <f t="shared" si="2806"/>
        <v>45946.749999993554</v>
      </c>
      <c r="B2661" s="30">
        <f t="shared" si="2830"/>
        <v>5000</v>
      </c>
      <c r="C2661" s="8">
        <v>25000</v>
      </c>
      <c r="D2661" s="8">
        <v>0</v>
      </c>
      <c r="E2661" s="8">
        <v>700</v>
      </c>
      <c r="F2661" s="8">
        <v>15000</v>
      </c>
      <c r="G2661" s="30">
        <f t="shared" si="2831"/>
        <v>2400</v>
      </c>
      <c r="H2661" s="8">
        <v>25000</v>
      </c>
      <c r="I2661" s="30">
        <f t="shared" si="2832"/>
        <v>5000</v>
      </c>
      <c r="J2661" s="8">
        <v>25000</v>
      </c>
      <c r="K2661" s="30">
        <f t="shared" si="2833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VLOOKUP(VLOOKUP(DATEVALUE(TEXT(A2661,"m/d/yyyy")),FY24_Temp[],5,FALSE)&amp;TEXT(A2661,"-h"),Table6[],4,FALSE)</f>
        <v>0.94428572484425133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VLOOKUP(TEXT(A2661,"yy-mm")&amp;"-"&amp;IF(AND(WEEKDAY(A2661)&gt;1,WEEKDAY(A2661)&lt;7),"Wkd",TEXT(A2661,"Ddd"))&amp;"-"&amp;TEXT(A2661,"hh"),LoadTable[],5,FALSE)*0.92</f>
        <v>308.12363999999997</v>
      </c>
      <c r="U2661" s="104">
        <f>VLOOKUP(TEXT(A2661,"yy-mm")&amp;"-"&amp;IF(AND(WEEKDAY(A2661)&gt;1,WEEKDAY(A2661)&lt;7),"Wkd",TEXT(A2661,"Ddd"))&amp;"-"&amp;TEXT(A2661,"hh"),LoadTable[],6,FALSE)*T2661</f>
        <v>15139.963175039999</v>
      </c>
      <c r="V2661">
        <f t="shared" ref="V2661:W2661" si="2843">V2637</f>
        <v>2.9</v>
      </c>
      <c r="W2661">
        <f t="shared" si="2843"/>
        <v>3</v>
      </c>
      <c r="X2661" s="9">
        <v>-146.219355766673</v>
      </c>
    </row>
    <row r="2662" spans="1:24">
      <c r="A2662" s="29">
        <f t="shared" si="2806"/>
        <v>45946.791666660218</v>
      </c>
      <c r="B2662" s="30">
        <f t="shared" si="2830"/>
        <v>5000</v>
      </c>
      <c r="C2662" s="8">
        <v>25000</v>
      </c>
      <c r="D2662" s="8">
        <v>0</v>
      </c>
      <c r="E2662" s="8">
        <v>700</v>
      </c>
      <c r="F2662" s="8">
        <v>15000</v>
      </c>
      <c r="G2662" s="30">
        <f t="shared" si="2831"/>
        <v>2400</v>
      </c>
      <c r="H2662" s="8">
        <v>25000</v>
      </c>
      <c r="I2662" s="30">
        <f t="shared" si="2832"/>
        <v>5000</v>
      </c>
      <c r="J2662" s="8">
        <v>25000</v>
      </c>
      <c r="K2662" s="30">
        <f t="shared" si="2833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VLOOKUP(VLOOKUP(DATEVALUE(TEXT(A2662,"m/d/yyyy")),FY24_Temp[],5,FALSE)&amp;TEXT(A2662,"-h"),Table6[],4,FALSE)</f>
        <v>1.0365714345659529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VLOOKUP(TEXT(A2662,"yy-mm")&amp;"-"&amp;IF(AND(WEEKDAY(A2662)&gt;1,WEEKDAY(A2662)&lt;7),"Wkd",TEXT(A2662,"Ddd"))&amp;"-"&amp;TEXT(A2662,"hh"),LoadTable[],5,FALSE)*0.92</f>
        <v>308.12363999999997</v>
      </c>
      <c r="U2662" s="104">
        <f>VLOOKUP(TEXT(A2662,"yy-mm")&amp;"-"&amp;IF(AND(WEEKDAY(A2662)&gt;1,WEEKDAY(A2662)&lt;7),"Wkd",TEXT(A2662,"Ddd"))&amp;"-"&amp;TEXT(A2662,"hh"),LoadTable[],6,FALSE)*T2662</f>
        <v>15247.806449039997</v>
      </c>
      <c r="V2662">
        <f t="shared" ref="V2662:W2662" si="2844">V2638</f>
        <v>3</v>
      </c>
      <c r="W2662">
        <f t="shared" si="2844"/>
        <v>3</v>
      </c>
      <c r="X2662" s="9">
        <v>-146.297150316673</v>
      </c>
    </row>
    <row r="2663" spans="1:24">
      <c r="A2663" s="29">
        <f t="shared" si="2806"/>
        <v>45946.833333326882</v>
      </c>
      <c r="B2663" s="30">
        <f t="shared" si="2830"/>
        <v>5000</v>
      </c>
      <c r="C2663" s="8">
        <v>25000</v>
      </c>
      <c r="D2663" s="8">
        <v>0</v>
      </c>
      <c r="E2663" s="8">
        <v>700</v>
      </c>
      <c r="F2663" s="8">
        <v>15000</v>
      </c>
      <c r="G2663" s="30">
        <f t="shared" si="2831"/>
        <v>2400</v>
      </c>
      <c r="H2663" s="8">
        <v>25000</v>
      </c>
      <c r="I2663" s="30">
        <f t="shared" si="2832"/>
        <v>5000</v>
      </c>
      <c r="J2663" s="8">
        <v>25000</v>
      </c>
      <c r="K2663" s="30">
        <f t="shared" si="2833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VLOOKUP(VLOOKUP(DATEVALUE(TEXT(A2663,"m/d/yyyy")),FY24_Temp[],5,FALSE)&amp;TEXT(A2663,"-h"),Table6[],4,FALSE)</f>
        <v>1.1094285760607039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VLOOKUP(TEXT(A2663,"yy-mm")&amp;"-"&amp;IF(AND(WEEKDAY(A2663)&gt;1,WEEKDAY(A2663)&lt;7),"Wkd",TEXT(A2663,"Ddd"))&amp;"-"&amp;TEXT(A2663,"hh"),LoadTable[],5,FALSE)*0.92</f>
        <v>308.12363999999997</v>
      </c>
      <c r="U2663" s="104">
        <f>VLOOKUP(TEXT(A2663,"yy-mm")&amp;"-"&amp;IF(AND(WEEKDAY(A2663)&gt;1,WEEKDAY(A2663)&lt;7),"Wkd",TEXT(A2663,"Ddd"))&amp;"-"&amp;TEXT(A2663,"hh"),LoadTable[],6,FALSE)*T2663</f>
        <v>15157.218098879999</v>
      </c>
      <c r="V2663">
        <f t="shared" ref="V2663:W2663" si="2845">V2639</f>
        <v>2.8</v>
      </c>
      <c r="W2663">
        <f t="shared" si="2845"/>
        <v>3.1</v>
      </c>
      <c r="X2663" s="9">
        <v>-146.37494486667299</v>
      </c>
    </row>
    <row r="2664" spans="1:24">
      <c r="A2664" s="29">
        <f t="shared" si="2806"/>
        <v>45946.874999993546</v>
      </c>
      <c r="B2664" s="30">
        <f t="shared" si="2830"/>
        <v>5000</v>
      </c>
      <c r="C2664" s="8">
        <v>25000</v>
      </c>
      <c r="D2664" s="8">
        <v>0</v>
      </c>
      <c r="E2664" s="8">
        <v>700</v>
      </c>
      <c r="F2664" s="8">
        <v>15000</v>
      </c>
      <c r="G2664" s="30">
        <f t="shared" si="2831"/>
        <v>2400</v>
      </c>
      <c r="H2664" s="8">
        <v>25000</v>
      </c>
      <c r="I2664" s="30">
        <f t="shared" si="2832"/>
        <v>5000</v>
      </c>
      <c r="J2664" s="8">
        <v>25000</v>
      </c>
      <c r="K2664" s="30">
        <f t="shared" si="2833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VLOOKUP(VLOOKUP(DATEVALUE(TEXT(A2664,"m/d/yyyy")),FY24_Temp[],5,FALSE)&amp;TEXT(A2664,"-h"),Table6[],4,FALSE)</f>
        <v>1.2048571450369698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VLOOKUP(TEXT(A2664,"yy-mm")&amp;"-"&amp;IF(AND(WEEKDAY(A2664)&gt;1,WEEKDAY(A2664)&lt;7),"Wkd",TEXT(A2664,"Ddd"))&amp;"-"&amp;TEXT(A2664,"hh"),LoadTable[],5,FALSE)*0.92</f>
        <v>234.33964000000003</v>
      </c>
      <c r="U2664" s="104">
        <f>VLOOKUP(TEXT(A2664,"yy-mm")&amp;"-"&amp;IF(AND(WEEKDAY(A2664)&gt;1,WEEKDAY(A2664)&lt;7),"Wkd",TEXT(A2664,"Ddd"))&amp;"-"&amp;TEXT(A2664,"hh"),LoadTable[],6,FALSE)*T2664</f>
        <v>11344.147632760001</v>
      </c>
      <c r="V2664">
        <f t="shared" ref="V2664:W2664" si="2846">V2640</f>
        <v>3.5</v>
      </c>
      <c r="W2664">
        <f t="shared" si="2846"/>
        <v>3.1</v>
      </c>
      <c r="X2664" s="9">
        <v>-146.45273941667301</v>
      </c>
    </row>
    <row r="2665" spans="1:24">
      <c r="A2665" s="29">
        <f t="shared" si="2806"/>
        <v>45946.91666666021</v>
      </c>
      <c r="B2665" s="30">
        <f t="shared" si="2830"/>
        <v>5000</v>
      </c>
      <c r="C2665" s="8">
        <v>25000</v>
      </c>
      <c r="D2665" s="8">
        <v>0</v>
      </c>
      <c r="E2665" s="8">
        <v>700</v>
      </c>
      <c r="F2665" s="8">
        <v>15000</v>
      </c>
      <c r="G2665" s="30">
        <f t="shared" si="2831"/>
        <v>2400</v>
      </c>
      <c r="H2665" s="8">
        <v>25000</v>
      </c>
      <c r="I2665" s="30">
        <f t="shared" si="2832"/>
        <v>5000</v>
      </c>
      <c r="J2665" s="8">
        <v>25000</v>
      </c>
      <c r="K2665" s="30">
        <f t="shared" si="2833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VLOOKUP(VLOOKUP(DATEVALUE(TEXT(A2665,"m/d/yyyy")),FY24_Temp[],5,FALSE)&amp;TEXT(A2665,"-h"),Table6[],4,FALSE)</f>
        <v>1.2747142825807845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VLOOKUP(TEXT(A2665,"yy-mm")&amp;"-"&amp;IF(AND(WEEKDAY(A2665)&gt;1,WEEKDAY(A2665)&lt;7),"Wkd",TEXT(A2665,"Ddd"))&amp;"-"&amp;TEXT(A2665,"hh"),LoadTable[],5,FALSE)*0.92</f>
        <v>180.62544</v>
      </c>
      <c r="U2665" s="104">
        <f>VLOOKUP(TEXT(A2665,"yy-mm")&amp;"-"&amp;IF(AND(WEEKDAY(A2665)&gt;1,WEEKDAY(A2665)&lt;7),"Wkd",TEXT(A2665,"Ddd"))&amp;"-"&amp;TEXT(A2665,"hh"),LoadTable[],6,FALSE)*T2665</f>
        <v>8304.2546039999997</v>
      </c>
      <c r="V2665">
        <f t="shared" ref="V2665:W2665" si="2847">V2641</f>
        <v>2.9</v>
      </c>
      <c r="W2665">
        <f t="shared" si="2847"/>
        <v>3.1</v>
      </c>
      <c r="X2665" s="9">
        <v>-146.530533966673</v>
      </c>
    </row>
    <row r="2666" spans="1:24">
      <c r="A2666" s="29">
        <f t="shared" si="2806"/>
        <v>45946.958333326875</v>
      </c>
      <c r="B2666" s="30">
        <f t="shared" si="2830"/>
        <v>5000</v>
      </c>
      <c r="C2666" s="41">
        <v>25000</v>
      </c>
      <c r="D2666" s="41">
        <v>0</v>
      </c>
      <c r="E2666" s="41">
        <v>700</v>
      </c>
      <c r="F2666" s="41">
        <v>15000</v>
      </c>
      <c r="G2666" s="30">
        <f t="shared" si="2831"/>
        <v>2400</v>
      </c>
      <c r="H2666" s="41">
        <v>25000</v>
      </c>
      <c r="I2666" s="30">
        <f t="shared" si="2832"/>
        <v>5000</v>
      </c>
      <c r="J2666" s="41">
        <v>25000</v>
      </c>
      <c r="K2666" s="30">
        <f t="shared" si="2833"/>
        <v>5000</v>
      </c>
      <c r="L2666" s="41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84">
        <v>13.5</v>
      </c>
      <c r="P2666" s="84">
        <v>19.5</v>
      </c>
      <c r="Q2666" s="85">
        <f>VLOOKUP(VLOOKUP(DATEVALUE(TEXT(A2666,"m/d/yyyy")),FY24_Temp[],5,FALSE)&amp;TEXT(A2666,"-h"),Table6[],4,FALSE)</f>
        <v>1.2435714176722936</v>
      </c>
      <c r="R2666">
        <v>10</v>
      </c>
      <c r="S2666">
        <v>1000</v>
      </c>
      <c r="T2666" s="98">
        <f>VLOOKUP(TEXT(A2666,"yy-mm")&amp;"-"&amp;IF(AND(WEEKDAY(A2666)&gt;1,WEEKDAY(A2666)&lt;7),"Wkd",TEXT(A2666,"Ddd"))&amp;"-"&amp;TEXT(A2666,"hh"),LoadTable[],5,FALSE)*0.92</f>
        <v>180.62544</v>
      </c>
      <c r="U2666" s="104">
        <f>VLOOKUP(TEXT(A2666,"yy-mm")&amp;"-"&amp;IF(AND(WEEKDAY(A2666)&gt;1,WEEKDAY(A2666)&lt;7),"Wkd",TEXT(A2666,"Ddd"))&amp;"-"&amp;TEXT(A2666,"hh"),LoadTable[],6,FALSE)*T2666</f>
        <v>8217.1931419200009</v>
      </c>
      <c r="V2666">
        <f t="shared" ref="V2666:W2666" si="2848">V2642</f>
        <v>3.6</v>
      </c>
      <c r="W2666">
        <f t="shared" si="2848"/>
        <v>3.1</v>
      </c>
      <c r="X2666" s="84">
        <v>-146.608328516673</v>
      </c>
    </row>
    <row r="2667" spans="1:24">
      <c r="A2667" s="29">
        <f t="shared" si="2806"/>
        <v>45946.999999993539</v>
      </c>
      <c r="B2667" s="30">
        <f t="shared" si="2830"/>
        <v>5000</v>
      </c>
      <c r="C2667" s="8">
        <v>25000</v>
      </c>
      <c r="D2667" s="8">
        <v>0</v>
      </c>
      <c r="E2667" s="8">
        <v>700</v>
      </c>
      <c r="F2667" s="8">
        <v>15000</v>
      </c>
      <c r="G2667" s="30">
        <f t="shared" si="2831"/>
        <v>2400</v>
      </c>
      <c r="H2667" s="8">
        <v>25000</v>
      </c>
      <c r="I2667" s="30">
        <f t="shared" si="2832"/>
        <v>5000</v>
      </c>
      <c r="J2667" s="8">
        <v>25000</v>
      </c>
      <c r="K2667" s="30">
        <f t="shared" si="2833"/>
        <v>5000</v>
      </c>
      <c r="L2667" s="8">
        <v>25000</v>
      </c>
      <c r="M2667" s="9">
        <f>VLOOKUP(DATE(YEAR(A2667),MONTH(A2667),DAY(A2667)),FY24_Temp[],4,FALSE)</f>
        <v>9</v>
      </c>
      <c r="N2667" s="9">
        <f>VLOOKUP(DATE(YEAR(A2667),MONTH(A2667),DAY(A2667)),FY24_Temp[],3,FALSE)</f>
        <v>17.25</v>
      </c>
      <c r="O2667" s="9">
        <v>13.5</v>
      </c>
      <c r="P2667" s="9">
        <v>19.5</v>
      </c>
      <c r="Q2667" s="79">
        <f>VLOOKUP(VLOOKUP(DATEVALUE(TEXT(A2667,"m/d/yyyy")),FY24_Temp[],5,FALSE)&amp;TEXT(A2667,"-h"),Table6[],4,FALSE)</f>
        <v>1.232285703931536</v>
      </c>
      <c r="R2667">
        <v>10</v>
      </c>
      <c r="S2667">
        <v>1000</v>
      </c>
      <c r="T2667" s="5">
        <f>VLOOKUP(TEXT(A2667,"yy-mm")&amp;"-"&amp;IF(AND(WEEKDAY(A2667)&gt;1,WEEKDAY(A2667)&lt;7),"Wkd",TEXT(A2667,"Ddd"))&amp;"-"&amp;TEXT(A2667,"hh"),LoadTable[],5,FALSE)*0.92</f>
        <v>180.62544</v>
      </c>
      <c r="U2667" s="104">
        <f>VLOOKUP(TEXT(A2667,"yy-mm")&amp;"-"&amp;IF(AND(WEEKDAY(A2667)&gt;1,WEEKDAY(A2667)&lt;7),"Wkd",TEXT(A2667,"Ddd"))&amp;"-"&amp;TEXT(A2667,"hh"),LoadTable[],6,FALSE)*T2667</f>
        <v>8132.4798105600003</v>
      </c>
      <c r="V2667">
        <f t="shared" ref="V2667:W2667" si="2849">V2643</f>
        <v>3</v>
      </c>
      <c r="W2667">
        <f t="shared" si="2849"/>
        <v>3.2</v>
      </c>
      <c r="X2667" s="9">
        <v>-146.68612306667299</v>
      </c>
    </row>
    <row r="2668" spans="1:24">
      <c r="A2668" s="29">
        <f t="shared" si="2806"/>
        <v>45947.041666660203</v>
      </c>
      <c r="B2668" s="30">
        <f t="shared" si="2830"/>
        <v>5000</v>
      </c>
      <c r="C2668" s="42">
        <v>25000</v>
      </c>
      <c r="D2668" s="42">
        <v>0</v>
      </c>
      <c r="E2668" s="42">
        <v>700</v>
      </c>
      <c r="F2668" s="42">
        <v>15000</v>
      </c>
      <c r="G2668" s="30">
        <f t="shared" si="2831"/>
        <v>2400</v>
      </c>
      <c r="H2668" s="42">
        <v>25000</v>
      </c>
      <c r="I2668" s="30">
        <f t="shared" si="2832"/>
        <v>5000</v>
      </c>
      <c r="J2668" s="42">
        <v>25000</v>
      </c>
      <c r="K2668" s="30">
        <f t="shared" si="2833"/>
        <v>5000</v>
      </c>
      <c r="L2668" s="42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86">
        <v>13.5</v>
      </c>
      <c r="P2668" s="86">
        <v>19.5</v>
      </c>
      <c r="Q2668" s="87">
        <f>VLOOKUP(VLOOKUP(DATEVALUE(TEXT(A2668,"m/d/yyyy")),FY24_Temp[],5,FALSE)&amp;TEXT(A2668,"-h"),Table6[],4,FALSE)</f>
        <v>1.2795714139938354</v>
      </c>
      <c r="R2668">
        <v>10</v>
      </c>
      <c r="S2668">
        <v>1000</v>
      </c>
      <c r="T2668" s="99">
        <f>VLOOKUP(TEXT(A2668,"yy-mm")&amp;"-"&amp;IF(AND(WEEKDAY(A2668)&gt;1,WEEKDAY(A2668)&lt;7),"Wkd",TEXT(A2668,"Ddd"))&amp;"-"&amp;TEXT(A2668,"hh"),LoadTable[],5,FALSE)*0.92</f>
        <v>180.62544</v>
      </c>
      <c r="U2668" s="104">
        <f>VLOOKUP(TEXT(A2668,"yy-mm")&amp;"-"&amp;IF(AND(WEEKDAY(A2668)&gt;1,WEEKDAY(A2668)&lt;7),"Wkd",TEXT(A2668,"Ddd"))&amp;"-"&amp;TEXT(A2668,"hh"),LoadTable[],6,FALSE)*T2668</f>
        <v>8124.71291664</v>
      </c>
      <c r="V2668">
        <f t="shared" ref="V2668:W2668" si="2850">V2644</f>
        <v>2.6</v>
      </c>
      <c r="W2668">
        <f t="shared" si="2850"/>
        <v>3.2</v>
      </c>
      <c r="X2668" s="86">
        <v>-146.76391761667301</v>
      </c>
    </row>
    <row r="2669" spans="1:24">
      <c r="A2669" s="29">
        <f t="shared" si="2806"/>
        <v>45947.083333326867</v>
      </c>
      <c r="B2669" s="30">
        <f t="shared" si="2830"/>
        <v>5000</v>
      </c>
      <c r="C2669" s="8">
        <v>25000</v>
      </c>
      <c r="D2669" s="8">
        <v>0</v>
      </c>
      <c r="E2669" s="8">
        <v>700</v>
      </c>
      <c r="F2669" s="8">
        <v>15000</v>
      </c>
      <c r="G2669" s="30">
        <f t="shared" si="2831"/>
        <v>2400</v>
      </c>
      <c r="H2669" s="8">
        <v>25000</v>
      </c>
      <c r="I2669" s="30">
        <f t="shared" si="2832"/>
        <v>5000</v>
      </c>
      <c r="J2669" s="8">
        <v>25000</v>
      </c>
      <c r="K2669" s="30">
        <f t="shared" si="2833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VLOOKUP(VLOOKUP(DATEVALUE(TEXT(A2669,"m/d/yyyy")),FY24_Temp[],5,FALSE)&amp;TEXT(A2669,"-h"),Table6[],4,FALSE)</f>
        <v>1.2324285677501134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VLOOKUP(TEXT(A2669,"yy-mm")&amp;"-"&amp;IF(AND(WEEKDAY(A2669)&gt;1,WEEKDAY(A2669)&lt;7),"Wkd",TEXT(A2669,"Ddd"))&amp;"-"&amp;TEXT(A2669,"hh"),LoadTable[],5,FALSE)*0.92</f>
        <v>180.62544</v>
      </c>
      <c r="U2669" s="104">
        <f>VLOOKUP(TEXT(A2669,"yy-mm")&amp;"-"&amp;IF(AND(WEEKDAY(A2669)&gt;1,WEEKDAY(A2669)&lt;7),"Wkd",TEXT(A2669,"Ddd"))&amp;"-"&amp;TEXT(A2669,"hh"),LoadTable[],6,FALSE)*T2669</f>
        <v>8120.1972806400008</v>
      </c>
      <c r="V2669">
        <f t="shared" ref="V2669:W2669" si="2851">V2645</f>
        <v>2.8</v>
      </c>
      <c r="W2669">
        <f t="shared" si="2851"/>
        <v>3.2</v>
      </c>
      <c r="X2669" s="9">
        <v>-146.84171216667301</v>
      </c>
    </row>
    <row r="2670" spans="1:24">
      <c r="A2670" s="29">
        <f t="shared" si="2806"/>
        <v>45947.124999993532</v>
      </c>
      <c r="B2670" s="30">
        <f t="shared" si="2830"/>
        <v>5000</v>
      </c>
      <c r="C2670" s="8">
        <v>25000</v>
      </c>
      <c r="D2670" s="8">
        <v>0</v>
      </c>
      <c r="E2670" s="8">
        <v>700</v>
      </c>
      <c r="F2670" s="8">
        <v>15000</v>
      </c>
      <c r="G2670" s="30">
        <f t="shared" si="2831"/>
        <v>2400</v>
      </c>
      <c r="H2670" s="8">
        <v>25000</v>
      </c>
      <c r="I2670" s="30">
        <f t="shared" si="2832"/>
        <v>5000</v>
      </c>
      <c r="J2670" s="8">
        <v>25000</v>
      </c>
      <c r="K2670" s="30">
        <f t="shared" si="2833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VLOOKUP(VLOOKUP(DATEVALUE(TEXT(A2670,"m/d/yyyy")),FY24_Temp[],5,FALSE)&amp;TEXT(A2670,"-h"),Table6[],4,FALSE)</f>
        <v>1.132857152393886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VLOOKUP(TEXT(A2670,"yy-mm")&amp;"-"&amp;IF(AND(WEEKDAY(A2670)&gt;1,WEEKDAY(A2670)&lt;7),"Wkd",TEXT(A2670,"Ddd"))&amp;"-"&amp;TEXT(A2670,"hh"),LoadTable[],5,FALSE)*0.92</f>
        <v>180.62544</v>
      </c>
      <c r="U2670" s="104">
        <f>VLOOKUP(TEXT(A2670,"yy-mm")&amp;"-"&amp;IF(AND(WEEKDAY(A2670)&gt;1,WEEKDAY(A2670)&lt;7),"Wkd",TEXT(A2670,"Ddd"))&amp;"-"&amp;TEXT(A2670,"hh"),LoadTable[],6,FALSE)*T2670</f>
        <v>8141.3304571199997</v>
      </c>
      <c r="V2670">
        <f t="shared" ref="V2670:W2670" si="2852">V2646</f>
        <v>2.7</v>
      </c>
      <c r="W2670">
        <f t="shared" si="2852"/>
        <v>3.2</v>
      </c>
      <c r="X2670" s="9">
        <v>-146.919506716673</v>
      </c>
    </row>
    <row r="2671" spans="1:24">
      <c r="A2671" s="29">
        <f t="shared" si="2806"/>
        <v>45947.166666660196</v>
      </c>
      <c r="B2671" s="30">
        <f t="shared" si="2830"/>
        <v>5000</v>
      </c>
      <c r="C2671" s="8">
        <v>25000</v>
      </c>
      <c r="D2671" s="8">
        <v>0</v>
      </c>
      <c r="E2671" s="8">
        <v>700</v>
      </c>
      <c r="F2671" s="8">
        <v>15000</v>
      </c>
      <c r="G2671" s="30">
        <f t="shared" si="2831"/>
        <v>2400</v>
      </c>
      <c r="H2671" s="8">
        <v>25000</v>
      </c>
      <c r="I2671" s="30">
        <f t="shared" si="2832"/>
        <v>5000</v>
      </c>
      <c r="J2671" s="8">
        <v>25000</v>
      </c>
      <c r="K2671" s="30">
        <f t="shared" si="2833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VLOOKUP(VLOOKUP(DATEVALUE(TEXT(A2671,"m/d/yyyy")),FY24_Temp[],5,FALSE)&amp;TEXT(A2671,"-h"),Table6[],4,FALSE)</f>
        <v>1.0471428547586714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VLOOKUP(TEXT(A2671,"yy-mm")&amp;"-"&amp;IF(AND(WEEKDAY(A2671)&gt;1,WEEKDAY(A2671)&lt;7),"Wkd",TEXT(A2671,"Ddd"))&amp;"-"&amp;TEXT(A2671,"hh"),LoadTable[],5,FALSE)*0.92</f>
        <v>180.62544</v>
      </c>
      <c r="U2671" s="104">
        <f>VLOOKUP(TEXT(A2671,"yy-mm")&amp;"-"&amp;IF(AND(WEEKDAY(A2671)&gt;1,WEEKDAY(A2671)&lt;7),"Wkd",TEXT(A2671,"Ddd"))&amp;"-"&amp;TEXT(A2671,"hh"),LoadTable[],6,FALSE)*T2671</f>
        <v>8184.86118816</v>
      </c>
      <c r="V2671">
        <f t="shared" ref="V2671:W2671" si="2853">V2647</f>
        <v>3</v>
      </c>
      <c r="W2671">
        <f t="shared" si="2853"/>
        <v>3.1</v>
      </c>
      <c r="X2671" s="9">
        <v>-146.99730126667299</v>
      </c>
    </row>
    <row r="2672" spans="1:24">
      <c r="A2672" s="29">
        <f t="shared" si="2806"/>
        <v>45947.20833332686</v>
      </c>
      <c r="B2672" s="30">
        <f t="shared" si="2830"/>
        <v>5000</v>
      </c>
      <c r="C2672" s="8">
        <v>25000</v>
      </c>
      <c r="D2672" s="8">
        <v>0</v>
      </c>
      <c r="E2672" s="8">
        <v>700</v>
      </c>
      <c r="F2672" s="8">
        <v>15000</v>
      </c>
      <c r="G2672" s="30">
        <f t="shared" si="2831"/>
        <v>2400</v>
      </c>
      <c r="H2672" s="8">
        <v>25000</v>
      </c>
      <c r="I2672" s="30">
        <f t="shared" si="2832"/>
        <v>5000</v>
      </c>
      <c r="J2672" s="8">
        <v>25000</v>
      </c>
      <c r="K2672" s="30">
        <f t="shared" si="2833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VLOOKUP(VLOOKUP(DATEVALUE(TEXT(A2672,"m/d/yyyy")),FY24_Temp[],5,FALSE)&amp;TEXT(A2672,"-h"),Table6[],4,FALSE)</f>
        <v>1.0077142885753088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VLOOKUP(TEXT(A2672,"yy-mm")&amp;"-"&amp;IF(AND(WEEKDAY(A2672)&gt;1,WEEKDAY(A2672)&lt;7),"Wkd",TEXT(A2672,"Ddd"))&amp;"-"&amp;TEXT(A2672,"hh"),LoadTable[],5,FALSE)*0.92</f>
        <v>275.09195999999997</v>
      </c>
      <c r="U2672" s="104">
        <f>VLOOKUP(TEXT(A2672,"yy-mm")&amp;"-"&amp;IF(AND(WEEKDAY(A2672)&gt;1,WEEKDAY(A2672)&lt;7),"Wkd",TEXT(A2672,"Ddd"))&amp;"-"&amp;TEXT(A2672,"hh"),LoadTable[],6,FALSE)*T2672</f>
        <v>12729.880448999998</v>
      </c>
      <c r="V2672">
        <f t="shared" ref="V2672:W2672" si="2854">V2648</f>
        <v>2.9</v>
      </c>
      <c r="W2672">
        <f t="shared" si="2854"/>
        <v>3.1</v>
      </c>
      <c r="X2672" s="9">
        <v>-147.07509581667301</v>
      </c>
    </row>
    <row r="2673" spans="1:24">
      <c r="A2673" s="29">
        <f t="shared" si="2806"/>
        <v>45947.249999993524</v>
      </c>
      <c r="B2673" s="30">
        <f t="shared" si="2830"/>
        <v>8000</v>
      </c>
      <c r="C2673" s="8">
        <v>25000</v>
      </c>
      <c r="D2673" s="8">
        <v>0</v>
      </c>
      <c r="E2673" s="8">
        <v>700</v>
      </c>
      <c r="F2673" s="8">
        <v>15000</v>
      </c>
      <c r="G2673" s="30">
        <f t="shared" si="2831"/>
        <v>2400</v>
      </c>
      <c r="H2673" s="8">
        <v>25000</v>
      </c>
      <c r="I2673" s="30">
        <f t="shared" si="2832"/>
        <v>8000</v>
      </c>
      <c r="J2673" s="8">
        <v>25000</v>
      </c>
      <c r="K2673" s="30">
        <f t="shared" si="2833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VLOOKUP(VLOOKUP(DATEVALUE(TEXT(A2673,"m/d/yyyy")),FY24_Temp[],5,FALSE)&amp;TEXT(A2673,"-h"),Table6[],4,FALSE)</f>
        <v>0.85642857210976742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VLOOKUP(TEXT(A2673,"yy-mm")&amp;"-"&amp;IF(AND(WEEKDAY(A2673)&gt;1,WEEKDAY(A2673)&lt;7),"Wkd",TEXT(A2673,"Ddd"))&amp;"-"&amp;TEXT(A2673,"hh"),LoadTable[],5,FALSE)*0.92</f>
        <v>275.09195999999997</v>
      </c>
      <c r="U2673" s="104">
        <f>VLOOKUP(TEXT(A2673,"yy-mm")&amp;"-"&amp;IF(AND(WEEKDAY(A2673)&gt;1,WEEKDAY(A2673)&lt;7),"Wkd",TEXT(A2673,"Ddd"))&amp;"-"&amp;TEXT(A2673,"hh"),LoadTable[],6,FALSE)*T2673</f>
        <v>13284.465840359997</v>
      </c>
      <c r="V2673">
        <f t="shared" ref="V2673:W2673" si="2855">V2649</f>
        <v>2.5</v>
      </c>
      <c r="W2673">
        <f t="shared" si="2855"/>
        <v>3.1</v>
      </c>
      <c r="X2673" s="9">
        <v>-147.15289036667301</v>
      </c>
    </row>
    <row r="2674" spans="1:24">
      <c r="A2674" s="29">
        <f t="shared" si="2806"/>
        <v>45947.291666660189</v>
      </c>
      <c r="B2674" s="30">
        <f t="shared" si="2830"/>
        <v>8000</v>
      </c>
      <c r="C2674" s="8">
        <v>25000</v>
      </c>
      <c r="D2674" s="8">
        <v>0</v>
      </c>
      <c r="E2674" s="8">
        <v>700</v>
      </c>
      <c r="F2674" s="8">
        <v>15000</v>
      </c>
      <c r="G2674" s="30">
        <f t="shared" si="2831"/>
        <v>2400</v>
      </c>
      <c r="H2674" s="8">
        <v>25000</v>
      </c>
      <c r="I2674" s="30">
        <f t="shared" si="2832"/>
        <v>8000</v>
      </c>
      <c r="J2674" s="8">
        <v>25000</v>
      </c>
      <c r="K2674" s="30">
        <f t="shared" si="2833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VLOOKUP(VLOOKUP(DATEVALUE(TEXT(A2674,"m/d/yyyy")),FY24_Temp[],5,FALSE)&amp;TEXT(A2674,"-h"),Table6[],4,FALSE)</f>
        <v>0.70771429368427818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VLOOKUP(TEXT(A2674,"yy-mm")&amp;"-"&amp;IF(AND(WEEKDAY(A2674)&gt;1,WEEKDAY(A2674)&lt;7),"Wkd",TEXT(A2674,"Ddd"))&amp;"-"&amp;TEXT(A2674,"hh"),LoadTable[],5,FALSE)*0.92</f>
        <v>236.10788000000002</v>
      </c>
      <c r="U2674" s="104">
        <f>VLOOKUP(TEXT(A2674,"yy-mm")&amp;"-"&amp;IF(AND(WEEKDAY(A2674)&gt;1,WEEKDAY(A2674)&lt;7),"Wkd",TEXT(A2674,"Ddd"))&amp;"-"&amp;TEXT(A2674,"hh"),LoadTable[],6,FALSE)*T2674</f>
        <v>11438.48235448</v>
      </c>
      <c r="V2674">
        <f t="shared" ref="V2674:W2674" si="2856">V2650</f>
        <v>2.5</v>
      </c>
      <c r="W2674">
        <f t="shared" si="2856"/>
        <v>3.1</v>
      </c>
      <c r="X2674" s="9">
        <v>-147.230684916673</v>
      </c>
    </row>
    <row r="2675" spans="1:24">
      <c r="A2675" s="29">
        <f t="shared" si="2806"/>
        <v>45947.333333326853</v>
      </c>
      <c r="B2675" s="30">
        <f t="shared" si="2830"/>
        <v>8000</v>
      </c>
      <c r="C2675" s="8">
        <v>25000</v>
      </c>
      <c r="D2675" s="8">
        <v>0</v>
      </c>
      <c r="E2675" s="8">
        <v>700</v>
      </c>
      <c r="F2675" s="8">
        <v>15000</v>
      </c>
      <c r="G2675" s="30">
        <f t="shared" si="2831"/>
        <v>2400</v>
      </c>
      <c r="H2675" s="8">
        <v>25000</v>
      </c>
      <c r="I2675" s="30">
        <f t="shared" si="2832"/>
        <v>8000</v>
      </c>
      <c r="J2675" s="8">
        <v>25000</v>
      </c>
      <c r="K2675" s="30">
        <f t="shared" si="2833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VLOOKUP(VLOOKUP(DATEVALUE(TEXT(A2675,"m/d/yyyy")),FY24_Temp[],5,FALSE)&amp;TEXT(A2675,"-h"),Table6[],4,FALSE)</f>
        <v>0.6007142875875745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VLOOKUP(TEXT(A2675,"yy-mm")&amp;"-"&amp;IF(AND(WEEKDAY(A2675)&gt;1,WEEKDAY(A2675)&lt;7),"Wkd",TEXT(A2675,"Ddd"))&amp;"-"&amp;TEXT(A2675,"hh"),LoadTable[],5,FALSE)*0.92</f>
        <v>236.10788000000002</v>
      </c>
      <c r="U2675" s="104">
        <f>VLOOKUP(TEXT(A2675,"yy-mm")&amp;"-"&amp;IF(AND(WEEKDAY(A2675)&gt;1,WEEKDAY(A2675)&lt;7),"Wkd",TEXT(A2675,"Ddd"))&amp;"-"&amp;TEXT(A2675,"hh"),LoadTable[],6,FALSE)*T2675</f>
        <v>10919.281126360002</v>
      </c>
      <c r="V2675">
        <f t="shared" ref="V2675:W2675" si="2857">V2651</f>
        <v>3.2</v>
      </c>
      <c r="W2675">
        <f t="shared" si="2857"/>
        <v>3</v>
      </c>
      <c r="X2675" s="9">
        <v>-147.30847946667299</v>
      </c>
    </row>
    <row r="2676" spans="1:24">
      <c r="A2676" s="29">
        <f t="shared" si="2806"/>
        <v>45947.374999993517</v>
      </c>
      <c r="B2676" s="30">
        <f t="shared" si="2830"/>
        <v>8000</v>
      </c>
      <c r="C2676" s="8">
        <v>25000</v>
      </c>
      <c r="D2676" s="8">
        <v>0</v>
      </c>
      <c r="E2676" s="8">
        <v>700</v>
      </c>
      <c r="F2676" s="8">
        <v>15000</v>
      </c>
      <c r="G2676" s="30">
        <f t="shared" si="2831"/>
        <v>2400</v>
      </c>
      <c r="H2676" s="8">
        <v>25000</v>
      </c>
      <c r="I2676" s="30">
        <f t="shared" si="2832"/>
        <v>8000</v>
      </c>
      <c r="J2676" s="8">
        <v>25000</v>
      </c>
      <c r="K2676" s="30">
        <f t="shared" si="2833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VLOOKUP(VLOOKUP(DATEVALUE(TEXT(A2676,"m/d/yyyy")),FY24_Temp[],5,FALSE)&amp;TEXT(A2676,"-h"),Table6[],4,FALSE)</f>
        <v>0.50428572722843712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VLOOKUP(TEXT(A2676,"yy-mm")&amp;"-"&amp;IF(AND(WEEKDAY(A2676)&gt;1,WEEKDAY(A2676)&lt;7),"Wkd",TEXT(A2676,"Ddd"))&amp;"-"&amp;TEXT(A2676,"hh"),LoadTable[],5,FALSE)*0.92</f>
        <v>236.10788000000002</v>
      </c>
      <c r="U2676" s="104">
        <f>VLOOKUP(TEXT(A2676,"yy-mm")&amp;"-"&amp;IF(AND(WEEKDAY(A2676)&gt;1,WEEKDAY(A2676)&lt;7),"Wkd",TEXT(A2676,"Ddd"))&amp;"-"&amp;TEXT(A2676,"hh"),LoadTable[],6,FALSE)*T2676</f>
        <v>10592.271712560001</v>
      </c>
      <c r="V2676">
        <f t="shared" ref="V2676:W2676" si="2858">V2652</f>
        <v>2.9</v>
      </c>
      <c r="W2676">
        <f t="shared" si="2858"/>
        <v>3</v>
      </c>
      <c r="X2676" s="9">
        <v>-147.38627401667301</v>
      </c>
    </row>
    <row r="2677" spans="1:24">
      <c r="A2677" s="29">
        <f t="shared" si="2806"/>
        <v>45947.416666660181</v>
      </c>
      <c r="B2677" s="30">
        <f t="shared" si="2830"/>
        <v>8000</v>
      </c>
      <c r="C2677" s="8">
        <v>25000</v>
      </c>
      <c r="D2677" s="8">
        <v>0</v>
      </c>
      <c r="E2677" s="8">
        <v>700</v>
      </c>
      <c r="F2677" s="8">
        <v>15000</v>
      </c>
      <c r="G2677" s="30">
        <f t="shared" si="2831"/>
        <v>2400</v>
      </c>
      <c r="H2677" s="8">
        <v>25000</v>
      </c>
      <c r="I2677" s="30">
        <f t="shared" si="2832"/>
        <v>8000</v>
      </c>
      <c r="J2677" s="8">
        <v>25000</v>
      </c>
      <c r="K2677" s="30">
        <f t="shared" si="2833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VLOOKUP(VLOOKUP(DATEVALUE(TEXT(A2677,"m/d/yyyy")),FY24_Temp[],5,FALSE)&amp;TEXT(A2677,"-h"),Table6[],4,FALSE)</f>
        <v>0.40428571828774046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VLOOKUP(TEXT(A2677,"yy-mm")&amp;"-"&amp;IF(AND(WEEKDAY(A2677)&gt;1,WEEKDAY(A2677)&lt;7),"Wkd",TEXT(A2677,"Ddd"))&amp;"-"&amp;TEXT(A2677,"hh"),LoadTable[],5,FALSE)*0.92</f>
        <v>236.10788000000002</v>
      </c>
      <c r="U2677" s="104">
        <f>VLOOKUP(TEXT(A2677,"yy-mm")&amp;"-"&amp;IF(AND(WEEKDAY(A2677)&gt;1,WEEKDAY(A2677)&lt;7),"Wkd",TEXT(A2677,"Ddd"))&amp;"-"&amp;TEXT(A2677,"hh"),LoadTable[],6,FALSE)*T2677</f>
        <v>10565.591522120001</v>
      </c>
      <c r="V2677">
        <f t="shared" ref="V2677:W2677" si="2859">V2653</f>
        <v>2.9</v>
      </c>
      <c r="W2677">
        <f t="shared" si="2859"/>
        <v>3</v>
      </c>
      <c r="X2677" s="9">
        <v>-147.46406856667301</v>
      </c>
    </row>
    <row r="2678" spans="1:24">
      <c r="A2678" s="29">
        <f t="shared" si="2806"/>
        <v>45947.458333326846</v>
      </c>
      <c r="B2678" s="30">
        <f t="shared" si="2830"/>
        <v>8000</v>
      </c>
      <c r="C2678" s="8">
        <v>25000</v>
      </c>
      <c r="D2678" s="8">
        <v>0</v>
      </c>
      <c r="E2678" s="8">
        <v>700</v>
      </c>
      <c r="F2678" s="8">
        <v>15000</v>
      </c>
      <c r="G2678" s="30">
        <f t="shared" si="2831"/>
        <v>2400</v>
      </c>
      <c r="H2678" s="8">
        <v>25000</v>
      </c>
      <c r="I2678" s="30">
        <f t="shared" si="2832"/>
        <v>8000</v>
      </c>
      <c r="J2678" s="8">
        <v>25000</v>
      </c>
      <c r="K2678" s="30">
        <f t="shared" si="2833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VLOOKUP(VLOOKUP(DATEVALUE(TEXT(A2678,"m/d/yyyy")),FY24_Temp[],5,FALSE)&amp;TEXT(A2678,"-h"),Table6[],4,FALSE)</f>
        <v>0.29914285136120661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VLOOKUP(TEXT(A2678,"yy-mm")&amp;"-"&amp;IF(AND(WEEKDAY(A2678)&gt;1,WEEKDAY(A2678)&lt;7),"Wkd",TEXT(A2678,"Ddd"))&amp;"-"&amp;TEXT(A2678,"hh"),LoadTable[],5,FALSE)*0.92</f>
        <v>236.10788000000002</v>
      </c>
      <c r="U2678" s="104">
        <f>VLOOKUP(TEXT(A2678,"yy-mm")&amp;"-"&amp;IF(AND(WEEKDAY(A2678)&gt;1,WEEKDAY(A2678)&lt;7),"Wkd",TEXT(A2678,"Ddd"))&amp;"-"&amp;TEXT(A2678,"hh"),LoadTable[],6,FALSE)*T2678</f>
        <v>10548.355646880002</v>
      </c>
      <c r="V2678">
        <f t="shared" ref="V2678:W2678" si="2860">V2654</f>
        <v>3.4</v>
      </c>
      <c r="W2678">
        <f t="shared" si="2860"/>
        <v>3</v>
      </c>
      <c r="X2678" s="9">
        <v>-147.541863116673</v>
      </c>
    </row>
    <row r="2679" spans="1:24">
      <c r="A2679" s="29">
        <f t="shared" si="2806"/>
        <v>45947.49999999351</v>
      </c>
      <c r="B2679" s="30">
        <f t="shared" si="2830"/>
        <v>8000</v>
      </c>
      <c r="C2679" s="8">
        <v>25000</v>
      </c>
      <c r="D2679" s="8">
        <v>0</v>
      </c>
      <c r="E2679" s="8">
        <v>700</v>
      </c>
      <c r="F2679" s="8">
        <v>15000</v>
      </c>
      <c r="G2679" s="30">
        <f t="shared" si="2831"/>
        <v>2400</v>
      </c>
      <c r="H2679" s="8">
        <v>25000</v>
      </c>
      <c r="I2679" s="30">
        <f t="shared" si="2832"/>
        <v>8000</v>
      </c>
      <c r="J2679" s="8">
        <v>25000</v>
      </c>
      <c r="K2679" s="30">
        <f t="shared" si="2833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VLOOKUP(VLOOKUP(DATEVALUE(TEXT(A2679,"m/d/yyyy")),FY24_Temp[],5,FALSE)&amp;TEXT(A2679,"-h"),Table6[],4,FALSE)</f>
        <v>0.19471428463501589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VLOOKUP(TEXT(A2679,"yy-mm")&amp;"-"&amp;IF(AND(WEEKDAY(A2679)&gt;1,WEEKDAY(A2679)&lt;7),"Wkd",TEXT(A2679,"Ddd"))&amp;"-"&amp;TEXT(A2679,"hh"),LoadTable[],5,FALSE)*0.92</f>
        <v>236.10788000000002</v>
      </c>
      <c r="U2679" s="104">
        <f>VLOOKUP(TEXT(A2679,"yy-mm")&amp;"-"&amp;IF(AND(WEEKDAY(A2679)&gt;1,WEEKDAY(A2679)&lt;7),"Wkd",TEXT(A2679,"Ddd"))&amp;"-"&amp;TEXT(A2679,"hh"),LoadTable[],6,FALSE)*T2679</f>
        <v>10540.327978960002</v>
      </c>
      <c r="V2679">
        <f t="shared" ref="V2679:W2679" si="2861">V2655</f>
        <v>3.1</v>
      </c>
      <c r="W2679">
        <f t="shared" si="2861"/>
        <v>2.9</v>
      </c>
      <c r="X2679" s="9">
        <v>-147.61965766667299</v>
      </c>
    </row>
    <row r="2680" spans="1:24">
      <c r="A2680" s="29">
        <f t="shared" si="2806"/>
        <v>45947.541666660174</v>
      </c>
      <c r="B2680" s="30">
        <f t="shared" si="2830"/>
        <v>8000</v>
      </c>
      <c r="C2680" s="8">
        <v>25000</v>
      </c>
      <c r="D2680" s="8">
        <v>0</v>
      </c>
      <c r="E2680" s="8">
        <v>700</v>
      </c>
      <c r="F2680" s="8">
        <v>15000</v>
      </c>
      <c r="G2680" s="30">
        <f t="shared" si="2831"/>
        <v>2400</v>
      </c>
      <c r="H2680" s="8">
        <v>25000</v>
      </c>
      <c r="I2680" s="30">
        <f t="shared" si="2832"/>
        <v>8000</v>
      </c>
      <c r="J2680" s="8">
        <v>25000</v>
      </c>
      <c r="K2680" s="30">
        <f t="shared" si="2833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VLOOKUP(VLOOKUP(DATEVALUE(TEXT(A2680,"m/d/yyyy")),FY24_Temp[],5,FALSE)&amp;TEXT(A2680,"-h"),Table6[],4,FALSE)</f>
        <v>0.10557143097477299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VLOOKUP(TEXT(A2680,"yy-mm")&amp;"-"&amp;IF(AND(WEEKDAY(A2680)&gt;1,WEEKDAY(A2680)&lt;7),"Wkd",TEXT(A2680,"Ddd"))&amp;"-"&amp;TEXT(A2680,"hh"),LoadTable[],5,FALSE)*0.92</f>
        <v>236.10788000000002</v>
      </c>
      <c r="U2680" s="104">
        <f>VLOOKUP(TEXT(A2680,"yy-mm")&amp;"-"&amp;IF(AND(WEEKDAY(A2680)&gt;1,WEEKDAY(A2680)&lt;7),"Wkd",TEXT(A2680,"Ddd"))&amp;"-"&amp;TEXT(A2680,"hh"),LoadTable[],6,FALSE)*T2680</f>
        <v>10541.50851836</v>
      </c>
      <c r="V2680">
        <f t="shared" ref="V2680:W2680" si="2862">V2656</f>
        <v>3.2</v>
      </c>
      <c r="W2680">
        <f t="shared" si="2862"/>
        <v>2.9</v>
      </c>
      <c r="X2680" s="9">
        <v>-147.69745221667301</v>
      </c>
    </row>
    <row r="2681" spans="1:24">
      <c r="A2681" s="29">
        <f t="shared" si="2806"/>
        <v>45947.583333326838</v>
      </c>
      <c r="B2681" s="30">
        <f t="shared" si="2830"/>
        <v>8000</v>
      </c>
      <c r="C2681" s="8">
        <v>25000</v>
      </c>
      <c r="D2681" s="8">
        <v>0</v>
      </c>
      <c r="E2681" s="8">
        <v>700</v>
      </c>
      <c r="F2681" s="8">
        <v>15000</v>
      </c>
      <c r="G2681" s="30">
        <f t="shared" si="2831"/>
        <v>2400</v>
      </c>
      <c r="H2681" s="8">
        <v>25000</v>
      </c>
      <c r="I2681" s="30">
        <f t="shared" si="2832"/>
        <v>8000</v>
      </c>
      <c r="J2681" s="8">
        <v>25000</v>
      </c>
      <c r="K2681" s="30">
        <f t="shared" si="2833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VLOOKUP(VLOOKUP(DATEVALUE(TEXT(A2681,"m/d/yyyy")),FY24_Temp[],5,FALSE)&amp;TEXT(A2681,"-h"),Table6[],4,FALSE)</f>
        <v>7.8714286110230861E-2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VLOOKUP(TEXT(A2681,"yy-mm")&amp;"-"&amp;IF(AND(WEEKDAY(A2681)&gt;1,WEEKDAY(A2681)&lt;7),"Wkd",TEXT(A2681,"Ddd"))&amp;"-"&amp;TEXT(A2681,"hh"),LoadTable[],5,FALSE)*0.92</f>
        <v>236.10788000000002</v>
      </c>
      <c r="U2681" s="104">
        <f>VLOOKUP(TEXT(A2681,"yy-mm")&amp;"-"&amp;IF(AND(WEEKDAY(A2681)&gt;1,WEEKDAY(A2681)&lt;7),"Wkd",TEXT(A2681,"Ddd"))&amp;"-"&amp;TEXT(A2681,"hh"),LoadTable[],6,FALSE)*T2681</f>
        <v>10551.188941440001</v>
      </c>
      <c r="V2681">
        <f t="shared" ref="V2681:W2681" si="2863">V2657</f>
        <v>3.5</v>
      </c>
      <c r="W2681">
        <f t="shared" si="2863"/>
        <v>2.9</v>
      </c>
      <c r="X2681" s="9">
        <v>-147.77524676667301</v>
      </c>
    </row>
    <row r="2682" spans="1:24">
      <c r="A2682" s="29">
        <f t="shared" si="2806"/>
        <v>45947.624999993503</v>
      </c>
      <c r="B2682" s="30">
        <f t="shared" si="2830"/>
        <v>8000</v>
      </c>
      <c r="C2682" s="8">
        <v>25000</v>
      </c>
      <c r="D2682" s="8">
        <v>0</v>
      </c>
      <c r="E2682" s="8">
        <v>700</v>
      </c>
      <c r="F2682" s="8">
        <v>15000</v>
      </c>
      <c r="G2682" s="30">
        <f t="shared" si="2831"/>
        <v>2400</v>
      </c>
      <c r="H2682" s="8">
        <v>25000</v>
      </c>
      <c r="I2682" s="30">
        <f t="shared" si="2832"/>
        <v>8000</v>
      </c>
      <c r="J2682" s="8">
        <v>25000</v>
      </c>
      <c r="K2682" s="30">
        <f t="shared" si="2833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VLOOKUP(VLOOKUP(DATEVALUE(TEXT(A2682,"m/d/yyyy")),FY24_Temp[],5,FALSE)&amp;TEXT(A2682,"-h"),Table6[],4,FALSE)</f>
        <v>0.20828571436660631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VLOOKUP(TEXT(A2682,"yy-mm")&amp;"-"&amp;IF(AND(WEEKDAY(A2682)&gt;1,WEEKDAY(A2682)&lt;7),"Wkd",TEXT(A2682,"Ddd"))&amp;"-"&amp;TEXT(A2682,"hh"),LoadTable[],5,FALSE)*0.92</f>
        <v>236.10788000000002</v>
      </c>
      <c r="U2682" s="104">
        <f>VLOOKUP(TEXT(A2682,"yy-mm")&amp;"-"&amp;IF(AND(WEEKDAY(A2682)&gt;1,WEEKDAY(A2682)&lt;7),"Wkd",TEXT(A2682,"Ddd"))&amp;"-"&amp;TEXT(A2682,"hh"),LoadTable[],6,FALSE)*T2682</f>
        <v>10572.202542760002</v>
      </c>
      <c r="V2682">
        <f t="shared" ref="V2682:W2682" si="2864">V2658</f>
        <v>3.2</v>
      </c>
      <c r="W2682">
        <f t="shared" si="2864"/>
        <v>2.9</v>
      </c>
      <c r="X2682" s="9">
        <v>-147.853041316673</v>
      </c>
    </row>
    <row r="2683" spans="1:24">
      <c r="A2683" s="29">
        <f t="shared" si="2806"/>
        <v>45947.666666660167</v>
      </c>
      <c r="B2683" s="30">
        <f t="shared" si="2830"/>
        <v>8000</v>
      </c>
      <c r="C2683" s="8">
        <v>25000</v>
      </c>
      <c r="D2683" s="8">
        <v>0</v>
      </c>
      <c r="E2683" s="8">
        <v>700</v>
      </c>
      <c r="F2683" s="8">
        <v>15000</v>
      </c>
      <c r="G2683" s="30">
        <f t="shared" si="2831"/>
        <v>2400</v>
      </c>
      <c r="H2683" s="8">
        <v>25000</v>
      </c>
      <c r="I2683" s="30">
        <f t="shared" si="2832"/>
        <v>8000</v>
      </c>
      <c r="J2683" s="8">
        <v>25000</v>
      </c>
      <c r="K2683" s="30">
        <f t="shared" si="2833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VLOOKUP(VLOOKUP(DATEVALUE(TEXT(A2683,"m/d/yyyy")),FY24_Temp[],5,FALSE)&amp;TEXT(A2683,"-h"),Table6[],4,FALSE)</f>
        <v>0.47971428292138235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VLOOKUP(TEXT(A2683,"yy-mm")&amp;"-"&amp;IF(AND(WEEKDAY(A2683)&gt;1,WEEKDAY(A2683)&lt;7),"Wkd",TEXT(A2683,"Ddd"))&amp;"-"&amp;TEXT(A2683,"hh"),LoadTable[],5,FALSE)*0.92</f>
        <v>236.10788000000002</v>
      </c>
      <c r="U2683" s="104">
        <f>VLOOKUP(TEXT(A2683,"yy-mm")&amp;"-"&amp;IF(AND(WEEKDAY(A2683)&gt;1,WEEKDAY(A2683)&lt;7),"Wkd",TEXT(A2683,"Ddd"))&amp;"-"&amp;TEXT(A2683,"hh"),LoadTable[],6,FALSE)*T2683</f>
        <v>10648.93760376</v>
      </c>
      <c r="V2683">
        <f t="shared" ref="V2683:W2683" si="2865">V2659</f>
        <v>3.5</v>
      </c>
      <c r="W2683">
        <f t="shared" si="2865"/>
        <v>3</v>
      </c>
      <c r="X2683" s="9">
        <v>-147.93083586667299</v>
      </c>
    </row>
    <row r="2684" spans="1:24">
      <c r="A2684" s="29">
        <f t="shared" si="2806"/>
        <v>45947.708333326831</v>
      </c>
      <c r="B2684" s="30">
        <f t="shared" si="2830"/>
        <v>8000</v>
      </c>
      <c r="C2684" s="8">
        <v>25000</v>
      </c>
      <c r="D2684" s="8">
        <v>0</v>
      </c>
      <c r="E2684" s="8">
        <v>700</v>
      </c>
      <c r="F2684" s="8">
        <v>15000</v>
      </c>
      <c r="G2684" s="30">
        <f t="shared" si="2831"/>
        <v>2400</v>
      </c>
      <c r="H2684" s="8">
        <v>25000</v>
      </c>
      <c r="I2684" s="30">
        <f t="shared" si="2832"/>
        <v>8000</v>
      </c>
      <c r="J2684" s="8">
        <v>25000</v>
      </c>
      <c r="K2684" s="30">
        <f t="shared" si="2833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VLOOKUP(VLOOKUP(DATEVALUE(TEXT(A2684,"m/d/yyyy")),FY24_Temp[],5,FALSE)&amp;TEXT(A2684,"-h"),Table6[],4,FALSE)</f>
        <v>0.81442855937140324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VLOOKUP(TEXT(A2684,"yy-mm")&amp;"-"&amp;IF(AND(WEEKDAY(A2684)&gt;1,WEEKDAY(A2684)&lt;7),"Wkd",TEXT(A2684,"Ddd"))&amp;"-"&amp;TEXT(A2684,"hh"),LoadTable[],5,FALSE)*0.92</f>
        <v>236.10788000000002</v>
      </c>
      <c r="U2684" s="104">
        <f>VLOOKUP(TEXT(A2684,"yy-mm")&amp;"-"&amp;IF(AND(WEEKDAY(A2684)&gt;1,WEEKDAY(A2684)&lt;7),"Wkd",TEXT(A2684,"Ddd"))&amp;"-"&amp;TEXT(A2684,"hh"),LoadTable[],6,FALSE)*T2684</f>
        <v>11157.513977280001</v>
      </c>
      <c r="V2684">
        <f t="shared" ref="V2684:W2684" si="2866">V2660</f>
        <v>3.6</v>
      </c>
      <c r="W2684">
        <f t="shared" si="2866"/>
        <v>3</v>
      </c>
      <c r="X2684" s="9">
        <v>-148.00863041667299</v>
      </c>
    </row>
    <row r="2685" spans="1:24">
      <c r="A2685" s="29">
        <f t="shared" si="2806"/>
        <v>45947.749999993495</v>
      </c>
      <c r="B2685" s="30">
        <f t="shared" si="2830"/>
        <v>5000</v>
      </c>
      <c r="C2685" s="8">
        <v>25000</v>
      </c>
      <c r="D2685" s="8">
        <v>0</v>
      </c>
      <c r="E2685" s="8">
        <v>700</v>
      </c>
      <c r="F2685" s="8">
        <v>15000</v>
      </c>
      <c r="G2685" s="30">
        <f t="shared" si="2831"/>
        <v>2400</v>
      </c>
      <c r="H2685" s="8">
        <v>25000</v>
      </c>
      <c r="I2685" s="30">
        <f t="shared" si="2832"/>
        <v>5000</v>
      </c>
      <c r="J2685" s="8">
        <v>25000</v>
      </c>
      <c r="K2685" s="30">
        <f t="shared" si="2833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VLOOKUP(VLOOKUP(DATEVALUE(TEXT(A2685,"m/d/yyyy")),FY24_Temp[],5,FALSE)&amp;TEXT(A2685,"-h"),Table6[],4,FALSE)</f>
        <v>0.94428572484425133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VLOOKUP(TEXT(A2685,"yy-mm")&amp;"-"&amp;IF(AND(WEEKDAY(A2685)&gt;1,WEEKDAY(A2685)&lt;7),"Wkd",TEXT(A2685,"Ddd"))&amp;"-"&amp;TEXT(A2685,"hh"),LoadTable[],5,FALSE)*0.92</f>
        <v>308.12363999999997</v>
      </c>
      <c r="U2685" s="104">
        <f>VLOOKUP(TEXT(A2685,"yy-mm")&amp;"-"&amp;IF(AND(WEEKDAY(A2685)&gt;1,WEEKDAY(A2685)&lt;7),"Wkd",TEXT(A2685,"Ddd"))&amp;"-"&amp;TEXT(A2685,"hh"),LoadTable[],6,FALSE)*T2685</f>
        <v>15139.963175039999</v>
      </c>
      <c r="V2685">
        <f t="shared" ref="V2685:W2685" si="2867">V2661</f>
        <v>2.9</v>
      </c>
      <c r="W2685">
        <f t="shared" si="2867"/>
        <v>3</v>
      </c>
      <c r="X2685" s="9">
        <v>-148.08642496667301</v>
      </c>
    </row>
    <row r="2686" spans="1:24">
      <c r="A2686" s="29">
        <f t="shared" si="2806"/>
        <v>45947.79166666016</v>
      </c>
      <c r="B2686" s="30">
        <f t="shared" si="2830"/>
        <v>5000</v>
      </c>
      <c r="C2686" s="8">
        <v>25000</v>
      </c>
      <c r="D2686" s="8">
        <v>0</v>
      </c>
      <c r="E2686" s="8">
        <v>700</v>
      </c>
      <c r="F2686" s="8">
        <v>15000</v>
      </c>
      <c r="G2686" s="30">
        <f t="shared" si="2831"/>
        <v>2400</v>
      </c>
      <c r="H2686" s="8">
        <v>25000</v>
      </c>
      <c r="I2686" s="30">
        <f t="shared" si="2832"/>
        <v>5000</v>
      </c>
      <c r="J2686" s="8">
        <v>25000</v>
      </c>
      <c r="K2686" s="30">
        <f t="shared" si="2833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VLOOKUP(VLOOKUP(DATEVALUE(TEXT(A2686,"m/d/yyyy")),FY24_Temp[],5,FALSE)&amp;TEXT(A2686,"-h"),Table6[],4,FALSE)</f>
        <v>1.0365714345659529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VLOOKUP(TEXT(A2686,"yy-mm")&amp;"-"&amp;IF(AND(WEEKDAY(A2686)&gt;1,WEEKDAY(A2686)&lt;7),"Wkd",TEXT(A2686,"Ddd"))&amp;"-"&amp;TEXT(A2686,"hh"),LoadTable[],5,FALSE)*0.92</f>
        <v>308.12363999999997</v>
      </c>
      <c r="U2686" s="104">
        <f>VLOOKUP(TEXT(A2686,"yy-mm")&amp;"-"&amp;IF(AND(WEEKDAY(A2686)&gt;1,WEEKDAY(A2686)&lt;7),"Wkd",TEXT(A2686,"Ddd"))&amp;"-"&amp;TEXT(A2686,"hh"),LoadTable[],6,FALSE)*T2686</f>
        <v>15247.806449039997</v>
      </c>
      <c r="V2686">
        <f t="shared" ref="V2686:W2686" si="2868">V2662</f>
        <v>3</v>
      </c>
      <c r="W2686">
        <f t="shared" si="2868"/>
        <v>3</v>
      </c>
      <c r="X2686" s="9">
        <v>-148.164219516673</v>
      </c>
    </row>
    <row r="2687" spans="1:24">
      <c r="A2687" s="29">
        <f t="shared" si="2806"/>
        <v>45947.833333326824</v>
      </c>
      <c r="B2687" s="30">
        <f t="shared" si="2830"/>
        <v>5000</v>
      </c>
      <c r="C2687" s="8">
        <v>25000</v>
      </c>
      <c r="D2687" s="8">
        <v>0</v>
      </c>
      <c r="E2687" s="8">
        <v>700</v>
      </c>
      <c r="F2687" s="8">
        <v>15000</v>
      </c>
      <c r="G2687" s="30">
        <f t="shared" si="2831"/>
        <v>2400</v>
      </c>
      <c r="H2687" s="8">
        <v>25000</v>
      </c>
      <c r="I2687" s="30">
        <f t="shared" si="2832"/>
        <v>5000</v>
      </c>
      <c r="J2687" s="8">
        <v>25000</v>
      </c>
      <c r="K2687" s="30">
        <f t="shared" si="2833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VLOOKUP(VLOOKUP(DATEVALUE(TEXT(A2687,"m/d/yyyy")),FY24_Temp[],5,FALSE)&amp;TEXT(A2687,"-h"),Table6[],4,FALSE)</f>
        <v>1.1094285760607039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VLOOKUP(TEXT(A2687,"yy-mm")&amp;"-"&amp;IF(AND(WEEKDAY(A2687)&gt;1,WEEKDAY(A2687)&lt;7),"Wkd",TEXT(A2687,"Ddd"))&amp;"-"&amp;TEXT(A2687,"hh"),LoadTable[],5,FALSE)*0.92</f>
        <v>308.12363999999997</v>
      </c>
      <c r="U2687" s="104">
        <f>VLOOKUP(TEXT(A2687,"yy-mm")&amp;"-"&amp;IF(AND(WEEKDAY(A2687)&gt;1,WEEKDAY(A2687)&lt;7),"Wkd",TEXT(A2687,"Ddd"))&amp;"-"&amp;TEXT(A2687,"hh"),LoadTable[],6,FALSE)*T2687</f>
        <v>15157.218098879999</v>
      </c>
      <c r="V2687">
        <f t="shared" ref="V2687:W2687" si="2869">V2663</f>
        <v>2.8</v>
      </c>
      <c r="W2687">
        <f t="shared" si="2869"/>
        <v>3.1</v>
      </c>
      <c r="X2687" s="9">
        <v>-148.24201406667399</v>
      </c>
    </row>
    <row r="2688" spans="1:24">
      <c r="A2688" s="29">
        <f t="shared" si="2806"/>
        <v>45947.874999993488</v>
      </c>
      <c r="B2688" s="30">
        <f t="shared" si="2830"/>
        <v>5000</v>
      </c>
      <c r="C2688" s="8">
        <v>25000</v>
      </c>
      <c r="D2688" s="8">
        <v>0</v>
      </c>
      <c r="E2688" s="8">
        <v>700</v>
      </c>
      <c r="F2688" s="8">
        <v>15000</v>
      </c>
      <c r="G2688" s="30">
        <f t="shared" si="2831"/>
        <v>2400</v>
      </c>
      <c r="H2688" s="8">
        <v>25000</v>
      </c>
      <c r="I2688" s="30">
        <f t="shared" si="2832"/>
        <v>5000</v>
      </c>
      <c r="J2688" s="8">
        <v>25000</v>
      </c>
      <c r="K2688" s="30">
        <f t="shared" si="2833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VLOOKUP(VLOOKUP(DATEVALUE(TEXT(A2688,"m/d/yyyy")),FY24_Temp[],5,FALSE)&amp;TEXT(A2688,"-h"),Table6[],4,FALSE)</f>
        <v>1.2048571450369698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VLOOKUP(TEXT(A2688,"yy-mm")&amp;"-"&amp;IF(AND(WEEKDAY(A2688)&gt;1,WEEKDAY(A2688)&lt;7),"Wkd",TEXT(A2688,"Ddd"))&amp;"-"&amp;TEXT(A2688,"hh"),LoadTable[],5,FALSE)*0.92</f>
        <v>234.33964000000003</v>
      </c>
      <c r="U2688" s="104">
        <f>VLOOKUP(TEXT(A2688,"yy-mm")&amp;"-"&amp;IF(AND(WEEKDAY(A2688)&gt;1,WEEKDAY(A2688)&lt;7),"Wkd",TEXT(A2688,"Ddd"))&amp;"-"&amp;TEXT(A2688,"hh"),LoadTable[],6,FALSE)*T2688</f>
        <v>11344.147632760001</v>
      </c>
      <c r="V2688">
        <f t="shared" ref="V2688:W2688" si="2870">V2664</f>
        <v>3.5</v>
      </c>
      <c r="W2688">
        <f t="shared" si="2870"/>
        <v>3.1</v>
      </c>
      <c r="X2688" s="9">
        <v>-148.31980861667299</v>
      </c>
    </row>
    <row r="2689" spans="1:24">
      <c r="A2689" s="29">
        <f t="shared" si="2806"/>
        <v>45947.916666660152</v>
      </c>
      <c r="B2689" s="30">
        <f t="shared" si="2830"/>
        <v>5000</v>
      </c>
      <c r="C2689" s="8">
        <v>25000</v>
      </c>
      <c r="D2689" s="8">
        <v>0</v>
      </c>
      <c r="E2689" s="8">
        <v>700</v>
      </c>
      <c r="F2689" s="8">
        <v>15000</v>
      </c>
      <c r="G2689" s="30">
        <f t="shared" si="2831"/>
        <v>2400</v>
      </c>
      <c r="H2689" s="8">
        <v>25000</v>
      </c>
      <c r="I2689" s="30">
        <f t="shared" si="2832"/>
        <v>5000</v>
      </c>
      <c r="J2689" s="8">
        <v>25000</v>
      </c>
      <c r="K2689" s="30">
        <f t="shared" si="2833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VLOOKUP(VLOOKUP(DATEVALUE(TEXT(A2689,"m/d/yyyy")),FY24_Temp[],5,FALSE)&amp;TEXT(A2689,"-h"),Table6[],4,FALSE)</f>
        <v>1.2747142825807845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VLOOKUP(TEXT(A2689,"yy-mm")&amp;"-"&amp;IF(AND(WEEKDAY(A2689)&gt;1,WEEKDAY(A2689)&lt;7),"Wkd",TEXT(A2689,"Ddd"))&amp;"-"&amp;TEXT(A2689,"hh"),LoadTable[],5,FALSE)*0.92</f>
        <v>180.62544</v>
      </c>
      <c r="U2689" s="104">
        <f>VLOOKUP(TEXT(A2689,"yy-mm")&amp;"-"&amp;IF(AND(WEEKDAY(A2689)&gt;1,WEEKDAY(A2689)&lt;7),"Wkd",TEXT(A2689,"Ddd"))&amp;"-"&amp;TEXT(A2689,"hh"),LoadTable[],6,FALSE)*T2689</f>
        <v>8304.2546039999997</v>
      </c>
      <c r="V2689">
        <f t="shared" ref="V2689:W2689" si="2871">V2665</f>
        <v>2.9</v>
      </c>
      <c r="W2689">
        <f t="shared" si="2871"/>
        <v>3.1</v>
      </c>
      <c r="X2689" s="9">
        <v>-148.39760316667301</v>
      </c>
    </row>
    <row r="2690" spans="1:24" ht="16" thickBot="1">
      <c r="A2690" s="29">
        <f t="shared" si="2806"/>
        <v>45947.958333326817</v>
      </c>
      <c r="B2690" s="30">
        <f t="shared" si="2830"/>
        <v>5000</v>
      </c>
      <c r="C2690" s="8">
        <v>25000</v>
      </c>
      <c r="D2690" s="8">
        <v>0</v>
      </c>
      <c r="E2690" s="8">
        <v>700</v>
      </c>
      <c r="F2690" s="8">
        <v>15000</v>
      </c>
      <c r="G2690" s="30">
        <f t="shared" si="2831"/>
        <v>2400</v>
      </c>
      <c r="H2690" s="8">
        <v>25000</v>
      </c>
      <c r="I2690" s="30">
        <f t="shared" si="2832"/>
        <v>5000</v>
      </c>
      <c r="J2690" s="8">
        <v>25000</v>
      </c>
      <c r="K2690" s="30">
        <f t="shared" si="2833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VLOOKUP(VLOOKUP(DATEVALUE(TEXT(A2690,"m/d/yyyy")),FY24_Temp[],5,FALSE)&amp;TEXT(A2690,"-h"),Table6[],4,FALSE)</f>
        <v>1.2435714176722936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VLOOKUP(TEXT(A2690,"yy-mm")&amp;"-"&amp;IF(AND(WEEKDAY(A2690)&gt;1,WEEKDAY(A2690)&lt;7),"Wkd",TEXT(A2690,"Ddd"))&amp;"-"&amp;TEXT(A2690,"hh"),LoadTable[],5,FALSE)*0.92</f>
        <v>180.62544</v>
      </c>
      <c r="U2690" s="104">
        <f>VLOOKUP(TEXT(A2690,"yy-mm")&amp;"-"&amp;IF(AND(WEEKDAY(A2690)&gt;1,WEEKDAY(A2690)&lt;7),"Wkd",TEXT(A2690,"Ddd"))&amp;"-"&amp;TEXT(A2690,"hh"),LoadTable[],6,FALSE)*T2690</f>
        <v>8217.1931419200009</v>
      </c>
      <c r="V2690">
        <f t="shared" ref="V2690:W2690" si="2872">V2666</f>
        <v>3.6</v>
      </c>
      <c r="W2690">
        <f t="shared" si="2872"/>
        <v>3.1</v>
      </c>
      <c r="X2690" s="9">
        <v>-148.475397716674</v>
      </c>
    </row>
    <row r="2691" spans="1:24" ht="16" thickBot="1">
      <c r="A2691" s="120">
        <f t="shared" si="2806"/>
        <v>45947.999999993481</v>
      </c>
      <c r="B2691" s="121">
        <f t="shared" si="2830"/>
        <v>5000</v>
      </c>
      <c r="C2691" s="114">
        <v>25000</v>
      </c>
      <c r="D2691" s="114">
        <v>0</v>
      </c>
      <c r="E2691" s="114">
        <v>700</v>
      </c>
      <c r="F2691" s="114">
        <v>15000</v>
      </c>
      <c r="G2691" s="114">
        <f t="shared" si="2831"/>
        <v>2400</v>
      </c>
      <c r="H2691" s="114">
        <v>25000</v>
      </c>
      <c r="I2691" s="114">
        <f t="shared" si="2832"/>
        <v>5000</v>
      </c>
      <c r="J2691" s="114">
        <v>25000</v>
      </c>
      <c r="K2691" s="114">
        <f t="shared" si="2833"/>
        <v>5000</v>
      </c>
      <c r="L2691" s="114">
        <v>25000</v>
      </c>
      <c r="M2691" s="115">
        <f>VLOOKUP(DATE(YEAR(A2691),MONTH(A2691),DAY(A2691)),FY24_Temp[],4,FALSE)</f>
        <v>9</v>
      </c>
      <c r="N2691" s="115">
        <f>VLOOKUP(DATE(YEAR(A2691),MONTH(A2691),DAY(A2691)),FY24_Temp[],3,FALSE)</f>
        <v>17.399999999999999</v>
      </c>
      <c r="O2691" s="115">
        <v>13.5</v>
      </c>
      <c r="P2691" s="115">
        <v>19.5</v>
      </c>
      <c r="Q2691" s="116">
        <f>VLOOKUP(VLOOKUP(DATEVALUE(TEXT(A2691,"m/d/yyyy")),FY24_Temp[],5,FALSE)&amp;TEXT(A2691,"-h"),Table6[],4,FALSE)</f>
        <v>0.52500001029895027</v>
      </c>
      <c r="R2691" s="117">
        <v>10</v>
      </c>
      <c r="S2691" s="117">
        <v>1000</v>
      </c>
      <c r="T2691" s="100">
        <f>VLOOKUP(TEXT(A2691,"yy-mm")&amp;"-"&amp;IF(AND(WEEKDAY(A2691)&gt;1,WEEKDAY(A2691)&lt;7),"Wkd",TEXT(A2691,"Ddd"))&amp;"-"&amp;TEXT(A2691,"hh"),LoadTable[],5,FALSE)*0.92</f>
        <v>180.62544</v>
      </c>
      <c r="U2691" s="118">
        <f>VLOOKUP(TEXT(A2691,"yy-mm")&amp;"-"&amp;IF(AND(WEEKDAY(A2691)&gt;1,WEEKDAY(A2691)&lt;7),"Wkd",TEXT(A2691,"Ddd"))&amp;"-"&amp;TEXT(A2691,"hh"),LoadTable[],6,FALSE)*T2691</f>
        <v>8140.6079553600002</v>
      </c>
      <c r="V2691" s="117">
        <f t="shared" ref="V2691:W2691" si="2873">V2667</f>
        <v>3</v>
      </c>
      <c r="W2691" s="117">
        <f t="shared" si="2873"/>
        <v>3.2</v>
      </c>
      <c r="X2691" s="119">
        <v>-148.55319226667399</v>
      </c>
    </row>
    <row r="2692" spans="1:24">
      <c r="A2692" s="29">
        <f t="shared" si="2806"/>
        <v>45948.041666660145</v>
      </c>
      <c r="B2692" s="30">
        <f t="shared" si="2830"/>
        <v>5000</v>
      </c>
      <c r="C2692" s="8">
        <v>25000</v>
      </c>
      <c r="D2692" s="8">
        <v>0</v>
      </c>
      <c r="E2692" s="8">
        <v>700</v>
      </c>
      <c r="F2692" s="8">
        <v>15000</v>
      </c>
      <c r="G2692" s="30">
        <f t="shared" si="2831"/>
        <v>2400</v>
      </c>
      <c r="H2692" s="8">
        <v>25000</v>
      </c>
      <c r="I2692" s="30">
        <f t="shared" si="2832"/>
        <v>5000</v>
      </c>
      <c r="J2692" s="8">
        <v>25000</v>
      </c>
      <c r="K2692" s="30">
        <f t="shared" si="2833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VLOOKUP(VLOOKUP(DATEVALUE(TEXT(A2692,"m/d/yyyy")),FY24_Temp[],5,FALSE)&amp;TEXT(A2692,"-h"),Table6[],4,FALSE)</f>
        <v>0.80228570532815979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VLOOKUP(TEXT(A2692,"yy-mm")&amp;"-"&amp;IF(AND(WEEKDAY(A2692)&gt;1,WEEKDAY(A2692)&lt;7),"Wkd",TEXT(A2692,"Ddd"))&amp;"-"&amp;TEXT(A2692,"hh"),LoadTable[],5,FALSE)*0.92</f>
        <v>180.62544</v>
      </c>
      <c r="U2692" s="104">
        <f>VLOOKUP(TEXT(A2692,"yy-mm")&amp;"-"&amp;IF(AND(WEEKDAY(A2692)&gt;1,WEEKDAY(A2692)&lt;7),"Wkd",TEXT(A2692,"Ddd"))&amp;"-"&amp;TEXT(A2692,"hh"),LoadTable[],6,FALSE)*T2692</f>
        <v>8136.8148211200005</v>
      </c>
      <c r="V2692">
        <f t="shared" ref="V2692:W2692" si="2874">V2668</f>
        <v>2.6</v>
      </c>
      <c r="W2692">
        <f t="shared" si="2874"/>
        <v>3.2</v>
      </c>
      <c r="X2692" s="9">
        <v>-148.63098681667299</v>
      </c>
    </row>
    <row r="2693" spans="1:24">
      <c r="A2693" s="29">
        <f t="shared" ref="A2693:A2756" si="2875">A2692+TIME(1,0,0)</f>
        <v>45948.083333326809</v>
      </c>
      <c r="B2693" s="30">
        <f t="shared" si="2830"/>
        <v>5000</v>
      </c>
      <c r="C2693" s="8">
        <v>25000</v>
      </c>
      <c r="D2693" s="8">
        <v>0</v>
      </c>
      <c r="E2693" s="8">
        <v>700</v>
      </c>
      <c r="F2693" s="8">
        <v>15000</v>
      </c>
      <c r="G2693" s="30">
        <f t="shared" si="2831"/>
        <v>2400</v>
      </c>
      <c r="H2693" s="8">
        <v>25000</v>
      </c>
      <c r="I2693" s="30">
        <f t="shared" si="2832"/>
        <v>5000</v>
      </c>
      <c r="J2693" s="8">
        <v>25000</v>
      </c>
      <c r="K2693" s="30">
        <f t="shared" si="2833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VLOOKUP(VLOOKUP(DATEVALUE(TEXT(A2693,"m/d/yyyy")),FY24_Temp[],5,FALSE)&amp;TEXT(A2693,"-h"),Table6[],4,FALSE)</f>
        <v>0.82585714335577387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VLOOKUP(TEXT(A2693,"yy-mm")&amp;"-"&amp;IF(AND(WEEKDAY(A2693)&gt;1,WEEKDAY(A2693)&lt;7),"Wkd",TEXT(A2693,"Ddd"))&amp;"-"&amp;TEXT(A2693,"hh"),LoadTable[],5,FALSE)*0.92</f>
        <v>180.62544</v>
      </c>
      <c r="U2693" s="104">
        <f>VLOOKUP(TEXT(A2693,"yy-mm")&amp;"-"&amp;IF(AND(WEEKDAY(A2693)&gt;1,WEEKDAY(A2693)&lt;7),"Wkd",TEXT(A2693,"Ddd"))&amp;"-"&amp;TEXT(A2693,"hh"),LoadTable[],6,FALSE)*T2693</f>
        <v>8129.9510543999995</v>
      </c>
      <c r="V2693">
        <f t="shared" ref="V2693:W2693" si="2876">V2669</f>
        <v>2.8</v>
      </c>
      <c r="W2693">
        <f t="shared" si="2876"/>
        <v>3.2</v>
      </c>
      <c r="X2693" s="9">
        <v>-148.70878136667301</v>
      </c>
    </row>
    <row r="2694" spans="1:24">
      <c r="A2694" s="29">
        <f t="shared" si="2875"/>
        <v>45948.124999993473</v>
      </c>
      <c r="B2694" s="30">
        <f t="shared" si="2830"/>
        <v>5000</v>
      </c>
      <c r="C2694" s="8">
        <v>25000</v>
      </c>
      <c r="D2694" s="8">
        <v>0</v>
      </c>
      <c r="E2694" s="8">
        <v>700</v>
      </c>
      <c r="F2694" s="8">
        <v>15000</v>
      </c>
      <c r="G2694" s="30">
        <f t="shared" si="2831"/>
        <v>2400</v>
      </c>
      <c r="H2694" s="8">
        <v>25000</v>
      </c>
      <c r="I2694" s="30">
        <f t="shared" si="2832"/>
        <v>5000</v>
      </c>
      <c r="J2694" s="8">
        <v>25000</v>
      </c>
      <c r="K2694" s="30">
        <f t="shared" si="2833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VLOOKUP(VLOOKUP(DATEVALUE(TEXT(A2694,"m/d/yyyy")),FY24_Temp[],5,FALSE)&amp;TEXT(A2694,"-h"),Table6[],4,FALSE)</f>
        <v>0.77514286660566056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VLOOKUP(TEXT(A2694,"yy-mm")&amp;"-"&amp;IF(AND(WEEKDAY(A2694)&gt;1,WEEKDAY(A2694)&lt;7),"Wkd",TEXT(A2694,"Ddd"))&amp;"-"&amp;TEXT(A2694,"hh"),LoadTable[],5,FALSE)*0.92</f>
        <v>180.62544</v>
      </c>
      <c r="U2694" s="104">
        <f>VLOOKUP(TEXT(A2694,"yy-mm")&amp;"-"&amp;IF(AND(WEEKDAY(A2694)&gt;1,WEEKDAY(A2694)&lt;7),"Wkd",TEXT(A2694,"Ddd"))&amp;"-"&amp;TEXT(A2694,"hh"),LoadTable[],6,FALSE)*T2694</f>
        <v>8141.5110825599995</v>
      </c>
      <c r="V2694">
        <f t="shared" ref="V2694:W2694" si="2877">V2670</f>
        <v>2.7</v>
      </c>
      <c r="W2694">
        <f t="shared" si="2877"/>
        <v>3.2</v>
      </c>
      <c r="X2694" s="9">
        <v>-148.786575916673</v>
      </c>
    </row>
    <row r="2695" spans="1:24">
      <c r="A2695" s="29">
        <f t="shared" si="2875"/>
        <v>45948.166666660138</v>
      </c>
      <c r="B2695" s="30">
        <f t="shared" si="2830"/>
        <v>5000</v>
      </c>
      <c r="C2695" s="8">
        <v>25000</v>
      </c>
      <c r="D2695" s="8">
        <v>0</v>
      </c>
      <c r="E2695" s="8">
        <v>700</v>
      </c>
      <c r="F2695" s="8">
        <v>15000</v>
      </c>
      <c r="G2695" s="30">
        <f t="shared" si="2831"/>
        <v>2400</v>
      </c>
      <c r="H2695" s="8">
        <v>25000</v>
      </c>
      <c r="I2695" s="30">
        <f t="shared" si="2832"/>
        <v>5000</v>
      </c>
      <c r="J2695" s="8">
        <v>25000</v>
      </c>
      <c r="K2695" s="30">
        <f t="shared" si="2833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VLOOKUP(VLOOKUP(DATEVALUE(TEXT(A2695,"m/d/yyyy")),FY24_Temp[],5,FALSE)&amp;TEXT(A2695,"-h"),Table6[],4,FALSE)</f>
        <v>0.71685714598402617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VLOOKUP(TEXT(A2695,"yy-mm")&amp;"-"&amp;IF(AND(WEEKDAY(A2695)&gt;1,WEEKDAY(A2695)&lt;7),"Wkd",TEXT(A2695,"Ddd"))&amp;"-"&amp;TEXT(A2695,"hh"),LoadTable[],5,FALSE)*0.92</f>
        <v>209.07184000000001</v>
      </c>
      <c r="U2695" s="104">
        <f>VLOOKUP(TEXT(A2695,"yy-mm")&amp;"-"&amp;IF(AND(WEEKDAY(A2695)&gt;1,WEEKDAY(A2695)&lt;7),"Wkd",TEXT(A2695,"Ddd"))&amp;"-"&amp;TEXT(A2695,"hh"),LoadTable[],6,FALSE)*T2695</f>
        <v>9412.2051649599998</v>
      </c>
      <c r="V2695">
        <f t="shared" ref="V2695:W2695" si="2878">V2671</f>
        <v>3</v>
      </c>
      <c r="W2695">
        <f t="shared" si="2878"/>
        <v>3.1</v>
      </c>
      <c r="X2695" s="9">
        <v>-148.86437046667399</v>
      </c>
    </row>
    <row r="2696" spans="1:24">
      <c r="A2696" s="29">
        <f t="shared" si="2875"/>
        <v>45948.208333326802</v>
      </c>
      <c r="B2696" s="30">
        <f t="shared" si="2830"/>
        <v>5000</v>
      </c>
      <c r="C2696" s="8">
        <v>25000</v>
      </c>
      <c r="D2696" s="8">
        <v>0</v>
      </c>
      <c r="E2696" s="8">
        <v>700</v>
      </c>
      <c r="F2696" s="8">
        <v>15000</v>
      </c>
      <c r="G2696" s="30">
        <f t="shared" si="2831"/>
        <v>2400</v>
      </c>
      <c r="H2696" s="8">
        <v>25000</v>
      </c>
      <c r="I2696" s="30">
        <f t="shared" si="2832"/>
        <v>5000</v>
      </c>
      <c r="J2696" s="8">
        <v>25000</v>
      </c>
      <c r="K2696" s="30">
        <f t="shared" si="2833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VLOOKUP(VLOOKUP(DATEVALUE(TEXT(A2696,"m/d/yyyy")),FY24_Temp[],5,FALSE)&amp;TEXT(A2696,"-h"),Table6[],4,FALSE)</f>
        <v>0.68157143264069042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VLOOKUP(TEXT(A2696,"yy-mm")&amp;"-"&amp;IF(AND(WEEKDAY(A2696)&gt;1,WEEKDAY(A2696)&lt;7),"Wkd",TEXT(A2696,"Ddd"))&amp;"-"&amp;TEXT(A2696,"hh"),LoadTable[],5,FALSE)*0.92</f>
        <v>209.07184000000001</v>
      </c>
      <c r="U2696" s="104">
        <f>VLOOKUP(TEXT(A2696,"yy-mm")&amp;"-"&amp;IF(AND(WEEKDAY(A2696)&gt;1,WEEKDAY(A2696)&lt;7),"Wkd",TEXT(A2696,"Ddd"))&amp;"-"&amp;TEXT(A2696,"hh"),LoadTable[],6,FALSE)*T2696</f>
        <v>9445.4475875200005</v>
      </c>
      <c r="V2696">
        <f t="shared" ref="V2696:W2696" si="2879">V2672</f>
        <v>2.9</v>
      </c>
      <c r="W2696">
        <f t="shared" si="2879"/>
        <v>3.1</v>
      </c>
      <c r="X2696" s="9">
        <v>-148.94216501667299</v>
      </c>
    </row>
    <row r="2697" spans="1:24">
      <c r="A2697" s="29">
        <f t="shared" si="2875"/>
        <v>45948.249999993466</v>
      </c>
      <c r="B2697" s="30">
        <f t="shared" si="2830"/>
        <v>8000</v>
      </c>
      <c r="C2697" s="8">
        <v>25000</v>
      </c>
      <c r="D2697" s="8">
        <v>0</v>
      </c>
      <c r="E2697" s="8">
        <v>700</v>
      </c>
      <c r="F2697" s="8">
        <v>15000</v>
      </c>
      <c r="G2697" s="30">
        <f t="shared" si="2831"/>
        <v>2400</v>
      </c>
      <c r="H2697" s="8">
        <v>25000</v>
      </c>
      <c r="I2697" s="30">
        <f t="shared" si="2832"/>
        <v>8000</v>
      </c>
      <c r="J2697" s="8">
        <v>25000</v>
      </c>
      <c r="K2697" s="30">
        <f t="shared" si="2833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VLOOKUP(VLOOKUP(DATEVALUE(TEXT(A2697,"m/d/yyyy")),FY24_Temp[],5,FALSE)&amp;TEXT(A2697,"-h"),Table6[],4,FALSE)</f>
        <v>0.5494285853817924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VLOOKUP(TEXT(A2697,"yy-mm")&amp;"-"&amp;IF(AND(WEEKDAY(A2697)&gt;1,WEEKDAY(A2697)&lt;7),"Wkd",TEXT(A2697,"Ddd"))&amp;"-"&amp;TEXT(A2697,"hh"),LoadTable[],5,FALSE)*0.92</f>
        <v>236.10788000000002</v>
      </c>
      <c r="U2697" s="104">
        <f>VLOOKUP(TEXT(A2697,"yy-mm")&amp;"-"&amp;IF(AND(WEEKDAY(A2697)&gt;1,WEEKDAY(A2697)&lt;7),"Wkd",TEXT(A2697,"Ddd"))&amp;"-"&amp;TEXT(A2697,"hh"),LoadTable[],6,FALSE)*T2697</f>
        <v>11185.610815000002</v>
      </c>
      <c r="V2697">
        <f t="shared" ref="V2697:W2697" si="2880">V2673</f>
        <v>2.5</v>
      </c>
      <c r="W2697">
        <f t="shared" si="2880"/>
        <v>3.1</v>
      </c>
      <c r="X2697" s="9">
        <v>-149.01995956667301</v>
      </c>
    </row>
    <row r="2698" spans="1:24">
      <c r="A2698" s="29">
        <f t="shared" si="2875"/>
        <v>45948.29166666013</v>
      </c>
      <c r="B2698" s="30">
        <f t="shared" si="2830"/>
        <v>8000</v>
      </c>
      <c r="C2698" s="8">
        <v>25000</v>
      </c>
      <c r="D2698" s="8">
        <v>0</v>
      </c>
      <c r="E2698" s="8">
        <v>700</v>
      </c>
      <c r="F2698" s="8">
        <v>15000</v>
      </c>
      <c r="G2698" s="30">
        <f t="shared" si="2831"/>
        <v>2400</v>
      </c>
      <c r="H2698" s="8">
        <v>25000</v>
      </c>
      <c r="I2698" s="30">
        <f t="shared" si="2832"/>
        <v>8000</v>
      </c>
      <c r="J2698" s="8">
        <v>25000</v>
      </c>
      <c r="K2698" s="30">
        <f t="shared" si="2833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VLOOKUP(VLOOKUP(DATEVALUE(TEXT(A2698,"m/d/yyyy")),FY24_Temp[],5,FALSE)&amp;TEXT(A2698,"-h"),Table6[],4,FALSE)</f>
        <v>0.44057143108991348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VLOOKUP(TEXT(A2698,"yy-mm")&amp;"-"&amp;IF(AND(WEEKDAY(A2698)&gt;1,WEEKDAY(A2698)&lt;7),"Wkd",TEXT(A2698,"Ddd"))&amp;"-"&amp;TEXT(A2698,"hh"),LoadTable[],5,FALSE)*0.92</f>
        <v>236.10788000000002</v>
      </c>
      <c r="U2698" s="104">
        <f>VLOOKUP(TEXT(A2698,"yy-mm")&amp;"-"&amp;IF(AND(WEEKDAY(A2698)&gt;1,WEEKDAY(A2698)&lt;7),"Wkd",TEXT(A2698,"Ddd"))&amp;"-"&amp;TEXT(A2698,"hh"),LoadTable[],6,FALSE)*T2698</f>
        <v>11205.916092680001</v>
      </c>
      <c r="V2698">
        <f t="shared" ref="V2698:W2698" si="2881">V2674</f>
        <v>2.5</v>
      </c>
      <c r="W2698">
        <f t="shared" si="2881"/>
        <v>3.1</v>
      </c>
      <c r="X2698" s="9">
        <v>-149.097754116674</v>
      </c>
    </row>
    <row r="2699" spans="1:24">
      <c r="A2699" s="29">
        <f t="shared" si="2875"/>
        <v>45948.333333326795</v>
      </c>
      <c r="B2699" s="30">
        <f t="shared" si="2830"/>
        <v>8000</v>
      </c>
      <c r="C2699" s="8">
        <v>25000</v>
      </c>
      <c r="D2699" s="8">
        <v>0</v>
      </c>
      <c r="E2699" s="8">
        <v>700</v>
      </c>
      <c r="F2699" s="8">
        <v>15000</v>
      </c>
      <c r="G2699" s="30">
        <f t="shared" si="2831"/>
        <v>2400</v>
      </c>
      <c r="H2699" s="8">
        <v>25000</v>
      </c>
      <c r="I2699" s="30">
        <f t="shared" si="2832"/>
        <v>8000</v>
      </c>
      <c r="J2699" s="8">
        <v>25000</v>
      </c>
      <c r="K2699" s="30">
        <f t="shared" si="2833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VLOOKUP(VLOOKUP(DATEVALUE(TEXT(A2699,"m/d/yyyy")),FY24_Temp[],5,FALSE)&amp;TEXT(A2699,"-h"),Table6[],4,FALSE)</f>
        <v>0.35985714461501639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VLOOKUP(TEXT(A2699,"yy-mm")&amp;"-"&amp;IF(AND(WEEKDAY(A2699)&gt;1,WEEKDAY(A2699)&lt;7),"Wkd",TEXT(A2699,"Ddd"))&amp;"-"&amp;TEXT(A2699,"hh"),LoadTable[],5,FALSE)*0.92</f>
        <v>236.10788000000002</v>
      </c>
      <c r="U2699" s="104">
        <f>VLOOKUP(TEXT(A2699,"yy-mm")&amp;"-"&amp;IF(AND(WEEKDAY(A2699)&gt;1,WEEKDAY(A2699)&lt;7),"Wkd",TEXT(A2699,"Ddd"))&amp;"-"&amp;TEXT(A2699,"hh"),LoadTable[],6,FALSE)*T2699</f>
        <v>10774.546995920002</v>
      </c>
      <c r="V2699">
        <f t="shared" ref="V2699:W2699" si="2882">V2675</f>
        <v>3.2</v>
      </c>
      <c r="W2699">
        <f t="shared" si="2882"/>
        <v>3</v>
      </c>
      <c r="X2699" s="9">
        <v>-149.17554866667399</v>
      </c>
    </row>
    <row r="2700" spans="1:24">
      <c r="A2700" s="29">
        <f t="shared" si="2875"/>
        <v>45948.374999993459</v>
      </c>
      <c r="B2700" s="30">
        <f t="shared" si="2830"/>
        <v>8000</v>
      </c>
      <c r="C2700" s="8">
        <v>25000</v>
      </c>
      <c r="D2700" s="8">
        <v>0</v>
      </c>
      <c r="E2700" s="8">
        <v>700</v>
      </c>
      <c r="F2700" s="8">
        <v>15000</v>
      </c>
      <c r="G2700" s="30">
        <f t="shared" si="2831"/>
        <v>2400</v>
      </c>
      <c r="H2700" s="8">
        <v>25000</v>
      </c>
      <c r="I2700" s="30">
        <f t="shared" si="2832"/>
        <v>8000</v>
      </c>
      <c r="J2700" s="8">
        <v>25000</v>
      </c>
      <c r="K2700" s="30">
        <f t="shared" si="2833"/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VLOOKUP(VLOOKUP(DATEVALUE(TEXT(A2700,"m/d/yyyy")),FY24_Temp[],5,FALSE)&amp;TEXT(A2700,"-h"),Table6[],4,FALSE)</f>
        <v>0.28685713816253877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VLOOKUP(TEXT(A2700,"yy-mm")&amp;"-"&amp;IF(AND(WEEKDAY(A2700)&gt;1,WEEKDAY(A2700)&lt;7),"Wkd",TEXT(A2700,"Ddd"))&amp;"-"&amp;TEXT(A2700,"hh"),LoadTable[],5,FALSE)*0.92</f>
        <v>236.10788000000002</v>
      </c>
      <c r="U2700" s="104">
        <f>VLOOKUP(TEXT(A2700,"yy-mm")&amp;"-"&amp;IF(AND(WEEKDAY(A2700)&gt;1,WEEKDAY(A2700)&lt;7),"Wkd",TEXT(A2700,"Ddd"))&amp;"-"&amp;TEXT(A2700,"hh"),LoadTable[],6,FALSE)*T2700</f>
        <v>10582.119073720001</v>
      </c>
      <c r="V2700">
        <f t="shared" ref="V2700:W2700" si="2883">V2676</f>
        <v>2.9</v>
      </c>
      <c r="W2700">
        <f t="shared" si="2883"/>
        <v>3</v>
      </c>
      <c r="X2700" s="9">
        <v>-149.25334321667401</v>
      </c>
    </row>
    <row r="2701" spans="1:24">
      <c r="A2701" s="29">
        <f t="shared" si="2875"/>
        <v>45948.416666660123</v>
      </c>
      <c r="B2701" s="30">
        <f t="shared" si="2830"/>
        <v>8000</v>
      </c>
      <c r="C2701" s="8">
        <v>25000</v>
      </c>
      <c r="D2701" s="8">
        <v>0</v>
      </c>
      <c r="E2701" s="8">
        <v>700</v>
      </c>
      <c r="F2701" s="8">
        <v>15000</v>
      </c>
      <c r="G2701" s="30">
        <f t="shared" si="2831"/>
        <v>2400</v>
      </c>
      <c r="H2701" s="8">
        <v>25000</v>
      </c>
      <c r="I2701" s="30">
        <f t="shared" si="2832"/>
        <v>8000</v>
      </c>
      <c r="J2701" s="8">
        <v>25000</v>
      </c>
      <c r="K2701" s="30">
        <f t="shared" si="2833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VLOOKUP(VLOOKUP(DATEVALUE(TEXT(A2701,"m/d/yyyy")),FY24_Temp[],5,FALSE)&amp;TEXT(A2701,"-h"),Table6[],4,FALSE)</f>
        <v>0.21185714012194715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VLOOKUP(TEXT(A2701,"yy-mm")&amp;"-"&amp;IF(AND(WEEKDAY(A2701)&gt;1,WEEKDAY(A2701)&lt;7),"Wkd",TEXT(A2701,"Ddd"))&amp;"-"&amp;TEXT(A2701,"hh"),LoadTable[],5,FALSE)*0.92</f>
        <v>236.10788000000002</v>
      </c>
      <c r="U2701" s="104">
        <f>VLOOKUP(TEXT(A2701,"yy-mm")&amp;"-"&amp;IF(AND(WEEKDAY(A2701)&gt;1,WEEKDAY(A2701)&lt;7),"Wkd",TEXT(A2701,"Ddd"))&amp;"-"&amp;TEXT(A2701,"hh"),LoadTable[],6,FALSE)*T2701</f>
        <v>10558.272177840001</v>
      </c>
      <c r="V2701">
        <f t="shared" ref="V2701:W2701" si="2884">V2677</f>
        <v>2.9</v>
      </c>
      <c r="W2701">
        <f t="shared" si="2884"/>
        <v>3</v>
      </c>
      <c r="X2701" s="9">
        <v>-149.331137766674</v>
      </c>
    </row>
    <row r="2702" spans="1:24">
      <c r="A2702" s="29">
        <f t="shared" si="2875"/>
        <v>45948.458333326787</v>
      </c>
      <c r="B2702" s="30">
        <f t="shared" si="2830"/>
        <v>8000</v>
      </c>
      <c r="C2702" s="8">
        <v>25000</v>
      </c>
      <c r="D2702" s="8">
        <v>0</v>
      </c>
      <c r="E2702" s="8">
        <v>700</v>
      </c>
      <c r="F2702" s="8">
        <v>15000</v>
      </c>
      <c r="G2702" s="30">
        <f t="shared" si="2831"/>
        <v>2400</v>
      </c>
      <c r="H2702" s="8">
        <v>25000</v>
      </c>
      <c r="I2702" s="30">
        <f t="shared" si="2832"/>
        <v>8000</v>
      </c>
      <c r="J2702" s="8">
        <v>25000</v>
      </c>
      <c r="K2702" s="30">
        <f t="shared" si="2833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VLOOKUP(VLOOKUP(DATEVALUE(TEXT(A2702,"m/d/yyyy")),FY24_Temp[],5,FALSE)&amp;TEXT(A2702,"-h"),Table6[],4,FALSE)</f>
        <v>0.132285714167475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VLOOKUP(TEXT(A2702,"yy-mm")&amp;"-"&amp;IF(AND(WEEKDAY(A2702)&gt;1,WEEKDAY(A2702)&lt;7),"Wkd",TEXT(A2702,"Ddd"))&amp;"-"&amp;TEXT(A2702,"hh"),LoadTable[],5,FALSE)*0.92</f>
        <v>236.10788000000002</v>
      </c>
      <c r="U2702" s="104">
        <f>VLOOKUP(TEXT(A2702,"yy-mm")&amp;"-"&amp;IF(AND(WEEKDAY(A2702)&gt;1,WEEKDAY(A2702)&lt;7),"Wkd",TEXT(A2702,"Ddd"))&amp;"-"&amp;TEXT(A2702,"hh"),LoadTable[],6,FALSE)*T2702</f>
        <v>10539.38354744</v>
      </c>
      <c r="V2702">
        <f t="shared" ref="V2702:W2702" si="2885">V2678</f>
        <v>3.4</v>
      </c>
      <c r="W2702">
        <f t="shared" si="2885"/>
        <v>3</v>
      </c>
      <c r="X2702" s="9">
        <v>-149.408932316674</v>
      </c>
    </row>
    <row r="2703" spans="1:24">
      <c r="A2703" s="29">
        <f t="shared" si="2875"/>
        <v>45948.499999993452</v>
      </c>
      <c r="B2703" s="30">
        <f t="shared" si="2830"/>
        <v>8000</v>
      </c>
      <c r="C2703" s="8">
        <v>25000</v>
      </c>
      <c r="D2703" s="8">
        <v>0</v>
      </c>
      <c r="E2703" s="8">
        <v>700</v>
      </c>
      <c r="F2703" s="8">
        <v>15000</v>
      </c>
      <c r="G2703" s="30">
        <f t="shared" si="2831"/>
        <v>2400</v>
      </c>
      <c r="H2703" s="8">
        <v>25000</v>
      </c>
      <c r="I2703" s="30">
        <f t="shared" si="2832"/>
        <v>8000</v>
      </c>
      <c r="J2703" s="8">
        <v>25000</v>
      </c>
      <c r="K2703" s="30">
        <f t="shared" si="2833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VLOOKUP(VLOOKUP(DATEVALUE(TEXT(A2703,"m/d/yyyy")),FY24_Temp[],5,FALSE)&amp;TEXT(A2703,"-h"),Table6[],4,FALSE)</f>
        <v>5.5857142192049847E-2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VLOOKUP(TEXT(A2703,"yy-mm")&amp;"-"&amp;IF(AND(WEEKDAY(A2703)&gt;1,WEEKDAY(A2703)&lt;7),"Wkd",TEXT(A2703,"Ddd"))&amp;"-"&amp;TEXT(A2703,"hh"),LoadTable[],5,FALSE)*0.92</f>
        <v>236.10788000000002</v>
      </c>
      <c r="U2703" s="104">
        <f>VLOOKUP(TEXT(A2703,"yy-mm")&amp;"-"&amp;IF(AND(WEEKDAY(A2703)&gt;1,WEEKDAY(A2703)&lt;7),"Wkd",TEXT(A2703,"Ddd"))&amp;"-"&amp;TEXT(A2703,"hh"),LoadTable[],6,FALSE)*T2703</f>
        <v>10532.30031104</v>
      </c>
      <c r="V2703">
        <f t="shared" ref="V2703:W2703" si="2886">V2679</f>
        <v>3.1</v>
      </c>
      <c r="W2703">
        <f t="shared" si="2886"/>
        <v>2.9</v>
      </c>
      <c r="X2703" s="9">
        <v>-149.48672686667399</v>
      </c>
    </row>
    <row r="2704" spans="1:24">
      <c r="A2704" s="29">
        <f t="shared" si="2875"/>
        <v>45948.541666660116</v>
      </c>
      <c r="B2704" s="30">
        <f t="shared" si="2830"/>
        <v>8000</v>
      </c>
      <c r="C2704" s="8">
        <v>25000</v>
      </c>
      <c r="D2704" s="8">
        <v>0</v>
      </c>
      <c r="E2704" s="8">
        <v>700</v>
      </c>
      <c r="F2704" s="8">
        <v>15000</v>
      </c>
      <c r="G2704" s="30">
        <f t="shared" si="2831"/>
        <v>2400</v>
      </c>
      <c r="H2704" s="8">
        <v>25000</v>
      </c>
      <c r="I2704" s="30">
        <f t="shared" si="2832"/>
        <v>8000</v>
      </c>
      <c r="J2704" s="8">
        <v>25000</v>
      </c>
      <c r="K2704" s="30">
        <f t="shared" si="2833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VLOOKUP(VLOOKUP(DATEVALUE(TEXT(A2704,"m/d/yyyy")),FY24_Temp[],5,FALSE)&amp;TEXT(A2704,"-h"),Table6[],4,FALSE)</f>
        <v>-3.7142866273079272E-3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VLOOKUP(TEXT(A2704,"yy-mm")&amp;"-"&amp;IF(AND(WEEKDAY(A2704)&gt;1,WEEKDAY(A2704)&lt;7),"Wkd",TEXT(A2704,"Ddd"))&amp;"-"&amp;TEXT(A2704,"hh"),LoadTable[],5,FALSE)*0.92</f>
        <v>236.10788000000002</v>
      </c>
      <c r="U2704" s="104">
        <f>VLOOKUP(TEXT(A2704,"yy-mm")&amp;"-"&amp;IF(AND(WEEKDAY(A2704)&gt;1,WEEKDAY(A2704)&lt;7),"Wkd",TEXT(A2704,"Ddd"))&amp;"-"&amp;TEXT(A2704,"hh"),LoadTable[],6,FALSE)*T2704</f>
        <v>10537.966900160001</v>
      </c>
      <c r="V2704">
        <f t="shared" ref="V2704:W2704" si="2887">V2680</f>
        <v>3.2</v>
      </c>
      <c r="W2704">
        <f t="shared" si="2887"/>
        <v>2.9</v>
      </c>
      <c r="X2704" s="9">
        <v>-149.56452141667401</v>
      </c>
    </row>
    <row r="2705" spans="1:24">
      <c r="A2705" s="29">
        <f t="shared" si="2875"/>
        <v>45948.58333332678</v>
      </c>
      <c r="B2705" s="30">
        <f t="shared" si="2830"/>
        <v>8000</v>
      </c>
      <c r="C2705" s="8">
        <v>25000</v>
      </c>
      <c r="D2705" s="8">
        <v>0</v>
      </c>
      <c r="E2705" s="8">
        <v>700</v>
      </c>
      <c r="F2705" s="8">
        <v>15000</v>
      </c>
      <c r="G2705" s="30">
        <f t="shared" si="2831"/>
        <v>2400</v>
      </c>
      <c r="H2705" s="8">
        <v>25000</v>
      </c>
      <c r="I2705" s="30">
        <f t="shared" si="2832"/>
        <v>8000</v>
      </c>
      <c r="J2705" s="8">
        <v>25000</v>
      </c>
      <c r="K2705" s="30">
        <f t="shared" si="2833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VLOOKUP(VLOOKUP(DATEVALUE(TEXT(A2705,"m/d/yyyy")),FY24_Temp[],5,FALSE)&amp;TEXT(A2705,"-h"),Table6[],4,FALSE)</f>
        <v>2.4285705435232452E-3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VLOOKUP(TEXT(A2705,"yy-mm")&amp;"-"&amp;IF(AND(WEEKDAY(A2705)&gt;1,WEEKDAY(A2705)&lt;7),"Wkd",TEXT(A2705,"Ddd"))&amp;"-"&amp;TEXT(A2705,"hh"),LoadTable[],5,FALSE)*0.92</f>
        <v>236.10788000000002</v>
      </c>
      <c r="U2705" s="104">
        <f>VLOOKUP(TEXT(A2705,"yy-mm")&amp;"-"&amp;IF(AND(WEEKDAY(A2705)&gt;1,WEEKDAY(A2705)&lt;7),"Wkd",TEXT(A2705,"Ddd"))&amp;"-"&amp;TEXT(A2705,"hh"),LoadTable[],6,FALSE)*T2705</f>
        <v>10545.050136560001</v>
      </c>
      <c r="V2705">
        <f t="shared" ref="V2705:W2705" si="2888">V2681</f>
        <v>3.5</v>
      </c>
      <c r="W2705">
        <f t="shared" si="2888"/>
        <v>2.9</v>
      </c>
      <c r="X2705" s="9">
        <v>-149.642315966674</v>
      </c>
    </row>
    <row r="2706" spans="1:24">
      <c r="A2706" s="29">
        <f t="shared" si="2875"/>
        <v>45948.624999993444</v>
      </c>
      <c r="B2706" s="30">
        <f t="shared" si="2830"/>
        <v>8000</v>
      </c>
      <c r="C2706" s="8">
        <v>25000</v>
      </c>
      <c r="D2706" s="8">
        <v>0</v>
      </c>
      <c r="E2706" s="8">
        <v>700</v>
      </c>
      <c r="F2706" s="8">
        <v>15000</v>
      </c>
      <c r="G2706" s="30">
        <f t="shared" si="2831"/>
        <v>2400</v>
      </c>
      <c r="H2706" s="8">
        <v>25000</v>
      </c>
      <c r="I2706" s="30">
        <f t="shared" si="2832"/>
        <v>8000</v>
      </c>
      <c r="J2706" s="8">
        <v>25000</v>
      </c>
      <c r="K2706" s="30">
        <f t="shared" si="2833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VLOOKUP(VLOOKUP(DATEVALUE(TEXT(A2706,"m/d/yyyy")),FY24_Temp[],5,FALSE)&amp;TEXT(A2706,"-h"),Table6[],4,FALSE)</f>
        <v>0.13285714206451429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VLOOKUP(TEXT(A2706,"yy-mm")&amp;"-"&amp;IF(AND(WEEKDAY(A2706)&gt;1,WEEKDAY(A2706)&lt;7),"Wkd",TEXT(A2706,"Ddd"))&amp;"-"&amp;TEXT(A2706,"hh"),LoadTable[],5,FALSE)*0.92</f>
        <v>236.10788000000002</v>
      </c>
      <c r="U2706" s="104">
        <f>VLOOKUP(TEXT(A2706,"yy-mm")&amp;"-"&amp;IF(AND(WEEKDAY(A2706)&gt;1,WEEKDAY(A2706)&lt;7),"Wkd",TEXT(A2706,"Ddd"))&amp;"-"&amp;TEXT(A2706,"hh"),LoadTable[],6,FALSE)*T2706</f>
        <v>10562.286011800001</v>
      </c>
      <c r="V2706">
        <f t="shared" ref="V2706:W2706" si="2889">V2682</f>
        <v>3.2</v>
      </c>
      <c r="W2706">
        <f t="shared" si="2889"/>
        <v>2.9</v>
      </c>
      <c r="X2706" s="9">
        <v>-149.720110516674</v>
      </c>
    </row>
    <row r="2707" spans="1:24">
      <c r="A2707" s="29">
        <f t="shared" si="2875"/>
        <v>45948.666666660109</v>
      </c>
      <c r="B2707" s="30">
        <f t="shared" si="2830"/>
        <v>8000</v>
      </c>
      <c r="C2707" s="8">
        <v>25000</v>
      </c>
      <c r="D2707" s="8">
        <v>0</v>
      </c>
      <c r="E2707" s="8">
        <v>700</v>
      </c>
      <c r="F2707" s="8">
        <v>15000</v>
      </c>
      <c r="G2707" s="30">
        <f t="shared" si="2831"/>
        <v>2400</v>
      </c>
      <c r="H2707" s="8">
        <v>25000</v>
      </c>
      <c r="I2707" s="30">
        <f t="shared" si="2832"/>
        <v>8000</v>
      </c>
      <c r="J2707" s="8">
        <v>25000</v>
      </c>
      <c r="K2707" s="30">
        <f t="shared" si="2833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VLOOKUP(VLOOKUP(DATEVALUE(TEXT(A2707,"m/d/yyyy")),FY24_Temp[],5,FALSE)&amp;TEXT(A2707,"-h"),Table6[],4,FALSE)</f>
        <v>0.3728571448816746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VLOOKUP(TEXT(A2707,"yy-mm")&amp;"-"&amp;IF(AND(WEEKDAY(A2707)&gt;1,WEEKDAY(A2707)&lt;7),"Wkd",TEXT(A2707,"Ddd"))&amp;"-"&amp;TEXT(A2707,"hh"),LoadTable[],5,FALSE)*0.92</f>
        <v>236.10788000000002</v>
      </c>
      <c r="U2707" s="104">
        <f>VLOOKUP(TEXT(A2707,"yy-mm")&amp;"-"&amp;IF(AND(WEEKDAY(A2707)&gt;1,WEEKDAY(A2707)&lt;7),"Wkd",TEXT(A2707,"Ddd"))&amp;"-"&amp;TEXT(A2707,"hh"),LoadTable[],6,FALSE)*T2707</f>
        <v>10585.660691920002</v>
      </c>
      <c r="V2707">
        <f t="shared" ref="V2707:W2707" si="2890">V2683</f>
        <v>3.5</v>
      </c>
      <c r="W2707">
        <f t="shared" si="2890"/>
        <v>3</v>
      </c>
      <c r="X2707" s="9">
        <v>-149.79790506667399</v>
      </c>
    </row>
    <row r="2708" spans="1:24">
      <c r="A2708" s="29">
        <f t="shared" si="2875"/>
        <v>45948.708333326773</v>
      </c>
      <c r="B2708" s="30">
        <f t="shared" si="2830"/>
        <v>8000</v>
      </c>
      <c r="C2708" s="8">
        <v>25000</v>
      </c>
      <c r="D2708" s="8">
        <v>0</v>
      </c>
      <c r="E2708" s="8">
        <v>700</v>
      </c>
      <c r="F2708" s="8">
        <v>15000</v>
      </c>
      <c r="G2708" s="30">
        <f t="shared" si="2831"/>
        <v>2400</v>
      </c>
      <c r="H2708" s="8">
        <v>25000</v>
      </c>
      <c r="I2708" s="30">
        <f t="shared" si="2832"/>
        <v>8000</v>
      </c>
      <c r="J2708" s="8">
        <v>25000</v>
      </c>
      <c r="K2708" s="30">
        <f t="shared" si="2833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VLOOKUP(VLOOKUP(DATEVALUE(TEXT(A2708,"m/d/yyyy")),FY24_Temp[],5,FALSE)&amp;TEXT(A2708,"-h"),Table6[],4,FALSE)</f>
        <v>0.63814285401985393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VLOOKUP(TEXT(A2708,"yy-mm")&amp;"-"&amp;IF(AND(WEEKDAY(A2708)&gt;1,WEEKDAY(A2708)&lt;7),"Wkd",TEXT(A2708,"Ddd"))&amp;"-"&amp;TEXT(A2708,"hh"),LoadTable[],5,FALSE)*0.92</f>
        <v>236.10788000000002</v>
      </c>
      <c r="U2708" s="104">
        <f>VLOOKUP(TEXT(A2708,"yy-mm")&amp;"-"&amp;IF(AND(WEEKDAY(A2708)&gt;1,WEEKDAY(A2708)&lt;7),"Wkd",TEXT(A2708,"Ddd"))&amp;"-"&amp;TEXT(A2708,"hh"),LoadTable[],6,FALSE)*T2708</f>
        <v>10937.933648880002</v>
      </c>
      <c r="V2708">
        <f t="shared" ref="V2708:W2708" si="2891">V2684</f>
        <v>3.6</v>
      </c>
      <c r="W2708">
        <f t="shared" si="2891"/>
        <v>3</v>
      </c>
      <c r="X2708" s="9">
        <v>-149.87569961667401</v>
      </c>
    </row>
    <row r="2709" spans="1:24">
      <c r="A2709" s="29">
        <f t="shared" si="2875"/>
        <v>45948.749999993437</v>
      </c>
      <c r="B2709" s="30">
        <f t="shared" si="2830"/>
        <v>5000</v>
      </c>
      <c r="C2709" s="8">
        <v>25000</v>
      </c>
      <c r="D2709" s="8">
        <v>0</v>
      </c>
      <c r="E2709" s="8">
        <v>700</v>
      </c>
      <c r="F2709" s="8">
        <v>15000</v>
      </c>
      <c r="G2709" s="30">
        <f t="shared" si="2831"/>
        <v>2400</v>
      </c>
      <c r="H2709" s="8">
        <v>25000</v>
      </c>
      <c r="I2709" s="30">
        <f t="shared" si="2832"/>
        <v>5000</v>
      </c>
      <c r="J2709" s="8">
        <v>25000</v>
      </c>
      <c r="K2709" s="30">
        <f t="shared" si="2833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VLOOKUP(VLOOKUP(DATEVALUE(TEXT(A2709,"m/d/yyyy")),FY24_Temp[],5,FALSE)&amp;TEXT(A2709,"-h"),Table6[],4,FALSE)</f>
        <v>0.73900000122615261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VLOOKUP(TEXT(A2709,"yy-mm")&amp;"-"&amp;IF(AND(WEEKDAY(A2709)&gt;1,WEEKDAY(A2709)&lt;7),"Wkd",TEXT(A2709,"Ddd"))&amp;"-"&amp;TEXT(A2709,"hh"),LoadTable[],5,FALSE)*0.92</f>
        <v>308.12363999999997</v>
      </c>
      <c r="U2709" s="104">
        <f>VLOOKUP(TEXT(A2709,"yy-mm")&amp;"-"&amp;IF(AND(WEEKDAY(A2709)&gt;1,WEEKDAY(A2709)&lt;7),"Wkd",TEXT(A2709,"Ddd"))&amp;"-"&amp;TEXT(A2709,"hh"),LoadTable[],6,FALSE)*T2709</f>
        <v>14937.525943559998</v>
      </c>
      <c r="V2709">
        <f t="shared" ref="V2709:W2709" si="2892">V2685</f>
        <v>2.9</v>
      </c>
      <c r="W2709">
        <f t="shared" si="2892"/>
        <v>3</v>
      </c>
      <c r="X2709" s="9">
        <v>-149.95349416667401</v>
      </c>
    </row>
    <row r="2710" spans="1:24">
      <c r="A2710" s="29">
        <f t="shared" si="2875"/>
        <v>45948.791666660101</v>
      </c>
      <c r="B2710" s="30">
        <f t="shared" si="2830"/>
        <v>5000</v>
      </c>
      <c r="C2710" s="8">
        <v>25000</v>
      </c>
      <c r="D2710" s="8">
        <v>0</v>
      </c>
      <c r="E2710" s="8">
        <v>700</v>
      </c>
      <c r="F2710" s="8">
        <v>15000</v>
      </c>
      <c r="G2710" s="30">
        <f t="shared" si="2831"/>
        <v>2400</v>
      </c>
      <c r="H2710" s="8">
        <v>25000</v>
      </c>
      <c r="I2710" s="30">
        <f t="shared" si="2832"/>
        <v>5000</v>
      </c>
      <c r="J2710" s="8">
        <v>25000</v>
      </c>
      <c r="K2710" s="30">
        <f t="shared" si="2833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VLOOKUP(VLOOKUP(DATEVALUE(TEXT(A2710,"m/d/yyyy")),FY24_Temp[],5,FALSE)&amp;TEXT(A2710,"-h"),Table6[],4,FALSE)</f>
        <v>0.80314285427247845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VLOOKUP(TEXT(A2710,"yy-mm")&amp;"-"&amp;IF(AND(WEEKDAY(A2710)&gt;1,WEEKDAY(A2710)&lt;7),"Wkd",TEXT(A2710,"Ddd"))&amp;"-"&amp;TEXT(A2710,"hh"),LoadTable[],5,FALSE)*0.92</f>
        <v>308.12363999999997</v>
      </c>
      <c r="U2710" s="104">
        <f>VLOOKUP(TEXT(A2710,"yy-mm")&amp;"-"&amp;IF(AND(WEEKDAY(A2710)&gt;1,WEEKDAY(A2710)&lt;7),"Wkd",TEXT(A2710,"Ddd"))&amp;"-"&amp;TEXT(A2710,"hh"),LoadTable[],6,FALSE)*T2710</f>
        <v>15039.206744759998</v>
      </c>
      <c r="V2710">
        <f t="shared" ref="V2710:W2710" si="2893">V2686</f>
        <v>3</v>
      </c>
      <c r="W2710">
        <f t="shared" si="2893"/>
        <v>3</v>
      </c>
      <c r="X2710" s="9">
        <v>-150.031288716674</v>
      </c>
    </row>
    <row r="2711" spans="1:24">
      <c r="A2711" s="29">
        <f t="shared" si="2875"/>
        <v>45948.833333326766</v>
      </c>
      <c r="B2711" s="30">
        <f t="shared" si="2830"/>
        <v>5000</v>
      </c>
      <c r="C2711" s="8">
        <v>25000</v>
      </c>
      <c r="D2711" s="8">
        <v>0</v>
      </c>
      <c r="E2711" s="8">
        <v>700</v>
      </c>
      <c r="F2711" s="8">
        <v>15000</v>
      </c>
      <c r="G2711" s="30">
        <f t="shared" si="2831"/>
        <v>2400</v>
      </c>
      <c r="H2711" s="8">
        <v>25000</v>
      </c>
      <c r="I2711" s="30">
        <f t="shared" si="2832"/>
        <v>5000</v>
      </c>
      <c r="J2711" s="8">
        <v>25000</v>
      </c>
      <c r="K2711" s="30">
        <f t="shared" si="2833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VLOOKUP(VLOOKUP(DATEVALUE(TEXT(A2711,"m/d/yyyy")),FY24_Temp[],5,FALSE)&amp;TEXT(A2711,"-h"),Table6[],4,FALSE)</f>
        <v>0.86528570312539677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VLOOKUP(TEXT(A2711,"yy-mm")&amp;"-"&amp;IF(AND(WEEKDAY(A2711)&gt;1,WEEKDAY(A2711)&lt;7),"Wkd",TEXT(A2711,"Ddd"))&amp;"-"&amp;TEXT(A2711,"hh"),LoadTable[],5,FALSE)*0.92</f>
        <v>254.40852000000001</v>
      </c>
      <c r="U2711" s="104">
        <f>VLOOKUP(TEXT(A2711,"yy-mm")&amp;"-"&amp;IF(AND(WEEKDAY(A2711)&gt;1,WEEKDAY(A2711)&lt;7),"Wkd",TEXT(A2711,"Ddd"))&amp;"-"&amp;TEXT(A2711,"hh"),LoadTable[],6,FALSE)*T2711</f>
        <v>12270.377328120001</v>
      </c>
      <c r="V2711">
        <f t="shared" ref="V2711:W2711" si="2894">V2687</f>
        <v>2.8</v>
      </c>
      <c r="W2711">
        <f t="shared" si="2894"/>
        <v>3.1</v>
      </c>
      <c r="X2711" s="9">
        <v>-150.10908326667399</v>
      </c>
    </row>
    <row r="2712" spans="1:24">
      <c r="A2712" s="29">
        <f t="shared" si="2875"/>
        <v>45948.87499999343</v>
      </c>
      <c r="B2712" s="30">
        <f t="shared" si="2830"/>
        <v>5000</v>
      </c>
      <c r="C2712" s="8">
        <v>25000</v>
      </c>
      <c r="D2712" s="8">
        <v>0</v>
      </c>
      <c r="E2712" s="8">
        <v>700</v>
      </c>
      <c r="F2712" s="8">
        <v>15000</v>
      </c>
      <c r="G2712" s="30">
        <f t="shared" si="2831"/>
        <v>2400</v>
      </c>
      <c r="H2712" s="8">
        <v>25000</v>
      </c>
      <c r="I2712" s="30">
        <f t="shared" si="2832"/>
        <v>5000</v>
      </c>
      <c r="J2712" s="8">
        <v>25000</v>
      </c>
      <c r="K2712" s="30">
        <f t="shared" si="2833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VLOOKUP(VLOOKUP(DATEVALUE(TEXT(A2712,"m/d/yyyy")),FY24_Temp[],5,FALSE)&amp;TEXT(A2712,"-h"),Table6[],4,FALSE)</f>
        <v>0.95742857465746201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VLOOKUP(TEXT(A2712,"yy-mm")&amp;"-"&amp;IF(AND(WEEKDAY(A2712)&gt;1,WEEKDAY(A2712)&lt;7),"Wkd",TEXT(A2712,"Ddd"))&amp;"-"&amp;TEXT(A2712,"hh"),LoadTable[],5,FALSE)*0.92</f>
        <v>180.62544</v>
      </c>
      <c r="U2712" s="104">
        <f>VLOOKUP(TEXT(A2712,"yy-mm")&amp;"-"&amp;IF(AND(WEEKDAY(A2712)&gt;1,WEEKDAY(A2712)&lt;7),"Wkd",TEXT(A2712,"Ddd"))&amp;"-"&amp;TEXT(A2712,"hh"),LoadTable[],6,FALSE)*T2712</f>
        <v>8522.4501355199991</v>
      </c>
      <c r="V2712">
        <f t="shared" ref="V2712:W2712" si="2895">V2688</f>
        <v>3.5</v>
      </c>
      <c r="W2712">
        <f t="shared" si="2895"/>
        <v>3.1</v>
      </c>
      <c r="X2712" s="9">
        <v>-150.18687781667401</v>
      </c>
    </row>
    <row r="2713" spans="1:24">
      <c r="A2713" s="29">
        <f t="shared" si="2875"/>
        <v>45948.916666660094</v>
      </c>
      <c r="B2713" s="30">
        <f t="shared" si="2830"/>
        <v>5000</v>
      </c>
      <c r="C2713" s="8">
        <v>25000</v>
      </c>
      <c r="D2713" s="8">
        <v>0</v>
      </c>
      <c r="E2713" s="8">
        <v>700</v>
      </c>
      <c r="F2713" s="8">
        <v>15000</v>
      </c>
      <c r="G2713" s="30">
        <f t="shared" si="2831"/>
        <v>2400</v>
      </c>
      <c r="H2713" s="8">
        <v>25000</v>
      </c>
      <c r="I2713" s="30">
        <f t="shared" si="2832"/>
        <v>5000</v>
      </c>
      <c r="J2713" s="8">
        <v>25000</v>
      </c>
      <c r="K2713" s="30">
        <f t="shared" si="2833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VLOOKUP(VLOOKUP(DATEVALUE(TEXT(A2713,"m/d/yyyy")),FY24_Temp[],5,FALSE)&amp;TEXT(A2713,"-h"),Table6[],4,FALSE)</f>
        <v>1.0430000169890485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VLOOKUP(TEXT(A2713,"yy-mm")&amp;"-"&amp;IF(AND(WEEKDAY(A2713)&gt;1,WEEKDAY(A2713)&lt;7),"Wkd",TEXT(A2713,"Ddd"))&amp;"-"&amp;TEXT(A2713,"hh"),LoadTable[],5,FALSE)*0.92</f>
        <v>180.62544</v>
      </c>
      <c r="U2713" s="104">
        <f>VLOOKUP(TEXT(A2713,"yy-mm")&amp;"-"&amp;IF(AND(WEEKDAY(A2713)&gt;1,WEEKDAY(A2713)&lt;7),"Wkd",TEXT(A2713,"Ddd"))&amp;"-"&amp;TEXT(A2713,"hh"),LoadTable[],6,FALSE)*T2713</f>
        <v>8193.1699583999998</v>
      </c>
      <c r="V2713">
        <f t="shared" ref="V2713:W2713" si="2896">V2689</f>
        <v>2.9</v>
      </c>
      <c r="W2713">
        <f t="shared" si="2896"/>
        <v>3.1</v>
      </c>
      <c r="X2713" s="9">
        <v>-150.26467236667401</v>
      </c>
    </row>
    <row r="2714" spans="1:24">
      <c r="A2714" s="29">
        <f t="shared" si="2875"/>
        <v>45948.958333326758</v>
      </c>
      <c r="B2714" s="30">
        <f t="shared" si="2830"/>
        <v>5000</v>
      </c>
      <c r="C2714" s="8">
        <v>25000</v>
      </c>
      <c r="D2714" s="8">
        <v>0</v>
      </c>
      <c r="E2714" s="8">
        <v>700</v>
      </c>
      <c r="F2714" s="8">
        <v>15000</v>
      </c>
      <c r="G2714" s="30">
        <f t="shared" si="2831"/>
        <v>2400</v>
      </c>
      <c r="H2714" s="8">
        <v>25000</v>
      </c>
      <c r="I2714" s="30">
        <f t="shared" si="2832"/>
        <v>5000</v>
      </c>
      <c r="J2714" s="8">
        <v>25000</v>
      </c>
      <c r="K2714" s="30">
        <f t="shared" si="2833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VLOOKUP(VLOOKUP(DATEVALUE(TEXT(A2714,"m/d/yyyy")),FY24_Temp[],5,FALSE)&amp;TEXT(A2714,"-h"),Table6[],4,FALSE)</f>
        <v>1.0454285740700597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VLOOKUP(TEXT(A2714,"yy-mm")&amp;"-"&amp;IF(AND(WEEKDAY(A2714)&gt;1,WEEKDAY(A2714)&lt;7),"Wkd",TEXT(A2714,"Ddd"))&amp;"-"&amp;TEXT(A2714,"hh"),LoadTable[],5,FALSE)*0.92</f>
        <v>180.62544</v>
      </c>
      <c r="U2714" s="104">
        <f>VLOOKUP(TEXT(A2714,"yy-mm")&amp;"-"&amp;IF(AND(WEEKDAY(A2714)&gt;1,WEEKDAY(A2714)&lt;7),"Wkd",TEXT(A2714,"Ddd"))&amp;"-"&amp;TEXT(A2714,"hh"),LoadTable[],6,FALSE)*T2714</f>
        <v>8178.1780468799998</v>
      </c>
      <c r="V2714">
        <f t="shared" ref="V2714:W2714" si="2897">V2690</f>
        <v>3.6</v>
      </c>
      <c r="W2714">
        <f t="shared" si="2897"/>
        <v>3.1</v>
      </c>
      <c r="X2714" s="9">
        <v>-150.342466916674</v>
      </c>
    </row>
    <row r="2715" spans="1:24">
      <c r="A2715" s="29">
        <f t="shared" si="2875"/>
        <v>45948.999999993423</v>
      </c>
      <c r="B2715" s="30">
        <f t="shared" si="2830"/>
        <v>5000</v>
      </c>
      <c r="C2715" s="8">
        <v>25000</v>
      </c>
      <c r="D2715" s="8">
        <v>0</v>
      </c>
      <c r="E2715" s="8">
        <v>700</v>
      </c>
      <c r="F2715" s="8">
        <v>15000</v>
      </c>
      <c r="G2715" s="30">
        <f t="shared" si="2831"/>
        <v>2400</v>
      </c>
      <c r="H2715" s="8">
        <v>25000</v>
      </c>
      <c r="I2715" s="30">
        <f t="shared" si="2832"/>
        <v>5000</v>
      </c>
      <c r="J2715" s="8">
        <v>25000</v>
      </c>
      <c r="K2715" s="30">
        <f t="shared" si="2833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VLOOKUP(VLOOKUP(DATEVALUE(TEXT(A2715,"m/d/yyyy")),FY24_Temp[],5,FALSE)&amp;TEXT(A2715,"-h"),Table6[],4,FALSE)</f>
        <v>0.52500001029895027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VLOOKUP(TEXT(A2715,"yy-mm")&amp;"-"&amp;IF(AND(WEEKDAY(A2715)&gt;1,WEEKDAY(A2715)&lt;7),"Wkd",TEXT(A2715,"Ddd"))&amp;"-"&amp;TEXT(A2715,"hh"),LoadTable[],5,FALSE)*0.92</f>
        <v>180.62544</v>
      </c>
      <c r="U2715" s="104">
        <f>VLOOKUP(TEXT(A2715,"yy-mm")&amp;"-"&amp;IF(AND(WEEKDAY(A2715)&gt;1,WEEKDAY(A2715)&lt;7),"Wkd",TEXT(A2715,"Ddd"))&amp;"-"&amp;TEXT(A2715,"hh"),LoadTable[],6,FALSE)*T2715</f>
        <v>8118.2104007999997</v>
      </c>
      <c r="V2715">
        <f t="shared" ref="V2715:W2715" si="2898">V2691</f>
        <v>3</v>
      </c>
      <c r="W2715">
        <f t="shared" si="2898"/>
        <v>3.2</v>
      </c>
      <c r="X2715" s="9">
        <v>-150.42026146667399</v>
      </c>
    </row>
    <row r="2716" spans="1:24">
      <c r="A2716" s="29">
        <f t="shared" si="2875"/>
        <v>45949.041666660087</v>
      </c>
      <c r="B2716" s="30">
        <f t="shared" ref="B2716:B2779" si="2899">B2692</f>
        <v>5000</v>
      </c>
      <c r="C2716" s="8">
        <v>25000</v>
      </c>
      <c r="D2716" s="8">
        <v>0</v>
      </c>
      <c r="E2716" s="8">
        <v>700</v>
      </c>
      <c r="F2716" s="8">
        <v>15000</v>
      </c>
      <c r="G2716" s="30">
        <f t="shared" ref="G2716:G2779" si="2900">G2692</f>
        <v>2400</v>
      </c>
      <c r="H2716" s="8">
        <v>25000</v>
      </c>
      <c r="I2716" s="30">
        <f t="shared" ref="I2716:I2779" si="2901">I2692</f>
        <v>5000</v>
      </c>
      <c r="J2716" s="8">
        <v>25000</v>
      </c>
      <c r="K2716" s="30">
        <f t="shared" ref="K2716:K2779" si="2902">K2692</f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VLOOKUP(VLOOKUP(DATEVALUE(TEXT(A2716,"m/d/yyyy")),FY24_Temp[],5,FALSE)&amp;TEXT(A2716,"-h"),Table6[],4,FALSE)</f>
        <v>0.80228570532815979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VLOOKUP(TEXT(A2716,"yy-mm")&amp;"-"&amp;IF(AND(WEEKDAY(A2716)&gt;1,WEEKDAY(A2716)&lt;7),"Wkd",TEXT(A2716,"Ddd"))&amp;"-"&amp;TEXT(A2716,"hh"),LoadTable[],5,FALSE)*0.92</f>
        <v>180.62544</v>
      </c>
      <c r="U2716" s="104">
        <f>VLOOKUP(TEXT(A2716,"yy-mm")&amp;"-"&amp;IF(AND(WEEKDAY(A2716)&gt;1,WEEKDAY(A2716)&lt;7),"Wkd",TEXT(A2716,"Ddd"))&amp;"-"&amp;TEXT(A2716,"hh"),LoadTable[],6,FALSE)*T2716</f>
        <v>8109.7210051200009</v>
      </c>
      <c r="V2716">
        <f t="shared" ref="V2716:W2716" si="2903">V2692</f>
        <v>2.6</v>
      </c>
      <c r="W2716">
        <f t="shared" si="2903"/>
        <v>3.2</v>
      </c>
      <c r="X2716" s="9">
        <v>-150.49805601667401</v>
      </c>
    </row>
    <row r="2717" spans="1:24">
      <c r="A2717" s="29">
        <f t="shared" si="2875"/>
        <v>45949.083333326751</v>
      </c>
      <c r="B2717" s="30">
        <f t="shared" si="2899"/>
        <v>5000</v>
      </c>
      <c r="C2717" s="8">
        <v>25000</v>
      </c>
      <c r="D2717" s="8">
        <v>0</v>
      </c>
      <c r="E2717" s="8">
        <v>700</v>
      </c>
      <c r="F2717" s="8">
        <v>15000</v>
      </c>
      <c r="G2717" s="30">
        <f t="shared" si="2900"/>
        <v>2400</v>
      </c>
      <c r="H2717" s="8">
        <v>25000</v>
      </c>
      <c r="I2717" s="30">
        <f t="shared" si="2901"/>
        <v>5000</v>
      </c>
      <c r="J2717" s="8">
        <v>25000</v>
      </c>
      <c r="K2717" s="30">
        <f t="shared" si="2902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VLOOKUP(VLOOKUP(DATEVALUE(TEXT(A2717,"m/d/yyyy")),FY24_Temp[],5,FALSE)&amp;TEXT(A2717,"-h"),Table6[],4,FALSE)</f>
        <v>0.82585714335577387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VLOOKUP(TEXT(A2717,"yy-mm")&amp;"-"&amp;IF(AND(WEEKDAY(A2717)&gt;1,WEEKDAY(A2717)&lt;7),"Wkd",TEXT(A2717,"Ddd"))&amp;"-"&amp;TEXT(A2717,"hh"),LoadTable[],5,FALSE)*0.92</f>
        <v>180.62544</v>
      </c>
      <c r="U2717" s="104">
        <f>VLOOKUP(TEXT(A2717,"yy-mm")&amp;"-"&amp;IF(AND(WEEKDAY(A2717)&gt;1,WEEKDAY(A2717)&lt;7),"Wkd",TEXT(A2717,"Ddd"))&amp;"-"&amp;TEXT(A2717,"hh"),LoadTable[],6,FALSE)*T2717</f>
        <v>8120.3779060799998</v>
      </c>
      <c r="V2717">
        <f t="shared" ref="V2717:W2717" si="2904">V2693</f>
        <v>2.8</v>
      </c>
      <c r="W2717">
        <f t="shared" si="2904"/>
        <v>3.2</v>
      </c>
      <c r="X2717" s="9">
        <v>-150.57585056667401</v>
      </c>
    </row>
    <row r="2718" spans="1:24">
      <c r="A2718" s="29">
        <f t="shared" si="2875"/>
        <v>45949.124999993415</v>
      </c>
      <c r="B2718" s="30">
        <f t="shared" si="2899"/>
        <v>5000</v>
      </c>
      <c r="C2718" s="8">
        <v>25000</v>
      </c>
      <c r="D2718" s="8">
        <v>0</v>
      </c>
      <c r="E2718" s="8">
        <v>700</v>
      </c>
      <c r="F2718" s="8">
        <v>15000</v>
      </c>
      <c r="G2718" s="30">
        <f t="shared" si="2900"/>
        <v>2400</v>
      </c>
      <c r="H2718" s="8">
        <v>25000</v>
      </c>
      <c r="I2718" s="30">
        <f t="shared" si="2901"/>
        <v>5000</v>
      </c>
      <c r="J2718" s="8">
        <v>25000</v>
      </c>
      <c r="K2718" s="30">
        <f t="shared" si="2902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VLOOKUP(VLOOKUP(DATEVALUE(TEXT(A2718,"m/d/yyyy")),FY24_Temp[],5,FALSE)&amp;TEXT(A2718,"-h"),Table6[],4,FALSE)</f>
        <v>0.77514286660566056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VLOOKUP(TEXT(A2718,"yy-mm")&amp;"-"&amp;IF(AND(WEEKDAY(A2718)&gt;1,WEEKDAY(A2718)&lt;7),"Wkd",TEXT(A2718,"Ddd"))&amp;"-"&amp;TEXT(A2718,"hh"),LoadTable[],5,FALSE)*0.92</f>
        <v>180.62544</v>
      </c>
      <c r="U2718" s="104">
        <f>VLOOKUP(TEXT(A2718,"yy-mm")&amp;"-"&amp;IF(AND(WEEKDAY(A2718)&gt;1,WEEKDAY(A2718)&lt;7),"Wkd",TEXT(A2718,"Ddd"))&amp;"-"&amp;TEXT(A2718,"hh"),LoadTable[],6,FALSE)*T2718</f>
        <v>8130.1316798400003</v>
      </c>
      <c r="V2718">
        <f t="shared" ref="V2718:W2718" si="2905">V2694</f>
        <v>2.7</v>
      </c>
      <c r="W2718">
        <f t="shared" si="2905"/>
        <v>3.2</v>
      </c>
      <c r="X2718" s="9">
        <v>-150.653645116674</v>
      </c>
    </row>
    <row r="2719" spans="1:24">
      <c r="A2719" s="29">
        <f t="shared" si="2875"/>
        <v>45949.166666660079</v>
      </c>
      <c r="B2719" s="30">
        <f t="shared" si="2899"/>
        <v>5000</v>
      </c>
      <c r="C2719" s="8">
        <v>25000</v>
      </c>
      <c r="D2719" s="8">
        <v>0</v>
      </c>
      <c r="E2719" s="8">
        <v>700</v>
      </c>
      <c r="F2719" s="8">
        <v>15000</v>
      </c>
      <c r="G2719" s="30">
        <f t="shared" si="2900"/>
        <v>2400</v>
      </c>
      <c r="H2719" s="8">
        <v>25000</v>
      </c>
      <c r="I2719" s="30">
        <f t="shared" si="2901"/>
        <v>5000</v>
      </c>
      <c r="J2719" s="8">
        <v>25000</v>
      </c>
      <c r="K2719" s="30">
        <f t="shared" si="2902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VLOOKUP(VLOOKUP(DATEVALUE(TEXT(A2719,"m/d/yyyy")),FY24_Temp[],5,FALSE)&amp;TEXT(A2719,"-h"),Table6[],4,FALSE)</f>
        <v>0.71685714598402617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VLOOKUP(TEXT(A2719,"yy-mm")&amp;"-"&amp;IF(AND(WEEKDAY(A2719)&gt;1,WEEKDAY(A2719)&lt;7),"Wkd",TEXT(A2719,"Ddd"))&amp;"-"&amp;TEXT(A2719,"hh"),LoadTable[],5,FALSE)*0.92</f>
        <v>180.62544</v>
      </c>
      <c r="U2719" s="104">
        <f>VLOOKUP(TEXT(A2719,"yy-mm")&amp;"-"&amp;IF(AND(WEEKDAY(A2719)&gt;1,WEEKDAY(A2719)&lt;7),"Wkd",TEXT(A2719,"Ddd"))&amp;"-"&amp;TEXT(A2719,"hh"),LoadTable[],6,FALSE)*T2719</f>
        <v>8136.0923193599992</v>
      </c>
      <c r="V2719">
        <f t="shared" ref="V2719:W2719" si="2906">V2695</f>
        <v>3</v>
      </c>
      <c r="W2719">
        <f t="shared" si="2906"/>
        <v>3.1</v>
      </c>
      <c r="X2719" s="9">
        <v>-150.73143966667399</v>
      </c>
    </row>
    <row r="2720" spans="1:24">
      <c r="A2720" s="29">
        <f t="shared" si="2875"/>
        <v>45949.208333326744</v>
      </c>
      <c r="B2720" s="30">
        <f t="shared" si="2899"/>
        <v>5000</v>
      </c>
      <c r="C2720" s="8">
        <v>25000</v>
      </c>
      <c r="D2720" s="8">
        <v>0</v>
      </c>
      <c r="E2720" s="8">
        <v>700</v>
      </c>
      <c r="F2720" s="8">
        <v>15000</v>
      </c>
      <c r="G2720" s="30">
        <f t="shared" si="2900"/>
        <v>2400</v>
      </c>
      <c r="H2720" s="8">
        <v>25000</v>
      </c>
      <c r="I2720" s="30">
        <f t="shared" si="2901"/>
        <v>5000</v>
      </c>
      <c r="J2720" s="8">
        <v>25000</v>
      </c>
      <c r="K2720" s="30">
        <f t="shared" si="2902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VLOOKUP(VLOOKUP(DATEVALUE(TEXT(A2720,"m/d/yyyy")),FY24_Temp[],5,FALSE)&amp;TEXT(A2720,"-h"),Table6[],4,FALSE)</f>
        <v>0.68157143264069042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VLOOKUP(TEXT(A2720,"yy-mm")&amp;"-"&amp;IF(AND(WEEKDAY(A2720)&gt;1,WEEKDAY(A2720)&lt;7),"Wkd",TEXT(A2720,"Ddd"))&amp;"-"&amp;TEXT(A2720,"hh"),LoadTable[],5,FALSE)*0.92</f>
        <v>180.62544</v>
      </c>
      <c r="U2720" s="104">
        <f>VLOOKUP(TEXT(A2720,"yy-mm")&amp;"-"&amp;IF(AND(WEEKDAY(A2720)&gt;1,WEEKDAY(A2720)&lt;7),"Wkd",TEXT(A2720,"Ddd"))&amp;"-"&amp;TEXT(A2720,"hh"),LoadTable[],6,FALSE)*T2720</f>
        <v>8201.4787286400006</v>
      </c>
      <c r="V2720">
        <f t="shared" ref="V2720:W2720" si="2907">V2696</f>
        <v>2.9</v>
      </c>
      <c r="W2720">
        <f t="shared" si="2907"/>
        <v>3.1</v>
      </c>
      <c r="X2720" s="9">
        <v>-150.80923421667401</v>
      </c>
    </row>
    <row r="2721" spans="1:24">
      <c r="A2721" s="29">
        <f t="shared" si="2875"/>
        <v>45949.249999993408</v>
      </c>
      <c r="B2721" s="30">
        <f t="shared" si="2899"/>
        <v>8000</v>
      </c>
      <c r="C2721" s="8">
        <v>25000</v>
      </c>
      <c r="D2721" s="8">
        <v>0</v>
      </c>
      <c r="E2721" s="8">
        <v>700</v>
      </c>
      <c r="F2721" s="8">
        <v>15000</v>
      </c>
      <c r="G2721" s="30">
        <f t="shared" si="2900"/>
        <v>2400</v>
      </c>
      <c r="H2721" s="8">
        <v>25000</v>
      </c>
      <c r="I2721" s="30">
        <f t="shared" si="2901"/>
        <v>8000</v>
      </c>
      <c r="J2721" s="8">
        <v>25000</v>
      </c>
      <c r="K2721" s="30">
        <f t="shared" si="2902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VLOOKUP(VLOOKUP(DATEVALUE(TEXT(A2721,"m/d/yyyy")),FY24_Temp[],5,FALSE)&amp;TEXT(A2721,"-h"),Table6[],4,FALSE)</f>
        <v>0.5494285853817924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VLOOKUP(TEXT(A2721,"yy-mm")&amp;"-"&amp;IF(AND(WEEKDAY(A2721)&gt;1,WEEKDAY(A2721)&lt;7),"Wkd",TEXT(A2721,"Ddd"))&amp;"-"&amp;TEXT(A2721,"hh"),LoadTable[],5,FALSE)*0.92</f>
        <v>236.10788000000002</v>
      </c>
      <c r="U2721" s="104">
        <f>VLOOKUP(TEXT(A2721,"yy-mm")&amp;"-"&amp;IF(AND(WEEKDAY(A2721)&gt;1,WEEKDAY(A2721)&lt;7),"Wkd",TEXT(A2721,"Ddd"))&amp;"-"&amp;TEXT(A2721,"hh"),LoadTable[],6,FALSE)*T2721</f>
        <v>10800.282754840002</v>
      </c>
      <c r="V2721">
        <f t="shared" ref="V2721:W2721" si="2908">V2697</f>
        <v>2.5</v>
      </c>
      <c r="W2721">
        <f t="shared" si="2908"/>
        <v>3.1</v>
      </c>
      <c r="X2721" s="9">
        <v>-150.88702876667401</v>
      </c>
    </row>
    <row r="2722" spans="1:24">
      <c r="A2722" s="29">
        <f t="shared" si="2875"/>
        <v>45949.291666660072</v>
      </c>
      <c r="B2722" s="30">
        <f t="shared" si="2899"/>
        <v>8000</v>
      </c>
      <c r="C2722" s="8">
        <v>25000</v>
      </c>
      <c r="D2722" s="8">
        <v>0</v>
      </c>
      <c r="E2722" s="8">
        <v>700</v>
      </c>
      <c r="F2722" s="8">
        <v>15000</v>
      </c>
      <c r="G2722" s="30">
        <f t="shared" si="2900"/>
        <v>2400</v>
      </c>
      <c r="H2722" s="8">
        <v>25000</v>
      </c>
      <c r="I2722" s="30">
        <f t="shared" si="2901"/>
        <v>8000</v>
      </c>
      <c r="J2722" s="8">
        <v>25000</v>
      </c>
      <c r="K2722" s="30">
        <f t="shared" si="2902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VLOOKUP(VLOOKUP(DATEVALUE(TEXT(A2722,"m/d/yyyy")),FY24_Temp[],5,FALSE)&amp;TEXT(A2722,"-h"),Table6[],4,FALSE)</f>
        <v>0.44057143108991348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VLOOKUP(TEXT(A2722,"yy-mm")&amp;"-"&amp;IF(AND(WEEKDAY(A2722)&gt;1,WEEKDAY(A2722)&lt;7),"Wkd",TEXT(A2722,"Ddd"))&amp;"-"&amp;TEXT(A2722,"hh"),LoadTable[],5,FALSE)*0.92</f>
        <v>236.10788000000002</v>
      </c>
      <c r="U2722" s="104">
        <f>VLOOKUP(TEXT(A2722,"yy-mm")&amp;"-"&amp;IF(AND(WEEKDAY(A2722)&gt;1,WEEKDAY(A2722)&lt;7),"Wkd",TEXT(A2722,"Ddd"))&amp;"-"&amp;TEXT(A2722,"hh"),LoadTable[],6,FALSE)*T2722</f>
        <v>10734.40865632</v>
      </c>
      <c r="V2722">
        <f t="shared" ref="V2722:W2722" si="2909">V2698</f>
        <v>2.5</v>
      </c>
      <c r="W2722">
        <f t="shared" si="2909"/>
        <v>3.1</v>
      </c>
      <c r="X2722" s="9">
        <v>-150.964823316674</v>
      </c>
    </row>
    <row r="2723" spans="1:24">
      <c r="A2723" s="29">
        <f t="shared" si="2875"/>
        <v>45949.333333326736</v>
      </c>
      <c r="B2723" s="30">
        <f t="shared" si="2899"/>
        <v>8000</v>
      </c>
      <c r="C2723" s="8">
        <v>25000</v>
      </c>
      <c r="D2723" s="8">
        <v>0</v>
      </c>
      <c r="E2723" s="8">
        <v>700</v>
      </c>
      <c r="F2723" s="8">
        <v>15000</v>
      </c>
      <c r="G2723" s="30">
        <f t="shared" si="2900"/>
        <v>2400</v>
      </c>
      <c r="H2723" s="8">
        <v>25000</v>
      </c>
      <c r="I2723" s="30">
        <f t="shared" si="2901"/>
        <v>8000</v>
      </c>
      <c r="J2723" s="8">
        <v>25000</v>
      </c>
      <c r="K2723" s="30">
        <f t="shared" si="2902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VLOOKUP(VLOOKUP(DATEVALUE(TEXT(A2723,"m/d/yyyy")),FY24_Temp[],5,FALSE)&amp;TEXT(A2723,"-h"),Table6[],4,FALSE)</f>
        <v>0.35985714461501639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VLOOKUP(TEXT(A2723,"yy-mm")&amp;"-"&amp;IF(AND(WEEKDAY(A2723)&gt;1,WEEKDAY(A2723)&lt;7),"Wkd",TEXT(A2723,"Ddd"))&amp;"-"&amp;TEXT(A2723,"hh"),LoadTable[],5,FALSE)*0.92</f>
        <v>236.10788000000002</v>
      </c>
      <c r="U2723" s="104">
        <f>VLOOKUP(TEXT(A2723,"yy-mm")&amp;"-"&amp;IF(AND(WEEKDAY(A2723)&gt;1,WEEKDAY(A2723)&lt;7),"Wkd",TEXT(A2723,"Ddd"))&amp;"-"&amp;TEXT(A2723,"hh"),LoadTable[],6,FALSE)*T2723</f>
        <v>10590.6189574</v>
      </c>
      <c r="V2723">
        <f t="shared" ref="V2723:W2723" si="2910">V2699</f>
        <v>3.2</v>
      </c>
      <c r="W2723">
        <f t="shared" si="2910"/>
        <v>3</v>
      </c>
      <c r="X2723" s="9">
        <v>-151.04261786667399</v>
      </c>
    </row>
    <row r="2724" spans="1:24">
      <c r="A2724" s="29">
        <f t="shared" si="2875"/>
        <v>45949.374999993401</v>
      </c>
      <c r="B2724" s="30">
        <f t="shared" si="2899"/>
        <v>8000</v>
      </c>
      <c r="C2724" s="8">
        <v>25000</v>
      </c>
      <c r="D2724" s="8">
        <v>0</v>
      </c>
      <c r="E2724" s="8">
        <v>700</v>
      </c>
      <c r="F2724" s="8">
        <v>15000</v>
      </c>
      <c r="G2724" s="30">
        <f t="shared" si="2900"/>
        <v>2400</v>
      </c>
      <c r="H2724" s="8">
        <v>25000</v>
      </c>
      <c r="I2724" s="30">
        <f t="shared" si="2901"/>
        <v>8000</v>
      </c>
      <c r="J2724" s="8">
        <v>25000</v>
      </c>
      <c r="K2724" s="30">
        <f t="shared" si="2902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VLOOKUP(VLOOKUP(DATEVALUE(TEXT(A2724,"m/d/yyyy")),FY24_Temp[],5,FALSE)&amp;TEXT(A2724,"-h"),Table6[],4,FALSE)</f>
        <v>0.28685713816253877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VLOOKUP(TEXT(A2724,"yy-mm")&amp;"-"&amp;IF(AND(WEEKDAY(A2724)&gt;1,WEEKDAY(A2724)&lt;7),"Wkd",TEXT(A2724,"Ddd"))&amp;"-"&amp;TEXT(A2724,"hh"),LoadTable[],5,FALSE)*0.92</f>
        <v>236.10788000000002</v>
      </c>
      <c r="U2724" s="104">
        <f>VLOOKUP(TEXT(A2724,"yy-mm")&amp;"-"&amp;IF(AND(WEEKDAY(A2724)&gt;1,WEEKDAY(A2724)&lt;7),"Wkd",TEXT(A2724,"Ddd"))&amp;"-"&amp;TEXT(A2724,"hh"),LoadTable[],6,FALSE)*T2724</f>
        <v>10564.883198480002</v>
      </c>
      <c r="V2724">
        <f t="shared" ref="V2724:W2724" si="2911">V2700</f>
        <v>2.9</v>
      </c>
      <c r="W2724">
        <f t="shared" si="2911"/>
        <v>3</v>
      </c>
      <c r="X2724" s="9">
        <v>-151.12041241667399</v>
      </c>
    </row>
    <row r="2725" spans="1:24">
      <c r="A2725" s="29">
        <f t="shared" si="2875"/>
        <v>45949.416666660065</v>
      </c>
      <c r="B2725" s="30">
        <f t="shared" si="2899"/>
        <v>8000</v>
      </c>
      <c r="C2725" s="8">
        <v>25000</v>
      </c>
      <c r="D2725" s="8">
        <v>0</v>
      </c>
      <c r="E2725" s="8">
        <v>700</v>
      </c>
      <c r="F2725" s="8">
        <v>15000</v>
      </c>
      <c r="G2725" s="30">
        <f t="shared" si="2900"/>
        <v>2400</v>
      </c>
      <c r="H2725" s="8">
        <v>25000</v>
      </c>
      <c r="I2725" s="30">
        <f t="shared" si="2901"/>
        <v>8000</v>
      </c>
      <c r="J2725" s="8">
        <v>25000</v>
      </c>
      <c r="K2725" s="30">
        <f t="shared" si="2902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VLOOKUP(VLOOKUP(DATEVALUE(TEXT(A2725,"m/d/yyyy")),FY24_Temp[],5,FALSE)&amp;TEXT(A2725,"-h"),Table6[],4,FALSE)</f>
        <v>0.21185714012194715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VLOOKUP(TEXT(A2725,"yy-mm")&amp;"-"&amp;IF(AND(WEEKDAY(A2725)&gt;1,WEEKDAY(A2725)&lt;7),"Wkd",TEXT(A2725,"Ddd"))&amp;"-"&amp;TEXT(A2725,"hh"),LoadTable[],5,FALSE)*0.92</f>
        <v>236.10788000000002</v>
      </c>
      <c r="U2725" s="104">
        <f>VLOOKUP(TEXT(A2725,"yy-mm")&amp;"-"&amp;IF(AND(WEEKDAY(A2725)&gt;1,WEEKDAY(A2725)&lt;7),"Wkd",TEXT(A2725,"Ddd"))&amp;"-"&amp;TEXT(A2725,"hh"),LoadTable[],6,FALSE)*T2725</f>
        <v>10542.689057760001</v>
      </c>
      <c r="V2725">
        <f t="shared" ref="V2725:W2725" si="2912">V2701</f>
        <v>2.9</v>
      </c>
      <c r="W2725">
        <f t="shared" si="2912"/>
        <v>3</v>
      </c>
      <c r="X2725" s="9">
        <v>-151.19820696667401</v>
      </c>
    </row>
    <row r="2726" spans="1:24">
      <c r="A2726" s="29">
        <f t="shared" si="2875"/>
        <v>45949.458333326729</v>
      </c>
      <c r="B2726" s="30">
        <f t="shared" si="2899"/>
        <v>8000</v>
      </c>
      <c r="C2726" s="8">
        <v>25000</v>
      </c>
      <c r="D2726" s="8">
        <v>0</v>
      </c>
      <c r="E2726" s="8">
        <v>700</v>
      </c>
      <c r="F2726" s="8">
        <v>15000</v>
      </c>
      <c r="G2726" s="30">
        <f t="shared" si="2900"/>
        <v>2400</v>
      </c>
      <c r="H2726" s="8">
        <v>25000</v>
      </c>
      <c r="I2726" s="30">
        <f t="shared" si="2901"/>
        <v>8000</v>
      </c>
      <c r="J2726" s="8">
        <v>25000</v>
      </c>
      <c r="K2726" s="30">
        <f t="shared" si="2902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VLOOKUP(VLOOKUP(DATEVALUE(TEXT(A2726,"m/d/yyyy")),FY24_Temp[],5,FALSE)&amp;TEXT(A2726,"-h"),Table6[],4,FALSE)</f>
        <v>0.132285714167475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VLOOKUP(TEXT(A2726,"yy-mm")&amp;"-"&amp;IF(AND(WEEKDAY(A2726)&gt;1,WEEKDAY(A2726)&lt;7),"Wkd",TEXT(A2726,"Ddd"))&amp;"-"&amp;TEXT(A2726,"hh"),LoadTable[],5,FALSE)*0.92</f>
        <v>236.10788000000002</v>
      </c>
      <c r="U2726" s="104">
        <f>VLOOKUP(TEXT(A2726,"yy-mm")&amp;"-"&amp;IF(AND(WEEKDAY(A2726)&gt;1,WEEKDAY(A2726)&lt;7),"Wkd",TEXT(A2726,"Ddd"))&amp;"-"&amp;TEXT(A2726,"hh"),LoadTable[],6,FALSE)*T2726</f>
        <v>10524.98096676</v>
      </c>
      <c r="V2726">
        <f t="shared" ref="V2726:W2726" si="2913">V2702</f>
        <v>3.4</v>
      </c>
      <c r="W2726">
        <f t="shared" si="2913"/>
        <v>3</v>
      </c>
      <c r="X2726" s="9">
        <v>-151.276001516674</v>
      </c>
    </row>
    <row r="2727" spans="1:24">
      <c r="A2727" s="29">
        <f t="shared" si="2875"/>
        <v>45949.499999993393</v>
      </c>
      <c r="B2727" s="30">
        <f t="shared" si="2899"/>
        <v>8000</v>
      </c>
      <c r="C2727" s="8">
        <v>25000</v>
      </c>
      <c r="D2727" s="8">
        <v>0</v>
      </c>
      <c r="E2727" s="8">
        <v>700</v>
      </c>
      <c r="F2727" s="8">
        <v>15000</v>
      </c>
      <c r="G2727" s="30">
        <f t="shared" si="2900"/>
        <v>2400</v>
      </c>
      <c r="H2727" s="8">
        <v>25000</v>
      </c>
      <c r="I2727" s="30">
        <f t="shared" si="2901"/>
        <v>8000</v>
      </c>
      <c r="J2727" s="8">
        <v>25000</v>
      </c>
      <c r="K2727" s="30">
        <f t="shared" si="2902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VLOOKUP(VLOOKUP(DATEVALUE(TEXT(A2727,"m/d/yyyy")),FY24_Temp[],5,FALSE)&amp;TEXT(A2727,"-h"),Table6[],4,FALSE)</f>
        <v>5.5857142192049847E-2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VLOOKUP(TEXT(A2727,"yy-mm")&amp;"-"&amp;IF(AND(WEEKDAY(A2727)&gt;1,WEEKDAY(A2727)&lt;7),"Wkd",TEXT(A2727,"Ddd"))&amp;"-"&amp;TEXT(A2727,"hh"),LoadTable[],5,FALSE)*0.92</f>
        <v>236.10788000000002</v>
      </c>
      <c r="U2727" s="104">
        <f>VLOOKUP(TEXT(A2727,"yy-mm")&amp;"-"&amp;IF(AND(WEEKDAY(A2727)&gt;1,WEEKDAY(A2727)&lt;7),"Wkd",TEXT(A2727,"Ddd"))&amp;"-"&amp;TEXT(A2727,"hh"),LoadTable[],6,FALSE)*T2727</f>
        <v>10519.314377640001</v>
      </c>
      <c r="V2727">
        <f t="shared" ref="V2727:W2727" si="2914">V2703</f>
        <v>3.1</v>
      </c>
      <c r="W2727">
        <f t="shared" si="2914"/>
        <v>2.9</v>
      </c>
      <c r="X2727" s="9">
        <v>-151.35379606667399</v>
      </c>
    </row>
    <row r="2728" spans="1:24">
      <c r="A2728" s="29">
        <f t="shared" si="2875"/>
        <v>45949.541666660058</v>
      </c>
      <c r="B2728" s="30">
        <f t="shared" si="2899"/>
        <v>8000</v>
      </c>
      <c r="C2728" s="8">
        <v>25000</v>
      </c>
      <c r="D2728" s="8">
        <v>0</v>
      </c>
      <c r="E2728" s="8">
        <v>700</v>
      </c>
      <c r="F2728" s="8">
        <v>15000</v>
      </c>
      <c r="G2728" s="30">
        <f t="shared" si="2900"/>
        <v>2400</v>
      </c>
      <c r="H2728" s="8">
        <v>25000</v>
      </c>
      <c r="I2728" s="30">
        <f t="shared" si="2901"/>
        <v>8000</v>
      </c>
      <c r="J2728" s="8">
        <v>25000</v>
      </c>
      <c r="K2728" s="30">
        <f t="shared" si="2902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VLOOKUP(VLOOKUP(DATEVALUE(TEXT(A2728,"m/d/yyyy")),FY24_Temp[],5,FALSE)&amp;TEXT(A2728,"-h"),Table6[],4,FALSE)</f>
        <v>-3.7142866273079272E-3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VLOOKUP(TEXT(A2728,"yy-mm")&amp;"-"&amp;IF(AND(WEEKDAY(A2728)&gt;1,WEEKDAY(A2728)&lt;7),"Wkd",TEXT(A2728,"Ddd"))&amp;"-"&amp;TEXT(A2728,"hh"),LoadTable[],5,FALSE)*0.92</f>
        <v>236.10788000000002</v>
      </c>
      <c r="U2728" s="104">
        <f>VLOOKUP(TEXT(A2728,"yy-mm")&amp;"-"&amp;IF(AND(WEEKDAY(A2728)&gt;1,WEEKDAY(A2728)&lt;7),"Wkd",TEXT(A2728,"Ddd"))&amp;"-"&amp;TEXT(A2728,"hh"),LoadTable[],6,FALSE)*T2728</f>
        <v>10522.85599584</v>
      </c>
      <c r="V2728">
        <f t="shared" ref="V2728:W2728" si="2915">V2704</f>
        <v>3.2</v>
      </c>
      <c r="W2728">
        <f t="shared" si="2915"/>
        <v>2.9</v>
      </c>
      <c r="X2728" s="9">
        <v>-151.43159061667399</v>
      </c>
    </row>
    <row r="2729" spans="1:24">
      <c r="A2729" s="29">
        <f t="shared" si="2875"/>
        <v>45949.583333326722</v>
      </c>
      <c r="B2729" s="30">
        <f t="shared" si="2899"/>
        <v>8000</v>
      </c>
      <c r="C2729" s="8">
        <v>25000</v>
      </c>
      <c r="D2729" s="8">
        <v>0</v>
      </c>
      <c r="E2729" s="8">
        <v>700</v>
      </c>
      <c r="F2729" s="8">
        <v>15000</v>
      </c>
      <c r="G2729" s="30">
        <f t="shared" si="2900"/>
        <v>2400</v>
      </c>
      <c r="H2729" s="8">
        <v>25000</v>
      </c>
      <c r="I2729" s="30">
        <f t="shared" si="2901"/>
        <v>8000</v>
      </c>
      <c r="J2729" s="8">
        <v>25000</v>
      </c>
      <c r="K2729" s="30">
        <f t="shared" si="2902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VLOOKUP(VLOOKUP(DATEVALUE(TEXT(A2729,"m/d/yyyy")),FY24_Temp[],5,FALSE)&amp;TEXT(A2729,"-h"),Table6[],4,FALSE)</f>
        <v>2.4285705435232452E-3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VLOOKUP(TEXT(A2729,"yy-mm")&amp;"-"&amp;IF(AND(WEEKDAY(A2729)&gt;1,WEEKDAY(A2729)&lt;7),"Wkd",TEXT(A2729,"Ddd"))&amp;"-"&amp;TEXT(A2729,"hh"),LoadTable[],5,FALSE)*0.92</f>
        <v>236.10788000000002</v>
      </c>
      <c r="U2729" s="104">
        <f>VLOOKUP(TEXT(A2729,"yy-mm")&amp;"-"&amp;IF(AND(WEEKDAY(A2729)&gt;1,WEEKDAY(A2729)&lt;7),"Wkd",TEXT(A2729,"Ddd"))&amp;"-"&amp;TEXT(A2729,"hh"),LoadTable[],6,FALSE)*T2729</f>
        <v>10530.88366376</v>
      </c>
      <c r="V2729">
        <f t="shared" ref="V2729:W2729" si="2916">V2705</f>
        <v>3.5</v>
      </c>
      <c r="W2729">
        <f t="shared" si="2916"/>
        <v>2.9</v>
      </c>
      <c r="X2729" s="9">
        <v>-151.50938516667401</v>
      </c>
    </row>
    <row r="2730" spans="1:24">
      <c r="A2730" s="29">
        <f t="shared" si="2875"/>
        <v>45949.624999993386</v>
      </c>
      <c r="B2730" s="30">
        <f t="shared" si="2899"/>
        <v>8000</v>
      </c>
      <c r="C2730" s="8">
        <v>25000</v>
      </c>
      <c r="D2730" s="8">
        <v>0</v>
      </c>
      <c r="E2730" s="8">
        <v>700</v>
      </c>
      <c r="F2730" s="8">
        <v>15000</v>
      </c>
      <c r="G2730" s="30">
        <f t="shared" si="2900"/>
        <v>2400</v>
      </c>
      <c r="H2730" s="8">
        <v>25000</v>
      </c>
      <c r="I2730" s="30">
        <f t="shared" si="2901"/>
        <v>8000</v>
      </c>
      <c r="J2730" s="8">
        <v>25000</v>
      </c>
      <c r="K2730" s="30">
        <f t="shared" si="2902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VLOOKUP(VLOOKUP(DATEVALUE(TEXT(A2730,"m/d/yyyy")),FY24_Temp[],5,FALSE)&amp;TEXT(A2730,"-h"),Table6[],4,FALSE)</f>
        <v>0.13285714206451429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VLOOKUP(TEXT(A2730,"yy-mm")&amp;"-"&amp;IF(AND(WEEKDAY(A2730)&gt;1,WEEKDAY(A2730)&lt;7),"Wkd",TEXT(A2730,"Ddd"))&amp;"-"&amp;TEXT(A2730,"hh"),LoadTable[],5,FALSE)*0.92</f>
        <v>236.10788000000002</v>
      </c>
      <c r="U2730" s="104">
        <f>VLOOKUP(TEXT(A2730,"yy-mm")&amp;"-"&amp;IF(AND(WEEKDAY(A2730)&gt;1,WEEKDAY(A2730)&lt;7),"Wkd",TEXT(A2730,"Ddd"))&amp;"-"&amp;TEXT(A2730,"hh"),LoadTable[],6,FALSE)*T2730</f>
        <v>10550.480617800002</v>
      </c>
      <c r="V2730">
        <f t="shared" ref="V2730:W2730" si="2917">V2706</f>
        <v>3.2</v>
      </c>
      <c r="W2730">
        <f t="shared" si="2917"/>
        <v>2.9</v>
      </c>
      <c r="X2730" s="9">
        <v>-151.587179716674</v>
      </c>
    </row>
    <row r="2731" spans="1:24">
      <c r="A2731" s="29">
        <f t="shared" si="2875"/>
        <v>45949.66666666005</v>
      </c>
      <c r="B2731" s="30">
        <f t="shared" si="2899"/>
        <v>8000</v>
      </c>
      <c r="C2731" s="8">
        <v>25000</v>
      </c>
      <c r="D2731" s="8">
        <v>0</v>
      </c>
      <c r="E2731" s="8">
        <v>700</v>
      </c>
      <c r="F2731" s="8">
        <v>15000</v>
      </c>
      <c r="G2731" s="30">
        <f t="shared" si="2900"/>
        <v>2400</v>
      </c>
      <c r="H2731" s="8">
        <v>25000</v>
      </c>
      <c r="I2731" s="30">
        <f t="shared" si="2901"/>
        <v>8000</v>
      </c>
      <c r="J2731" s="8">
        <v>25000</v>
      </c>
      <c r="K2731" s="30">
        <f t="shared" si="2902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VLOOKUP(VLOOKUP(DATEVALUE(TEXT(A2731,"m/d/yyyy")),FY24_Temp[],5,FALSE)&amp;TEXT(A2731,"-h"),Table6[],4,FALSE)</f>
        <v>0.3728571448816746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VLOOKUP(TEXT(A2731,"yy-mm")&amp;"-"&amp;IF(AND(WEEKDAY(A2731)&gt;1,WEEKDAY(A2731)&lt;7),"Wkd",TEXT(A2731,"Ddd"))&amp;"-"&amp;TEXT(A2731,"hh"),LoadTable[],5,FALSE)*0.92</f>
        <v>236.10788000000002</v>
      </c>
      <c r="U2731" s="104">
        <f>VLOOKUP(TEXT(A2731,"yy-mm")&amp;"-"&amp;IF(AND(WEEKDAY(A2731)&gt;1,WEEKDAY(A2731)&lt;7),"Wkd",TEXT(A2731,"Ddd"))&amp;"-"&amp;TEXT(A2731,"hh"),LoadTable[],6,FALSE)*T2731</f>
        <v>10580.230210680002</v>
      </c>
      <c r="V2731">
        <f t="shared" ref="V2731:W2731" si="2918">V2707</f>
        <v>3.5</v>
      </c>
      <c r="W2731">
        <f t="shared" si="2918"/>
        <v>3</v>
      </c>
      <c r="X2731" s="9">
        <v>-151.66497426667399</v>
      </c>
    </row>
    <row r="2732" spans="1:24">
      <c r="A2732" s="29">
        <f t="shared" si="2875"/>
        <v>45949.708333326715</v>
      </c>
      <c r="B2732" s="30">
        <f t="shared" si="2899"/>
        <v>8000</v>
      </c>
      <c r="C2732" s="8">
        <v>25000</v>
      </c>
      <c r="D2732" s="8">
        <v>0</v>
      </c>
      <c r="E2732" s="8">
        <v>700</v>
      </c>
      <c r="F2732" s="8">
        <v>15000</v>
      </c>
      <c r="G2732" s="30">
        <f t="shared" si="2900"/>
        <v>2400</v>
      </c>
      <c r="H2732" s="8">
        <v>25000</v>
      </c>
      <c r="I2732" s="30">
        <f t="shared" si="2901"/>
        <v>8000</v>
      </c>
      <c r="J2732" s="8">
        <v>25000</v>
      </c>
      <c r="K2732" s="30">
        <f t="shared" si="2902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VLOOKUP(VLOOKUP(DATEVALUE(TEXT(A2732,"m/d/yyyy")),FY24_Temp[],5,FALSE)&amp;TEXT(A2732,"-h"),Table6[],4,FALSE)</f>
        <v>0.63814285401985393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VLOOKUP(TEXT(A2732,"yy-mm")&amp;"-"&amp;IF(AND(WEEKDAY(A2732)&gt;1,WEEKDAY(A2732)&lt;7),"Wkd",TEXT(A2732,"Ddd"))&amp;"-"&amp;TEXT(A2732,"hh"),LoadTable[],5,FALSE)*0.92</f>
        <v>236.10788000000002</v>
      </c>
      <c r="U2732" s="104">
        <f>VLOOKUP(TEXT(A2732,"yy-mm")&amp;"-"&amp;IF(AND(WEEKDAY(A2732)&gt;1,WEEKDAY(A2732)&lt;7),"Wkd",TEXT(A2732,"Ddd"))&amp;"-"&amp;TEXT(A2732,"hh"),LoadTable[],6,FALSE)*T2732</f>
        <v>10899.684172320001</v>
      </c>
      <c r="V2732">
        <f t="shared" ref="V2732:W2732" si="2919">V2708</f>
        <v>3.6</v>
      </c>
      <c r="W2732">
        <f t="shared" si="2919"/>
        <v>3</v>
      </c>
      <c r="X2732" s="9">
        <v>-151.74276881667399</v>
      </c>
    </row>
    <row r="2733" spans="1:24">
      <c r="A2733" s="29">
        <f t="shared" si="2875"/>
        <v>45949.749999993379</v>
      </c>
      <c r="B2733" s="30">
        <f t="shared" si="2899"/>
        <v>5000</v>
      </c>
      <c r="C2733" s="8">
        <v>25000</v>
      </c>
      <c r="D2733" s="8">
        <v>0</v>
      </c>
      <c r="E2733" s="8">
        <v>700</v>
      </c>
      <c r="F2733" s="8">
        <v>15000</v>
      </c>
      <c r="G2733" s="30">
        <f t="shared" si="2900"/>
        <v>2400</v>
      </c>
      <c r="H2733" s="8">
        <v>25000</v>
      </c>
      <c r="I2733" s="30">
        <f t="shared" si="2901"/>
        <v>5000</v>
      </c>
      <c r="J2733" s="8">
        <v>25000</v>
      </c>
      <c r="K2733" s="30">
        <f t="shared" si="2902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VLOOKUP(VLOOKUP(DATEVALUE(TEXT(A2733,"m/d/yyyy")),FY24_Temp[],5,FALSE)&amp;TEXT(A2733,"-h"),Table6[],4,FALSE)</f>
        <v>0.73900000122615261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VLOOKUP(TEXT(A2733,"yy-mm")&amp;"-"&amp;IF(AND(WEEKDAY(A2733)&gt;1,WEEKDAY(A2733)&lt;7),"Wkd",TEXT(A2733,"Ddd"))&amp;"-"&amp;TEXT(A2733,"hh"),LoadTable[],5,FALSE)*0.92</f>
        <v>308.12363999999997</v>
      </c>
      <c r="U2733" s="104">
        <f>VLOOKUP(TEXT(A2733,"yy-mm")&amp;"-"&amp;IF(AND(WEEKDAY(A2733)&gt;1,WEEKDAY(A2733)&lt;7),"Wkd",TEXT(A2733,"Ddd"))&amp;"-"&amp;TEXT(A2733,"hh"),LoadTable[],6,FALSE)*T2733</f>
        <v>14932.595965319999</v>
      </c>
      <c r="V2733">
        <f t="shared" ref="V2733:W2733" si="2920">V2709</f>
        <v>2.9</v>
      </c>
      <c r="W2733">
        <f t="shared" si="2920"/>
        <v>3</v>
      </c>
      <c r="X2733" s="9">
        <v>-151.82056336667401</v>
      </c>
    </row>
    <row r="2734" spans="1:24">
      <c r="A2734" s="29">
        <f t="shared" si="2875"/>
        <v>45949.791666660043</v>
      </c>
      <c r="B2734" s="30">
        <f t="shared" si="2899"/>
        <v>5000</v>
      </c>
      <c r="C2734" s="8">
        <v>25000</v>
      </c>
      <c r="D2734" s="8">
        <v>0</v>
      </c>
      <c r="E2734" s="8">
        <v>700</v>
      </c>
      <c r="F2734" s="8">
        <v>15000</v>
      </c>
      <c r="G2734" s="30">
        <f t="shared" si="2900"/>
        <v>2400</v>
      </c>
      <c r="H2734" s="8">
        <v>25000</v>
      </c>
      <c r="I2734" s="30">
        <f t="shared" si="2901"/>
        <v>5000</v>
      </c>
      <c r="J2734" s="8">
        <v>25000</v>
      </c>
      <c r="K2734" s="30">
        <f t="shared" si="2902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VLOOKUP(VLOOKUP(DATEVALUE(TEXT(A2734,"m/d/yyyy")),FY24_Temp[],5,FALSE)&amp;TEXT(A2734,"-h"),Table6[],4,FALSE)</f>
        <v>0.80314285427247845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VLOOKUP(TEXT(A2734,"yy-mm")&amp;"-"&amp;IF(AND(WEEKDAY(A2734)&gt;1,WEEKDAY(A2734)&lt;7),"Wkd",TEXT(A2734,"Ddd"))&amp;"-"&amp;TEXT(A2734,"hh"),LoadTable[],5,FALSE)*0.92</f>
        <v>308.12363999999997</v>
      </c>
      <c r="U2734" s="104">
        <f>VLOOKUP(TEXT(A2734,"yy-mm")&amp;"-"&amp;IF(AND(WEEKDAY(A2734)&gt;1,WEEKDAY(A2734)&lt;7),"Wkd",TEXT(A2734,"Ddd"))&amp;"-"&amp;TEXT(A2734,"hh"),LoadTable[],6,FALSE)*T2734</f>
        <v>14998.226300639999</v>
      </c>
      <c r="V2734">
        <f t="shared" ref="V2734:W2734" si="2921">V2710</f>
        <v>3</v>
      </c>
      <c r="W2734">
        <f t="shared" si="2921"/>
        <v>3</v>
      </c>
      <c r="X2734" s="9">
        <v>-151.898357916674</v>
      </c>
    </row>
    <row r="2735" spans="1:24">
      <c r="A2735" s="29">
        <f t="shared" si="2875"/>
        <v>45949.833333326707</v>
      </c>
      <c r="B2735" s="30">
        <f t="shared" si="2899"/>
        <v>5000</v>
      </c>
      <c r="C2735" s="8">
        <v>25000</v>
      </c>
      <c r="D2735" s="8">
        <v>0</v>
      </c>
      <c r="E2735" s="8">
        <v>700</v>
      </c>
      <c r="F2735" s="8">
        <v>15000</v>
      </c>
      <c r="G2735" s="30">
        <f t="shared" si="2900"/>
        <v>2400</v>
      </c>
      <c r="H2735" s="8">
        <v>25000</v>
      </c>
      <c r="I2735" s="30">
        <f t="shared" si="2901"/>
        <v>5000</v>
      </c>
      <c r="J2735" s="8">
        <v>25000</v>
      </c>
      <c r="K2735" s="30">
        <f t="shared" si="2902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VLOOKUP(VLOOKUP(DATEVALUE(TEXT(A2735,"m/d/yyyy")),FY24_Temp[],5,FALSE)&amp;TEXT(A2735,"-h"),Table6[],4,FALSE)</f>
        <v>0.86528570312539677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VLOOKUP(TEXT(A2735,"yy-mm")&amp;"-"&amp;IF(AND(WEEKDAY(A2735)&gt;1,WEEKDAY(A2735)&lt;7),"Wkd",TEXT(A2735,"Ddd"))&amp;"-"&amp;TEXT(A2735,"hh"),LoadTable[],5,FALSE)*0.92</f>
        <v>308.12363999999997</v>
      </c>
      <c r="U2735" s="104">
        <f>VLOOKUP(TEXT(A2735,"yy-mm")&amp;"-"&amp;IF(AND(WEEKDAY(A2735)&gt;1,WEEKDAY(A2735)&lt;7),"Wkd",TEXT(A2735,"Ddd"))&amp;"-"&amp;TEXT(A2735,"hh"),LoadTable[],6,FALSE)*T2735</f>
        <v>14785.004741759998</v>
      </c>
      <c r="V2735">
        <f t="shared" ref="V2735:W2735" si="2922">V2711</f>
        <v>2.8</v>
      </c>
      <c r="W2735">
        <f t="shared" si="2922"/>
        <v>3.1</v>
      </c>
      <c r="X2735" s="9">
        <v>-151.97615246667399</v>
      </c>
    </row>
    <row r="2736" spans="1:24">
      <c r="A2736" s="29">
        <f t="shared" si="2875"/>
        <v>45949.874999993372</v>
      </c>
      <c r="B2736" s="30">
        <f t="shared" si="2899"/>
        <v>5000</v>
      </c>
      <c r="C2736" s="8">
        <v>25000</v>
      </c>
      <c r="D2736" s="8">
        <v>0</v>
      </c>
      <c r="E2736" s="8">
        <v>700</v>
      </c>
      <c r="F2736" s="8">
        <v>15000</v>
      </c>
      <c r="G2736" s="30">
        <f t="shared" si="2900"/>
        <v>2400</v>
      </c>
      <c r="H2736" s="8">
        <v>25000</v>
      </c>
      <c r="I2736" s="30">
        <f t="shared" si="2901"/>
        <v>5000</v>
      </c>
      <c r="J2736" s="8">
        <v>25000</v>
      </c>
      <c r="K2736" s="30">
        <f t="shared" si="2902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VLOOKUP(VLOOKUP(DATEVALUE(TEXT(A2736,"m/d/yyyy")),FY24_Temp[],5,FALSE)&amp;TEXT(A2736,"-h"),Table6[],4,FALSE)</f>
        <v>0.95742857465746201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VLOOKUP(TEXT(A2736,"yy-mm")&amp;"-"&amp;IF(AND(WEEKDAY(A2736)&gt;1,WEEKDAY(A2736)&lt;7),"Wkd",TEXT(A2736,"Ddd"))&amp;"-"&amp;TEXT(A2736,"hh"),LoadTable[],5,FALSE)*0.92</f>
        <v>234.33964000000003</v>
      </c>
      <c r="U2736" s="104">
        <f>VLOOKUP(TEXT(A2736,"yy-mm")&amp;"-"&amp;IF(AND(WEEKDAY(A2736)&gt;1,WEEKDAY(A2736)&lt;7),"Wkd",TEXT(A2736,"Ddd"))&amp;"-"&amp;TEXT(A2736,"hh"),LoadTable[],6,FALSE)*T2736</f>
        <v>10881.795523040002</v>
      </c>
      <c r="V2736">
        <f t="shared" ref="V2736:W2736" si="2923">V2712</f>
        <v>3.5</v>
      </c>
      <c r="W2736">
        <f t="shared" si="2923"/>
        <v>3.1</v>
      </c>
      <c r="X2736" s="9">
        <v>-152.05394701667399</v>
      </c>
    </row>
    <row r="2737" spans="1:24">
      <c r="A2737" s="29">
        <f t="shared" si="2875"/>
        <v>45949.916666660036</v>
      </c>
      <c r="B2737" s="30">
        <f t="shared" si="2899"/>
        <v>5000</v>
      </c>
      <c r="C2737" s="8">
        <v>25000</v>
      </c>
      <c r="D2737" s="8">
        <v>0</v>
      </c>
      <c r="E2737" s="8">
        <v>700</v>
      </c>
      <c r="F2737" s="8">
        <v>15000</v>
      </c>
      <c r="G2737" s="30">
        <f t="shared" si="2900"/>
        <v>2400</v>
      </c>
      <c r="H2737" s="8">
        <v>25000</v>
      </c>
      <c r="I2737" s="30">
        <f t="shared" si="2901"/>
        <v>5000</v>
      </c>
      <c r="J2737" s="8">
        <v>25000</v>
      </c>
      <c r="K2737" s="30">
        <f t="shared" si="2902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VLOOKUP(VLOOKUP(DATEVALUE(TEXT(A2737,"m/d/yyyy")),FY24_Temp[],5,FALSE)&amp;TEXT(A2737,"-h"),Table6[],4,FALSE)</f>
        <v>1.0430000169890485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VLOOKUP(TEXT(A2737,"yy-mm")&amp;"-"&amp;IF(AND(WEEKDAY(A2737)&gt;1,WEEKDAY(A2737)&lt;7),"Wkd",TEXT(A2737,"Ddd"))&amp;"-"&amp;TEXT(A2737,"hh"),LoadTable[],5,FALSE)*0.92</f>
        <v>180.62544</v>
      </c>
      <c r="U2737" s="104">
        <f>VLOOKUP(TEXT(A2737,"yy-mm")&amp;"-"&amp;IF(AND(WEEKDAY(A2737)&gt;1,WEEKDAY(A2737)&lt;7),"Wkd",TEXT(A2737,"Ddd"))&amp;"-"&amp;TEXT(A2737,"hh"),LoadTable[],6,FALSE)*T2737</f>
        <v>8231.1013007999991</v>
      </c>
      <c r="V2737">
        <f t="shared" ref="V2737:W2737" si="2924">V2713</f>
        <v>2.9</v>
      </c>
      <c r="W2737">
        <f t="shared" si="2924"/>
        <v>3.1</v>
      </c>
      <c r="X2737" s="9">
        <v>-152.13174156667401</v>
      </c>
    </row>
    <row r="2738" spans="1:24">
      <c r="A2738" s="29">
        <f t="shared" si="2875"/>
        <v>45949.9583333267</v>
      </c>
      <c r="B2738" s="30">
        <f t="shared" si="2899"/>
        <v>5000</v>
      </c>
      <c r="C2738" s="8">
        <v>25000</v>
      </c>
      <c r="D2738" s="8">
        <v>0</v>
      </c>
      <c r="E2738" s="8">
        <v>700</v>
      </c>
      <c r="F2738" s="8">
        <v>15000</v>
      </c>
      <c r="G2738" s="30">
        <f t="shared" si="2900"/>
        <v>2400</v>
      </c>
      <c r="H2738" s="8">
        <v>25000</v>
      </c>
      <c r="I2738" s="30">
        <f t="shared" si="2901"/>
        <v>5000</v>
      </c>
      <c r="J2738" s="8">
        <v>25000</v>
      </c>
      <c r="K2738" s="30">
        <f t="shared" si="2902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VLOOKUP(VLOOKUP(DATEVALUE(TEXT(A2738,"m/d/yyyy")),FY24_Temp[],5,FALSE)&amp;TEXT(A2738,"-h"),Table6[],4,FALSE)</f>
        <v>1.0454285740700597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VLOOKUP(TEXT(A2738,"yy-mm")&amp;"-"&amp;IF(AND(WEEKDAY(A2738)&gt;1,WEEKDAY(A2738)&lt;7),"Wkd",TEXT(A2738,"Ddd"))&amp;"-"&amp;TEXT(A2738,"hh"),LoadTable[],5,FALSE)*0.92</f>
        <v>180.62544</v>
      </c>
      <c r="U2738" s="104">
        <f>VLOOKUP(TEXT(A2738,"yy-mm")&amp;"-"&amp;IF(AND(WEEKDAY(A2738)&gt;1,WEEKDAY(A2738)&lt;7),"Wkd",TEXT(A2738,"Ddd"))&amp;"-"&amp;TEXT(A2738,"hh"),LoadTable[],6,FALSE)*T2738</f>
        <v>8164.4505134399997</v>
      </c>
      <c r="V2738">
        <f t="shared" ref="V2738:W2738" si="2925">V2714</f>
        <v>3.6</v>
      </c>
      <c r="W2738">
        <f t="shared" si="2925"/>
        <v>3.1</v>
      </c>
      <c r="X2738" s="9">
        <v>-152.209536116674</v>
      </c>
    </row>
    <row r="2739" spans="1:24">
      <c r="A2739" s="29">
        <f t="shared" si="2875"/>
        <v>45949.999999993364</v>
      </c>
      <c r="B2739" s="30">
        <f t="shared" si="2899"/>
        <v>5000</v>
      </c>
      <c r="C2739" s="8">
        <v>25000</v>
      </c>
      <c r="D2739" s="8">
        <v>0</v>
      </c>
      <c r="E2739" s="8">
        <v>700</v>
      </c>
      <c r="F2739" s="8">
        <v>15000</v>
      </c>
      <c r="G2739" s="30">
        <f t="shared" si="2900"/>
        <v>2400</v>
      </c>
      <c r="H2739" s="8">
        <v>25000</v>
      </c>
      <c r="I2739" s="30">
        <f t="shared" si="2901"/>
        <v>5000</v>
      </c>
      <c r="J2739" s="8">
        <v>25000</v>
      </c>
      <c r="K2739" s="30">
        <f t="shared" si="2902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VLOOKUP(VLOOKUP(DATEVALUE(TEXT(A2739,"m/d/yyyy")),FY24_Temp[],5,FALSE)&amp;TEXT(A2739,"-h"),Table6[],4,FALSE)</f>
        <v>0.52500001029895027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VLOOKUP(TEXT(A2739,"yy-mm")&amp;"-"&amp;IF(AND(WEEKDAY(A2739)&gt;1,WEEKDAY(A2739)&lt;7),"Wkd",TEXT(A2739,"Ddd"))&amp;"-"&amp;TEXT(A2739,"hh"),LoadTable[],5,FALSE)*0.92</f>
        <v>180.62544</v>
      </c>
      <c r="U2739" s="104">
        <f>VLOOKUP(TEXT(A2739,"yy-mm")&amp;"-"&amp;IF(AND(WEEKDAY(A2739)&gt;1,WEEKDAY(A2739)&lt;7),"Wkd",TEXT(A2739,"Ddd"))&amp;"-"&amp;TEXT(A2739,"hh"),LoadTable[],6,FALSE)*T2739</f>
        <v>8132.4798105600003</v>
      </c>
      <c r="V2739">
        <f t="shared" ref="V2739:W2739" si="2926">V2715</f>
        <v>3</v>
      </c>
      <c r="W2739">
        <f t="shared" si="2926"/>
        <v>3.2</v>
      </c>
      <c r="X2739" s="9">
        <v>-152.28733066667399</v>
      </c>
    </row>
    <row r="2740" spans="1:24">
      <c r="A2740" s="29">
        <f t="shared" si="2875"/>
        <v>45950.041666660029</v>
      </c>
      <c r="B2740" s="30">
        <f t="shared" si="2899"/>
        <v>5000</v>
      </c>
      <c r="C2740" s="8">
        <v>25000</v>
      </c>
      <c r="D2740" s="8">
        <v>0</v>
      </c>
      <c r="E2740" s="8">
        <v>700</v>
      </c>
      <c r="F2740" s="8">
        <v>15000</v>
      </c>
      <c r="G2740" s="30">
        <f t="shared" si="2900"/>
        <v>2400</v>
      </c>
      <c r="H2740" s="8">
        <v>25000</v>
      </c>
      <c r="I2740" s="30">
        <f t="shared" si="2901"/>
        <v>5000</v>
      </c>
      <c r="J2740" s="8">
        <v>25000</v>
      </c>
      <c r="K2740" s="30">
        <f t="shared" si="2902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VLOOKUP(VLOOKUP(DATEVALUE(TEXT(A2740,"m/d/yyyy")),FY24_Temp[],5,FALSE)&amp;TEXT(A2740,"-h"),Table6[],4,FALSE)</f>
        <v>0.80228570532815979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VLOOKUP(TEXT(A2740,"yy-mm")&amp;"-"&amp;IF(AND(WEEKDAY(A2740)&gt;1,WEEKDAY(A2740)&lt;7),"Wkd",TEXT(A2740,"Ddd"))&amp;"-"&amp;TEXT(A2740,"hh"),LoadTable[],5,FALSE)*0.92</f>
        <v>180.62544</v>
      </c>
      <c r="U2740" s="104">
        <f>VLOOKUP(TEXT(A2740,"yy-mm")&amp;"-"&amp;IF(AND(WEEKDAY(A2740)&gt;1,WEEKDAY(A2740)&lt;7),"Wkd",TEXT(A2740,"Ddd"))&amp;"-"&amp;TEXT(A2740,"hh"),LoadTable[],6,FALSE)*T2740</f>
        <v>8124.71291664</v>
      </c>
      <c r="V2740">
        <f t="shared" ref="V2740:W2740" si="2927">V2716</f>
        <v>2.6</v>
      </c>
      <c r="W2740">
        <f t="shared" si="2927"/>
        <v>3.2</v>
      </c>
      <c r="X2740" s="9">
        <v>-152.36512521667399</v>
      </c>
    </row>
    <row r="2741" spans="1:24">
      <c r="A2741" s="29">
        <f t="shared" si="2875"/>
        <v>45950.083333326693</v>
      </c>
      <c r="B2741" s="30">
        <f t="shared" si="2899"/>
        <v>5000</v>
      </c>
      <c r="C2741" s="8">
        <v>25000</v>
      </c>
      <c r="D2741" s="8">
        <v>0</v>
      </c>
      <c r="E2741" s="8">
        <v>700</v>
      </c>
      <c r="F2741" s="8">
        <v>15000</v>
      </c>
      <c r="G2741" s="30">
        <f t="shared" si="2900"/>
        <v>2400</v>
      </c>
      <c r="H2741" s="8">
        <v>25000</v>
      </c>
      <c r="I2741" s="30">
        <f t="shared" si="2901"/>
        <v>5000</v>
      </c>
      <c r="J2741" s="8">
        <v>25000</v>
      </c>
      <c r="K2741" s="30">
        <f t="shared" si="2902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VLOOKUP(VLOOKUP(DATEVALUE(TEXT(A2741,"m/d/yyyy")),FY24_Temp[],5,FALSE)&amp;TEXT(A2741,"-h"),Table6[],4,FALSE)</f>
        <v>0.82585714335577387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VLOOKUP(TEXT(A2741,"yy-mm")&amp;"-"&amp;IF(AND(WEEKDAY(A2741)&gt;1,WEEKDAY(A2741)&lt;7),"Wkd",TEXT(A2741,"Ddd"))&amp;"-"&amp;TEXT(A2741,"hh"),LoadTable[],5,FALSE)*0.92</f>
        <v>180.62544</v>
      </c>
      <c r="U2741" s="104">
        <f>VLOOKUP(TEXT(A2741,"yy-mm")&amp;"-"&amp;IF(AND(WEEKDAY(A2741)&gt;1,WEEKDAY(A2741)&lt;7),"Wkd",TEXT(A2741,"Ddd"))&amp;"-"&amp;TEXT(A2741,"hh"),LoadTable[],6,FALSE)*T2741</f>
        <v>8120.1972806400008</v>
      </c>
      <c r="V2741">
        <f t="shared" ref="V2741:W2741" si="2928">V2717</f>
        <v>2.8</v>
      </c>
      <c r="W2741">
        <f t="shared" si="2928"/>
        <v>3.2</v>
      </c>
      <c r="X2741" s="9">
        <v>-152.44291976667401</v>
      </c>
    </row>
    <row r="2742" spans="1:24">
      <c r="A2742" s="29">
        <f t="shared" si="2875"/>
        <v>45950.124999993357</v>
      </c>
      <c r="B2742" s="30">
        <f t="shared" si="2899"/>
        <v>5000</v>
      </c>
      <c r="C2742" s="8">
        <v>25000</v>
      </c>
      <c r="D2742" s="8">
        <v>0</v>
      </c>
      <c r="E2742" s="8">
        <v>700</v>
      </c>
      <c r="F2742" s="8">
        <v>15000</v>
      </c>
      <c r="G2742" s="30">
        <f t="shared" si="2900"/>
        <v>2400</v>
      </c>
      <c r="H2742" s="8">
        <v>25000</v>
      </c>
      <c r="I2742" s="30">
        <f t="shared" si="2901"/>
        <v>5000</v>
      </c>
      <c r="J2742" s="8">
        <v>25000</v>
      </c>
      <c r="K2742" s="30">
        <f t="shared" si="2902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VLOOKUP(VLOOKUP(DATEVALUE(TEXT(A2742,"m/d/yyyy")),FY24_Temp[],5,FALSE)&amp;TEXT(A2742,"-h"),Table6[],4,FALSE)</f>
        <v>0.77514286660566056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VLOOKUP(TEXT(A2742,"yy-mm")&amp;"-"&amp;IF(AND(WEEKDAY(A2742)&gt;1,WEEKDAY(A2742)&lt;7),"Wkd",TEXT(A2742,"Ddd"))&amp;"-"&amp;TEXT(A2742,"hh"),LoadTable[],5,FALSE)*0.92</f>
        <v>180.62544</v>
      </c>
      <c r="U2742" s="104">
        <f>VLOOKUP(TEXT(A2742,"yy-mm")&amp;"-"&amp;IF(AND(WEEKDAY(A2742)&gt;1,WEEKDAY(A2742)&lt;7),"Wkd",TEXT(A2742,"Ddd"))&amp;"-"&amp;TEXT(A2742,"hh"),LoadTable[],6,FALSE)*T2742</f>
        <v>8141.3304571199997</v>
      </c>
      <c r="V2742">
        <f t="shared" ref="V2742:W2742" si="2929">V2718</f>
        <v>2.7</v>
      </c>
      <c r="W2742">
        <f t="shared" si="2929"/>
        <v>3.2</v>
      </c>
      <c r="X2742" s="9">
        <v>-152.520714316674</v>
      </c>
    </row>
    <row r="2743" spans="1:24">
      <c r="A2743" s="29">
        <f t="shared" si="2875"/>
        <v>45950.166666660021</v>
      </c>
      <c r="B2743" s="30">
        <f t="shared" si="2899"/>
        <v>5000</v>
      </c>
      <c r="C2743" s="8">
        <v>25000</v>
      </c>
      <c r="D2743" s="8">
        <v>0</v>
      </c>
      <c r="E2743" s="8">
        <v>700</v>
      </c>
      <c r="F2743" s="8">
        <v>15000</v>
      </c>
      <c r="G2743" s="30">
        <f t="shared" si="2900"/>
        <v>2400</v>
      </c>
      <c r="H2743" s="8">
        <v>25000</v>
      </c>
      <c r="I2743" s="30">
        <f t="shared" si="2901"/>
        <v>5000</v>
      </c>
      <c r="J2743" s="8">
        <v>25000</v>
      </c>
      <c r="K2743" s="30">
        <f t="shared" si="2902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VLOOKUP(VLOOKUP(DATEVALUE(TEXT(A2743,"m/d/yyyy")),FY24_Temp[],5,FALSE)&amp;TEXT(A2743,"-h"),Table6[],4,FALSE)</f>
        <v>0.71685714598402617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VLOOKUP(TEXT(A2743,"yy-mm")&amp;"-"&amp;IF(AND(WEEKDAY(A2743)&gt;1,WEEKDAY(A2743)&lt;7),"Wkd",TEXT(A2743,"Ddd"))&amp;"-"&amp;TEXT(A2743,"hh"),LoadTable[],5,FALSE)*0.92</f>
        <v>180.62544</v>
      </c>
      <c r="U2743" s="104">
        <f>VLOOKUP(TEXT(A2743,"yy-mm")&amp;"-"&amp;IF(AND(WEEKDAY(A2743)&gt;1,WEEKDAY(A2743)&lt;7),"Wkd",TEXT(A2743,"Ddd"))&amp;"-"&amp;TEXT(A2743,"hh"),LoadTable[],6,FALSE)*T2743</f>
        <v>8184.86118816</v>
      </c>
      <c r="V2743">
        <f t="shared" ref="V2743:W2743" si="2930">V2719</f>
        <v>3</v>
      </c>
      <c r="W2743">
        <f t="shared" si="2930"/>
        <v>3.1</v>
      </c>
      <c r="X2743" s="9">
        <v>-152.598508866674</v>
      </c>
    </row>
    <row r="2744" spans="1:24">
      <c r="A2744" s="29">
        <f t="shared" si="2875"/>
        <v>45950.208333326686</v>
      </c>
      <c r="B2744" s="30">
        <f t="shared" si="2899"/>
        <v>5000</v>
      </c>
      <c r="C2744" s="8">
        <v>25000</v>
      </c>
      <c r="D2744" s="8">
        <v>0</v>
      </c>
      <c r="E2744" s="8">
        <v>700</v>
      </c>
      <c r="F2744" s="8">
        <v>15000</v>
      </c>
      <c r="G2744" s="30">
        <f t="shared" si="2900"/>
        <v>2400</v>
      </c>
      <c r="H2744" s="8">
        <v>25000</v>
      </c>
      <c r="I2744" s="30">
        <f t="shared" si="2901"/>
        <v>5000</v>
      </c>
      <c r="J2744" s="8">
        <v>25000</v>
      </c>
      <c r="K2744" s="30">
        <f t="shared" si="2902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VLOOKUP(VLOOKUP(DATEVALUE(TEXT(A2744,"m/d/yyyy")),FY24_Temp[],5,FALSE)&amp;TEXT(A2744,"-h"),Table6[],4,FALSE)</f>
        <v>0.68157143264069042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VLOOKUP(TEXT(A2744,"yy-mm")&amp;"-"&amp;IF(AND(WEEKDAY(A2744)&gt;1,WEEKDAY(A2744)&lt;7),"Wkd",TEXT(A2744,"Ddd"))&amp;"-"&amp;TEXT(A2744,"hh"),LoadTable[],5,FALSE)*0.92</f>
        <v>275.09195999999997</v>
      </c>
      <c r="U2744" s="104">
        <f>VLOOKUP(TEXT(A2744,"yy-mm")&amp;"-"&amp;IF(AND(WEEKDAY(A2744)&gt;1,WEEKDAY(A2744)&lt;7),"Wkd",TEXT(A2744,"Ddd"))&amp;"-"&amp;TEXT(A2744,"hh"),LoadTable[],6,FALSE)*T2744</f>
        <v>12729.880448999998</v>
      </c>
      <c r="V2744">
        <f t="shared" ref="V2744:W2744" si="2931">V2720</f>
        <v>2.9</v>
      </c>
      <c r="W2744">
        <f t="shared" si="2931"/>
        <v>3.1</v>
      </c>
      <c r="X2744" s="9">
        <v>-152.67630341667399</v>
      </c>
    </row>
    <row r="2745" spans="1:24">
      <c r="A2745" s="29">
        <f t="shared" si="2875"/>
        <v>45950.24999999335</v>
      </c>
      <c r="B2745" s="30">
        <f t="shared" si="2899"/>
        <v>8000</v>
      </c>
      <c r="C2745" s="8">
        <v>25000</v>
      </c>
      <c r="D2745" s="8">
        <v>0</v>
      </c>
      <c r="E2745" s="8">
        <v>700</v>
      </c>
      <c r="F2745" s="8">
        <v>15000</v>
      </c>
      <c r="G2745" s="30">
        <f t="shared" si="2900"/>
        <v>2400</v>
      </c>
      <c r="H2745" s="8">
        <v>25000</v>
      </c>
      <c r="I2745" s="30">
        <f t="shared" si="2901"/>
        <v>8000</v>
      </c>
      <c r="J2745" s="8">
        <v>25000</v>
      </c>
      <c r="K2745" s="30">
        <f t="shared" si="2902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VLOOKUP(VLOOKUP(DATEVALUE(TEXT(A2745,"m/d/yyyy")),FY24_Temp[],5,FALSE)&amp;TEXT(A2745,"-h"),Table6[],4,FALSE)</f>
        <v>0.5494285853817924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VLOOKUP(TEXT(A2745,"yy-mm")&amp;"-"&amp;IF(AND(WEEKDAY(A2745)&gt;1,WEEKDAY(A2745)&lt;7),"Wkd",TEXT(A2745,"Ddd"))&amp;"-"&amp;TEXT(A2745,"hh"),LoadTable[],5,FALSE)*0.92</f>
        <v>275.09195999999997</v>
      </c>
      <c r="U2745" s="104">
        <f>VLOOKUP(TEXT(A2745,"yy-mm")&amp;"-"&amp;IF(AND(WEEKDAY(A2745)&gt;1,WEEKDAY(A2745)&lt;7),"Wkd",TEXT(A2745,"Ddd"))&amp;"-"&amp;TEXT(A2745,"hh"),LoadTable[],6,FALSE)*T2745</f>
        <v>13284.465840359997</v>
      </c>
      <c r="V2745">
        <f t="shared" ref="V2745:W2745" si="2932">V2721</f>
        <v>2.5</v>
      </c>
      <c r="W2745">
        <f t="shared" si="2932"/>
        <v>3.1</v>
      </c>
      <c r="X2745" s="9">
        <v>-152.75409796667401</v>
      </c>
    </row>
    <row r="2746" spans="1:24">
      <c r="A2746" s="29">
        <f t="shared" si="2875"/>
        <v>45950.291666660014</v>
      </c>
      <c r="B2746" s="30">
        <f t="shared" si="2899"/>
        <v>8000</v>
      </c>
      <c r="C2746" s="8">
        <v>25000</v>
      </c>
      <c r="D2746" s="8">
        <v>0</v>
      </c>
      <c r="E2746" s="8">
        <v>700</v>
      </c>
      <c r="F2746" s="8">
        <v>15000</v>
      </c>
      <c r="G2746" s="30">
        <f t="shared" si="2900"/>
        <v>2400</v>
      </c>
      <c r="H2746" s="8">
        <v>25000</v>
      </c>
      <c r="I2746" s="30">
        <f t="shared" si="2901"/>
        <v>8000</v>
      </c>
      <c r="J2746" s="8">
        <v>25000</v>
      </c>
      <c r="K2746" s="30">
        <f t="shared" si="2902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VLOOKUP(VLOOKUP(DATEVALUE(TEXT(A2746,"m/d/yyyy")),FY24_Temp[],5,FALSE)&amp;TEXT(A2746,"-h"),Table6[],4,FALSE)</f>
        <v>0.44057143108991348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VLOOKUP(TEXT(A2746,"yy-mm")&amp;"-"&amp;IF(AND(WEEKDAY(A2746)&gt;1,WEEKDAY(A2746)&lt;7),"Wkd",TEXT(A2746,"Ddd"))&amp;"-"&amp;TEXT(A2746,"hh"),LoadTable[],5,FALSE)*0.92</f>
        <v>236.10788000000002</v>
      </c>
      <c r="U2746" s="104">
        <f>VLOOKUP(TEXT(A2746,"yy-mm")&amp;"-"&amp;IF(AND(WEEKDAY(A2746)&gt;1,WEEKDAY(A2746)&lt;7),"Wkd",TEXT(A2746,"Ddd"))&amp;"-"&amp;TEXT(A2746,"hh"),LoadTable[],6,FALSE)*T2746</f>
        <v>11438.48235448</v>
      </c>
      <c r="V2746">
        <f t="shared" ref="V2746:W2746" si="2933">V2722</f>
        <v>2.5</v>
      </c>
      <c r="W2746">
        <f t="shared" si="2933"/>
        <v>3.1</v>
      </c>
      <c r="X2746" s="9">
        <v>-152.831892516674</v>
      </c>
    </row>
    <row r="2747" spans="1:24">
      <c r="A2747" s="29">
        <f t="shared" si="2875"/>
        <v>45950.333333326678</v>
      </c>
      <c r="B2747" s="30">
        <f t="shared" si="2899"/>
        <v>8000</v>
      </c>
      <c r="C2747" s="8">
        <v>25000</v>
      </c>
      <c r="D2747" s="8">
        <v>0</v>
      </c>
      <c r="E2747" s="8">
        <v>700</v>
      </c>
      <c r="F2747" s="8">
        <v>15000</v>
      </c>
      <c r="G2747" s="30">
        <f t="shared" si="2900"/>
        <v>2400</v>
      </c>
      <c r="H2747" s="8">
        <v>25000</v>
      </c>
      <c r="I2747" s="30">
        <f t="shared" si="2901"/>
        <v>8000</v>
      </c>
      <c r="J2747" s="8">
        <v>25000</v>
      </c>
      <c r="K2747" s="30">
        <f t="shared" si="2902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VLOOKUP(VLOOKUP(DATEVALUE(TEXT(A2747,"m/d/yyyy")),FY24_Temp[],5,FALSE)&amp;TEXT(A2747,"-h"),Table6[],4,FALSE)</f>
        <v>0.35985714461501639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VLOOKUP(TEXT(A2747,"yy-mm")&amp;"-"&amp;IF(AND(WEEKDAY(A2747)&gt;1,WEEKDAY(A2747)&lt;7),"Wkd",TEXT(A2747,"Ddd"))&amp;"-"&amp;TEXT(A2747,"hh"),LoadTable[],5,FALSE)*0.92</f>
        <v>236.10788000000002</v>
      </c>
      <c r="U2747" s="104">
        <f>VLOOKUP(TEXT(A2747,"yy-mm")&amp;"-"&amp;IF(AND(WEEKDAY(A2747)&gt;1,WEEKDAY(A2747)&lt;7),"Wkd",TEXT(A2747,"Ddd"))&amp;"-"&amp;TEXT(A2747,"hh"),LoadTable[],6,FALSE)*T2747</f>
        <v>10919.281126360002</v>
      </c>
      <c r="V2747">
        <f t="shared" ref="V2747:W2747" si="2934">V2723</f>
        <v>3.2</v>
      </c>
      <c r="W2747">
        <f t="shared" si="2934"/>
        <v>3</v>
      </c>
      <c r="X2747" s="9">
        <v>-152.909687066674</v>
      </c>
    </row>
    <row r="2748" spans="1:24">
      <c r="A2748" s="29">
        <f t="shared" si="2875"/>
        <v>45950.374999993342</v>
      </c>
      <c r="B2748" s="30">
        <f t="shared" si="2899"/>
        <v>8000</v>
      </c>
      <c r="C2748" s="8">
        <v>25000</v>
      </c>
      <c r="D2748" s="8">
        <v>0</v>
      </c>
      <c r="E2748" s="8">
        <v>700</v>
      </c>
      <c r="F2748" s="8">
        <v>15000</v>
      </c>
      <c r="G2748" s="30">
        <f t="shared" si="2900"/>
        <v>2400</v>
      </c>
      <c r="H2748" s="8">
        <v>25000</v>
      </c>
      <c r="I2748" s="30">
        <f t="shared" si="2901"/>
        <v>8000</v>
      </c>
      <c r="J2748" s="8">
        <v>25000</v>
      </c>
      <c r="K2748" s="30">
        <f t="shared" si="2902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VLOOKUP(VLOOKUP(DATEVALUE(TEXT(A2748,"m/d/yyyy")),FY24_Temp[],5,FALSE)&amp;TEXT(A2748,"-h"),Table6[],4,FALSE)</f>
        <v>0.28685713816253877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VLOOKUP(TEXT(A2748,"yy-mm")&amp;"-"&amp;IF(AND(WEEKDAY(A2748)&gt;1,WEEKDAY(A2748)&lt;7),"Wkd",TEXT(A2748,"Ddd"))&amp;"-"&amp;TEXT(A2748,"hh"),LoadTable[],5,FALSE)*0.92</f>
        <v>236.10788000000002</v>
      </c>
      <c r="U2748" s="104">
        <f>VLOOKUP(TEXT(A2748,"yy-mm")&amp;"-"&amp;IF(AND(WEEKDAY(A2748)&gt;1,WEEKDAY(A2748)&lt;7),"Wkd",TEXT(A2748,"Ddd"))&amp;"-"&amp;TEXT(A2748,"hh"),LoadTable[],6,FALSE)*T2748</f>
        <v>10592.271712560001</v>
      </c>
      <c r="V2748">
        <f t="shared" ref="V2748:W2748" si="2935">V2724</f>
        <v>2.9</v>
      </c>
      <c r="W2748">
        <f t="shared" si="2935"/>
        <v>3</v>
      </c>
      <c r="X2748" s="9">
        <v>-152.98748161667399</v>
      </c>
    </row>
    <row r="2749" spans="1:24">
      <c r="A2749" s="29">
        <f t="shared" si="2875"/>
        <v>45950.416666660007</v>
      </c>
      <c r="B2749" s="30">
        <f t="shared" si="2899"/>
        <v>8000</v>
      </c>
      <c r="C2749" s="8">
        <v>25000</v>
      </c>
      <c r="D2749" s="8">
        <v>0</v>
      </c>
      <c r="E2749" s="8">
        <v>700</v>
      </c>
      <c r="F2749" s="8">
        <v>15000</v>
      </c>
      <c r="G2749" s="30">
        <f t="shared" si="2900"/>
        <v>2400</v>
      </c>
      <c r="H2749" s="8">
        <v>25000</v>
      </c>
      <c r="I2749" s="30">
        <f t="shared" si="2901"/>
        <v>8000</v>
      </c>
      <c r="J2749" s="8">
        <v>25000</v>
      </c>
      <c r="K2749" s="30">
        <f t="shared" si="2902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VLOOKUP(VLOOKUP(DATEVALUE(TEXT(A2749,"m/d/yyyy")),FY24_Temp[],5,FALSE)&amp;TEXT(A2749,"-h"),Table6[],4,FALSE)</f>
        <v>0.21185714012194715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VLOOKUP(TEXT(A2749,"yy-mm")&amp;"-"&amp;IF(AND(WEEKDAY(A2749)&gt;1,WEEKDAY(A2749)&lt;7),"Wkd",TEXT(A2749,"Ddd"))&amp;"-"&amp;TEXT(A2749,"hh"),LoadTable[],5,FALSE)*0.92</f>
        <v>236.10788000000002</v>
      </c>
      <c r="U2749" s="104">
        <f>VLOOKUP(TEXT(A2749,"yy-mm")&amp;"-"&amp;IF(AND(WEEKDAY(A2749)&gt;1,WEEKDAY(A2749)&lt;7),"Wkd",TEXT(A2749,"Ddd"))&amp;"-"&amp;TEXT(A2749,"hh"),LoadTable[],6,FALSE)*T2749</f>
        <v>10565.591522120001</v>
      </c>
      <c r="V2749">
        <f t="shared" ref="V2749:W2749" si="2936">V2725</f>
        <v>2.9</v>
      </c>
      <c r="W2749">
        <f t="shared" si="2936"/>
        <v>3</v>
      </c>
      <c r="X2749" s="9">
        <v>-153.06527616667401</v>
      </c>
    </row>
    <row r="2750" spans="1:24">
      <c r="A2750" s="29">
        <f t="shared" si="2875"/>
        <v>45950.458333326671</v>
      </c>
      <c r="B2750" s="30">
        <f t="shared" si="2899"/>
        <v>8000</v>
      </c>
      <c r="C2750" s="8">
        <v>25000</v>
      </c>
      <c r="D2750" s="8">
        <v>0</v>
      </c>
      <c r="E2750" s="8">
        <v>700</v>
      </c>
      <c r="F2750" s="8">
        <v>15000</v>
      </c>
      <c r="G2750" s="30">
        <f t="shared" si="2900"/>
        <v>2400</v>
      </c>
      <c r="H2750" s="8">
        <v>25000</v>
      </c>
      <c r="I2750" s="30">
        <f t="shared" si="2901"/>
        <v>8000</v>
      </c>
      <c r="J2750" s="8">
        <v>25000</v>
      </c>
      <c r="K2750" s="30">
        <f t="shared" si="2902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VLOOKUP(VLOOKUP(DATEVALUE(TEXT(A2750,"m/d/yyyy")),FY24_Temp[],5,FALSE)&amp;TEXT(A2750,"-h"),Table6[],4,FALSE)</f>
        <v>0.132285714167475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VLOOKUP(TEXT(A2750,"yy-mm")&amp;"-"&amp;IF(AND(WEEKDAY(A2750)&gt;1,WEEKDAY(A2750)&lt;7),"Wkd",TEXT(A2750,"Ddd"))&amp;"-"&amp;TEXT(A2750,"hh"),LoadTable[],5,FALSE)*0.92</f>
        <v>236.10788000000002</v>
      </c>
      <c r="U2750" s="104">
        <f>VLOOKUP(TEXT(A2750,"yy-mm")&amp;"-"&amp;IF(AND(WEEKDAY(A2750)&gt;1,WEEKDAY(A2750)&lt;7),"Wkd",TEXT(A2750,"Ddd"))&amp;"-"&amp;TEXT(A2750,"hh"),LoadTable[],6,FALSE)*T2750</f>
        <v>10548.355646880002</v>
      </c>
      <c r="V2750">
        <f t="shared" ref="V2750:W2750" si="2937">V2726</f>
        <v>3.4</v>
      </c>
      <c r="W2750">
        <f t="shared" si="2937"/>
        <v>3</v>
      </c>
      <c r="X2750" s="9">
        <v>-153.143070716674</v>
      </c>
    </row>
    <row r="2751" spans="1:24">
      <c r="A2751" s="29">
        <f t="shared" si="2875"/>
        <v>45950.499999993335</v>
      </c>
      <c r="B2751" s="30">
        <f t="shared" si="2899"/>
        <v>8000</v>
      </c>
      <c r="C2751" s="8">
        <v>25000</v>
      </c>
      <c r="D2751" s="8">
        <v>0</v>
      </c>
      <c r="E2751" s="8">
        <v>700</v>
      </c>
      <c r="F2751" s="8">
        <v>15000</v>
      </c>
      <c r="G2751" s="30">
        <f t="shared" si="2900"/>
        <v>2400</v>
      </c>
      <c r="H2751" s="8">
        <v>25000</v>
      </c>
      <c r="I2751" s="30">
        <f t="shared" si="2901"/>
        <v>8000</v>
      </c>
      <c r="J2751" s="8">
        <v>25000</v>
      </c>
      <c r="K2751" s="30">
        <f t="shared" si="2902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VLOOKUP(VLOOKUP(DATEVALUE(TEXT(A2751,"m/d/yyyy")),FY24_Temp[],5,FALSE)&amp;TEXT(A2751,"-h"),Table6[],4,FALSE)</f>
        <v>5.5857142192049847E-2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VLOOKUP(TEXT(A2751,"yy-mm")&amp;"-"&amp;IF(AND(WEEKDAY(A2751)&gt;1,WEEKDAY(A2751)&lt;7),"Wkd",TEXT(A2751,"Ddd"))&amp;"-"&amp;TEXT(A2751,"hh"),LoadTable[],5,FALSE)*0.92</f>
        <v>236.10788000000002</v>
      </c>
      <c r="U2751" s="104">
        <f>VLOOKUP(TEXT(A2751,"yy-mm")&amp;"-"&amp;IF(AND(WEEKDAY(A2751)&gt;1,WEEKDAY(A2751)&lt;7),"Wkd",TEXT(A2751,"Ddd"))&amp;"-"&amp;TEXT(A2751,"hh"),LoadTable[],6,FALSE)*T2751</f>
        <v>10540.327978960002</v>
      </c>
      <c r="V2751">
        <f t="shared" ref="V2751:W2751" si="2938">V2727</f>
        <v>3.1</v>
      </c>
      <c r="W2751">
        <f t="shared" si="2938"/>
        <v>2.9</v>
      </c>
      <c r="X2751" s="9">
        <v>-153.220865266674</v>
      </c>
    </row>
    <row r="2752" spans="1:24">
      <c r="A2752" s="29">
        <f t="shared" si="2875"/>
        <v>45950.541666659999</v>
      </c>
      <c r="B2752" s="30">
        <f t="shared" si="2899"/>
        <v>8000</v>
      </c>
      <c r="C2752" s="8">
        <v>25000</v>
      </c>
      <c r="D2752" s="8">
        <v>0</v>
      </c>
      <c r="E2752" s="8">
        <v>700</v>
      </c>
      <c r="F2752" s="8">
        <v>15000</v>
      </c>
      <c r="G2752" s="30">
        <f t="shared" si="2900"/>
        <v>2400</v>
      </c>
      <c r="H2752" s="8">
        <v>25000</v>
      </c>
      <c r="I2752" s="30">
        <f t="shared" si="2901"/>
        <v>8000</v>
      </c>
      <c r="J2752" s="8">
        <v>25000</v>
      </c>
      <c r="K2752" s="30">
        <f t="shared" si="2902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VLOOKUP(VLOOKUP(DATEVALUE(TEXT(A2752,"m/d/yyyy")),FY24_Temp[],5,FALSE)&amp;TEXT(A2752,"-h"),Table6[],4,FALSE)</f>
        <v>-3.7142866273079272E-3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VLOOKUP(TEXT(A2752,"yy-mm")&amp;"-"&amp;IF(AND(WEEKDAY(A2752)&gt;1,WEEKDAY(A2752)&lt;7),"Wkd",TEXT(A2752,"Ddd"))&amp;"-"&amp;TEXT(A2752,"hh"),LoadTable[],5,FALSE)*0.92</f>
        <v>236.10788000000002</v>
      </c>
      <c r="U2752" s="104">
        <f>VLOOKUP(TEXT(A2752,"yy-mm")&amp;"-"&amp;IF(AND(WEEKDAY(A2752)&gt;1,WEEKDAY(A2752)&lt;7),"Wkd",TEXT(A2752,"Ddd"))&amp;"-"&amp;TEXT(A2752,"hh"),LoadTable[],6,FALSE)*T2752</f>
        <v>10541.50851836</v>
      </c>
      <c r="V2752">
        <f t="shared" ref="V2752:W2752" si="2939">V2728</f>
        <v>3.2</v>
      </c>
      <c r="W2752">
        <f t="shared" si="2939"/>
        <v>2.9</v>
      </c>
      <c r="X2752" s="9">
        <v>-153.29865981667399</v>
      </c>
    </row>
    <row r="2753" spans="1:24">
      <c r="A2753" s="29">
        <f t="shared" si="2875"/>
        <v>45950.583333326664</v>
      </c>
      <c r="B2753" s="30">
        <f t="shared" si="2899"/>
        <v>8000</v>
      </c>
      <c r="C2753" s="8">
        <v>25000</v>
      </c>
      <c r="D2753" s="8">
        <v>0</v>
      </c>
      <c r="E2753" s="8">
        <v>700</v>
      </c>
      <c r="F2753" s="8">
        <v>15000</v>
      </c>
      <c r="G2753" s="30">
        <f t="shared" si="2900"/>
        <v>2400</v>
      </c>
      <c r="H2753" s="8">
        <v>25000</v>
      </c>
      <c r="I2753" s="30">
        <f t="shared" si="2901"/>
        <v>8000</v>
      </c>
      <c r="J2753" s="8">
        <v>25000</v>
      </c>
      <c r="K2753" s="30">
        <f t="shared" si="2902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VLOOKUP(VLOOKUP(DATEVALUE(TEXT(A2753,"m/d/yyyy")),FY24_Temp[],5,FALSE)&amp;TEXT(A2753,"-h"),Table6[],4,FALSE)</f>
        <v>2.4285705435232452E-3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VLOOKUP(TEXT(A2753,"yy-mm")&amp;"-"&amp;IF(AND(WEEKDAY(A2753)&gt;1,WEEKDAY(A2753)&lt;7),"Wkd",TEXT(A2753,"Ddd"))&amp;"-"&amp;TEXT(A2753,"hh"),LoadTable[],5,FALSE)*0.92</f>
        <v>236.10788000000002</v>
      </c>
      <c r="U2753" s="104">
        <f>VLOOKUP(TEXT(A2753,"yy-mm")&amp;"-"&amp;IF(AND(WEEKDAY(A2753)&gt;1,WEEKDAY(A2753)&lt;7),"Wkd",TEXT(A2753,"Ddd"))&amp;"-"&amp;TEXT(A2753,"hh"),LoadTable[],6,FALSE)*T2753</f>
        <v>10551.188941440001</v>
      </c>
      <c r="V2753">
        <f t="shared" ref="V2753:W2753" si="2940">V2729</f>
        <v>3.5</v>
      </c>
      <c r="W2753">
        <f t="shared" si="2940"/>
        <v>2.9</v>
      </c>
      <c r="X2753" s="9">
        <v>-153.37645436667401</v>
      </c>
    </row>
    <row r="2754" spans="1:24">
      <c r="A2754" s="29">
        <f t="shared" si="2875"/>
        <v>45950.624999993328</v>
      </c>
      <c r="B2754" s="30">
        <f t="shared" si="2899"/>
        <v>8000</v>
      </c>
      <c r="C2754" s="8">
        <v>25000</v>
      </c>
      <c r="D2754" s="8">
        <v>0</v>
      </c>
      <c r="E2754" s="8">
        <v>700</v>
      </c>
      <c r="F2754" s="8">
        <v>15000</v>
      </c>
      <c r="G2754" s="30">
        <f t="shared" si="2900"/>
        <v>2400</v>
      </c>
      <c r="H2754" s="8">
        <v>25000</v>
      </c>
      <c r="I2754" s="30">
        <f t="shared" si="2901"/>
        <v>8000</v>
      </c>
      <c r="J2754" s="8">
        <v>25000</v>
      </c>
      <c r="K2754" s="30">
        <f t="shared" si="2902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VLOOKUP(VLOOKUP(DATEVALUE(TEXT(A2754,"m/d/yyyy")),FY24_Temp[],5,FALSE)&amp;TEXT(A2754,"-h"),Table6[],4,FALSE)</f>
        <v>0.13285714206451429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VLOOKUP(TEXT(A2754,"yy-mm")&amp;"-"&amp;IF(AND(WEEKDAY(A2754)&gt;1,WEEKDAY(A2754)&lt;7),"Wkd",TEXT(A2754,"Ddd"))&amp;"-"&amp;TEXT(A2754,"hh"),LoadTable[],5,FALSE)*0.92</f>
        <v>236.10788000000002</v>
      </c>
      <c r="U2754" s="104">
        <f>VLOOKUP(TEXT(A2754,"yy-mm")&amp;"-"&amp;IF(AND(WEEKDAY(A2754)&gt;1,WEEKDAY(A2754)&lt;7),"Wkd",TEXT(A2754,"Ddd"))&amp;"-"&amp;TEXT(A2754,"hh"),LoadTable[],6,FALSE)*T2754</f>
        <v>10572.202542760002</v>
      </c>
      <c r="V2754">
        <f t="shared" ref="V2754:W2754" si="2941">V2730</f>
        <v>3.2</v>
      </c>
      <c r="W2754">
        <f t="shared" si="2941"/>
        <v>2.9</v>
      </c>
      <c r="X2754" s="9">
        <v>-153.454248916674</v>
      </c>
    </row>
    <row r="2755" spans="1:24">
      <c r="A2755" s="29">
        <f t="shared" si="2875"/>
        <v>45950.666666659992</v>
      </c>
      <c r="B2755" s="30">
        <f t="shared" si="2899"/>
        <v>8000</v>
      </c>
      <c r="C2755" s="8">
        <v>25000</v>
      </c>
      <c r="D2755" s="8">
        <v>0</v>
      </c>
      <c r="E2755" s="8">
        <v>700</v>
      </c>
      <c r="F2755" s="8">
        <v>15000</v>
      </c>
      <c r="G2755" s="30">
        <f t="shared" si="2900"/>
        <v>2400</v>
      </c>
      <c r="H2755" s="8">
        <v>25000</v>
      </c>
      <c r="I2755" s="30">
        <f t="shared" si="2901"/>
        <v>8000</v>
      </c>
      <c r="J2755" s="8">
        <v>25000</v>
      </c>
      <c r="K2755" s="30">
        <f t="shared" si="2902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VLOOKUP(VLOOKUP(DATEVALUE(TEXT(A2755,"m/d/yyyy")),FY24_Temp[],5,FALSE)&amp;TEXT(A2755,"-h"),Table6[],4,FALSE)</f>
        <v>0.3728571448816746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VLOOKUP(TEXT(A2755,"yy-mm")&amp;"-"&amp;IF(AND(WEEKDAY(A2755)&gt;1,WEEKDAY(A2755)&lt;7),"Wkd",TEXT(A2755,"Ddd"))&amp;"-"&amp;TEXT(A2755,"hh"),LoadTable[],5,FALSE)*0.92</f>
        <v>236.10788000000002</v>
      </c>
      <c r="U2755" s="104">
        <f>VLOOKUP(TEXT(A2755,"yy-mm")&amp;"-"&amp;IF(AND(WEEKDAY(A2755)&gt;1,WEEKDAY(A2755)&lt;7),"Wkd",TEXT(A2755,"Ddd"))&amp;"-"&amp;TEXT(A2755,"hh"),LoadTable[],6,FALSE)*T2755</f>
        <v>10648.93760376</v>
      </c>
      <c r="V2755">
        <f t="shared" ref="V2755:W2755" si="2942">V2731</f>
        <v>3.5</v>
      </c>
      <c r="W2755">
        <f t="shared" si="2942"/>
        <v>3</v>
      </c>
      <c r="X2755" s="9">
        <v>-153.532043466674</v>
      </c>
    </row>
    <row r="2756" spans="1:24">
      <c r="A2756" s="29">
        <f t="shared" si="2875"/>
        <v>45950.708333326656</v>
      </c>
      <c r="B2756" s="30">
        <f t="shared" si="2899"/>
        <v>8000</v>
      </c>
      <c r="C2756" s="8">
        <v>25000</v>
      </c>
      <c r="D2756" s="8">
        <v>0</v>
      </c>
      <c r="E2756" s="8">
        <v>700</v>
      </c>
      <c r="F2756" s="8">
        <v>15000</v>
      </c>
      <c r="G2756" s="30">
        <f t="shared" si="2900"/>
        <v>2400</v>
      </c>
      <c r="H2756" s="8">
        <v>25000</v>
      </c>
      <c r="I2756" s="30">
        <f t="shared" si="2901"/>
        <v>8000</v>
      </c>
      <c r="J2756" s="8">
        <v>25000</v>
      </c>
      <c r="K2756" s="30">
        <f t="shared" si="2902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VLOOKUP(VLOOKUP(DATEVALUE(TEXT(A2756,"m/d/yyyy")),FY24_Temp[],5,FALSE)&amp;TEXT(A2756,"-h"),Table6[],4,FALSE)</f>
        <v>0.63814285401985393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VLOOKUP(TEXT(A2756,"yy-mm")&amp;"-"&amp;IF(AND(WEEKDAY(A2756)&gt;1,WEEKDAY(A2756)&lt;7),"Wkd",TEXT(A2756,"Ddd"))&amp;"-"&amp;TEXT(A2756,"hh"),LoadTable[],5,FALSE)*0.92</f>
        <v>236.10788000000002</v>
      </c>
      <c r="U2756" s="104">
        <f>VLOOKUP(TEXT(A2756,"yy-mm")&amp;"-"&amp;IF(AND(WEEKDAY(A2756)&gt;1,WEEKDAY(A2756)&lt;7),"Wkd",TEXT(A2756,"Ddd"))&amp;"-"&amp;TEXT(A2756,"hh"),LoadTable[],6,FALSE)*T2756</f>
        <v>11157.513977280001</v>
      </c>
      <c r="V2756">
        <f t="shared" ref="V2756:W2756" si="2943">V2732</f>
        <v>3.6</v>
      </c>
      <c r="W2756">
        <f t="shared" si="2943"/>
        <v>3</v>
      </c>
      <c r="X2756" s="9">
        <v>-153.60983801667399</v>
      </c>
    </row>
    <row r="2757" spans="1:24">
      <c r="A2757" s="29">
        <f t="shared" ref="A2757:A2820" si="2944">A2756+TIME(1,0,0)</f>
        <v>45950.749999993321</v>
      </c>
      <c r="B2757" s="30">
        <f t="shared" si="2899"/>
        <v>5000</v>
      </c>
      <c r="C2757" s="8">
        <v>25000</v>
      </c>
      <c r="D2757" s="8">
        <v>0</v>
      </c>
      <c r="E2757" s="8">
        <v>700</v>
      </c>
      <c r="F2757" s="8">
        <v>15000</v>
      </c>
      <c r="G2757" s="30">
        <f t="shared" si="2900"/>
        <v>2400</v>
      </c>
      <c r="H2757" s="8">
        <v>25000</v>
      </c>
      <c r="I2757" s="30">
        <f t="shared" si="2901"/>
        <v>5000</v>
      </c>
      <c r="J2757" s="8">
        <v>25000</v>
      </c>
      <c r="K2757" s="30">
        <f t="shared" si="2902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VLOOKUP(VLOOKUP(DATEVALUE(TEXT(A2757,"m/d/yyyy")),FY24_Temp[],5,FALSE)&amp;TEXT(A2757,"-h"),Table6[],4,FALSE)</f>
        <v>0.73900000122615261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VLOOKUP(TEXT(A2757,"yy-mm")&amp;"-"&amp;IF(AND(WEEKDAY(A2757)&gt;1,WEEKDAY(A2757)&lt;7),"Wkd",TEXT(A2757,"Ddd"))&amp;"-"&amp;TEXT(A2757,"hh"),LoadTable[],5,FALSE)*0.92</f>
        <v>308.12363999999997</v>
      </c>
      <c r="U2757" s="104">
        <f>VLOOKUP(TEXT(A2757,"yy-mm")&amp;"-"&amp;IF(AND(WEEKDAY(A2757)&gt;1,WEEKDAY(A2757)&lt;7),"Wkd",TEXT(A2757,"Ddd"))&amp;"-"&amp;TEXT(A2757,"hh"),LoadTable[],6,FALSE)*T2757</f>
        <v>15139.963175039999</v>
      </c>
      <c r="V2757">
        <f t="shared" ref="V2757:W2757" si="2945">V2733</f>
        <v>2.9</v>
      </c>
      <c r="W2757">
        <f t="shared" si="2945"/>
        <v>3</v>
      </c>
      <c r="X2757" s="9">
        <v>-153.68763256667401</v>
      </c>
    </row>
    <row r="2758" spans="1:24">
      <c r="A2758" s="29">
        <f t="shared" si="2944"/>
        <v>45950.791666659985</v>
      </c>
      <c r="B2758" s="30">
        <f t="shared" si="2899"/>
        <v>5000</v>
      </c>
      <c r="C2758" s="8">
        <v>25000</v>
      </c>
      <c r="D2758" s="8">
        <v>0</v>
      </c>
      <c r="E2758" s="8">
        <v>700</v>
      </c>
      <c r="F2758" s="8">
        <v>15000</v>
      </c>
      <c r="G2758" s="30">
        <f t="shared" si="2900"/>
        <v>2400</v>
      </c>
      <c r="H2758" s="8">
        <v>25000</v>
      </c>
      <c r="I2758" s="30">
        <f t="shared" si="2901"/>
        <v>5000</v>
      </c>
      <c r="J2758" s="8">
        <v>25000</v>
      </c>
      <c r="K2758" s="30">
        <f t="shared" si="2902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VLOOKUP(VLOOKUP(DATEVALUE(TEXT(A2758,"m/d/yyyy")),FY24_Temp[],5,FALSE)&amp;TEXT(A2758,"-h"),Table6[],4,FALSE)</f>
        <v>0.80314285427247845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VLOOKUP(TEXT(A2758,"yy-mm")&amp;"-"&amp;IF(AND(WEEKDAY(A2758)&gt;1,WEEKDAY(A2758)&lt;7),"Wkd",TEXT(A2758,"Ddd"))&amp;"-"&amp;TEXT(A2758,"hh"),LoadTable[],5,FALSE)*0.92</f>
        <v>308.12363999999997</v>
      </c>
      <c r="U2758" s="104">
        <f>VLOOKUP(TEXT(A2758,"yy-mm")&amp;"-"&amp;IF(AND(WEEKDAY(A2758)&gt;1,WEEKDAY(A2758)&lt;7),"Wkd",TEXT(A2758,"Ddd"))&amp;"-"&amp;TEXT(A2758,"hh"),LoadTable[],6,FALSE)*T2758</f>
        <v>15247.806449039997</v>
      </c>
      <c r="V2758">
        <f t="shared" ref="V2758:W2758" si="2946">V2734</f>
        <v>3</v>
      </c>
      <c r="W2758">
        <f t="shared" si="2946"/>
        <v>3</v>
      </c>
      <c r="X2758" s="9">
        <v>-153.765427116674</v>
      </c>
    </row>
    <row r="2759" spans="1:24">
      <c r="A2759" s="29">
        <f t="shared" si="2944"/>
        <v>45950.833333326649</v>
      </c>
      <c r="B2759" s="30">
        <f t="shared" si="2899"/>
        <v>5000</v>
      </c>
      <c r="C2759" s="8">
        <v>25000</v>
      </c>
      <c r="D2759" s="8">
        <v>0</v>
      </c>
      <c r="E2759" s="8">
        <v>700</v>
      </c>
      <c r="F2759" s="8">
        <v>15000</v>
      </c>
      <c r="G2759" s="30">
        <f t="shared" si="2900"/>
        <v>2400</v>
      </c>
      <c r="H2759" s="8">
        <v>25000</v>
      </c>
      <c r="I2759" s="30">
        <f t="shared" si="2901"/>
        <v>5000</v>
      </c>
      <c r="J2759" s="8">
        <v>25000</v>
      </c>
      <c r="K2759" s="30">
        <f t="shared" si="2902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VLOOKUP(VLOOKUP(DATEVALUE(TEXT(A2759,"m/d/yyyy")),FY24_Temp[],5,FALSE)&amp;TEXT(A2759,"-h"),Table6[],4,FALSE)</f>
        <v>0.86528570312539677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VLOOKUP(TEXT(A2759,"yy-mm")&amp;"-"&amp;IF(AND(WEEKDAY(A2759)&gt;1,WEEKDAY(A2759)&lt;7),"Wkd",TEXT(A2759,"Ddd"))&amp;"-"&amp;TEXT(A2759,"hh"),LoadTable[],5,FALSE)*0.92</f>
        <v>308.12363999999997</v>
      </c>
      <c r="U2759" s="104">
        <f>VLOOKUP(TEXT(A2759,"yy-mm")&amp;"-"&amp;IF(AND(WEEKDAY(A2759)&gt;1,WEEKDAY(A2759)&lt;7),"Wkd",TEXT(A2759,"Ddd"))&amp;"-"&amp;TEXT(A2759,"hh"),LoadTable[],6,FALSE)*T2759</f>
        <v>15157.218098879999</v>
      </c>
      <c r="V2759">
        <f t="shared" ref="V2759:W2759" si="2947">V2735</f>
        <v>2.8</v>
      </c>
      <c r="W2759">
        <f t="shared" si="2947"/>
        <v>3.1</v>
      </c>
      <c r="X2759" s="9">
        <v>-153.843221666674</v>
      </c>
    </row>
    <row r="2760" spans="1:24">
      <c r="A2760" s="29">
        <f t="shared" si="2944"/>
        <v>45950.874999993313</v>
      </c>
      <c r="B2760" s="30">
        <f t="shared" si="2899"/>
        <v>5000</v>
      </c>
      <c r="C2760" s="8">
        <v>25000</v>
      </c>
      <c r="D2760" s="8">
        <v>0</v>
      </c>
      <c r="E2760" s="8">
        <v>700</v>
      </c>
      <c r="F2760" s="8">
        <v>15000</v>
      </c>
      <c r="G2760" s="30">
        <f t="shared" si="2900"/>
        <v>2400</v>
      </c>
      <c r="H2760" s="8">
        <v>25000</v>
      </c>
      <c r="I2760" s="30">
        <f t="shared" si="2901"/>
        <v>5000</v>
      </c>
      <c r="J2760" s="8">
        <v>25000</v>
      </c>
      <c r="K2760" s="30">
        <f t="shared" si="2902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VLOOKUP(VLOOKUP(DATEVALUE(TEXT(A2760,"m/d/yyyy")),FY24_Temp[],5,FALSE)&amp;TEXT(A2760,"-h"),Table6[],4,FALSE)</f>
        <v>0.95742857465746201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VLOOKUP(TEXT(A2760,"yy-mm")&amp;"-"&amp;IF(AND(WEEKDAY(A2760)&gt;1,WEEKDAY(A2760)&lt;7),"Wkd",TEXT(A2760,"Ddd"))&amp;"-"&amp;TEXT(A2760,"hh"),LoadTable[],5,FALSE)*0.92</f>
        <v>234.33964000000003</v>
      </c>
      <c r="U2760" s="104">
        <f>VLOOKUP(TEXT(A2760,"yy-mm")&amp;"-"&amp;IF(AND(WEEKDAY(A2760)&gt;1,WEEKDAY(A2760)&lt;7),"Wkd",TEXT(A2760,"Ddd"))&amp;"-"&amp;TEXT(A2760,"hh"),LoadTable[],6,FALSE)*T2760</f>
        <v>11344.147632760001</v>
      </c>
      <c r="V2760">
        <f t="shared" ref="V2760:W2760" si="2948">V2736</f>
        <v>3.5</v>
      </c>
      <c r="W2760">
        <f t="shared" si="2948"/>
        <v>3.1</v>
      </c>
      <c r="X2760" s="9">
        <v>-153.92101621667399</v>
      </c>
    </row>
    <row r="2761" spans="1:24">
      <c r="A2761" s="29">
        <f t="shared" si="2944"/>
        <v>45950.916666659978</v>
      </c>
      <c r="B2761" s="30">
        <f t="shared" si="2899"/>
        <v>5000</v>
      </c>
      <c r="C2761" s="8">
        <v>25000</v>
      </c>
      <c r="D2761" s="8">
        <v>0</v>
      </c>
      <c r="E2761" s="8">
        <v>700</v>
      </c>
      <c r="F2761" s="8">
        <v>15000</v>
      </c>
      <c r="G2761" s="30">
        <f t="shared" si="2900"/>
        <v>2400</v>
      </c>
      <c r="H2761" s="8">
        <v>25000</v>
      </c>
      <c r="I2761" s="30">
        <f t="shared" si="2901"/>
        <v>5000</v>
      </c>
      <c r="J2761" s="8">
        <v>25000</v>
      </c>
      <c r="K2761" s="30">
        <f t="shared" si="2902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VLOOKUP(VLOOKUP(DATEVALUE(TEXT(A2761,"m/d/yyyy")),FY24_Temp[],5,FALSE)&amp;TEXT(A2761,"-h"),Table6[],4,FALSE)</f>
        <v>1.0430000169890485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VLOOKUP(TEXT(A2761,"yy-mm")&amp;"-"&amp;IF(AND(WEEKDAY(A2761)&gt;1,WEEKDAY(A2761)&lt;7),"Wkd",TEXT(A2761,"Ddd"))&amp;"-"&amp;TEXT(A2761,"hh"),LoadTable[],5,FALSE)*0.92</f>
        <v>180.62544</v>
      </c>
      <c r="U2761" s="104">
        <f>VLOOKUP(TEXT(A2761,"yy-mm")&amp;"-"&amp;IF(AND(WEEKDAY(A2761)&gt;1,WEEKDAY(A2761)&lt;7),"Wkd",TEXT(A2761,"Ddd"))&amp;"-"&amp;TEXT(A2761,"hh"),LoadTable[],6,FALSE)*T2761</f>
        <v>8304.2546039999997</v>
      </c>
      <c r="V2761">
        <f t="shared" ref="V2761:W2761" si="2949">V2737</f>
        <v>2.9</v>
      </c>
      <c r="W2761">
        <f t="shared" si="2949"/>
        <v>3.1</v>
      </c>
      <c r="X2761" s="9">
        <v>-153.99881076667401</v>
      </c>
    </row>
    <row r="2762" spans="1:24">
      <c r="A2762" s="29">
        <f t="shared" si="2944"/>
        <v>45950.958333326642</v>
      </c>
      <c r="B2762" s="30">
        <f t="shared" si="2899"/>
        <v>5000</v>
      </c>
      <c r="C2762" s="8">
        <v>25000</v>
      </c>
      <c r="D2762" s="8">
        <v>0</v>
      </c>
      <c r="E2762" s="8">
        <v>700</v>
      </c>
      <c r="F2762" s="8">
        <v>15000</v>
      </c>
      <c r="G2762" s="30">
        <f t="shared" si="2900"/>
        <v>2400</v>
      </c>
      <c r="H2762" s="8">
        <v>25000</v>
      </c>
      <c r="I2762" s="30">
        <f t="shared" si="2901"/>
        <v>5000</v>
      </c>
      <c r="J2762" s="8">
        <v>25000</v>
      </c>
      <c r="K2762" s="30">
        <f t="shared" si="2902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VLOOKUP(VLOOKUP(DATEVALUE(TEXT(A2762,"m/d/yyyy")),FY24_Temp[],5,FALSE)&amp;TEXT(A2762,"-h"),Table6[],4,FALSE)</f>
        <v>1.0454285740700597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VLOOKUP(TEXT(A2762,"yy-mm")&amp;"-"&amp;IF(AND(WEEKDAY(A2762)&gt;1,WEEKDAY(A2762)&lt;7),"Wkd",TEXT(A2762,"Ddd"))&amp;"-"&amp;TEXT(A2762,"hh"),LoadTable[],5,FALSE)*0.92</f>
        <v>180.62544</v>
      </c>
      <c r="U2762" s="104">
        <f>VLOOKUP(TEXT(A2762,"yy-mm")&amp;"-"&amp;IF(AND(WEEKDAY(A2762)&gt;1,WEEKDAY(A2762)&lt;7),"Wkd",TEXT(A2762,"Ddd"))&amp;"-"&amp;TEXT(A2762,"hh"),LoadTable[],6,FALSE)*T2762</f>
        <v>8217.1931419200009</v>
      </c>
      <c r="V2762">
        <f t="shared" ref="V2762:W2762" si="2950">V2738</f>
        <v>3.6</v>
      </c>
      <c r="W2762">
        <f t="shared" si="2950"/>
        <v>3.1</v>
      </c>
      <c r="X2762" s="9">
        <v>-154.07660531667401</v>
      </c>
    </row>
    <row r="2763" spans="1:24">
      <c r="A2763" s="29">
        <f t="shared" si="2944"/>
        <v>45950.999999993306</v>
      </c>
      <c r="B2763" s="30">
        <f t="shared" si="2899"/>
        <v>5000</v>
      </c>
      <c r="C2763" s="8">
        <v>25000</v>
      </c>
      <c r="D2763" s="8">
        <v>0</v>
      </c>
      <c r="E2763" s="8">
        <v>700</v>
      </c>
      <c r="F2763" s="8">
        <v>15000</v>
      </c>
      <c r="G2763" s="30">
        <f t="shared" si="2900"/>
        <v>2400</v>
      </c>
      <c r="H2763" s="8">
        <v>25000</v>
      </c>
      <c r="I2763" s="30">
        <f t="shared" si="2901"/>
        <v>5000</v>
      </c>
      <c r="J2763" s="8">
        <v>25000</v>
      </c>
      <c r="K2763" s="30">
        <f t="shared" si="2902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VLOOKUP(VLOOKUP(DATEVALUE(TEXT(A2763,"m/d/yyyy")),FY24_Temp[],5,FALSE)&amp;TEXT(A2763,"-h"),Table6[],4,FALSE)</f>
        <v>0.52500001029895027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VLOOKUP(TEXT(A2763,"yy-mm")&amp;"-"&amp;IF(AND(WEEKDAY(A2763)&gt;1,WEEKDAY(A2763)&lt;7),"Wkd",TEXT(A2763,"Ddd"))&amp;"-"&amp;TEXT(A2763,"hh"),LoadTable[],5,FALSE)*0.92</f>
        <v>180.62544</v>
      </c>
      <c r="U2763" s="104">
        <f>VLOOKUP(TEXT(A2763,"yy-mm")&amp;"-"&amp;IF(AND(WEEKDAY(A2763)&gt;1,WEEKDAY(A2763)&lt;7),"Wkd",TEXT(A2763,"Ddd"))&amp;"-"&amp;TEXT(A2763,"hh"),LoadTable[],6,FALSE)*T2763</f>
        <v>8132.4798105600003</v>
      </c>
      <c r="V2763">
        <f t="shared" ref="V2763:W2763" si="2951">V2739</f>
        <v>3</v>
      </c>
      <c r="W2763">
        <f t="shared" si="2951"/>
        <v>3.2</v>
      </c>
      <c r="X2763" s="9">
        <v>-154.154399866674</v>
      </c>
    </row>
    <row r="2764" spans="1:24">
      <c r="A2764" s="29">
        <f t="shared" si="2944"/>
        <v>45951.04166665997</v>
      </c>
      <c r="B2764" s="30">
        <f t="shared" si="2899"/>
        <v>5000</v>
      </c>
      <c r="C2764" s="8">
        <v>25000</v>
      </c>
      <c r="D2764" s="8">
        <v>0</v>
      </c>
      <c r="E2764" s="8">
        <v>700</v>
      </c>
      <c r="F2764" s="8">
        <v>15000</v>
      </c>
      <c r="G2764" s="30">
        <f t="shared" si="2900"/>
        <v>2400</v>
      </c>
      <c r="H2764" s="8">
        <v>25000</v>
      </c>
      <c r="I2764" s="30">
        <f t="shared" si="2901"/>
        <v>5000</v>
      </c>
      <c r="J2764" s="8">
        <v>25000</v>
      </c>
      <c r="K2764" s="30">
        <f t="shared" si="2902"/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VLOOKUP(VLOOKUP(DATEVALUE(TEXT(A2764,"m/d/yyyy")),FY24_Temp[],5,FALSE)&amp;TEXT(A2764,"-h"),Table6[],4,FALSE)</f>
        <v>0.80228570532815979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VLOOKUP(TEXT(A2764,"yy-mm")&amp;"-"&amp;IF(AND(WEEKDAY(A2764)&gt;1,WEEKDAY(A2764)&lt;7),"Wkd",TEXT(A2764,"Ddd"))&amp;"-"&amp;TEXT(A2764,"hh"),LoadTable[],5,FALSE)*0.92</f>
        <v>180.62544</v>
      </c>
      <c r="U2764" s="104">
        <f>VLOOKUP(TEXT(A2764,"yy-mm")&amp;"-"&amp;IF(AND(WEEKDAY(A2764)&gt;1,WEEKDAY(A2764)&lt;7),"Wkd",TEXT(A2764,"Ddd"))&amp;"-"&amp;TEXT(A2764,"hh"),LoadTable[],6,FALSE)*T2764</f>
        <v>8124.71291664</v>
      </c>
      <c r="V2764">
        <f t="shared" ref="V2764:W2764" si="2952">V2740</f>
        <v>2.6</v>
      </c>
      <c r="W2764">
        <f t="shared" si="2952"/>
        <v>3.2</v>
      </c>
      <c r="X2764" s="9">
        <v>-154.23219441667399</v>
      </c>
    </row>
    <row r="2765" spans="1:24">
      <c r="A2765" s="29">
        <f t="shared" si="2944"/>
        <v>45951.083333326635</v>
      </c>
      <c r="B2765" s="30">
        <f t="shared" si="2899"/>
        <v>5000</v>
      </c>
      <c r="C2765" s="8">
        <v>25000</v>
      </c>
      <c r="D2765" s="8">
        <v>0</v>
      </c>
      <c r="E2765" s="8">
        <v>700</v>
      </c>
      <c r="F2765" s="8">
        <v>15000</v>
      </c>
      <c r="G2765" s="30">
        <f t="shared" si="2900"/>
        <v>2400</v>
      </c>
      <c r="H2765" s="8">
        <v>25000</v>
      </c>
      <c r="I2765" s="30">
        <f t="shared" si="2901"/>
        <v>5000</v>
      </c>
      <c r="J2765" s="8">
        <v>25000</v>
      </c>
      <c r="K2765" s="30">
        <f t="shared" si="2902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VLOOKUP(VLOOKUP(DATEVALUE(TEXT(A2765,"m/d/yyyy")),FY24_Temp[],5,FALSE)&amp;TEXT(A2765,"-h"),Table6[],4,FALSE)</f>
        <v>0.82585714335577387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VLOOKUP(TEXT(A2765,"yy-mm")&amp;"-"&amp;IF(AND(WEEKDAY(A2765)&gt;1,WEEKDAY(A2765)&lt;7),"Wkd",TEXT(A2765,"Ddd"))&amp;"-"&amp;TEXT(A2765,"hh"),LoadTable[],5,FALSE)*0.92</f>
        <v>180.62544</v>
      </c>
      <c r="U2765" s="104">
        <f>VLOOKUP(TEXT(A2765,"yy-mm")&amp;"-"&amp;IF(AND(WEEKDAY(A2765)&gt;1,WEEKDAY(A2765)&lt;7),"Wkd",TEXT(A2765,"Ddd"))&amp;"-"&amp;TEXT(A2765,"hh"),LoadTable[],6,FALSE)*T2765</f>
        <v>8120.1972806400008</v>
      </c>
      <c r="V2765">
        <f t="shared" ref="V2765:W2765" si="2953">V2741</f>
        <v>2.8</v>
      </c>
      <c r="W2765">
        <f t="shared" si="2953"/>
        <v>3.2</v>
      </c>
      <c r="X2765" s="9">
        <v>-154.30998896667401</v>
      </c>
    </row>
    <row r="2766" spans="1:24">
      <c r="A2766" s="29">
        <f t="shared" si="2944"/>
        <v>45951.124999993299</v>
      </c>
      <c r="B2766" s="30">
        <f t="shared" si="2899"/>
        <v>5000</v>
      </c>
      <c r="C2766" s="8">
        <v>25000</v>
      </c>
      <c r="D2766" s="8">
        <v>0</v>
      </c>
      <c r="E2766" s="8">
        <v>700</v>
      </c>
      <c r="F2766" s="8">
        <v>15000</v>
      </c>
      <c r="G2766" s="30">
        <f t="shared" si="2900"/>
        <v>2400</v>
      </c>
      <c r="H2766" s="8">
        <v>25000</v>
      </c>
      <c r="I2766" s="30">
        <f t="shared" si="2901"/>
        <v>5000</v>
      </c>
      <c r="J2766" s="8">
        <v>25000</v>
      </c>
      <c r="K2766" s="30">
        <f t="shared" si="2902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VLOOKUP(VLOOKUP(DATEVALUE(TEXT(A2766,"m/d/yyyy")),FY24_Temp[],5,FALSE)&amp;TEXT(A2766,"-h"),Table6[],4,FALSE)</f>
        <v>0.77514286660566056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VLOOKUP(TEXT(A2766,"yy-mm")&amp;"-"&amp;IF(AND(WEEKDAY(A2766)&gt;1,WEEKDAY(A2766)&lt;7),"Wkd",TEXT(A2766,"Ddd"))&amp;"-"&amp;TEXT(A2766,"hh"),LoadTable[],5,FALSE)*0.92</f>
        <v>180.62544</v>
      </c>
      <c r="U2766" s="104">
        <f>VLOOKUP(TEXT(A2766,"yy-mm")&amp;"-"&amp;IF(AND(WEEKDAY(A2766)&gt;1,WEEKDAY(A2766)&lt;7),"Wkd",TEXT(A2766,"Ddd"))&amp;"-"&amp;TEXT(A2766,"hh"),LoadTable[],6,FALSE)*T2766</f>
        <v>8141.3304571199997</v>
      </c>
      <c r="V2766">
        <f t="shared" ref="V2766:W2766" si="2954">V2742</f>
        <v>2.7</v>
      </c>
      <c r="W2766">
        <f t="shared" si="2954"/>
        <v>3.2</v>
      </c>
      <c r="X2766" s="9">
        <v>-154.38778351667401</v>
      </c>
    </row>
    <row r="2767" spans="1:24">
      <c r="A2767" s="29">
        <f t="shared" si="2944"/>
        <v>45951.166666659963</v>
      </c>
      <c r="B2767" s="30">
        <f t="shared" si="2899"/>
        <v>5000</v>
      </c>
      <c r="C2767" s="8">
        <v>25000</v>
      </c>
      <c r="D2767" s="8">
        <v>0</v>
      </c>
      <c r="E2767" s="8">
        <v>700</v>
      </c>
      <c r="F2767" s="8">
        <v>15000</v>
      </c>
      <c r="G2767" s="30">
        <f t="shared" si="2900"/>
        <v>2400</v>
      </c>
      <c r="H2767" s="8">
        <v>25000</v>
      </c>
      <c r="I2767" s="30">
        <f t="shared" si="2901"/>
        <v>5000</v>
      </c>
      <c r="J2767" s="8">
        <v>25000</v>
      </c>
      <c r="K2767" s="30">
        <f t="shared" si="2902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VLOOKUP(VLOOKUP(DATEVALUE(TEXT(A2767,"m/d/yyyy")),FY24_Temp[],5,FALSE)&amp;TEXT(A2767,"-h"),Table6[],4,FALSE)</f>
        <v>0.71685714598402617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VLOOKUP(TEXT(A2767,"yy-mm")&amp;"-"&amp;IF(AND(WEEKDAY(A2767)&gt;1,WEEKDAY(A2767)&lt;7),"Wkd",TEXT(A2767,"Ddd"))&amp;"-"&amp;TEXT(A2767,"hh"),LoadTable[],5,FALSE)*0.92</f>
        <v>180.62544</v>
      </c>
      <c r="U2767" s="104">
        <f>VLOOKUP(TEXT(A2767,"yy-mm")&amp;"-"&amp;IF(AND(WEEKDAY(A2767)&gt;1,WEEKDAY(A2767)&lt;7),"Wkd",TEXT(A2767,"Ddd"))&amp;"-"&amp;TEXT(A2767,"hh"),LoadTable[],6,FALSE)*T2767</f>
        <v>8184.86118816</v>
      </c>
      <c r="V2767">
        <f t="shared" ref="V2767:W2767" si="2955">V2743</f>
        <v>3</v>
      </c>
      <c r="W2767">
        <f t="shared" si="2955"/>
        <v>3.1</v>
      </c>
      <c r="X2767" s="9">
        <v>-154.465578066674</v>
      </c>
    </row>
    <row r="2768" spans="1:24">
      <c r="A2768" s="29">
        <f t="shared" si="2944"/>
        <v>45951.208333326627</v>
      </c>
      <c r="B2768" s="30">
        <f t="shared" si="2899"/>
        <v>5000</v>
      </c>
      <c r="C2768" s="8">
        <v>25000</v>
      </c>
      <c r="D2768" s="8">
        <v>0</v>
      </c>
      <c r="E2768" s="8">
        <v>700</v>
      </c>
      <c r="F2768" s="8">
        <v>15000</v>
      </c>
      <c r="G2768" s="30">
        <f t="shared" si="2900"/>
        <v>2400</v>
      </c>
      <c r="H2768" s="8">
        <v>25000</v>
      </c>
      <c r="I2768" s="30">
        <f t="shared" si="2901"/>
        <v>5000</v>
      </c>
      <c r="J2768" s="8">
        <v>25000</v>
      </c>
      <c r="K2768" s="30">
        <f t="shared" si="2902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VLOOKUP(VLOOKUP(DATEVALUE(TEXT(A2768,"m/d/yyyy")),FY24_Temp[],5,FALSE)&amp;TEXT(A2768,"-h"),Table6[],4,FALSE)</f>
        <v>0.68157143264069042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VLOOKUP(TEXT(A2768,"yy-mm")&amp;"-"&amp;IF(AND(WEEKDAY(A2768)&gt;1,WEEKDAY(A2768)&lt;7),"Wkd",TEXT(A2768,"Ddd"))&amp;"-"&amp;TEXT(A2768,"hh"),LoadTable[],5,FALSE)*0.92</f>
        <v>275.09195999999997</v>
      </c>
      <c r="U2768" s="104">
        <f>VLOOKUP(TEXT(A2768,"yy-mm")&amp;"-"&amp;IF(AND(WEEKDAY(A2768)&gt;1,WEEKDAY(A2768)&lt;7),"Wkd",TEXT(A2768,"Ddd"))&amp;"-"&amp;TEXT(A2768,"hh"),LoadTable[],6,FALSE)*T2768</f>
        <v>12729.880448999998</v>
      </c>
      <c r="V2768">
        <f t="shared" ref="V2768:W2768" si="2956">V2744</f>
        <v>2.9</v>
      </c>
      <c r="W2768">
        <f t="shared" si="2956"/>
        <v>3.1</v>
      </c>
      <c r="X2768" s="9">
        <v>-154.54337261667399</v>
      </c>
    </row>
    <row r="2769" spans="1:24">
      <c r="A2769" s="29">
        <f t="shared" si="2944"/>
        <v>45951.249999993292</v>
      </c>
      <c r="B2769" s="30">
        <f t="shared" si="2899"/>
        <v>8000</v>
      </c>
      <c r="C2769" s="8">
        <v>25000</v>
      </c>
      <c r="D2769" s="8">
        <v>0</v>
      </c>
      <c r="E2769" s="8">
        <v>700</v>
      </c>
      <c r="F2769" s="8">
        <v>15000</v>
      </c>
      <c r="G2769" s="30">
        <f t="shared" si="2900"/>
        <v>2400</v>
      </c>
      <c r="H2769" s="8">
        <v>25000</v>
      </c>
      <c r="I2769" s="30">
        <f t="shared" si="2901"/>
        <v>8000</v>
      </c>
      <c r="J2769" s="8">
        <v>25000</v>
      </c>
      <c r="K2769" s="30">
        <f t="shared" si="2902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VLOOKUP(VLOOKUP(DATEVALUE(TEXT(A2769,"m/d/yyyy")),FY24_Temp[],5,FALSE)&amp;TEXT(A2769,"-h"),Table6[],4,FALSE)</f>
        <v>0.5494285853817924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VLOOKUP(TEXT(A2769,"yy-mm")&amp;"-"&amp;IF(AND(WEEKDAY(A2769)&gt;1,WEEKDAY(A2769)&lt;7),"Wkd",TEXT(A2769,"Ddd"))&amp;"-"&amp;TEXT(A2769,"hh"),LoadTable[],5,FALSE)*0.92</f>
        <v>275.09195999999997</v>
      </c>
      <c r="U2769" s="104">
        <f>VLOOKUP(TEXT(A2769,"yy-mm")&amp;"-"&amp;IF(AND(WEEKDAY(A2769)&gt;1,WEEKDAY(A2769)&lt;7),"Wkd",TEXT(A2769,"Ddd"))&amp;"-"&amp;TEXT(A2769,"hh"),LoadTable[],6,FALSE)*T2769</f>
        <v>13284.465840359997</v>
      </c>
      <c r="V2769">
        <f t="shared" ref="V2769:W2769" si="2957">V2745</f>
        <v>2.5</v>
      </c>
      <c r="W2769">
        <f t="shared" si="2957"/>
        <v>3.1</v>
      </c>
      <c r="X2769" s="9">
        <v>-154.62116716667401</v>
      </c>
    </row>
    <row r="2770" spans="1:24">
      <c r="A2770" s="29">
        <f t="shared" si="2944"/>
        <v>45951.291666659956</v>
      </c>
      <c r="B2770" s="30">
        <f t="shared" si="2899"/>
        <v>8000</v>
      </c>
      <c r="C2770" s="8">
        <v>25000</v>
      </c>
      <c r="D2770" s="8">
        <v>0</v>
      </c>
      <c r="E2770" s="8">
        <v>700</v>
      </c>
      <c r="F2770" s="8">
        <v>15000</v>
      </c>
      <c r="G2770" s="30">
        <f t="shared" si="2900"/>
        <v>2400</v>
      </c>
      <c r="H2770" s="8">
        <v>25000</v>
      </c>
      <c r="I2770" s="30">
        <f t="shared" si="2901"/>
        <v>8000</v>
      </c>
      <c r="J2770" s="8">
        <v>25000</v>
      </c>
      <c r="K2770" s="30">
        <f t="shared" si="2902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VLOOKUP(VLOOKUP(DATEVALUE(TEXT(A2770,"m/d/yyyy")),FY24_Temp[],5,FALSE)&amp;TEXT(A2770,"-h"),Table6[],4,FALSE)</f>
        <v>0.44057143108991348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VLOOKUP(TEXT(A2770,"yy-mm")&amp;"-"&amp;IF(AND(WEEKDAY(A2770)&gt;1,WEEKDAY(A2770)&lt;7),"Wkd",TEXT(A2770,"Ddd"))&amp;"-"&amp;TEXT(A2770,"hh"),LoadTable[],5,FALSE)*0.92</f>
        <v>236.10788000000002</v>
      </c>
      <c r="U2770" s="104">
        <f>VLOOKUP(TEXT(A2770,"yy-mm")&amp;"-"&amp;IF(AND(WEEKDAY(A2770)&gt;1,WEEKDAY(A2770)&lt;7),"Wkd",TEXT(A2770,"Ddd"))&amp;"-"&amp;TEXT(A2770,"hh"),LoadTable[],6,FALSE)*T2770</f>
        <v>11438.48235448</v>
      </c>
      <c r="V2770">
        <f t="shared" ref="V2770:W2770" si="2958">V2746</f>
        <v>2.5</v>
      </c>
      <c r="W2770">
        <f t="shared" si="2958"/>
        <v>3.1</v>
      </c>
      <c r="X2770" s="9">
        <v>-154.69896171667401</v>
      </c>
    </row>
    <row r="2771" spans="1:24">
      <c r="A2771" s="29">
        <f t="shared" si="2944"/>
        <v>45951.33333332662</v>
      </c>
      <c r="B2771" s="30">
        <f t="shared" si="2899"/>
        <v>8000</v>
      </c>
      <c r="C2771" s="8">
        <v>25000</v>
      </c>
      <c r="D2771" s="8">
        <v>0</v>
      </c>
      <c r="E2771" s="8">
        <v>700</v>
      </c>
      <c r="F2771" s="8">
        <v>15000</v>
      </c>
      <c r="G2771" s="30">
        <f t="shared" si="2900"/>
        <v>2400</v>
      </c>
      <c r="H2771" s="8">
        <v>25000</v>
      </c>
      <c r="I2771" s="30">
        <f t="shared" si="2901"/>
        <v>8000</v>
      </c>
      <c r="J2771" s="8">
        <v>25000</v>
      </c>
      <c r="K2771" s="30">
        <f t="shared" si="2902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VLOOKUP(VLOOKUP(DATEVALUE(TEXT(A2771,"m/d/yyyy")),FY24_Temp[],5,FALSE)&amp;TEXT(A2771,"-h"),Table6[],4,FALSE)</f>
        <v>0.35985714461501639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VLOOKUP(TEXT(A2771,"yy-mm")&amp;"-"&amp;IF(AND(WEEKDAY(A2771)&gt;1,WEEKDAY(A2771)&lt;7),"Wkd",TEXT(A2771,"Ddd"))&amp;"-"&amp;TEXT(A2771,"hh"),LoadTable[],5,FALSE)*0.92</f>
        <v>236.10788000000002</v>
      </c>
      <c r="U2771" s="104">
        <f>VLOOKUP(TEXT(A2771,"yy-mm")&amp;"-"&amp;IF(AND(WEEKDAY(A2771)&gt;1,WEEKDAY(A2771)&lt;7),"Wkd",TEXT(A2771,"Ddd"))&amp;"-"&amp;TEXT(A2771,"hh"),LoadTable[],6,FALSE)*T2771</f>
        <v>10919.281126360002</v>
      </c>
      <c r="V2771">
        <f t="shared" ref="V2771:W2771" si="2959">V2747</f>
        <v>3.2</v>
      </c>
      <c r="W2771">
        <f t="shared" si="2959"/>
        <v>3</v>
      </c>
      <c r="X2771" s="9">
        <v>-154.776756266674</v>
      </c>
    </row>
    <row r="2772" spans="1:24">
      <c r="A2772" s="29">
        <f t="shared" si="2944"/>
        <v>45951.374999993284</v>
      </c>
      <c r="B2772" s="30">
        <f t="shared" si="2899"/>
        <v>8000</v>
      </c>
      <c r="C2772" s="8">
        <v>25000</v>
      </c>
      <c r="D2772" s="8">
        <v>0</v>
      </c>
      <c r="E2772" s="8">
        <v>700</v>
      </c>
      <c r="F2772" s="8">
        <v>15000</v>
      </c>
      <c r="G2772" s="30">
        <f t="shared" si="2900"/>
        <v>2400</v>
      </c>
      <c r="H2772" s="8">
        <v>25000</v>
      </c>
      <c r="I2772" s="30">
        <f t="shared" si="2901"/>
        <v>8000</v>
      </c>
      <c r="J2772" s="8">
        <v>25000</v>
      </c>
      <c r="K2772" s="30">
        <f t="shared" si="2902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VLOOKUP(VLOOKUP(DATEVALUE(TEXT(A2772,"m/d/yyyy")),FY24_Temp[],5,FALSE)&amp;TEXT(A2772,"-h"),Table6[],4,FALSE)</f>
        <v>0.28685713816253877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VLOOKUP(TEXT(A2772,"yy-mm")&amp;"-"&amp;IF(AND(WEEKDAY(A2772)&gt;1,WEEKDAY(A2772)&lt;7),"Wkd",TEXT(A2772,"Ddd"))&amp;"-"&amp;TEXT(A2772,"hh"),LoadTable[],5,FALSE)*0.92</f>
        <v>236.10788000000002</v>
      </c>
      <c r="U2772" s="104">
        <f>VLOOKUP(TEXT(A2772,"yy-mm")&amp;"-"&amp;IF(AND(WEEKDAY(A2772)&gt;1,WEEKDAY(A2772)&lt;7),"Wkd",TEXT(A2772,"Ddd"))&amp;"-"&amp;TEXT(A2772,"hh"),LoadTable[],6,FALSE)*T2772</f>
        <v>10592.271712560001</v>
      </c>
      <c r="V2772">
        <f t="shared" ref="V2772:W2772" si="2960">V2748</f>
        <v>2.9</v>
      </c>
      <c r="W2772">
        <f t="shared" si="2960"/>
        <v>3</v>
      </c>
      <c r="X2772" s="9">
        <v>-154.85455081667399</v>
      </c>
    </row>
    <row r="2773" spans="1:24">
      <c r="A2773" s="29">
        <f t="shared" si="2944"/>
        <v>45951.416666659949</v>
      </c>
      <c r="B2773" s="30">
        <f t="shared" si="2899"/>
        <v>8000</v>
      </c>
      <c r="C2773" s="8">
        <v>25000</v>
      </c>
      <c r="D2773" s="8">
        <v>0</v>
      </c>
      <c r="E2773" s="8">
        <v>700</v>
      </c>
      <c r="F2773" s="8">
        <v>15000</v>
      </c>
      <c r="G2773" s="30">
        <f t="shared" si="2900"/>
        <v>2400</v>
      </c>
      <c r="H2773" s="8">
        <v>25000</v>
      </c>
      <c r="I2773" s="30">
        <f t="shared" si="2901"/>
        <v>8000</v>
      </c>
      <c r="J2773" s="8">
        <v>25000</v>
      </c>
      <c r="K2773" s="30">
        <f t="shared" si="2902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VLOOKUP(VLOOKUP(DATEVALUE(TEXT(A2773,"m/d/yyyy")),FY24_Temp[],5,FALSE)&amp;TEXT(A2773,"-h"),Table6[],4,FALSE)</f>
        <v>0.21185714012194715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VLOOKUP(TEXT(A2773,"yy-mm")&amp;"-"&amp;IF(AND(WEEKDAY(A2773)&gt;1,WEEKDAY(A2773)&lt;7),"Wkd",TEXT(A2773,"Ddd"))&amp;"-"&amp;TEXT(A2773,"hh"),LoadTable[],5,FALSE)*0.92</f>
        <v>236.10788000000002</v>
      </c>
      <c r="U2773" s="104">
        <f>VLOOKUP(TEXT(A2773,"yy-mm")&amp;"-"&amp;IF(AND(WEEKDAY(A2773)&gt;1,WEEKDAY(A2773)&lt;7),"Wkd",TEXT(A2773,"Ddd"))&amp;"-"&amp;TEXT(A2773,"hh"),LoadTable[],6,FALSE)*T2773</f>
        <v>10565.591522120001</v>
      </c>
      <c r="V2773">
        <f t="shared" ref="V2773:W2773" si="2961">V2749</f>
        <v>2.9</v>
      </c>
      <c r="W2773">
        <f t="shared" si="2961"/>
        <v>3</v>
      </c>
      <c r="X2773" s="9">
        <v>-154.93234536667401</v>
      </c>
    </row>
    <row r="2774" spans="1:24">
      <c r="A2774" s="29">
        <f t="shared" si="2944"/>
        <v>45951.458333326613</v>
      </c>
      <c r="B2774" s="30">
        <f t="shared" si="2899"/>
        <v>8000</v>
      </c>
      <c r="C2774" s="8">
        <v>25000</v>
      </c>
      <c r="D2774" s="8">
        <v>0</v>
      </c>
      <c r="E2774" s="8">
        <v>700</v>
      </c>
      <c r="F2774" s="8">
        <v>15000</v>
      </c>
      <c r="G2774" s="30">
        <f t="shared" si="2900"/>
        <v>2400</v>
      </c>
      <c r="H2774" s="8">
        <v>25000</v>
      </c>
      <c r="I2774" s="30">
        <f t="shared" si="2901"/>
        <v>8000</v>
      </c>
      <c r="J2774" s="8">
        <v>25000</v>
      </c>
      <c r="K2774" s="30">
        <f t="shared" si="2902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VLOOKUP(VLOOKUP(DATEVALUE(TEXT(A2774,"m/d/yyyy")),FY24_Temp[],5,FALSE)&amp;TEXT(A2774,"-h"),Table6[],4,FALSE)</f>
        <v>0.132285714167475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VLOOKUP(TEXT(A2774,"yy-mm")&amp;"-"&amp;IF(AND(WEEKDAY(A2774)&gt;1,WEEKDAY(A2774)&lt;7),"Wkd",TEXT(A2774,"Ddd"))&amp;"-"&amp;TEXT(A2774,"hh"),LoadTable[],5,FALSE)*0.92</f>
        <v>236.10788000000002</v>
      </c>
      <c r="U2774" s="104">
        <f>VLOOKUP(TEXT(A2774,"yy-mm")&amp;"-"&amp;IF(AND(WEEKDAY(A2774)&gt;1,WEEKDAY(A2774)&lt;7),"Wkd",TEXT(A2774,"Ddd"))&amp;"-"&amp;TEXT(A2774,"hh"),LoadTable[],6,FALSE)*T2774</f>
        <v>10548.355646880002</v>
      </c>
      <c r="V2774">
        <f t="shared" ref="V2774:W2774" si="2962">V2750</f>
        <v>3.4</v>
      </c>
      <c r="W2774">
        <f t="shared" si="2962"/>
        <v>3</v>
      </c>
      <c r="X2774" s="9">
        <v>-155.01013991667401</v>
      </c>
    </row>
    <row r="2775" spans="1:24">
      <c r="A2775" s="29">
        <f t="shared" si="2944"/>
        <v>45951.499999993277</v>
      </c>
      <c r="B2775" s="30">
        <f t="shared" si="2899"/>
        <v>8000</v>
      </c>
      <c r="C2775" s="8">
        <v>25000</v>
      </c>
      <c r="D2775" s="8">
        <v>0</v>
      </c>
      <c r="E2775" s="8">
        <v>700</v>
      </c>
      <c r="F2775" s="8">
        <v>15000</v>
      </c>
      <c r="G2775" s="30">
        <f t="shared" si="2900"/>
        <v>2400</v>
      </c>
      <c r="H2775" s="8">
        <v>25000</v>
      </c>
      <c r="I2775" s="30">
        <f t="shared" si="2901"/>
        <v>8000</v>
      </c>
      <c r="J2775" s="8">
        <v>25000</v>
      </c>
      <c r="K2775" s="30">
        <f t="shared" si="2902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VLOOKUP(VLOOKUP(DATEVALUE(TEXT(A2775,"m/d/yyyy")),FY24_Temp[],5,FALSE)&amp;TEXT(A2775,"-h"),Table6[],4,FALSE)</f>
        <v>5.5857142192049847E-2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VLOOKUP(TEXT(A2775,"yy-mm")&amp;"-"&amp;IF(AND(WEEKDAY(A2775)&gt;1,WEEKDAY(A2775)&lt;7),"Wkd",TEXT(A2775,"Ddd"))&amp;"-"&amp;TEXT(A2775,"hh"),LoadTable[],5,FALSE)*0.92</f>
        <v>236.10788000000002</v>
      </c>
      <c r="U2775" s="104">
        <f>VLOOKUP(TEXT(A2775,"yy-mm")&amp;"-"&amp;IF(AND(WEEKDAY(A2775)&gt;1,WEEKDAY(A2775)&lt;7),"Wkd",TEXT(A2775,"Ddd"))&amp;"-"&amp;TEXT(A2775,"hh"),LoadTable[],6,FALSE)*T2775</f>
        <v>10540.327978960002</v>
      </c>
      <c r="V2775">
        <f t="shared" ref="V2775:W2775" si="2963">V2751</f>
        <v>3.1</v>
      </c>
      <c r="W2775">
        <f t="shared" si="2963"/>
        <v>2.9</v>
      </c>
      <c r="X2775" s="9">
        <v>-155.087934466674</v>
      </c>
    </row>
    <row r="2776" spans="1:24">
      <c r="A2776" s="29">
        <f t="shared" si="2944"/>
        <v>45951.541666659941</v>
      </c>
      <c r="B2776" s="30">
        <f t="shared" si="2899"/>
        <v>8000</v>
      </c>
      <c r="C2776" s="8">
        <v>25000</v>
      </c>
      <c r="D2776" s="8">
        <v>0</v>
      </c>
      <c r="E2776" s="8">
        <v>700</v>
      </c>
      <c r="F2776" s="8">
        <v>15000</v>
      </c>
      <c r="G2776" s="30">
        <f t="shared" si="2900"/>
        <v>2400</v>
      </c>
      <c r="H2776" s="8">
        <v>25000</v>
      </c>
      <c r="I2776" s="30">
        <f t="shared" si="2901"/>
        <v>8000</v>
      </c>
      <c r="J2776" s="8">
        <v>25000</v>
      </c>
      <c r="K2776" s="30">
        <f t="shared" si="2902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VLOOKUP(VLOOKUP(DATEVALUE(TEXT(A2776,"m/d/yyyy")),FY24_Temp[],5,FALSE)&amp;TEXT(A2776,"-h"),Table6[],4,FALSE)</f>
        <v>-3.7142866273079272E-3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VLOOKUP(TEXT(A2776,"yy-mm")&amp;"-"&amp;IF(AND(WEEKDAY(A2776)&gt;1,WEEKDAY(A2776)&lt;7),"Wkd",TEXT(A2776,"Ddd"))&amp;"-"&amp;TEXT(A2776,"hh"),LoadTable[],5,FALSE)*0.92</f>
        <v>236.10788000000002</v>
      </c>
      <c r="U2776" s="104">
        <f>VLOOKUP(TEXT(A2776,"yy-mm")&amp;"-"&amp;IF(AND(WEEKDAY(A2776)&gt;1,WEEKDAY(A2776)&lt;7),"Wkd",TEXT(A2776,"Ddd"))&amp;"-"&amp;TEXT(A2776,"hh"),LoadTable[],6,FALSE)*T2776</f>
        <v>10541.50851836</v>
      </c>
      <c r="V2776">
        <f t="shared" ref="V2776:W2776" si="2964">V2752</f>
        <v>3.2</v>
      </c>
      <c r="W2776">
        <f t="shared" si="2964"/>
        <v>2.9</v>
      </c>
      <c r="X2776" s="9">
        <v>-155.16572901667399</v>
      </c>
    </row>
    <row r="2777" spans="1:24">
      <c r="A2777" s="29">
        <f t="shared" si="2944"/>
        <v>45951.583333326605</v>
      </c>
      <c r="B2777" s="30">
        <f t="shared" si="2899"/>
        <v>8000</v>
      </c>
      <c r="C2777" s="8">
        <v>25000</v>
      </c>
      <c r="D2777" s="8">
        <v>0</v>
      </c>
      <c r="E2777" s="8">
        <v>700</v>
      </c>
      <c r="F2777" s="8">
        <v>15000</v>
      </c>
      <c r="G2777" s="30">
        <f t="shared" si="2900"/>
        <v>2400</v>
      </c>
      <c r="H2777" s="8">
        <v>25000</v>
      </c>
      <c r="I2777" s="30">
        <f t="shared" si="2901"/>
        <v>8000</v>
      </c>
      <c r="J2777" s="8">
        <v>25000</v>
      </c>
      <c r="K2777" s="30">
        <f t="shared" si="2902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VLOOKUP(VLOOKUP(DATEVALUE(TEXT(A2777,"m/d/yyyy")),FY24_Temp[],5,FALSE)&amp;TEXT(A2777,"-h"),Table6[],4,FALSE)</f>
        <v>2.4285705435232452E-3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VLOOKUP(TEXT(A2777,"yy-mm")&amp;"-"&amp;IF(AND(WEEKDAY(A2777)&gt;1,WEEKDAY(A2777)&lt;7),"Wkd",TEXT(A2777,"Ddd"))&amp;"-"&amp;TEXT(A2777,"hh"),LoadTable[],5,FALSE)*0.92</f>
        <v>236.10788000000002</v>
      </c>
      <c r="U2777" s="104">
        <f>VLOOKUP(TEXT(A2777,"yy-mm")&amp;"-"&amp;IF(AND(WEEKDAY(A2777)&gt;1,WEEKDAY(A2777)&lt;7),"Wkd",TEXT(A2777,"Ddd"))&amp;"-"&amp;TEXT(A2777,"hh"),LoadTable[],6,FALSE)*T2777</f>
        <v>10551.188941440001</v>
      </c>
      <c r="V2777">
        <f t="shared" ref="V2777:W2777" si="2965">V2753</f>
        <v>3.5</v>
      </c>
      <c r="W2777">
        <f t="shared" si="2965"/>
        <v>2.9</v>
      </c>
      <c r="X2777" s="9">
        <v>-155.24352356667401</v>
      </c>
    </row>
    <row r="2778" spans="1:24">
      <c r="A2778" s="29">
        <f t="shared" si="2944"/>
        <v>45951.62499999327</v>
      </c>
      <c r="B2778" s="30">
        <f t="shared" si="2899"/>
        <v>8000</v>
      </c>
      <c r="C2778" s="8">
        <v>25000</v>
      </c>
      <c r="D2778" s="8">
        <v>0</v>
      </c>
      <c r="E2778" s="8">
        <v>700</v>
      </c>
      <c r="F2778" s="8">
        <v>15000</v>
      </c>
      <c r="G2778" s="30">
        <f t="shared" si="2900"/>
        <v>2400</v>
      </c>
      <c r="H2778" s="8">
        <v>25000</v>
      </c>
      <c r="I2778" s="30">
        <f t="shared" si="2901"/>
        <v>8000</v>
      </c>
      <c r="J2778" s="8">
        <v>25000</v>
      </c>
      <c r="K2778" s="30">
        <f t="shared" si="2902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VLOOKUP(VLOOKUP(DATEVALUE(TEXT(A2778,"m/d/yyyy")),FY24_Temp[],5,FALSE)&amp;TEXT(A2778,"-h"),Table6[],4,FALSE)</f>
        <v>0.13285714206451429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VLOOKUP(TEXT(A2778,"yy-mm")&amp;"-"&amp;IF(AND(WEEKDAY(A2778)&gt;1,WEEKDAY(A2778)&lt;7),"Wkd",TEXT(A2778,"Ddd"))&amp;"-"&amp;TEXT(A2778,"hh"),LoadTable[],5,FALSE)*0.92</f>
        <v>236.10788000000002</v>
      </c>
      <c r="U2778" s="104">
        <f>VLOOKUP(TEXT(A2778,"yy-mm")&amp;"-"&amp;IF(AND(WEEKDAY(A2778)&gt;1,WEEKDAY(A2778)&lt;7),"Wkd",TEXT(A2778,"Ddd"))&amp;"-"&amp;TEXT(A2778,"hh"),LoadTable[],6,FALSE)*T2778</f>
        <v>10572.202542760002</v>
      </c>
      <c r="V2778">
        <f t="shared" ref="V2778:W2778" si="2966">V2754</f>
        <v>3.2</v>
      </c>
      <c r="W2778">
        <f t="shared" si="2966"/>
        <v>2.9</v>
      </c>
      <c r="X2778" s="9">
        <v>-155.32131811667401</v>
      </c>
    </row>
    <row r="2779" spans="1:24">
      <c r="A2779" s="29">
        <f t="shared" si="2944"/>
        <v>45951.666666659934</v>
      </c>
      <c r="B2779" s="30">
        <f t="shared" si="2899"/>
        <v>8000</v>
      </c>
      <c r="C2779" s="8">
        <v>25000</v>
      </c>
      <c r="D2779" s="8">
        <v>0</v>
      </c>
      <c r="E2779" s="8">
        <v>700</v>
      </c>
      <c r="F2779" s="8">
        <v>15000</v>
      </c>
      <c r="G2779" s="30">
        <f t="shared" si="2900"/>
        <v>2400</v>
      </c>
      <c r="H2779" s="8">
        <v>25000</v>
      </c>
      <c r="I2779" s="30">
        <f t="shared" si="2901"/>
        <v>8000</v>
      </c>
      <c r="J2779" s="8">
        <v>25000</v>
      </c>
      <c r="K2779" s="30">
        <f t="shared" si="2902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VLOOKUP(VLOOKUP(DATEVALUE(TEXT(A2779,"m/d/yyyy")),FY24_Temp[],5,FALSE)&amp;TEXT(A2779,"-h"),Table6[],4,FALSE)</f>
        <v>0.3728571448816746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VLOOKUP(TEXT(A2779,"yy-mm")&amp;"-"&amp;IF(AND(WEEKDAY(A2779)&gt;1,WEEKDAY(A2779)&lt;7),"Wkd",TEXT(A2779,"Ddd"))&amp;"-"&amp;TEXT(A2779,"hh"),LoadTable[],5,FALSE)*0.92</f>
        <v>236.10788000000002</v>
      </c>
      <c r="U2779" s="104">
        <f>VLOOKUP(TEXT(A2779,"yy-mm")&amp;"-"&amp;IF(AND(WEEKDAY(A2779)&gt;1,WEEKDAY(A2779)&lt;7),"Wkd",TEXT(A2779,"Ddd"))&amp;"-"&amp;TEXT(A2779,"hh"),LoadTable[],6,FALSE)*T2779</f>
        <v>10648.93760376</v>
      </c>
      <c r="V2779">
        <f t="shared" ref="V2779:W2779" si="2967">V2755</f>
        <v>3.5</v>
      </c>
      <c r="W2779">
        <f t="shared" si="2967"/>
        <v>3</v>
      </c>
      <c r="X2779" s="9">
        <v>-155.399112666674</v>
      </c>
    </row>
    <row r="2780" spans="1:24">
      <c r="A2780" s="29">
        <f t="shared" si="2944"/>
        <v>45951.708333326598</v>
      </c>
      <c r="B2780" s="30">
        <f t="shared" ref="B2780:B2843" si="2968">B2756</f>
        <v>8000</v>
      </c>
      <c r="C2780" s="8">
        <v>25000</v>
      </c>
      <c r="D2780" s="8">
        <v>0</v>
      </c>
      <c r="E2780" s="8">
        <v>700</v>
      </c>
      <c r="F2780" s="8">
        <v>15000</v>
      </c>
      <c r="G2780" s="30">
        <f t="shared" ref="G2780:G2843" si="2969">G2756</f>
        <v>2400</v>
      </c>
      <c r="H2780" s="8">
        <v>25000</v>
      </c>
      <c r="I2780" s="30">
        <f t="shared" ref="I2780:I2843" si="2970">I2756</f>
        <v>8000</v>
      </c>
      <c r="J2780" s="8">
        <v>25000</v>
      </c>
      <c r="K2780" s="30">
        <f t="shared" ref="K2780:K2843" si="2971">K2756</f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VLOOKUP(VLOOKUP(DATEVALUE(TEXT(A2780,"m/d/yyyy")),FY24_Temp[],5,FALSE)&amp;TEXT(A2780,"-h"),Table6[],4,FALSE)</f>
        <v>0.63814285401985393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VLOOKUP(TEXT(A2780,"yy-mm")&amp;"-"&amp;IF(AND(WEEKDAY(A2780)&gt;1,WEEKDAY(A2780)&lt;7),"Wkd",TEXT(A2780,"Ddd"))&amp;"-"&amp;TEXT(A2780,"hh"),LoadTable[],5,FALSE)*0.92</f>
        <v>236.10788000000002</v>
      </c>
      <c r="U2780" s="104">
        <f>VLOOKUP(TEXT(A2780,"yy-mm")&amp;"-"&amp;IF(AND(WEEKDAY(A2780)&gt;1,WEEKDAY(A2780)&lt;7),"Wkd",TEXT(A2780,"Ddd"))&amp;"-"&amp;TEXT(A2780,"hh"),LoadTable[],6,FALSE)*T2780</f>
        <v>11157.513977280001</v>
      </c>
      <c r="V2780">
        <f t="shared" ref="V2780:W2780" si="2972">V2756</f>
        <v>3.6</v>
      </c>
      <c r="W2780">
        <f t="shared" si="2972"/>
        <v>3</v>
      </c>
      <c r="X2780" s="9">
        <v>-155.47690721667399</v>
      </c>
    </row>
    <row r="2781" spans="1:24">
      <c r="A2781" s="29">
        <f t="shared" si="2944"/>
        <v>45951.749999993262</v>
      </c>
      <c r="B2781" s="30">
        <f t="shared" si="2968"/>
        <v>5000</v>
      </c>
      <c r="C2781" s="8">
        <v>25000</v>
      </c>
      <c r="D2781" s="8">
        <v>0</v>
      </c>
      <c r="E2781" s="8">
        <v>700</v>
      </c>
      <c r="F2781" s="8">
        <v>15000</v>
      </c>
      <c r="G2781" s="30">
        <f t="shared" si="2969"/>
        <v>2400</v>
      </c>
      <c r="H2781" s="8">
        <v>25000</v>
      </c>
      <c r="I2781" s="30">
        <f t="shared" si="2970"/>
        <v>5000</v>
      </c>
      <c r="J2781" s="8">
        <v>25000</v>
      </c>
      <c r="K2781" s="30">
        <f t="shared" si="2971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VLOOKUP(VLOOKUP(DATEVALUE(TEXT(A2781,"m/d/yyyy")),FY24_Temp[],5,FALSE)&amp;TEXT(A2781,"-h"),Table6[],4,FALSE)</f>
        <v>0.73900000122615261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VLOOKUP(TEXT(A2781,"yy-mm")&amp;"-"&amp;IF(AND(WEEKDAY(A2781)&gt;1,WEEKDAY(A2781)&lt;7),"Wkd",TEXT(A2781,"Ddd"))&amp;"-"&amp;TEXT(A2781,"hh"),LoadTable[],5,FALSE)*0.92</f>
        <v>308.12363999999997</v>
      </c>
      <c r="U2781" s="104">
        <f>VLOOKUP(TEXT(A2781,"yy-mm")&amp;"-"&amp;IF(AND(WEEKDAY(A2781)&gt;1,WEEKDAY(A2781)&lt;7),"Wkd",TEXT(A2781,"Ddd"))&amp;"-"&amp;TEXT(A2781,"hh"),LoadTable[],6,FALSE)*T2781</f>
        <v>15139.963175039999</v>
      </c>
      <c r="V2781">
        <f t="shared" ref="V2781:W2781" si="2973">V2757</f>
        <v>2.9</v>
      </c>
      <c r="W2781">
        <f t="shared" si="2973"/>
        <v>3</v>
      </c>
      <c r="X2781" s="9">
        <v>-155.55470176667399</v>
      </c>
    </row>
    <row r="2782" spans="1:24">
      <c r="A2782" s="29">
        <f t="shared" si="2944"/>
        <v>45951.791666659927</v>
      </c>
      <c r="B2782" s="30">
        <f t="shared" si="2968"/>
        <v>5000</v>
      </c>
      <c r="C2782" s="8">
        <v>25000</v>
      </c>
      <c r="D2782" s="8">
        <v>0</v>
      </c>
      <c r="E2782" s="8">
        <v>700</v>
      </c>
      <c r="F2782" s="8">
        <v>15000</v>
      </c>
      <c r="G2782" s="30">
        <f t="shared" si="2969"/>
        <v>2400</v>
      </c>
      <c r="H2782" s="8">
        <v>25000</v>
      </c>
      <c r="I2782" s="30">
        <f t="shared" si="2970"/>
        <v>5000</v>
      </c>
      <c r="J2782" s="8">
        <v>25000</v>
      </c>
      <c r="K2782" s="30">
        <f t="shared" si="2971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VLOOKUP(VLOOKUP(DATEVALUE(TEXT(A2782,"m/d/yyyy")),FY24_Temp[],5,FALSE)&amp;TEXT(A2782,"-h"),Table6[],4,FALSE)</f>
        <v>0.80314285427247845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VLOOKUP(TEXT(A2782,"yy-mm")&amp;"-"&amp;IF(AND(WEEKDAY(A2782)&gt;1,WEEKDAY(A2782)&lt;7),"Wkd",TEXT(A2782,"Ddd"))&amp;"-"&amp;TEXT(A2782,"hh"),LoadTable[],5,FALSE)*0.92</f>
        <v>308.12363999999997</v>
      </c>
      <c r="U2782" s="104">
        <f>VLOOKUP(TEXT(A2782,"yy-mm")&amp;"-"&amp;IF(AND(WEEKDAY(A2782)&gt;1,WEEKDAY(A2782)&lt;7),"Wkd",TEXT(A2782,"Ddd"))&amp;"-"&amp;TEXT(A2782,"hh"),LoadTable[],6,FALSE)*T2782</f>
        <v>15247.806449039997</v>
      </c>
      <c r="V2782">
        <f t="shared" ref="V2782:W2782" si="2974">V2758</f>
        <v>3</v>
      </c>
      <c r="W2782">
        <f t="shared" si="2974"/>
        <v>3</v>
      </c>
      <c r="X2782" s="9">
        <v>-155.63249631667401</v>
      </c>
    </row>
    <row r="2783" spans="1:24">
      <c r="A2783" s="29">
        <f t="shared" si="2944"/>
        <v>45951.833333326591</v>
      </c>
      <c r="B2783" s="30">
        <f t="shared" si="2968"/>
        <v>5000</v>
      </c>
      <c r="C2783" s="8">
        <v>25000</v>
      </c>
      <c r="D2783" s="8">
        <v>0</v>
      </c>
      <c r="E2783" s="8">
        <v>700</v>
      </c>
      <c r="F2783" s="8">
        <v>15000</v>
      </c>
      <c r="G2783" s="30">
        <f t="shared" si="2969"/>
        <v>2400</v>
      </c>
      <c r="H2783" s="8">
        <v>25000</v>
      </c>
      <c r="I2783" s="30">
        <f t="shared" si="2970"/>
        <v>5000</v>
      </c>
      <c r="J2783" s="8">
        <v>25000</v>
      </c>
      <c r="K2783" s="30">
        <f t="shared" si="2971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VLOOKUP(VLOOKUP(DATEVALUE(TEXT(A2783,"m/d/yyyy")),FY24_Temp[],5,FALSE)&amp;TEXT(A2783,"-h"),Table6[],4,FALSE)</f>
        <v>0.86528570312539677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VLOOKUP(TEXT(A2783,"yy-mm")&amp;"-"&amp;IF(AND(WEEKDAY(A2783)&gt;1,WEEKDAY(A2783)&lt;7),"Wkd",TEXT(A2783,"Ddd"))&amp;"-"&amp;TEXT(A2783,"hh"),LoadTable[],5,FALSE)*0.92</f>
        <v>308.12363999999997</v>
      </c>
      <c r="U2783" s="104">
        <f>VLOOKUP(TEXT(A2783,"yy-mm")&amp;"-"&amp;IF(AND(WEEKDAY(A2783)&gt;1,WEEKDAY(A2783)&lt;7),"Wkd",TEXT(A2783,"Ddd"))&amp;"-"&amp;TEXT(A2783,"hh"),LoadTable[],6,FALSE)*T2783</f>
        <v>15157.218098879999</v>
      </c>
      <c r="V2783">
        <f t="shared" ref="V2783:W2783" si="2975">V2759</f>
        <v>2.8</v>
      </c>
      <c r="W2783">
        <f t="shared" si="2975"/>
        <v>3.1</v>
      </c>
      <c r="X2783" s="9">
        <v>-155.710290866674</v>
      </c>
    </row>
    <row r="2784" spans="1:24">
      <c r="A2784" s="29">
        <f t="shared" si="2944"/>
        <v>45951.874999993255</v>
      </c>
      <c r="B2784" s="30">
        <f t="shared" si="2968"/>
        <v>5000</v>
      </c>
      <c r="C2784" s="8">
        <v>25000</v>
      </c>
      <c r="D2784" s="8">
        <v>0</v>
      </c>
      <c r="E2784" s="8">
        <v>700</v>
      </c>
      <c r="F2784" s="8">
        <v>15000</v>
      </c>
      <c r="G2784" s="30">
        <f t="shared" si="2969"/>
        <v>2400</v>
      </c>
      <c r="H2784" s="8">
        <v>25000</v>
      </c>
      <c r="I2784" s="30">
        <f t="shared" si="2970"/>
        <v>5000</v>
      </c>
      <c r="J2784" s="8">
        <v>25000</v>
      </c>
      <c r="K2784" s="30">
        <f t="shared" si="2971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VLOOKUP(VLOOKUP(DATEVALUE(TEXT(A2784,"m/d/yyyy")),FY24_Temp[],5,FALSE)&amp;TEXT(A2784,"-h"),Table6[],4,FALSE)</f>
        <v>0.95742857465746201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VLOOKUP(TEXT(A2784,"yy-mm")&amp;"-"&amp;IF(AND(WEEKDAY(A2784)&gt;1,WEEKDAY(A2784)&lt;7),"Wkd",TEXT(A2784,"Ddd"))&amp;"-"&amp;TEXT(A2784,"hh"),LoadTable[],5,FALSE)*0.92</f>
        <v>234.33964000000003</v>
      </c>
      <c r="U2784" s="104">
        <f>VLOOKUP(TEXT(A2784,"yy-mm")&amp;"-"&amp;IF(AND(WEEKDAY(A2784)&gt;1,WEEKDAY(A2784)&lt;7),"Wkd",TEXT(A2784,"Ddd"))&amp;"-"&amp;TEXT(A2784,"hh"),LoadTable[],6,FALSE)*T2784</f>
        <v>11344.147632760001</v>
      </c>
      <c r="V2784">
        <f t="shared" ref="V2784:W2784" si="2976">V2760</f>
        <v>3.5</v>
      </c>
      <c r="W2784">
        <f t="shared" si="2976"/>
        <v>3.1</v>
      </c>
      <c r="X2784" s="9">
        <v>-155.78808541667399</v>
      </c>
    </row>
    <row r="2785" spans="1:24">
      <c r="A2785" s="29">
        <f t="shared" si="2944"/>
        <v>45951.916666659919</v>
      </c>
      <c r="B2785" s="30">
        <f t="shared" si="2968"/>
        <v>5000</v>
      </c>
      <c r="C2785" s="8">
        <v>25000</v>
      </c>
      <c r="D2785" s="8">
        <v>0</v>
      </c>
      <c r="E2785" s="8">
        <v>700</v>
      </c>
      <c r="F2785" s="8">
        <v>15000</v>
      </c>
      <c r="G2785" s="30">
        <f t="shared" si="2969"/>
        <v>2400</v>
      </c>
      <c r="H2785" s="8">
        <v>25000</v>
      </c>
      <c r="I2785" s="30">
        <f t="shared" si="2970"/>
        <v>5000</v>
      </c>
      <c r="J2785" s="8">
        <v>25000</v>
      </c>
      <c r="K2785" s="30">
        <f t="shared" si="2971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VLOOKUP(VLOOKUP(DATEVALUE(TEXT(A2785,"m/d/yyyy")),FY24_Temp[],5,FALSE)&amp;TEXT(A2785,"-h"),Table6[],4,FALSE)</f>
        <v>1.0430000169890485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VLOOKUP(TEXT(A2785,"yy-mm")&amp;"-"&amp;IF(AND(WEEKDAY(A2785)&gt;1,WEEKDAY(A2785)&lt;7),"Wkd",TEXT(A2785,"Ddd"))&amp;"-"&amp;TEXT(A2785,"hh"),LoadTable[],5,FALSE)*0.92</f>
        <v>180.62544</v>
      </c>
      <c r="U2785" s="104">
        <f>VLOOKUP(TEXT(A2785,"yy-mm")&amp;"-"&amp;IF(AND(WEEKDAY(A2785)&gt;1,WEEKDAY(A2785)&lt;7),"Wkd",TEXT(A2785,"Ddd"))&amp;"-"&amp;TEXT(A2785,"hh"),LoadTable[],6,FALSE)*T2785</f>
        <v>8304.2546039999997</v>
      </c>
      <c r="V2785">
        <f t="shared" ref="V2785:W2785" si="2977">V2761</f>
        <v>2.9</v>
      </c>
      <c r="W2785">
        <f t="shared" si="2977"/>
        <v>3.1</v>
      </c>
      <c r="X2785" s="9">
        <v>-155.86587996667399</v>
      </c>
    </row>
    <row r="2786" spans="1:24">
      <c r="A2786" s="29">
        <f t="shared" si="2944"/>
        <v>45951.958333326584</v>
      </c>
      <c r="B2786" s="30">
        <f t="shared" si="2968"/>
        <v>5000</v>
      </c>
      <c r="C2786" s="8">
        <v>25000</v>
      </c>
      <c r="D2786" s="8">
        <v>0</v>
      </c>
      <c r="E2786" s="8">
        <v>700</v>
      </c>
      <c r="F2786" s="8">
        <v>15000</v>
      </c>
      <c r="G2786" s="30">
        <f t="shared" si="2969"/>
        <v>2400</v>
      </c>
      <c r="H2786" s="8">
        <v>25000</v>
      </c>
      <c r="I2786" s="30">
        <f t="shared" si="2970"/>
        <v>5000</v>
      </c>
      <c r="J2786" s="8">
        <v>25000</v>
      </c>
      <c r="K2786" s="30">
        <f t="shared" si="2971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VLOOKUP(VLOOKUP(DATEVALUE(TEXT(A2786,"m/d/yyyy")),FY24_Temp[],5,FALSE)&amp;TEXT(A2786,"-h"),Table6[],4,FALSE)</f>
        <v>1.0454285740700597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VLOOKUP(TEXT(A2786,"yy-mm")&amp;"-"&amp;IF(AND(WEEKDAY(A2786)&gt;1,WEEKDAY(A2786)&lt;7),"Wkd",TEXT(A2786,"Ddd"))&amp;"-"&amp;TEXT(A2786,"hh"),LoadTable[],5,FALSE)*0.92</f>
        <v>180.62544</v>
      </c>
      <c r="U2786" s="104">
        <f>VLOOKUP(TEXT(A2786,"yy-mm")&amp;"-"&amp;IF(AND(WEEKDAY(A2786)&gt;1,WEEKDAY(A2786)&lt;7),"Wkd",TEXT(A2786,"Ddd"))&amp;"-"&amp;TEXT(A2786,"hh"),LoadTable[],6,FALSE)*T2786</f>
        <v>8217.1931419200009</v>
      </c>
      <c r="V2786">
        <f t="shared" ref="V2786:W2786" si="2978">V2762</f>
        <v>3.6</v>
      </c>
      <c r="W2786">
        <f t="shared" si="2978"/>
        <v>3.1</v>
      </c>
      <c r="X2786" s="9">
        <v>-155.94367451667401</v>
      </c>
    </row>
    <row r="2787" spans="1:24">
      <c r="A2787" s="29">
        <f t="shared" si="2944"/>
        <v>45951.999999993248</v>
      </c>
      <c r="B2787" s="30">
        <f t="shared" si="2968"/>
        <v>5000</v>
      </c>
      <c r="C2787" s="8">
        <v>25000</v>
      </c>
      <c r="D2787" s="8">
        <v>0</v>
      </c>
      <c r="E2787" s="8">
        <v>700</v>
      </c>
      <c r="F2787" s="8">
        <v>15000</v>
      </c>
      <c r="G2787" s="30">
        <f t="shared" si="2969"/>
        <v>2400</v>
      </c>
      <c r="H2787" s="8">
        <v>25000</v>
      </c>
      <c r="I2787" s="30">
        <f t="shared" si="2970"/>
        <v>5000</v>
      </c>
      <c r="J2787" s="8">
        <v>25000</v>
      </c>
      <c r="K2787" s="30">
        <f t="shared" si="2971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VLOOKUP(VLOOKUP(DATEVALUE(TEXT(A2787,"m/d/yyyy")),FY24_Temp[],5,FALSE)&amp;TEXT(A2787,"-h"),Table6[],4,FALSE)</f>
        <v>0.52500001029895027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VLOOKUP(TEXT(A2787,"yy-mm")&amp;"-"&amp;IF(AND(WEEKDAY(A2787)&gt;1,WEEKDAY(A2787)&lt;7),"Wkd",TEXT(A2787,"Ddd"))&amp;"-"&amp;TEXT(A2787,"hh"),LoadTable[],5,FALSE)*0.92</f>
        <v>180.62544</v>
      </c>
      <c r="U2787" s="104">
        <f>VLOOKUP(TEXT(A2787,"yy-mm")&amp;"-"&amp;IF(AND(WEEKDAY(A2787)&gt;1,WEEKDAY(A2787)&lt;7),"Wkd",TEXT(A2787,"Ddd"))&amp;"-"&amp;TEXT(A2787,"hh"),LoadTable[],6,FALSE)*T2787</f>
        <v>8132.4798105600003</v>
      </c>
      <c r="V2787">
        <f t="shared" ref="V2787:W2787" si="2979">V2763</f>
        <v>3</v>
      </c>
      <c r="W2787">
        <f t="shared" si="2979"/>
        <v>3.2</v>
      </c>
      <c r="X2787" s="9">
        <v>-156.021469066674</v>
      </c>
    </row>
    <row r="2788" spans="1:24">
      <c r="A2788" s="29">
        <f t="shared" si="2944"/>
        <v>45952.041666659912</v>
      </c>
      <c r="B2788" s="30">
        <f t="shared" si="2968"/>
        <v>5000</v>
      </c>
      <c r="C2788" s="8">
        <v>25000</v>
      </c>
      <c r="D2788" s="8">
        <v>0</v>
      </c>
      <c r="E2788" s="8">
        <v>700</v>
      </c>
      <c r="F2788" s="8">
        <v>15000</v>
      </c>
      <c r="G2788" s="30">
        <f t="shared" si="2969"/>
        <v>2400</v>
      </c>
      <c r="H2788" s="8">
        <v>25000</v>
      </c>
      <c r="I2788" s="30">
        <f t="shared" si="2970"/>
        <v>5000</v>
      </c>
      <c r="J2788" s="8">
        <v>25000</v>
      </c>
      <c r="K2788" s="30">
        <f t="shared" si="2971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VLOOKUP(VLOOKUP(DATEVALUE(TEXT(A2788,"m/d/yyyy")),FY24_Temp[],5,FALSE)&amp;TEXT(A2788,"-h"),Table6[],4,FALSE)</f>
        <v>0.80228570532815979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VLOOKUP(TEXT(A2788,"yy-mm")&amp;"-"&amp;IF(AND(WEEKDAY(A2788)&gt;1,WEEKDAY(A2788)&lt;7),"Wkd",TEXT(A2788,"Ddd"))&amp;"-"&amp;TEXT(A2788,"hh"),LoadTable[],5,FALSE)*0.92</f>
        <v>180.62544</v>
      </c>
      <c r="U2788" s="104">
        <f>VLOOKUP(TEXT(A2788,"yy-mm")&amp;"-"&amp;IF(AND(WEEKDAY(A2788)&gt;1,WEEKDAY(A2788)&lt;7),"Wkd",TEXT(A2788,"Ddd"))&amp;"-"&amp;TEXT(A2788,"hh"),LoadTable[],6,FALSE)*T2788</f>
        <v>8124.71291664</v>
      </c>
      <c r="V2788">
        <f t="shared" ref="V2788:W2788" si="2980">V2764</f>
        <v>2.6</v>
      </c>
      <c r="W2788">
        <f t="shared" si="2980"/>
        <v>3.2</v>
      </c>
      <c r="X2788" s="9">
        <v>-156.09926361667399</v>
      </c>
    </row>
    <row r="2789" spans="1:24">
      <c r="A2789" s="29">
        <f t="shared" si="2944"/>
        <v>45952.083333326576</v>
      </c>
      <c r="B2789" s="30">
        <f t="shared" si="2968"/>
        <v>5000</v>
      </c>
      <c r="C2789" s="8">
        <v>25000</v>
      </c>
      <c r="D2789" s="8">
        <v>0</v>
      </c>
      <c r="E2789" s="8">
        <v>700</v>
      </c>
      <c r="F2789" s="8">
        <v>15000</v>
      </c>
      <c r="G2789" s="30">
        <f t="shared" si="2969"/>
        <v>2400</v>
      </c>
      <c r="H2789" s="8">
        <v>25000</v>
      </c>
      <c r="I2789" s="30">
        <f t="shared" si="2970"/>
        <v>5000</v>
      </c>
      <c r="J2789" s="8">
        <v>25000</v>
      </c>
      <c r="K2789" s="30">
        <f t="shared" si="2971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VLOOKUP(VLOOKUP(DATEVALUE(TEXT(A2789,"m/d/yyyy")),FY24_Temp[],5,FALSE)&amp;TEXT(A2789,"-h"),Table6[],4,FALSE)</f>
        <v>0.82585714335577387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VLOOKUP(TEXT(A2789,"yy-mm")&amp;"-"&amp;IF(AND(WEEKDAY(A2789)&gt;1,WEEKDAY(A2789)&lt;7),"Wkd",TEXT(A2789,"Ddd"))&amp;"-"&amp;TEXT(A2789,"hh"),LoadTable[],5,FALSE)*0.92</f>
        <v>180.62544</v>
      </c>
      <c r="U2789" s="104">
        <f>VLOOKUP(TEXT(A2789,"yy-mm")&amp;"-"&amp;IF(AND(WEEKDAY(A2789)&gt;1,WEEKDAY(A2789)&lt;7),"Wkd",TEXT(A2789,"Ddd"))&amp;"-"&amp;TEXT(A2789,"hh"),LoadTable[],6,FALSE)*T2789</f>
        <v>8120.1972806400008</v>
      </c>
      <c r="V2789">
        <f t="shared" ref="V2789:W2789" si="2981">V2765</f>
        <v>2.8</v>
      </c>
      <c r="W2789">
        <f t="shared" si="2981"/>
        <v>3.2</v>
      </c>
      <c r="X2789" s="9">
        <v>-156.17705816667399</v>
      </c>
    </row>
    <row r="2790" spans="1:24">
      <c r="A2790" s="29">
        <f t="shared" si="2944"/>
        <v>45952.124999993241</v>
      </c>
      <c r="B2790" s="30">
        <f t="shared" si="2968"/>
        <v>5000</v>
      </c>
      <c r="C2790" s="8">
        <v>25000</v>
      </c>
      <c r="D2790" s="8">
        <v>0</v>
      </c>
      <c r="E2790" s="8">
        <v>700</v>
      </c>
      <c r="F2790" s="8">
        <v>15000</v>
      </c>
      <c r="G2790" s="30">
        <f t="shared" si="2969"/>
        <v>2400</v>
      </c>
      <c r="H2790" s="8">
        <v>25000</v>
      </c>
      <c r="I2790" s="30">
        <f t="shared" si="2970"/>
        <v>5000</v>
      </c>
      <c r="J2790" s="8">
        <v>25000</v>
      </c>
      <c r="K2790" s="30">
        <f t="shared" si="2971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VLOOKUP(VLOOKUP(DATEVALUE(TEXT(A2790,"m/d/yyyy")),FY24_Temp[],5,FALSE)&amp;TEXT(A2790,"-h"),Table6[],4,FALSE)</f>
        <v>0.77514286660566056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VLOOKUP(TEXT(A2790,"yy-mm")&amp;"-"&amp;IF(AND(WEEKDAY(A2790)&gt;1,WEEKDAY(A2790)&lt;7),"Wkd",TEXT(A2790,"Ddd"))&amp;"-"&amp;TEXT(A2790,"hh"),LoadTable[],5,FALSE)*0.92</f>
        <v>180.62544</v>
      </c>
      <c r="U2790" s="104">
        <f>VLOOKUP(TEXT(A2790,"yy-mm")&amp;"-"&amp;IF(AND(WEEKDAY(A2790)&gt;1,WEEKDAY(A2790)&lt;7),"Wkd",TEXT(A2790,"Ddd"))&amp;"-"&amp;TEXT(A2790,"hh"),LoadTable[],6,FALSE)*T2790</f>
        <v>8141.3304571199997</v>
      </c>
      <c r="V2790">
        <f t="shared" ref="V2790:W2790" si="2982">V2766</f>
        <v>2.7</v>
      </c>
      <c r="W2790">
        <f t="shared" si="2982"/>
        <v>3.2</v>
      </c>
      <c r="X2790" s="9">
        <v>-156.25485271667401</v>
      </c>
    </row>
    <row r="2791" spans="1:24">
      <c r="A2791" s="29">
        <f t="shared" si="2944"/>
        <v>45952.166666659905</v>
      </c>
      <c r="B2791" s="30">
        <f t="shared" si="2968"/>
        <v>5000</v>
      </c>
      <c r="C2791" s="8">
        <v>25000</v>
      </c>
      <c r="D2791" s="8">
        <v>0</v>
      </c>
      <c r="E2791" s="8">
        <v>700</v>
      </c>
      <c r="F2791" s="8">
        <v>15000</v>
      </c>
      <c r="G2791" s="30">
        <f t="shared" si="2969"/>
        <v>2400</v>
      </c>
      <c r="H2791" s="8">
        <v>25000</v>
      </c>
      <c r="I2791" s="30">
        <f t="shared" si="2970"/>
        <v>5000</v>
      </c>
      <c r="J2791" s="8">
        <v>25000</v>
      </c>
      <c r="K2791" s="30">
        <f t="shared" si="2971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VLOOKUP(VLOOKUP(DATEVALUE(TEXT(A2791,"m/d/yyyy")),FY24_Temp[],5,FALSE)&amp;TEXT(A2791,"-h"),Table6[],4,FALSE)</f>
        <v>0.71685714598402617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VLOOKUP(TEXT(A2791,"yy-mm")&amp;"-"&amp;IF(AND(WEEKDAY(A2791)&gt;1,WEEKDAY(A2791)&lt;7),"Wkd",TEXT(A2791,"Ddd"))&amp;"-"&amp;TEXT(A2791,"hh"),LoadTable[],5,FALSE)*0.92</f>
        <v>180.62544</v>
      </c>
      <c r="U2791" s="104">
        <f>VLOOKUP(TEXT(A2791,"yy-mm")&amp;"-"&amp;IF(AND(WEEKDAY(A2791)&gt;1,WEEKDAY(A2791)&lt;7),"Wkd",TEXT(A2791,"Ddd"))&amp;"-"&amp;TEXT(A2791,"hh"),LoadTable[],6,FALSE)*T2791</f>
        <v>8184.86118816</v>
      </c>
      <c r="V2791">
        <f t="shared" ref="V2791:W2791" si="2983">V2767</f>
        <v>3</v>
      </c>
      <c r="W2791">
        <f t="shared" si="2983"/>
        <v>3.1</v>
      </c>
      <c r="X2791" s="9">
        <v>-156.332647266674</v>
      </c>
    </row>
    <row r="2792" spans="1:24">
      <c r="A2792" s="29">
        <f t="shared" si="2944"/>
        <v>45952.208333326569</v>
      </c>
      <c r="B2792" s="30">
        <f t="shared" si="2968"/>
        <v>5000</v>
      </c>
      <c r="C2792" s="8">
        <v>25000</v>
      </c>
      <c r="D2792" s="8">
        <v>0</v>
      </c>
      <c r="E2792" s="8">
        <v>700</v>
      </c>
      <c r="F2792" s="8">
        <v>15000</v>
      </c>
      <c r="G2792" s="30">
        <f t="shared" si="2969"/>
        <v>2400</v>
      </c>
      <c r="H2792" s="8">
        <v>25000</v>
      </c>
      <c r="I2792" s="30">
        <f t="shared" si="2970"/>
        <v>5000</v>
      </c>
      <c r="J2792" s="8">
        <v>25000</v>
      </c>
      <c r="K2792" s="30">
        <f t="shared" si="2971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VLOOKUP(VLOOKUP(DATEVALUE(TEXT(A2792,"m/d/yyyy")),FY24_Temp[],5,FALSE)&amp;TEXT(A2792,"-h"),Table6[],4,FALSE)</f>
        <v>0.68157143264069042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VLOOKUP(TEXT(A2792,"yy-mm")&amp;"-"&amp;IF(AND(WEEKDAY(A2792)&gt;1,WEEKDAY(A2792)&lt;7),"Wkd",TEXT(A2792,"Ddd"))&amp;"-"&amp;TEXT(A2792,"hh"),LoadTable[],5,FALSE)*0.92</f>
        <v>275.09195999999997</v>
      </c>
      <c r="U2792" s="104">
        <f>VLOOKUP(TEXT(A2792,"yy-mm")&amp;"-"&amp;IF(AND(WEEKDAY(A2792)&gt;1,WEEKDAY(A2792)&lt;7),"Wkd",TEXT(A2792,"Ddd"))&amp;"-"&amp;TEXT(A2792,"hh"),LoadTable[],6,FALSE)*T2792</f>
        <v>12729.880448999998</v>
      </c>
      <c r="V2792">
        <f t="shared" ref="V2792:W2792" si="2984">V2768</f>
        <v>2.9</v>
      </c>
      <c r="W2792">
        <f t="shared" si="2984"/>
        <v>3.1</v>
      </c>
      <c r="X2792" s="9">
        <v>-156.41044181667399</v>
      </c>
    </row>
    <row r="2793" spans="1:24">
      <c r="A2793" s="29">
        <f t="shared" si="2944"/>
        <v>45952.249999993233</v>
      </c>
      <c r="B2793" s="30">
        <f t="shared" si="2968"/>
        <v>8000</v>
      </c>
      <c r="C2793" s="8">
        <v>25000</v>
      </c>
      <c r="D2793" s="8">
        <v>0</v>
      </c>
      <c r="E2793" s="8">
        <v>700</v>
      </c>
      <c r="F2793" s="8">
        <v>15000</v>
      </c>
      <c r="G2793" s="30">
        <f t="shared" si="2969"/>
        <v>2400</v>
      </c>
      <c r="H2793" s="8">
        <v>25000</v>
      </c>
      <c r="I2793" s="30">
        <f t="shared" si="2970"/>
        <v>8000</v>
      </c>
      <c r="J2793" s="8">
        <v>25000</v>
      </c>
      <c r="K2793" s="30">
        <f t="shared" si="2971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VLOOKUP(VLOOKUP(DATEVALUE(TEXT(A2793,"m/d/yyyy")),FY24_Temp[],5,FALSE)&amp;TEXT(A2793,"-h"),Table6[],4,FALSE)</f>
        <v>0.5494285853817924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VLOOKUP(TEXT(A2793,"yy-mm")&amp;"-"&amp;IF(AND(WEEKDAY(A2793)&gt;1,WEEKDAY(A2793)&lt;7),"Wkd",TEXT(A2793,"Ddd"))&amp;"-"&amp;TEXT(A2793,"hh"),LoadTable[],5,FALSE)*0.92</f>
        <v>275.09195999999997</v>
      </c>
      <c r="U2793" s="104">
        <f>VLOOKUP(TEXT(A2793,"yy-mm")&amp;"-"&amp;IF(AND(WEEKDAY(A2793)&gt;1,WEEKDAY(A2793)&lt;7),"Wkd",TEXT(A2793,"Ddd"))&amp;"-"&amp;TEXT(A2793,"hh"),LoadTable[],6,FALSE)*T2793</f>
        <v>13284.465840359997</v>
      </c>
      <c r="V2793">
        <f t="shared" ref="V2793:W2793" si="2985">V2769</f>
        <v>2.5</v>
      </c>
      <c r="W2793">
        <f t="shared" si="2985"/>
        <v>3.1</v>
      </c>
      <c r="X2793" s="9">
        <v>-156.48823636667399</v>
      </c>
    </row>
    <row r="2794" spans="1:24">
      <c r="A2794" s="29">
        <f t="shared" si="2944"/>
        <v>45952.291666659898</v>
      </c>
      <c r="B2794" s="30">
        <f t="shared" si="2968"/>
        <v>8000</v>
      </c>
      <c r="C2794" s="8">
        <v>25000</v>
      </c>
      <c r="D2794" s="8">
        <v>0</v>
      </c>
      <c r="E2794" s="8">
        <v>700</v>
      </c>
      <c r="F2794" s="8">
        <v>15000</v>
      </c>
      <c r="G2794" s="30">
        <f t="shared" si="2969"/>
        <v>2400</v>
      </c>
      <c r="H2794" s="8">
        <v>25000</v>
      </c>
      <c r="I2794" s="30">
        <f t="shared" si="2970"/>
        <v>8000</v>
      </c>
      <c r="J2794" s="8">
        <v>25000</v>
      </c>
      <c r="K2794" s="30">
        <f t="shared" si="2971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VLOOKUP(VLOOKUP(DATEVALUE(TEXT(A2794,"m/d/yyyy")),FY24_Temp[],5,FALSE)&amp;TEXT(A2794,"-h"),Table6[],4,FALSE)</f>
        <v>0.44057143108991348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VLOOKUP(TEXT(A2794,"yy-mm")&amp;"-"&amp;IF(AND(WEEKDAY(A2794)&gt;1,WEEKDAY(A2794)&lt;7),"Wkd",TEXT(A2794,"Ddd"))&amp;"-"&amp;TEXT(A2794,"hh"),LoadTable[],5,FALSE)*0.92</f>
        <v>236.10788000000002</v>
      </c>
      <c r="U2794" s="104">
        <f>VLOOKUP(TEXT(A2794,"yy-mm")&amp;"-"&amp;IF(AND(WEEKDAY(A2794)&gt;1,WEEKDAY(A2794)&lt;7),"Wkd",TEXT(A2794,"Ddd"))&amp;"-"&amp;TEXT(A2794,"hh"),LoadTable[],6,FALSE)*T2794</f>
        <v>11438.48235448</v>
      </c>
      <c r="V2794">
        <f t="shared" ref="V2794:W2794" si="2986">V2770</f>
        <v>2.5</v>
      </c>
      <c r="W2794">
        <f t="shared" si="2986"/>
        <v>3.1</v>
      </c>
      <c r="X2794" s="9">
        <v>-156.56603091667401</v>
      </c>
    </row>
    <row r="2795" spans="1:24">
      <c r="A2795" s="29">
        <f t="shared" si="2944"/>
        <v>45952.333333326562</v>
      </c>
      <c r="B2795" s="30">
        <f t="shared" si="2968"/>
        <v>8000</v>
      </c>
      <c r="C2795" s="8">
        <v>25000</v>
      </c>
      <c r="D2795" s="8">
        <v>0</v>
      </c>
      <c r="E2795" s="8">
        <v>700</v>
      </c>
      <c r="F2795" s="8">
        <v>15000</v>
      </c>
      <c r="G2795" s="30">
        <f t="shared" si="2969"/>
        <v>2400</v>
      </c>
      <c r="H2795" s="8">
        <v>25000</v>
      </c>
      <c r="I2795" s="30">
        <f t="shared" si="2970"/>
        <v>8000</v>
      </c>
      <c r="J2795" s="8">
        <v>25000</v>
      </c>
      <c r="K2795" s="30">
        <f t="shared" si="2971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VLOOKUP(VLOOKUP(DATEVALUE(TEXT(A2795,"m/d/yyyy")),FY24_Temp[],5,FALSE)&amp;TEXT(A2795,"-h"),Table6[],4,FALSE)</f>
        <v>0.35985714461501639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VLOOKUP(TEXT(A2795,"yy-mm")&amp;"-"&amp;IF(AND(WEEKDAY(A2795)&gt;1,WEEKDAY(A2795)&lt;7),"Wkd",TEXT(A2795,"Ddd"))&amp;"-"&amp;TEXT(A2795,"hh"),LoadTable[],5,FALSE)*0.92</f>
        <v>236.10788000000002</v>
      </c>
      <c r="U2795" s="104">
        <f>VLOOKUP(TEXT(A2795,"yy-mm")&amp;"-"&amp;IF(AND(WEEKDAY(A2795)&gt;1,WEEKDAY(A2795)&lt;7),"Wkd",TEXT(A2795,"Ddd"))&amp;"-"&amp;TEXT(A2795,"hh"),LoadTable[],6,FALSE)*T2795</f>
        <v>10919.281126360002</v>
      </c>
      <c r="V2795">
        <f t="shared" ref="V2795:W2795" si="2987">V2771</f>
        <v>3.2</v>
      </c>
      <c r="W2795">
        <f t="shared" si="2987"/>
        <v>3</v>
      </c>
      <c r="X2795" s="9">
        <v>-156.643825466674</v>
      </c>
    </row>
    <row r="2796" spans="1:24">
      <c r="A2796" s="29">
        <f t="shared" si="2944"/>
        <v>45952.374999993226</v>
      </c>
      <c r="B2796" s="30">
        <f t="shared" si="2968"/>
        <v>8000</v>
      </c>
      <c r="C2796" s="8">
        <v>25000</v>
      </c>
      <c r="D2796" s="8">
        <v>0</v>
      </c>
      <c r="E2796" s="8">
        <v>700</v>
      </c>
      <c r="F2796" s="8">
        <v>15000</v>
      </c>
      <c r="G2796" s="30">
        <f t="shared" si="2969"/>
        <v>2400</v>
      </c>
      <c r="H2796" s="8">
        <v>25000</v>
      </c>
      <c r="I2796" s="30">
        <f t="shared" si="2970"/>
        <v>8000</v>
      </c>
      <c r="J2796" s="8">
        <v>25000</v>
      </c>
      <c r="K2796" s="30">
        <f t="shared" si="2971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VLOOKUP(VLOOKUP(DATEVALUE(TEXT(A2796,"m/d/yyyy")),FY24_Temp[],5,FALSE)&amp;TEXT(A2796,"-h"),Table6[],4,FALSE)</f>
        <v>0.28685713816253877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VLOOKUP(TEXT(A2796,"yy-mm")&amp;"-"&amp;IF(AND(WEEKDAY(A2796)&gt;1,WEEKDAY(A2796)&lt;7),"Wkd",TEXT(A2796,"Ddd"))&amp;"-"&amp;TEXT(A2796,"hh"),LoadTable[],5,FALSE)*0.92</f>
        <v>236.10788000000002</v>
      </c>
      <c r="U2796" s="104">
        <f>VLOOKUP(TEXT(A2796,"yy-mm")&amp;"-"&amp;IF(AND(WEEKDAY(A2796)&gt;1,WEEKDAY(A2796)&lt;7),"Wkd",TEXT(A2796,"Ddd"))&amp;"-"&amp;TEXT(A2796,"hh"),LoadTable[],6,FALSE)*T2796</f>
        <v>10592.271712560001</v>
      </c>
      <c r="V2796">
        <f t="shared" ref="V2796:W2796" si="2988">V2772</f>
        <v>2.9</v>
      </c>
      <c r="W2796">
        <f t="shared" si="2988"/>
        <v>3</v>
      </c>
      <c r="X2796" s="9">
        <v>-156.721620016674</v>
      </c>
    </row>
    <row r="2797" spans="1:24">
      <c r="A2797" s="29">
        <f t="shared" si="2944"/>
        <v>45952.41666665989</v>
      </c>
      <c r="B2797" s="30">
        <f t="shared" si="2968"/>
        <v>8000</v>
      </c>
      <c r="C2797" s="8">
        <v>25000</v>
      </c>
      <c r="D2797" s="8">
        <v>0</v>
      </c>
      <c r="E2797" s="8">
        <v>700</v>
      </c>
      <c r="F2797" s="8">
        <v>15000</v>
      </c>
      <c r="G2797" s="30">
        <f t="shared" si="2969"/>
        <v>2400</v>
      </c>
      <c r="H2797" s="8">
        <v>25000</v>
      </c>
      <c r="I2797" s="30">
        <f t="shared" si="2970"/>
        <v>8000</v>
      </c>
      <c r="J2797" s="8">
        <v>25000</v>
      </c>
      <c r="K2797" s="30">
        <f t="shared" si="2971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VLOOKUP(VLOOKUP(DATEVALUE(TEXT(A2797,"m/d/yyyy")),FY24_Temp[],5,FALSE)&amp;TEXT(A2797,"-h"),Table6[],4,FALSE)</f>
        <v>0.21185714012194715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VLOOKUP(TEXT(A2797,"yy-mm")&amp;"-"&amp;IF(AND(WEEKDAY(A2797)&gt;1,WEEKDAY(A2797)&lt;7),"Wkd",TEXT(A2797,"Ddd"))&amp;"-"&amp;TEXT(A2797,"hh"),LoadTable[],5,FALSE)*0.92</f>
        <v>236.10788000000002</v>
      </c>
      <c r="U2797" s="104">
        <f>VLOOKUP(TEXT(A2797,"yy-mm")&amp;"-"&amp;IF(AND(WEEKDAY(A2797)&gt;1,WEEKDAY(A2797)&lt;7),"Wkd",TEXT(A2797,"Ddd"))&amp;"-"&amp;TEXT(A2797,"hh"),LoadTable[],6,FALSE)*T2797</f>
        <v>10565.591522120001</v>
      </c>
      <c r="V2797">
        <f t="shared" ref="V2797:W2797" si="2989">V2773</f>
        <v>2.9</v>
      </c>
      <c r="W2797">
        <f t="shared" si="2989"/>
        <v>3</v>
      </c>
      <c r="X2797" s="9">
        <v>-156.79941456667399</v>
      </c>
    </row>
    <row r="2798" spans="1:24">
      <c r="A2798" s="29">
        <f t="shared" si="2944"/>
        <v>45952.458333326555</v>
      </c>
      <c r="B2798" s="30">
        <f t="shared" si="2968"/>
        <v>8000</v>
      </c>
      <c r="C2798" s="8">
        <v>25000</v>
      </c>
      <c r="D2798" s="8">
        <v>0</v>
      </c>
      <c r="E2798" s="8">
        <v>700</v>
      </c>
      <c r="F2798" s="8">
        <v>15000</v>
      </c>
      <c r="G2798" s="30">
        <f t="shared" si="2969"/>
        <v>2400</v>
      </c>
      <c r="H2798" s="8">
        <v>25000</v>
      </c>
      <c r="I2798" s="30">
        <f t="shared" si="2970"/>
        <v>8000</v>
      </c>
      <c r="J2798" s="8">
        <v>25000</v>
      </c>
      <c r="K2798" s="30">
        <f t="shared" si="2971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VLOOKUP(VLOOKUP(DATEVALUE(TEXT(A2798,"m/d/yyyy")),FY24_Temp[],5,FALSE)&amp;TEXT(A2798,"-h"),Table6[],4,FALSE)</f>
        <v>0.132285714167475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VLOOKUP(TEXT(A2798,"yy-mm")&amp;"-"&amp;IF(AND(WEEKDAY(A2798)&gt;1,WEEKDAY(A2798)&lt;7),"Wkd",TEXT(A2798,"Ddd"))&amp;"-"&amp;TEXT(A2798,"hh"),LoadTable[],5,FALSE)*0.92</f>
        <v>236.10788000000002</v>
      </c>
      <c r="U2798" s="104">
        <f>VLOOKUP(TEXT(A2798,"yy-mm")&amp;"-"&amp;IF(AND(WEEKDAY(A2798)&gt;1,WEEKDAY(A2798)&lt;7),"Wkd",TEXT(A2798,"Ddd"))&amp;"-"&amp;TEXT(A2798,"hh"),LoadTable[],6,FALSE)*T2798</f>
        <v>10548.355646880002</v>
      </c>
      <c r="V2798">
        <f t="shared" ref="V2798:W2798" si="2990">V2774</f>
        <v>3.4</v>
      </c>
      <c r="W2798">
        <f t="shared" si="2990"/>
        <v>3</v>
      </c>
      <c r="X2798" s="9">
        <v>-156.87720911667401</v>
      </c>
    </row>
    <row r="2799" spans="1:24">
      <c r="A2799" s="29">
        <f t="shared" si="2944"/>
        <v>45952.499999993219</v>
      </c>
      <c r="B2799" s="30">
        <f t="shared" si="2968"/>
        <v>8000</v>
      </c>
      <c r="C2799" s="8">
        <v>25000</v>
      </c>
      <c r="D2799" s="8">
        <v>0</v>
      </c>
      <c r="E2799" s="8">
        <v>700</v>
      </c>
      <c r="F2799" s="8">
        <v>15000</v>
      </c>
      <c r="G2799" s="30">
        <f t="shared" si="2969"/>
        <v>2400</v>
      </c>
      <c r="H2799" s="8">
        <v>25000</v>
      </c>
      <c r="I2799" s="30">
        <f t="shared" si="2970"/>
        <v>8000</v>
      </c>
      <c r="J2799" s="8">
        <v>25000</v>
      </c>
      <c r="K2799" s="30">
        <f t="shared" si="2971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VLOOKUP(VLOOKUP(DATEVALUE(TEXT(A2799,"m/d/yyyy")),FY24_Temp[],5,FALSE)&amp;TEXT(A2799,"-h"),Table6[],4,FALSE)</f>
        <v>5.5857142192049847E-2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VLOOKUP(TEXT(A2799,"yy-mm")&amp;"-"&amp;IF(AND(WEEKDAY(A2799)&gt;1,WEEKDAY(A2799)&lt;7),"Wkd",TEXT(A2799,"Ddd"))&amp;"-"&amp;TEXT(A2799,"hh"),LoadTable[],5,FALSE)*0.92</f>
        <v>236.10788000000002</v>
      </c>
      <c r="U2799" s="104">
        <f>VLOOKUP(TEXT(A2799,"yy-mm")&amp;"-"&amp;IF(AND(WEEKDAY(A2799)&gt;1,WEEKDAY(A2799)&lt;7),"Wkd",TEXT(A2799,"Ddd"))&amp;"-"&amp;TEXT(A2799,"hh"),LoadTable[],6,FALSE)*T2799</f>
        <v>10540.327978960002</v>
      </c>
      <c r="V2799">
        <f t="shared" ref="V2799:W2799" si="2991">V2775</f>
        <v>3.1</v>
      </c>
      <c r="W2799">
        <f t="shared" si="2991"/>
        <v>2.9</v>
      </c>
      <c r="X2799" s="9">
        <v>-156.955003666674</v>
      </c>
    </row>
    <row r="2800" spans="1:24">
      <c r="A2800" s="29">
        <f t="shared" si="2944"/>
        <v>45952.541666659883</v>
      </c>
      <c r="B2800" s="30">
        <f t="shared" si="2968"/>
        <v>8000</v>
      </c>
      <c r="C2800" s="8">
        <v>25000</v>
      </c>
      <c r="D2800" s="8">
        <v>0</v>
      </c>
      <c r="E2800" s="8">
        <v>700</v>
      </c>
      <c r="F2800" s="8">
        <v>15000</v>
      </c>
      <c r="G2800" s="30">
        <f t="shared" si="2969"/>
        <v>2400</v>
      </c>
      <c r="H2800" s="8">
        <v>25000</v>
      </c>
      <c r="I2800" s="30">
        <f t="shared" si="2970"/>
        <v>8000</v>
      </c>
      <c r="J2800" s="8">
        <v>25000</v>
      </c>
      <c r="K2800" s="30">
        <f t="shared" si="2971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VLOOKUP(VLOOKUP(DATEVALUE(TEXT(A2800,"m/d/yyyy")),FY24_Temp[],5,FALSE)&amp;TEXT(A2800,"-h"),Table6[],4,FALSE)</f>
        <v>-3.7142866273079272E-3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VLOOKUP(TEXT(A2800,"yy-mm")&amp;"-"&amp;IF(AND(WEEKDAY(A2800)&gt;1,WEEKDAY(A2800)&lt;7),"Wkd",TEXT(A2800,"Ddd"))&amp;"-"&amp;TEXT(A2800,"hh"),LoadTable[],5,FALSE)*0.92</f>
        <v>236.10788000000002</v>
      </c>
      <c r="U2800" s="104">
        <f>VLOOKUP(TEXT(A2800,"yy-mm")&amp;"-"&amp;IF(AND(WEEKDAY(A2800)&gt;1,WEEKDAY(A2800)&lt;7),"Wkd",TEXT(A2800,"Ddd"))&amp;"-"&amp;TEXT(A2800,"hh"),LoadTable[],6,FALSE)*T2800</f>
        <v>10541.50851836</v>
      </c>
      <c r="V2800">
        <f t="shared" ref="V2800:W2800" si="2992">V2776</f>
        <v>3.2</v>
      </c>
      <c r="W2800">
        <f t="shared" si="2992"/>
        <v>2.9</v>
      </c>
      <c r="X2800" s="9">
        <v>-157.032798216674</v>
      </c>
    </row>
    <row r="2801" spans="1:24">
      <c r="A2801" s="29">
        <f t="shared" si="2944"/>
        <v>45952.583333326547</v>
      </c>
      <c r="B2801" s="30">
        <f t="shared" si="2968"/>
        <v>8000</v>
      </c>
      <c r="C2801" s="8">
        <v>25000</v>
      </c>
      <c r="D2801" s="8">
        <v>0</v>
      </c>
      <c r="E2801" s="8">
        <v>700</v>
      </c>
      <c r="F2801" s="8">
        <v>15000</v>
      </c>
      <c r="G2801" s="30">
        <f t="shared" si="2969"/>
        <v>2400</v>
      </c>
      <c r="H2801" s="8">
        <v>25000</v>
      </c>
      <c r="I2801" s="30">
        <f t="shared" si="2970"/>
        <v>8000</v>
      </c>
      <c r="J2801" s="8">
        <v>25000</v>
      </c>
      <c r="K2801" s="30">
        <f t="shared" si="2971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VLOOKUP(VLOOKUP(DATEVALUE(TEXT(A2801,"m/d/yyyy")),FY24_Temp[],5,FALSE)&amp;TEXT(A2801,"-h"),Table6[],4,FALSE)</f>
        <v>2.4285705435232452E-3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VLOOKUP(TEXT(A2801,"yy-mm")&amp;"-"&amp;IF(AND(WEEKDAY(A2801)&gt;1,WEEKDAY(A2801)&lt;7),"Wkd",TEXT(A2801,"Ddd"))&amp;"-"&amp;TEXT(A2801,"hh"),LoadTable[],5,FALSE)*0.92</f>
        <v>236.10788000000002</v>
      </c>
      <c r="U2801" s="104">
        <f>VLOOKUP(TEXT(A2801,"yy-mm")&amp;"-"&amp;IF(AND(WEEKDAY(A2801)&gt;1,WEEKDAY(A2801)&lt;7),"Wkd",TEXT(A2801,"Ddd"))&amp;"-"&amp;TEXT(A2801,"hh"),LoadTable[],6,FALSE)*T2801</f>
        <v>10551.188941440001</v>
      </c>
      <c r="V2801">
        <f t="shared" ref="V2801:W2801" si="2993">V2777</f>
        <v>3.5</v>
      </c>
      <c r="W2801">
        <f t="shared" si="2993"/>
        <v>2.9</v>
      </c>
      <c r="X2801" s="9">
        <v>-157.11059276667399</v>
      </c>
    </row>
    <row r="2802" spans="1:24">
      <c r="A2802" s="29">
        <f t="shared" si="2944"/>
        <v>45952.624999993212</v>
      </c>
      <c r="B2802" s="30">
        <f t="shared" si="2968"/>
        <v>8000</v>
      </c>
      <c r="C2802" s="8">
        <v>25000</v>
      </c>
      <c r="D2802" s="8">
        <v>0</v>
      </c>
      <c r="E2802" s="8">
        <v>700</v>
      </c>
      <c r="F2802" s="8">
        <v>15000</v>
      </c>
      <c r="G2802" s="30">
        <f t="shared" si="2969"/>
        <v>2400</v>
      </c>
      <c r="H2802" s="8">
        <v>25000</v>
      </c>
      <c r="I2802" s="30">
        <f t="shared" si="2970"/>
        <v>8000</v>
      </c>
      <c r="J2802" s="8">
        <v>25000</v>
      </c>
      <c r="K2802" s="30">
        <f t="shared" si="2971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VLOOKUP(VLOOKUP(DATEVALUE(TEXT(A2802,"m/d/yyyy")),FY24_Temp[],5,FALSE)&amp;TEXT(A2802,"-h"),Table6[],4,FALSE)</f>
        <v>0.13285714206451429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VLOOKUP(TEXT(A2802,"yy-mm")&amp;"-"&amp;IF(AND(WEEKDAY(A2802)&gt;1,WEEKDAY(A2802)&lt;7),"Wkd",TEXT(A2802,"Ddd"))&amp;"-"&amp;TEXT(A2802,"hh"),LoadTable[],5,FALSE)*0.92</f>
        <v>236.10788000000002</v>
      </c>
      <c r="U2802" s="104">
        <f>VLOOKUP(TEXT(A2802,"yy-mm")&amp;"-"&amp;IF(AND(WEEKDAY(A2802)&gt;1,WEEKDAY(A2802)&lt;7),"Wkd",TEXT(A2802,"Ddd"))&amp;"-"&amp;TEXT(A2802,"hh"),LoadTable[],6,FALSE)*T2802</f>
        <v>10572.202542760002</v>
      </c>
      <c r="V2802">
        <f t="shared" ref="V2802:W2802" si="2994">V2778</f>
        <v>3.2</v>
      </c>
      <c r="W2802">
        <f t="shared" si="2994"/>
        <v>2.9</v>
      </c>
      <c r="X2802" s="9">
        <v>-157.18838731667401</v>
      </c>
    </row>
    <row r="2803" spans="1:24">
      <c r="A2803" s="29">
        <f t="shared" si="2944"/>
        <v>45952.666666659876</v>
      </c>
      <c r="B2803" s="30">
        <f t="shared" si="2968"/>
        <v>8000</v>
      </c>
      <c r="C2803" s="8">
        <v>25000</v>
      </c>
      <c r="D2803" s="8">
        <v>0</v>
      </c>
      <c r="E2803" s="8">
        <v>700</v>
      </c>
      <c r="F2803" s="8">
        <v>15000</v>
      </c>
      <c r="G2803" s="30">
        <f t="shared" si="2969"/>
        <v>2400</v>
      </c>
      <c r="H2803" s="8">
        <v>25000</v>
      </c>
      <c r="I2803" s="30">
        <f t="shared" si="2970"/>
        <v>8000</v>
      </c>
      <c r="J2803" s="8">
        <v>25000</v>
      </c>
      <c r="K2803" s="30">
        <f t="shared" si="2971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VLOOKUP(VLOOKUP(DATEVALUE(TEXT(A2803,"m/d/yyyy")),FY24_Temp[],5,FALSE)&amp;TEXT(A2803,"-h"),Table6[],4,FALSE)</f>
        <v>0.3728571448816746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VLOOKUP(TEXT(A2803,"yy-mm")&amp;"-"&amp;IF(AND(WEEKDAY(A2803)&gt;1,WEEKDAY(A2803)&lt;7),"Wkd",TEXT(A2803,"Ddd"))&amp;"-"&amp;TEXT(A2803,"hh"),LoadTable[],5,FALSE)*0.92</f>
        <v>236.10788000000002</v>
      </c>
      <c r="U2803" s="104">
        <f>VLOOKUP(TEXT(A2803,"yy-mm")&amp;"-"&amp;IF(AND(WEEKDAY(A2803)&gt;1,WEEKDAY(A2803)&lt;7),"Wkd",TEXT(A2803,"Ddd"))&amp;"-"&amp;TEXT(A2803,"hh"),LoadTable[],6,FALSE)*T2803</f>
        <v>10648.93760376</v>
      </c>
      <c r="V2803">
        <f t="shared" ref="V2803:W2803" si="2995">V2779</f>
        <v>3.5</v>
      </c>
      <c r="W2803">
        <f t="shared" si="2995"/>
        <v>3</v>
      </c>
      <c r="X2803" s="9">
        <v>-157.266181866674</v>
      </c>
    </row>
    <row r="2804" spans="1:24">
      <c r="A2804" s="29">
        <f t="shared" si="2944"/>
        <v>45952.70833332654</v>
      </c>
      <c r="B2804" s="30">
        <f t="shared" si="2968"/>
        <v>8000</v>
      </c>
      <c r="C2804" s="8">
        <v>25000</v>
      </c>
      <c r="D2804" s="8">
        <v>0</v>
      </c>
      <c r="E2804" s="8">
        <v>700</v>
      </c>
      <c r="F2804" s="8">
        <v>15000</v>
      </c>
      <c r="G2804" s="30">
        <f t="shared" si="2969"/>
        <v>2400</v>
      </c>
      <c r="H2804" s="8">
        <v>25000</v>
      </c>
      <c r="I2804" s="30">
        <f t="shared" si="2970"/>
        <v>8000</v>
      </c>
      <c r="J2804" s="8">
        <v>25000</v>
      </c>
      <c r="K2804" s="30">
        <f t="shared" si="2971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VLOOKUP(VLOOKUP(DATEVALUE(TEXT(A2804,"m/d/yyyy")),FY24_Temp[],5,FALSE)&amp;TEXT(A2804,"-h"),Table6[],4,FALSE)</f>
        <v>0.63814285401985393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VLOOKUP(TEXT(A2804,"yy-mm")&amp;"-"&amp;IF(AND(WEEKDAY(A2804)&gt;1,WEEKDAY(A2804)&lt;7),"Wkd",TEXT(A2804,"Ddd"))&amp;"-"&amp;TEXT(A2804,"hh"),LoadTable[],5,FALSE)*0.92</f>
        <v>236.10788000000002</v>
      </c>
      <c r="U2804" s="104">
        <f>VLOOKUP(TEXT(A2804,"yy-mm")&amp;"-"&amp;IF(AND(WEEKDAY(A2804)&gt;1,WEEKDAY(A2804)&lt;7),"Wkd",TEXT(A2804,"Ddd"))&amp;"-"&amp;TEXT(A2804,"hh"),LoadTable[],6,FALSE)*T2804</f>
        <v>11157.513977280001</v>
      </c>
      <c r="V2804">
        <f t="shared" ref="V2804:W2804" si="2996">V2780</f>
        <v>3.6</v>
      </c>
      <c r="W2804">
        <f t="shared" si="2996"/>
        <v>3</v>
      </c>
      <c r="X2804" s="9">
        <v>-157.343976416674</v>
      </c>
    </row>
    <row r="2805" spans="1:24">
      <c r="A2805" s="29">
        <f t="shared" si="2944"/>
        <v>45952.749999993204</v>
      </c>
      <c r="B2805" s="30">
        <f t="shared" si="2968"/>
        <v>5000</v>
      </c>
      <c r="C2805" s="8">
        <v>25000</v>
      </c>
      <c r="D2805" s="8">
        <v>0</v>
      </c>
      <c r="E2805" s="8">
        <v>700</v>
      </c>
      <c r="F2805" s="8">
        <v>15000</v>
      </c>
      <c r="G2805" s="30">
        <f t="shared" si="2969"/>
        <v>2400</v>
      </c>
      <c r="H2805" s="8">
        <v>25000</v>
      </c>
      <c r="I2805" s="30">
        <f t="shared" si="2970"/>
        <v>5000</v>
      </c>
      <c r="J2805" s="8">
        <v>25000</v>
      </c>
      <c r="K2805" s="30">
        <f t="shared" si="2971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VLOOKUP(VLOOKUP(DATEVALUE(TEXT(A2805,"m/d/yyyy")),FY24_Temp[],5,FALSE)&amp;TEXT(A2805,"-h"),Table6[],4,FALSE)</f>
        <v>0.73900000122615261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VLOOKUP(TEXT(A2805,"yy-mm")&amp;"-"&amp;IF(AND(WEEKDAY(A2805)&gt;1,WEEKDAY(A2805)&lt;7),"Wkd",TEXT(A2805,"Ddd"))&amp;"-"&amp;TEXT(A2805,"hh"),LoadTable[],5,FALSE)*0.92</f>
        <v>308.12363999999997</v>
      </c>
      <c r="U2805" s="104">
        <f>VLOOKUP(TEXT(A2805,"yy-mm")&amp;"-"&amp;IF(AND(WEEKDAY(A2805)&gt;1,WEEKDAY(A2805)&lt;7),"Wkd",TEXT(A2805,"Ddd"))&amp;"-"&amp;TEXT(A2805,"hh"),LoadTable[],6,FALSE)*T2805</f>
        <v>15139.963175039999</v>
      </c>
      <c r="V2805">
        <f t="shared" ref="V2805:W2805" si="2997">V2781</f>
        <v>2.9</v>
      </c>
      <c r="W2805">
        <f t="shared" si="2997"/>
        <v>3</v>
      </c>
      <c r="X2805" s="9">
        <v>-157.42177096667399</v>
      </c>
    </row>
    <row r="2806" spans="1:24">
      <c r="A2806" s="29">
        <f t="shared" si="2944"/>
        <v>45952.791666659868</v>
      </c>
      <c r="B2806" s="30">
        <f t="shared" si="2968"/>
        <v>5000</v>
      </c>
      <c r="C2806" s="8">
        <v>25000</v>
      </c>
      <c r="D2806" s="8">
        <v>0</v>
      </c>
      <c r="E2806" s="8">
        <v>700</v>
      </c>
      <c r="F2806" s="8">
        <v>15000</v>
      </c>
      <c r="G2806" s="30">
        <f t="shared" si="2969"/>
        <v>2400</v>
      </c>
      <c r="H2806" s="8">
        <v>25000</v>
      </c>
      <c r="I2806" s="30">
        <f t="shared" si="2970"/>
        <v>5000</v>
      </c>
      <c r="J2806" s="8">
        <v>25000</v>
      </c>
      <c r="K2806" s="30">
        <f t="shared" si="2971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VLOOKUP(VLOOKUP(DATEVALUE(TEXT(A2806,"m/d/yyyy")),FY24_Temp[],5,FALSE)&amp;TEXT(A2806,"-h"),Table6[],4,FALSE)</f>
        <v>0.80314285427247845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VLOOKUP(TEXT(A2806,"yy-mm")&amp;"-"&amp;IF(AND(WEEKDAY(A2806)&gt;1,WEEKDAY(A2806)&lt;7),"Wkd",TEXT(A2806,"Ddd"))&amp;"-"&amp;TEXT(A2806,"hh"),LoadTable[],5,FALSE)*0.92</f>
        <v>308.12363999999997</v>
      </c>
      <c r="U2806" s="104">
        <f>VLOOKUP(TEXT(A2806,"yy-mm")&amp;"-"&amp;IF(AND(WEEKDAY(A2806)&gt;1,WEEKDAY(A2806)&lt;7),"Wkd",TEXT(A2806,"Ddd"))&amp;"-"&amp;TEXT(A2806,"hh"),LoadTable[],6,FALSE)*T2806</f>
        <v>15247.806449039997</v>
      </c>
      <c r="V2806">
        <f t="shared" ref="V2806:W2806" si="2998">V2782</f>
        <v>3</v>
      </c>
      <c r="W2806">
        <f t="shared" si="2998"/>
        <v>3</v>
      </c>
      <c r="X2806" s="9">
        <v>-157.49956551667401</v>
      </c>
    </row>
    <row r="2807" spans="1:24">
      <c r="A2807" s="29">
        <f t="shared" si="2944"/>
        <v>45952.833333326533</v>
      </c>
      <c r="B2807" s="30">
        <f t="shared" si="2968"/>
        <v>5000</v>
      </c>
      <c r="C2807" s="8">
        <v>25000</v>
      </c>
      <c r="D2807" s="8">
        <v>0</v>
      </c>
      <c r="E2807" s="8">
        <v>700</v>
      </c>
      <c r="F2807" s="8">
        <v>15000</v>
      </c>
      <c r="G2807" s="30">
        <f t="shared" si="2969"/>
        <v>2400</v>
      </c>
      <c r="H2807" s="8">
        <v>25000</v>
      </c>
      <c r="I2807" s="30">
        <f t="shared" si="2970"/>
        <v>5000</v>
      </c>
      <c r="J2807" s="8">
        <v>25000</v>
      </c>
      <c r="K2807" s="30">
        <f t="shared" si="2971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VLOOKUP(VLOOKUP(DATEVALUE(TEXT(A2807,"m/d/yyyy")),FY24_Temp[],5,FALSE)&amp;TEXT(A2807,"-h"),Table6[],4,FALSE)</f>
        <v>0.86528570312539677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VLOOKUP(TEXT(A2807,"yy-mm")&amp;"-"&amp;IF(AND(WEEKDAY(A2807)&gt;1,WEEKDAY(A2807)&lt;7),"Wkd",TEXT(A2807,"Ddd"))&amp;"-"&amp;TEXT(A2807,"hh"),LoadTable[],5,FALSE)*0.92</f>
        <v>308.12363999999997</v>
      </c>
      <c r="U2807" s="104">
        <f>VLOOKUP(TEXT(A2807,"yy-mm")&amp;"-"&amp;IF(AND(WEEKDAY(A2807)&gt;1,WEEKDAY(A2807)&lt;7),"Wkd",TEXT(A2807,"Ddd"))&amp;"-"&amp;TEXT(A2807,"hh"),LoadTable[],6,FALSE)*T2807</f>
        <v>15157.218098879999</v>
      </c>
      <c r="V2807">
        <f t="shared" ref="V2807:W2807" si="2999">V2783</f>
        <v>2.8</v>
      </c>
      <c r="W2807">
        <f t="shared" si="2999"/>
        <v>3.1</v>
      </c>
      <c r="X2807" s="9">
        <v>-157.577360066674</v>
      </c>
    </row>
    <row r="2808" spans="1:24">
      <c r="A2808" s="29">
        <f t="shared" si="2944"/>
        <v>45952.874999993197</v>
      </c>
      <c r="B2808" s="30">
        <f t="shared" si="2968"/>
        <v>5000</v>
      </c>
      <c r="C2808" s="8">
        <v>25000</v>
      </c>
      <c r="D2808" s="8">
        <v>0</v>
      </c>
      <c r="E2808" s="8">
        <v>700</v>
      </c>
      <c r="F2808" s="8">
        <v>15000</v>
      </c>
      <c r="G2808" s="30">
        <f t="shared" si="2969"/>
        <v>2400</v>
      </c>
      <c r="H2808" s="8">
        <v>25000</v>
      </c>
      <c r="I2808" s="30">
        <f t="shared" si="2970"/>
        <v>5000</v>
      </c>
      <c r="J2808" s="8">
        <v>25000</v>
      </c>
      <c r="K2808" s="30">
        <f t="shared" si="2971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VLOOKUP(VLOOKUP(DATEVALUE(TEXT(A2808,"m/d/yyyy")),FY24_Temp[],5,FALSE)&amp;TEXT(A2808,"-h"),Table6[],4,FALSE)</f>
        <v>0.95742857465746201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VLOOKUP(TEXT(A2808,"yy-mm")&amp;"-"&amp;IF(AND(WEEKDAY(A2808)&gt;1,WEEKDAY(A2808)&lt;7),"Wkd",TEXT(A2808,"Ddd"))&amp;"-"&amp;TEXT(A2808,"hh"),LoadTable[],5,FALSE)*0.92</f>
        <v>234.33964000000003</v>
      </c>
      <c r="U2808" s="104">
        <f>VLOOKUP(TEXT(A2808,"yy-mm")&amp;"-"&amp;IF(AND(WEEKDAY(A2808)&gt;1,WEEKDAY(A2808)&lt;7),"Wkd",TEXT(A2808,"Ddd"))&amp;"-"&amp;TEXT(A2808,"hh"),LoadTable[],6,FALSE)*T2808</f>
        <v>11344.147632760001</v>
      </c>
      <c r="V2808">
        <f t="shared" ref="V2808:W2808" si="3000">V2784</f>
        <v>3.5</v>
      </c>
      <c r="W2808">
        <f t="shared" si="3000"/>
        <v>3.1</v>
      </c>
      <c r="X2808" s="9">
        <v>-157.655154616674</v>
      </c>
    </row>
    <row r="2809" spans="1:24">
      <c r="A2809" s="29">
        <f t="shared" si="2944"/>
        <v>45952.916666659861</v>
      </c>
      <c r="B2809" s="30">
        <f t="shared" si="2968"/>
        <v>5000</v>
      </c>
      <c r="C2809" s="8">
        <v>25000</v>
      </c>
      <c r="D2809" s="8">
        <v>0</v>
      </c>
      <c r="E2809" s="8">
        <v>700</v>
      </c>
      <c r="F2809" s="8">
        <v>15000</v>
      </c>
      <c r="G2809" s="30">
        <f t="shared" si="2969"/>
        <v>2400</v>
      </c>
      <c r="H2809" s="8">
        <v>25000</v>
      </c>
      <c r="I2809" s="30">
        <f t="shared" si="2970"/>
        <v>5000</v>
      </c>
      <c r="J2809" s="8">
        <v>25000</v>
      </c>
      <c r="K2809" s="30">
        <f t="shared" si="2971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VLOOKUP(VLOOKUP(DATEVALUE(TEXT(A2809,"m/d/yyyy")),FY24_Temp[],5,FALSE)&amp;TEXT(A2809,"-h"),Table6[],4,FALSE)</f>
        <v>1.0430000169890485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VLOOKUP(TEXT(A2809,"yy-mm")&amp;"-"&amp;IF(AND(WEEKDAY(A2809)&gt;1,WEEKDAY(A2809)&lt;7),"Wkd",TEXT(A2809,"Ddd"))&amp;"-"&amp;TEXT(A2809,"hh"),LoadTable[],5,FALSE)*0.92</f>
        <v>180.62544</v>
      </c>
      <c r="U2809" s="104">
        <f>VLOOKUP(TEXT(A2809,"yy-mm")&amp;"-"&amp;IF(AND(WEEKDAY(A2809)&gt;1,WEEKDAY(A2809)&lt;7),"Wkd",TEXT(A2809,"Ddd"))&amp;"-"&amp;TEXT(A2809,"hh"),LoadTable[],6,FALSE)*T2809</f>
        <v>8304.2546039999997</v>
      </c>
      <c r="V2809">
        <f t="shared" ref="V2809:W2809" si="3001">V2785</f>
        <v>2.9</v>
      </c>
      <c r="W2809">
        <f t="shared" si="3001"/>
        <v>3.1</v>
      </c>
      <c r="X2809" s="9">
        <v>-157.73294916667399</v>
      </c>
    </row>
    <row r="2810" spans="1:24">
      <c r="A2810" s="29">
        <f t="shared" si="2944"/>
        <v>45952.958333326525</v>
      </c>
      <c r="B2810" s="30">
        <f t="shared" si="2968"/>
        <v>5000</v>
      </c>
      <c r="C2810" s="8">
        <v>25000</v>
      </c>
      <c r="D2810" s="8">
        <v>0</v>
      </c>
      <c r="E2810" s="8">
        <v>700</v>
      </c>
      <c r="F2810" s="8">
        <v>15000</v>
      </c>
      <c r="G2810" s="30">
        <f t="shared" si="2969"/>
        <v>2400</v>
      </c>
      <c r="H2810" s="8">
        <v>25000</v>
      </c>
      <c r="I2810" s="30">
        <f t="shared" si="2970"/>
        <v>5000</v>
      </c>
      <c r="J2810" s="8">
        <v>25000</v>
      </c>
      <c r="K2810" s="30">
        <f t="shared" si="2971"/>
        <v>5000</v>
      </c>
      <c r="L2810" s="8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9">
        <v>13.5</v>
      </c>
      <c r="P2810" s="9">
        <v>19.5</v>
      </c>
      <c r="Q2810" s="79">
        <f>VLOOKUP(VLOOKUP(DATEVALUE(TEXT(A2810,"m/d/yyyy")),FY24_Temp[],5,FALSE)&amp;TEXT(A2810,"-h"),Table6[],4,FALSE)</f>
        <v>1.0454285740700597</v>
      </c>
      <c r="R2810">
        <v>10</v>
      </c>
      <c r="S2810">
        <v>1000</v>
      </c>
      <c r="T2810" s="5">
        <f>VLOOKUP(TEXT(A2810,"yy-mm")&amp;"-"&amp;IF(AND(WEEKDAY(A2810)&gt;1,WEEKDAY(A2810)&lt;7),"Wkd",TEXT(A2810,"Ddd"))&amp;"-"&amp;TEXT(A2810,"hh"),LoadTable[],5,FALSE)*0.92</f>
        <v>180.62544</v>
      </c>
      <c r="U2810" s="104">
        <f>VLOOKUP(TEXT(A2810,"yy-mm")&amp;"-"&amp;IF(AND(WEEKDAY(A2810)&gt;1,WEEKDAY(A2810)&lt;7),"Wkd",TEXT(A2810,"Ddd"))&amp;"-"&amp;TEXT(A2810,"hh"),LoadTable[],6,FALSE)*T2810</f>
        <v>8217.1931419200009</v>
      </c>
      <c r="V2810">
        <f t="shared" ref="V2810:W2810" si="3002">V2786</f>
        <v>3.6</v>
      </c>
      <c r="W2810">
        <f t="shared" si="3002"/>
        <v>3.1</v>
      </c>
      <c r="X2810" s="9">
        <v>-157.81074371667401</v>
      </c>
    </row>
    <row r="2811" spans="1:24">
      <c r="A2811" s="29">
        <f t="shared" si="2944"/>
        <v>45952.99999999319</v>
      </c>
      <c r="B2811" s="30">
        <f t="shared" si="2968"/>
        <v>5000</v>
      </c>
      <c r="C2811" s="8">
        <v>25000</v>
      </c>
      <c r="D2811" s="8">
        <v>0</v>
      </c>
      <c r="E2811" s="8">
        <v>700</v>
      </c>
      <c r="F2811" s="8">
        <v>15000</v>
      </c>
      <c r="G2811" s="30">
        <f t="shared" si="2969"/>
        <v>2400</v>
      </c>
      <c r="H2811" s="8">
        <v>25000</v>
      </c>
      <c r="I2811" s="30">
        <f t="shared" si="2970"/>
        <v>5000</v>
      </c>
      <c r="J2811" s="8">
        <v>25000</v>
      </c>
      <c r="K2811" s="30">
        <f t="shared" si="2971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VLOOKUP(VLOOKUP(DATEVALUE(TEXT(A2811,"m/d/yyyy")),FY24_Temp[],5,FALSE)&amp;TEXT(A2811,"-h"),Table6[],4,FALSE)</f>
        <v>0.52500001029895027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VLOOKUP(TEXT(A2811,"yy-mm")&amp;"-"&amp;IF(AND(WEEKDAY(A2811)&gt;1,WEEKDAY(A2811)&lt;7),"Wkd",TEXT(A2811,"Ddd"))&amp;"-"&amp;TEXT(A2811,"hh"),LoadTable[],5,FALSE)*0.92</f>
        <v>180.62544</v>
      </c>
      <c r="U2811" s="104">
        <f>VLOOKUP(TEXT(A2811,"yy-mm")&amp;"-"&amp;IF(AND(WEEKDAY(A2811)&gt;1,WEEKDAY(A2811)&lt;7),"Wkd",TEXT(A2811,"Ddd"))&amp;"-"&amp;TEXT(A2811,"hh"),LoadTable[],6,FALSE)*T2811</f>
        <v>8132.4798105600003</v>
      </c>
      <c r="V2811">
        <f t="shared" ref="V2811:W2811" si="3003">V2787</f>
        <v>3</v>
      </c>
      <c r="W2811">
        <f t="shared" si="3003"/>
        <v>3.2</v>
      </c>
      <c r="X2811" s="9">
        <v>-157.888538266674</v>
      </c>
    </row>
    <row r="2812" spans="1:24">
      <c r="A2812" s="29">
        <f t="shared" si="2944"/>
        <v>45953.041666659854</v>
      </c>
      <c r="B2812" s="30">
        <f t="shared" si="2968"/>
        <v>5000</v>
      </c>
      <c r="C2812" s="8">
        <v>25000</v>
      </c>
      <c r="D2812" s="8">
        <v>0</v>
      </c>
      <c r="E2812" s="8">
        <v>700</v>
      </c>
      <c r="F2812" s="8">
        <v>15000</v>
      </c>
      <c r="G2812" s="30">
        <f t="shared" si="2969"/>
        <v>2400</v>
      </c>
      <c r="H2812" s="8">
        <v>25000</v>
      </c>
      <c r="I2812" s="30">
        <f t="shared" si="2970"/>
        <v>5000</v>
      </c>
      <c r="J2812" s="8">
        <v>25000</v>
      </c>
      <c r="K2812" s="30">
        <f t="shared" si="2971"/>
        <v>5000</v>
      </c>
      <c r="L2812" s="8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9">
        <v>13.5</v>
      </c>
      <c r="P2812" s="9">
        <v>19.5</v>
      </c>
      <c r="Q2812" s="79">
        <f>VLOOKUP(VLOOKUP(DATEVALUE(TEXT(A2812,"m/d/yyyy")),FY24_Temp[],5,FALSE)&amp;TEXT(A2812,"-h"),Table6[],4,FALSE)</f>
        <v>0.80228570532815979</v>
      </c>
      <c r="R2812">
        <v>10</v>
      </c>
      <c r="S2812">
        <v>1000</v>
      </c>
      <c r="T2812" s="5">
        <f>VLOOKUP(TEXT(A2812,"yy-mm")&amp;"-"&amp;IF(AND(WEEKDAY(A2812)&gt;1,WEEKDAY(A2812)&lt;7),"Wkd",TEXT(A2812,"Ddd"))&amp;"-"&amp;TEXT(A2812,"hh"),LoadTable[],5,FALSE)*0.92</f>
        <v>180.62544</v>
      </c>
      <c r="U2812" s="104">
        <f>VLOOKUP(TEXT(A2812,"yy-mm")&amp;"-"&amp;IF(AND(WEEKDAY(A2812)&gt;1,WEEKDAY(A2812)&lt;7),"Wkd",TEXT(A2812,"Ddd"))&amp;"-"&amp;TEXT(A2812,"hh"),LoadTable[],6,FALSE)*T2812</f>
        <v>8124.71291664</v>
      </c>
      <c r="V2812">
        <f t="shared" ref="V2812:W2812" si="3004">V2788</f>
        <v>2.6</v>
      </c>
      <c r="W2812">
        <f t="shared" si="3004"/>
        <v>3.2</v>
      </c>
      <c r="X2812" s="9">
        <v>-157.966332816674</v>
      </c>
    </row>
    <row r="2813" spans="1:24">
      <c r="A2813" s="29">
        <f t="shared" si="2944"/>
        <v>45953.083333326518</v>
      </c>
      <c r="B2813" s="30">
        <f t="shared" si="2968"/>
        <v>5000</v>
      </c>
      <c r="C2813" s="8">
        <v>25000</v>
      </c>
      <c r="D2813" s="8">
        <v>0</v>
      </c>
      <c r="E2813" s="8">
        <v>700</v>
      </c>
      <c r="F2813" s="8">
        <v>15000</v>
      </c>
      <c r="G2813" s="30">
        <f t="shared" si="2969"/>
        <v>2400</v>
      </c>
      <c r="H2813" s="8">
        <v>25000</v>
      </c>
      <c r="I2813" s="30">
        <f t="shared" si="2970"/>
        <v>5000</v>
      </c>
      <c r="J2813" s="8">
        <v>25000</v>
      </c>
      <c r="K2813" s="30">
        <f t="shared" si="2971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VLOOKUP(VLOOKUP(DATEVALUE(TEXT(A2813,"m/d/yyyy")),FY24_Temp[],5,FALSE)&amp;TEXT(A2813,"-h"),Table6[],4,FALSE)</f>
        <v>0.82585714335577387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VLOOKUP(TEXT(A2813,"yy-mm")&amp;"-"&amp;IF(AND(WEEKDAY(A2813)&gt;1,WEEKDAY(A2813)&lt;7),"Wkd",TEXT(A2813,"Ddd"))&amp;"-"&amp;TEXT(A2813,"hh"),LoadTable[],5,FALSE)*0.92</f>
        <v>180.62544</v>
      </c>
      <c r="U2813" s="104">
        <f>VLOOKUP(TEXT(A2813,"yy-mm")&amp;"-"&amp;IF(AND(WEEKDAY(A2813)&gt;1,WEEKDAY(A2813)&lt;7),"Wkd",TEXT(A2813,"Ddd"))&amp;"-"&amp;TEXT(A2813,"hh"),LoadTable[],6,FALSE)*T2813</f>
        <v>8120.1972806400008</v>
      </c>
      <c r="V2813">
        <f t="shared" ref="V2813:W2813" si="3005">V2789</f>
        <v>2.8</v>
      </c>
      <c r="W2813">
        <f t="shared" si="3005"/>
        <v>3.2</v>
      </c>
      <c r="X2813" s="9">
        <v>-158.04412736667399</v>
      </c>
    </row>
    <row r="2814" spans="1:24">
      <c r="A2814" s="29">
        <f t="shared" si="2944"/>
        <v>45953.124999993182</v>
      </c>
      <c r="B2814" s="30">
        <f t="shared" si="2968"/>
        <v>5000</v>
      </c>
      <c r="C2814" s="8">
        <v>25000</v>
      </c>
      <c r="D2814" s="8">
        <v>0</v>
      </c>
      <c r="E2814" s="8">
        <v>700</v>
      </c>
      <c r="F2814" s="8">
        <v>15000</v>
      </c>
      <c r="G2814" s="30">
        <f t="shared" si="2969"/>
        <v>2400</v>
      </c>
      <c r="H2814" s="8">
        <v>25000</v>
      </c>
      <c r="I2814" s="30">
        <f t="shared" si="2970"/>
        <v>5000</v>
      </c>
      <c r="J2814" s="8">
        <v>25000</v>
      </c>
      <c r="K2814" s="30">
        <f t="shared" si="2971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VLOOKUP(VLOOKUP(DATEVALUE(TEXT(A2814,"m/d/yyyy")),FY24_Temp[],5,FALSE)&amp;TEXT(A2814,"-h"),Table6[],4,FALSE)</f>
        <v>0.77514286660566056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VLOOKUP(TEXT(A2814,"yy-mm")&amp;"-"&amp;IF(AND(WEEKDAY(A2814)&gt;1,WEEKDAY(A2814)&lt;7),"Wkd",TEXT(A2814,"Ddd"))&amp;"-"&amp;TEXT(A2814,"hh"),LoadTable[],5,FALSE)*0.92</f>
        <v>180.62544</v>
      </c>
      <c r="U2814" s="104">
        <f>VLOOKUP(TEXT(A2814,"yy-mm")&amp;"-"&amp;IF(AND(WEEKDAY(A2814)&gt;1,WEEKDAY(A2814)&lt;7),"Wkd",TEXT(A2814,"Ddd"))&amp;"-"&amp;TEXT(A2814,"hh"),LoadTable[],6,FALSE)*T2814</f>
        <v>8141.3304571199997</v>
      </c>
      <c r="V2814">
        <f t="shared" ref="V2814:W2814" si="3006">V2790</f>
        <v>2.7</v>
      </c>
      <c r="W2814">
        <f t="shared" si="3006"/>
        <v>3.2</v>
      </c>
      <c r="X2814" s="9">
        <v>-158.12192191667401</v>
      </c>
    </row>
    <row r="2815" spans="1:24">
      <c r="A2815" s="29">
        <f t="shared" si="2944"/>
        <v>45953.166666659847</v>
      </c>
      <c r="B2815" s="30">
        <f t="shared" si="2968"/>
        <v>5000</v>
      </c>
      <c r="C2815" s="8">
        <v>25000</v>
      </c>
      <c r="D2815" s="8">
        <v>0</v>
      </c>
      <c r="E2815" s="8">
        <v>700</v>
      </c>
      <c r="F2815" s="8">
        <v>15000</v>
      </c>
      <c r="G2815" s="30">
        <f t="shared" si="2969"/>
        <v>2400</v>
      </c>
      <c r="H2815" s="8">
        <v>25000</v>
      </c>
      <c r="I2815" s="30">
        <f t="shared" si="2970"/>
        <v>5000</v>
      </c>
      <c r="J2815" s="8">
        <v>25000</v>
      </c>
      <c r="K2815" s="30">
        <f t="shared" si="2971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VLOOKUP(VLOOKUP(DATEVALUE(TEXT(A2815,"m/d/yyyy")),FY24_Temp[],5,FALSE)&amp;TEXT(A2815,"-h"),Table6[],4,FALSE)</f>
        <v>0.71685714598402617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VLOOKUP(TEXT(A2815,"yy-mm")&amp;"-"&amp;IF(AND(WEEKDAY(A2815)&gt;1,WEEKDAY(A2815)&lt;7),"Wkd",TEXT(A2815,"Ddd"))&amp;"-"&amp;TEXT(A2815,"hh"),LoadTable[],5,FALSE)*0.92</f>
        <v>180.62544</v>
      </c>
      <c r="U2815" s="104">
        <f>VLOOKUP(TEXT(A2815,"yy-mm")&amp;"-"&amp;IF(AND(WEEKDAY(A2815)&gt;1,WEEKDAY(A2815)&lt;7),"Wkd",TEXT(A2815,"Ddd"))&amp;"-"&amp;TEXT(A2815,"hh"),LoadTable[],6,FALSE)*T2815</f>
        <v>8184.86118816</v>
      </c>
      <c r="V2815">
        <f t="shared" ref="V2815:W2815" si="3007">V2791</f>
        <v>3</v>
      </c>
      <c r="W2815">
        <f t="shared" si="3007"/>
        <v>3.1</v>
      </c>
      <c r="X2815" s="9">
        <v>-158.199716466674</v>
      </c>
    </row>
    <row r="2816" spans="1:24">
      <c r="A2816" s="29">
        <f t="shared" si="2944"/>
        <v>45953.208333326511</v>
      </c>
      <c r="B2816" s="30">
        <f t="shared" si="2968"/>
        <v>5000</v>
      </c>
      <c r="C2816" s="8">
        <v>25000</v>
      </c>
      <c r="D2816" s="8">
        <v>0</v>
      </c>
      <c r="E2816" s="8">
        <v>700</v>
      </c>
      <c r="F2816" s="8">
        <v>15000</v>
      </c>
      <c r="G2816" s="30">
        <f t="shared" si="2969"/>
        <v>2400</v>
      </c>
      <c r="H2816" s="8">
        <v>25000</v>
      </c>
      <c r="I2816" s="30">
        <f t="shared" si="2970"/>
        <v>5000</v>
      </c>
      <c r="J2816" s="8">
        <v>25000</v>
      </c>
      <c r="K2816" s="30">
        <f t="shared" si="2971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VLOOKUP(VLOOKUP(DATEVALUE(TEXT(A2816,"m/d/yyyy")),FY24_Temp[],5,FALSE)&amp;TEXT(A2816,"-h"),Table6[],4,FALSE)</f>
        <v>0.68157143264069042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VLOOKUP(TEXT(A2816,"yy-mm")&amp;"-"&amp;IF(AND(WEEKDAY(A2816)&gt;1,WEEKDAY(A2816)&lt;7),"Wkd",TEXT(A2816,"Ddd"))&amp;"-"&amp;TEXT(A2816,"hh"),LoadTable[],5,FALSE)*0.92</f>
        <v>275.09195999999997</v>
      </c>
      <c r="U2816" s="104">
        <f>VLOOKUP(TEXT(A2816,"yy-mm")&amp;"-"&amp;IF(AND(WEEKDAY(A2816)&gt;1,WEEKDAY(A2816)&lt;7),"Wkd",TEXT(A2816,"Ddd"))&amp;"-"&amp;TEXT(A2816,"hh"),LoadTable[],6,FALSE)*T2816</f>
        <v>12729.880448999998</v>
      </c>
      <c r="V2816">
        <f t="shared" ref="V2816:W2816" si="3008">V2792</f>
        <v>2.9</v>
      </c>
      <c r="W2816">
        <f t="shared" si="3008"/>
        <v>3.1</v>
      </c>
      <c r="X2816" s="9">
        <v>-158.277511016674</v>
      </c>
    </row>
    <row r="2817" spans="1:24">
      <c r="A2817" s="29">
        <f t="shared" si="2944"/>
        <v>45953.249999993175</v>
      </c>
      <c r="B2817" s="30">
        <f t="shared" si="2968"/>
        <v>8000</v>
      </c>
      <c r="C2817" s="8">
        <v>25000</v>
      </c>
      <c r="D2817" s="8">
        <v>0</v>
      </c>
      <c r="E2817" s="8">
        <v>700</v>
      </c>
      <c r="F2817" s="8">
        <v>15000</v>
      </c>
      <c r="G2817" s="30">
        <f t="shared" si="2969"/>
        <v>2400</v>
      </c>
      <c r="H2817" s="8">
        <v>25000</v>
      </c>
      <c r="I2817" s="30">
        <f t="shared" si="2970"/>
        <v>8000</v>
      </c>
      <c r="J2817" s="8">
        <v>25000</v>
      </c>
      <c r="K2817" s="30">
        <f t="shared" si="2971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VLOOKUP(VLOOKUP(DATEVALUE(TEXT(A2817,"m/d/yyyy")),FY24_Temp[],5,FALSE)&amp;TEXT(A2817,"-h"),Table6[],4,FALSE)</f>
        <v>0.5494285853817924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VLOOKUP(TEXT(A2817,"yy-mm")&amp;"-"&amp;IF(AND(WEEKDAY(A2817)&gt;1,WEEKDAY(A2817)&lt;7),"Wkd",TEXT(A2817,"Ddd"))&amp;"-"&amp;TEXT(A2817,"hh"),LoadTable[],5,FALSE)*0.92</f>
        <v>275.09195999999997</v>
      </c>
      <c r="U2817" s="104">
        <f>VLOOKUP(TEXT(A2817,"yy-mm")&amp;"-"&amp;IF(AND(WEEKDAY(A2817)&gt;1,WEEKDAY(A2817)&lt;7),"Wkd",TEXT(A2817,"Ddd"))&amp;"-"&amp;TEXT(A2817,"hh"),LoadTable[],6,FALSE)*T2817</f>
        <v>13284.465840359997</v>
      </c>
      <c r="V2817">
        <f t="shared" ref="V2817:W2817" si="3009">V2793</f>
        <v>2.5</v>
      </c>
      <c r="W2817">
        <f t="shared" si="3009"/>
        <v>3.1</v>
      </c>
      <c r="X2817" s="9">
        <v>-158.35530556667399</v>
      </c>
    </row>
    <row r="2818" spans="1:24">
      <c r="A2818" s="29">
        <f t="shared" si="2944"/>
        <v>45953.291666659839</v>
      </c>
      <c r="B2818" s="30">
        <f t="shared" si="2968"/>
        <v>8000</v>
      </c>
      <c r="C2818" s="8">
        <v>25000</v>
      </c>
      <c r="D2818" s="8">
        <v>0</v>
      </c>
      <c r="E2818" s="8">
        <v>700</v>
      </c>
      <c r="F2818" s="8">
        <v>15000</v>
      </c>
      <c r="G2818" s="30">
        <f t="shared" si="2969"/>
        <v>2400</v>
      </c>
      <c r="H2818" s="8">
        <v>25000</v>
      </c>
      <c r="I2818" s="30">
        <f t="shared" si="2970"/>
        <v>8000</v>
      </c>
      <c r="J2818" s="8">
        <v>25000</v>
      </c>
      <c r="K2818" s="30">
        <f t="shared" si="2971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VLOOKUP(VLOOKUP(DATEVALUE(TEXT(A2818,"m/d/yyyy")),FY24_Temp[],5,FALSE)&amp;TEXT(A2818,"-h"),Table6[],4,FALSE)</f>
        <v>0.44057143108991348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VLOOKUP(TEXT(A2818,"yy-mm")&amp;"-"&amp;IF(AND(WEEKDAY(A2818)&gt;1,WEEKDAY(A2818)&lt;7),"Wkd",TEXT(A2818,"Ddd"))&amp;"-"&amp;TEXT(A2818,"hh"),LoadTable[],5,FALSE)*0.92</f>
        <v>236.10788000000002</v>
      </c>
      <c r="U2818" s="104">
        <f>VLOOKUP(TEXT(A2818,"yy-mm")&amp;"-"&amp;IF(AND(WEEKDAY(A2818)&gt;1,WEEKDAY(A2818)&lt;7),"Wkd",TEXT(A2818,"Ddd"))&amp;"-"&amp;TEXT(A2818,"hh"),LoadTable[],6,FALSE)*T2818</f>
        <v>11438.48235448</v>
      </c>
      <c r="V2818">
        <f t="shared" ref="V2818:W2818" si="3010">V2794</f>
        <v>2.5</v>
      </c>
      <c r="W2818">
        <f t="shared" si="3010"/>
        <v>3.1</v>
      </c>
      <c r="X2818" s="9">
        <v>-158.43310011667401</v>
      </c>
    </row>
    <row r="2819" spans="1:24">
      <c r="A2819" s="29">
        <f t="shared" si="2944"/>
        <v>45953.333333326504</v>
      </c>
      <c r="B2819" s="30">
        <f t="shared" si="2968"/>
        <v>8000</v>
      </c>
      <c r="C2819" s="8">
        <v>25000</v>
      </c>
      <c r="D2819" s="8">
        <v>0</v>
      </c>
      <c r="E2819" s="8">
        <v>700</v>
      </c>
      <c r="F2819" s="8">
        <v>15000</v>
      </c>
      <c r="G2819" s="30">
        <f t="shared" si="2969"/>
        <v>2400</v>
      </c>
      <c r="H2819" s="8">
        <v>25000</v>
      </c>
      <c r="I2819" s="30">
        <f t="shared" si="2970"/>
        <v>8000</v>
      </c>
      <c r="J2819" s="8">
        <v>25000</v>
      </c>
      <c r="K2819" s="30">
        <f t="shared" si="2971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VLOOKUP(VLOOKUP(DATEVALUE(TEXT(A2819,"m/d/yyyy")),FY24_Temp[],5,FALSE)&amp;TEXT(A2819,"-h"),Table6[],4,FALSE)</f>
        <v>0.35985714461501639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VLOOKUP(TEXT(A2819,"yy-mm")&amp;"-"&amp;IF(AND(WEEKDAY(A2819)&gt;1,WEEKDAY(A2819)&lt;7),"Wkd",TEXT(A2819,"Ddd"))&amp;"-"&amp;TEXT(A2819,"hh"),LoadTable[],5,FALSE)*0.92</f>
        <v>236.10788000000002</v>
      </c>
      <c r="U2819" s="104">
        <f>VLOOKUP(TEXT(A2819,"yy-mm")&amp;"-"&amp;IF(AND(WEEKDAY(A2819)&gt;1,WEEKDAY(A2819)&lt;7),"Wkd",TEXT(A2819,"Ddd"))&amp;"-"&amp;TEXT(A2819,"hh"),LoadTable[],6,FALSE)*T2819</f>
        <v>10919.281126360002</v>
      </c>
      <c r="V2819">
        <f t="shared" ref="V2819:W2819" si="3011">V2795</f>
        <v>3.2</v>
      </c>
      <c r="W2819">
        <f t="shared" si="3011"/>
        <v>3</v>
      </c>
      <c r="X2819" s="9">
        <v>-158.51089466667401</v>
      </c>
    </row>
    <row r="2820" spans="1:24">
      <c r="A2820" s="29">
        <f t="shared" si="2944"/>
        <v>45953.374999993168</v>
      </c>
      <c r="B2820" s="30">
        <f t="shared" si="2968"/>
        <v>8000</v>
      </c>
      <c r="C2820" s="8">
        <v>25000</v>
      </c>
      <c r="D2820" s="8">
        <v>0</v>
      </c>
      <c r="E2820" s="8">
        <v>700</v>
      </c>
      <c r="F2820" s="8">
        <v>15000</v>
      </c>
      <c r="G2820" s="30">
        <f t="shared" si="2969"/>
        <v>2400</v>
      </c>
      <c r="H2820" s="8">
        <v>25000</v>
      </c>
      <c r="I2820" s="30">
        <f t="shared" si="2970"/>
        <v>8000</v>
      </c>
      <c r="J2820" s="8">
        <v>25000</v>
      </c>
      <c r="K2820" s="30">
        <f t="shared" si="2971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VLOOKUP(VLOOKUP(DATEVALUE(TEXT(A2820,"m/d/yyyy")),FY24_Temp[],5,FALSE)&amp;TEXT(A2820,"-h"),Table6[],4,FALSE)</f>
        <v>0.28685713816253877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VLOOKUP(TEXT(A2820,"yy-mm")&amp;"-"&amp;IF(AND(WEEKDAY(A2820)&gt;1,WEEKDAY(A2820)&lt;7),"Wkd",TEXT(A2820,"Ddd"))&amp;"-"&amp;TEXT(A2820,"hh"),LoadTable[],5,FALSE)*0.92</f>
        <v>236.10788000000002</v>
      </c>
      <c r="U2820" s="104">
        <f>VLOOKUP(TEXT(A2820,"yy-mm")&amp;"-"&amp;IF(AND(WEEKDAY(A2820)&gt;1,WEEKDAY(A2820)&lt;7),"Wkd",TEXT(A2820,"Ddd"))&amp;"-"&amp;TEXT(A2820,"hh"),LoadTable[],6,FALSE)*T2820</f>
        <v>10592.271712560001</v>
      </c>
      <c r="V2820">
        <f t="shared" ref="V2820:W2820" si="3012">V2796</f>
        <v>2.9</v>
      </c>
      <c r="W2820">
        <f t="shared" si="3012"/>
        <v>3</v>
      </c>
      <c r="X2820" s="9">
        <v>-158.588689216674</v>
      </c>
    </row>
    <row r="2821" spans="1:24">
      <c r="A2821" s="29">
        <f t="shared" ref="A2821:A2884" si="3013">A2820+TIME(1,0,0)</f>
        <v>45953.416666659832</v>
      </c>
      <c r="B2821" s="30">
        <f t="shared" si="2968"/>
        <v>8000</v>
      </c>
      <c r="C2821" s="8">
        <v>25000</v>
      </c>
      <c r="D2821" s="8">
        <v>0</v>
      </c>
      <c r="E2821" s="8">
        <v>700</v>
      </c>
      <c r="F2821" s="8">
        <v>15000</v>
      </c>
      <c r="G2821" s="30">
        <f t="shared" si="2969"/>
        <v>2400</v>
      </c>
      <c r="H2821" s="8">
        <v>25000</v>
      </c>
      <c r="I2821" s="30">
        <f t="shared" si="2970"/>
        <v>8000</v>
      </c>
      <c r="J2821" s="8">
        <v>25000</v>
      </c>
      <c r="K2821" s="30">
        <f t="shared" si="2971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VLOOKUP(VLOOKUP(DATEVALUE(TEXT(A2821,"m/d/yyyy")),FY24_Temp[],5,FALSE)&amp;TEXT(A2821,"-h"),Table6[],4,FALSE)</f>
        <v>0.21185714012194715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VLOOKUP(TEXT(A2821,"yy-mm")&amp;"-"&amp;IF(AND(WEEKDAY(A2821)&gt;1,WEEKDAY(A2821)&lt;7),"Wkd",TEXT(A2821,"Ddd"))&amp;"-"&amp;TEXT(A2821,"hh"),LoadTable[],5,FALSE)*0.92</f>
        <v>236.10788000000002</v>
      </c>
      <c r="U2821" s="104">
        <f>VLOOKUP(TEXT(A2821,"yy-mm")&amp;"-"&amp;IF(AND(WEEKDAY(A2821)&gt;1,WEEKDAY(A2821)&lt;7),"Wkd",TEXT(A2821,"Ddd"))&amp;"-"&amp;TEXT(A2821,"hh"),LoadTable[],6,FALSE)*T2821</f>
        <v>10565.591522120001</v>
      </c>
      <c r="V2821">
        <f t="shared" ref="V2821:W2821" si="3014">V2797</f>
        <v>2.9</v>
      </c>
      <c r="W2821">
        <f t="shared" si="3014"/>
        <v>3</v>
      </c>
      <c r="X2821" s="9">
        <v>-158.66648376667399</v>
      </c>
    </row>
    <row r="2822" spans="1:24">
      <c r="A2822" s="29">
        <f t="shared" si="3013"/>
        <v>45953.458333326496</v>
      </c>
      <c r="B2822" s="30">
        <f t="shared" si="2968"/>
        <v>8000</v>
      </c>
      <c r="C2822" s="8">
        <v>25000</v>
      </c>
      <c r="D2822" s="8">
        <v>0</v>
      </c>
      <c r="E2822" s="8">
        <v>700</v>
      </c>
      <c r="F2822" s="8">
        <v>15000</v>
      </c>
      <c r="G2822" s="30">
        <f t="shared" si="2969"/>
        <v>2400</v>
      </c>
      <c r="H2822" s="8">
        <v>25000</v>
      </c>
      <c r="I2822" s="30">
        <f t="shared" si="2970"/>
        <v>8000</v>
      </c>
      <c r="J2822" s="8">
        <v>25000</v>
      </c>
      <c r="K2822" s="30">
        <f t="shared" si="2971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VLOOKUP(VLOOKUP(DATEVALUE(TEXT(A2822,"m/d/yyyy")),FY24_Temp[],5,FALSE)&amp;TEXT(A2822,"-h"),Table6[],4,FALSE)</f>
        <v>0.132285714167475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VLOOKUP(TEXT(A2822,"yy-mm")&amp;"-"&amp;IF(AND(WEEKDAY(A2822)&gt;1,WEEKDAY(A2822)&lt;7),"Wkd",TEXT(A2822,"Ddd"))&amp;"-"&amp;TEXT(A2822,"hh"),LoadTable[],5,FALSE)*0.92</f>
        <v>236.10788000000002</v>
      </c>
      <c r="U2822" s="104">
        <f>VLOOKUP(TEXT(A2822,"yy-mm")&amp;"-"&amp;IF(AND(WEEKDAY(A2822)&gt;1,WEEKDAY(A2822)&lt;7),"Wkd",TEXT(A2822,"Ddd"))&amp;"-"&amp;TEXT(A2822,"hh"),LoadTable[],6,FALSE)*T2822</f>
        <v>10548.355646880002</v>
      </c>
      <c r="V2822">
        <f t="shared" ref="V2822:W2822" si="3015">V2798</f>
        <v>3.4</v>
      </c>
      <c r="W2822">
        <f t="shared" si="3015"/>
        <v>3</v>
      </c>
      <c r="X2822" s="9">
        <v>-158.74427831667401</v>
      </c>
    </row>
    <row r="2823" spans="1:24">
      <c r="A2823" s="29">
        <f t="shared" si="3013"/>
        <v>45953.499999993161</v>
      </c>
      <c r="B2823" s="30">
        <f t="shared" si="2968"/>
        <v>8000</v>
      </c>
      <c r="C2823" s="8">
        <v>25000</v>
      </c>
      <c r="D2823" s="8">
        <v>0</v>
      </c>
      <c r="E2823" s="8">
        <v>700</v>
      </c>
      <c r="F2823" s="8">
        <v>15000</v>
      </c>
      <c r="G2823" s="30">
        <f t="shared" si="2969"/>
        <v>2400</v>
      </c>
      <c r="H2823" s="8">
        <v>25000</v>
      </c>
      <c r="I2823" s="30">
        <f t="shared" si="2970"/>
        <v>8000</v>
      </c>
      <c r="J2823" s="8">
        <v>25000</v>
      </c>
      <c r="K2823" s="30">
        <f t="shared" si="2971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VLOOKUP(VLOOKUP(DATEVALUE(TEXT(A2823,"m/d/yyyy")),FY24_Temp[],5,FALSE)&amp;TEXT(A2823,"-h"),Table6[],4,FALSE)</f>
        <v>5.5857142192049847E-2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VLOOKUP(TEXT(A2823,"yy-mm")&amp;"-"&amp;IF(AND(WEEKDAY(A2823)&gt;1,WEEKDAY(A2823)&lt;7),"Wkd",TEXT(A2823,"Ddd"))&amp;"-"&amp;TEXT(A2823,"hh"),LoadTable[],5,FALSE)*0.92</f>
        <v>236.10788000000002</v>
      </c>
      <c r="U2823" s="104">
        <f>VLOOKUP(TEXT(A2823,"yy-mm")&amp;"-"&amp;IF(AND(WEEKDAY(A2823)&gt;1,WEEKDAY(A2823)&lt;7),"Wkd",TEXT(A2823,"Ddd"))&amp;"-"&amp;TEXT(A2823,"hh"),LoadTable[],6,FALSE)*T2823</f>
        <v>10540.327978960002</v>
      </c>
      <c r="V2823">
        <f t="shared" ref="V2823:W2823" si="3016">V2799</f>
        <v>3.1</v>
      </c>
      <c r="W2823">
        <f t="shared" si="3016"/>
        <v>2.9</v>
      </c>
      <c r="X2823" s="9">
        <v>-158.82207286667401</v>
      </c>
    </row>
    <row r="2824" spans="1:24">
      <c r="A2824" s="29">
        <f t="shared" si="3013"/>
        <v>45953.541666659825</v>
      </c>
      <c r="B2824" s="30">
        <f t="shared" si="2968"/>
        <v>8000</v>
      </c>
      <c r="C2824" s="8">
        <v>25000</v>
      </c>
      <c r="D2824" s="8">
        <v>0</v>
      </c>
      <c r="E2824" s="8">
        <v>700</v>
      </c>
      <c r="F2824" s="8">
        <v>15000</v>
      </c>
      <c r="G2824" s="30">
        <f t="shared" si="2969"/>
        <v>2400</v>
      </c>
      <c r="H2824" s="8">
        <v>25000</v>
      </c>
      <c r="I2824" s="30">
        <f t="shared" si="2970"/>
        <v>8000</v>
      </c>
      <c r="J2824" s="8">
        <v>25000</v>
      </c>
      <c r="K2824" s="30">
        <f t="shared" si="2971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VLOOKUP(VLOOKUP(DATEVALUE(TEXT(A2824,"m/d/yyyy")),FY24_Temp[],5,FALSE)&amp;TEXT(A2824,"-h"),Table6[],4,FALSE)</f>
        <v>-3.7142866273079272E-3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VLOOKUP(TEXT(A2824,"yy-mm")&amp;"-"&amp;IF(AND(WEEKDAY(A2824)&gt;1,WEEKDAY(A2824)&lt;7),"Wkd",TEXT(A2824,"Ddd"))&amp;"-"&amp;TEXT(A2824,"hh"),LoadTable[],5,FALSE)*0.92</f>
        <v>236.10788000000002</v>
      </c>
      <c r="U2824" s="104">
        <f>VLOOKUP(TEXT(A2824,"yy-mm")&amp;"-"&amp;IF(AND(WEEKDAY(A2824)&gt;1,WEEKDAY(A2824)&lt;7),"Wkd",TEXT(A2824,"Ddd"))&amp;"-"&amp;TEXT(A2824,"hh"),LoadTable[],6,FALSE)*T2824</f>
        <v>10541.50851836</v>
      </c>
      <c r="V2824">
        <f t="shared" ref="V2824:W2824" si="3017">V2800</f>
        <v>3.2</v>
      </c>
      <c r="W2824">
        <f t="shared" si="3017"/>
        <v>2.9</v>
      </c>
      <c r="X2824" s="9">
        <v>-158.89986741667499</v>
      </c>
    </row>
    <row r="2825" spans="1:24">
      <c r="A2825" s="29">
        <f t="shared" si="3013"/>
        <v>45953.583333326489</v>
      </c>
      <c r="B2825" s="30">
        <f t="shared" si="2968"/>
        <v>8000</v>
      </c>
      <c r="C2825" s="8">
        <v>25000</v>
      </c>
      <c r="D2825" s="8">
        <v>0</v>
      </c>
      <c r="E2825" s="8">
        <v>700</v>
      </c>
      <c r="F2825" s="8">
        <v>15000</v>
      </c>
      <c r="G2825" s="30">
        <f t="shared" si="2969"/>
        <v>2400</v>
      </c>
      <c r="H2825" s="8">
        <v>25000</v>
      </c>
      <c r="I2825" s="30">
        <f t="shared" si="2970"/>
        <v>8000</v>
      </c>
      <c r="J2825" s="8">
        <v>25000</v>
      </c>
      <c r="K2825" s="30">
        <f t="shared" si="2971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VLOOKUP(VLOOKUP(DATEVALUE(TEXT(A2825,"m/d/yyyy")),FY24_Temp[],5,FALSE)&amp;TEXT(A2825,"-h"),Table6[],4,FALSE)</f>
        <v>2.4285705435232452E-3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VLOOKUP(TEXT(A2825,"yy-mm")&amp;"-"&amp;IF(AND(WEEKDAY(A2825)&gt;1,WEEKDAY(A2825)&lt;7),"Wkd",TEXT(A2825,"Ddd"))&amp;"-"&amp;TEXT(A2825,"hh"),LoadTable[],5,FALSE)*0.92</f>
        <v>236.10788000000002</v>
      </c>
      <c r="U2825" s="104">
        <f>VLOOKUP(TEXT(A2825,"yy-mm")&amp;"-"&amp;IF(AND(WEEKDAY(A2825)&gt;1,WEEKDAY(A2825)&lt;7),"Wkd",TEXT(A2825,"Ddd"))&amp;"-"&amp;TEXT(A2825,"hh"),LoadTable[],6,FALSE)*T2825</f>
        <v>10551.188941440001</v>
      </c>
      <c r="V2825">
        <f t="shared" ref="V2825:W2825" si="3018">V2801</f>
        <v>3.5</v>
      </c>
      <c r="W2825">
        <f t="shared" si="3018"/>
        <v>2.9</v>
      </c>
      <c r="X2825" s="9">
        <v>-158.97766196667499</v>
      </c>
    </row>
    <row r="2826" spans="1:24">
      <c r="A2826" s="29">
        <f t="shared" si="3013"/>
        <v>45953.624999993153</v>
      </c>
      <c r="B2826" s="30">
        <f t="shared" si="2968"/>
        <v>8000</v>
      </c>
      <c r="C2826" s="8">
        <v>25000</v>
      </c>
      <c r="D2826" s="8">
        <v>0</v>
      </c>
      <c r="E2826" s="8">
        <v>700</v>
      </c>
      <c r="F2826" s="8">
        <v>15000</v>
      </c>
      <c r="G2826" s="30">
        <f t="shared" si="2969"/>
        <v>2400</v>
      </c>
      <c r="H2826" s="8">
        <v>25000</v>
      </c>
      <c r="I2826" s="30">
        <f t="shared" si="2970"/>
        <v>8000</v>
      </c>
      <c r="J2826" s="8">
        <v>25000</v>
      </c>
      <c r="K2826" s="30">
        <f t="shared" si="2971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VLOOKUP(VLOOKUP(DATEVALUE(TEXT(A2826,"m/d/yyyy")),FY24_Temp[],5,FALSE)&amp;TEXT(A2826,"-h"),Table6[],4,FALSE)</f>
        <v>0.13285714206451429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VLOOKUP(TEXT(A2826,"yy-mm")&amp;"-"&amp;IF(AND(WEEKDAY(A2826)&gt;1,WEEKDAY(A2826)&lt;7),"Wkd",TEXT(A2826,"Ddd"))&amp;"-"&amp;TEXT(A2826,"hh"),LoadTable[],5,FALSE)*0.92</f>
        <v>236.10788000000002</v>
      </c>
      <c r="U2826" s="104">
        <f>VLOOKUP(TEXT(A2826,"yy-mm")&amp;"-"&amp;IF(AND(WEEKDAY(A2826)&gt;1,WEEKDAY(A2826)&lt;7),"Wkd",TEXT(A2826,"Ddd"))&amp;"-"&amp;TEXT(A2826,"hh"),LoadTable[],6,FALSE)*T2826</f>
        <v>10572.202542760002</v>
      </c>
      <c r="V2826">
        <f t="shared" ref="V2826:W2826" si="3019">V2802</f>
        <v>3.2</v>
      </c>
      <c r="W2826">
        <f t="shared" si="3019"/>
        <v>2.9</v>
      </c>
      <c r="X2826" s="9">
        <v>-159.05545651667401</v>
      </c>
    </row>
    <row r="2827" spans="1:24">
      <c r="A2827" s="29">
        <f t="shared" si="3013"/>
        <v>45953.666666659818</v>
      </c>
      <c r="B2827" s="30">
        <f t="shared" si="2968"/>
        <v>8000</v>
      </c>
      <c r="C2827" s="8">
        <v>25000</v>
      </c>
      <c r="D2827" s="8">
        <v>0</v>
      </c>
      <c r="E2827" s="8">
        <v>700</v>
      </c>
      <c r="F2827" s="8">
        <v>15000</v>
      </c>
      <c r="G2827" s="30">
        <f t="shared" si="2969"/>
        <v>2400</v>
      </c>
      <c r="H2827" s="8">
        <v>25000</v>
      </c>
      <c r="I2827" s="30">
        <f t="shared" si="2970"/>
        <v>8000</v>
      </c>
      <c r="J2827" s="8">
        <v>25000</v>
      </c>
      <c r="K2827" s="30">
        <f t="shared" si="2971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VLOOKUP(VLOOKUP(DATEVALUE(TEXT(A2827,"m/d/yyyy")),FY24_Temp[],5,FALSE)&amp;TEXT(A2827,"-h"),Table6[],4,FALSE)</f>
        <v>0.3728571448816746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VLOOKUP(TEXT(A2827,"yy-mm")&amp;"-"&amp;IF(AND(WEEKDAY(A2827)&gt;1,WEEKDAY(A2827)&lt;7),"Wkd",TEXT(A2827,"Ddd"))&amp;"-"&amp;TEXT(A2827,"hh"),LoadTable[],5,FALSE)*0.92</f>
        <v>236.10788000000002</v>
      </c>
      <c r="U2827" s="104">
        <f>VLOOKUP(TEXT(A2827,"yy-mm")&amp;"-"&amp;IF(AND(WEEKDAY(A2827)&gt;1,WEEKDAY(A2827)&lt;7),"Wkd",TEXT(A2827,"Ddd"))&amp;"-"&amp;TEXT(A2827,"hh"),LoadTable[],6,FALSE)*T2827</f>
        <v>10648.93760376</v>
      </c>
      <c r="V2827">
        <f t="shared" ref="V2827:W2827" si="3020">V2803</f>
        <v>3.5</v>
      </c>
      <c r="W2827">
        <f t="shared" si="3020"/>
        <v>3</v>
      </c>
      <c r="X2827" s="9">
        <v>-159.13325106667401</v>
      </c>
    </row>
    <row r="2828" spans="1:24">
      <c r="A2828" s="29">
        <f t="shared" si="3013"/>
        <v>45953.708333326482</v>
      </c>
      <c r="B2828" s="30">
        <f t="shared" si="2968"/>
        <v>8000</v>
      </c>
      <c r="C2828" s="8">
        <v>25000</v>
      </c>
      <c r="D2828" s="8">
        <v>0</v>
      </c>
      <c r="E2828" s="8">
        <v>700</v>
      </c>
      <c r="F2828" s="8">
        <v>15000</v>
      </c>
      <c r="G2828" s="30">
        <f t="shared" si="2969"/>
        <v>2400</v>
      </c>
      <c r="H2828" s="8">
        <v>25000</v>
      </c>
      <c r="I2828" s="30">
        <f t="shared" si="2970"/>
        <v>8000</v>
      </c>
      <c r="J2828" s="8">
        <v>25000</v>
      </c>
      <c r="K2828" s="30">
        <f t="shared" si="2971"/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VLOOKUP(VLOOKUP(DATEVALUE(TEXT(A2828,"m/d/yyyy")),FY24_Temp[],5,FALSE)&amp;TEXT(A2828,"-h"),Table6[],4,FALSE)</f>
        <v>0.63814285401985393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VLOOKUP(TEXT(A2828,"yy-mm")&amp;"-"&amp;IF(AND(WEEKDAY(A2828)&gt;1,WEEKDAY(A2828)&lt;7),"Wkd",TEXT(A2828,"Ddd"))&amp;"-"&amp;TEXT(A2828,"hh"),LoadTable[],5,FALSE)*0.92</f>
        <v>236.10788000000002</v>
      </c>
      <c r="U2828" s="104">
        <f>VLOOKUP(TEXT(A2828,"yy-mm")&amp;"-"&amp;IF(AND(WEEKDAY(A2828)&gt;1,WEEKDAY(A2828)&lt;7),"Wkd",TEXT(A2828,"Ddd"))&amp;"-"&amp;TEXT(A2828,"hh"),LoadTable[],6,FALSE)*T2828</f>
        <v>11157.513977280001</v>
      </c>
      <c r="V2828">
        <f t="shared" ref="V2828:W2828" si="3021">V2804</f>
        <v>3.6</v>
      </c>
      <c r="W2828">
        <f t="shared" si="3021"/>
        <v>3</v>
      </c>
      <c r="X2828" s="9">
        <v>-159.211045616674</v>
      </c>
    </row>
    <row r="2829" spans="1:24">
      <c r="A2829" s="29">
        <f t="shared" si="3013"/>
        <v>45953.749999993146</v>
      </c>
      <c r="B2829" s="30">
        <f t="shared" si="2968"/>
        <v>5000</v>
      </c>
      <c r="C2829" s="8">
        <v>25000</v>
      </c>
      <c r="D2829" s="8">
        <v>0</v>
      </c>
      <c r="E2829" s="8">
        <v>700</v>
      </c>
      <c r="F2829" s="8">
        <v>15000</v>
      </c>
      <c r="G2829" s="30">
        <f t="shared" si="2969"/>
        <v>2400</v>
      </c>
      <c r="H2829" s="8">
        <v>25000</v>
      </c>
      <c r="I2829" s="30">
        <f t="shared" si="2970"/>
        <v>5000</v>
      </c>
      <c r="J2829" s="8">
        <v>25000</v>
      </c>
      <c r="K2829" s="30">
        <f t="shared" si="2971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VLOOKUP(VLOOKUP(DATEVALUE(TEXT(A2829,"m/d/yyyy")),FY24_Temp[],5,FALSE)&amp;TEXT(A2829,"-h"),Table6[],4,FALSE)</f>
        <v>0.73900000122615261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VLOOKUP(TEXT(A2829,"yy-mm")&amp;"-"&amp;IF(AND(WEEKDAY(A2829)&gt;1,WEEKDAY(A2829)&lt;7),"Wkd",TEXT(A2829,"Ddd"))&amp;"-"&amp;TEXT(A2829,"hh"),LoadTable[],5,FALSE)*0.92</f>
        <v>308.12363999999997</v>
      </c>
      <c r="U2829" s="104">
        <f>VLOOKUP(TEXT(A2829,"yy-mm")&amp;"-"&amp;IF(AND(WEEKDAY(A2829)&gt;1,WEEKDAY(A2829)&lt;7),"Wkd",TEXT(A2829,"Ddd"))&amp;"-"&amp;TEXT(A2829,"hh"),LoadTable[],6,FALSE)*T2829</f>
        <v>15139.963175039999</v>
      </c>
      <c r="V2829">
        <f t="shared" ref="V2829:W2829" si="3022">V2805</f>
        <v>2.9</v>
      </c>
      <c r="W2829">
        <f t="shared" si="3022"/>
        <v>3</v>
      </c>
      <c r="X2829" s="9">
        <v>-159.28884016667499</v>
      </c>
    </row>
    <row r="2830" spans="1:24">
      <c r="A2830" s="29">
        <f t="shared" si="3013"/>
        <v>45953.79166665981</v>
      </c>
      <c r="B2830" s="30">
        <f t="shared" si="2968"/>
        <v>5000</v>
      </c>
      <c r="C2830" s="8">
        <v>25000</v>
      </c>
      <c r="D2830" s="8">
        <v>0</v>
      </c>
      <c r="E2830" s="8">
        <v>700</v>
      </c>
      <c r="F2830" s="8">
        <v>15000</v>
      </c>
      <c r="G2830" s="30">
        <f t="shared" si="2969"/>
        <v>2400</v>
      </c>
      <c r="H2830" s="8">
        <v>25000</v>
      </c>
      <c r="I2830" s="30">
        <f t="shared" si="2970"/>
        <v>5000</v>
      </c>
      <c r="J2830" s="8">
        <v>25000</v>
      </c>
      <c r="K2830" s="30">
        <f t="shared" si="2971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VLOOKUP(VLOOKUP(DATEVALUE(TEXT(A2830,"m/d/yyyy")),FY24_Temp[],5,FALSE)&amp;TEXT(A2830,"-h"),Table6[],4,FALSE)</f>
        <v>0.80314285427247845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VLOOKUP(TEXT(A2830,"yy-mm")&amp;"-"&amp;IF(AND(WEEKDAY(A2830)&gt;1,WEEKDAY(A2830)&lt;7),"Wkd",TEXT(A2830,"Ddd"))&amp;"-"&amp;TEXT(A2830,"hh"),LoadTable[],5,FALSE)*0.92</f>
        <v>308.12363999999997</v>
      </c>
      <c r="U2830" s="104">
        <f>VLOOKUP(TEXT(A2830,"yy-mm")&amp;"-"&amp;IF(AND(WEEKDAY(A2830)&gt;1,WEEKDAY(A2830)&lt;7),"Wkd",TEXT(A2830,"Ddd"))&amp;"-"&amp;TEXT(A2830,"hh"),LoadTable[],6,FALSE)*T2830</f>
        <v>15247.806449039997</v>
      </c>
      <c r="V2830">
        <f t="shared" ref="V2830:W2830" si="3023">V2806</f>
        <v>3</v>
      </c>
      <c r="W2830">
        <f t="shared" si="3023"/>
        <v>3</v>
      </c>
      <c r="X2830" s="9">
        <v>-159.36663471667401</v>
      </c>
    </row>
    <row r="2831" spans="1:24">
      <c r="A2831" s="29">
        <f t="shared" si="3013"/>
        <v>45953.833333326475</v>
      </c>
      <c r="B2831" s="30">
        <f t="shared" si="2968"/>
        <v>5000</v>
      </c>
      <c r="C2831" s="8">
        <v>25000</v>
      </c>
      <c r="D2831" s="8">
        <v>0</v>
      </c>
      <c r="E2831" s="8">
        <v>700</v>
      </c>
      <c r="F2831" s="8">
        <v>15000</v>
      </c>
      <c r="G2831" s="30">
        <f t="shared" si="2969"/>
        <v>2400</v>
      </c>
      <c r="H2831" s="8">
        <v>25000</v>
      </c>
      <c r="I2831" s="30">
        <f t="shared" si="2970"/>
        <v>5000</v>
      </c>
      <c r="J2831" s="8">
        <v>25000</v>
      </c>
      <c r="K2831" s="30">
        <f t="shared" si="2971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VLOOKUP(VLOOKUP(DATEVALUE(TEXT(A2831,"m/d/yyyy")),FY24_Temp[],5,FALSE)&amp;TEXT(A2831,"-h"),Table6[],4,FALSE)</f>
        <v>0.86528570312539677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VLOOKUP(TEXT(A2831,"yy-mm")&amp;"-"&amp;IF(AND(WEEKDAY(A2831)&gt;1,WEEKDAY(A2831)&lt;7),"Wkd",TEXT(A2831,"Ddd"))&amp;"-"&amp;TEXT(A2831,"hh"),LoadTable[],5,FALSE)*0.92</f>
        <v>308.12363999999997</v>
      </c>
      <c r="U2831" s="104">
        <f>VLOOKUP(TEXT(A2831,"yy-mm")&amp;"-"&amp;IF(AND(WEEKDAY(A2831)&gt;1,WEEKDAY(A2831)&lt;7),"Wkd",TEXT(A2831,"Ddd"))&amp;"-"&amp;TEXT(A2831,"hh"),LoadTable[],6,FALSE)*T2831</f>
        <v>15157.218098879999</v>
      </c>
      <c r="V2831">
        <f t="shared" ref="V2831:W2831" si="3024">V2807</f>
        <v>2.8</v>
      </c>
      <c r="W2831">
        <f t="shared" si="3024"/>
        <v>3.1</v>
      </c>
      <c r="X2831" s="9">
        <v>-159.44442926667401</v>
      </c>
    </row>
    <row r="2832" spans="1:24">
      <c r="A2832" s="29">
        <f t="shared" si="3013"/>
        <v>45953.874999993139</v>
      </c>
      <c r="B2832" s="30">
        <f t="shared" si="2968"/>
        <v>5000</v>
      </c>
      <c r="C2832" s="8">
        <v>25000</v>
      </c>
      <c r="D2832" s="8">
        <v>0</v>
      </c>
      <c r="E2832" s="8">
        <v>700</v>
      </c>
      <c r="F2832" s="8">
        <v>15000</v>
      </c>
      <c r="G2832" s="30">
        <f t="shared" si="2969"/>
        <v>2400</v>
      </c>
      <c r="H2832" s="8">
        <v>25000</v>
      </c>
      <c r="I2832" s="30">
        <f t="shared" si="2970"/>
        <v>5000</v>
      </c>
      <c r="J2832" s="8">
        <v>25000</v>
      </c>
      <c r="K2832" s="30">
        <f t="shared" si="2971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VLOOKUP(VLOOKUP(DATEVALUE(TEXT(A2832,"m/d/yyyy")),FY24_Temp[],5,FALSE)&amp;TEXT(A2832,"-h"),Table6[],4,FALSE)</f>
        <v>0.95742857465746201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VLOOKUP(TEXT(A2832,"yy-mm")&amp;"-"&amp;IF(AND(WEEKDAY(A2832)&gt;1,WEEKDAY(A2832)&lt;7),"Wkd",TEXT(A2832,"Ddd"))&amp;"-"&amp;TEXT(A2832,"hh"),LoadTable[],5,FALSE)*0.92</f>
        <v>234.33964000000003</v>
      </c>
      <c r="U2832" s="104">
        <f>VLOOKUP(TEXT(A2832,"yy-mm")&amp;"-"&amp;IF(AND(WEEKDAY(A2832)&gt;1,WEEKDAY(A2832)&lt;7),"Wkd",TEXT(A2832,"Ddd"))&amp;"-"&amp;TEXT(A2832,"hh"),LoadTable[],6,FALSE)*T2832</f>
        <v>11344.147632760001</v>
      </c>
      <c r="V2832">
        <f t="shared" ref="V2832:W2832" si="3025">V2808</f>
        <v>3.5</v>
      </c>
      <c r="W2832">
        <f t="shared" si="3025"/>
        <v>3.1</v>
      </c>
      <c r="X2832" s="9">
        <v>-159.52222381667499</v>
      </c>
    </row>
    <row r="2833" spans="1:24">
      <c r="A2833" s="29">
        <f t="shared" si="3013"/>
        <v>45953.916666659803</v>
      </c>
      <c r="B2833" s="30">
        <f t="shared" si="2968"/>
        <v>5000</v>
      </c>
      <c r="C2833" s="8">
        <v>25000</v>
      </c>
      <c r="D2833" s="8">
        <v>0</v>
      </c>
      <c r="E2833" s="8">
        <v>700</v>
      </c>
      <c r="F2833" s="8">
        <v>15000</v>
      </c>
      <c r="G2833" s="30">
        <f t="shared" si="2969"/>
        <v>2400</v>
      </c>
      <c r="H2833" s="8">
        <v>25000</v>
      </c>
      <c r="I2833" s="30">
        <f t="shared" si="2970"/>
        <v>5000</v>
      </c>
      <c r="J2833" s="8">
        <v>25000</v>
      </c>
      <c r="K2833" s="30">
        <f t="shared" si="2971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VLOOKUP(VLOOKUP(DATEVALUE(TEXT(A2833,"m/d/yyyy")),FY24_Temp[],5,FALSE)&amp;TEXT(A2833,"-h"),Table6[],4,FALSE)</f>
        <v>1.0430000169890485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VLOOKUP(TEXT(A2833,"yy-mm")&amp;"-"&amp;IF(AND(WEEKDAY(A2833)&gt;1,WEEKDAY(A2833)&lt;7),"Wkd",TEXT(A2833,"Ddd"))&amp;"-"&amp;TEXT(A2833,"hh"),LoadTable[],5,FALSE)*0.92</f>
        <v>180.62544</v>
      </c>
      <c r="U2833" s="104">
        <f>VLOOKUP(TEXT(A2833,"yy-mm")&amp;"-"&amp;IF(AND(WEEKDAY(A2833)&gt;1,WEEKDAY(A2833)&lt;7),"Wkd",TEXT(A2833,"Ddd"))&amp;"-"&amp;TEXT(A2833,"hh"),LoadTable[],6,FALSE)*T2833</f>
        <v>8304.2546039999997</v>
      </c>
      <c r="V2833">
        <f t="shared" ref="V2833:W2833" si="3026">V2809</f>
        <v>2.9</v>
      </c>
      <c r="W2833">
        <f t="shared" si="3026"/>
        <v>3.1</v>
      </c>
      <c r="X2833" s="9">
        <v>-159.60001836667499</v>
      </c>
    </row>
    <row r="2834" spans="1:24">
      <c r="A2834" s="29">
        <f t="shared" si="3013"/>
        <v>45953.958333326467</v>
      </c>
      <c r="B2834" s="30">
        <f t="shared" si="2968"/>
        <v>5000</v>
      </c>
      <c r="C2834" s="41">
        <v>25000</v>
      </c>
      <c r="D2834" s="41">
        <v>0</v>
      </c>
      <c r="E2834" s="41">
        <v>700</v>
      </c>
      <c r="F2834" s="41">
        <v>15000</v>
      </c>
      <c r="G2834" s="30">
        <f t="shared" si="2969"/>
        <v>2400</v>
      </c>
      <c r="H2834" s="41">
        <v>25000</v>
      </c>
      <c r="I2834" s="30">
        <f t="shared" si="2970"/>
        <v>5000</v>
      </c>
      <c r="J2834" s="41">
        <v>25000</v>
      </c>
      <c r="K2834" s="30">
        <f t="shared" si="2971"/>
        <v>5000</v>
      </c>
      <c r="L2834" s="41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84">
        <v>13.5</v>
      </c>
      <c r="P2834" s="84">
        <v>19.5</v>
      </c>
      <c r="Q2834" s="85">
        <f>VLOOKUP(VLOOKUP(DATEVALUE(TEXT(A2834,"m/d/yyyy")),FY24_Temp[],5,FALSE)&amp;TEXT(A2834,"-h"),Table6[],4,FALSE)</f>
        <v>1.0454285740700597</v>
      </c>
      <c r="R2834">
        <v>10</v>
      </c>
      <c r="S2834">
        <v>1000</v>
      </c>
      <c r="T2834" s="98">
        <f>VLOOKUP(TEXT(A2834,"yy-mm")&amp;"-"&amp;IF(AND(WEEKDAY(A2834)&gt;1,WEEKDAY(A2834)&lt;7),"Wkd",TEXT(A2834,"Ddd"))&amp;"-"&amp;TEXT(A2834,"hh"),LoadTable[],5,FALSE)*0.92</f>
        <v>180.62544</v>
      </c>
      <c r="U2834" s="104">
        <f>VLOOKUP(TEXT(A2834,"yy-mm")&amp;"-"&amp;IF(AND(WEEKDAY(A2834)&gt;1,WEEKDAY(A2834)&lt;7),"Wkd",TEXT(A2834,"Ddd"))&amp;"-"&amp;TEXT(A2834,"hh"),LoadTable[],6,FALSE)*T2834</f>
        <v>8217.1931419200009</v>
      </c>
      <c r="V2834">
        <f t="shared" ref="V2834:W2834" si="3027">V2810</f>
        <v>3.6</v>
      </c>
      <c r="W2834">
        <f t="shared" si="3027"/>
        <v>3.1</v>
      </c>
      <c r="X2834" s="84">
        <v>-159.67781291667399</v>
      </c>
    </row>
    <row r="2835" spans="1:24">
      <c r="A2835" s="29">
        <f t="shared" si="3013"/>
        <v>45953.999999993131</v>
      </c>
      <c r="B2835" s="30">
        <f t="shared" si="2968"/>
        <v>5000</v>
      </c>
      <c r="C2835" s="8">
        <v>25000</v>
      </c>
      <c r="D2835" s="8">
        <v>0</v>
      </c>
      <c r="E2835" s="8">
        <v>700</v>
      </c>
      <c r="F2835" s="8">
        <v>15000</v>
      </c>
      <c r="G2835" s="30">
        <f t="shared" si="2969"/>
        <v>2400</v>
      </c>
      <c r="H2835" s="8">
        <v>25000</v>
      </c>
      <c r="I2835" s="30">
        <f t="shared" si="2970"/>
        <v>5000</v>
      </c>
      <c r="J2835" s="8">
        <v>25000</v>
      </c>
      <c r="K2835" s="30">
        <f t="shared" si="2971"/>
        <v>5000</v>
      </c>
      <c r="L2835" s="8">
        <v>25000</v>
      </c>
      <c r="M2835" s="9">
        <f>VLOOKUP(DATE(YEAR(A2835),MONTH(A2835),DAY(A2835)),FY24_Temp[],4,FALSE)</f>
        <v>9</v>
      </c>
      <c r="N2835" s="9">
        <f>VLOOKUP(DATE(YEAR(A2835),MONTH(A2835),DAY(A2835)),FY24_Temp[],3,FALSE)</f>
        <v>17.399999999999999</v>
      </c>
      <c r="O2835" s="9">
        <v>13.5</v>
      </c>
      <c r="P2835" s="9">
        <v>19.5</v>
      </c>
      <c r="Q2835" s="79">
        <f>VLOOKUP(VLOOKUP(DATEVALUE(TEXT(A2835,"m/d/yyyy")),FY24_Temp[],5,FALSE)&amp;TEXT(A2835,"-h"),Table6[],4,FALSE)</f>
        <v>0.52500001029895027</v>
      </c>
      <c r="R2835">
        <v>10</v>
      </c>
      <c r="S2835">
        <v>1000</v>
      </c>
      <c r="T2835" s="5">
        <f>VLOOKUP(TEXT(A2835,"yy-mm")&amp;"-"&amp;IF(AND(WEEKDAY(A2835)&gt;1,WEEKDAY(A2835)&lt;7),"Wkd",TEXT(A2835,"Ddd"))&amp;"-"&amp;TEXT(A2835,"hh"),LoadTable[],5,FALSE)*0.92</f>
        <v>180.62544</v>
      </c>
      <c r="U2835" s="104">
        <f>VLOOKUP(TEXT(A2835,"yy-mm")&amp;"-"&amp;IF(AND(WEEKDAY(A2835)&gt;1,WEEKDAY(A2835)&lt;7),"Wkd",TEXT(A2835,"Ddd"))&amp;"-"&amp;TEXT(A2835,"hh"),LoadTable[],6,FALSE)*T2835</f>
        <v>8132.4798105600003</v>
      </c>
      <c r="V2835">
        <f t="shared" ref="V2835:W2835" si="3028">V2811</f>
        <v>3</v>
      </c>
      <c r="W2835">
        <f t="shared" si="3028"/>
        <v>3.2</v>
      </c>
      <c r="X2835" s="9">
        <v>-159.75560746667401</v>
      </c>
    </row>
    <row r="2836" spans="1:24">
      <c r="A2836" s="29">
        <f t="shared" si="3013"/>
        <v>45954.041666659796</v>
      </c>
      <c r="B2836" s="30">
        <f t="shared" si="2968"/>
        <v>5000</v>
      </c>
      <c r="C2836" s="42">
        <v>25000</v>
      </c>
      <c r="D2836" s="42">
        <v>0</v>
      </c>
      <c r="E2836" s="42">
        <v>700</v>
      </c>
      <c r="F2836" s="42">
        <v>15000</v>
      </c>
      <c r="G2836" s="30">
        <f t="shared" si="2969"/>
        <v>2400</v>
      </c>
      <c r="H2836" s="42">
        <v>25000</v>
      </c>
      <c r="I2836" s="30">
        <f t="shared" si="2970"/>
        <v>5000</v>
      </c>
      <c r="J2836" s="42">
        <v>25000</v>
      </c>
      <c r="K2836" s="30">
        <f t="shared" si="2971"/>
        <v>5000</v>
      </c>
      <c r="L2836" s="42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86">
        <v>13.5</v>
      </c>
      <c r="P2836" s="86">
        <v>19.5</v>
      </c>
      <c r="Q2836" s="87">
        <f>VLOOKUP(VLOOKUP(DATEVALUE(TEXT(A2836,"m/d/yyyy")),FY24_Temp[],5,FALSE)&amp;TEXT(A2836,"-h"),Table6[],4,FALSE)</f>
        <v>0.80228570532815979</v>
      </c>
      <c r="R2836">
        <v>10</v>
      </c>
      <c r="S2836">
        <v>1000</v>
      </c>
      <c r="T2836" s="99">
        <f>VLOOKUP(TEXT(A2836,"yy-mm")&amp;"-"&amp;IF(AND(WEEKDAY(A2836)&gt;1,WEEKDAY(A2836)&lt;7),"Wkd",TEXT(A2836,"Ddd"))&amp;"-"&amp;TEXT(A2836,"hh"),LoadTable[],5,FALSE)*0.92</f>
        <v>180.62544</v>
      </c>
      <c r="U2836" s="104">
        <f>VLOOKUP(TEXT(A2836,"yy-mm")&amp;"-"&amp;IF(AND(WEEKDAY(A2836)&gt;1,WEEKDAY(A2836)&lt;7),"Wkd",TEXT(A2836,"Ddd"))&amp;"-"&amp;TEXT(A2836,"hh"),LoadTable[],6,FALSE)*T2836</f>
        <v>8124.71291664</v>
      </c>
      <c r="V2836">
        <f t="shared" ref="V2836:W2836" si="3029">V2812</f>
        <v>2.6</v>
      </c>
      <c r="W2836">
        <f t="shared" si="3029"/>
        <v>3.2</v>
      </c>
      <c r="X2836" s="86">
        <v>-159.833402016674</v>
      </c>
    </row>
    <row r="2837" spans="1:24">
      <c r="A2837" s="29">
        <f t="shared" si="3013"/>
        <v>45954.08333332646</v>
      </c>
      <c r="B2837" s="30">
        <f t="shared" si="2968"/>
        <v>5000</v>
      </c>
      <c r="C2837" s="8">
        <v>25000</v>
      </c>
      <c r="D2837" s="8">
        <v>0</v>
      </c>
      <c r="E2837" s="8">
        <v>700</v>
      </c>
      <c r="F2837" s="8">
        <v>15000</v>
      </c>
      <c r="G2837" s="30">
        <f t="shared" si="2969"/>
        <v>2400</v>
      </c>
      <c r="H2837" s="8">
        <v>25000</v>
      </c>
      <c r="I2837" s="30">
        <f t="shared" si="2970"/>
        <v>5000</v>
      </c>
      <c r="J2837" s="8">
        <v>25000</v>
      </c>
      <c r="K2837" s="30">
        <f t="shared" si="2971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VLOOKUP(VLOOKUP(DATEVALUE(TEXT(A2837,"m/d/yyyy")),FY24_Temp[],5,FALSE)&amp;TEXT(A2837,"-h"),Table6[],4,FALSE)</f>
        <v>0.82585714335577387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VLOOKUP(TEXT(A2837,"yy-mm")&amp;"-"&amp;IF(AND(WEEKDAY(A2837)&gt;1,WEEKDAY(A2837)&lt;7),"Wkd",TEXT(A2837,"Ddd"))&amp;"-"&amp;TEXT(A2837,"hh"),LoadTable[],5,FALSE)*0.92</f>
        <v>180.62544</v>
      </c>
      <c r="U2837" s="104">
        <f>VLOOKUP(TEXT(A2837,"yy-mm")&amp;"-"&amp;IF(AND(WEEKDAY(A2837)&gt;1,WEEKDAY(A2837)&lt;7),"Wkd",TEXT(A2837,"Ddd"))&amp;"-"&amp;TEXT(A2837,"hh"),LoadTable[],6,FALSE)*T2837</f>
        <v>8120.1972806400008</v>
      </c>
      <c r="V2837">
        <f t="shared" ref="V2837:W2837" si="3030">V2813</f>
        <v>2.8</v>
      </c>
      <c r="W2837">
        <f t="shared" si="3030"/>
        <v>3.2</v>
      </c>
      <c r="X2837" s="9">
        <v>-159.91119656667499</v>
      </c>
    </row>
    <row r="2838" spans="1:24">
      <c r="A2838" s="29">
        <f t="shared" si="3013"/>
        <v>45954.124999993124</v>
      </c>
      <c r="B2838" s="30">
        <f t="shared" si="2968"/>
        <v>5000</v>
      </c>
      <c r="C2838" s="8">
        <v>25000</v>
      </c>
      <c r="D2838" s="8">
        <v>0</v>
      </c>
      <c r="E2838" s="8">
        <v>700</v>
      </c>
      <c r="F2838" s="8">
        <v>15000</v>
      </c>
      <c r="G2838" s="30">
        <f t="shared" si="2969"/>
        <v>2400</v>
      </c>
      <c r="H2838" s="8">
        <v>25000</v>
      </c>
      <c r="I2838" s="30">
        <f t="shared" si="2970"/>
        <v>5000</v>
      </c>
      <c r="J2838" s="8">
        <v>25000</v>
      </c>
      <c r="K2838" s="30">
        <f t="shared" si="2971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VLOOKUP(VLOOKUP(DATEVALUE(TEXT(A2838,"m/d/yyyy")),FY24_Temp[],5,FALSE)&amp;TEXT(A2838,"-h"),Table6[],4,FALSE)</f>
        <v>0.77514286660566056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VLOOKUP(TEXT(A2838,"yy-mm")&amp;"-"&amp;IF(AND(WEEKDAY(A2838)&gt;1,WEEKDAY(A2838)&lt;7),"Wkd",TEXT(A2838,"Ddd"))&amp;"-"&amp;TEXT(A2838,"hh"),LoadTable[],5,FALSE)*0.92</f>
        <v>180.62544</v>
      </c>
      <c r="U2838" s="104">
        <f>VLOOKUP(TEXT(A2838,"yy-mm")&amp;"-"&amp;IF(AND(WEEKDAY(A2838)&gt;1,WEEKDAY(A2838)&lt;7),"Wkd",TEXT(A2838,"Ddd"))&amp;"-"&amp;TEXT(A2838,"hh"),LoadTable[],6,FALSE)*T2838</f>
        <v>8141.3304571199997</v>
      </c>
      <c r="V2838">
        <f t="shared" ref="V2838:W2838" si="3031">V2814</f>
        <v>2.7</v>
      </c>
      <c r="W2838">
        <f t="shared" si="3031"/>
        <v>3.2</v>
      </c>
      <c r="X2838" s="9">
        <v>-159.98899111667501</v>
      </c>
    </row>
    <row r="2839" spans="1:24">
      <c r="A2839" s="29">
        <f t="shared" si="3013"/>
        <v>45954.166666659788</v>
      </c>
      <c r="B2839" s="30">
        <f t="shared" si="2968"/>
        <v>5000</v>
      </c>
      <c r="C2839" s="8">
        <v>25000</v>
      </c>
      <c r="D2839" s="8">
        <v>0</v>
      </c>
      <c r="E2839" s="8">
        <v>700</v>
      </c>
      <c r="F2839" s="8">
        <v>15000</v>
      </c>
      <c r="G2839" s="30">
        <f t="shared" si="2969"/>
        <v>2400</v>
      </c>
      <c r="H2839" s="8">
        <v>25000</v>
      </c>
      <c r="I2839" s="30">
        <f t="shared" si="2970"/>
        <v>5000</v>
      </c>
      <c r="J2839" s="8">
        <v>25000</v>
      </c>
      <c r="K2839" s="30">
        <f t="shared" si="2971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VLOOKUP(VLOOKUP(DATEVALUE(TEXT(A2839,"m/d/yyyy")),FY24_Temp[],5,FALSE)&amp;TEXT(A2839,"-h"),Table6[],4,FALSE)</f>
        <v>0.71685714598402617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VLOOKUP(TEXT(A2839,"yy-mm")&amp;"-"&amp;IF(AND(WEEKDAY(A2839)&gt;1,WEEKDAY(A2839)&lt;7),"Wkd",TEXT(A2839,"Ddd"))&amp;"-"&amp;TEXT(A2839,"hh"),LoadTable[],5,FALSE)*0.92</f>
        <v>180.62544</v>
      </c>
      <c r="U2839" s="104">
        <f>VLOOKUP(TEXT(A2839,"yy-mm")&amp;"-"&amp;IF(AND(WEEKDAY(A2839)&gt;1,WEEKDAY(A2839)&lt;7),"Wkd",TEXT(A2839,"Ddd"))&amp;"-"&amp;TEXT(A2839,"hh"),LoadTable[],6,FALSE)*T2839</f>
        <v>8184.86118816</v>
      </c>
      <c r="V2839">
        <f t="shared" ref="V2839:W2839" si="3032">V2815</f>
        <v>3</v>
      </c>
      <c r="W2839">
        <f t="shared" si="3032"/>
        <v>3.1</v>
      </c>
      <c r="X2839" s="9">
        <v>-160.066785666675</v>
      </c>
    </row>
    <row r="2840" spans="1:24">
      <c r="A2840" s="29">
        <f t="shared" si="3013"/>
        <v>45954.208333326453</v>
      </c>
      <c r="B2840" s="30">
        <f t="shared" si="2968"/>
        <v>5000</v>
      </c>
      <c r="C2840" s="8">
        <v>25000</v>
      </c>
      <c r="D2840" s="8">
        <v>0</v>
      </c>
      <c r="E2840" s="8">
        <v>700</v>
      </c>
      <c r="F2840" s="8">
        <v>15000</v>
      </c>
      <c r="G2840" s="30">
        <f t="shared" si="2969"/>
        <v>2400</v>
      </c>
      <c r="H2840" s="8">
        <v>25000</v>
      </c>
      <c r="I2840" s="30">
        <f t="shared" si="2970"/>
        <v>5000</v>
      </c>
      <c r="J2840" s="8">
        <v>25000</v>
      </c>
      <c r="K2840" s="30">
        <f t="shared" si="2971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VLOOKUP(VLOOKUP(DATEVALUE(TEXT(A2840,"m/d/yyyy")),FY24_Temp[],5,FALSE)&amp;TEXT(A2840,"-h"),Table6[],4,FALSE)</f>
        <v>0.68157143264069042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VLOOKUP(TEXT(A2840,"yy-mm")&amp;"-"&amp;IF(AND(WEEKDAY(A2840)&gt;1,WEEKDAY(A2840)&lt;7),"Wkd",TEXT(A2840,"Ddd"))&amp;"-"&amp;TEXT(A2840,"hh"),LoadTable[],5,FALSE)*0.92</f>
        <v>275.09195999999997</v>
      </c>
      <c r="U2840" s="104">
        <f>VLOOKUP(TEXT(A2840,"yy-mm")&amp;"-"&amp;IF(AND(WEEKDAY(A2840)&gt;1,WEEKDAY(A2840)&lt;7),"Wkd",TEXT(A2840,"Ddd"))&amp;"-"&amp;TEXT(A2840,"hh"),LoadTable[],6,FALSE)*T2840</f>
        <v>12729.880448999998</v>
      </c>
      <c r="V2840">
        <f t="shared" ref="V2840:W2840" si="3033">V2816</f>
        <v>2.9</v>
      </c>
      <c r="W2840">
        <f t="shared" si="3033"/>
        <v>3.1</v>
      </c>
      <c r="X2840" s="9">
        <v>-160.144580216675</v>
      </c>
    </row>
    <row r="2841" spans="1:24">
      <c r="A2841" s="29">
        <f t="shared" si="3013"/>
        <v>45954.249999993117</v>
      </c>
      <c r="B2841" s="30">
        <f t="shared" si="2968"/>
        <v>8000</v>
      </c>
      <c r="C2841" s="8">
        <v>25000</v>
      </c>
      <c r="D2841" s="8">
        <v>0</v>
      </c>
      <c r="E2841" s="8">
        <v>700</v>
      </c>
      <c r="F2841" s="8">
        <v>15000</v>
      </c>
      <c r="G2841" s="30">
        <f t="shared" si="2969"/>
        <v>2400</v>
      </c>
      <c r="H2841" s="8">
        <v>25000</v>
      </c>
      <c r="I2841" s="30">
        <f t="shared" si="2970"/>
        <v>8000</v>
      </c>
      <c r="J2841" s="8">
        <v>25000</v>
      </c>
      <c r="K2841" s="30">
        <f t="shared" si="2971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VLOOKUP(VLOOKUP(DATEVALUE(TEXT(A2841,"m/d/yyyy")),FY24_Temp[],5,FALSE)&amp;TEXT(A2841,"-h"),Table6[],4,FALSE)</f>
        <v>0.5494285853817924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VLOOKUP(TEXT(A2841,"yy-mm")&amp;"-"&amp;IF(AND(WEEKDAY(A2841)&gt;1,WEEKDAY(A2841)&lt;7),"Wkd",TEXT(A2841,"Ddd"))&amp;"-"&amp;TEXT(A2841,"hh"),LoadTable[],5,FALSE)*0.92</f>
        <v>275.09195999999997</v>
      </c>
      <c r="U2841" s="104">
        <f>VLOOKUP(TEXT(A2841,"yy-mm")&amp;"-"&amp;IF(AND(WEEKDAY(A2841)&gt;1,WEEKDAY(A2841)&lt;7),"Wkd",TEXT(A2841,"Ddd"))&amp;"-"&amp;TEXT(A2841,"hh"),LoadTable[],6,FALSE)*T2841</f>
        <v>13284.465840359997</v>
      </c>
      <c r="V2841">
        <f t="shared" ref="V2841:W2841" si="3034">V2817</f>
        <v>2.5</v>
      </c>
      <c r="W2841">
        <f t="shared" si="3034"/>
        <v>3.1</v>
      </c>
      <c r="X2841" s="9">
        <v>-160.22237476667499</v>
      </c>
    </row>
    <row r="2842" spans="1:24">
      <c r="A2842" s="29">
        <f t="shared" si="3013"/>
        <v>45954.291666659781</v>
      </c>
      <c r="B2842" s="30">
        <f t="shared" si="2968"/>
        <v>8000</v>
      </c>
      <c r="C2842" s="8">
        <v>25000</v>
      </c>
      <c r="D2842" s="8">
        <v>0</v>
      </c>
      <c r="E2842" s="8">
        <v>700</v>
      </c>
      <c r="F2842" s="8">
        <v>15000</v>
      </c>
      <c r="G2842" s="30">
        <f t="shared" si="2969"/>
        <v>2400</v>
      </c>
      <c r="H2842" s="8">
        <v>25000</v>
      </c>
      <c r="I2842" s="30">
        <f t="shared" si="2970"/>
        <v>8000</v>
      </c>
      <c r="J2842" s="8">
        <v>25000</v>
      </c>
      <c r="K2842" s="30">
        <f t="shared" si="2971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VLOOKUP(VLOOKUP(DATEVALUE(TEXT(A2842,"m/d/yyyy")),FY24_Temp[],5,FALSE)&amp;TEXT(A2842,"-h"),Table6[],4,FALSE)</f>
        <v>0.44057143108991348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VLOOKUP(TEXT(A2842,"yy-mm")&amp;"-"&amp;IF(AND(WEEKDAY(A2842)&gt;1,WEEKDAY(A2842)&lt;7),"Wkd",TEXT(A2842,"Ddd"))&amp;"-"&amp;TEXT(A2842,"hh"),LoadTable[],5,FALSE)*0.92</f>
        <v>236.10788000000002</v>
      </c>
      <c r="U2842" s="104">
        <f>VLOOKUP(TEXT(A2842,"yy-mm")&amp;"-"&amp;IF(AND(WEEKDAY(A2842)&gt;1,WEEKDAY(A2842)&lt;7),"Wkd",TEXT(A2842,"Ddd"))&amp;"-"&amp;TEXT(A2842,"hh"),LoadTable[],6,FALSE)*T2842</f>
        <v>11438.48235448</v>
      </c>
      <c r="V2842">
        <f t="shared" ref="V2842:W2842" si="3035">V2818</f>
        <v>2.5</v>
      </c>
      <c r="W2842">
        <f t="shared" si="3035"/>
        <v>3.1</v>
      </c>
      <c r="X2842" s="9">
        <v>-160.30016931667501</v>
      </c>
    </row>
    <row r="2843" spans="1:24">
      <c r="A2843" s="29">
        <f t="shared" si="3013"/>
        <v>45954.333333326445</v>
      </c>
      <c r="B2843" s="30">
        <f t="shared" si="2968"/>
        <v>8000</v>
      </c>
      <c r="C2843" s="8">
        <v>25000</v>
      </c>
      <c r="D2843" s="8">
        <v>0</v>
      </c>
      <c r="E2843" s="8">
        <v>700</v>
      </c>
      <c r="F2843" s="8">
        <v>15000</v>
      </c>
      <c r="G2843" s="30">
        <f t="shared" si="2969"/>
        <v>2400</v>
      </c>
      <c r="H2843" s="8">
        <v>25000</v>
      </c>
      <c r="I2843" s="30">
        <f t="shared" si="2970"/>
        <v>8000</v>
      </c>
      <c r="J2843" s="8">
        <v>25000</v>
      </c>
      <c r="K2843" s="30">
        <f t="shared" si="2971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VLOOKUP(VLOOKUP(DATEVALUE(TEXT(A2843,"m/d/yyyy")),FY24_Temp[],5,FALSE)&amp;TEXT(A2843,"-h"),Table6[],4,FALSE)</f>
        <v>0.35985714461501639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VLOOKUP(TEXT(A2843,"yy-mm")&amp;"-"&amp;IF(AND(WEEKDAY(A2843)&gt;1,WEEKDAY(A2843)&lt;7),"Wkd",TEXT(A2843,"Ddd"))&amp;"-"&amp;TEXT(A2843,"hh"),LoadTable[],5,FALSE)*0.92</f>
        <v>236.10788000000002</v>
      </c>
      <c r="U2843" s="104">
        <f>VLOOKUP(TEXT(A2843,"yy-mm")&amp;"-"&amp;IF(AND(WEEKDAY(A2843)&gt;1,WEEKDAY(A2843)&lt;7),"Wkd",TEXT(A2843,"Ddd"))&amp;"-"&amp;TEXT(A2843,"hh"),LoadTable[],6,FALSE)*T2843</f>
        <v>10919.281126360002</v>
      </c>
      <c r="V2843">
        <f t="shared" ref="V2843:W2843" si="3036">V2819</f>
        <v>3.2</v>
      </c>
      <c r="W2843">
        <f t="shared" si="3036"/>
        <v>3</v>
      </c>
      <c r="X2843" s="9">
        <v>-160.377963866675</v>
      </c>
    </row>
    <row r="2844" spans="1:24">
      <c r="A2844" s="29">
        <f t="shared" si="3013"/>
        <v>45954.37499999311</v>
      </c>
      <c r="B2844" s="30">
        <f t="shared" ref="B2844:B2907" si="3037">B2820</f>
        <v>8000</v>
      </c>
      <c r="C2844" s="8">
        <v>25000</v>
      </c>
      <c r="D2844" s="8">
        <v>0</v>
      </c>
      <c r="E2844" s="8">
        <v>700</v>
      </c>
      <c r="F2844" s="8">
        <v>15000</v>
      </c>
      <c r="G2844" s="30">
        <f t="shared" ref="G2844:G2907" si="3038">G2820</f>
        <v>2400</v>
      </c>
      <c r="H2844" s="8">
        <v>25000</v>
      </c>
      <c r="I2844" s="30">
        <f t="shared" ref="I2844:I2907" si="3039">I2820</f>
        <v>8000</v>
      </c>
      <c r="J2844" s="8">
        <v>25000</v>
      </c>
      <c r="K2844" s="30">
        <f t="shared" ref="K2844:K2907" si="3040">K2820</f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VLOOKUP(VLOOKUP(DATEVALUE(TEXT(A2844,"m/d/yyyy")),FY24_Temp[],5,FALSE)&amp;TEXT(A2844,"-h"),Table6[],4,FALSE)</f>
        <v>0.28685713816253877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VLOOKUP(TEXT(A2844,"yy-mm")&amp;"-"&amp;IF(AND(WEEKDAY(A2844)&gt;1,WEEKDAY(A2844)&lt;7),"Wkd",TEXT(A2844,"Ddd"))&amp;"-"&amp;TEXT(A2844,"hh"),LoadTable[],5,FALSE)*0.92</f>
        <v>236.10788000000002</v>
      </c>
      <c r="U2844" s="104">
        <f>VLOOKUP(TEXT(A2844,"yy-mm")&amp;"-"&amp;IF(AND(WEEKDAY(A2844)&gt;1,WEEKDAY(A2844)&lt;7),"Wkd",TEXT(A2844,"Ddd"))&amp;"-"&amp;TEXT(A2844,"hh"),LoadTable[],6,FALSE)*T2844</f>
        <v>10592.271712560001</v>
      </c>
      <c r="V2844">
        <f t="shared" ref="V2844:W2844" si="3041">V2820</f>
        <v>2.9</v>
      </c>
      <c r="W2844">
        <f t="shared" si="3041"/>
        <v>3</v>
      </c>
      <c r="X2844" s="9">
        <v>-160.455758416675</v>
      </c>
    </row>
    <row r="2845" spans="1:24">
      <c r="A2845" s="29">
        <f t="shared" si="3013"/>
        <v>45954.416666659774</v>
      </c>
      <c r="B2845" s="30">
        <f t="shared" si="3037"/>
        <v>8000</v>
      </c>
      <c r="C2845" s="8">
        <v>25000</v>
      </c>
      <c r="D2845" s="8">
        <v>0</v>
      </c>
      <c r="E2845" s="8">
        <v>700</v>
      </c>
      <c r="F2845" s="8">
        <v>15000</v>
      </c>
      <c r="G2845" s="30">
        <f t="shared" si="3038"/>
        <v>2400</v>
      </c>
      <c r="H2845" s="8">
        <v>25000</v>
      </c>
      <c r="I2845" s="30">
        <f t="shared" si="3039"/>
        <v>8000</v>
      </c>
      <c r="J2845" s="8">
        <v>25000</v>
      </c>
      <c r="K2845" s="30">
        <f t="shared" si="3040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VLOOKUP(VLOOKUP(DATEVALUE(TEXT(A2845,"m/d/yyyy")),FY24_Temp[],5,FALSE)&amp;TEXT(A2845,"-h"),Table6[],4,FALSE)</f>
        <v>0.21185714012194715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VLOOKUP(TEXT(A2845,"yy-mm")&amp;"-"&amp;IF(AND(WEEKDAY(A2845)&gt;1,WEEKDAY(A2845)&lt;7),"Wkd",TEXT(A2845,"Ddd"))&amp;"-"&amp;TEXT(A2845,"hh"),LoadTable[],5,FALSE)*0.92</f>
        <v>236.10788000000002</v>
      </c>
      <c r="U2845" s="104">
        <f>VLOOKUP(TEXT(A2845,"yy-mm")&amp;"-"&amp;IF(AND(WEEKDAY(A2845)&gt;1,WEEKDAY(A2845)&lt;7),"Wkd",TEXT(A2845,"Ddd"))&amp;"-"&amp;TEXT(A2845,"hh"),LoadTable[],6,FALSE)*T2845</f>
        <v>10565.591522120001</v>
      </c>
      <c r="V2845">
        <f t="shared" ref="V2845:W2845" si="3042">V2821</f>
        <v>2.9</v>
      </c>
      <c r="W2845">
        <f t="shared" si="3042"/>
        <v>3</v>
      </c>
      <c r="X2845" s="9">
        <v>-160.53355296667499</v>
      </c>
    </row>
    <row r="2846" spans="1:24">
      <c r="A2846" s="29">
        <f t="shared" si="3013"/>
        <v>45954.458333326438</v>
      </c>
      <c r="B2846" s="30">
        <f t="shared" si="3037"/>
        <v>8000</v>
      </c>
      <c r="C2846" s="8">
        <v>25000</v>
      </c>
      <c r="D2846" s="8">
        <v>0</v>
      </c>
      <c r="E2846" s="8">
        <v>700</v>
      </c>
      <c r="F2846" s="8">
        <v>15000</v>
      </c>
      <c r="G2846" s="30">
        <f t="shared" si="3038"/>
        <v>2400</v>
      </c>
      <c r="H2846" s="8">
        <v>25000</v>
      </c>
      <c r="I2846" s="30">
        <f t="shared" si="3039"/>
        <v>8000</v>
      </c>
      <c r="J2846" s="8">
        <v>25000</v>
      </c>
      <c r="K2846" s="30">
        <f t="shared" si="3040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VLOOKUP(VLOOKUP(DATEVALUE(TEXT(A2846,"m/d/yyyy")),FY24_Temp[],5,FALSE)&amp;TEXT(A2846,"-h"),Table6[],4,FALSE)</f>
        <v>0.132285714167475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VLOOKUP(TEXT(A2846,"yy-mm")&amp;"-"&amp;IF(AND(WEEKDAY(A2846)&gt;1,WEEKDAY(A2846)&lt;7),"Wkd",TEXT(A2846,"Ddd"))&amp;"-"&amp;TEXT(A2846,"hh"),LoadTable[],5,FALSE)*0.92</f>
        <v>236.10788000000002</v>
      </c>
      <c r="U2846" s="104">
        <f>VLOOKUP(TEXT(A2846,"yy-mm")&amp;"-"&amp;IF(AND(WEEKDAY(A2846)&gt;1,WEEKDAY(A2846)&lt;7),"Wkd",TEXT(A2846,"Ddd"))&amp;"-"&amp;TEXT(A2846,"hh"),LoadTable[],6,FALSE)*T2846</f>
        <v>10548.355646880002</v>
      </c>
      <c r="V2846">
        <f t="shared" ref="V2846:W2846" si="3043">V2822</f>
        <v>3.4</v>
      </c>
      <c r="W2846">
        <f t="shared" si="3043"/>
        <v>3</v>
      </c>
      <c r="X2846" s="9">
        <v>-160.61134751667501</v>
      </c>
    </row>
    <row r="2847" spans="1:24">
      <c r="A2847" s="29">
        <f t="shared" si="3013"/>
        <v>45954.499999993102</v>
      </c>
      <c r="B2847" s="30">
        <f t="shared" si="3037"/>
        <v>8000</v>
      </c>
      <c r="C2847" s="8">
        <v>25000</v>
      </c>
      <c r="D2847" s="8">
        <v>0</v>
      </c>
      <c r="E2847" s="8">
        <v>700</v>
      </c>
      <c r="F2847" s="8">
        <v>15000</v>
      </c>
      <c r="G2847" s="30">
        <f t="shared" si="3038"/>
        <v>2400</v>
      </c>
      <c r="H2847" s="8">
        <v>25000</v>
      </c>
      <c r="I2847" s="30">
        <f t="shared" si="3039"/>
        <v>8000</v>
      </c>
      <c r="J2847" s="8">
        <v>25000</v>
      </c>
      <c r="K2847" s="30">
        <f t="shared" si="3040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VLOOKUP(VLOOKUP(DATEVALUE(TEXT(A2847,"m/d/yyyy")),FY24_Temp[],5,FALSE)&amp;TEXT(A2847,"-h"),Table6[],4,FALSE)</f>
        <v>5.5857142192049847E-2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VLOOKUP(TEXT(A2847,"yy-mm")&amp;"-"&amp;IF(AND(WEEKDAY(A2847)&gt;1,WEEKDAY(A2847)&lt;7),"Wkd",TEXT(A2847,"Ddd"))&amp;"-"&amp;TEXT(A2847,"hh"),LoadTable[],5,FALSE)*0.92</f>
        <v>236.10788000000002</v>
      </c>
      <c r="U2847" s="104">
        <f>VLOOKUP(TEXT(A2847,"yy-mm")&amp;"-"&amp;IF(AND(WEEKDAY(A2847)&gt;1,WEEKDAY(A2847)&lt;7),"Wkd",TEXT(A2847,"Ddd"))&amp;"-"&amp;TEXT(A2847,"hh"),LoadTable[],6,FALSE)*T2847</f>
        <v>10540.327978960002</v>
      </c>
      <c r="V2847">
        <f t="shared" ref="V2847:W2847" si="3044">V2823</f>
        <v>3.1</v>
      </c>
      <c r="W2847">
        <f t="shared" si="3044"/>
        <v>2.9</v>
      </c>
      <c r="X2847" s="9">
        <v>-160.689142066675</v>
      </c>
    </row>
    <row r="2848" spans="1:24">
      <c r="A2848" s="29">
        <f t="shared" si="3013"/>
        <v>45954.541666659767</v>
      </c>
      <c r="B2848" s="30">
        <f t="shared" si="3037"/>
        <v>8000</v>
      </c>
      <c r="C2848" s="8">
        <v>25000</v>
      </c>
      <c r="D2848" s="8">
        <v>0</v>
      </c>
      <c r="E2848" s="8">
        <v>700</v>
      </c>
      <c r="F2848" s="8">
        <v>15000</v>
      </c>
      <c r="G2848" s="30">
        <f t="shared" si="3038"/>
        <v>2400</v>
      </c>
      <c r="H2848" s="8">
        <v>25000</v>
      </c>
      <c r="I2848" s="30">
        <f t="shared" si="3039"/>
        <v>8000</v>
      </c>
      <c r="J2848" s="8">
        <v>25000</v>
      </c>
      <c r="K2848" s="30">
        <f t="shared" si="3040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VLOOKUP(VLOOKUP(DATEVALUE(TEXT(A2848,"m/d/yyyy")),FY24_Temp[],5,FALSE)&amp;TEXT(A2848,"-h"),Table6[],4,FALSE)</f>
        <v>-3.7142866273079272E-3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VLOOKUP(TEXT(A2848,"yy-mm")&amp;"-"&amp;IF(AND(WEEKDAY(A2848)&gt;1,WEEKDAY(A2848)&lt;7),"Wkd",TEXT(A2848,"Ddd"))&amp;"-"&amp;TEXT(A2848,"hh"),LoadTable[],5,FALSE)*0.92</f>
        <v>236.10788000000002</v>
      </c>
      <c r="U2848" s="104">
        <f>VLOOKUP(TEXT(A2848,"yy-mm")&amp;"-"&amp;IF(AND(WEEKDAY(A2848)&gt;1,WEEKDAY(A2848)&lt;7),"Wkd",TEXT(A2848,"Ddd"))&amp;"-"&amp;TEXT(A2848,"hh"),LoadTable[],6,FALSE)*T2848</f>
        <v>10541.50851836</v>
      </c>
      <c r="V2848">
        <f t="shared" ref="V2848:W2848" si="3045">V2824</f>
        <v>3.2</v>
      </c>
      <c r="W2848">
        <f t="shared" si="3045"/>
        <v>2.9</v>
      </c>
      <c r="X2848" s="9">
        <v>-160.766936616675</v>
      </c>
    </row>
    <row r="2849" spans="1:24">
      <c r="A2849" s="29">
        <f t="shared" si="3013"/>
        <v>45954.583333326431</v>
      </c>
      <c r="B2849" s="30">
        <f t="shared" si="3037"/>
        <v>8000</v>
      </c>
      <c r="C2849" s="8">
        <v>25000</v>
      </c>
      <c r="D2849" s="8">
        <v>0</v>
      </c>
      <c r="E2849" s="8">
        <v>700</v>
      </c>
      <c r="F2849" s="8">
        <v>15000</v>
      </c>
      <c r="G2849" s="30">
        <f t="shared" si="3038"/>
        <v>2400</v>
      </c>
      <c r="H2849" s="8">
        <v>25000</v>
      </c>
      <c r="I2849" s="30">
        <f t="shared" si="3039"/>
        <v>8000</v>
      </c>
      <c r="J2849" s="8">
        <v>25000</v>
      </c>
      <c r="K2849" s="30">
        <f t="shared" si="3040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VLOOKUP(VLOOKUP(DATEVALUE(TEXT(A2849,"m/d/yyyy")),FY24_Temp[],5,FALSE)&amp;TEXT(A2849,"-h"),Table6[],4,FALSE)</f>
        <v>2.4285705435232452E-3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VLOOKUP(TEXT(A2849,"yy-mm")&amp;"-"&amp;IF(AND(WEEKDAY(A2849)&gt;1,WEEKDAY(A2849)&lt;7),"Wkd",TEXT(A2849,"Ddd"))&amp;"-"&amp;TEXT(A2849,"hh"),LoadTable[],5,FALSE)*0.92</f>
        <v>236.10788000000002</v>
      </c>
      <c r="U2849" s="104">
        <f>VLOOKUP(TEXT(A2849,"yy-mm")&amp;"-"&amp;IF(AND(WEEKDAY(A2849)&gt;1,WEEKDAY(A2849)&lt;7),"Wkd",TEXT(A2849,"Ddd"))&amp;"-"&amp;TEXT(A2849,"hh"),LoadTable[],6,FALSE)*T2849</f>
        <v>10551.188941440001</v>
      </c>
      <c r="V2849">
        <f t="shared" ref="V2849:W2849" si="3046">V2825</f>
        <v>3.5</v>
      </c>
      <c r="W2849">
        <f t="shared" si="3046"/>
        <v>2.9</v>
      </c>
      <c r="X2849" s="9">
        <v>-160.84473116667499</v>
      </c>
    </row>
    <row r="2850" spans="1:24">
      <c r="A2850" s="29">
        <f t="shared" si="3013"/>
        <v>45954.624999993095</v>
      </c>
      <c r="B2850" s="30">
        <f t="shared" si="3037"/>
        <v>8000</v>
      </c>
      <c r="C2850" s="8">
        <v>25000</v>
      </c>
      <c r="D2850" s="8">
        <v>0</v>
      </c>
      <c r="E2850" s="8">
        <v>700</v>
      </c>
      <c r="F2850" s="8">
        <v>15000</v>
      </c>
      <c r="G2850" s="30">
        <f t="shared" si="3038"/>
        <v>2400</v>
      </c>
      <c r="H2850" s="8">
        <v>25000</v>
      </c>
      <c r="I2850" s="30">
        <f t="shared" si="3039"/>
        <v>8000</v>
      </c>
      <c r="J2850" s="8">
        <v>25000</v>
      </c>
      <c r="K2850" s="30">
        <f t="shared" si="3040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VLOOKUP(VLOOKUP(DATEVALUE(TEXT(A2850,"m/d/yyyy")),FY24_Temp[],5,FALSE)&amp;TEXT(A2850,"-h"),Table6[],4,FALSE)</f>
        <v>0.13285714206451429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VLOOKUP(TEXT(A2850,"yy-mm")&amp;"-"&amp;IF(AND(WEEKDAY(A2850)&gt;1,WEEKDAY(A2850)&lt;7),"Wkd",TEXT(A2850,"Ddd"))&amp;"-"&amp;TEXT(A2850,"hh"),LoadTable[],5,FALSE)*0.92</f>
        <v>236.10788000000002</v>
      </c>
      <c r="U2850" s="104">
        <f>VLOOKUP(TEXT(A2850,"yy-mm")&amp;"-"&amp;IF(AND(WEEKDAY(A2850)&gt;1,WEEKDAY(A2850)&lt;7),"Wkd",TEXT(A2850,"Ddd"))&amp;"-"&amp;TEXT(A2850,"hh"),LoadTable[],6,FALSE)*T2850</f>
        <v>10572.202542760002</v>
      </c>
      <c r="V2850">
        <f t="shared" ref="V2850:W2850" si="3047">V2826</f>
        <v>3.2</v>
      </c>
      <c r="W2850">
        <f t="shared" si="3047"/>
        <v>2.9</v>
      </c>
      <c r="X2850" s="9">
        <v>-160.92252571667501</v>
      </c>
    </row>
    <row r="2851" spans="1:24">
      <c r="A2851" s="29">
        <f t="shared" si="3013"/>
        <v>45954.666666659759</v>
      </c>
      <c r="B2851" s="30">
        <f t="shared" si="3037"/>
        <v>8000</v>
      </c>
      <c r="C2851" s="8">
        <v>25000</v>
      </c>
      <c r="D2851" s="8">
        <v>0</v>
      </c>
      <c r="E2851" s="8">
        <v>700</v>
      </c>
      <c r="F2851" s="8">
        <v>15000</v>
      </c>
      <c r="G2851" s="30">
        <f t="shared" si="3038"/>
        <v>2400</v>
      </c>
      <c r="H2851" s="8">
        <v>25000</v>
      </c>
      <c r="I2851" s="30">
        <f t="shared" si="3039"/>
        <v>8000</v>
      </c>
      <c r="J2851" s="8">
        <v>25000</v>
      </c>
      <c r="K2851" s="30">
        <f t="shared" si="3040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VLOOKUP(VLOOKUP(DATEVALUE(TEXT(A2851,"m/d/yyyy")),FY24_Temp[],5,FALSE)&amp;TEXT(A2851,"-h"),Table6[],4,FALSE)</f>
        <v>0.3728571448816746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VLOOKUP(TEXT(A2851,"yy-mm")&amp;"-"&amp;IF(AND(WEEKDAY(A2851)&gt;1,WEEKDAY(A2851)&lt;7),"Wkd",TEXT(A2851,"Ddd"))&amp;"-"&amp;TEXT(A2851,"hh"),LoadTable[],5,FALSE)*0.92</f>
        <v>236.10788000000002</v>
      </c>
      <c r="U2851" s="104">
        <f>VLOOKUP(TEXT(A2851,"yy-mm")&amp;"-"&amp;IF(AND(WEEKDAY(A2851)&gt;1,WEEKDAY(A2851)&lt;7),"Wkd",TEXT(A2851,"Ddd"))&amp;"-"&amp;TEXT(A2851,"hh"),LoadTable[],6,FALSE)*T2851</f>
        <v>10648.93760376</v>
      </c>
      <c r="V2851">
        <f t="shared" ref="V2851:W2851" si="3048">V2827</f>
        <v>3.5</v>
      </c>
      <c r="W2851">
        <f t="shared" si="3048"/>
        <v>3</v>
      </c>
      <c r="X2851" s="9">
        <v>-161.000320266675</v>
      </c>
    </row>
    <row r="2852" spans="1:24">
      <c r="A2852" s="29">
        <f t="shared" si="3013"/>
        <v>45954.708333326424</v>
      </c>
      <c r="B2852" s="30">
        <f t="shared" si="3037"/>
        <v>8000</v>
      </c>
      <c r="C2852" s="8">
        <v>25000</v>
      </c>
      <c r="D2852" s="8">
        <v>0</v>
      </c>
      <c r="E2852" s="8">
        <v>700</v>
      </c>
      <c r="F2852" s="8">
        <v>15000</v>
      </c>
      <c r="G2852" s="30">
        <f t="shared" si="3038"/>
        <v>2400</v>
      </c>
      <c r="H2852" s="8">
        <v>25000</v>
      </c>
      <c r="I2852" s="30">
        <f t="shared" si="3039"/>
        <v>8000</v>
      </c>
      <c r="J2852" s="8">
        <v>25000</v>
      </c>
      <c r="K2852" s="30">
        <f t="shared" si="3040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VLOOKUP(VLOOKUP(DATEVALUE(TEXT(A2852,"m/d/yyyy")),FY24_Temp[],5,FALSE)&amp;TEXT(A2852,"-h"),Table6[],4,FALSE)</f>
        <v>0.63814285401985393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VLOOKUP(TEXT(A2852,"yy-mm")&amp;"-"&amp;IF(AND(WEEKDAY(A2852)&gt;1,WEEKDAY(A2852)&lt;7),"Wkd",TEXT(A2852,"Ddd"))&amp;"-"&amp;TEXT(A2852,"hh"),LoadTable[],5,FALSE)*0.92</f>
        <v>236.10788000000002</v>
      </c>
      <c r="U2852" s="104">
        <f>VLOOKUP(TEXT(A2852,"yy-mm")&amp;"-"&amp;IF(AND(WEEKDAY(A2852)&gt;1,WEEKDAY(A2852)&lt;7),"Wkd",TEXT(A2852,"Ddd"))&amp;"-"&amp;TEXT(A2852,"hh"),LoadTable[],6,FALSE)*T2852</f>
        <v>11157.513977280001</v>
      </c>
      <c r="V2852">
        <f t="shared" ref="V2852:W2852" si="3049">V2828</f>
        <v>3.6</v>
      </c>
      <c r="W2852">
        <f t="shared" si="3049"/>
        <v>3</v>
      </c>
      <c r="X2852" s="9">
        <v>-161.078114816675</v>
      </c>
    </row>
    <row r="2853" spans="1:24">
      <c r="A2853" s="29">
        <f t="shared" si="3013"/>
        <v>45954.749999993088</v>
      </c>
      <c r="B2853" s="30">
        <f t="shared" si="3037"/>
        <v>5000</v>
      </c>
      <c r="C2853" s="8">
        <v>25000</v>
      </c>
      <c r="D2853" s="8">
        <v>0</v>
      </c>
      <c r="E2853" s="8">
        <v>700</v>
      </c>
      <c r="F2853" s="8">
        <v>15000</v>
      </c>
      <c r="G2853" s="30">
        <f t="shared" si="3038"/>
        <v>2400</v>
      </c>
      <c r="H2853" s="8">
        <v>25000</v>
      </c>
      <c r="I2853" s="30">
        <f t="shared" si="3039"/>
        <v>5000</v>
      </c>
      <c r="J2853" s="8">
        <v>25000</v>
      </c>
      <c r="K2853" s="30">
        <f t="shared" si="3040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VLOOKUP(VLOOKUP(DATEVALUE(TEXT(A2853,"m/d/yyyy")),FY24_Temp[],5,FALSE)&amp;TEXT(A2853,"-h"),Table6[],4,FALSE)</f>
        <v>0.73900000122615261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VLOOKUP(TEXT(A2853,"yy-mm")&amp;"-"&amp;IF(AND(WEEKDAY(A2853)&gt;1,WEEKDAY(A2853)&lt;7),"Wkd",TEXT(A2853,"Ddd"))&amp;"-"&amp;TEXT(A2853,"hh"),LoadTable[],5,FALSE)*0.92</f>
        <v>308.12363999999997</v>
      </c>
      <c r="U2853" s="104">
        <f>VLOOKUP(TEXT(A2853,"yy-mm")&amp;"-"&amp;IF(AND(WEEKDAY(A2853)&gt;1,WEEKDAY(A2853)&lt;7),"Wkd",TEXT(A2853,"Ddd"))&amp;"-"&amp;TEXT(A2853,"hh"),LoadTable[],6,FALSE)*T2853</f>
        <v>15139.963175039999</v>
      </c>
      <c r="V2853">
        <f t="shared" ref="V2853:W2853" si="3050">V2829</f>
        <v>2.9</v>
      </c>
      <c r="W2853">
        <f t="shared" si="3050"/>
        <v>3</v>
      </c>
      <c r="X2853" s="9">
        <v>-161.15590936667499</v>
      </c>
    </row>
    <row r="2854" spans="1:24">
      <c r="A2854" s="29">
        <f t="shared" si="3013"/>
        <v>45954.791666659752</v>
      </c>
      <c r="B2854" s="30">
        <f t="shared" si="3037"/>
        <v>5000</v>
      </c>
      <c r="C2854" s="8">
        <v>25000</v>
      </c>
      <c r="D2854" s="8">
        <v>0</v>
      </c>
      <c r="E2854" s="8">
        <v>700</v>
      </c>
      <c r="F2854" s="8">
        <v>15000</v>
      </c>
      <c r="G2854" s="30">
        <f t="shared" si="3038"/>
        <v>2400</v>
      </c>
      <c r="H2854" s="8">
        <v>25000</v>
      </c>
      <c r="I2854" s="30">
        <f t="shared" si="3039"/>
        <v>5000</v>
      </c>
      <c r="J2854" s="8">
        <v>25000</v>
      </c>
      <c r="K2854" s="30">
        <f t="shared" si="3040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VLOOKUP(VLOOKUP(DATEVALUE(TEXT(A2854,"m/d/yyyy")),FY24_Temp[],5,FALSE)&amp;TEXT(A2854,"-h"),Table6[],4,FALSE)</f>
        <v>0.80314285427247845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VLOOKUP(TEXT(A2854,"yy-mm")&amp;"-"&amp;IF(AND(WEEKDAY(A2854)&gt;1,WEEKDAY(A2854)&lt;7),"Wkd",TEXT(A2854,"Ddd"))&amp;"-"&amp;TEXT(A2854,"hh"),LoadTable[],5,FALSE)*0.92</f>
        <v>308.12363999999997</v>
      </c>
      <c r="U2854" s="104">
        <f>VLOOKUP(TEXT(A2854,"yy-mm")&amp;"-"&amp;IF(AND(WEEKDAY(A2854)&gt;1,WEEKDAY(A2854)&lt;7),"Wkd",TEXT(A2854,"Ddd"))&amp;"-"&amp;TEXT(A2854,"hh"),LoadTable[],6,FALSE)*T2854</f>
        <v>15247.806449039997</v>
      </c>
      <c r="V2854">
        <f t="shared" ref="V2854:W2854" si="3051">V2830</f>
        <v>3</v>
      </c>
      <c r="W2854">
        <f t="shared" si="3051"/>
        <v>3</v>
      </c>
      <c r="X2854" s="9">
        <v>-161.23370391667501</v>
      </c>
    </row>
    <row r="2855" spans="1:24">
      <c r="A2855" s="29">
        <f t="shared" si="3013"/>
        <v>45954.833333326416</v>
      </c>
      <c r="B2855" s="30">
        <f t="shared" si="3037"/>
        <v>5000</v>
      </c>
      <c r="C2855" s="8">
        <v>25000</v>
      </c>
      <c r="D2855" s="8">
        <v>0</v>
      </c>
      <c r="E2855" s="8">
        <v>700</v>
      </c>
      <c r="F2855" s="8">
        <v>15000</v>
      </c>
      <c r="G2855" s="30">
        <f t="shared" si="3038"/>
        <v>2400</v>
      </c>
      <c r="H2855" s="8">
        <v>25000</v>
      </c>
      <c r="I2855" s="30">
        <f t="shared" si="3039"/>
        <v>5000</v>
      </c>
      <c r="J2855" s="8">
        <v>25000</v>
      </c>
      <c r="K2855" s="30">
        <f t="shared" si="3040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VLOOKUP(VLOOKUP(DATEVALUE(TEXT(A2855,"m/d/yyyy")),FY24_Temp[],5,FALSE)&amp;TEXT(A2855,"-h"),Table6[],4,FALSE)</f>
        <v>0.86528570312539677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VLOOKUP(TEXT(A2855,"yy-mm")&amp;"-"&amp;IF(AND(WEEKDAY(A2855)&gt;1,WEEKDAY(A2855)&lt;7),"Wkd",TEXT(A2855,"Ddd"))&amp;"-"&amp;TEXT(A2855,"hh"),LoadTable[],5,FALSE)*0.92</f>
        <v>308.12363999999997</v>
      </c>
      <c r="U2855" s="104">
        <f>VLOOKUP(TEXT(A2855,"yy-mm")&amp;"-"&amp;IF(AND(WEEKDAY(A2855)&gt;1,WEEKDAY(A2855)&lt;7),"Wkd",TEXT(A2855,"Ddd"))&amp;"-"&amp;TEXT(A2855,"hh"),LoadTable[],6,FALSE)*T2855</f>
        <v>15157.218098879999</v>
      </c>
      <c r="V2855">
        <f t="shared" ref="V2855:W2855" si="3052">V2831</f>
        <v>2.8</v>
      </c>
      <c r="W2855">
        <f t="shared" si="3052"/>
        <v>3.1</v>
      </c>
      <c r="X2855" s="9">
        <v>-161.311498466675</v>
      </c>
    </row>
    <row r="2856" spans="1:24">
      <c r="A2856" s="29">
        <f t="shared" si="3013"/>
        <v>45954.874999993081</v>
      </c>
      <c r="B2856" s="30">
        <f t="shared" si="3037"/>
        <v>5000</v>
      </c>
      <c r="C2856" s="8">
        <v>25000</v>
      </c>
      <c r="D2856" s="8">
        <v>0</v>
      </c>
      <c r="E2856" s="8">
        <v>700</v>
      </c>
      <c r="F2856" s="8">
        <v>15000</v>
      </c>
      <c r="G2856" s="30">
        <f t="shared" si="3038"/>
        <v>2400</v>
      </c>
      <c r="H2856" s="8">
        <v>25000</v>
      </c>
      <c r="I2856" s="30">
        <f t="shared" si="3039"/>
        <v>5000</v>
      </c>
      <c r="J2856" s="8">
        <v>25000</v>
      </c>
      <c r="K2856" s="30">
        <f t="shared" si="3040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VLOOKUP(VLOOKUP(DATEVALUE(TEXT(A2856,"m/d/yyyy")),FY24_Temp[],5,FALSE)&amp;TEXT(A2856,"-h"),Table6[],4,FALSE)</f>
        <v>0.95742857465746201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VLOOKUP(TEXT(A2856,"yy-mm")&amp;"-"&amp;IF(AND(WEEKDAY(A2856)&gt;1,WEEKDAY(A2856)&lt;7),"Wkd",TEXT(A2856,"Ddd"))&amp;"-"&amp;TEXT(A2856,"hh"),LoadTable[],5,FALSE)*0.92</f>
        <v>234.33964000000003</v>
      </c>
      <c r="U2856" s="104">
        <f>VLOOKUP(TEXT(A2856,"yy-mm")&amp;"-"&amp;IF(AND(WEEKDAY(A2856)&gt;1,WEEKDAY(A2856)&lt;7),"Wkd",TEXT(A2856,"Ddd"))&amp;"-"&amp;TEXT(A2856,"hh"),LoadTable[],6,FALSE)*T2856</f>
        <v>11344.147632760001</v>
      </c>
      <c r="V2856">
        <f t="shared" ref="V2856:W2856" si="3053">V2832</f>
        <v>3.5</v>
      </c>
      <c r="W2856">
        <f t="shared" si="3053"/>
        <v>3.1</v>
      </c>
      <c r="X2856" s="9">
        <v>-161.389293016675</v>
      </c>
    </row>
    <row r="2857" spans="1:24">
      <c r="A2857" s="29">
        <f t="shared" si="3013"/>
        <v>45954.916666659745</v>
      </c>
      <c r="B2857" s="30">
        <f t="shared" si="3037"/>
        <v>5000</v>
      </c>
      <c r="C2857" s="8">
        <v>25000</v>
      </c>
      <c r="D2857" s="8">
        <v>0</v>
      </c>
      <c r="E2857" s="8">
        <v>700</v>
      </c>
      <c r="F2857" s="8">
        <v>15000</v>
      </c>
      <c r="G2857" s="30">
        <f t="shared" si="3038"/>
        <v>2400</v>
      </c>
      <c r="H2857" s="8">
        <v>25000</v>
      </c>
      <c r="I2857" s="30">
        <f t="shared" si="3039"/>
        <v>5000</v>
      </c>
      <c r="J2857" s="8">
        <v>25000</v>
      </c>
      <c r="K2857" s="30">
        <f t="shared" si="3040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VLOOKUP(VLOOKUP(DATEVALUE(TEXT(A2857,"m/d/yyyy")),FY24_Temp[],5,FALSE)&amp;TEXT(A2857,"-h"),Table6[],4,FALSE)</f>
        <v>1.0430000169890485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VLOOKUP(TEXT(A2857,"yy-mm")&amp;"-"&amp;IF(AND(WEEKDAY(A2857)&gt;1,WEEKDAY(A2857)&lt;7),"Wkd",TEXT(A2857,"Ddd"))&amp;"-"&amp;TEXT(A2857,"hh"),LoadTable[],5,FALSE)*0.92</f>
        <v>180.62544</v>
      </c>
      <c r="U2857" s="104">
        <f>VLOOKUP(TEXT(A2857,"yy-mm")&amp;"-"&amp;IF(AND(WEEKDAY(A2857)&gt;1,WEEKDAY(A2857)&lt;7),"Wkd",TEXT(A2857,"Ddd"))&amp;"-"&amp;TEXT(A2857,"hh"),LoadTable[],6,FALSE)*T2857</f>
        <v>8304.2546039999997</v>
      </c>
      <c r="V2857">
        <f t="shared" ref="V2857:W2857" si="3054">V2833</f>
        <v>2.9</v>
      </c>
      <c r="W2857">
        <f t="shared" si="3054"/>
        <v>3.1</v>
      </c>
      <c r="X2857" s="9">
        <v>-161.46708756667499</v>
      </c>
    </row>
    <row r="2858" spans="1:24" ht="16" thickBot="1">
      <c r="A2858" s="29">
        <f t="shared" si="3013"/>
        <v>45954.958333326409</v>
      </c>
      <c r="B2858" s="30">
        <f t="shared" si="3037"/>
        <v>5000</v>
      </c>
      <c r="C2858" s="8">
        <v>25000</v>
      </c>
      <c r="D2858" s="8">
        <v>0</v>
      </c>
      <c r="E2858" s="8">
        <v>700</v>
      </c>
      <c r="F2858" s="8">
        <v>15000</v>
      </c>
      <c r="G2858" s="30">
        <f t="shared" si="3038"/>
        <v>2400</v>
      </c>
      <c r="H2858" s="8">
        <v>25000</v>
      </c>
      <c r="I2858" s="30">
        <f t="shared" si="3039"/>
        <v>5000</v>
      </c>
      <c r="J2858" s="8">
        <v>25000</v>
      </c>
      <c r="K2858" s="30">
        <f t="shared" si="3040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VLOOKUP(VLOOKUP(DATEVALUE(TEXT(A2858,"m/d/yyyy")),FY24_Temp[],5,FALSE)&amp;TEXT(A2858,"-h"),Table6[],4,FALSE)</f>
        <v>1.0454285740700597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VLOOKUP(TEXT(A2858,"yy-mm")&amp;"-"&amp;IF(AND(WEEKDAY(A2858)&gt;1,WEEKDAY(A2858)&lt;7),"Wkd",TEXT(A2858,"Ddd"))&amp;"-"&amp;TEXT(A2858,"hh"),LoadTable[],5,FALSE)*0.92</f>
        <v>180.62544</v>
      </c>
      <c r="U2858" s="104">
        <f>VLOOKUP(TEXT(A2858,"yy-mm")&amp;"-"&amp;IF(AND(WEEKDAY(A2858)&gt;1,WEEKDAY(A2858)&lt;7),"Wkd",TEXT(A2858,"Ddd"))&amp;"-"&amp;TEXT(A2858,"hh"),LoadTable[],6,FALSE)*T2858</f>
        <v>8217.1931419200009</v>
      </c>
      <c r="V2858">
        <f t="shared" ref="V2858:W2858" si="3055">V2834</f>
        <v>3.6</v>
      </c>
      <c r="W2858">
        <f t="shared" si="3055"/>
        <v>3.1</v>
      </c>
      <c r="X2858" s="9">
        <v>-161.54488211667501</v>
      </c>
    </row>
    <row r="2859" spans="1:24" ht="16" thickBot="1">
      <c r="A2859" s="120">
        <f t="shared" si="3013"/>
        <v>45954.999999993073</v>
      </c>
      <c r="B2859" s="121">
        <f t="shared" si="3037"/>
        <v>5000</v>
      </c>
      <c r="C2859" s="114">
        <v>25000</v>
      </c>
      <c r="D2859" s="114">
        <v>0</v>
      </c>
      <c r="E2859" s="114">
        <v>700</v>
      </c>
      <c r="F2859" s="114">
        <v>15000</v>
      </c>
      <c r="G2859" s="114">
        <f t="shared" si="3038"/>
        <v>2400</v>
      </c>
      <c r="H2859" s="114">
        <v>25000</v>
      </c>
      <c r="I2859" s="114">
        <f t="shared" si="3039"/>
        <v>5000</v>
      </c>
      <c r="J2859" s="114">
        <v>25000</v>
      </c>
      <c r="K2859" s="114">
        <f t="shared" si="3040"/>
        <v>5000</v>
      </c>
      <c r="L2859" s="114">
        <v>25000</v>
      </c>
      <c r="M2859" s="115">
        <f>VLOOKUP(DATE(YEAR(A2859),MONTH(A2859),DAY(A2859)),FY24_Temp[],4,FALSE)</f>
        <v>9</v>
      </c>
      <c r="N2859" s="115">
        <f>VLOOKUP(DATE(YEAR(A2859),MONTH(A2859),DAY(A2859)),FY24_Temp[],3,FALSE)</f>
        <v>17.5</v>
      </c>
      <c r="O2859" s="115">
        <v>13.5</v>
      </c>
      <c r="P2859" s="115">
        <v>19.5</v>
      </c>
      <c r="Q2859" s="116">
        <f>VLOOKUP(VLOOKUP(DATEVALUE(TEXT(A2859,"m/d/yyyy")),FY24_Temp[],5,FALSE)&amp;TEXT(A2859,"-h"),Table6[],4,FALSE)</f>
        <v>1.5784285920000001</v>
      </c>
      <c r="R2859" s="117">
        <v>10</v>
      </c>
      <c r="S2859" s="117">
        <v>1000</v>
      </c>
      <c r="T2859" s="100">
        <f>VLOOKUP(TEXT(A2859,"yy-mm")&amp;"-"&amp;IF(AND(WEEKDAY(A2859)&gt;1,WEEKDAY(A2859)&lt;7),"Wkd",TEXT(A2859,"Ddd"))&amp;"-"&amp;TEXT(A2859,"hh"),LoadTable[],5,FALSE)*0.92</f>
        <v>180.62544</v>
      </c>
      <c r="U2859" s="118">
        <f>VLOOKUP(TEXT(A2859,"yy-mm")&amp;"-"&amp;IF(AND(WEEKDAY(A2859)&gt;1,WEEKDAY(A2859)&lt;7),"Wkd",TEXT(A2859,"Ddd"))&amp;"-"&amp;TEXT(A2859,"hh"),LoadTable[],6,FALSE)*T2859</f>
        <v>8140.6079553600002</v>
      </c>
      <c r="V2859" s="117">
        <f t="shared" ref="V2859:W2859" si="3056">V2835</f>
        <v>3</v>
      </c>
      <c r="W2859" s="117">
        <f t="shared" si="3056"/>
        <v>3.2</v>
      </c>
      <c r="X2859" s="119">
        <v>-161.62267666667501</v>
      </c>
    </row>
    <row r="2860" spans="1:24">
      <c r="A2860" s="29">
        <f t="shared" si="3013"/>
        <v>45955.041666659738</v>
      </c>
      <c r="B2860" s="30">
        <f t="shared" si="3037"/>
        <v>5000</v>
      </c>
      <c r="C2860" s="8">
        <v>25000</v>
      </c>
      <c r="D2860" s="8">
        <v>0</v>
      </c>
      <c r="E2860" s="8">
        <v>700</v>
      </c>
      <c r="F2860" s="8">
        <v>15000</v>
      </c>
      <c r="G2860" s="30">
        <f t="shared" si="3038"/>
        <v>2400</v>
      </c>
      <c r="H2860" s="8">
        <v>25000</v>
      </c>
      <c r="I2860" s="30">
        <f t="shared" si="3039"/>
        <v>5000</v>
      </c>
      <c r="J2860" s="8">
        <v>25000</v>
      </c>
      <c r="K2860" s="30">
        <f t="shared" si="3040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VLOOKUP(VLOOKUP(DATEVALUE(TEXT(A2860,"m/d/yyyy")),FY24_Temp[],5,FALSE)&amp;TEXT(A2860,"-h"),Table6[],4,FALSE)</f>
        <v>1.5087142842857144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VLOOKUP(TEXT(A2860,"yy-mm")&amp;"-"&amp;IF(AND(WEEKDAY(A2860)&gt;1,WEEKDAY(A2860)&lt;7),"Wkd",TEXT(A2860,"Ddd"))&amp;"-"&amp;TEXT(A2860,"hh"),LoadTable[],5,FALSE)*0.92</f>
        <v>180.62544</v>
      </c>
      <c r="U2860" s="104">
        <f>VLOOKUP(TEXT(A2860,"yy-mm")&amp;"-"&amp;IF(AND(WEEKDAY(A2860)&gt;1,WEEKDAY(A2860)&lt;7),"Wkd",TEXT(A2860,"Ddd"))&amp;"-"&amp;TEXT(A2860,"hh"),LoadTable[],6,FALSE)*T2860</f>
        <v>8136.8148211200005</v>
      </c>
      <c r="V2860">
        <f t="shared" ref="V2860:W2860" si="3057">V2836</f>
        <v>2.6</v>
      </c>
      <c r="W2860">
        <f t="shared" si="3057"/>
        <v>3.2</v>
      </c>
      <c r="X2860" s="9">
        <v>-161.700471216675</v>
      </c>
    </row>
    <row r="2861" spans="1:24">
      <c r="A2861" s="29">
        <f t="shared" si="3013"/>
        <v>45955.083333326402</v>
      </c>
      <c r="B2861" s="30">
        <f t="shared" si="3037"/>
        <v>5000</v>
      </c>
      <c r="C2861" s="8">
        <v>25000</v>
      </c>
      <c r="D2861" s="8">
        <v>0</v>
      </c>
      <c r="E2861" s="8">
        <v>700</v>
      </c>
      <c r="F2861" s="8">
        <v>15000</v>
      </c>
      <c r="G2861" s="30">
        <f t="shared" si="3038"/>
        <v>2400</v>
      </c>
      <c r="H2861" s="8">
        <v>25000</v>
      </c>
      <c r="I2861" s="30">
        <f t="shared" si="3039"/>
        <v>5000</v>
      </c>
      <c r="J2861" s="8">
        <v>25000</v>
      </c>
      <c r="K2861" s="30">
        <f t="shared" si="3040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VLOOKUP(VLOOKUP(DATEVALUE(TEXT(A2861,"m/d/yyyy")),FY24_Temp[],5,FALSE)&amp;TEXT(A2861,"-h"),Table6[],4,FALSE)</f>
        <v>1.393571444857143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VLOOKUP(TEXT(A2861,"yy-mm")&amp;"-"&amp;IF(AND(WEEKDAY(A2861)&gt;1,WEEKDAY(A2861)&lt;7),"Wkd",TEXT(A2861,"Ddd"))&amp;"-"&amp;TEXT(A2861,"hh"),LoadTable[],5,FALSE)*0.92</f>
        <v>180.62544</v>
      </c>
      <c r="U2861" s="104">
        <f>VLOOKUP(TEXT(A2861,"yy-mm")&amp;"-"&amp;IF(AND(WEEKDAY(A2861)&gt;1,WEEKDAY(A2861)&lt;7),"Wkd",TEXT(A2861,"Ddd"))&amp;"-"&amp;TEXT(A2861,"hh"),LoadTable[],6,FALSE)*T2861</f>
        <v>8129.9510543999995</v>
      </c>
      <c r="V2861">
        <f t="shared" ref="V2861:W2861" si="3058">V2837</f>
        <v>2.8</v>
      </c>
      <c r="W2861">
        <f t="shared" si="3058"/>
        <v>3.2</v>
      </c>
      <c r="X2861" s="9">
        <v>-161.77826576667499</v>
      </c>
    </row>
    <row r="2862" spans="1:24">
      <c r="A2862" s="29">
        <f t="shared" si="3013"/>
        <v>45955.124999993066</v>
      </c>
      <c r="B2862" s="30">
        <f t="shared" si="3037"/>
        <v>5000</v>
      </c>
      <c r="C2862" s="8">
        <v>25000</v>
      </c>
      <c r="D2862" s="8">
        <v>0</v>
      </c>
      <c r="E2862" s="8">
        <v>700</v>
      </c>
      <c r="F2862" s="8">
        <v>15000</v>
      </c>
      <c r="G2862" s="30">
        <f t="shared" si="3038"/>
        <v>2400</v>
      </c>
      <c r="H2862" s="8">
        <v>25000</v>
      </c>
      <c r="I2862" s="30">
        <f t="shared" si="3039"/>
        <v>5000</v>
      </c>
      <c r="J2862" s="8">
        <v>25000</v>
      </c>
      <c r="K2862" s="30">
        <f t="shared" si="3040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VLOOKUP(VLOOKUP(DATEVALUE(TEXT(A2862,"m/d/yyyy")),FY24_Temp[],5,FALSE)&amp;TEXT(A2862,"-h"),Table6[],4,FALSE)</f>
        <v>1.2625714202857143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VLOOKUP(TEXT(A2862,"yy-mm")&amp;"-"&amp;IF(AND(WEEKDAY(A2862)&gt;1,WEEKDAY(A2862)&lt;7),"Wkd",TEXT(A2862,"Ddd"))&amp;"-"&amp;TEXT(A2862,"hh"),LoadTable[],5,FALSE)*0.92</f>
        <v>180.62544</v>
      </c>
      <c r="U2862" s="104">
        <f>VLOOKUP(TEXT(A2862,"yy-mm")&amp;"-"&amp;IF(AND(WEEKDAY(A2862)&gt;1,WEEKDAY(A2862)&lt;7),"Wkd",TEXT(A2862,"Ddd"))&amp;"-"&amp;TEXT(A2862,"hh"),LoadTable[],6,FALSE)*T2862</f>
        <v>8141.5110825599995</v>
      </c>
      <c r="V2862">
        <f t="shared" ref="V2862:W2862" si="3059">V2838</f>
        <v>2.7</v>
      </c>
      <c r="W2862">
        <f t="shared" si="3059"/>
        <v>3.2</v>
      </c>
      <c r="X2862" s="9">
        <v>-161.85606031667501</v>
      </c>
    </row>
    <row r="2863" spans="1:24">
      <c r="A2863" s="29">
        <f t="shared" si="3013"/>
        <v>45955.16666665973</v>
      </c>
      <c r="B2863" s="30">
        <f t="shared" si="3037"/>
        <v>5000</v>
      </c>
      <c r="C2863" s="8">
        <v>25000</v>
      </c>
      <c r="D2863" s="8">
        <v>0</v>
      </c>
      <c r="E2863" s="8">
        <v>700</v>
      </c>
      <c r="F2863" s="8">
        <v>15000</v>
      </c>
      <c r="G2863" s="30">
        <f t="shared" si="3038"/>
        <v>2400</v>
      </c>
      <c r="H2863" s="8">
        <v>25000</v>
      </c>
      <c r="I2863" s="30">
        <f t="shared" si="3039"/>
        <v>5000</v>
      </c>
      <c r="J2863" s="8">
        <v>25000</v>
      </c>
      <c r="K2863" s="30">
        <f t="shared" si="3040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VLOOKUP(VLOOKUP(DATEVALUE(TEXT(A2863,"m/d/yyyy")),FY24_Temp[],5,FALSE)&amp;TEXT(A2863,"-h"),Table6[],4,FALSE)</f>
        <v>1.1234285491428573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VLOOKUP(TEXT(A2863,"yy-mm")&amp;"-"&amp;IF(AND(WEEKDAY(A2863)&gt;1,WEEKDAY(A2863)&lt;7),"Wkd",TEXT(A2863,"Ddd"))&amp;"-"&amp;TEXT(A2863,"hh"),LoadTable[],5,FALSE)*0.92</f>
        <v>209.07184000000001</v>
      </c>
      <c r="U2863" s="104">
        <f>VLOOKUP(TEXT(A2863,"yy-mm")&amp;"-"&amp;IF(AND(WEEKDAY(A2863)&gt;1,WEEKDAY(A2863)&lt;7),"Wkd",TEXT(A2863,"Ddd"))&amp;"-"&amp;TEXT(A2863,"hh"),LoadTable[],6,FALSE)*T2863</f>
        <v>9412.2051649599998</v>
      </c>
      <c r="V2863">
        <f t="shared" ref="V2863:W2863" si="3060">V2839</f>
        <v>3</v>
      </c>
      <c r="W2863">
        <f t="shared" si="3060"/>
        <v>3.1</v>
      </c>
      <c r="X2863" s="9">
        <v>-161.93385486667501</v>
      </c>
    </row>
    <row r="2864" spans="1:24">
      <c r="A2864" s="29">
        <f t="shared" si="3013"/>
        <v>45955.208333326394</v>
      </c>
      <c r="B2864" s="30">
        <f t="shared" si="3037"/>
        <v>5000</v>
      </c>
      <c r="C2864" s="8">
        <v>25000</v>
      </c>
      <c r="D2864" s="8">
        <v>0</v>
      </c>
      <c r="E2864" s="8">
        <v>700</v>
      </c>
      <c r="F2864" s="8">
        <v>15000</v>
      </c>
      <c r="G2864" s="30">
        <f t="shared" si="3038"/>
        <v>2400</v>
      </c>
      <c r="H2864" s="8">
        <v>25000</v>
      </c>
      <c r="I2864" s="30">
        <f t="shared" si="3039"/>
        <v>5000</v>
      </c>
      <c r="J2864" s="8">
        <v>25000</v>
      </c>
      <c r="K2864" s="30">
        <f t="shared" si="3040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VLOOKUP(VLOOKUP(DATEVALUE(TEXT(A2864,"m/d/yyyy")),FY24_Temp[],5,FALSE)&amp;TEXT(A2864,"-h"),Table6[],4,FALSE)</f>
        <v>0.98857142242857143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VLOOKUP(TEXT(A2864,"yy-mm")&amp;"-"&amp;IF(AND(WEEKDAY(A2864)&gt;1,WEEKDAY(A2864)&lt;7),"Wkd",TEXT(A2864,"Ddd"))&amp;"-"&amp;TEXT(A2864,"hh"),LoadTable[],5,FALSE)*0.92</f>
        <v>209.07184000000001</v>
      </c>
      <c r="U2864" s="104">
        <f>VLOOKUP(TEXT(A2864,"yy-mm")&amp;"-"&amp;IF(AND(WEEKDAY(A2864)&gt;1,WEEKDAY(A2864)&lt;7),"Wkd",TEXT(A2864,"Ddd"))&amp;"-"&amp;TEXT(A2864,"hh"),LoadTable[],6,FALSE)*T2864</f>
        <v>9445.4475875200005</v>
      </c>
      <c r="V2864">
        <f t="shared" ref="V2864:W2864" si="3061">V2840</f>
        <v>2.9</v>
      </c>
      <c r="W2864">
        <f t="shared" si="3061"/>
        <v>3.1</v>
      </c>
      <c r="X2864" s="9">
        <v>-162.011649416675</v>
      </c>
    </row>
    <row r="2865" spans="1:24">
      <c r="A2865" s="29">
        <f t="shared" si="3013"/>
        <v>45955.249999993059</v>
      </c>
      <c r="B2865" s="30">
        <f t="shared" si="3037"/>
        <v>8000</v>
      </c>
      <c r="C2865" s="8">
        <v>25000</v>
      </c>
      <c r="D2865" s="8">
        <v>0</v>
      </c>
      <c r="E2865" s="8">
        <v>700</v>
      </c>
      <c r="F2865" s="8">
        <v>15000</v>
      </c>
      <c r="G2865" s="30">
        <f t="shared" si="3038"/>
        <v>2400</v>
      </c>
      <c r="H2865" s="8">
        <v>25000</v>
      </c>
      <c r="I2865" s="30">
        <f t="shared" si="3039"/>
        <v>8000</v>
      </c>
      <c r="J2865" s="8">
        <v>25000</v>
      </c>
      <c r="K2865" s="30">
        <f t="shared" si="3040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VLOOKUP(VLOOKUP(DATEVALUE(TEXT(A2865,"m/d/yyyy")),FY24_Temp[],5,FALSE)&amp;TEXT(A2865,"-h"),Table6[],4,FALSE)</f>
        <v>0.86557143071428577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VLOOKUP(TEXT(A2865,"yy-mm")&amp;"-"&amp;IF(AND(WEEKDAY(A2865)&gt;1,WEEKDAY(A2865)&lt;7),"Wkd",TEXT(A2865,"Ddd"))&amp;"-"&amp;TEXT(A2865,"hh"),LoadTable[],5,FALSE)*0.92</f>
        <v>236.10788000000002</v>
      </c>
      <c r="U2865" s="104">
        <f>VLOOKUP(TEXT(A2865,"yy-mm")&amp;"-"&amp;IF(AND(WEEKDAY(A2865)&gt;1,WEEKDAY(A2865)&lt;7),"Wkd",TEXT(A2865,"Ddd"))&amp;"-"&amp;TEXT(A2865,"hh"),LoadTable[],6,FALSE)*T2865</f>
        <v>11185.610815000002</v>
      </c>
      <c r="V2865">
        <f t="shared" ref="V2865:W2865" si="3062">V2841</f>
        <v>2.5</v>
      </c>
      <c r="W2865">
        <f t="shared" si="3062"/>
        <v>3.1</v>
      </c>
      <c r="X2865" s="9">
        <v>-162.08944396667499</v>
      </c>
    </row>
    <row r="2866" spans="1:24">
      <c r="A2866" s="29">
        <f t="shared" si="3013"/>
        <v>45955.291666659723</v>
      </c>
      <c r="B2866" s="30">
        <f t="shared" si="3037"/>
        <v>8000</v>
      </c>
      <c r="C2866" s="8">
        <v>25000</v>
      </c>
      <c r="D2866" s="8">
        <v>0</v>
      </c>
      <c r="E2866" s="8">
        <v>700</v>
      </c>
      <c r="F2866" s="8">
        <v>15000</v>
      </c>
      <c r="G2866" s="30">
        <f t="shared" si="3038"/>
        <v>2400</v>
      </c>
      <c r="H2866" s="8">
        <v>25000</v>
      </c>
      <c r="I2866" s="30">
        <f t="shared" si="3039"/>
        <v>8000</v>
      </c>
      <c r="J2866" s="8">
        <v>25000</v>
      </c>
      <c r="K2866" s="30">
        <f t="shared" si="3040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VLOOKUP(VLOOKUP(DATEVALUE(TEXT(A2866,"m/d/yyyy")),FY24_Temp[],5,FALSE)&amp;TEXT(A2866,"-h"),Table6[],4,FALSE)</f>
        <v>0.75871427985714279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VLOOKUP(TEXT(A2866,"yy-mm")&amp;"-"&amp;IF(AND(WEEKDAY(A2866)&gt;1,WEEKDAY(A2866)&lt;7),"Wkd",TEXT(A2866,"Ddd"))&amp;"-"&amp;TEXT(A2866,"hh"),LoadTable[],5,FALSE)*0.92</f>
        <v>236.10788000000002</v>
      </c>
      <c r="U2866" s="104">
        <f>VLOOKUP(TEXT(A2866,"yy-mm")&amp;"-"&amp;IF(AND(WEEKDAY(A2866)&gt;1,WEEKDAY(A2866)&lt;7),"Wkd",TEXT(A2866,"Ddd"))&amp;"-"&amp;TEXT(A2866,"hh"),LoadTable[],6,FALSE)*T2866</f>
        <v>11205.916092680001</v>
      </c>
      <c r="V2866">
        <f t="shared" ref="V2866:W2866" si="3063">V2842</f>
        <v>2.5</v>
      </c>
      <c r="W2866">
        <f t="shared" si="3063"/>
        <v>3.1</v>
      </c>
      <c r="X2866" s="9">
        <v>-162.16723851667501</v>
      </c>
    </row>
    <row r="2867" spans="1:24">
      <c r="A2867" s="29">
        <f t="shared" si="3013"/>
        <v>45955.333333326387</v>
      </c>
      <c r="B2867" s="30">
        <f t="shared" si="3037"/>
        <v>8000</v>
      </c>
      <c r="C2867" s="8">
        <v>25000</v>
      </c>
      <c r="D2867" s="8">
        <v>0</v>
      </c>
      <c r="E2867" s="8">
        <v>700</v>
      </c>
      <c r="F2867" s="8">
        <v>15000</v>
      </c>
      <c r="G2867" s="30">
        <f t="shared" si="3038"/>
        <v>2400</v>
      </c>
      <c r="H2867" s="8">
        <v>25000</v>
      </c>
      <c r="I2867" s="30">
        <f t="shared" si="3039"/>
        <v>8000</v>
      </c>
      <c r="J2867" s="8">
        <v>25000</v>
      </c>
      <c r="K2867" s="30">
        <f t="shared" si="3040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VLOOKUP(VLOOKUP(DATEVALUE(TEXT(A2867,"m/d/yyyy")),FY24_Temp[],5,FALSE)&amp;TEXT(A2867,"-h"),Table6[],4,FALSE)</f>
        <v>0.67285714385714279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VLOOKUP(TEXT(A2867,"yy-mm")&amp;"-"&amp;IF(AND(WEEKDAY(A2867)&gt;1,WEEKDAY(A2867)&lt;7),"Wkd",TEXT(A2867,"Ddd"))&amp;"-"&amp;TEXT(A2867,"hh"),LoadTable[],5,FALSE)*0.92</f>
        <v>236.10788000000002</v>
      </c>
      <c r="U2867" s="104">
        <f>VLOOKUP(TEXT(A2867,"yy-mm")&amp;"-"&amp;IF(AND(WEEKDAY(A2867)&gt;1,WEEKDAY(A2867)&lt;7),"Wkd",TEXT(A2867,"Ddd"))&amp;"-"&amp;TEXT(A2867,"hh"),LoadTable[],6,FALSE)*T2867</f>
        <v>10774.546995920002</v>
      </c>
      <c r="V2867">
        <f t="shared" ref="V2867:W2867" si="3064">V2843</f>
        <v>3.2</v>
      </c>
      <c r="W2867">
        <f t="shared" si="3064"/>
        <v>3</v>
      </c>
      <c r="X2867" s="9">
        <v>-162.24503306667501</v>
      </c>
    </row>
    <row r="2868" spans="1:24">
      <c r="A2868" s="29">
        <f t="shared" si="3013"/>
        <v>45955.374999993051</v>
      </c>
      <c r="B2868" s="30">
        <f t="shared" si="3037"/>
        <v>8000</v>
      </c>
      <c r="C2868" s="8">
        <v>25000</v>
      </c>
      <c r="D2868" s="8">
        <v>0</v>
      </c>
      <c r="E2868" s="8">
        <v>700</v>
      </c>
      <c r="F2868" s="8">
        <v>15000</v>
      </c>
      <c r="G2868" s="30">
        <f t="shared" si="3038"/>
        <v>2400</v>
      </c>
      <c r="H2868" s="8">
        <v>25000</v>
      </c>
      <c r="I2868" s="30">
        <f t="shared" si="3039"/>
        <v>8000</v>
      </c>
      <c r="J2868" s="8">
        <v>25000</v>
      </c>
      <c r="K2868" s="30">
        <f t="shared" si="3040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VLOOKUP(VLOOKUP(DATEVALUE(TEXT(A2868,"m/d/yyyy")),FY24_Temp[],5,FALSE)&amp;TEXT(A2868,"-h"),Table6[],4,FALSE)</f>
        <v>0.60857142499999994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VLOOKUP(TEXT(A2868,"yy-mm")&amp;"-"&amp;IF(AND(WEEKDAY(A2868)&gt;1,WEEKDAY(A2868)&lt;7),"Wkd",TEXT(A2868,"Ddd"))&amp;"-"&amp;TEXT(A2868,"hh"),LoadTable[],5,FALSE)*0.92</f>
        <v>236.10788000000002</v>
      </c>
      <c r="U2868" s="104">
        <f>VLOOKUP(TEXT(A2868,"yy-mm")&amp;"-"&amp;IF(AND(WEEKDAY(A2868)&gt;1,WEEKDAY(A2868)&lt;7),"Wkd",TEXT(A2868,"Ddd"))&amp;"-"&amp;TEXT(A2868,"hh"),LoadTable[],6,FALSE)*T2868</f>
        <v>10582.119073720001</v>
      </c>
      <c r="V2868">
        <f t="shared" ref="V2868:W2868" si="3065">V2844</f>
        <v>2.9</v>
      </c>
      <c r="W2868">
        <f t="shared" si="3065"/>
        <v>3</v>
      </c>
      <c r="X2868" s="9">
        <v>-162.322827616675</v>
      </c>
    </row>
    <row r="2869" spans="1:24">
      <c r="A2869" s="29">
        <f t="shared" si="3013"/>
        <v>45955.416666659716</v>
      </c>
      <c r="B2869" s="30">
        <f t="shared" si="3037"/>
        <v>8000</v>
      </c>
      <c r="C2869" s="8">
        <v>25000</v>
      </c>
      <c r="D2869" s="8">
        <v>0</v>
      </c>
      <c r="E2869" s="8">
        <v>700</v>
      </c>
      <c r="F2869" s="8">
        <v>15000</v>
      </c>
      <c r="G2869" s="30">
        <f t="shared" si="3038"/>
        <v>2400</v>
      </c>
      <c r="H2869" s="8">
        <v>25000</v>
      </c>
      <c r="I2869" s="30">
        <f t="shared" si="3039"/>
        <v>8000</v>
      </c>
      <c r="J2869" s="8">
        <v>25000</v>
      </c>
      <c r="K2869" s="30">
        <f t="shared" si="3040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VLOOKUP(VLOOKUP(DATEVALUE(TEXT(A2869,"m/d/yyyy")),FY24_Temp[],5,FALSE)&amp;TEXT(A2869,"-h"),Table6[],4,FALSE)</f>
        <v>0.55842857057142858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VLOOKUP(TEXT(A2869,"yy-mm")&amp;"-"&amp;IF(AND(WEEKDAY(A2869)&gt;1,WEEKDAY(A2869)&lt;7),"Wkd",TEXT(A2869,"Ddd"))&amp;"-"&amp;TEXT(A2869,"hh"),LoadTable[],5,FALSE)*0.92</f>
        <v>236.10788000000002</v>
      </c>
      <c r="U2869" s="104">
        <f>VLOOKUP(TEXT(A2869,"yy-mm")&amp;"-"&amp;IF(AND(WEEKDAY(A2869)&gt;1,WEEKDAY(A2869)&lt;7),"Wkd",TEXT(A2869,"Ddd"))&amp;"-"&amp;TEXT(A2869,"hh"),LoadTable[],6,FALSE)*T2869</f>
        <v>10558.272177840001</v>
      </c>
      <c r="V2869">
        <f t="shared" ref="V2869:W2869" si="3066">V2845</f>
        <v>2.9</v>
      </c>
      <c r="W2869">
        <f t="shared" si="3066"/>
        <v>3</v>
      </c>
      <c r="X2869" s="9">
        <v>-162.40062216667499</v>
      </c>
    </row>
    <row r="2870" spans="1:24">
      <c r="A2870" s="29">
        <f t="shared" si="3013"/>
        <v>45955.45833332638</v>
      </c>
      <c r="B2870" s="30">
        <f t="shared" si="3037"/>
        <v>8000</v>
      </c>
      <c r="C2870" s="8">
        <v>25000</v>
      </c>
      <c r="D2870" s="8">
        <v>0</v>
      </c>
      <c r="E2870" s="8">
        <v>700</v>
      </c>
      <c r="F2870" s="8">
        <v>15000</v>
      </c>
      <c r="G2870" s="30">
        <f t="shared" si="3038"/>
        <v>2400</v>
      </c>
      <c r="H2870" s="8">
        <v>25000</v>
      </c>
      <c r="I2870" s="30">
        <f t="shared" si="3039"/>
        <v>8000</v>
      </c>
      <c r="J2870" s="8">
        <v>25000</v>
      </c>
      <c r="K2870" s="30">
        <f t="shared" si="3040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VLOOKUP(VLOOKUP(DATEVALUE(TEXT(A2870,"m/d/yyyy")),FY24_Temp[],5,FALSE)&amp;TEXT(A2870,"-h"),Table6[],4,FALSE)</f>
        <v>0.51114285628571432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VLOOKUP(TEXT(A2870,"yy-mm")&amp;"-"&amp;IF(AND(WEEKDAY(A2870)&gt;1,WEEKDAY(A2870)&lt;7),"Wkd",TEXT(A2870,"Ddd"))&amp;"-"&amp;TEXT(A2870,"hh"),LoadTable[],5,FALSE)*0.92</f>
        <v>236.10788000000002</v>
      </c>
      <c r="U2870" s="104">
        <f>VLOOKUP(TEXT(A2870,"yy-mm")&amp;"-"&amp;IF(AND(WEEKDAY(A2870)&gt;1,WEEKDAY(A2870)&lt;7),"Wkd",TEXT(A2870,"Ddd"))&amp;"-"&amp;TEXT(A2870,"hh"),LoadTable[],6,FALSE)*T2870</f>
        <v>10539.38354744</v>
      </c>
      <c r="V2870">
        <f t="shared" ref="V2870:W2870" si="3067">V2846</f>
        <v>3.4</v>
      </c>
      <c r="W2870">
        <f t="shared" si="3067"/>
        <v>3</v>
      </c>
      <c r="X2870" s="9">
        <v>-162.47841671667501</v>
      </c>
    </row>
    <row r="2871" spans="1:24">
      <c r="A2871" s="29">
        <f t="shared" si="3013"/>
        <v>45955.499999993044</v>
      </c>
      <c r="B2871" s="30">
        <f t="shared" si="3037"/>
        <v>8000</v>
      </c>
      <c r="C2871" s="8">
        <v>25000</v>
      </c>
      <c r="D2871" s="8">
        <v>0</v>
      </c>
      <c r="E2871" s="8">
        <v>700</v>
      </c>
      <c r="F2871" s="8">
        <v>15000</v>
      </c>
      <c r="G2871" s="30">
        <f t="shared" si="3038"/>
        <v>2400</v>
      </c>
      <c r="H2871" s="8">
        <v>25000</v>
      </c>
      <c r="I2871" s="30">
        <f t="shared" si="3039"/>
        <v>8000</v>
      </c>
      <c r="J2871" s="8">
        <v>25000</v>
      </c>
      <c r="K2871" s="30">
        <f t="shared" si="3040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VLOOKUP(VLOOKUP(DATEVALUE(TEXT(A2871,"m/d/yyyy")),FY24_Temp[],5,FALSE)&amp;TEXT(A2871,"-h"),Table6[],4,FALSE)</f>
        <v>0.46342857814285715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VLOOKUP(TEXT(A2871,"yy-mm")&amp;"-"&amp;IF(AND(WEEKDAY(A2871)&gt;1,WEEKDAY(A2871)&lt;7),"Wkd",TEXT(A2871,"Ddd"))&amp;"-"&amp;TEXT(A2871,"hh"),LoadTable[],5,FALSE)*0.92</f>
        <v>236.10788000000002</v>
      </c>
      <c r="U2871" s="104">
        <f>VLOOKUP(TEXT(A2871,"yy-mm")&amp;"-"&amp;IF(AND(WEEKDAY(A2871)&gt;1,WEEKDAY(A2871)&lt;7),"Wkd",TEXT(A2871,"Ddd"))&amp;"-"&amp;TEXT(A2871,"hh"),LoadTable[],6,FALSE)*T2871</f>
        <v>10532.30031104</v>
      </c>
      <c r="V2871">
        <f t="shared" ref="V2871:W2871" si="3068">V2847</f>
        <v>3.1</v>
      </c>
      <c r="W2871">
        <f t="shared" si="3068"/>
        <v>2.9</v>
      </c>
      <c r="X2871" s="9">
        <v>-162.55621126667501</v>
      </c>
    </row>
    <row r="2872" spans="1:24">
      <c r="A2872" s="29">
        <f t="shared" si="3013"/>
        <v>45955.541666659708</v>
      </c>
      <c r="B2872" s="30">
        <f t="shared" si="3037"/>
        <v>8000</v>
      </c>
      <c r="C2872" s="8">
        <v>25000</v>
      </c>
      <c r="D2872" s="8">
        <v>0</v>
      </c>
      <c r="E2872" s="8">
        <v>700</v>
      </c>
      <c r="F2872" s="8">
        <v>15000</v>
      </c>
      <c r="G2872" s="30">
        <f t="shared" si="3038"/>
        <v>2400</v>
      </c>
      <c r="H2872" s="8">
        <v>25000</v>
      </c>
      <c r="I2872" s="30">
        <f t="shared" si="3039"/>
        <v>8000</v>
      </c>
      <c r="J2872" s="8">
        <v>25000</v>
      </c>
      <c r="K2872" s="30">
        <f t="shared" si="3040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VLOOKUP(VLOOKUP(DATEVALUE(TEXT(A2872,"m/d/yyyy")),FY24_Temp[],5,FALSE)&amp;TEXT(A2872,"-h"),Table6[],4,FALSE)</f>
        <v>0.4270000052857143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VLOOKUP(TEXT(A2872,"yy-mm")&amp;"-"&amp;IF(AND(WEEKDAY(A2872)&gt;1,WEEKDAY(A2872)&lt;7),"Wkd",TEXT(A2872,"Ddd"))&amp;"-"&amp;TEXT(A2872,"hh"),LoadTable[],5,FALSE)*0.92</f>
        <v>236.10788000000002</v>
      </c>
      <c r="U2872" s="104">
        <f>VLOOKUP(TEXT(A2872,"yy-mm")&amp;"-"&amp;IF(AND(WEEKDAY(A2872)&gt;1,WEEKDAY(A2872)&lt;7),"Wkd",TEXT(A2872,"Ddd"))&amp;"-"&amp;TEXT(A2872,"hh"),LoadTable[],6,FALSE)*T2872</f>
        <v>10537.966900160001</v>
      </c>
      <c r="V2872">
        <f t="shared" ref="V2872:W2872" si="3069">V2848</f>
        <v>3.2</v>
      </c>
      <c r="W2872">
        <f t="shared" si="3069"/>
        <v>2.9</v>
      </c>
      <c r="X2872" s="9">
        <v>-162.634005816675</v>
      </c>
    </row>
    <row r="2873" spans="1:24">
      <c r="A2873" s="29">
        <f t="shared" si="3013"/>
        <v>45955.583333326373</v>
      </c>
      <c r="B2873" s="30">
        <f t="shared" si="3037"/>
        <v>8000</v>
      </c>
      <c r="C2873" s="8">
        <v>25000</v>
      </c>
      <c r="D2873" s="8">
        <v>0</v>
      </c>
      <c r="E2873" s="8">
        <v>700</v>
      </c>
      <c r="F2873" s="8">
        <v>15000</v>
      </c>
      <c r="G2873" s="30">
        <f t="shared" si="3038"/>
        <v>2400</v>
      </c>
      <c r="H2873" s="8">
        <v>25000</v>
      </c>
      <c r="I2873" s="30">
        <f t="shared" si="3039"/>
        <v>8000</v>
      </c>
      <c r="J2873" s="8">
        <v>25000</v>
      </c>
      <c r="K2873" s="30">
        <f t="shared" si="3040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VLOOKUP(VLOOKUP(DATEVALUE(TEXT(A2873,"m/d/yyyy")),FY24_Temp[],5,FALSE)&amp;TEXT(A2873,"-h"),Table6[],4,FALSE)</f>
        <v>0.45342856214285715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VLOOKUP(TEXT(A2873,"yy-mm")&amp;"-"&amp;IF(AND(WEEKDAY(A2873)&gt;1,WEEKDAY(A2873)&lt;7),"Wkd",TEXT(A2873,"Ddd"))&amp;"-"&amp;TEXT(A2873,"hh"),LoadTable[],5,FALSE)*0.92</f>
        <v>236.10788000000002</v>
      </c>
      <c r="U2873" s="104">
        <f>VLOOKUP(TEXT(A2873,"yy-mm")&amp;"-"&amp;IF(AND(WEEKDAY(A2873)&gt;1,WEEKDAY(A2873)&lt;7),"Wkd",TEXT(A2873,"Ddd"))&amp;"-"&amp;TEXT(A2873,"hh"),LoadTable[],6,FALSE)*T2873</f>
        <v>10545.050136560001</v>
      </c>
      <c r="V2873">
        <f t="shared" ref="V2873:W2873" si="3070">V2849</f>
        <v>3.5</v>
      </c>
      <c r="W2873">
        <f t="shared" si="3070"/>
        <v>2.9</v>
      </c>
      <c r="X2873" s="9">
        <v>-162.71180036667499</v>
      </c>
    </row>
    <row r="2874" spans="1:24">
      <c r="A2874" s="29">
        <f t="shared" si="3013"/>
        <v>45955.624999993037</v>
      </c>
      <c r="B2874" s="30">
        <f t="shared" si="3037"/>
        <v>8000</v>
      </c>
      <c r="C2874" s="8">
        <v>25000</v>
      </c>
      <c r="D2874" s="8">
        <v>0</v>
      </c>
      <c r="E2874" s="8">
        <v>700</v>
      </c>
      <c r="F2874" s="8">
        <v>15000</v>
      </c>
      <c r="G2874" s="30">
        <f t="shared" si="3038"/>
        <v>2400</v>
      </c>
      <c r="H2874" s="8">
        <v>25000</v>
      </c>
      <c r="I2874" s="30">
        <f t="shared" si="3039"/>
        <v>8000</v>
      </c>
      <c r="J2874" s="8">
        <v>25000</v>
      </c>
      <c r="K2874" s="30">
        <f t="shared" si="3040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VLOOKUP(VLOOKUP(DATEVALUE(TEXT(A2874,"m/d/yyyy")),FY24_Temp[],5,FALSE)&amp;TEXT(A2874,"-h"),Table6[],4,FALSE)</f>
        <v>0.57742857442857143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VLOOKUP(TEXT(A2874,"yy-mm")&amp;"-"&amp;IF(AND(WEEKDAY(A2874)&gt;1,WEEKDAY(A2874)&lt;7),"Wkd",TEXT(A2874,"Ddd"))&amp;"-"&amp;TEXT(A2874,"hh"),LoadTable[],5,FALSE)*0.92</f>
        <v>236.10788000000002</v>
      </c>
      <c r="U2874" s="104">
        <f>VLOOKUP(TEXT(A2874,"yy-mm")&amp;"-"&amp;IF(AND(WEEKDAY(A2874)&gt;1,WEEKDAY(A2874)&lt;7),"Wkd",TEXT(A2874,"Ddd"))&amp;"-"&amp;TEXT(A2874,"hh"),LoadTable[],6,FALSE)*T2874</f>
        <v>10562.286011800001</v>
      </c>
      <c r="V2874">
        <f t="shared" ref="V2874:W2874" si="3071">V2850</f>
        <v>3.2</v>
      </c>
      <c r="W2874">
        <f t="shared" si="3071"/>
        <v>2.9</v>
      </c>
      <c r="X2874" s="9">
        <v>-162.78959491667499</v>
      </c>
    </row>
    <row r="2875" spans="1:24">
      <c r="A2875" s="29">
        <f t="shared" si="3013"/>
        <v>45955.666666659701</v>
      </c>
      <c r="B2875" s="30">
        <f t="shared" si="3037"/>
        <v>8000</v>
      </c>
      <c r="C2875" s="8">
        <v>25000</v>
      </c>
      <c r="D2875" s="8">
        <v>0</v>
      </c>
      <c r="E2875" s="8">
        <v>700</v>
      </c>
      <c r="F2875" s="8">
        <v>15000</v>
      </c>
      <c r="G2875" s="30">
        <f t="shared" si="3038"/>
        <v>2400</v>
      </c>
      <c r="H2875" s="8">
        <v>25000</v>
      </c>
      <c r="I2875" s="30">
        <f t="shared" si="3039"/>
        <v>8000</v>
      </c>
      <c r="J2875" s="8">
        <v>25000</v>
      </c>
      <c r="K2875" s="30">
        <f t="shared" si="3040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VLOOKUP(VLOOKUP(DATEVALUE(TEXT(A2875,"m/d/yyyy")),FY24_Temp[],5,FALSE)&amp;TEXT(A2875,"-h"),Table6[],4,FALSE)</f>
        <v>0.73742856928571421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VLOOKUP(TEXT(A2875,"yy-mm")&amp;"-"&amp;IF(AND(WEEKDAY(A2875)&gt;1,WEEKDAY(A2875)&lt;7),"Wkd",TEXT(A2875,"Ddd"))&amp;"-"&amp;TEXT(A2875,"hh"),LoadTable[],5,FALSE)*0.92</f>
        <v>236.10788000000002</v>
      </c>
      <c r="U2875" s="104">
        <f>VLOOKUP(TEXT(A2875,"yy-mm")&amp;"-"&amp;IF(AND(WEEKDAY(A2875)&gt;1,WEEKDAY(A2875)&lt;7),"Wkd",TEXT(A2875,"Ddd"))&amp;"-"&amp;TEXT(A2875,"hh"),LoadTable[],6,FALSE)*T2875</f>
        <v>10585.660691920002</v>
      </c>
      <c r="V2875">
        <f t="shared" ref="V2875:W2875" si="3072">V2851</f>
        <v>3.5</v>
      </c>
      <c r="W2875">
        <f t="shared" si="3072"/>
        <v>3</v>
      </c>
      <c r="X2875" s="9">
        <v>-162.86738946667501</v>
      </c>
    </row>
    <row r="2876" spans="1:24">
      <c r="A2876" s="29">
        <f t="shared" si="3013"/>
        <v>45955.708333326365</v>
      </c>
      <c r="B2876" s="30">
        <f t="shared" si="3037"/>
        <v>8000</v>
      </c>
      <c r="C2876" s="8">
        <v>25000</v>
      </c>
      <c r="D2876" s="8">
        <v>0</v>
      </c>
      <c r="E2876" s="8">
        <v>700</v>
      </c>
      <c r="F2876" s="8">
        <v>15000</v>
      </c>
      <c r="G2876" s="30">
        <f t="shared" si="3038"/>
        <v>2400</v>
      </c>
      <c r="H2876" s="8">
        <v>25000</v>
      </c>
      <c r="I2876" s="30">
        <f t="shared" si="3039"/>
        <v>8000</v>
      </c>
      <c r="J2876" s="8">
        <v>25000</v>
      </c>
      <c r="K2876" s="30">
        <f t="shared" si="3040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VLOOKUP(VLOOKUP(DATEVALUE(TEXT(A2876,"m/d/yyyy")),FY24_Temp[],5,FALSE)&amp;TEXT(A2876,"-h"),Table6[],4,FALSE)</f>
        <v>0.91628573200000007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VLOOKUP(TEXT(A2876,"yy-mm")&amp;"-"&amp;IF(AND(WEEKDAY(A2876)&gt;1,WEEKDAY(A2876)&lt;7),"Wkd",TEXT(A2876,"Ddd"))&amp;"-"&amp;TEXT(A2876,"hh"),LoadTable[],5,FALSE)*0.92</f>
        <v>236.10788000000002</v>
      </c>
      <c r="U2876" s="104">
        <f>VLOOKUP(TEXT(A2876,"yy-mm")&amp;"-"&amp;IF(AND(WEEKDAY(A2876)&gt;1,WEEKDAY(A2876)&lt;7),"Wkd",TEXT(A2876,"Ddd"))&amp;"-"&amp;TEXT(A2876,"hh"),LoadTable[],6,FALSE)*T2876</f>
        <v>10937.933648880002</v>
      </c>
      <c r="V2876">
        <f t="shared" ref="V2876:W2876" si="3073">V2852</f>
        <v>3.6</v>
      </c>
      <c r="W2876">
        <f t="shared" si="3073"/>
        <v>3</v>
      </c>
      <c r="X2876" s="9">
        <v>-162.945184016675</v>
      </c>
    </row>
    <row r="2877" spans="1:24">
      <c r="A2877" s="29">
        <f t="shared" si="3013"/>
        <v>45955.74999999303</v>
      </c>
      <c r="B2877" s="30">
        <f t="shared" si="3037"/>
        <v>5000</v>
      </c>
      <c r="C2877" s="8">
        <v>25000</v>
      </c>
      <c r="D2877" s="8">
        <v>0</v>
      </c>
      <c r="E2877" s="8">
        <v>700</v>
      </c>
      <c r="F2877" s="8">
        <v>15000</v>
      </c>
      <c r="G2877" s="30">
        <f t="shared" si="3038"/>
        <v>2400</v>
      </c>
      <c r="H2877" s="8">
        <v>25000</v>
      </c>
      <c r="I2877" s="30">
        <f t="shared" si="3039"/>
        <v>5000</v>
      </c>
      <c r="J2877" s="8">
        <v>25000</v>
      </c>
      <c r="K2877" s="30">
        <f t="shared" si="3040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VLOOKUP(VLOOKUP(DATEVALUE(TEXT(A2877,"m/d/yyyy")),FY24_Temp[],5,FALSE)&amp;TEXT(A2877,"-h"),Table6[],4,FALSE)</f>
        <v>1.086285723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VLOOKUP(TEXT(A2877,"yy-mm")&amp;"-"&amp;IF(AND(WEEKDAY(A2877)&gt;1,WEEKDAY(A2877)&lt;7),"Wkd",TEXT(A2877,"Ddd"))&amp;"-"&amp;TEXT(A2877,"hh"),LoadTable[],5,FALSE)*0.92</f>
        <v>308.12363999999997</v>
      </c>
      <c r="U2877" s="104">
        <f>VLOOKUP(TEXT(A2877,"yy-mm")&amp;"-"&amp;IF(AND(WEEKDAY(A2877)&gt;1,WEEKDAY(A2877)&lt;7),"Wkd",TEXT(A2877,"Ddd"))&amp;"-"&amp;TEXT(A2877,"hh"),LoadTable[],6,FALSE)*T2877</f>
        <v>14937.525943559998</v>
      </c>
      <c r="V2877">
        <f t="shared" ref="V2877:W2877" si="3074">V2853</f>
        <v>2.9</v>
      </c>
      <c r="W2877">
        <f t="shared" si="3074"/>
        <v>3</v>
      </c>
      <c r="X2877" s="9">
        <v>-163.02297856667499</v>
      </c>
    </row>
    <row r="2878" spans="1:24">
      <c r="A2878" s="29">
        <f t="shared" si="3013"/>
        <v>45955.791666659694</v>
      </c>
      <c r="B2878" s="30">
        <f t="shared" si="3037"/>
        <v>5000</v>
      </c>
      <c r="C2878" s="8">
        <v>25000</v>
      </c>
      <c r="D2878" s="8">
        <v>0</v>
      </c>
      <c r="E2878" s="8">
        <v>700</v>
      </c>
      <c r="F2878" s="8">
        <v>15000</v>
      </c>
      <c r="G2878" s="30">
        <f t="shared" si="3038"/>
        <v>2400</v>
      </c>
      <c r="H2878" s="8">
        <v>25000</v>
      </c>
      <c r="I2878" s="30">
        <f t="shared" si="3039"/>
        <v>5000</v>
      </c>
      <c r="J2878" s="8">
        <v>25000</v>
      </c>
      <c r="K2878" s="30">
        <f t="shared" si="3040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VLOOKUP(VLOOKUP(DATEVALUE(TEXT(A2878,"m/d/yyyy")),FY24_Temp[],5,FALSE)&amp;TEXT(A2878,"-h"),Table6[],4,FALSE)</f>
        <v>1.1839999898571427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VLOOKUP(TEXT(A2878,"yy-mm")&amp;"-"&amp;IF(AND(WEEKDAY(A2878)&gt;1,WEEKDAY(A2878)&lt;7),"Wkd",TEXT(A2878,"Ddd"))&amp;"-"&amp;TEXT(A2878,"hh"),LoadTable[],5,FALSE)*0.92</f>
        <v>308.12363999999997</v>
      </c>
      <c r="U2878" s="104">
        <f>VLOOKUP(TEXT(A2878,"yy-mm")&amp;"-"&amp;IF(AND(WEEKDAY(A2878)&gt;1,WEEKDAY(A2878)&lt;7),"Wkd",TEXT(A2878,"Ddd"))&amp;"-"&amp;TEXT(A2878,"hh"),LoadTable[],6,FALSE)*T2878</f>
        <v>15039.206744759998</v>
      </c>
      <c r="V2878">
        <f t="shared" ref="V2878:W2878" si="3075">V2854</f>
        <v>3</v>
      </c>
      <c r="W2878">
        <f t="shared" si="3075"/>
        <v>3</v>
      </c>
      <c r="X2878" s="9">
        <v>-163.10077311667499</v>
      </c>
    </row>
    <row r="2879" spans="1:24">
      <c r="A2879" s="29">
        <f t="shared" si="3013"/>
        <v>45955.833333326358</v>
      </c>
      <c r="B2879" s="30">
        <f t="shared" si="3037"/>
        <v>5000</v>
      </c>
      <c r="C2879" s="8">
        <v>25000</v>
      </c>
      <c r="D2879" s="8">
        <v>0</v>
      </c>
      <c r="E2879" s="8">
        <v>700</v>
      </c>
      <c r="F2879" s="8">
        <v>15000</v>
      </c>
      <c r="G2879" s="30">
        <f t="shared" si="3038"/>
        <v>2400</v>
      </c>
      <c r="H2879" s="8">
        <v>25000</v>
      </c>
      <c r="I2879" s="30">
        <f t="shared" si="3039"/>
        <v>5000</v>
      </c>
      <c r="J2879" s="8">
        <v>25000</v>
      </c>
      <c r="K2879" s="30">
        <f t="shared" si="3040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VLOOKUP(VLOOKUP(DATEVALUE(TEXT(A2879,"m/d/yyyy")),FY24_Temp[],5,FALSE)&amp;TEXT(A2879,"-h"),Table6[],4,FALSE)</f>
        <v>1.2420000010000003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VLOOKUP(TEXT(A2879,"yy-mm")&amp;"-"&amp;IF(AND(WEEKDAY(A2879)&gt;1,WEEKDAY(A2879)&lt;7),"Wkd",TEXT(A2879,"Ddd"))&amp;"-"&amp;TEXT(A2879,"hh"),LoadTable[],5,FALSE)*0.92</f>
        <v>254.40852000000001</v>
      </c>
      <c r="U2879" s="104">
        <f>VLOOKUP(TEXT(A2879,"yy-mm")&amp;"-"&amp;IF(AND(WEEKDAY(A2879)&gt;1,WEEKDAY(A2879)&lt;7),"Wkd",TEXT(A2879,"Ddd"))&amp;"-"&amp;TEXT(A2879,"hh"),LoadTable[],6,FALSE)*T2879</f>
        <v>12270.377328120001</v>
      </c>
      <c r="V2879">
        <f t="shared" ref="V2879:W2879" si="3076">V2855</f>
        <v>2.8</v>
      </c>
      <c r="W2879">
        <f t="shared" si="3076"/>
        <v>3.1</v>
      </c>
      <c r="X2879" s="9">
        <v>-163.17856766667501</v>
      </c>
    </row>
    <row r="2880" spans="1:24">
      <c r="A2880" s="29">
        <f t="shared" si="3013"/>
        <v>45955.874999993022</v>
      </c>
      <c r="B2880" s="30">
        <f t="shared" si="3037"/>
        <v>5000</v>
      </c>
      <c r="C2880" s="8">
        <v>25000</v>
      </c>
      <c r="D2880" s="8">
        <v>0</v>
      </c>
      <c r="E2880" s="8">
        <v>700</v>
      </c>
      <c r="F2880" s="8">
        <v>15000</v>
      </c>
      <c r="G2880" s="30">
        <f t="shared" si="3038"/>
        <v>2400</v>
      </c>
      <c r="H2880" s="8">
        <v>25000</v>
      </c>
      <c r="I2880" s="30">
        <f t="shared" si="3039"/>
        <v>5000</v>
      </c>
      <c r="J2880" s="8">
        <v>25000</v>
      </c>
      <c r="K2880" s="30">
        <f t="shared" si="3040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VLOOKUP(VLOOKUP(DATEVALUE(TEXT(A2880,"m/d/yyyy")),FY24_Temp[],5,FALSE)&amp;TEXT(A2880,"-h"),Table6[],4,FALSE)</f>
        <v>1.2934285488571429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VLOOKUP(TEXT(A2880,"yy-mm")&amp;"-"&amp;IF(AND(WEEKDAY(A2880)&gt;1,WEEKDAY(A2880)&lt;7),"Wkd",TEXT(A2880,"Ddd"))&amp;"-"&amp;TEXT(A2880,"hh"),LoadTable[],5,FALSE)*0.92</f>
        <v>180.62544</v>
      </c>
      <c r="U2880" s="104">
        <f>VLOOKUP(TEXT(A2880,"yy-mm")&amp;"-"&amp;IF(AND(WEEKDAY(A2880)&gt;1,WEEKDAY(A2880)&lt;7),"Wkd",TEXT(A2880,"Ddd"))&amp;"-"&amp;TEXT(A2880,"hh"),LoadTable[],6,FALSE)*T2880</f>
        <v>8522.4501355199991</v>
      </c>
      <c r="V2880">
        <f t="shared" ref="V2880:W2880" si="3077">V2856</f>
        <v>3.5</v>
      </c>
      <c r="W2880">
        <f t="shared" si="3077"/>
        <v>3.1</v>
      </c>
      <c r="X2880" s="9">
        <v>-163.256362216675</v>
      </c>
    </row>
    <row r="2881" spans="1:24">
      <c r="A2881" s="29">
        <f t="shared" si="3013"/>
        <v>45955.916666659687</v>
      </c>
      <c r="B2881" s="30">
        <f t="shared" si="3037"/>
        <v>5000</v>
      </c>
      <c r="C2881" s="8">
        <v>25000</v>
      </c>
      <c r="D2881" s="8">
        <v>0</v>
      </c>
      <c r="E2881" s="8">
        <v>700</v>
      </c>
      <c r="F2881" s="8">
        <v>15000</v>
      </c>
      <c r="G2881" s="30">
        <f t="shared" si="3038"/>
        <v>2400</v>
      </c>
      <c r="H2881" s="8">
        <v>25000</v>
      </c>
      <c r="I2881" s="30">
        <f t="shared" si="3039"/>
        <v>5000</v>
      </c>
      <c r="J2881" s="8">
        <v>25000</v>
      </c>
      <c r="K2881" s="30">
        <f t="shared" si="3040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VLOOKUP(VLOOKUP(DATEVALUE(TEXT(A2881,"m/d/yyyy")),FY24_Temp[],5,FALSE)&amp;TEXT(A2881,"-h"),Table6[],4,FALSE)</f>
        <v>1.3798571400000001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VLOOKUP(TEXT(A2881,"yy-mm")&amp;"-"&amp;IF(AND(WEEKDAY(A2881)&gt;1,WEEKDAY(A2881)&lt;7),"Wkd",TEXT(A2881,"Ddd"))&amp;"-"&amp;TEXT(A2881,"hh"),LoadTable[],5,FALSE)*0.92</f>
        <v>180.62544</v>
      </c>
      <c r="U2881" s="104">
        <f>VLOOKUP(TEXT(A2881,"yy-mm")&amp;"-"&amp;IF(AND(WEEKDAY(A2881)&gt;1,WEEKDAY(A2881)&lt;7),"Wkd",TEXT(A2881,"Ddd"))&amp;"-"&amp;TEXT(A2881,"hh"),LoadTable[],6,FALSE)*T2881</f>
        <v>8193.1699583999998</v>
      </c>
      <c r="V2881">
        <f t="shared" ref="V2881:W2881" si="3078">V2857</f>
        <v>2.9</v>
      </c>
      <c r="W2881">
        <f t="shared" si="3078"/>
        <v>3.1</v>
      </c>
      <c r="X2881" s="9">
        <v>-163.33415676667499</v>
      </c>
    </row>
    <row r="2882" spans="1:24">
      <c r="A2882" s="29">
        <f t="shared" si="3013"/>
        <v>45955.958333326351</v>
      </c>
      <c r="B2882" s="30">
        <f t="shared" si="3037"/>
        <v>5000</v>
      </c>
      <c r="C2882" s="8">
        <v>25000</v>
      </c>
      <c r="D2882" s="8">
        <v>0</v>
      </c>
      <c r="E2882" s="8">
        <v>700</v>
      </c>
      <c r="F2882" s="8">
        <v>15000</v>
      </c>
      <c r="G2882" s="30">
        <f t="shared" si="3038"/>
        <v>2400</v>
      </c>
      <c r="H2882" s="8">
        <v>25000</v>
      </c>
      <c r="I2882" s="30">
        <f t="shared" si="3039"/>
        <v>5000</v>
      </c>
      <c r="J2882" s="8">
        <v>25000</v>
      </c>
      <c r="K2882" s="30">
        <f t="shared" si="3040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VLOOKUP(VLOOKUP(DATEVALUE(TEXT(A2882,"m/d/yyyy")),FY24_Temp[],5,FALSE)&amp;TEXT(A2882,"-h"),Table6[],4,FALSE)</f>
        <v>1.509714279857143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VLOOKUP(TEXT(A2882,"yy-mm")&amp;"-"&amp;IF(AND(WEEKDAY(A2882)&gt;1,WEEKDAY(A2882)&lt;7),"Wkd",TEXT(A2882,"Ddd"))&amp;"-"&amp;TEXT(A2882,"hh"),LoadTable[],5,FALSE)*0.92</f>
        <v>180.62544</v>
      </c>
      <c r="U2882" s="104">
        <f>VLOOKUP(TEXT(A2882,"yy-mm")&amp;"-"&amp;IF(AND(WEEKDAY(A2882)&gt;1,WEEKDAY(A2882)&lt;7),"Wkd",TEXT(A2882,"Ddd"))&amp;"-"&amp;TEXT(A2882,"hh"),LoadTable[],6,FALSE)*T2882</f>
        <v>8178.1780468799998</v>
      </c>
      <c r="V2882">
        <f t="shared" ref="V2882:W2882" si="3079">V2858</f>
        <v>3.6</v>
      </c>
      <c r="W2882">
        <f t="shared" si="3079"/>
        <v>3.1</v>
      </c>
      <c r="X2882" s="9">
        <v>-163.41195131667499</v>
      </c>
    </row>
    <row r="2883" spans="1:24">
      <c r="A2883" s="29">
        <f t="shared" si="3013"/>
        <v>45955.999999993015</v>
      </c>
      <c r="B2883" s="30">
        <f t="shared" si="3037"/>
        <v>5000</v>
      </c>
      <c r="C2883" s="8">
        <v>25000</v>
      </c>
      <c r="D2883" s="8">
        <v>0</v>
      </c>
      <c r="E2883" s="8">
        <v>700</v>
      </c>
      <c r="F2883" s="8">
        <v>15000</v>
      </c>
      <c r="G2883" s="30">
        <f t="shared" si="3038"/>
        <v>2400</v>
      </c>
      <c r="H2883" s="8">
        <v>25000</v>
      </c>
      <c r="I2883" s="30">
        <f t="shared" si="3039"/>
        <v>5000</v>
      </c>
      <c r="J2883" s="8">
        <v>25000</v>
      </c>
      <c r="K2883" s="30">
        <f t="shared" si="3040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VLOOKUP(VLOOKUP(DATEVALUE(TEXT(A2883,"m/d/yyyy")),FY24_Temp[],5,FALSE)&amp;TEXT(A2883,"-h"),Table6[],4,FALSE)</f>
        <v>1.5784285920000001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VLOOKUP(TEXT(A2883,"yy-mm")&amp;"-"&amp;IF(AND(WEEKDAY(A2883)&gt;1,WEEKDAY(A2883)&lt;7),"Wkd",TEXT(A2883,"Ddd"))&amp;"-"&amp;TEXT(A2883,"hh"),LoadTable[],5,FALSE)*0.92</f>
        <v>180.62544</v>
      </c>
      <c r="U2883" s="104">
        <f>VLOOKUP(TEXT(A2883,"yy-mm")&amp;"-"&amp;IF(AND(WEEKDAY(A2883)&gt;1,WEEKDAY(A2883)&lt;7),"Wkd",TEXT(A2883,"Ddd"))&amp;"-"&amp;TEXT(A2883,"hh"),LoadTable[],6,FALSE)*T2883</f>
        <v>8118.2104007999997</v>
      </c>
      <c r="V2883">
        <f t="shared" ref="V2883:W2883" si="3080">V2859</f>
        <v>3</v>
      </c>
      <c r="W2883">
        <f t="shared" si="3080"/>
        <v>3.2</v>
      </c>
      <c r="X2883" s="9">
        <v>-163.48974586667501</v>
      </c>
    </row>
    <row r="2884" spans="1:24">
      <c r="A2884" s="29">
        <f t="shared" si="3013"/>
        <v>45956.041666659679</v>
      </c>
      <c r="B2884" s="30">
        <f t="shared" si="3037"/>
        <v>5000</v>
      </c>
      <c r="C2884" s="8">
        <v>25000</v>
      </c>
      <c r="D2884" s="8">
        <v>0</v>
      </c>
      <c r="E2884" s="8">
        <v>700</v>
      </c>
      <c r="F2884" s="8">
        <v>15000</v>
      </c>
      <c r="G2884" s="30">
        <f t="shared" si="3038"/>
        <v>2400</v>
      </c>
      <c r="H2884" s="8">
        <v>25000</v>
      </c>
      <c r="I2884" s="30">
        <f t="shared" si="3039"/>
        <v>5000</v>
      </c>
      <c r="J2884" s="8">
        <v>25000</v>
      </c>
      <c r="K2884" s="30">
        <f t="shared" si="3040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VLOOKUP(VLOOKUP(DATEVALUE(TEXT(A2884,"m/d/yyyy")),FY24_Temp[],5,FALSE)&amp;TEXT(A2884,"-h"),Table6[],4,FALSE)</f>
        <v>1.5087142842857144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VLOOKUP(TEXT(A2884,"yy-mm")&amp;"-"&amp;IF(AND(WEEKDAY(A2884)&gt;1,WEEKDAY(A2884)&lt;7),"Wkd",TEXT(A2884,"Ddd"))&amp;"-"&amp;TEXT(A2884,"hh"),LoadTable[],5,FALSE)*0.92</f>
        <v>180.62544</v>
      </c>
      <c r="U2884" s="104">
        <f>VLOOKUP(TEXT(A2884,"yy-mm")&amp;"-"&amp;IF(AND(WEEKDAY(A2884)&gt;1,WEEKDAY(A2884)&lt;7),"Wkd",TEXT(A2884,"Ddd"))&amp;"-"&amp;TEXT(A2884,"hh"),LoadTable[],6,FALSE)*T2884</f>
        <v>8109.7210051200009</v>
      </c>
      <c r="V2884">
        <f t="shared" ref="V2884:W2884" si="3081">V2860</f>
        <v>2.6</v>
      </c>
      <c r="W2884">
        <f t="shared" si="3081"/>
        <v>3.2</v>
      </c>
      <c r="X2884" s="9">
        <v>-163.567540416675</v>
      </c>
    </row>
    <row r="2885" spans="1:24">
      <c r="A2885" s="29">
        <f t="shared" ref="A2885:A2948" si="3082">A2884+TIME(1,0,0)</f>
        <v>45956.083333326344</v>
      </c>
      <c r="B2885" s="30">
        <f t="shared" si="3037"/>
        <v>5000</v>
      </c>
      <c r="C2885" s="8">
        <v>25000</v>
      </c>
      <c r="D2885" s="8">
        <v>0</v>
      </c>
      <c r="E2885" s="8">
        <v>700</v>
      </c>
      <c r="F2885" s="8">
        <v>15000</v>
      </c>
      <c r="G2885" s="30">
        <f t="shared" si="3038"/>
        <v>2400</v>
      </c>
      <c r="H2885" s="8">
        <v>25000</v>
      </c>
      <c r="I2885" s="30">
        <f t="shared" si="3039"/>
        <v>5000</v>
      </c>
      <c r="J2885" s="8">
        <v>25000</v>
      </c>
      <c r="K2885" s="30">
        <f t="shared" si="3040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VLOOKUP(VLOOKUP(DATEVALUE(TEXT(A2885,"m/d/yyyy")),FY24_Temp[],5,FALSE)&amp;TEXT(A2885,"-h"),Table6[],4,FALSE)</f>
        <v>1.393571444857143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VLOOKUP(TEXT(A2885,"yy-mm")&amp;"-"&amp;IF(AND(WEEKDAY(A2885)&gt;1,WEEKDAY(A2885)&lt;7),"Wkd",TEXT(A2885,"Ddd"))&amp;"-"&amp;TEXT(A2885,"hh"),LoadTable[],5,FALSE)*0.92</f>
        <v>180.62544</v>
      </c>
      <c r="U2885" s="104">
        <f>VLOOKUP(TEXT(A2885,"yy-mm")&amp;"-"&amp;IF(AND(WEEKDAY(A2885)&gt;1,WEEKDAY(A2885)&lt;7),"Wkd",TEXT(A2885,"Ddd"))&amp;"-"&amp;TEXT(A2885,"hh"),LoadTable[],6,FALSE)*T2885</f>
        <v>8120.3779060799998</v>
      </c>
      <c r="V2885">
        <f t="shared" ref="V2885:W2885" si="3083">V2861</f>
        <v>2.8</v>
      </c>
      <c r="W2885">
        <f t="shared" si="3083"/>
        <v>3.2</v>
      </c>
      <c r="X2885" s="9">
        <v>-163.64533496667499</v>
      </c>
    </row>
    <row r="2886" spans="1:24">
      <c r="A2886" s="29">
        <f t="shared" si="3082"/>
        <v>45956.124999993008</v>
      </c>
      <c r="B2886" s="30">
        <f t="shared" si="3037"/>
        <v>5000</v>
      </c>
      <c r="C2886" s="8">
        <v>25000</v>
      </c>
      <c r="D2886" s="8">
        <v>0</v>
      </c>
      <c r="E2886" s="8">
        <v>700</v>
      </c>
      <c r="F2886" s="8">
        <v>15000</v>
      </c>
      <c r="G2886" s="30">
        <f t="shared" si="3038"/>
        <v>2400</v>
      </c>
      <c r="H2886" s="8">
        <v>25000</v>
      </c>
      <c r="I2886" s="30">
        <f t="shared" si="3039"/>
        <v>5000</v>
      </c>
      <c r="J2886" s="8">
        <v>25000</v>
      </c>
      <c r="K2886" s="30">
        <f t="shared" si="3040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VLOOKUP(VLOOKUP(DATEVALUE(TEXT(A2886,"m/d/yyyy")),FY24_Temp[],5,FALSE)&amp;TEXT(A2886,"-h"),Table6[],4,FALSE)</f>
        <v>1.2625714202857143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VLOOKUP(TEXT(A2886,"yy-mm")&amp;"-"&amp;IF(AND(WEEKDAY(A2886)&gt;1,WEEKDAY(A2886)&lt;7),"Wkd",TEXT(A2886,"Ddd"))&amp;"-"&amp;TEXT(A2886,"hh"),LoadTable[],5,FALSE)*0.92</f>
        <v>180.62544</v>
      </c>
      <c r="U2886" s="104">
        <f>VLOOKUP(TEXT(A2886,"yy-mm")&amp;"-"&amp;IF(AND(WEEKDAY(A2886)&gt;1,WEEKDAY(A2886)&lt;7),"Wkd",TEXT(A2886,"Ddd"))&amp;"-"&amp;TEXT(A2886,"hh"),LoadTable[],6,FALSE)*T2886</f>
        <v>8130.1316798400003</v>
      </c>
      <c r="V2886">
        <f t="shared" ref="V2886:W2886" si="3084">V2862</f>
        <v>2.7</v>
      </c>
      <c r="W2886">
        <f t="shared" si="3084"/>
        <v>3.2</v>
      </c>
      <c r="X2886" s="9">
        <v>-163.72312951667499</v>
      </c>
    </row>
    <row r="2887" spans="1:24">
      <c r="A2887" s="29">
        <f t="shared" si="3082"/>
        <v>45956.166666659672</v>
      </c>
      <c r="B2887" s="30">
        <f t="shared" si="3037"/>
        <v>5000</v>
      </c>
      <c r="C2887" s="8">
        <v>25000</v>
      </c>
      <c r="D2887" s="8">
        <v>0</v>
      </c>
      <c r="E2887" s="8">
        <v>700</v>
      </c>
      <c r="F2887" s="8">
        <v>15000</v>
      </c>
      <c r="G2887" s="30">
        <f t="shared" si="3038"/>
        <v>2400</v>
      </c>
      <c r="H2887" s="8">
        <v>25000</v>
      </c>
      <c r="I2887" s="30">
        <f t="shared" si="3039"/>
        <v>5000</v>
      </c>
      <c r="J2887" s="8">
        <v>25000</v>
      </c>
      <c r="K2887" s="30">
        <f t="shared" si="3040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VLOOKUP(VLOOKUP(DATEVALUE(TEXT(A2887,"m/d/yyyy")),FY24_Temp[],5,FALSE)&amp;TEXT(A2887,"-h"),Table6[],4,FALSE)</f>
        <v>1.1234285491428573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VLOOKUP(TEXT(A2887,"yy-mm")&amp;"-"&amp;IF(AND(WEEKDAY(A2887)&gt;1,WEEKDAY(A2887)&lt;7),"Wkd",TEXT(A2887,"Ddd"))&amp;"-"&amp;TEXT(A2887,"hh"),LoadTable[],5,FALSE)*0.92</f>
        <v>180.62544</v>
      </c>
      <c r="U2887" s="104">
        <f>VLOOKUP(TEXT(A2887,"yy-mm")&amp;"-"&amp;IF(AND(WEEKDAY(A2887)&gt;1,WEEKDAY(A2887)&lt;7),"Wkd",TEXT(A2887,"Ddd"))&amp;"-"&amp;TEXT(A2887,"hh"),LoadTable[],6,FALSE)*T2887</f>
        <v>8136.0923193599992</v>
      </c>
      <c r="V2887">
        <f t="shared" ref="V2887:W2887" si="3085">V2863</f>
        <v>3</v>
      </c>
      <c r="W2887">
        <f t="shared" si="3085"/>
        <v>3.1</v>
      </c>
      <c r="X2887" s="9">
        <v>-163.80092406667501</v>
      </c>
    </row>
    <row r="2888" spans="1:24">
      <c r="A2888" s="29">
        <f t="shared" si="3082"/>
        <v>45956.208333326336</v>
      </c>
      <c r="B2888" s="30">
        <f t="shared" si="3037"/>
        <v>5000</v>
      </c>
      <c r="C2888" s="8">
        <v>25000</v>
      </c>
      <c r="D2888" s="8">
        <v>0</v>
      </c>
      <c r="E2888" s="8">
        <v>700</v>
      </c>
      <c r="F2888" s="8">
        <v>15000</v>
      </c>
      <c r="G2888" s="30">
        <f t="shared" si="3038"/>
        <v>2400</v>
      </c>
      <c r="H2888" s="8">
        <v>25000</v>
      </c>
      <c r="I2888" s="30">
        <f t="shared" si="3039"/>
        <v>5000</v>
      </c>
      <c r="J2888" s="8">
        <v>25000</v>
      </c>
      <c r="K2888" s="30">
        <f t="shared" si="3040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VLOOKUP(VLOOKUP(DATEVALUE(TEXT(A2888,"m/d/yyyy")),FY24_Temp[],5,FALSE)&amp;TEXT(A2888,"-h"),Table6[],4,FALSE)</f>
        <v>0.98857142242857143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VLOOKUP(TEXT(A2888,"yy-mm")&amp;"-"&amp;IF(AND(WEEKDAY(A2888)&gt;1,WEEKDAY(A2888)&lt;7),"Wkd",TEXT(A2888,"Ddd"))&amp;"-"&amp;TEXT(A2888,"hh"),LoadTable[],5,FALSE)*0.92</f>
        <v>180.62544</v>
      </c>
      <c r="U2888" s="104">
        <f>VLOOKUP(TEXT(A2888,"yy-mm")&amp;"-"&amp;IF(AND(WEEKDAY(A2888)&gt;1,WEEKDAY(A2888)&lt;7),"Wkd",TEXT(A2888,"Ddd"))&amp;"-"&amp;TEXT(A2888,"hh"),LoadTable[],6,FALSE)*T2888</f>
        <v>8201.4787286400006</v>
      </c>
      <c r="V2888">
        <f t="shared" ref="V2888:W2888" si="3086">V2864</f>
        <v>2.9</v>
      </c>
      <c r="W2888">
        <f t="shared" si="3086"/>
        <v>3.1</v>
      </c>
      <c r="X2888" s="9">
        <v>-163.878718616675</v>
      </c>
    </row>
    <row r="2889" spans="1:24">
      <c r="A2889" s="29">
        <f t="shared" si="3082"/>
        <v>45956.249999993001</v>
      </c>
      <c r="B2889" s="30">
        <f t="shared" si="3037"/>
        <v>8000</v>
      </c>
      <c r="C2889" s="8">
        <v>25000</v>
      </c>
      <c r="D2889" s="8">
        <v>0</v>
      </c>
      <c r="E2889" s="8">
        <v>700</v>
      </c>
      <c r="F2889" s="8">
        <v>15000</v>
      </c>
      <c r="G2889" s="30">
        <f t="shared" si="3038"/>
        <v>2400</v>
      </c>
      <c r="H2889" s="8">
        <v>25000</v>
      </c>
      <c r="I2889" s="30">
        <f t="shared" si="3039"/>
        <v>8000</v>
      </c>
      <c r="J2889" s="8">
        <v>25000</v>
      </c>
      <c r="K2889" s="30">
        <f t="shared" si="3040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VLOOKUP(VLOOKUP(DATEVALUE(TEXT(A2889,"m/d/yyyy")),FY24_Temp[],5,FALSE)&amp;TEXT(A2889,"-h"),Table6[],4,FALSE)</f>
        <v>0.86557143071428577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VLOOKUP(TEXT(A2889,"yy-mm")&amp;"-"&amp;IF(AND(WEEKDAY(A2889)&gt;1,WEEKDAY(A2889)&lt;7),"Wkd",TEXT(A2889,"Ddd"))&amp;"-"&amp;TEXT(A2889,"hh"),LoadTable[],5,FALSE)*0.92</f>
        <v>236.10788000000002</v>
      </c>
      <c r="U2889" s="104">
        <f>VLOOKUP(TEXT(A2889,"yy-mm")&amp;"-"&amp;IF(AND(WEEKDAY(A2889)&gt;1,WEEKDAY(A2889)&lt;7),"Wkd",TEXT(A2889,"Ddd"))&amp;"-"&amp;TEXT(A2889,"hh"),LoadTable[],6,FALSE)*T2889</f>
        <v>10800.282754840002</v>
      </c>
      <c r="V2889">
        <f t="shared" ref="V2889:W2889" si="3087">V2865</f>
        <v>2.5</v>
      </c>
      <c r="W2889">
        <f t="shared" si="3087"/>
        <v>3.1</v>
      </c>
      <c r="X2889" s="9">
        <v>-163.95651316667499</v>
      </c>
    </row>
    <row r="2890" spans="1:24">
      <c r="A2890" s="29">
        <f t="shared" si="3082"/>
        <v>45956.291666659665</v>
      </c>
      <c r="B2890" s="30">
        <f t="shared" si="3037"/>
        <v>8000</v>
      </c>
      <c r="C2890" s="8">
        <v>25000</v>
      </c>
      <c r="D2890" s="8">
        <v>0</v>
      </c>
      <c r="E2890" s="8">
        <v>700</v>
      </c>
      <c r="F2890" s="8">
        <v>15000</v>
      </c>
      <c r="G2890" s="30">
        <f t="shared" si="3038"/>
        <v>2400</v>
      </c>
      <c r="H2890" s="8">
        <v>25000</v>
      </c>
      <c r="I2890" s="30">
        <f t="shared" si="3039"/>
        <v>8000</v>
      </c>
      <c r="J2890" s="8">
        <v>25000</v>
      </c>
      <c r="K2890" s="30">
        <f t="shared" si="3040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VLOOKUP(VLOOKUP(DATEVALUE(TEXT(A2890,"m/d/yyyy")),FY24_Temp[],5,FALSE)&amp;TEXT(A2890,"-h"),Table6[],4,FALSE)</f>
        <v>0.75871427985714279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VLOOKUP(TEXT(A2890,"yy-mm")&amp;"-"&amp;IF(AND(WEEKDAY(A2890)&gt;1,WEEKDAY(A2890)&lt;7),"Wkd",TEXT(A2890,"Ddd"))&amp;"-"&amp;TEXT(A2890,"hh"),LoadTable[],5,FALSE)*0.92</f>
        <v>236.10788000000002</v>
      </c>
      <c r="U2890" s="104">
        <f>VLOOKUP(TEXT(A2890,"yy-mm")&amp;"-"&amp;IF(AND(WEEKDAY(A2890)&gt;1,WEEKDAY(A2890)&lt;7),"Wkd",TEXT(A2890,"Ddd"))&amp;"-"&amp;TEXT(A2890,"hh"),LoadTable[],6,FALSE)*T2890</f>
        <v>10734.40865632</v>
      </c>
      <c r="V2890">
        <f t="shared" ref="V2890:W2890" si="3088">V2866</f>
        <v>2.5</v>
      </c>
      <c r="W2890">
        <f t="shared" si="3088"/>
        <v>3.1</v>
      </c>
      <c r="X2890" s="9">
        <v>-164.03430771667499</v>
      </c>
    </row>
    <row r="2891" spans="1:24">
      <c r="A2891" s="29">
        <f t="shared" si="3082"/>
        <v>45956.333333326329</v>
      </c>
      <c r="B2891" s="30">
        <f t="shared" si="3037"/>
        <v>8000</v>
      </c>
      <c r="C2891" s="8">
        <v>25000</v>
      </c>
      <c r="D2891" s="8">
        <v>0</v>
      </c>
      <c r="E2891" s="8">
        <v>700</v>
      </c>
      <c r="F2891" s="8">
        <v>15000</v>
      </c>
      <c r="G2891" s="30">
        <f t="shared" si="3038"/>
        <v>2400</v>
      </c>
      <c r="H2891" s="8">
        <v>25000</v>
      </c>
      <c r="I2891" s="30">
        <f t="shared" si="3039"/>
        <v>8000</v>
      </c>
      <c r="J2891" s="8">
        <v>25000</v>
      </c>
      <c r="K2891" s="30">
        <f t="shared" si="3040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VLOOKUP(VLOOKUP(DATEVALUE(TEXT(A2891,"m/d/yyyy")),FY24_Temp[],5,FALSE)&amp;TEXT(A2891,"-h"),Table6[],4,FALSE)</f>
        <v>0.67285714385714279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VLOOKUP(TEXT(A2891,"yy-mm")&amp;"-"&amp;IF(AND(WEEKDAY(A2891)&gt;1,WEEKDAY(A2891)&lt;7),"Wkd",TEXT(A2891,"Ddd"))&amp;"-"&amp;TEXT(A2891,"hh"),LoadTable[],5,FALSE)*0.92</f>
        <v>236.10788000000002</v>
      </c>
      <c r="U2891" s="104">
        <f>VLOOKUP(TEXT(A2891,"yy-mm")&amp;"-"&amp;IF(AND(WEEKDAY(A2891)&gt;1,WEEKDAY(A2891)&lt;7),"Wkd",TEXT(A2891,"Ddd"))&amp;"-"&amp;TEXT(A2891,"hh"),LoadTable[],6,FALSE)*T2891</f>
        <v>10590.6189574</v>
      </c>
      <c r="V2891">
        <f t="shared" ref="V2891:W2891" si="3089">V2867</f>
        <v>3.2</v>
      </c>
      <c r="W2891">
        <f t="shared" si="3089"/>
        <v>3</v>
      </c>
      <c r="X2891" s="9">
        <v>-164.11210226667501</v>
      </c>
    </row>
    <row r="2892" spans="1:24">
      <c r="A2892" s="29">
        <f t="shared" si="3082"/>
        <v>45956.374999992993</v>
      </c>
      <c r="B2892" s="30">
        <f t="shared" si="3037"/>
        <v>8000</v>
      </c>
      <c r="C2892" s="8">
        <v>25000</v>
      </c>
      <c r="D2892" s="8">
        <v>0</v>
      </c>
      <c r="E2892" s="8">
        <v>700</v>
      </c>
      <c r="F2892" s="8">
        <v>15000</v>
      </c>
      <c r="G2892" s="30">
        <f t="shared" si="3038"/>
        <v>2400</v>
      </c>
      <c r="H2892" s="8">
        <v>25000</v>
      </c>
      <c r="I2892" s="30">
        <f t="shared" si="3039"/>
        <v>8000</v>
      </c>
      <c r="J2892" s="8">
        <v>25000</v>
      </c>
      <c r="K2892" s="30">
        <f t="shared" si="3040"/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VLOOKUP(VLOOKUP(DATEVALUE(TEXT(A2892,"m/d/yyyy")),FY24_Temp[],5,FALSE)&amp;TEXT(A2892,"-h"),Table6[],4,FALSE)</f>
        <v>0.60857142499999994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VLOOKUP(TEXT(A2892,"yy-mm")&amp;"-"&amp;IF(AND(WEEKDAY(A2892)&gt;1,WEEKDAY(A2892)&lt;7),"Wkd",TEXT(A2892,"Ddd"))&amp;"-"&amp;TEXT(A2892,"hh"),LoadTable[],5,FALSE)*0.92</f>
        <v>236.10788000000002</v>
      </c>
      <c r="U2892" s="104">
        <f>VLOOKUP(TEXT(A2892,"yy-mm")&amp;"-"&amp;IF(AND(WEEKDAY(A2892)&gt;1,WEEKDAY(A2892)&lt;7),"Wkd",TEXT(A2892,"Ddd"))&amp;"-"&amp;TEXT(A2892,"hh"),LoadTable[],6,FALSE)*T2892</f>
        <v>10564.883198480002</v>
      </c>
      <c r="V2892">
        <f t="shared" ref="V2892:W2892" si="3090">V2868</f>
        <v>2.9</v>
      </c>
      <c r="W2892">
        <f t="shared" si="3090"/>
        <v>3</v>
      </c>
      <c r="X2892" s="9">
        <v>-164.189896816675</v>
      </c>
    </row>
    <row r="2893" spans="1:24">
      <c r="A2893" s="29">
        <f t="shared" si="3082"/>
        <v>45956.416666659657</v>
      </c>
      <c r="B2893" s="30">
        <f t="shared" si="3037"/>
        <v>8000</v>
      </c>
      <c r="C2893" s="8">
        <v>25000</v>
      </c>
      <c r="D2893" s="8">
        <v>0</v>
      </c>
      <c r="E2893" s="8">
        <v>700</v>
      </c>
      <c r="F2893" s="8">
        <v>15000</v>
      </c>
      <c r="G2893" s="30">
        <f t="shared" si="3038"/>
        <v>2400</v>
      </c>
      <c r="H2893" s="8">
        <v>25000</v>
      </c>
      <c r="I2893" s="30">
        <f t="shared" si="3039"/>
        <v>8000</v>
      </c>
      <c r="J2893" s="8">
        <v>25000</v>
      </c>
      <c r="K2893" s="30">
        <f t="shared" si="3040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VLOOKUP(VLOOKUP(DATEVALUE(TEXT(A2893,"m/d/yyyy")),FY24_Temp[],5,FALSE)&amp;TEXT(A2893,"-h"),Table6[],4,FALSE)</f>
        <v>0.55842857057142858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VLOOKUP(TEXT(A2893,"yy-mm")&amp;"-"&amp;IF(AND(WEEKDAY(A2893)&gt;1,WEEKDAY(A2893)&lt;7),"Wkd",TEXT(A2893,"Ddd"))&amp;"-"&amp;TEXT(A2893,"hh"),LoadTable[],5,FALSE)*0.92</f>
        <v>236.10788000000002</v>
      </c>
      <c r="U2893" s="104">
        <f>VLOOKUP(TEXT(A2893,"yy-mm")&amp;"-"&amp;IF(AND(WEEKDAY(A2893)&gt;1,WEEKDAY(A2893)&lt;7),"Wkd",TEXT(A2893,"Ddd"))&amp;"-"&amp;TEXT(A2893,"hh"),LoadTable[],6,FALSE)*T2893</f>
        <v>10542.689057760001</v>
      </c>
      <c r="V2893">
        <f t="shared" ref="V2893:W2893" si="3091">V2869</f>
        <v>2.9</v>
      </c>
      <c r="W2893">
        <f t="shared" si="3091"/>
        <v>3</v>
      </c>
      <c r="X2893" s="9">
        <v>-164.267691366675</v>
      </c>
    </row>
    <row r="2894" spans="1:24">
      <c r="A2894" s="29">
        <f t="shared" si="3082"/>
        <v>45956.458333326322</v>
      </c>
      <c r="B2894" s="30">
        <f t="shared" si="3037"/>
        <v>8000</v>
      </c>
      <c r="C2894" s="8">
        <v>25000</v>
      </c>
      <c r="D2894" s="8">
        <v>0</v>
      </c>
      <c r="E2894" s="8">
        <v>700</v>
      </c>
      <c r="F2894" s="8">
        <v>15000</v>
      </c>
      <c r="G2894" s="30">
        <f t="shared" si="3038"/>
        <v>2400</v>
      </c>
      <c r="H2894" s="8">
        <v>25000</v>
      </c>
      <c r="I2894" s="30">
        <f t="shared" si="3039"/>
        <v>8000</v>
      </c>
      <c r="J2894" s="8">
        <v>25000</v>
      </c>
      <c r="K2894" s="30">
        <f t="shared" si="3040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VLOOKUP(VLOOKUP(DATEVALUE(TEXT(A2894,"m/d/yyyy")),FY24_Temp[],5,FALSE)&amp;TEXT(A2894,"-h"),Table6[],4,FALSE)</f>
        <v>0.51114285628571432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VLOOKUP(TEXT(A2894,"yy-mm")&amp;"-"&amp;IF(AND(WEEKDAY(A2894)&gt;1,WEEKDAY(A2894)&lt;7),"Wkd",TEXT(A2894,"Ddd"))&amp;"-"&amp;TEXT(A2894,"hh"),LoadTable[],5,FALSE)*0.92</f>
        <v>236.10788000000002</v>
      </c>
      <c r="U2894" s="104">
        <f>VLOOKUP(TEXT(A2894,"yy-mm")&amp;"-"&amp;IF(AND(WEEKDAY(A2894)&gt;1,WEEKDAY(A2894)&lt;7),"Wkd",TEXT(A2894,"Ddd"))&amp;"-"&amp;TEXT(A2894,"hh"),LoadTable[],6,FALSE)*T2894</f>
        <v>10524.98096676</v>
      </c>
      <c r="V2894">
        <f t="shared" ref="V2894:W2894" si="3092">V2870</f>
        <v>3.4</v>
      </c>
      <c r="W2894">
        <f t="shared" si="3092"/>
        <v>3</v>
      </c>
      <c r="X2894" s="9">
        <v>-164.34548591667499</v>
      </c>
    </row>
    <row r="2895" spans="1:24">
      <c r="A2895" s="29">
        <f t="shared" si="3082"/>
        <v>45956.499999992986</v>
      </c>
      <c r="B2895" s="30">
        <f t="shared" si="3037"/>
        <v>8000</v>
      </c>
      <c r="C2895" s="8">
        <v>25000</v>
      </c>
      <c r="D2895" s="8">
        <v>0</v>
      </c>
      <c r="E2895" s="8">
        <v>700</v>
      </c>
      <c r="F2895" s="8">
        <v>15000</v>
      </c>
      <c r="G2895" s="30">
        <f t="shared" si="3038"/>
        <v>2400</v>
      </c>
      <c r="H2895" s="8">
        <v>25000</v>
      </c>
      <c r="I2895" s="30">
        <f t="shared" si="3039"/>
        <v>8000</v>
      </c>
      <c r="J2895" s="8">
        <v>25000</v>
      </c>
      <c r="K2895" s="30">
        <f t="shared" si="3040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VLOOKUP(VLOOKUP(DATEVALUE(TEXT(A2895,"m/d/yyyy")),FY24_Temp[],5,FALSE)&amp;TEXT(A2895,"-h"),Table6[],4,FALSE)</f>
        <v>0.46342857814285715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VLOOKUP(TEXT(A2895,"yy-mm")&amp;"-"&amp;IF(AND(WEEKDAY(A2895)&gt;1,WEEKDAY(A2895)&lt;7),"Wkd",TEXT(A2895,"Ddd"))&amp;"-"&amp;TEXT(A2895,"hh"),LoadTable[],5,FALSE)*0.92</f>
        <v>236.10788000000002</v>
      </c>
      <c r="U2895" s="104">
        <f>VLOOKUP(TEXT(A2895,"yy-mm")&amp;"-"&amp;IF(AND(WEEKDAY(A2895)&gt;1,WEEKDAY(A2895)&lt;7),"Wkd",TEXT(A2895,"Ddd"))&amp;"-"&amp;TEXT(A2895,"hh"),LoadTable[],6,FALSE)*T2895</f>
        <v>10519.314377640001</v>
      </c>
      <c r="V2895">
        <f t="shared" ref="V2895:W2895" si="3093">V2871</f>
        <v>3.1</v>
      </c>
      <c r="W2895">
        <f t="shared" si="3093"/>
        <v>2.9</v>
      </c>
      <c r="X2895" s="9">
        <v>-164.42328046667501</v>
      </c>
    </row>
    <row r="2896" spans="1:24">
      <c r="A2896" s="29">
        <f t="shared" si="3082"/>
        <v>45956.54166665965</v>
      </c>
      <c r="B2896" s="30">
        <f t="shared" si="3037"/>
        <v>8000</v>
      </c>
      <c r="C2896" s="8">
        <v>25000</v>
      </c>
      <c r="D2896" s="8">
        <v>0</v>
      </c>
      <c r="E2896" s="8">
        <v>700</v>
      </c>
      <c r="F2896" s="8">
        <v>15000</v>
      </c>
      <c r="G2896" s="30">
        <f t="shared" si="3038"/>
        <v>2400</v>
      </c>
      <c r="H2896" s="8">
        <v>25000</v>
      </c>
      <c r="I2896" s="30">
        <f t="shared" si="3039"/>
        <v>8000</v>
      </c>
      <c r="J2896" s="8">
        <v>25000</v>
      </c>
      <c r="K2896" s="30">
        <f t="shared" si="3040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VLOOKUP(VLOOKUP(DATEVALUE(TEXT(A2896,"m/d/yyyy")),FY24_Temp[],5,FALSE)&amp;TEXT(A2896,"-h"),Table6[],4,FALSE)</f>
        <v>0.4270000052857143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VLOOKUP(TEXT(A2896,"yy-mm")&amp;"-"&amp;IF(AND(WEEKDAY(A2896)&gt;1,WEEKDAY(A2896)&lt;7),"Wkd",TEXT(A2896,"Ddd"))&amp;"-"&amp;TEXT(A2896,"hh"),LoadTable[],5,FALSE)*0.92</f>
        <v>236.10788000000002</v>
      </c>
      <c r="U2896" s="104">
        <f>VLOOKUP(TEXT(A2896,"yy-mm")&amp;"-"&amp;IF(AND(WEEKDAY(A2896)&gt;1,WEEKDAY(A2896)&lt;7),"Wkd",TEXT(A2896,"Ddd"))&amp;"-"&amp;TEXT(A2896,"hh"),LoadTable[],6,FALSE)*T2896</f>
        <v>10522.85599584</v>
      </c>
      <c r="V2896">
        <f t="shared" ref="V2896:W2896" si="3094">V2872</f>
        <v>3.2</v>
      </c>
      <c r="W2896">
        <f t="shared" si="3094"/>
        <v>2.9</v>
      </c>
      <c r="X2896" s="9">
        <v>-164.501075016675</v>
      </c>
    </row>
    <row r="2897" spans="1:24">
      <c r="A2897" s="29">
        <f t="shared" si="3082"/>
        <v>45956.583333326314</v>
      </c>
      <c r="B2897" s="30">
        <f t="shared" si="3037"/>
        <v>8000</v>
      </c>
      <c r="C2897" s="8">
        <v>25000</v>
      </c>
      <c r="D2897" s="8">
        <v>0</v>
      </c>
      <c r="E2897" s="8">
        <v>700</v>
      </c>
      <c r="F2897" s="8">
        <v>15000</v>
      </c>
      <c r="G2897" s="30">
        <f t="shared" si="3038"/>
        <v>2400</v>
      </c>
      <c r="H2897" s="8">
        <v>25000</v>
      </c>
      <c r="I2897" s="30">
        <f t="shared" si="3039"/>
        <v>8000</v>
      </c>
      <c r="J2897" s="8">
        <v>25000</v>
      </c>
      <c r="K2897" s="30">
        <f t="shared" si="3040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VLOOKUP(VLOOKUP(DATEVALUE(TEXT(A2897,"m/d/yyyy")),FY24_Temp[],5,FALSE)&amp;TEXT(A2897,"-h"),Table6[],4,FALSE)</f>
        <v>0.45342856214285715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VLOOKUP(TEXT(A2897,"yy-mm")&amp;"-"&amp;IF(AND(WEEKDAY(A2897)&gt;1,WEEKDAY(A2897)&lt;7),"Wkd",TEXT(A2897,"Ddd"))&amp;"-"&amp;TEXT(A2897,"hh"),LoadTable[],5,FALSE)*0.92</f>
        <v>236.10788000000002</v>
      </c>
      <c r="U2897" s="104">
        <f>VLOOKUP(TEXT(A2897,"yy-mm")&amp;"-"&amp;IF(AND(WEEKDAY(A2897)&gt;1,WEEKDAY(A2897)&lt;7),"Wkd",TEXT(A2897,"Ddd"))&amp;"-"&amp;TEXT(A2897,"hh"),LoadTable[],6,FALSE)*T2897</f>
        <v>10530.88366376</v>
      </c>
      <c r="V2897">
        <f t="shared" ref="V2897:W2897" si="3095">V2873</f>
        <v>3.5</v>
      </c>
      <c r="W2897">
        <f t="shared" si="3095"/>
        <v>2.9</v>
      </c>
      <c r="X2897" s="9">
        <v>-164.578869566675</v>
      </c>
    </row>
    <row r="2898" spans="1:24">
      <c r="A2898" s="29">
        <f t="shared" si="3082"/>
        <v>45956.624999992979</v>
      </c>
      <c r="B2898" s="30">
        <f t="shared" si="3037"/>
        <v>8000</v>
      </c>
      <c r="C2898" s="8">
        <v>25000</v>
      </c>
      <c r="D2898" s="8">
        <v>0</v>
      </c>
      <c r="E2898" s="8">
        <v>700</v>
      </c>
      <c r="F2898" s="8">
        <v>15000</v>
      </c>
      <c r="G2898" s="30">
        <f t="shared" si="3038"/>
        <v>2400</v>
      </c>
      <c r="H2898" s="8">
        <v>25000</v>
      </c>
      <c r="I2898" s="30">
        <f t="shared" si="3039"/>
        <v>8000</v>
      </c>
      <c r="J2898" s="8">
        <v>25000</v>
      </c>
      <c r="K2898" s="30">
        <f t="shared" si="3040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VLOOKUP(VLOOKUP(DATEVALUE(TEXT(A2898,"m/d/yyyy")),FY24_Temp[],5,FALSE)&amp;TEXT(A2898,"-h"),Table6[],4,FALSE)</f>
        <v>0.57742857442857143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VLOOKUP(TEXT(A2898,"yy-mm")&amp;"-"&amp;IF(AND(WEEKDAY(A2898)&gt;1,WEEKDAY(A2898)&lt;7),"Wkd",TEXT(A2898,"Ddd"))&amp;"-"&amp;TEXT(A2898,"hh"),LoadTable[],5,FALSE)*0.92</f>
        <v>236.10788000000002</v>
      </c>
      <c r="U2898" s="104">
        <f>VLOOKUP(TEXT(A2898,"yy-mm")&amp;"-"&amp;IF(AND(WEEKDAY(A2898)&gt;1,WEEKDAY(A2898)&lt;7),"Wkd",TEXT(A2898,"Ddd"))&amp;"-"&amp;TEXT(A2898,"hh"),LoadTable[],6,FALSE)*T2898</f>
        <v>10550.480617800002</v>
      </c>
      <c r="V2898">
        <f t="shared" ref="V2898:W2898" si="3096">V2874</f>
        <v>3.2</v>
      </c>
      <c r="W2898">
        <f t="shared" si="3096"/>
        <v>2.9</v>
      </c>
      <c r="X2898" s="9">
        <v>-164.65666411667499</v>
      </c>
    </row>
    <row r="2899" spans="1:24">
      <c r="A2899" s="29">
        <f t="shared" si="3082"/>
        <v>45956.666666659643</v>
      </c>
      <c r="B2899" s="30">
        <f t="shared" si="3037"/>
        <v>8000</v>
      </c>
      <c r="C2899" s="8">
        <v>25000</v>
      </c>
      <c r="D2899" s="8">
        <v>0</v>
      </c>
      <c r="E2899" s="8">
        <v>700</v>
      </c>
      <c r="F2899" s="8">
        <v>15000</v>
      </c>
      <c r="G2899" s="30">
        <f t="shared" si="3038"/>
        <v>2400</v>
      </c>
      <c r="H2899" s="8">
        <v>25000</v>
      </c>
      <c r="I2899" s="30">
        <f t="shared" si="3039"/>
        <v>8000</v>
      </c>
      <c r="J2899" s="8">
        <v>25000</v>
      </c>
      <c r="K2899" s="30">
        <f t="shared" si="3040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VLOOKUP(VLOOKUP(DATEVALUE(TEXT(A2899,"m/d/yyyy")),FY24_Temp[],5,FALSE)&amp;TEXT(A2899,"-h"),Table6[],4,FALSE)</f>
        <v>0.73742856928571421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VLOOKUP(TEXT(A2899,"yy-mm")&amp;"-"&amp;IF(AND(WEEKDAY(A2899)&gt;1,WEEKDAY(A2899)&lt;7),"Wkd",TEXT(A2899,"Ddd"))&amp;"-"&amp;TEXT(A2899,"hh"),LoadTable[],5,FALSE)*0.92</f>
        <v>236.10788000000002</v>
      </c>
      <c r="U2899" s="104">
        <f>VLOOKUP(TEXT(A2899,"yy-mm")&amp;"-"&amp;IF(AND(WEEKDAY(A2899)&gt;1,WEEKDAY(A2899)&lt;7),"Wkd",TEXT(A2899,"Ddd"))&amp;"-"&amp;TEXT(A2899,"hh"),LoadTable[],6,FALSE)*T2899</f>
        <v>10580.230210680002</v>
      </c>
      <c r="V2899">
        <f t="shared" ref="V2899:W2899" si="3097">V2875</f>
        <v>3.5</v>
      </c>
      <c r="W2899">
        <f t="shared" si="3097"/>
        <v>3</v>
      </c>
      <c r="X2899" s="9">
        <v>-164.73445866667501</v>
      </c>
    </row>
    <row r="2900" spans="1:24">
      <c r="A2900" s="29">
        <f t="shared" si="3082"/>
        <v>45956.708333326307</v>
      </c>
      <c r="B2900" s="30">
        <f t="shared" si="3037"/>
        <v>8000</v>
      </c>
      <c r="C2900" s="8">
        <v>25000</v>
      </c>
      <c r="D2900" s="8">
        <v>0</v>
      </c>
      <c r="E2900" s="8">
        <v>700</v>
      </c>
      <c r="F2900" s="8">
        <v>15000</v>
      </c>
      <c r="G2900" s="30">
        <f t="shared" si="3038"/>
        <v>2400</v>
      </c>
      <c r="H2900" s="8">
        <v>25000</v>
      </c>
      <c r="I2900" s="30">
        <f t="shared" si="3039"/>
        <v>8000</v>
      </c>
      <c r="J2900" s="8">
        <v>25000</v>
      </c>
      <c r="K2900" s="30">
        <f t="shared" si="3040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VLOOKUP(VLOOKUP(DATEVALUE(TEXT(A2900,"m/d/yyyy")),FY24_Temp[],5,FALSE)&amp;TEXT(A2900,"-h"),Table6[],4,FALSE)</f>
        <v>0.91628573200000007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VLOOKUP(TEXT(A2900,"yy-mm")&amp;"-"&amp;IF(AND(WEEKDAY(A2900)&gt;1,WEEKDAY(A2900)&lt;7),"Wkd",TEXT(A2900,"Ddd"))&amp;"-"&amp;TEXT(A2900,"hh"),LoadTable[],5,FALSE)*0.92</f>
        <v>236.10788000000002</v>
      </c>
      <c r="U2900" s="104">
        <f>VLOOKUP(TEXT(A2900,"yy-mm")&amp;"-"&amp;IF(AND(WEEKDAY(A2900)&gt;1,WEEKDAY(A2900)&lt;7),"Wkd",TEXT(A2900,"Ddd"))&amp;"-"&amp;TEXT(A2900,"hh"),LoadTable[],6,FALSE)*T2900</f>
        <v>10899.684172320001</v>
      </c>
      <c r="V2900">
        <f t="shared" ref="V2900:W2900" si="3098">V2876</f>
        <v>3.6</v>
      </c>
      <c r="W2900">
        <f t="shared" si="3098"/>
        <v>3</v>
      </c>
      <c r="X2900" s="9">
        <v>-164.812253216675</v>
      </c>
    </row>
    <row r="2901" spans="1:24">
      <c r="A2901" s="29">
        <f t="shared" si="3082"/>
        <v>45956.749999992971</v>
      </c>
      <c r="B2901" s="30">
        <f t="shared" si="3037"/>
        <v>5000</v>
      </c>
      <c r="C2901" s="8">
        <v>25000</v>
      </c>
      <c r="D2901" s="8">
        <v>0</v>
      </c>
      <c r="E2901" s="8">
        <v>700</v>
      </c>
      <c r="F2901" s="8">
        <v>15000</v>
      </c>
      <c r="G2901" s="30">
        <f t="shared" si="3038"/>
        <v>2400</v>
      </c>
      <c r="H2901" s="8">
        <v>25000</v>
      </c>
      <c r="I2901" s="30">
        <f t="shared" si="3039"/>
        <v>5000</v>
      </c>
      <c r="J2901" s="8">
        <v>25000</v>
      </c>
      <c r="K2901" s="30">
        <f t="shared" si="3040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VLOOKUP(VLOOKUP(DATEVALUE(TEXT(A2901,"m/d/yyyy")),FY24_Temp[],5,FALSE)&amp;TEXT(A2901,"-h"),Table6[],4,FALSE)</f>
        <v>1.086285723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VLOOKUP(TEXT(A2901,"yy-mm")&amp;"-"&amp;IF(AND(WEEKDAY(A2901)&gt;1,WEEKDAY(A2901)&lt;7),"Wkd",TEXT(A2901,"Ddd"))&amp;"-"&amp;TEXT(A2901,"hh"),LoadTable[],5,FALSE)*0.92</f>
        <v>308.12363999999997</v>
      </c>
      <c r="U2901" s="104">
        <f>VLOOKUP(TEXT(A2901,"yy-mm")&amp;"-"&amp;IF(AND(WEEKDAY(A2901)&gt;1,WEEKDAY(A2901)&lt;7),"Wkd",TEXT(A2901,"Ddd"))&amp;"-"&amp;TEXT(A2901,"hh"),LoadTable[],6,FALSE)*T2901</f>
        <v>14932.595965319999</v>
      </c>
      <c r="V2901">
        <f t="shared" ref="V2901:W2901" si="3099">V2877</f>
        <v>2.9</v>
      </c>
      <c r="W2901">
        <f t="shared" si="3099"/>
        <v>3</v>
      </c>
      <c r="X2901" s="9">
        <v>-164.890047766675</v>
      </c>
    </row>
    <row r="2902" spans="1:24">
      <c r="A2902" s="29">
        <f t="shared" si="3082"/>
        <v>45956.791666659636</v>
      </c>
      <c r="B2902" s="30">
        <f t="shared" si="3037"/>
        <v>5000</v>
      </c>
      <c r="C2902" s="8">
        <v>25000</v>
      </c>
      <c r="D2902" s="8">
        <v>0</v>
      </c>
      <c r="E2902" s="8">
        <v>700</v>
      </c>
      <c r="F2902" s="8">
        <v>15000</v>
      </c>
      <c r="G2902" s="30">
        <f t="shared" si="3038"/>
        <v>2400</v>
      </c>
      <c r="H2902" s="8">
        <v>25000</v>
      </c>
      <c r="I2902" s="30">
        <f t="shared" si="3039"/>
        <v>5000</v>
      </c>
      <c r="J2902" s="8">
        <v>25000</v>
      </c>
      <c r="K2902" s="30">
        <f t="shared" si="3040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VLOOKUP(VLOOKUP(DATEVALUE(TEXT(A2902,"m/d/yyyy")),FY24_Temp[],5,FALSE)&amp;TEXT(A2902,"-h"),Table6[],4,FALSE)</f>
        <v>1.1839999898571427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VLOOKUP(TEXT(A2902,"yy-mm")&amp;"-"&amp;IF(AND(WEEKDAY(A2902)&gt;1,WEEKDAY(A2902)&lt;7),"Wkd",TEXT(A2902,"Ddd"))&amp;"-"&amp;TEXT(A2902,"hh"),LoadTable[],5,FALSE)*0.92</f>
        <v>308.12363999999997</v>
      </c>
      <c r="U2902" s="104">
        <f>VLOOKUP(TEXT(A2902,"yy-mm")&amp;"-"&amp;IF(AND(WEEKDAY(A2902)&gt;1,WEEKDAY(A2902)&lt;7),"Wkd",TEXT(A2902,"Ddd"))&amp;"-"&amp;TEXT(A2902,"hh"),LoadTable[],6,FALSE)*T2902</f>
        <v>14998.226300639999</v>
      </c>
      <c r="V2902">
        <f t="shared" ref="V2902:W2902" si="3100">V2878</f>
        <v>3</v>
      </c>
      <c r="W2902">
        <f t="shared" si="3100"/>
        <v>3</v>
      </c>
      <c r="X2902" s="9">
        <v>-164.96784231667499</v>
      </c>
    </row>
    <row r="2903" spans="1:24">
      <c r="A2903" s="29">
        <f t="shared" si="3082"/>
        <v>45956.8333333263</v>
      </c>
      <c r="B2903" s="30">
        <f t="shared" si="3037"/>
        <v>5000</v>
      </c>
      <c r="C2903" s="8">
        <v>25000</v>
      </c>
      <c r="D2903" s="8">
        <v>0</v>
      </c>
      <c r="E2903" s="8">
        <v>700</v>
      </c>
      <c r="F2903" s="8">
        <v>15000</v>
      </c>
      <c r="G2903" s="30">
        <f t="shared" si="3038"/>
        <v>2400</v>
      </c>
      <c r="H2903" s="8">
        <v>25000</v>
      </c>
      <c r="I2903" s="30">
        <f t="shared" si="3039"/>
        <v>5000</v>
      </c>
      <c r="J2903" s="8">
        <v>25000</v>
      </c>
      <c r="K2903" s="30">
        <f t="shared" si="3040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VLOOKUP(VLOOKUP(DATEVALUE(TEXT(A2903,"m/d/yyyy")),FY24_Temp[],5,FALSE)&amp;TEXT(A2903,"-h"),Table6[],4,FALSE)</f>
        <v>1.2420000010000003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VLOOKUP(TEXT(A2903,"yy-mm")&amp;"-"&amp;IF(AND(WEEKDAY(A2903)&gt;1,WEEKDAY(A2903)&lt;7),"Wkd",TEXT(A2903,"Ddd"))&amp;"-"&amp;TEXT(A2903,"hh"),LoadTable[],5,FALSE)*0.92</f>
        <v>308.12363999999997</v>
      </c>
      <c r="U2903" s="104">
        <f>VLOOKUP(TEXT(A2903,"yy-mm")&amp;"-"&amp;IF(AND(WEEKDAY(A2903)&gt;1,WEEKDAY(A2903)&lt;7),"Wkd",TEXT(A2903,"Ddd"))&amp;"-"&amp;TEXT(A2903,"hh"),LoadTable[],6,FALSE)*T2903</f>
        <v>14785.004741759998</v>
      </c>
      <c r="V2903">
        <f t="shared" ref="V2903:W2903" si="3101">V2879</f>
        <v>2.8</v>
      </c>
      <c r="W2903">
        <f t="shared" si="3101"/>
        <v>3.1</v>
      </c>
      <c r="X2903" s="9">
        <v>-165.04563686667501</v>
      </c>
    </row>
    <row r="2904" spans="1:24">
      <c r="A2904" s="29">
        <f t="shared" si="3082"/>
        <v>45956.874999992964</v>
      </c>
      <c r="B2904" s="30">
        <f t="shared" si="3037"/>
        <v>5000</v>
      </c>
      <c r="C2904" s="8">
        <v>25000</v>
      </c>
      <c r="D2904" s="8">
        <v>0</v>
      </c>
      <c r="E2904" s="8">
        <v>700</v>
      </c>
      <c r="F2904" s="8">
        <v>15000</v>
      </c>
      <c r="G2904" s="30">
        <f t="shared" si="3038"/>
        <v>2400</v>
      </c>
      <c r="H2904" s="8">
        <v>25000</v>
      </c>
      <c r="I2904" s="30">
        <f t="shared" si="3039"/>
        <v>5000</v>
      </c>
      <c r="J2904" s="8">
        <v>25000</v>
      </c>
      <c r="K2904" s="30">
        <f t="shared" si="3040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VLOOKUP(VLOOKUP(DATEVALUE(TEXT(A2904,"m/d/yyyy")),FY24_Temp[],5,FALSE)&amp;TEXT(A2904,"-h"),Table6[],4,FALSE)</f>
        <v>1.2934285488571429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VLOOKUP(TEXT(A2904,"yy-mm")&amp;"-"&amp;IF(AND(WEEKDAY(A2904)&gt;1,WEEKDAY(A2904)&lt;7),"Wkd",TEXT(A2904,"Ddd"))&amp;"-"&amp;TEXT(A2904,"hh"),LoadTable[],5,FALSE)*0.92</f>
        <v>234.33964000000003</v>
      </c>
      <c r="U2904" s="104">
        <f>VLOOKUP(TEXT(A2904,"yy-mm")&amp;"-"&amp;IF(AND(WEEKDAY(A2904)&gt;1,WEEKDAY(A2904)&lt;7),"Wkd",TEXT(A2904,"Ddd"))&amp;"-"&amp;TEXT(A2904,"hh"),LoadTable[],6,FALSE)*T2904</f>
        <v>10881.795523040002</v>
      </c>
      <c r="V2904">
        <f t="shared" ref="V2904:W2904" si="3102">V2880</f>
        <v>3.5</v>
      </c>
      <c r="W2904">
        <f t="shared" si="3102"/>
        <v>3.1</v>
      </c>
      <c r="X2904" s="9">
        <v>-165.123431416675</v>
      </c>
    </row>
    <row r="2905" spans="1:24">
      <c r="A2905" s="29">
        <f t="shared" si="3082"/>
        <v>45956.916666659628</v>
      </c>
      <c r="B2905" s="30">
        <f t="shared" si="3037"/>
        <v>5000</v>
      </c>
      <c r="C2905" s="8">
        <v>25000</v>
      </c>
      <c r="D2905" s="8">
        <v>0</v>
      </c>
      <c r="E2905" s="8">
        <v>700</v>
      </c>
      <c r="F2905" s="8">
        <v>15000</v>
      </c>
      <c r="G2905" s="30">
        <f t="shared" si="3038"/>
        <v>2400</v>
      </c>
      <c r="H2905" s="8">
        <v>25000</v>
      </c>
      <c r="I2905" s="30">
        <f t="shared" si="3039"/>
        <v>5000</v>
      </c>
      <c r="J2905" s="8">
        <v>25000</v>
      </c>
      <c r="K2905" s="30">
        <f t="shared" si="3040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VLOOKUP(VLOOKUP(DATEVALUE(TEXT(A2905,"m/d/yyyy")),FY24_Temp[],5,FALSE)&amp;TEXT(A2905,"-h"),Table6[],4,FALSE)</f>
        <v>1.3798571400000001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VLOOKUP(TEXT(A2905,"yy-mm")&amp;"-"&amp;IF(AND(WEEKDAY(A2905)&gt;1,WEEKDAY(A2905)&lt;7),"Wkd",TEXT(A2905,"Ddd"))&amp;"-"&amp;TEXT(A2905,"hh"),LoadTable[],5,FALSE)*0.92</f>
        <v>180.62544</v>
      </c>
      <c r="U2905" s="104">
        <f>VLOOKUP(TEXT(A2905,"yy-mm")&amp;"-"&amp;IF(AND(WEEKDAY(A2905)&gt;1,WEEKDAY(A2905)&lt;7),"Wkd",TEXT(A2905,"Ddd"))&amp;"-"&amp;TEXT(A2905,"hh"),LoadTable[],6,FALSE)*T2905</f>
        <v>8231.1013007999991</v>
      </c>
      <c r="V2905">
        <f t="shared" ref="V2905:W2905" si="3103">V2881</f>
        <v>2.9</v>
      </c>
      <c r="W2905">
        <f t="shared" si="3103"/>
        <v>3.1</v>
      </c>
      <c r="X2905" s="9">
        <v>-165.201225966675</v>
      </c>
    </row>
    <row r="2906" spans="1:24">
      <c r="A2906" s="29">
        <f t="shared" si="3082"/>
        <v>45956.958333326293</v>
      </c>
      <c r="B2906" s="30">
        <f t="shared" si="3037"/>
        <v>5000</v>
      </c>
      <c r="C2906" s="8">
        <v>25000</v>
      </c>
      <c r="D2906" s="8">
        <v>0</v>
      </c>
      <c r="E2906" s="8">
        <v>700</v>
      </c>
      <c r="F2906" s="8">
        <v>15000</v>
      </c>
      <c r="G2906" s="30">
        <f t="shared" si="3038"/>
        <v>2400</v>
      </c>
      <c r="H2906" s="8">
        <v>25000</v>
      </c>
      <c r="I2906" s="30">
        <f t="shared" si="3039"/>
        <v>5000</v>
      </c>
      <c r="J2906" s="8">
        <v>25000</v>
      </c>
      <c r="K2906" s="30">
        <f t="shared" si="3040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VLOOKUP(VLOOKUP(DATEVALUE(TEXT(A2906,"m/d/yyyy")),FY24_Temp[],5,FALSE)&amp;TEXT(A2906,"-h"),Table6[],4,FALSE)</f>
        <v>1.509714279857143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VLOOKUP(TEXT(A2906,"yy-mm")&amp;"-"&amp;IF(AND(WEEKDAY(A2906)&gt;1,WEEKDAY(A2906)&lt;7),"Wkd",TEXT(A2906,"Ddd"))&amp;"-"&amp;TEXT(A2906,"hh"),LoadTable[],5,FALSE)*0.92</f>
        <v>180.62544</v>
      </c>
      <c r="U2906" s="104">
        <f>VLOOKUP(TEXT(A2906,"yy-mm")&amp;"-"&amp;IF(AND(WEEKDAY(A2906)&gt;1,WEEKDAY(A2906)&lt;7),"Wkd",TEXT(A2906,"Ddd"))&amp;"-"&amp;TEXT(A2906,"hh"),LoadTable[],6,FALSE)*T2906</f>
        <v>8164.4505134399997</v>
      </c>
      <c r="V2906">
        <f t="shared" ref="V2906:W2906" si="3104">V2882</f>
        <v>3.6</v>
      </c>
      <c r="W2906">
        <f t="shared" si="3104"/>
        <v>3.1</v>
      </c>
      <c r="X2906" s="9">
        <v>-165.27902051667499</v>
      </c>
    </row>
    <row r="2907" spans="1:24">
      <c r="A2907" s="29">
        <f t="shared" si="3082"/>
        <v>45956.999999992957</v>
      </c>
      <c r="B2907" s="30">
        <f t="shared" si="3037"/>
        <v>5000</v>
      </c>
      <c r="C2907" s="8">
        <v>25000</v>
      </c>
      <c r="D2907" s="8">
        <v>0</v>
      </c>
      <c r="E2907" s="8">
        <v>700</v>
      </c>
      <c r="F2907" s="8">
        <v>15000</v>
      </c>
      <c r="G2907" s="30">
        <f t="shared" si="3038"/>
        <v>2400</v>
      </c>
      <c r="H2907" s="8">
        <v>25000</v>
      </c>
      <c r="I2907" s="30">
        <f t="shared" si="3039"/>
        <v>5000</v>
      </c>
      <c r="J2907" s="8">
        <v>25000</v>
      </c>
      <c r="K2907" s="30">
        <f t="shared" si="3040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VLOOKUP(VLOOKUP(DATEVALUE(TEXT(A2907,"m/d/yyyy")),FY24_Temp[],5,FALSE)&amp;TEXT(A2907,"-h"),Table6[],4,FALSE)</f>
        <v>1.5784285920000001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VLOOKUP(TEXT(A2907,"yy-mm")&amp;"-"&amp;IF(AND(WEEKDAY(A2907)&gt;1,WEEKDAY(A2907)&lt;7),"Wkd",TEXT(A2907,"Ddd"))&amp;"-"&amp;TEXT(A2907,"hh"),LoadTable[],5,FALSE)*0.92</f>
        <v>180.62544</v>
      </c>
      <c r="U2907" s="104">
        <f>VLOOKUP(TEXT(A2907,"yy-mm")&amp;"-"&amp;IF(AND(WEEKDAY(A2907)&gt;1,WEEKDAY(A2907)&lt;7),"Wkd",TEXT(A2907,"Ddd"))&amp;"-"&amp;TEXT(A2907,"hh"),LoadTable[],6,FALSE)*T2907</f>
        <v>8132.4798105600003</v>
      </c>
      <c r="V2907">
        <f t="shared" ref="V2907:W2907" si="3105">V2883</f>
        <v>3</v>
      </c>
      <c r="W2907">
        <f t="shared" si="3105"/>
        <v>3.2</v>
      </c>
      <c r="X2907" s="9">
        <v>-165.35681506667501</v>
      </c>
    </row>
    <row r="2908" spans="1:24">
      <c r="A2908" s="29">
        <f t="shared" si="3082"/>
        <v>45957.041666659621</v>
      </c>
      <c r="B2908" s="30">
        <f t="shared" ref="B2908:B2954" si="3106">B2884</f>
        <v>5000</v>
      </c>
      <c r="C2908" s="8">
        <v>25000</v>
      </c>
      <c r="D2908" s="8">
        <v>0</v>
      </c>
      <c r="E2908" s="8">
        <v>700</v>
      </c>
      <c r="F2908" s="8">
        <v>15000</v>
      </c>
      <c r="G2908" s="30">
        <f t="shared" ref="G2908:G2954" si="3107">G2884</f>
        <v>2400</v>
      </c>
      <c r="H2908" s="8">
        <v>25000</v>
      </c>
      <c r="I2908" s="30">
        <f t="shared" ref="I2908:I2954" si="3108">I2884</f>
        <v>5000</v>
      </c>
      <c r="J2908" s="8">
        <v>25000</v>
      </c>
      <c r="K2908" s="30">
        <f t="shared" ref="K2908:K2954" si="3109">K2884</f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VLOOKUP(VLOOKUP(DATEVALUE(TEXT(A2908,"m/d/yyyy")),FY24_Temp[],5,FALSE)&amp;TEXT(A2908,"-h"),Table6[],4,FALSE)</f>
        <v>1.5087142842857144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VLOOKUP(TEXT(A2908,"yy-mm")&amp;"-"&amp;IF(AND(WEEKDAY(A2908)&gt;1,WEEKDAY(A2908)&lt;7),"Wkd",TEXT(A2908,"Ddd"))&amp;"-"&amp;TEXT(A2908,"hh"),LoadTable[],5,FALSE)*0.92</f>
        <v>180.62544</v>
      </c>
      <c r="U2908" s="104">
        <f>VLOOKUP(TEXT(A2908,"yy-mm")&amp;"-"&amp;IF(AND(WEEKDAY(A2908)&gt;1,WEEKDAY(A2908)&lt;7),"Wkd",TEXT(A2908,"Ddd"))&amp;"-"&amp;TEXT(A2908,"hh"),LoadTable[],6,FALSE)*T2908</f>
        <v>8124.71291664</v>
      </c>
      <c r="V2908">
        <f t="shared" ref="V2908:W2908" si="3110">V2884</f>
        <v>2.6</v>
      </c>
      <c r="W2908">
        <f t="shared" si="3110"/>
        <v>3.2</v>
      </c>
      <c r="X2908" s="9">
        <v>-165.434609616675</v>
      </c>
    </row>
    <row r="2909" spans="1:24">
      <c r="A2909" s="29">
        <f t="shared" si="3082"/>
        <v>45957.083333326285</v>
      </c>
      <c r="B2909" s="30">
        <f t="shared" si="3106"/>
        <v>5000</v>
      </c>
      <c r="C2909" s="8">
        <v>25000</v>
      </c>
      <c r="D2909" s="8">
        <v>0</v>
      </c>
      <c r="E2909" s="8">
        <v>700</v>
      </c>
      <c r="F2909" s="8">
        <v>15000</v>
      </c>
      <c r="G2909" s="30">
        <f t="shared" si="3107"/>
        <v>2400</v>
      </c>
      <c r="H2909" s="8">
        <v>25000</v>
      </c>
      <c r="I2909" s="30">
        <f t="shared" si="3108"/>
        <v>5000</v>
      </c>
      <c r="J2909" s="8">
        <v>25000</v>
      </c>
      <c r="K2909" s="30">
        <f t="shared" si="3109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VLOOKUP(VLOOKUP(DATEVALUE(TEXT(A2909,"m/d/yyyy")),FY24_Temp[],5,FALSE)&amp;TEXT(A2909,"-h"),Table6[],4,FALSE)</f>
        <v>1.393571444857143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VLOOKUP(TEXT(A2909,"yy-mm")&amp;"-"&amp;IF(AND(WEEKDAY(A2909)&gt;1,WEEKDAY(A2909)&lt;7),"Wkd",TEXT(A2909,"Ddd"))&amp;"-"&amp;TEXT(A2909,"hh"),LoadTable[],5,FALSE)*0.92</f>
        <v>180.62544</v>
      </c>
      <c r="U2909" s="104">
        <f>VLOOKUP(TEXT(A2909,"yy-mm")&amp;"-"&amp;IF(AND(WEEKDAY(A2909)&gt;1,WEEKDAY(A2909)&lt;7),"Wkd",TEXT(A2909,"Ddd"))&amp;"-"&amp;TEXT(A2909,"hh"),LoadTable[],6,FALSE)*T2909</f>
        <v>8120.1972806400008</v>
      </c>
      <c r="V2909">
        <f t="shared" ref="V2909:W2909" si="3111">V2885</f>
        <v>2.8</v>
      </c>
      <c r="W2909">
        <f t="shared" si="3111"/>
        <v>3.2</v>
      </c>
      <c r="X2909" s="9">
        <v>-165.512404166675</v>
      </c>
    </row>
    <row r="2910" spans="1:24">
      <c r="A2910" s="29">
        <f t="shared" si="3082"/>
        <v>45957.12499999295</v>
      </c>
      <c r="B2910" s="30">
        <f t="shared" si="3106"/>
        <v>5000</v>
      </c>
      <c r="C2910" s="8">
        <v>25000</v>
      </c>
      <c r="D2910" s="8">
        <v>0</v>
      </c>
      <c r="E2910" s="8">
        <v>700</v>
      </c>
      <c r="F2910" s="8">
        <v>15000</v>
      </c>
      <c r="G2910" s="30">
        <f t="shared" si="3107"/>
        <v>2400</v>
      </c>
      <c r="H2910" s="8">
        <v>25000</v>
      </c>
      <c r="I2910" s="30">
        <f t="shared" si="3108"/>
        <v>5000</v>
      </c>
      <c r="J2910" s="8">
        <v>25000</v>
      </c>
      <c r="K2910" s="30">
        <f t="shared" si="3109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VLOOKUP(VLOOKUP(DATEVALUE(TEXT(A2910,"m/d/yyyy")),FY24_Temp[],5,FALSE)&amp;TEXT(A2910,"-h"),Table6[],4,FALSE)</f>
        <v>1.2625714202857143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VLOOKUP(TEXT(A2910,"yy-mm")&amp;"-"&amp;IF(AND(WEEKDAY(A2910)&gt;1,WEEKDAY(A2910)&lt;7),"Wkd",TEXT(A2910,"Ddd"))&amp;"-"&amp;TEXT(A2910,"hh"),LoadTable[],5,FALSE)*0.92</f>
        <v>180.62544</v>
      </c>
      <c r="U2910" s="104">
        <f>VLOOKUP(TEXT(A2910,"yy-mm")&amp;"-"&amp;IF(AND(WEEKDAY(A2910)&gt;1,WEEKDAY(A2910)&lt;7),"Wkd",TEXT(A2910,"Ddd"))&amp;"-"&amp;TEXT(A2910,"hh"),LoadTable[],6,FALSE)*T2910</f>
        <v>8141.3304571199997</v>
      </c>
      <c r="V2910">
        <f t="shared" ref="V2910:W2910" si="3112">V2886</f>
        <v>2.7</v>
      </c>
      <c r="W2910">
        <f t="shared" si="3112"/>
        <v>3.2</v>
      </c>
      <c r="X2910" s="9">
        <v>-165.59019871667499</v>
      </c>
    </row>
    <row r="2911" spans="1:24">
      <c r="A2911" s="29">
        <f t="shared" si="3082"/>
        <v>45957.166666659614</v>
      </c>
      <c r="B2911" s="30">
        <f t="shared" si="3106"/>
        <v>5000</v>
      </c>
      <c r="C2911" s="8">
        <v>25000</v>
      </c>
      <c r="D2911" s="8">
        <v>0</v>
      </c>
      <c r="E2911" s="8">
        <v>700</v>
      </c>
      <c r="F2911" s="8">
        <v>15000</v>
      </c>
      <c r="G2911" s="30">
        <f t="shared" si="3107"/>
        <v>2400</v>
      </c>
      <c r="H2911" s="8">
        <v>25000</v>
      </c>
      <c r="I2911" s="30">
        <f t="shared" si="3108"/>
        <v>5000</v>
      </c>
      <c r="J2911" s="8">
        <v>25000</v>
      </c>
      <c r="K2911" s="30">
        <f t="shared" si="3109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VLOOKUP(VLOOKUP(DATEVALUE(TEXT(A2911,"m/d/yyyy")),FY24_Temp[],5,FALSE)&amp;TEXT(A2911,"-h"),Table6[],4,FALSE)</f>
        <v>1.1234285491428573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VLOOKUP(TEXT(A2911,"yy-mm")&amp;"-"&amp;IF(AND(WEEKDAY(A2911)&gt;1,WEEKDAY(A2911)&lt;7),"Wkd",TEXT(A2911,"Ddd"))&amp;"-"&amp;TEXT(A2911,"hh"),LoadTable[],5,FALSE)*0.92</f>
        <v>180.62544</v>
      </c>
      <c r="U2911" s="104">
        <f>VLOOKUP(TEXT(A2911,"yy-mm")&amp;"-"&amp;IF(AND(WEEKDAY(A2911)&gt;1,WEEKDAY(A2911)&lt;7),"Wkd",TEXT(A2911,"Ddd"))&amp;"-"&amp;TEXT(A2911,"hh"),LoadTable[],6,FALSE)*T2911</f>
        <v>8184.86118816</v>
      </c>
      <c r="V2911">
        <f t="shared" ref="V2911:W2911" si="3113">V2887</f>
        <v>3</v>
      </c>
      <c r="W2911">
        <f t="shared" si="3113"/>
        <v>3.1</v>
      </c>
      <c r="X2911" s="9">
        <v>-165.66799326667501</v>
      </c>
    </row>
    <row r="2912" spans="1:24">
      <c r="A2912" s="29">
        <f t="shared" si="3082"/>
        <v>45957.208333326278</v>
      </c>
      <c r="B2912" s="30">
        <f t="shared" si="3106"/>
        <v>5000</v>
      </c>
      <c r="C2912" s="8">
        <v>25000</v>
      </c>
      <c r="D2912" s="8">
        <v>0</v>
      </c>
      <c r="E2912" s="8">
        <v>700</v>
      </c>
      <c r="F2912" s="8">
        <v>15000</v>
      </c>
      <c r="G2912" s="30">
        <f t="shared" si="3107"/>
        <v>2400</v>
      </c>
      <c r="H2912" s="8">
        <v>25000</v>
      </c>
      <c r="I2912" s="30">
        <f t="shared" si="3108"/>
        <v>5000</v>
      </c>
      <c r="J2912" s="8">
        <v>25000</v>
      </c>
      <c r="K2912" s="30">
        <f t="shared" si="3109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VLOOKUP(VLOOKUP(DATEVALUE(TEXT(A2912,"m/d/yyyy")),FY24_Temp[],5,FALSE)&amp;TEXT(A2912,"-h"),Table6[],4,FALSE)</f>
        <v>0.98857142242857143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VLOOKUP(TEXT(A2912,"yy-mm")&amp;"-"&amp;IF(AND(WEEKDAY(A2912)&gt;1,WEEKDAY(A2912)&lt;7),"Wkd",TEXT(A2912,"Ddd"))&amp;"-"&amp;TEXT(A2912,"hh"),LoadTable[],5,FALSE)*0.92</f>
        <v>275.09195999999997</v>
      </c>
      <c r="U2912" s="104">
        <f>VLOOKUP(TEXT(A2912,"yy-mm")&amp;"-"&amp;IF(AND(WEEKDAY(A2912)&gt;1,WEEKDAY(A2912)&lt;7),"Wkd",TEXT(A2912,"Ddd"))&amp;"-"&amp;TEXT(A2912,"hh"),LoadTable[],6,FALSE)*T2912</f>
        <v>12729.880448999998</v>
      </c>
      <c r="V2912">
        <f t="shared" ref="V2912:W2912" si="3114">V2888</f>
        <v>2.9</v>
      </c>
      <c r="W2912">
        <f t="shared" si="3114"/>
        <v>3.1</v>
      </c>
      <c r="X2912" s="9">
        <v>-165.745787816675</v>
      </c>
    </row>
    <row r="2913" spans="1:24">
      <c r="A2913" s="29">
        <f t="shared" si="3082"/>
        <v>45957.249999992942</v>
      </c>
      <c r="B2913" s="30">
        <f t="shared" si="3106"/>
        <v>8000</v>
      </c>
      <c r="C2913" s="8">
        <v>25000</v>
      </c>
      <c r="D2913" s="8">
        <v>0</v>
      </c>
      <c r="E2913" s="8">
        <v>700</v>
      </c>
      <c r="F2913" s="8">
        <v>15000</v>
      </c>
      <c r="G2913" s="30">
        <f t="shared" si="3107"/>
        <v>2400</v>
      </c>
      <c r="H2913" s="8">
        <v>25000</v>
      </c>
      <c r="I2913" s="30">
        <f t="shared" si="3108"/>
        <v>8000</v>
      </c>
      <c r="J2913" s="8">
        <v>25000</v>
      </c>
      <c r="K2913" s="30">
        <f t="shared" si="3109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VLOOKUP(VLOOKUP(DATEVALUE(TEXT(A2913,"m/d/yyyy")),FY24_Temp[],5,FALSE)&amp;TEXT(A2913,"-h"),Table6[],4,FALSE)</f>
        <v>0.86557143071428577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VLOOKUP(TEXT(A2913,"yy-mm")&amp;"-"&amp;IF(AND(WEEKDAY(A2913)&gt;1,WEEKDAY(A2913)&lt;7),"Wkd",TEXT(A2913,"Ddd"))&amp;"-"&amp;TEXT(A2913,"hh"),LoadTable[],5,FALSE)*0.92</f>
        <v>275.09195999999997</v>
      </c>
      <c r="U2913" s="104">
        <f>VLOOKUP(TEXT(A2913,"yy-mm")&amp;"-"&amp;IF(AND(WEEKDAY(A2913)&gt;1,WEEKDAY(A2913)&lt;7),"Wkd",TEXT(A2913,"Ddd"))&amp;"-"&amp;TEXT(A2913,"hh"),LoadTable[],6,FALSE)*T2913</f>
        <v>13284.465840359997</v>
      </c>
      <c r="V2913">
        <f t="shared" ref="V2913:W2913" si="3115">V2889</f>
        <v>2.5</v>
      </c>
      <c r="W2913">
        <f t="shared" si="3115"/>
        <v>3.1</v>
      </c>
      <c r="X2913" s="9">
        <v>-165.823582366675</v>
      </c>
    </row>
    <row r="2914" spans="1:24">
      <c r="A2914" s="29">
        <f t="shared" si="3082"/>
        <v>45957.291666659607</v>
      </c>
      <c r="B2914" s="30">
        <f t="shared" si="3106"/>
        <v>8000</v>
      </c>
      <c r="C2914" s="8">
        <v>25000</v>
      </c>
      <c r="D2914" s="8">
        <v>0</v>
      </c>
      <c r="E2914" s="8">
        <v>700</v>
      </c>
      <c r="F2914" s="8">
        <v>15000</v>
      </c>
      <c r="G2914" s="30">
        <f t="shared" si="3107"/>
        <v>2400</v>
      </c>
      <c r="H2914" s="8">
        <v>25000</v>
      </c>
      <c r="I2914" s="30">
        <f t="shared" si="3108"/>
        <v>8000</v>
      </c>
      <c r="J2914" s="8">
        <v>25000</v>
      </c>
      <c r="K2914" s="30">
        <f t="shared" si="3109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VLOOKUP(VLOOKUP(DATEVALUE(TEXT(A2914,"m/d/yyyy")),FY24_Temp[],5,FALSE)&amp;TEXT(A2914,"-h"),Table6[],4,FALSE)</f>
        <v>0.75871427985714279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VLOOKUP(TEXT(A2914,"yy-mm")&amp;"-"&amp;IF(AND(WEEKDAY(A2914)&gt;1,WEEKDAY(A2914)&lt;7),"Wkd",TEXT(A2914,"Ddd"))&amp;"-"&amp;TEXT(A2914,"hh"),LoadTable[],5,FALSE)*0.92</f>
        <v>236.10788000000002</v>
      </c>
      <c r="U2914" s="104">
        <f>VLOOKUP(TEXT(A2914,"yy-mm")&amp;"-"&amp;IF(AND(WEEKDAY(A2914)&gt;1,WEEKDAY(A2914)&lt;7),"Wkd",TEXT(A2914,"Ddd"))&amp;"-"&amp;TEXT(A2914,"hh"),LoadTable[],6,FALSE)*T2914</f>
        <v>11438.48235448</v>
      </c>
      <c r="V2914">
        <f t="shared" ref="V2914:W2914" si="3116">V2890</f>
        <v>2.5</v>
      </c>
      <c r="W2914">
        <f t="shared" si="3116"/>
        <v>3.1</v>
      </c>
      <c r="X2914" s="9">
        <v>-165.90137691667499</v>
      </c>
    </row>
    <row r="2915" spans="1:24">
      <c r="A2915" s="29">
        <f t="shared" si="3082"/>
        <v>45957.333333326271</v>
      </c>
      <c r="B2915" s="30">
        <f t="shared" si="3106"/>
        <v>8000</v>
      </c>
      <c r="C2915" s="8">
        <v>25000</v>
      </c>
      <c r="D2915" s="8">
        <v>0</v>
      </c>
      <c r="E2915" s="8">
        <v>700</v>
      </c>
      <c r="F2915" s="8">
        <v>15000</v>
      </c>
      <c r="G2915" s="30">
        <f t="shared" si="3107"/>
        <v>2400</v>
      </c>
      <c r="H2915" s="8">
        <v>25000</v>
      </c>
      <c r="I2915" s="30">
        <f t="shared" si="3108"/>
        <v>8000</v>
      </c>
      <c r="J2915" s="8">
        <v>25000</v>
      </c>
      <c r="K2915" s="30">
        <f t="shared" si="3109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VLOOKUP(VLOOKUP(DATEVALUE(TEXT(A2915,"m/d/yyyy")),FY24_Temp[],5,FALSE)&amp;TEXT(A2915,"-h"),Table6[],4,FALSE)</f>
        <v>0.67285714385714279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VLOOKUP(TEXT(A2915,"yy-mm")&amp;"-"&amp;IF(AND(WEEKDAY(A2915)&gt;1,WEEKDAY(A2915)&lt;7),"Wkd",TEXT(A2915,"Ddd"))&amp;"-"&amp;TEXT(A2915,"hh"),LoadTable[],5,FALSE)*0.92</f>
        <v>236.10788000000002</v>
      </c>
      <c r="U2915" s="104">
        <f>VLOOKUP(TEXT(A2915,"yy-mm")&amp;"-"&amp;IF(AND(WEEKDAY(A2915)&gt;1,WEEKDAY(A2915)&lt;7),"Wkd",TEXT(A2915,"Ddd"))&amp;"-"&amp;TEXT(A2915,"hh"),LoadTable[],6,FALSE)*T2915</f>
        <v>10919.281126360002</v>
      </c>
      <c r="V2915">
        <f t="shared" ref="V2915:W2915" si="3117">V2891</f>
        <v>3.2</v>
      </c>
      <c r="W2915">
        <f t="shared" si="3117"/>
        <v>3</v>
      </c>
      <c r="X2915" s="9">
        <v>-165.97917146667501</v>
      </c>
    </row>
    <row r="2916" spans="1:24">
      <c r="A2916" s="29">
        <f t="shared" si="3082"/>
        <v>45957.374999992935</v>
      </c>
      <c r="B2916" s="30">
        <f t="shared" si="3106"/>
        <v>8000</v>
      </c>
      <c r="C2916" s="8">
        <v>25000</v>
      </c>
      <c r="D2916" s="8">
        <v>0</v>
      </c>
      <c r="E2916" s="8">
        <v>700</v>
      </c>
      <c r="F2916" s="8">
        <v>15000</v>
      </c>
      <c r="G2916" s="30">
        <f t="shared" si="3107"/>
        <v>2400</v>
      </c>
      <c r="H2916" s="8">
        <v>25000</v>
      </c>
      <c r="I2916" s="30">
        <f t="shared" si="3108"/>
        <v>8000</v>
      </c>
      <c r="J2916" s="8">
        <v>25000</v>
      </c>
      <c r="K2916" s="30">
        <f t="shared" si="3109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VLOOKUP(VLOOKUP(DATEVALUE(TEXT(A2916,"m/d/yyyy")),FY24_Temp[],5,FALSE)&amp;TEXT(A2916,"-h"),Table6[],4,FALSE)</f>
        <v>0.60857142499999994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VLOOKUP(TEXT(A2916,"yy-mm")&amp;"-"&amp;IF(AND(WEEKDAY(A2916)&gt;1,WEEKDAY(A2916)&lt;7),"Wkd",TEXT(A2916,"Ddd"))&amp;"-"&amp;TEXT(A2916,"hh"),LoadTable[],5,FALSE)*0.92</f>
        <v>236.10788000000002</v>
      </c>
      <c r="U2916" s="104">
        <f>VLOOKUP(TEXT(A2916,"yy-mm")&amp;"-"&amp;IF(AND(WEEKDAY(A2916)&gt;1,WEEKDAY(A2916)&lt;7),"Wkd",TEXT(A2916,"Ddd"))&amp;"-"&amp;TEXT(A2916,"hh"),LoadTable[],6,FALSE)*T2916</f>
        <v>10592.271712560001</v>
      </c>
      <c r="V2916">
        <f t="shared" ref="V2916:W2916" si="3118">V2892</f>
        <v>2.9</v>
      </c>
      <c r="W2916">
        <f t="shared" si="3118"/>
        <v>3</v>
      </c>
      <c r="X2916" s="9">
        <v>-166.05696601667501</v>
      </c>
    </row>
    <row r="2917" spans="1:24">
      <c r="A2917" s="29">
        <f t="shared" si="3082"/>
        <v>45957.416666659599</v>
      </c>
      <c r="B2917" s="30">
        <f t="shared" si="3106"/>
        <v>8000</v>
      </c>
      <c r="C2917" s="8">
        <v>25000</v>
      </c>
      <c r="D2917" s="8">
        <v>0</v>
      </c>
      <c r="E2917" s="8">
        <v>700</v>
      </c>
      <c r="F2917" s="8">
        <v>15000</v>
      </c>
      <c r="G2917" s="30">
        <f t="shared" si="3107"/>
        <v>2400</v>
      </c>
      <c r="H2917" s="8">
        <v>25000</v>
      </c>
      <c r="I2917" s="30">
        <f t="shared" si="3108"/>
        <v>8000</v>
      </c>
      <c r="J2917" s="8">
        <v>25000</v>
      </c>
      <c r="K2917" s="30">
        <f t="shared" si="3109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VLOOKUP(VLOOKUP(DATEVALUE(TEXT(A2917,"m/d/yyyy")),FY24_Temp[],5,FALSE)&amp;TEXT(A2917,"-h"),Table6[],4,FALSE)</f>
        <v>0.55842857057142858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VLOOKUP(TEXT(A2917,"yy-mm")&amp;"-"&amp;IF(AND(WEEKDAY(A2917)&gt;1,WEEKDAY(A2917)&lt;7),"Wkd",TEXT(A2917,"Ddd"))&amp;"-"&amp;TEXT(A2917,"hh"),LoadTable[],5,FALSE)*0.92</f>
        <v>236.10788000000002</v>
      </c>
      <c r="U2917" s="104">
        <f>VLOOKUP(TEXT(A2917,"yy-mm")&amp;"-"&amp;IF(AND(WEEKDAY(A2917)&gt;1,WEEKDAY(A2917)&lt;7),"Wkd",TEXT(A2917,"Ddd"))&amp;"-"&amp;TEXT(A2917,"hh"),LoadTable[],6,FALSE)*T2917</f>
        <v>10565.591522120001</v>
      </c>
      <c r="V2917">
        <f t="shared" ref="V2917:W2917" si="3119">V2893</f>
        <v>2.9</v>
      </c>
      <c r="W2917">
        <f t="shared" si="3119"/>
        <v>3</v>
      </c>
      <c r="X2917" s="9">
        <v>-166.134760566675</v>
      </c>
    </row>
    <row r="2918" spans="1:24">
      <c r="A2918" s="29">
        <f t="shared" si="3082"/>
        <v>45957.458333326264</v>
      </c>
      <c r="B2918" s="30">
        <f t="shared" si="3106"/>
        <v>8000</v>
      </c>
      <c r="C2918" s="8">
        <v>25000</v>
      </c>
      <c r="D2918" s="8">
        <v>0</v>
      </c>
      <c r="E2918" s="8">
        <v>700</v>
      </c>
      <c r="F2918" s="8">
        <v>15000</v>
      </c>
      <c r="G2918" s="30">
        <f t="shared" si="3107"/>
        <v>2400</v>
      </c>
      <c r="H2918" s="8">
        <v>25000</v>
      </c>
      <c r="I2918" s="30">
        <f t="shared" si="3108"/>
        <v>8000</v>
      </c>
      <c r="J2918" s="8">
        <v>25000</v>
      </c>
      <c r="K2918" s="30">
        <f t="shared" si="3109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VLOOKUP(VLOOKUP(DATEVALUE(TEXT(A2918,"m/d/yyyy")),FY24_Temp[],5,FALSE)&amp;TEXT(A2918,"-h"),Table6[],4,FALSE)</f>
        <v>0.51114285628571432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VLOOKUP(TEXT(A2918,"yy-mm")&amp;"-"&amp;IF(AND(WEEKDAY(A2918)&gt;1,WEEKDAY(A2918)&lt;7),"Wkd",TEXT(A2918,"Ddd"))&amp;"-"&amp;TEXT(A2918,"hh"),LoadTable[],5,FALSE)*0.92</f>
        <v>236.10788000000002</v>
      </c>
      <c r="U2918" s="104">
        <f>VLOOKUP(TEXT(A2918,"yy-mm")&amp;"-"&amp;IF(AND(WEEKDAY(A2918)&gt;1,WEEKDAY(A2918)&lt;7),"Wkd",TEXT(A2918,"Ddd"))&amp;"-"&amp;TEXT(A2918,"hh"),LoadTable[],6,FALSE)*T2918</f>
        <v>10548.355646880002</v>
      </c>
      <c r="V2918">
        <f t="shared" ref="V2918:W2918" si="3120">V2894</f>
        <v>3.4</v>
      </c>
      <c r="W2918">
        <f t="shared" si="3120"/>
        <v>3</v>
      </c>
      <c r="X2918" s="9">
        <v>-166.21255511667499</v>
      </c>
    </row>
    <row r="2919" spans="1:24">
      <c r="A2919" s="29">
        <f t="shared" si="3082"/>
        <v>45957.499999992928</v>
      </c>
      <c r="B2919" s="30">
        <f t="shared" si="3106"/>
        <v>8000</v>
      </c>
      <c r="C2919" s="8">
        <v>25000</v>
      </c>
      <c r="D2919" s="8">
        <v>0</v>
      </c>
      <c r="E2919" s="8">
        <v>700</v>
      </c>
      <c r="F2919" s="8">
        <v>15000</v>
      </c>
      <c r="G2919" s="30">
        <f t="shared" si="3107"/>
        <v>2400</v>
      </c>
      <c r="H2919" s="8">
        <v>25000</v>
      </c>
      <c r="I2919" s="30">
        <f t="shared" si="3108"/>
        <v>8000</v>
      </c>
      <c r="J2919" s="8">
        <v>25000</v>
      </c>
      <c r="K2919" s="30">
        <f t="shared" si="3109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VLOOKUP(VLOOKUP(DATEVALUE(TEXT(A2919,"m/d/yyyy")),FY24_Temp[],5,FALSE)&amp;TEXT(A2919,"-h"),Table6[],4,FALSE)</f>
        <v>0.46342857814285715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VLOOKUP(TEXT(A2919,"yy-mm")&amp;"-"&amp;IF(AND(WEEKDAY(A2919)&gt;1,WEEKDAY(A2919)&lt;7),"Wkd",TEXT(A2919,"Ddd"))&amp;"-"&amp;TEXT(A2919,"hh"),LoadTable[],5,FALSE)*0.92</f>
        <v>236.10788000000002</v>
      </c>
      <c r="U2919" s="104">
        <f>VLOOKUP(TEXT(A2919,"yy-mm")&amp;"-"&amp;IF(AND(WEEKDAY(A2919)&gt;1,WEEKDAY(A2919)&lt;7),"Wkd",TEXT(A2919,"Ddd"))&amp;"-"&amp;TEXT(A2919,"hh"),LoadTable[],6,FALSE)*T2919</f>
        <v>10540.327978960002</v>
      </c>
      <c r="V2919">
        <f t="shared" ref="V2919:W2919" si="3121">V2895</f>
        <v>3.1</v>
      </c>
      <c r="W2919">
        <f t="shared" si="3121"/>
        <v>2.9</v>
      </c>
      <c r="X2919" s="9">
        <v>-166.29034966667501</v>
      </c>
    </row>
    <row r="2920" spans="1:24">
      <c r="A2920" s="29">
        <f t="shared" si="3082"/>
        <v>45957.541666659592</v>
      </c>
      <c r="B2920" s="30">
        <f t="shared" si="3106"/>
        <v>8000</v>
      </c>
      <c r="C2920" s="8">
        <v>25000</v>
      </c>
      <c r="D2920" s="8">
        <v>0</v>
      </c>
      <c r="E2920" s="8">
        <v>700</v>
      </c>
      <c r="F2920" s="8">
        <v>15000</v>
      </c>
      <c r="G2920" s="30">
        <f t="shared" si="3107"/>
        <v>2400</v>
      </c>
      <c r="H2920" s="8">
        <v>25000</v>
      </c>
      <c r="I2920" s="30">
        <f t="shared" si="3108"/>
        <v>8000</v>
      </c>
      <c r="J2920" s="8">
        <v>25000</v>
      </c>
      <c r="K2920" s="30">
        <f t="shared" si="3109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VLOOKUP(VLOOKUP(DATEVALUE(TEXT(A2920,"m/d/yyyy")),FY24_Temp[],5,FALSE)&amp;TEXT(A2920,"-h"),Table6[],4,FALSE)</f>
        <v>0.4270000052857143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VLOOKUP(TEXT(A2920,"yy-mm")&amp;"-"&amp;IF(AND(WEEKDAY(A2920)&gt;1,WEEKDAY(A2920)&lt;7),"Wkd",TEXT(A2920,"Ddd"))&amp;"-"&amp;TEXT(A2920,"hh"),LoadTable[],5,FALSE)*0.92</f>
        <v>236.10788000000002</v>
      </c>
      <c r="U2920" s="104">
        <f>VLOOKUP(TEXT(A2920,"yy-mm")&amp;"-"&amp;IF(AND(WEEKDAY(A2920)&gt;1,WEEKDAY(A2920)&lt;7),"Wkd",TEXT(A2920,"Ddd"))&amp;"-"&amp;TEXT(A2920,"hh"),LoadTable[],6,FALSE)*T2920</f>
        <v>10541.50851836</v>
      </c>
      <c r="V2920">
        <f t="shared" ref="V2920:W2920" si="3122">V2896</f>
        <v>3.2</v>
      </c>
      <c r="W2920">
        <f t="shared" si="3122"/>
        <v>2.9</v>
      </c>
      <c r="X2920" s="9">
        <v>-166.36814421667501</v>
      </c>
    </row>
    <row r="2921" spans="1:24">
      <c r="A2921" s="29">
        <f t="shared" si="3082"/>
        <v>45957.583333326256</v>
      </c>
      <c r="B2921" s="30">
        <f t="shared" si="3106"/>
        <v>8000</v>
      </c>
      <c r="C2921" s="8">
        <v>25000</v>
      </c>
      <c r="D2921" s="8">
        <v>0</v>
      </c>
      <c r="E2921" s="8">
        <v>700</v>
      </c>
      <c r="F2921" s="8">
        <v>15000</v>
      </c>
      <c r="G2921" s="30">
        <f t="shared" si="3107"/>
        <v>2400</v>
      </c>
      <c r="H2921" s="8">
        <v>25000</v>
      </c>
      <c r="I2921" s="30">
        <f t="shared" si="3108"/>
        <v>8000</v>
      </c>
      <c r="J2921" s="8">
        <v>25000</v>
      </c>
      <c r="K2921" s="30">
        <f t="shared" si="3109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VLOOKUP(VLOOKUP(DATEVALUE(TEXT(A2921,"m/d/yyyy")),FY24_Temp[],5,FALSE)&amp;TEXT(A2921,"-h"),Table6[],4,FALSE)</f>
        <v>0.45342856214285715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VLOOKUP(TEXT(A2921,"yy-mm")&amp;"-"&amp;IF(AND(WEEKDAY(A2921)&gt;1,WEEKDAY(A2921)&lt;7),"Wkd",TEXT(A2921,"Ddd"))&amp;"-"&amp;TEXT(A2921,"hh"),LoadTable[],5,FALSE)*0.92</f>
        <v>236.10788000000002</v>
      </c>
      <c r="U2921" s="104">
        <f>VLOOKUP(TEXT(A2921,"yy-mm")&amp;"-"&amp;IF(AND(WEEKDAY(A2921)&gt;1,WEEKDAY(A2921)&lt;7),"Wkd",TEXT(A2921,"Ddd"))&amp;"-"&amp;TEXT(A2921,"hh"),LoadTable[],6,FALSE)*T2921</f>
        <v>10551.188941440001</v>
      </c>
      <c r="V2921">
        <f t="shared" ref="V2921:W2921" si="3123">V2897</f>
        <v>3.5</v>
      </c>
      <c r="W2921">
        <f t="shared" si="3123"/>
        <v>2.9</v>
      </c>
      <c r="X2921" s="9">
        <v>-166.445938766675</v>
      </c>
    </row>
    <row r="2922" spans="1:24">
      <c r="A2922" s="29">
        <f t="shared" si="3082"/>
        <v>45957.62499999292</v>
      </c>
      <c r="B2922" s="30">
        <f t="shared" si="3106"/>
        <v>8000</v>
      </c>
      <c r="C2922" s="8">
        <v>25000</v>
      </c>
      <c r="D2922" s="8">
        <v>0</v>
      </c>
      <c r="E2922" s="8">
        <v>700</v>
      </c>
      <c r="F2922" s="8">
        <v>15000</v>
      </c>
      <c r="G2922" s="30">
        <f t="shared" si="3107"/>
        <v>2400</v>
      </c>
      <c r="H2922" s="8">
        <v>25000</v>
      </c>
      <c r="I2922" s="30">
        <f t="shared" si="3108"/>
        <v>8000</v>
      </c>
      <c r="J2922" s="8">
        <v>25000</v>
      </c>
      <c r="K2922" s="30">
        <f t="shared" si="3109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VLOOKUP(VLOOKUP(DATEVALUE(TEXT(A2922,"m/d/yyyy")),FY24_Temp[],5,FALSE)&amp;TEXT(A2922,"-h"),Table6[],4,FALSE)</f>
        <v>0.57742857442857143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VLOOKUP(TEXT(A2922,"yy-mm")&amp;"-"&amp;IF(AND(WEEKDAY(A2922)&gt;1,WEEKDAY(A2922)&lt;7),"Wkd",TEXT(A2922,"Ddd"))&amp;"-"&amp;TEXT(A2922,"hh"),LoadTable[],5,FALSE)*0.92</f>
        <v>236.10788000000002</v>
      </c>
      <c r="U2922" s="104">
        <f>VLOOKUP(TEXT(A2922,"yy-mm")&amp;"-"&amp;IF(AND(WEEKDAY(A2922)&gt;1,WEEKDAY(A2922)&lt;7),"Wkd",TEXT(A2922,"Ddd"))&amp;"-"&amp;TEXT(A2922,"hh"),LoadTable[],6,FALSE)*T2922</f>
        <v>10572.202542760002</v>
      </c>
      <c r="V2922">
        <f t="shared" ref="V2922:W2922" si="3124">V2898</f>
        <v>3.2</v>
      </c>
      <c r="W2922">
        <f t="shared" si="3124"/>
        <v>2.9</v>
      </c>
      <c r="X2922" s="9">
        <v>-166.52373331667499</v>
      </c>
    </row>
    <row r="2923" spans="1:24">
      <c r="A2923" s="29">
        <f t="shared" si="3082"/>
        <v>45957.666666659585</v>
      </c>
      <c r="B2923" s="30">
        <f t="shared" si="3106"/>
        <v>8000</v>
      </c>
      <c r="C2923" s="8">
        <v>25000</v>
      </c>
      <c r="D2923" s="8">
        <v>0</v>
      </c>
      <c r="E2923" s="8">
        <v>700</v>
      </c>
      <c r="F2923" s="8">
        <v>15000</v>
      </c>
      <c r="G2923" s="30">
        <f t="shared" si="3107"/>
        <v>2400</v>
      </c>
      <c r="H2923" s="8">
        <v>25000</v>
      </c>
      <c r="I2923" s="30">
        <f t="shared" si="3108"/>
        <v>8000</v>
      </c>
      <c r="J2923" s="8">
        <v>25000</v>
      </c>
      <c r="K2923" s="30">
        <f t="shared" si="3109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VLOOKUP(VLOOKUP(DATEVALUE(TEXT(A2923,"m/d/yyyy")),FY24_Temp[],5,FALSE)&amp;TEXT(A2923,"-h"),Table6[],4,FALSE)</f>
        <v>0.73742856928571421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VLOOKUP(TEXT(A2923,"yy-mm")&amp;"-"&amp;IF(AND(WEEKDAY(A2923)&gt;1,WEEKDAY(A2923)&lt;7),"Wkd",TEXT(A2923,"Ddd"))&amp;"-"&amp;TEXT(A2923,"hh"),LoadTable[],5,FALSE)*0.92</f>
        <v>236.10788000000002</v>
      </c>
      <c r="U2923" s="104">
        <f>VLOOKUP(TEXT(A2923,"yy-mm")&amp;"-"&amp;IF(AND(WEEKDAY(A2923)&gt;1,WEEKDAY(A2923)&lt;7),"Wkd",TEXT(A2923,"Ddd"))&amp;"-"&amp;TEXT(A2923,"hh"),LoadTable[],6,FALSE)*T2923</f>
        <v>10648.93760376</v>
      </c>
      <c r="V2923">
        <f t="shared" ref="V2923:W2923" si="3125">V2899</f>
        <v>3.5</v>
      </c>
      <c r="W2923">
        <f t="shared" si="3125"/>
        <v>3</v>
      </c>
      <c r="X2923" s="9">
        <v>-166.60152786667501</v>
      </c>
    </row>
    <row r="2924" spans="1:24">
      <c r="A2924" s="29">
        <f t="shared" si="3082"/>
        <v>45957.708333326249</v>
      </c>
      <c r="B2924" s="30">
        <f t="shared" si="3106"/>
        <v>8000</v>
      </c>
      <c r="C2924" s="8">
        <v>25000</v>
      </c>
      <c r="D2924" s="8">
        <v>0</v>
      </c>
      <c r="E2924" s="8">
        <v>700</v>
      </c>
      <c r="F2924" s="8">
        <v>15000</v>
      </c>
      <c r="G2924" s="30">
        <f t="shared" si="3107"/>
        <v>2400</v>
      </c>
      <c r="H2924" s="8">
        <v>25000</v>
      </c>
      <c r="I2924" s="30">
        <f t="shared" si="3108"/>
        <v>8000</v>
      </c>
      <c r="J2924" s="8">
        <v>25000</v>
      </c>
      <c r="K2924" s="30">
        <f t="shared" si="3109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VLOOKUP(VLOOKUP(DATEVALUE(TEXT(A2924,"m/d/yyyy")),FY24_Temp[],5,FALSE)&amp;TEXT(A2924,"-h"),Table6[],4,FALSE)</f>
        <v>0.91628573200000007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VLOOKUP(TEXT(A2924,"yy-mm")&amp;"-"&amp;IF(AND(WEEKDAY(A2924)&gt;1,WEEKDAY(A2924)&lt;7),"Wkd",TEXT(A2924,"Ddd"))&amp;"-"&amp;TEXT(A2924,"hh"),LoadTable[],5,FALSE)*0.92</f>
        <v>236.10788000000002</v>
      </c>
      <c r="U2924" s="104">
        <f>VLOOKUP(TEXT(A2924,"yy-mm")&amp;"-"&amp;IF(AND(WEEKDAY(A2924)&gt;1,WEEKDAY(A2924)&lt;7),"Wkd",TEXT(A2924,"Ddd"))&amp;"-"&amp;TEXT(A2924,"hh"),LoadTable[],6,FALSE)*T2924</f>
        <v>11157.513977280001</v>
      </c>
      <c r="V2924">
        <f t="shared" ref="V2924:W2924" si="3126">V2900</f>
        <v>3.6</v>
      </c>
      <c r="W2924">
        <f t="shared" si="3126"/>
        <v>3</v>
      </c>
      <c r="X2924" s="9">
        <v>-166.67932241667501</v>
      </c>
    </row>
    <row r="2925" spans="1:24">
      <c r="A2925" s="29">
        <f t="shared" si="3082"/>
        <v>45957.749999992913</v>
      </c>
      <c r="B2925" s="30">
        <f t="shared" si="3106"/>
        <v>5000</v>
      </c>
      <c r="C2925" s="8">
        <v>25000</v>
      </c>
      <c r="D2925" s="8">
        <v>0</v>
      </c>
      <c r="E2925" s="8">
        <v>700</v>
      </c>
      <c r="F2925" s="8">
        <v>15000</v>
      </c>
      <c r="G2925" s="30">
        <f t="shared" si="3107"/>
        <v>2400</v>
      </c>
      <c r="H2925" s="8">
        <v>25000</v>
      </c>
      <c r="I2925" s="30">
        <f t="shared" si="3108"/>
        <v>5000</v>
      </c>
      <c r="J2925" s="8">
        <v>25000</v>
      </c>
      <c r="K2925" s="30">
        <f t="shared" si="3109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VLOOKUP(VLOOKUP(DATEVALUE(TEXT(A2925,"m/d/yyyy")),FY24_Temp[],5,FALSE)&amp;TEXT(A2925,"-h"),Table6[],4,FALSE)</f>
        <v>1.086285723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VLOOKUP(TEXT(A2925,"yy-mm")&amp;"-"&amp;IF(AND(WEEKDAY(A2925)&gt;1,WEEKDAY(A2925)&lt;7),"Wkd",TEXT(A2925,"Ddd"))&amp;"-"&amp;TEXT(A2925,"hh"),LoadTable[],5,FALSE)*0.92</f>
        <v>308.12363999999997</v>
      </c>
      <c r="U2925" s="104">
        <f>VLOOKUP(TEXT(A2925,"yy-mm")&amp;"-"&amp;IF(AND(WEEKDAY(A2925)&gt;1,WEEKDAY(A2925)&lt;7),"Wkd",TEXT(A2925,"Ddd"))&amp;"-"&amp;TEXT(A2925,"hh"),LoadTable[],6,FALSE)*T2925</f>
        <v>15139.963175039999</v>
      </c>
      <c r="V2925">
        <f t="shared" ref="V2925:W2925" si="3127">V2901</f>
        <v>2.9</v>
      </c>
      <c r="W2925">
        <f t="shared" si="3127"/>
        <v>3</v>
      </c>
      <c r="X2925" s="9">
        <v>-166.757116966675</v>
      </c>
    </row>
    <row r="2926" spans="1:24">
      <c r="A2926" s="29">
        <f t="shared" si="3082"/>
        <v>45957.791666659577</v>
      </c>
      <c r="B2926" s="30">
        <f t="shared" si="3106"/>
        <v>5000</v>
      </c>
      <c r="C2926" s="8">
        <v>25000</v>
      </c>
      <c r="D2926" s="8">
        <v>0</v>
      </c>
      <c r="E2926" s="8">
        <v>700</v>
      </c>
      <c r="F2926" s="8">
        <v>15000</v>
      </c>
      <c r="G2926" s="30">
        <f t="shared" si="3107"/>
        <v>2400</v>
      </c>
      <c r="H2926" s="8">
        <v>25000</v>
      </c>
      <c r="I2926" s="30">
        <f t="shared" si="3108"/>
        <v>5000</v>
      </c>
      <c r="J2926" s="8">
        <v>25000</v>
      </c>
      <c r="K2926" s="30">
        <f t="shared" si="3109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VLOOKUP(VLOOKUP(DATEVALUE(TEXT(A2926,"m/d/yyyy")),FY24_Temp[],5,FALSE)&amp;TEXT(A2926,"-h"),Table6[],4,FALSE)</f>
        <v>1.1839999898571427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VLOOKUP(TEXT(A2926,"yy-mm")&amp;"-"&amp;IF(AND(WEEKDAY(A2926)&gt;1,WEEKDAY(A2926)&lt;7),"Wkd",TEXT(A2926,"Ddd"))&amp;"-"&amp;TEXT(A2926,"hh"),LoadTable[],5,FALSE)*0.92</f>
        <v>308.12363999999997</v>
      </c>
      <c r="U2926" s="104">
        <f>VLOOKUP(TEXT(A2926,"yy-mm")&amp;"-"&amp;IF(AND(WEEKDAY(A2926)&gt;1,WEEKDAY(A2926)&lt;7),"Wkd",TEXT(A2926,"Ddd"))&amp;"-"&amp;TEXT(A2926,"hh"),LoadTable[],6,FALSE)*T2926</f>
        <v>15247.806449039997</v>
      </c>
      <c r="V2926">
        <f t="shared" ref="V2926:W2926" si="3128">V2902</f>
        <v>3</v>
      </c>
      <c r="W2926">
        <f t="shared" si="3128"/>
        <v>3</v>
      </c>
      <c r="X2926" s="9">
        <v>-166.83491151667499</v>
      </c>
    </row>
    <row r="2927" spans="1:24">
      <c r="A2927" s="29">
        <f t="shared" si="3082"/>
        <v>45957.833333326242</v>
      </c>
      <c r="B2927" s="30">
        <f t="shared" si="3106"/>
        <v>5000</v>
      </c>
      <c r="C2927" s="8">
        <v>25000</v>
      </c>
      <c r="D2927" s="8">
        <v>0</v>
      </c>
      <c r="E2927" s="8">
        <v>700</v>
      </c>
      <c r="F2927" s="8">
        <v>15000</v>
      </c>
      <c r="G2927" s="30">
        <f t="shared" si="3107"/>
        <v>2400</v>
      </c>
      <c r="H2927" s="8">
        <v>25000</v>
      </c>
      <c r="I2927" s="30">
        <f t="shared" si="3108"/>
        <v>5000</v>
      </c>
      <c r="J2927" s="8">
        <v>25000</v>
      </c>
      <c r="K2927" s="30">
        <f t="shared" si="3109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VLOOKUP(VLOOKUP(DATEVALUE(TEXT(A2927,"m/d/yyyy")),FY24_Temp[],5,FALSE)&amp;TEXT(A2927,"-h"),Table6[],4,FALSE)</f>
        <v>1.2420000010000003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VLOOKUP(TEXT(A2927,"yy-mm")&amp;"-"&amp;IF(AND(WEEKDAY(A2927)&gt;1,WEEKDAY(A2927)&lt;7),"Wkd",TEXT(A2927,"Ddd"))&amp;"-"&amp;TEXT(A2927,"hh"),LoadTable[],5,FALSE)*0.92</f>
        <v>308.12363999999997</v>
      </c>
      <c r="U2927" s="104">
        <f>VLOOKUP(TEXT(A2927,"yy-mm")&amp;"-"&amp;IF(AND(WEEKDAY(A2927)&gt;1,WEEKDAY(A2927)&lt;7),"Wkd",TEXT(A2927,"Ddd"))&amp;"-"&amp;TEXT(A2927,"hh"),LoadTable[],6,FALSE)*T2927</f>
        <v>15157.218098879999</v>
      </c>
      <c r="V2927">
        <f t="shared" ref="V2927:W2927" si="3129">V2903</f>
        <v>2.8</v>
      </c>
      <c r="W2927">
        <f t="shared" si="3129"/>
        <v>3.1</v>
      </c>
      <c r="X2927" s="9">
        <v>-166.91270606667501</v>
      </c>
    </row>
    <row r="2928" spans="1:24">
      <c r="A2928" s="29">
        <f t="shared" si="3082"/>
        <v>45957.874999992906</v>
      </c>
      <c r="B2928" s="30">
        <f t="shared" si="3106"/>
        <v>5000</v>
      </c>
      <c r="C2928" s="8">
        <v>25000</v>
      </c>
      <c r="D2928" s="8">
        <v>0</v>
      </c>
      <c r="E2928" s="8">
        <v>700</v>
      </c>
      <c r="F2928" s="8">
        <v>15000</v>
      </c>
      <c r="G2928" s="30">
        <f t="shared" si="3107"/>
        <v>2400</v>
      </c>
      <c r="H2928" s="8">
        <v>25000</v>
      </c>
      <c r="I2928" s="30">
        <f t="shared" si="3108"/>
        <v>5000</v>
      </c>
      <c r="J2928" s="8">
        <v>25000</v>
      </c>
      <c r="K2928" s="30">
        <f t="shared" si="3109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VLOOKUP(VLOOKUP(DATEVALUE(TEXT(A2928,"m/d/yyyy")),FY24_Temp[],5,FALSE)&amp;TEXT(A2928,"-h"),Table6[],4,FALSE)</f>
        <v>1.2934285488571429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VLOOKUP(TEXT(A2928,"yy-mm")&amp;"-"&amp;IF(AND(WEEKDAY(A2928)&gt;1,WEEKDAY(A2928)&lt;7),"Wkd",TEXT(A2928,"Ddd"))&amp;"-"&amp;TEXT(A2928,"hh"),LoadTable[],5,FALSE)*0.92</f>
        <v>234.33964000000003</v>
      </c>
      <c r="U2928" s="104">
        <f>VLOOKUP(TEXT(A2928,"yy-mm")&amp;"-"&amp;IF(AND(WEEKDAY(A2928)&gt;1,WEEKDAY(A2928)&lt;7),"Wkd",TEXT(A2928,"Ddd"))&amp;"-"&amp;TEXT(A2928,"hh"),LoadTable[],6,FALSE)*T2928</f>
        <v>11344.147632760001</v>
      </c>
      <c r="V2928">
        <f t="shared" ref="V2928:W2928" si="3130">V2904</f>
        <v>3.5</v>
      </c>
      <c r="W2928">
        <f t="shared" si="3130"/>
        <v>3.1</v>
      </c>
      <c r="X2928" s="9">
        <v>-166.99050061667501</v>
      </c>
    </row>
    <row r="2929" spans="1:24">
      <c r="A2929" s="29">
        <f t="shared" si="3082"/>
        <v>45957.91666665957</v>
      </c>
      <c r="B2929" s="30">
        <f t="shared" si="3106"/>
        <v>5000</v>
      </c>
      <c r="C2929" s="8">
        <v>25000</v>
      </c>
      <c r="D2929" s="8">
        <v>0</v>
      </c>
      <c r="E2929" s="8">
        <v>700</v>
      </c>
      <c r="F2929" s="8">
        <v>15000</v>
      </c>
      <c r="G2929" s="30">
        <f t="shared" si="3107"/>
        <v>2400</v>
      </c>
      <c r="H2929" s="8">
        <v>25000</v>
      </c>
      <c r="I2929" s="30">
        <f t="shared" si="3108"/>
        <v>5000</v>
      </c>
      <c r="J2929" s="8">
        <v>25000</v>
      </c>
      <c r="K2929" s="30">
        <f t="shared" si="3109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VLOOKUP(VLOOKUP(DATEVALUE(TEXT(A2929,"m/d/yyyy")),FY24_Temp[],5,FALSE)&amp;TEXT(A2929,"-h"),Table6[],4,FALSE)</f>
        <v>1.3798571400000001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VLOOKUP(TEXT(A2929,"yy-mm")&amp;"-"&amp;IF(AND(WEEKDAY(A2929)&gt;1,WEEKDAY(A2929)&lt;7),"Wkd",TEXT(A2929,"Ddd"))&amp;"-"&amp;TEXT(A2929,"hh"),LoadTable[],5,FALSE)*0.92</f>
        <v>180.62544</v>
      </c>
      <c r="U2929" s="104">
        <f>VLOOKUP(TEXT(A2929,"yy-mm")&amp;"-"&amp;IF(AND(WEEKDAY(A2929)&gt;1,WEEKDAY(A2929)&lt;7),"Wkd",TEXT(A2929,"Ddd"))&amp;"-"&amp;TEXT(A2929,"hh"),LoadTable[],6,FALSE)*T2929</f>
        <v>8304.2546039999997</v>
      </c>
      <c r="V2929">
        <f t="shared" ref="V2929:W2929" si="3131">V2905</f>
        <v>2.9</v>
      </c>
      <c r="W2929">
        <f t="shared" si="3131"/>
        <v>3.1</v>
      </c>
      <c r="X2929" s="9">
        <v>-167.068295166675</v>
      </c>
    </row>
    <row r="2930" spans="1:24">
      <c r="A2930" s="29">
        <f t="shared" si="3082"/>
        <v>45957.958333326234</v>
      </c>
      <c r="B2930" s="30">
        <f t="shared" si="3106"/>
        <v>5000</v>
      </c>
      <c r="C2930" s="8">
        <v>25000</v>
      </c>
      <c r="D2930" s="8">
        <v>0</v>
      </c>
      <c r="E2930" s="8">
        <v>700</v>
      </c>
      <c r="F2930" s="8">
        <v>15000</v>
      </c>
      <c r="G2930" s="30">
        <f t="shared" si="3107"/>
        <v>2400</v>
      </c>
      <c r="H2930" s="8">
        <v>25000</v>
      </c>
      <c r="I2930" s="30">
        <f t="shared" si="3108"/>
        <v>5000</v>
      </c>
      <c r="J2930" s="8">
        <v>25000</v>
      </c>
      <c r="K2930" s="30">
        <f t="shared" si="3109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VLOOKUP(VLOOKUP(DATEVALUE(TEXT(A2930,"m/d/yyyy")),FY24_Temp[],5,FALSE)&amp;TEXT(A2930,"-h"),Table6[],4,FALSE)</f>
        <v>1.509714279857143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VLOOKUP(TEXT(A2930,"yy-mm")&amp;"-"&amp;IF(AND(WEEKDAY(A2930)&gt;1,WEEKDAY(A2930)&lt;7),"Wkd",TEXT(A2930,"Ddd"))&amp;"-"&amp;TEXT(A2930,"hh"),LoadTable[],5,FALSE)*0.92</f>
        <v>180.62544</v>
      </c>
      <c r="U2930" s="104">
        <f>VLOOKUP(TEXT(A2930,"yy-mm")&amp;"-"&amp;IF(AND(WEEKDAY(A2930)&gt;1,WEEKDAY(A2930)&lt;7),"Wkd",TEXT(A2930,"Ddd"))&amp;"-"&amp;TEXT(A2930,"hh"),LoadTable[],6,FALSE)*T2930</f>
        <v>8217.1931419200009</v>
      </c>
      <c r="V2930">
        <f t="shared" ref="V2930:W2930" si="3132">V2906</f>
        <v>3.6</v>
      </c>
      <c r="W2930">
        <f t="shared" si="3132"/>
        <v>3.1</v>
      </c>
      <c r="X2930" s="9">
        <v>-167.14608971667499</v>
      </c>
    </row>
    <row r="2931" spans="1:24">
      <c r="A2931" s="29">
        <f t="shared" si="3082"/>
        <v>45957.999999992899</v>
      </c>
      <c r="B2931" s="30">
        <f t="shared" si="3106"/>
        <v>5000</v>
      </c>
      <c r="C2931" s="8">
        <v>25000</v>
      </c>
      <c r="D2931" s="8">
        <v>0</v>
      </c>
      <c r="E2931" s="8">
        <v>700</v>
      </c>
      <c r="F2931" s="8">
        <v>15000</v>
      </c>
      <c r="G2931" s="30">
        <f t="shared" si="3107"/>
        <v>2400</v>
      </c>
      <c r="H2931" s="8">
        <v>25000</v>
      </c>
      <c r="I2931" s="30">
        <f t="shared" si="3108"/>
        <v>5000</v>
      </c>
      <c r="J2931" s="8">
        <v>25000</v>
      </c>
      <c r="K2931" s="30">
        <f t="shared" si="3109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VLOOKUP(VLOOKUP(DATEVALUE(TEXT(A2931,"m/d/yyyy")),FY24_Temp[],5,FALSE)&amp;TEXT(A2931,"-h"),Table6[],4,FALSE)</f>
        <v>1.5784285920000001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VLOOKUP(TEXT(A2931,"yy-mm")&amp;"-"&amp;IF(AND(WEEKDAY(A2931)&gt;1,WEEKDAY(A2931)&lt;7),"Wkd",TEXT(A2931,"Ddd"))&amp;"-"&amp;TEXT(A2931,"hh"),LoadTable[],5,FALSE)*0.92</f>
        <v>180.62544</v>
      </c>
      <c r="U2931" s="104">
        <f>VLOOKUP(TEXT(A2931,"yy-mm")&amp;"-"&amp;IF(AND(WEEKDAY(A2931)&gt;1,WEEKDAY(A2931)&lt;7),"Wkd",TEXT(A2931,"Ddd"))&amp;"-"&amp;TEXT(A2931,"hh"),LoadTable[],6,FALSE)*T2931</f>
        <v>8132.4798105600003</v>
      </c>
      <c r="V2931">
        <f t="shared" ref="V2931:W2931" si="3133">V2907</f>
        <v>3</v>
      </c>
      <c r="W2931">
        <f t="shared" si="3133"/>
        <v>3.2</v>
      </c>
      <c r="X2931" s="9">
        <v>-167.22388426667499</v>
      </c>
    </row>
    <row r="2932" spans="1:24">
      <c r="A2932" s="29">
        <f t="shared" si="3082"/>
        <v>45958.041666659563</v>
      </c>
      <c r="B2932" s="30">
        <f t="shared" si="3106"/>
        <v>5000</v>
      </c>
      <c r="C2932" s="8">
        <v>25000</v>
      </c>
      <c r="D2932" s="8">
        <v>0</v>
      </c>
      <c r="E2932" s="8">
        <v>700</v>
      </c>
      <c r="F2932" s="8">
        <v>15000</v>
      </c>
      <c r="G2932" s="30">
        <f t="shared" si="3107"/>
        <v>2400</v>
      </c>
      <c r="H2932" s="8">
        <v>25000</v>
      </c>
      <c r="I2932" s="30">
        <f t="shared" si="3108"/>
        <v>5000</v>
      </c>
      <c r="J2932" s="8">
        <v>25000</v>
      </c>
      <c r="K2932" s="30">
        <f t="shared" si="3109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VLOOKUP(VLOOKUP(DATEVALUE(TEXT(A2932,"m/d/yyyy")),FY24_Temp[],5,FALSE)&amp;TEXT(A2932,"-h"),Table6[],4,FALSE)</f>
        <v>1.5087142842857144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VLOOKUP(TEXT(A2932,"yy-mm")&amp;"-"&amp;IF(AND(WEEKDAY(A2932)&gt;1,WEEKDAY(A2932)&lt;7),"Wkd",TEXT(A2932,"Ddd"))&amp;"-"&amp;TEXT(A2932,"hh"),LoadTable[],5,FALSE)*0.92</f>
        <v>180.62544</v>
      </c>
      <c r="U2932" s="104">
        <f>VLOOKUP(TEXT(A2932,"yy-mm")&amp;"-"&amp;IF(AND(WEEKDAY(A2932)&gt;1,WEEKDAY(A2932)&lt;7),"Wkd",TEXT(A2932,"Ddd"))&amp;"-"&amp;TEXT(A2932,"hh"),LoadTable[],6,FALSE)*T2932</f>
        <v>8124.71291664</v>
      </c>
      <c r="V2932">
        <f t="shared" ref="V2932:W2932" si="3134">V2908</f>
        <v>2.6</v>
      </c>
      <c r="W2932">
        <f t="shared" si="3134"/>
        <v>3.2</v>
      </c>
      <c r="X2932" s="9">
        <v>-167.30167881667501</v>
      </c>
    </row>
    <row r="2933" spans="1:24">
      <c r="A2933" s="29">
        <f t="shared" si="3082"/>
        <v>45958.083333326227</v>
      </c>
      <c r="B2933" s="30">
        <f t="shared" si="3106"/>
        <v>5000</v>
      </c>
      <c r="C2933" s="8">
        <v>25000</v>
      </c>
      <c r="D2933" s="8">
        <v>0</v>
      </c>
      <c r="E2933" s="8">
        <v>700</v>
      </c>
      <c r="F2933" s="8">
        <v>15000</v>
      </c>
      <c r="G2933" s="30">
        <f t="shared" si="3107"/>
        <v>2400</v>
      </c>
      <c r="H2933" s="8">
        <v>25000</v>
      </c>
      <c r="I2933" s="30">
        <f t="shared" si="3108"/>
        <v>5000</v>
      </c>
      <c r="J2933" s="8">
        <v>25000</v>
      </c>
      <c r="K2933" s="30">
        <f t="shared" si="3109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VLOOKUP(VLOOKUP(DATEVALUE(TEXT(A2933,"m/d/yyyy")),FY24_Temp[],5,FALSE)&amp;TEXT(A2933,"-h"),Table6[],4,FALSE)</f>
        <v>1.393571444857143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VLOOKUP(TEXT(A2933,"yy-mm")&amp;"-"&amp;IF(AND(WEEKDAY(A2933)&gt;1,WEEKDAY(A2933)&lt;7),"Wkd",TEXT(A2933,"Ddd"))&amp;"-"&amp;TEXT(A2933,"hh"),LoadTable[],5,FALSE)*0.92</f>
        <v>180.62544</v>
      </c>
      <c r="U2933" s="104">
        <f>VLOOKUP(TEXT(A2933,"yy-mm")&amp;"-"&amp;IF(AND(WEEKDAY(A2933)&gt;1,WEEKDAY(A2933)&lt;7),"Wkd",TEXT(A2933,"Ddd"))&amp;"-"&amp;TEXT(A2933,"hh"),LoadTable[],6,FALSE)*T2933</f>
        <v>8120.1972806400008</v>
      </c>
      <c r="V2933">
        <f t="shared" ref="V2933:W2933" si="3135">V2909</f>
        <v>2.8</v>
      </c>
      <c r="W2933">
        <f t="shared" si="3135"/>
        <v>3.2</v>
      </c>
      <c r="X2933" s="9">
        <v>-167.379473366675</v>
      </c>
    </row>
    <row r="2934" spans="1:24">
      <c r="A2934" s="29">
        <f t="shared" si="3082"/>
        <v>45958.124999992891</v>
      </c>
      <c r="B2934" s="30">
        <f t="shared" si="3106"/>
        <v>5000</v>
      </c>
      <c r="C2934" s="8">
        <v>25000</v>
      </c>
      <c r="D2934" s="8">
        <v>0</v>
      </c>
      <c r="E2934" s="8">
        <v>700</v>
      </c>
      <c r="F2934" s="8">
        <v>15000</v>
      </c>
      <c r="G2934" s="30">
        <f t="shared" si="3107"/>
        <v>2400</v>
      </c>
      <c r="H2934" s="8">
        <v>25000</v>
      </c>
      <c r="I2934" s="30">
        <f t="shared" si="3108"/>
        <v>5000</v>
      </c>
      <c r="J2934" s="8">
        <v>25000</v>
      </c>
      <c r="K2934" s="30">
        <f t="shared" si="3109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VLOOKUP(VLOOKUP(DATEVALUE(TEXT(A2934,"m/d/yyyy")),FY24_Temp[],5,FALSE)&amp;TEXT(A2934,"-h"),Table6[],4,FALSE)</f>
        <v>1.2625714202857143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VLOOKUP(TEXT(A2934,"yy-mm")&amp;"-"&amp;IF(AND(WEEKDAY(A2934)&gt;1,WEEKDAY(A2934)&lt;7),"Wkd",TEXT(A2934,"Ddd"))&amp;"-"&amp;TEXT(A2934,"hh"),LoadTable[],5,FALSE)*0.92</f>
        <v>180.62544</v>
      </c>
      <c r="U2934" s="104">
        <f>VLOOKUP(TEXT(A2934,"yy-mm")&amp;"-"&amp;IF(AND(WEEKDAY(A2934)&gt;1,WEEKDAY(A2934)&lt;7),"Wkd",TEXT(A2934,"Ddd"))&amp;"-"&amp;TEXT(A2934,"hh"),LoadTable[],6,FALSE)*T2934</f>
        <v>8141.3304571199997</v>
      </c>
      <c r="V2934">
        <f t="shared" ref="V2934:W2934" si="3136">V2910</f>
        <v>2.7</v>
      </c>
      <c r="W2934">
        <f t="shared" si="3136"/>
        <v>3.2</v>
      </c>
      <c r="X2934" s="9">
        <v>-167.45726791667499</v>
      </c>
    </row>
    <row r="2935" spans="1:24">
      <c r="A2935" s="29">
        <f t="shared" si="3082"/>
        <v>45958.166666659556</v>
      </c>
      <c r="B2935" s="30">
        <f t="shared" si="3106"/>
        <v>5000</v>
      </c>
      <c r="C2935" s="8">
        <v>25000</v>
      </c>
      <c r="D2935" s="8">
        <v>0</v>
      </c>
      <c r="E2935" s="8">
        <v>700</v>
      </c>
      <c r="F2935" s="8">
        <v>15000</v>
      </c>
      <c r="G2935" s="30">
        <f t="shared" si="3107"/>
        <v>2400</v>
      </c>
      <c r="H2935" s="8">
        <v>25000</v>
      </c>
      <c r="I2935" s="30">
        <f t="shared" si="3108"/>
        <v>5000</v>
      </c>
      <c r="J2935" s="8">
        <v>25000</v>
      </c>
      <c r="K2935" s="30">
        <f t="shared" si="3109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VLOOKUP(VLOOKUP(DATEVALUE(TEXT(A2935,"m/d/yyyy")),FY24_Temp[],5,FALSE)&amp;TEXT(A2935,"-h"),Table6[],4,FALSE)</f>
        <v>1.1234285491428573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VLOOKUP(TEXT(A2935,"yy-mm")&amp;"-"&amp;IF(AND(WEEKDAY(A2935)&gt;1,WEEKDAY(A2935)&lt;7),"Wkd",TEXT(A2935,"Ddd"))&amp;"-"&amp;TEXT(A2935,"hh"),LoadTable[],5,FALSE)*0.92</f>
        <v>180.62544</v>
      </c>
      <c r="U2935" s="104">
        <f>VLOOKUP(TEXT(A2935,"yy-mm")&amp;"-"&amp;IF(AND(WEEKDAY(A2935)&gt;1,WEEKDAY(A2935)&lt;7),"Wkd",TEXT(A2935,"Ddd"))&amp;"-"&amp;TEXT(A2935,"hh"),LoadTable[],6,FALSE)*T2935</f>
        <v>8184.86118816</v>
      </c>
      <c r="V2935">
        <f t="shared" ref="V2935:W2935" si="3137">V2911</f>
        <v>3</v>
      </c>
      <c r="W2935">
        <f t="shared" si="3137"/>
        <v>3.1</v>
      </c>
      <c r="X2935" s="9">
        <v>-167.53506246667499</v>
      </c>
    </row>
    <row r="2936" spans="1:24">
      <c r="A2936" s="29">
        <f t="shared" si="3082"/>
        <v>45958.20833332622</v>
      </c>
      <c r="B2936" s="30">
        <f t="shared" si="3106"/>
        <v>5000</v>
      </c>
      <c r="C2936" s="8">
        <v>25000</v>
      </c>
      <c r="D2936" s="8">
        <v>0</v>
      </c>
      <c r="E2936" s="8">
        <v>700</v>
      </c>
      <c r="F2936" s="8">
        <v>15000</v>
      </c>
      <c r="G2936" s="30">
        <f t="shared" si="3107"/>
        <v>2400</v>
      </c>
      <c r="H2936" s="8">
        <v>25000</v>
      </c>
      <c r="I2936" s="30">
        <f t="shared" si="3108"/>
        <v>5000</v>
      </c>
      <c r="J2936" s="8">
        <v>25000</v>
      </c>
      <c r="K2936" s="30">
        <f t="shared" si="3109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VLOOKUP(VLOOKUP(DATEVALUE(TEXT(A2936,"m/d/yyyy")),FY24_Temp[],5,FALSE)&amp;TEXT(A2936,"-h"),Table6[],4,FALSE)</f>
        <v>0.98857142242857143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VLOOKUP(TEXT(A2936,"yy-mm")&amp;"-"&amp;IF(AND(WEEKDAY(A2936)&gt;1,WEEKDAY(A2936)&lt;7),"Wkd",TEXT(A2936,"Ddd"))&amp;"-"&amp;TEXT(A2936,"hh"),LoadTable[],5,FALSE)*0.92</f>
        <v>275.09195999999997</v>
      </c>
      <c r="U2936" s="104">
        <f>VLOOKUP(TEXT(A2936,"yy-mm")&amp;"-"&amp;IF(AND(WEEKDAY(A2936)&gt;1,WEEKDAY(A2936)&lt;7),"Wkd",TEXT(A2936,"Ddd"))&amp;"-"&amp;TEXT(A2936,"hh"),LoadTable[],6,FALSE)*T2936</f>
        <v>12729.880448999998</v>
      </c>
      <c r="V2936">
        <f t="shared" ref="V2936:W2936" si="3138">V2912</f>
        <v>2.9</v>
      </c>
      <c r="W2936">
        <f t="shared" si="3138"/>
        <v>3.1</v>
      </c>
      <c r="X2936" s="9">
        <v>-167.61285701667501</v>
      </c>
    </row>
    <row r="2937" spans="1:24">
      <c r="A2937" s="29">
        <f t="shared" si="3082"/>
        <v>45958.249999992884</v>
      </c>
      <c r="B2937" s="30">
        <f t="shared" si="3106"/>
        <v>8000</v>
      </c>
      <c r="C2937" s="8">
        <v>25000</v>
      </c>
      <c r="D2937" s="8">
        <v>0</v>
      </c>
      <c r="E2937" s="8">
        <v>700</v>
      </c>
      <c r="F2937" s="8">
        <v>15000</v>
      </c>
      <c r="G2937" s="30">
        <f t="shared" si="3107"/>
        <v>2400</v>
      </c>
      <c r="H2937" s="8">
        <v>25000</v>
      </c>
      <c r="I2937" s="30">
        <f t="shared" si="3108"/>
        <v>8000</v>
      </c>
      <c r="J2937" s="8">
        <v>25000</v>
      </c>
      <c r="K2937" s="30">
        <f t="shared" si="3109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VLOOKUP(VLOOKUP(DATEVALUE(TEXT(A2937,"m/d/yyyy")),FY24_Temp[],5,FALSE)&amp;TEXT(A2937,"-h"),Table6[],4,FALSE)</f>
        <v>0.86557143071428577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VLOOKUP(TEXT(A2937,"yy-mm")&amp;"-"&amp;IF(AND(WEEKDAY(A2937)&gt;1,WEEKDAY(A2937)&lt;7),"Wkd",TEXT(A2937,"Ddd"))&amp;"-"&amp;TEXT(A2937,"hh"),LoadTable[],5,FALSE)*0.92</f>
        <v>275.09195999999997</v>
      </c>
      <c r="U2937" s="104">
        <f>VLOOKUP(TEXT(A2937,"yy-mm")&amp;"-"&amp;IF(AND(WEEKDAY(A2937)&gt;1,WEEKDAY(A2937)&lt;7),"Wkd",TEXT(A2937,"Ddd"))&amp;"-"&amp;TEXT(A2937,"hh"),LoadTable[],6,FALSE)*T2937</f>
        <v>13284.465840359997</v>
      </c>
      <c r="V2937">
        <f t="shared" ref="V2937:W2937" si="3139">V2913</f>
        <v>2.5</v>
      </c>
      <c r="W2937">
        <f t="shared" si="3139"/>
        <v>3.1</v>
      </c>
      <c r="X2937" s="9">
        <v>-167.690651566675</v>
      </c>
    </row>
    <row r="2938" spans="1:24">
      <c r="A2938" s="29">
        <f t="shared" si="3082"/>
        <v>45958.291666659548</v>
      </c>
      <c r="B2938" s="30">
        <f t="shared" si="3106"/>
        <v>8000</v>
      </c>
      <c r="C2938" s="8">
        <v>25000</v>
      </c>
      <c r="D2938" s="8">
        <v>0</v>
      </c>
      <c r="E2938" s="8">
        <v>700</v>
      </c>
      <c r="F2938" s="8">
        <v>15000</v>
      </c>
      <c r="G2938" s="30">
        <f t="shared" si="3107"/>
        <v>2400</v>
      </c>
      <c r="H2938" s="8">
        <v>25000</v>
      </c>
      <c r="I2938" s="30">
        <f t="shared" si="3108"/>
        <v>8000</v>
      </c>
      <c r="J2938" s="8">
        <v>25000</v>
      </c>
      <c r="K2938" s="30">
        <f t="shared" si="3109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VLOOKUP(VLOOKUP(DATEVALUE(TEXT(A2938,"m/d/yyyy")),FY24_Temp[],5,FALSE)&amp;TEXT(A2938,"-h"),Table6[],4,FALSE)</f>
        <v>0.75871427985714279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VLOOKUP(TEXT(A2938,"yy-mm")&amp;"-"&amp;IF(AND(WEEKDAY(A2938)&gt;1,WEEKDAY(A2938)&lt;7),"Wkd",TEXT(A2938,"Ddd"))&amp;"-"&amp;TEXT(A2938,"hh"),LoadTable[],5,FALSE)*0.92</f>
        <v>236.10788000000002</v>
      </c>
      <c r="U2938" s="104">
        <f>VLOOKUP(TEXT(A2938,"yy-mm")&amp;"-"&amp;IF(AND(WEEKDAY(A2938)&gt;1,WEEKDAY(A2938)&lt;7),"Wkd",TEXT(A2938,"Ddd"))&amp;"-"&amp;TEXT(A2938,"hh"),LoadTable[],6,FALSE)*T2938</f>
        <v>11438.48235448</v>
      </c>
      <c r="V2938">
        <f t="shared" ref="V2938:W2938" si="3140">V2914</f>
        <v>2.5</v>
      </c>
      <c r="W2938">
        <f t="shared" si="3140"/>
        <v>3.1</v>
      </c>
      <c r="X2938" s="9">
        <v>-167.76844611667499</v>
      </c>
    </row>
    <row r="2939" spans="1:24">
      <c r="A2939" s="29">
        <f t="shared" si="3082"/>
        <v>45958.333333326213</v>
      </c>
      <c r="B2939" s="30">
        <f t="shared" si="3106"/>
        <v>8000</v>
      </c>
      <c r="C2939" s="8">
        <v>25000</v>
      </c>
      <c r="D2939" s="8">
        <v>0</v>
      </c>
      <c r="E2939" s="8">
        <v>700</v>
      </c>
      <c r="F2939" s="8">
        <v>15000</v>
      </c>
      <c r="G2939" s="30">
        <f t="shared" si="3107"/>
        <v>2400</v>
      </c>
      <c r="H2939" s="8">
        <v>25000</v>
      </c>
      <c r="I2939" s="30">
        <f t="shared" si="3108"/>
        <v>8000</v>
      </c>
      <c r="J2939" s="8">
        <v>25000</v>
      </c>
      <c r="K2939" s="30">
        <f t="shared" si="3109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VLOOKUP(VLOOKUP(DATEVALUE(TEXT(A2939,"m/d/yyyy")),FY24_Temp[],5,FALSE)&amp;TEXT(A2939,"-h"),Table6[],4,FALSE)</f>
        <v>0.67285714385714279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VLOOKUP(TEXT(A2939,"yy-mm")&amp;"-"&amp;IF(AND(WEEKDAY(A2939)&gt;1,WEEKDAY(A2939)&lt;7),"Wkd",TEXT(A2939,"Ddd"))&amp;"-"&amp;TEXT(A2939,"hh"),LoadTable[],5,FALSE)*0.92</f>
        <v>236.10788000000002</v>
      </c>
      <c r="U2939" s="104">
        <f>VLOOKUP(TEXT(A2939,"yy-mm")&amp;"-"&amp;IF(AND(WEEKDAY(A2939)&gt;1,WEEKDAY(A2939)&lt;7),"Wkd",TEXT(A2939,"Ddd"))&amp;"-"&amp;TEXT(A2939,"hh"),LoadTable[],6,FALSE)*T2939</f>
        <v>10919.281126360002</v>
      </c>
      <c r="V2939">
        <f t="shared" ref="V2939:W2939" si="3141">V2915</f>
        <v>3.2</v>
      </c>
      <c r="W2939">
        <f t="shared" si="3141"/>
        <v>3</v>
      </c>
      <c r="X2939" s="9">
        <v>-167.84624066667499</v>
      </c>
    </row>
    <row r="2940" spans="1:24">
      <c r="A2940" s="29">
        <f t="shared" si="3082"/>
        <v>45958.374999992877</v>
      </c>
      <c r="B2940" s="30">
        <f t="shared" si="3106"/>
        <v>8000</v>
      </c>
      <c r="C2940" s="8">
        <v>25000</v>
      </c>
      <c r="D2940" s="8">
        <v>0</v>
      </c>
      <c r="E2940" s="8">
        <v>700</v>
      </c>
      <c r="F2940" s="8">
        <v>15000</v>
      </c>
      <c r="G2940" s="30">
        <f t="shared" si="3107"/>
        <v>2400</v>
      </c>
      <c r="H2940" s="8">
        <v>25000</v>
      </c>
      <c r="I2940" s="30">
        <f t="shared" si="3108"/>
        <v>8000</v>
      </c>
      <c r="J2940" s="8">
        <v>25000</v>
      </c>
      <c r="K2940" s="30">
        <f t="shared" si="3109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VLOOKUP(VLOOKUP(DATEVALUE(TEXT(A2940,"m/d/yyyy")),FY24_Temp[],5,FALSE)&amp;TEXT(A2940,"-h"),Table6[],4,FALSE)</f>
        <v>0.60857142499999994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VLOOKUP(TEXT(A2940,"yy-mm")&amp;"-"&amp;IF(AND(WEEKDAY(A2940)&gt;1,WEEKDAY(A2940)&lt;7),"Wkd",TEXT(A2940,"Ddd"))&amp;"-"&amp;TEXT(A2940,"hh"),LoadTable[],5,FALSE)*0.92</f>
        <v>236.10788000000002</v>
      </c>
      <c r="U2940" s="104">
        <f>VLOOKUP(TEXT(A2940,"yy-mm")&amp;"-"&amp;IF(AND(WEEKDAY(A2940)&gt;1,WEEKDAY(A2940)&lt;7),"Wkd",TEXT(A2940,"Ddd"))&amp;"-"&amp;TEXT(A2940,"hh"),LoadTable[],6,FALSE)*T2940</f>
        <v>10592.271712560001</v>
      </c>
      <c r="V2940">
        <f t="shared" ref="V2940:W2940" si="3142">V2916</f>
        <v>2.9</v>
      </c>
      <c r="W2940">
        <f t="shared" si="3142"/>
        <v>3</v>
      </c>
      <c r="X2940" s="9">
        <v>-167.92403521667501</v>
      </c>
    </row>
    <row r="2941" spans="1:24">
      <c r="A2941" s="29">
        <f t="shared" si="3082"/>
        <v>45958.416666659541</v>
      </c>
      <c r="B2941" s="30">
        <f t="shared" si="3106"/>
        <v>8000</v>
      </c>
      <c r="C2941" s="8">
        <v>25000</v>
      </c>
      <c r="D2941" s="8">
        <v>0</v>
      </c>
      <c r="E2941" s="8">
        <v>700</v>
      </c>
      <c r="F2941" s="8">
        <v>15000</v>
      </c>
      <c r="G2941" s="30">
        <f t="shared" si="3107"/>
        <v>2400</v>
      </c>
      <c r="H2941" s="8">
        <v>25000</v>
      </c>
      <c r="I2941" s="30">
        <f t="shared" si="3108"/>
        <v>8000</v>
      </c>
      <c r="J2941" s="8">
        <v>25000</v>
      </c>
      <c r="K2941" s="30">
        <f t="shared" si="3109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VLOOKUP(VLOOKUP(DATEVALUE(TEXT(A2941,"m/d/yyyy")),FY24_Temp[],5,FALSE)&amp;TEXT(A2941,"-h"),Table6[],4,FALSE)</f>
        <v>0.55842857057142858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VLOOKUP(TEXT(A2941,"yy-mm")&amp;"-"&amp;IF(AND(WEEKDAY(A2941)&gt;1,WEEKDAY(A2941)&lt;7),"Wkd",TEXT(A2941,"Ddd"))&amp;"-"&amp;TEXT(A2941,"hh"),LoadTable[],5,FALSE)*0.92</f>
        <v>236.10788000000002</v>
      </c>
      <c r="U2941" s="104">
        <f>VLOOKUP(TEXT(A2941,"yy-mm")&amp;"-"&amp;IF(AND(WEEKDAY(A2941)&gt;1,WEEKDAY(A2941)&lt;7),"Wkd",TEXT(A2941,"Ddd"))&amp;"-"&amp;TEXT(A2941,"hh"),LoadTable[],6,FALSE)*T2941</f>
        <v>10565.591522120001</v>
      </c>
      <c r="V2941">
        <f t="shared" ref="V2941:W2941" si="3143">V2917</f>
        <v>2.9</v>
      </c>
      <c r="W2941">
        <f t="shared" si="3143"/>
        <v>3</v>
      </c>
      <c r="X2941" s="9">
        <v>-168.001829766675</v>
      </c>
    </row>
    <row r="2942" spans="1:24">
      <c r="A2942" s="29">
        <f t="shared" si="3082"/>
        <v>45958.458333326205</v>
      </c>
      <c r="B2942" s="30">
        <f t="shared" si="3106"/>
        <v>8000</v>
      </c>
      <c r="C2942" s="8">
        <v>25000</v>
      </c>
      <c r="D2942" s="8">
        <v>0</v>
      </c>
      <c r="E2942" s="8">
        <v>700</v>
      </c>
      <c r="F2942" s="8">
        <v>15000</v>
      </c>
      <c r="G2942" s="30">
        <f t="shared" si="3107"/>
        <v>2400</v>
      </c>
      <c r="H2942" s="8">
        <v>25000</v>
      </c>
      <c r="I2942" s="30">
        <f t="shared" si="3108"/>
        <v>8000</v>
      </c>
      <c r="J2942" s="8">
        <v>25000</v>
      </c>
      <c r="K2942" s="30">
        <f t="shared" si="3109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VLOOKUP(VLOOKUP(DATEVALUE(TEXT(A2942,"m/d/yyyy")),FY24_Temp[],5,FALSE)&amp;TEXT(A2942,"-h"),Table6[],4,FALSE)</f>
        <v>0.51114285628571432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VLOOKUP(TEXT(A2942,"yy-mm")&amp;"-"&amp;IF(AND(WEEKDAY(A2942)&gt;1,WEEKDAY(A2942)&lt;7),"Wkd",TEXT(A2942,"Ddd"))&amp;"-"&amp;TEXT(A2942,"hh"),LoadTable[],5,FALSE)*0.92</f>
        <v>236.10788000000002</v>
      </c>
      <c r="U2942" s="104">
        <f>VLOOKUP(TEXT(A2942,"yy-mm")&amp;"-"&amp;IF(AND(WEEKDAY(A2942)&gt;1,WEEKDAY(A2942)&lt;7),"Wkd",TEXT(A2942,"Ddd"))&amp;"-"&amp;TEXT(A2942,"hh"),LoadTable[],6,FALSE)*T2942</f>
        <v>10548.355646880002</v>
      </c>
      <c r="V2942">
        <f t="shared" ref="V2942:W2942" si="3144">V2918</f>
        <v>3.4</v>
      </c>
      <c r="W2942">
        <f t="shared" si="3144"/>
        <v>3</v>
      </c>
      <c r="X2942" s="9">
        <v>-168.07962431667499</v>
      </c>
    </row>
    <row r="2943" spans="1:24">
      <c r="A2943" s="29">
        <f t="shared" si="3082"/>
        <v>45958.49999999287</v>
      </c>
      <c r="B2943" s="30">
        <f t="shared" si="3106"/>
        <v>8000</v>
      </c>
      <c r="C2943" s="8">
        <v>25000</v>
      </c>
      <c r="D2943" s="8">
        <v>0</v>
      </c>
      <c r="E2943" s="8">
        <v>700</v>
      </c>
      <c r="F2943" s="8">
        <v>15000</v>
      </c>
      <c r="G2943" s="30">
        <f t="shared" si="3107"/>
        <v>2400</v>
      </c>
      <c r="H2943" s="8">
        <v>25000</v>
      </c>
      <c r="I2943" s="30">
        <f t="shared" si="3108"/>
        <v>8000</v>
      </c>
      <c r="J2943" s="8">
        <v>25000</v>
      </c>
      <c r="K2943" s="30">
        <f t="shared" si="3109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VLOOKUP(VLOOKUP(DATEVALUE(TEXT(A2943,"m/d/yyyy")),FY24_Temp[],5,FALSE)&amp;TEXT(A2943,"-h"),Table6[],4,FALSE)</f>
        <v>0.46342857814285715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VLOOKUP(TEXT(A2943,"yy-mm")&amp;"-"&amp;IF(AND(WEEKDAY(A2943)&gt;1,WEEKDAY(A2943)&lt;7),"Wkd",TEXT(A2943,"Ddd"))&amp;"-"&amp;TEXT(A2943,"hh"),LoadTable[],5,FALSE)*0.92</f>
        <v>236.10788000000002</v>
      </c>
      <c r="U2943" s="104">
        <f>VLOOKUP(TEXT(A2943,"yy-mm")&amp;"-"&amp;IF(AND(WEEKDAY(A2943)&gt;1,WEEKDAY(A2943)&lt;7),"Wkd",TEXT(A2943,"Ddd"))&amp;"-"&amp;TEXT(A2943,"hh"),LoadTable[],6,FALSE)*T2943</f>
        <v>10540.327978960002</v>
      </c>
      <c r="V2943">
        <f t="shared" ref="V2943:W2943" si="3145">V2919</f>
        <v>3.1</v>
      </c>
      <c r="W2943">
        <f t="shared" si="3145"/>
        <v>2.9</v>
      </c>
      <c r="X2943" s="9">
        <v>-168.15741886667499</v>
      </c>
    </row>
    <row r="2944" spans="1:24">
      <c r="A2944" s="29">
        <f t="shared" si="3082"/>
        <v>45958.541666659534</v>
      </c>
      <c r="B2944" s="30">
        <f t="shared" si="3106"/>
        <v>8000</v>
      </c>
      <c r="C2944" s="8">
        <v>25000</v>
      </c>
      <c r="D2944" s="8">
        <v>0</v>
      </c>
      <c r="E2944" s="8">
        <v>700</v>
      </c>
      <c r="F2944" s="8">
        <v>15000</v>
      </c>
      <c r="G2944" s="30">
        <f t="shared" si="3107"/>
        <v>2400</v>
      </c>
      <c r="H2944" s="8">
        <v>25000</v>
      </c>
      <c r="I2944" s="30">
        <f t="shared" si="3108"/>
        <v>8000</v>
      </c>
      <c r="J2944" s="8">
        <v>25000</v>
      </c>
      <c r="K2944" s="30">
        <f t="shared" si="3109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VLOOKUP(VLOOKUP(DATEVALUE(TEXT(A2944,"m/d/yyyy")),FY24_Temp[],5,FALSE)&amp;TEXT(A2944,"-h"),Table6[],4,FALSE)</f>
        <v>0.4270000052857143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VLOOKUP(TEXT(A2944,"yy-mm")&amp;"-"&amp;IF(AND(WEEKDAY(A2944)&gt;1,WEEKDAY(A2944)&lt;7),"Wkd",TEXT(A2944,"Ddd"))&amp;"-"&amp;TEXT(A2944,"hh"),LoadTable[],5,FALSE)*0.92</f>
        <v>236.10788000000002</v>
      </c>
      <c r="U2944" s="104">
        <f>VLOOKUP(TEXT(A2944,"yy-mm")&amp;"-"&amp;IF(AND(WEEKDAY(A2944)&gt;1,WEEKDAY(A2944)&lt;7),"Wkd",TEXT(A2944,"Ddd"))&amp;"-"&amp;TEXT(A2944,"hh"),LoadTable[],6,FALSE)*T2944</f>
        <v>10541.50851836</v>
      </c>
      <c r="V2944">
        <f t="shared" ref="V2944:W2944" si="3146">V2920</f>
        <v>3.2</v>
      </c>
      <c r="W2944">
        <f t="shared" si="3146"/>
        <v>2.9</v>
      </c>
      <c r="X2944" s="9">
        <v>-168.23521341667501</v>
      </c>
    </row>
    <row r="2945" spans="1:24">
      <c r="A2945" s="29">
        <f t="shared" si="3082"/>
        <v>45958.583333326198</v>
      </c>
      <c r="B2945" s="30">
        <f t="shared" si="3106"/>
        <v>8000</v>
      </c>
      <c r="C2945" s="8">
        <v>25000</v>
      </c>
      <c r="D2945" s="8">
        <v>0</v>
      </c>
      <c r="E2945" s="8">
        <v>700</v>
      </c>
      <c r="F2945" s="8">
        <v>15000</v>
      </c>
      <c r="G2945" s="30">
        <f t="shared" si="3107"/>
        <v>2400</v>
      </c>
      <c r="H2945" s="8">
        <v>25000</v>
      </c>
      <c r="I2945" s="30">
        <f t="shared" si="3108"/>
        <v>8000</v>
      </c>
      <c r="J2945" s="8">
        <v>25000</v>
      </c>
      <c r="K2945" s="30">
        <f t="shared" si="3109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VLOOKUP(VLOOKUP(DATEVALUE(TEXT(A2945,"m/d/yyyy")),FY24_Temp[],5,FALSE)&amp;TEXT(A2945,"-h"),Table6[],4,FALSE)</f>
        <v>0.45342856214285715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VLOOKUP(TEXT(A2945,"yy-mm")&amp;"-"&amp;IF(AND(WEEKDAY(A2945)&gt;1,WEEKDAY(A2945)&lt;7),"Wkd",TEXT(A2945,"Ddd"))&amp;"-"&amp;TEXT(A2945,"hh"),LoadTable[],5,FALSE)*0.92</f>
        <v>236.10788000000002</v>
      </c>
      <c r="U2945" s="104">
        <f>VLOOKUP(TEXT(A2945,"yy-mm")&amp;"-"&amp;IF(AND(WEEKDAY(A2945)&gt;1,WEEKDAY(A2945)&lt;7),"Wkd",TEXT(A2945,"Ddd"))&amp;"-"&amp;TEXT(A2945,"hh"),LoadTable[],6,FALSE)*T2945</f>
        <v>10551.188941440001</v>
      </c>
      <c r="V2945">
        <f t="shared" ref="V2945:W2945" si="3147">V2921</f>
        <v>3.5</v>
      </c>
      <c r="W2945">
        <f t="shared" si="3147"/>
        <v>2.9</v>
      </c>
      <c r="X2945" s="9">
        <v>-168.313007966675</v>
      </c>
    </row>
    <row r="2946" spans="1:24">
      <c r="A2946" s="29">
        <f t="shared" si="3082"/>
        <v>45958.624999992862</v>
      </c>
      <c r="B2946" s="30">
        <f t="shared" si="3106"/>
        <v>8000</v>
      </c>
      <c r="C2946" s="8">
        <v>25000</v>
      </c>
      <c r="D2946" s="8">
        <v>0</v>
      </c>
      <c r="E2946" s="8">
        <v>700</v>
      </c>
      <c r="F2946" s="8">
        <v>15000</v>
      </c>
      <c r="G2946" s="30">
        <f t="shared" si="3107"/>
        <v>2400</v>
      </c>
      <c r="H2946" s="8">
        <v>25000</v>
      </c>
      <c r="I2946" s="30">
        <f t="shared" si="3108"/>
        <v>8000</v>
      </c>
      <c r="J2946" s="8">
        <v>25000</v>
      </c>
      <c r="K2946" s="30">
        <f t="shared" si="3109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VLOOKUP(VLOOKUP(DATEVALUE(TEXT(A2946,"m/d/yyyy")),FY24_Temp[],5,FALSE)&amp;TEXT(A2946,"-h"),Table6[],4,FALSE)</f>
        <v>0.57742857442857143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VLOOKUP(TEXT(A2946,"yy-mm")&amp;"-"&amp;IF(AND(WEEKDAY(A2946)&gt;1,WEEKDAY(A2946)&lt;7),"Wkd",TEXT(A2946,"Ddd"))&amp;"-"&amp;TEXT(A2946,"hh"),LoadTable[],5,FALSE)*0.92</f>
        <v>236.10788000000002</v>
      </c>
      <c r="U2946" s="104">
        <f>VLOOKUP(TEXT(A2946,"yy-mm")&amp;"-"&amp;IF(AND(WEEKDAY(A2946)&gt;1,WEEKDAY(A2946)&lt;7),"Wkd",TEXT(A2946,"Ddd"))&amp;"-"&amp;TEXT(A2946,"hh"),LoadTable[],6,FALSE)*T2946</f>
        <v>10572.202542760002</v>
      </c>
      <c r="V2946">
        <f t="shared" ref="V2946:W2946" si="3148">V2922</f>
        <v>3.2</v>
      </c>
      <c r="W2946">
        <f t="shared" si="3148"/>
        <v>2.9</v>
      </c>
      <c r="X2946" s="9">
        <v>-168.390802516675</v>
      </c>
    </row>
    <row r="2947" spans="1:24">
      <c r="A2947" s="29">
        <f t="shared" si="3082"/>
        <v>45958.666666659527</v>
      </c>
      <c r="B2947" s="30">
        <f t="shared" si="3106"/>
        <v>8000</v>
      </c>
      <c r="C2947" s="8">
        <v>25000</v>
      </c>
      <c r="D2947" s="8">
        <v>0</v>
      </c>
      <c r="E2947" s="8">
        <v>700</v>
      </c>
      <c r="F2947" s="8">
        <v>15000</v>
      </c>
      <c r="G2947" s="30">
        <f t="shared" si="3107"/>
        <v>2400</v>
      </c>
      <c r="H2947" s="8">
        <v>25000</v>
      </c>
      <c r="I2947" s="30">
        <f t="shared" si="3108"/>
        <v>8000</v>
      </c>
      <c r="J2947" s="8">
        <v>25000</v>
      </c>
      <c r="K2947" s="30">
        <f t="shared" si="3109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VLOOKUP(VLOOKUP(DATEVALUE(TEXT(A2947,"m/d/yyyy")),FY24_Temp[],5,FALSE)&amp;TEXT(A2947,"-h"),Table6[],4,FALSE)</f>
        <v>0.73742856928571421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VLOOKUP(TEXT(A2947,"yy-mm")&amp;"-"&amp;IF(AND(WEEKDAY(A2947)&gt;1,WEEKDAY(A2947)&lt;7),"Wkd",TEXT(A2947,"Ddd"))&amp;"-"&amp;TEXT(A2947,"hh"),LoadTable[],5,FALSE)*0.92</f>
        <v>236.10788000000002</v>
      </c>
      <c r="U2947" s="104">
        <f>VLOOKUP(TEXT(A2947,"yy-mm")&amp;"-"&amp;IF(AND(WEEKDAY(A2947)&gt;1,WEEKDAY(A2947)&lt;7),"Wkd",TEXT(A2947,"Ddd"))&amp;"-"&amp;TEXT(A2947,"hh"),LoadTable[],6,FALSE)*T2947</f>
        <v>10648.93760376</v>
      </c>
      <c r="V2947">
        <f t="shared" ref="V2947:W2947" si="3149">V2923</f>
        <v>3.5</v>
      </c>
      <c r="W2947">
        <f t="shared" si="3149"/>
        <v>3</v>
      </c>
      <c r="X2947" s="9">
        <v>-168.46859706667499</v>
      </c>
    </row>
    <row r="2948" spans="1:24">
      <c r="A2948" s="29">
        <f t="shared" si="3082"/>
        <v>45958.708333326191</v>
      </c>
      <c r="B2948" s="30">
        <f t="shared" si="3106"/>
        <v>8000</v>
      </c>
      <c r="C2948" s="8">
        <v>25000</v>
      </c>
      <c r="D2948" s="8">
        <v>0</v>
      </c>
      <c r="E2948" s="8">
        <v>700</v>
      </c>
      <c r="F2948" s="8">
        <v>15000</v>
      </c>
      <c r="G2948" s="30">
        <f t="shared" si="3107"/>
        <v>2400</v>
      </c>
      <c r="H2948" s="8">
        <v>25000</v>
      </c>
      <c r="I2948" s="30">
        <f t="shared" si="3108"/>
        <v>8000</v>
      </c>
      <c r="J2948" s="8">
        <v>25000</v>
      </c>
      <c r="K2948" s="30">
        <f t="shared" si="3109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VLOOKUP(VLOOKUP(DATEVALUE(TEXT(A2948,"m/d/yyyy")),FY24_Temp[],5,FALSE)&amp;TEXT(A2948,"-h"),Table6[],4,FALSE)</f>
        <v>0.91628573200000007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VLOOKUP(TEXT(A2948,"yy-mm")&amp;"-"&amp;IF(AND(WEEKDAY(A2948)&gt;1,WEEKDAY(A2948)&lt;7),"Wkd",TEXT(A2948,"Ddd"))&amp;"-"&amp;TEXT(A2948,"hh"),LoadTable[],5,FALSE)*0.92</f>
        <v>236.10788000000002</v>
      </c>
      <c r="U2948" s="104">
        <f>VLOOKUP(TEXT(A2948,"yy-mm")&amp;"-"&amp;IF(AND(WEEKDAY(A2948)&gt;1,WEEKDAY(A2948)&lt;7),"Wkd",TEXT(A2948,"Ddd"))&amp;"-"&amp;TEXT(A2948,"hh"),LoadTable[],6,FALSE)*T2948</f>
        <v>11157.513977280001</v>
      </c>
      <c r="V2948">
        <f t="shared" ref="V2948:W2948" si="3150">V2924</f>
        <v>3.6</v>
      </c>
      <c r="W2948">
        <f t="shared" si="3150"/>
        <v>3</v>
      </c>
      <c r="X2948" s="9">
        <v>-168.54639161667501</v>
      </c>
    </row>
    <row r="2949" spans="1:24">
      <c r="A2949" s="29">
        <f t="shared" ref="A2949:A2954" si="3151">A2948+TIME(1,0,0)</f>
        <v>45958.749999992855</v>
      </c>
      <c r="B2949" s="30">
        <f t="shared" si="3106"/>
        <v>5000</v>
      </c>
      <c r="C2949" s="8">
        <v>25000</v>
      </c>
      <c r="D2949" s="8">
        <v>0</v>
      </c>
      <c r="E2949" s="8">
        <v>700</v>
      </c>
      <c r="F2949" s="8">
        <v>15000</v>
      </c>
      <c r="G2949" s="30">
        <f t="shared" si="3107"/>
        <v>2400</v>
      </c>
      <c r="H2949" s="8">
        <v>25000</v>
      </c>
      <c r="I2949" s="30">
        <f t="shared" si="3108"/>
        <v>5000</v>
      </c>
      <c r="J2949" s="8">
        <v>25000</v>
      </c>
      <c r="K2949" s="30">
        <f t="shared" si="3109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VLOOKUP(VLOOKUP(DATEVALUE(TEXT(A2949,"m/d/yyyy")),FY24_Temp[],5,FALSE)&amp;TEXT(A2949,"-h"),Table6[],4,FALSE)</f>
        <v>1.086285723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VLOOKUP(TEXT(A2949,"yy-mm")&amp;"-"&amp;IF(AND(WEEKDAY(A2949)&gt;1,WEEKDAY(A2949)&lt;7),"Wkd",TEXT(A2949,"Ddd"))&amp;"-"&amp;TEXT(A2949,"hh"),LoadTable[],5,FALSE)*0.92</f>
        <v>308.12363999999997</v>
      </c>
      <c r="U2949" s="104">
        <f>VLOOKUP(TEXT(A2949,"yy-mm")&amp;"-"&amp;IF(AND(WEEKDAY(A2949)&gt;1,WEEKDAY(A2949)&lt;7),"Wkd",TEXT(A2949,"Ddd"))&amp;"-"&amp;TEXT(A2949,"hh"),LoadTable[],6,FALSE)*T2949</f>
        <v>15139.963175039999</v>
      </c>
      <c r="V2949">
        <f t="shared" ref="V2949:W2949" si="3152">V2925</f>
        <v>2.9</v>
      </c>
      <c r="W2949">
        <f t="shared" si="3152"/>
        <v>3</v>
      </c>
      <c r="X2949" s="9">
        <v>-168.624186166675</v>
      </c>
    </row>
    <row r="2950" spans="1:24">
      <c r="A2950" s="29">
        <f t="shared" si="3151"/>
        <v>45958.791666659519</v>
      </c>
      <c r="B2950" s="30">
        <f t="shared" si="3106"/>
        <v>5000</v>
      </c>
      <c r="C2950" s="8">
        <v>25000</v>
      </c>
      <c r="D2950" s="8">
        <v>0</v>
      </c>
      <c r="E2950" s="8">
        <v>700</v>
      </c>
      <c r="F2950" s="8">
        <v>15000</v>
      </c>
      <c r="G2950" s="30">
        <f t="shared" si="3107"/>
        <v>2400</v>
      </c>
      <c r="H2950" s="8">
        <v>25000</v>
      </c>
      <c r="I2950" s="30">
        <f t="shared" si="3108"/>
        <v>5000</v>
      </c>
      <c r="J2950" s="8">
        <v>25000</v>
      </c>
      <c r="K2950" s="30">
        <f t="shared" si="3109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VLOOKUP(VLOOKUP(DATEVALUE(TEXT(A2950,"m/d/yyyy")),FY24_Temp[],5,FALSE)&amp;TEXT(A2950,"-h"),Table6[],4,FALSE)</f>
        <v>1.1839999898571427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VLOOKUP(TEXT(A2950,"yy-mm")&amp;"-"&amp;IF(AND(WEEKDAY(A2950)&gt;1,WEEKDAY(A2950)&lt;7),"Wkd",TEXT(A2950,"Ddd"))&amp;"-"&amp;TEXT(A2950,"hh"),LoadTable[],5,FALSE)*0.92</f>
        <v>308.12363999999997</v>
      </c>
      <c r="U2950" s="104">
        <f>VLOOKUP(TEXT(A2950,"yy-mm")&amp;"-"&amp;IF(AND(WEEKDAY(A2950)&gt;1,WEEKDAY(A2950)&lt;7),"Wkd",TEXT(A2950,"Ddd"))&amp;"-"&amp;TEXT(A2950,"hh"),LoadTable[],6,FALSE)*T2950</f>
        <v>15247.806449039997</v>
      </c>
      <c r="V2950">
        <f t="shared" ref="V2950:W2950" si="3153">V2926</f>
        <v>3</v>
      </c>
      <c r="W2950">
        <f t="shared" si="3153"/>
        <v>3</v>
      </c>
      <c r="X2950" s="9">
        <v>-168.701980716675</v>
      </c>
    </row>
    <row r="2951" spans="1:24">
      <c r="A2951" s="29">
        <f t="shared" si="3151"/>
        <v>45958.833333326183</v>
      </c>
      <c r="B2951" s="30">
        <f t="shared" si="3106"/>
        <v>5000</v>
      </c>
      <c r="C2951" s="8">
        <v>25000</v>
      </c>
      <c r="D2951" s="8">
        <v>0</v>
      </c>
      <c r="E2951" s="8">
        <v>700</v>
      </c>
      <c r="F2951" s="8">
        <v>15000</v>
      </c>
      <c r="G2951" s="30">
        <f t="shared" si="3107"/>
        <v>2400</v>
      </c>
      <c r="H2951" s="8">
        <v>25000</v>
      </c>
      <c r="I2951" s="30">
        <f t="shared" si="3108"/>
        <v>5000</v>
      </c>
      <c r="J2951" s="8">
        <v>25000</v>
      </c>
      <c r="K2951" s="30">
        <f t="shared" si="3109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VLOOKUP(VLOOKUP(DATEVALUE(TEXT(A2951,"m/d/yyyy")),FY24_Temp[],5,FALSE)&amp;TEXT(A2951,"-h"),Table6[],4,FALSE)</f>
        <v>1.2420000010000003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VLOOKUP(TEXT(A2951,"yy-mm")&amp;"-"&amp;IF(AND(WEEKDAY(A2951)&gt;1,WEEKDAY(A2951)&lt;7),"Wkd",TEXT(A2951,"Ddd"))&amp;"-"&amp;TEXT(A2951,"hh"),LoadTable[],5,FALSE)*0.92</f>
        <v>308.12363999999997</v>
      </c>
      <c r="U2951" s="104">
        <f>VLOOKUP(TEXT(A2951,"yy-mm")&amp;"-"&amp;IF(AND(WEEKDAY(A2951)&gt;1,WEEKDAY(A2951)&lt;7),"Wkd",TEXT(A2951,"Ddd"))&amp;"-"&amp;TEXT(A2951,"hh"),LoadTable[],6,FALSE)*T2951</f>
        <v>15157.218098879999</v>
      </c>
      <c r="V2951">
        <f t="shared" ref="V2951:W2951" si="3154">V2927</f>
        <v>2.8</v>
      </c>
      <c r="W2951">
        <f t="shared" si="3154"/>
        <v>3.1</v>
      </c>
      <c r="X2951" s="9">
        <v>-168.77977526667499</v>
      </c>
    </row>
    <row r="2952" spans="1:24">
      <c r="A2952" s="29">
        <f t="shared" si="3151"/>
        <v>45958.874999992848</v>
      </c>
      <c r="B2952" s="30">
        <f t="shared" si="3106"/>
        <v>5000</v>
      </c>
      <c r="C2952" s="8">
        <v>25000</v>
      </c>
      <c r="D2952" s="8">
        <v>0</v>
      </c>
      <c r="E2952" s="8">
        <v>700</v>
      </c>
      <c r="F2952" s="8">
        <v>15000</v>
      </c>
      <c r="G2952" s="30">
        <f t="shared" si="3107"/>
        <v>2400</v>
      </c>
      <c r="H2952" s="8">
        <v>25000</v>
      </c>
      <c r="I2952" s="30">
        <f t="shared" si="3108"/>
        <v>5000</v>
      </c>
      <c r="J2952" s="8">
        <v>25000</v>
      </c>
      <c r="K2952" s="30">
        <f t="shared" si="3109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VLOOKUP(VLOOKUP(DATEVALUE(TEXT(A2952,"m/d/yyyy")),FY24_Temp[],5,FALSE)&amp;TEXT(A2952,"-h"),Table6[],4,FALSE)</f>
        <v>1.2934285488571429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VLOOKUP(TEXT(A2952,"yy-mm")&amp;"-"&amp;IF(AND(WEEKDAY(A2952)&gt;1,WEEKDAY(A2952)&lt;7),"Wkd",TEXT(A2952,"Ddd"))&amp;"-"&amp;TEXT(A2952,"hh"),LoadTable[],5,FALSE)*0.92</f>
        <v>234.33964000000003</v>
      </c>
      <c r="U2952" s="104">
        <f>VLOOKUP(TEXT(A2952,"yy-mm")&amp;"-"&amp;IF(AND(WEEKDAY(A2952)&gt;1,WEEKDAY(A2952)&lt;7),"Wkd",TEXT(A2952,"Ddd"))&amp;"-"&amp;TEXT(A2952,"hh"),LoadTable[],6,FALSE)*T2952</f>
        <v>11344.147632760001</v>
      </c>
      <c r="V2952">
        <f t="shared" ref="V2952:W2952" si="3155">V2928</f>
        <v>3.5</v>
      </c>
      <c r="W2952">
        <f t="shared" si="3155"/>
        <v>3.1</v>
      </c>
      <c r="X2952" s="9">
        <v>-168.85756981667501</v>
      </c>
    </row>
    <row r="2953" spans="1:24">
      <c r="A2953" s="29">
        <f t="shared" si="3151"/>
        <v>45958.916666659512</v>
      </c>
      <c r="B2953" s="30">
        <f t="shared" si="3106"/>
        <v>5000</v>
      </c>
      <c r="C2953" s="8">
        <v>25000</v>
      </c>
      <c r="D2953" s="8">
        <v>0</v>
      </c>
      <c r="E2953" s="8">
        <v>700</v>
      </c>
      <c r="F2953" s="8">
        <v>15000</v>
      </c>
      <c r="G2953" s="30">
        <f t="shared" si="3107"/>
        <v>2400</v>
      </c>
      <c r="H2953" s="8">
        <v>25000</v>
      </c>
      <c r="I2953" s="30">
        <f t="shared" si="3108"/>
        <v>5000</v>
      </c>
      <c r="J2953" s="8">
        <v>25000</v>
      </c>
      <c r="K2953" s="30">
        <f t="shared" si="3109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VLOOKUP(VLOOKUP(DATEVALUE(TEXT(A2953,"m/d/yyyy")),FY24_Temp[],5,FALSE)&amp;TEXT(A2953,"-h"),Table6[],4,FALSE)</f>
        <v>1.3798571400000001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VLOOKUP(TEXT(A2953,"yy-mm")&amp;"-"&amp;IF(AND(WEEKDAY(A2953)&gt;1,WEEKDAY(A2953)&lt;7),"Wkd",TEXT(A2953,"Ddd"))&amp;"-"&amp;TEXT(A2953,"hh"),LoadTable[],5,FALSE)*0.92</f>
        <v>180.62544</v>
      </c>
      <c r="U2953" s="104">
        <f>VLOOKUP(TEXT(A2953,"yy-mm")&amp;"-"&amp;IF(AND(WEEKDAY(A2953)&gt;1,WEEKDAY(A2953)&lt;7),"Wkd",TEXT(A2953,"Ddd"))&amp;"-"&amp;TEXT(A2953,"hh"),LoadTable[],6,FALSE)*T2953</f>
        <v>8304.2546039999997</v>
      </c>
      <c r="V2953">
        <f t="shared" ref="V2953:W2953" si="3156">V2929</f>
        <v>2.9</v>
      </c>
      <c r="W2953">
        <f t="shared" si="3156"/>
        <v>3.1</v>
      </c>
      <c r="X2953" s="9">
        <v>-168.935364366675</v>
      </c>
    </row>
    <row r="2954" spans="1:24">
      <c r="A2954" s="29">
        <f t="shared" si="3151"/>
        <v>45958.958333326176</v>
      </c>
      <c r="B2954" s="30">
        <f t="shared" si="3106"/>
        <v>5000</v>
      </c>
      <c r="C2954" s="8">
        <v>25000</v>
      </c>
      <c r="D2954" s="8">
        <v>0</v>
      </c>
      <c r="E2954" s="8">
        <v>700</v>
      </c>
      <c r="F2954" s="8">
        <v>15000</v>
      </c>
      <c r="G2954" s="30">
        <f t="shared" si="3107"/>
        <v>2400</v>
      </c>
      <c r="H2954" s="8">
        <v>25000</v>
      </c>
      <c r="I2954" s="30">
        <f t="shared" si="3108"/>
        <v>5000</v>
      </c>
      <c r="J2954" s="8">
        <v>25000</v>
      </c>
      <c r="K2954" s="30">
        <f t="shared" si="3109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VLOOKUP(VLOOKUP(DATEVALUE(TEXT(A2954,"m/d/yyyy")),FY24_Temp[],5,FALSE)&amp;TEXT(A2954,"-h"),Table6[],4,FALSE)</f>
        <v>1.509714279857143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VLOOKUP(TEXT(A2954,"yy-mm")&amp;"-"&amp;IF(AND(WEEKDAY(A2954)&gt;1,WEEKDAY(A2954)&lt;7),"Wkd",TEXT(A2954,"Ddd"))&amp;"-"&amp;TEXT(A2954,"hh"),LoadTable[],5,FALSE)*0.92</f>
        <v>180.62544</v>
      </c>
      <c r="U2954" s="104">
        <f>VLOOKUP(TEXT(A2954,"yy-mm")&amp;"-"&amp;IF(AND(WEEKDAY(A2954)&gt;1,WEEKDAY(A2954)&lt;7),"Wkd",TEXT(A2954,"Ddd"))&amp;"-"&amp;TEXT(A2954,"hh"),LoadTable[],6,FALSE)*T2954</f>
        <v>8217.1931419200009</v>
      </c>
      <c r="V2954">
        <f t="shared" ref="V2954:W2954" si="3157">V2930</f>
        <v>3.6</v>
      </c>
      <c r="W2954">
        <f t="shared" si="3157"/>
        <v>3.1</v>
      </c>
      <c r="X2954" s="9">
        <v>-169.013158916675</v>
      </c>
    </row>
    <row r="2955" spans="1:24">
      <c r="A2955" s="29"/>
      <c r="B2955" s="30"/>
      <c r="C2955" s="8"/>
      <c r="D2955" s="8"/>
      <c r="E2955" s="8"/>
      <c r="F2955" s="8"/>
      <c r="G2955" s="30"/>
      <c r="H2955" s="8"/>
      <c r="I2955" s="30"/>
      <c r="J2955" s="8"/>
      <c r="K2955" s="30"/>
      <c r="L2955" s="8"/>
      <c r="M2955" s="9"/>
      <c r="N2955" s="9"/>
      <c r="O2955" s="9"/>
      <c r="P2955" s="9"/>
      <c r="Q2955" s="79"/>
      <c r="T2955" s="5"/>
      <c r="U2955" s="104"/>
      <c r="X2955" s="9"/>
    </row>
    <row r="2956" spans="1:24">
      <c r="A2956" s="29"/>
      <c r="B2956" s="30"/>
      <c r="C2956" s="8"/>
      <c r="D2956" s="8"/>
      <c r="E2956" s="8"/>
      <c r="F2956" s="8"/>
      <c r="G2956" s="30"/>
      <c r="H2956" s="8"/>
      <c r="I2956" s="30"/>
      <c r="J2956" s="8"/>
      <c r="K2956" s="30"/>
      <c r="L2956" s="8"/>
      <c r="M2956" s="9"/>
      <c r="N2956" s="9"/>
      <c r="O2956" s="9"/>
      <c r="P2956" s="9"/>
      <c r="Q2956" s="79"/>
      <c r="T2956" s="5"/>
      <c r="U2956" s="104"/>
      <c r="X2956" s="9"/>
    </row>
    <row r="2957" spans="1:24">
      <c r="A2957" s="29"/>
      <c r="B2957" s="30"/>
      <c r="C2957" s="8"/>
      <c r="D2957" s="8"/>
      <c r="E2957" s="8"/>
      <c r="F2957" s="8"/>
      <c r="G2957" s="30"/>
      <c r="H2957" s="8"/>
      <c r="I2957" s="30"/>
      <c r="J2957" s="8"/>
      <c r="K2957" s="30"/>
      <c r="L2957" s="8"/>
      <c r="M2957" s="9"/>
      <c r="N2957" s="9"/>
      <c r="O2957" s="9"/>
      <c r="P2957" s="9"/>
      <c r="Q2957" s="79"/>
      <c r="T2957" s="5"/>
      <c r="U2957" s="104"/>
      <c r="X2957" s="9"/>
    </row>
    <row r="2958" spans="1:24">
      <c r="A2958" s="29"/>
      <c r="B2958" s="30"/>
      <c r="C2958" s="8"/>
      <c r="D2958" s="8"/>
      <c r="E2958" s="8"/>
      <c r="F2958" s="8"/>
      <c r="G2958" s="30"/>
      <c r="H2958" s="8"/>
      <c r="I2958" s="30"/>
      <c r="J2958" s="8"/>
      <c r="K2958" s="30"/>
      <c r="L2958" s="8"/>
      <c r="M2958" s="9"/>
      <c r="N2958" s="9"/>
      <c r="O2958" s="9"/>
      <c r="P2958" s="9"/>
      <c r="Q2958" s="79"/>
      <c r="T2958" s="5"/>
      <c r="U2958" s="104"/>
      <c r="X2958" s="9"/>
    </row>
    <row r="2959" spans="1:24">
      <c r="A2959" s="29"/>
      <c r="B2959" s="30"/>
      <c r="C2959" s="8"/>
      <c r="D2959" s="8"/>
      <c r="E2959" s="8"/>
      <c r="F2959" s="8"/>
      <c r="G2959" s="30"/>
      <c r="H2959" s="8"/>
      <c r="I2959" s="30"/>
      <c r="J2959" s="8"/>
      <c r="K2959" s="30"/>
      <c r="L2959" s="8"/>
      <c r="M2959" s="9"/>
      <c r="N2959" s="9"/>
      <c r="O2959" s="9"/>
      <c r="P2959" s="9"/>
      <c r="Q2959" s="79"/>
      <c r="T2959" s="5"/>
      <c r="U2959" s="104"/>
      <c r="X2959" s="9"/>
    </row>
    <row r="2960" spans="1:24">
      <c r="A2960" s="29"/>
      <c r="B2960" s="30"/>
      <c r="C2960" s="8"/>
      <c r="D2960" s="8"/>
      <c r="E2960" s="8"/>
      <c r="F2960" s="8"/>
      <c r="G2960" s="30"/>
      <c r="H2960" s="8"/>
      <c r="I2960" s="30"/>
      <c r="J2960" s="8"/>
      <c r="K2960" s="30"/>
      <c r="L2960" s="8"/>
      <c r="M2960" s="9"/>
      <c r="N2960" s="9"/>
      <c r="O2960" s="9"/>
      <c r="P2960" s="9"/>
      <c r="Q2960" s="79"/>
      <c r="T2960" s="5"/>
      <c r="U2960" s="104"/>
      <c r="X2960" s="9"/>
    </row>
    <row r="2961" spans="1:24">
      <c r="A2961" s="29"/>
      <c r="B2961" s="30"/>
      <c r="C2961" s="8"/>
      <c r="D2961" s="8"/>
      <c r="E2961" s="8"/>
      <c r="F2961" s="8"/>
      <c r="G2961" s="30"/>
      <c r="H2961" s="8"/>
      <c r="I2961" s="30"/>
      <c r="J2961" s="8"/>
      <c r="K2961" s="30"/>
      <c r="L2961" s="8"/>
      <c r="M2961" s="9"/>
      <c r="N2961" s="9"/>
      <c r="O2961" s="9"/>
      <c r="P2961" s="9"/>
      <c r="Q2961" s="79"/>
      <c r="T2961" s="5"/>
      <c r="U2961" s="104"/>
      <c r="X2961" s="9"/>
    </row>
    <row r="2962" spans="1:24">
      <c r="A2962" s="29"/>
      <c r="B2962" s="30"/>
      <c r="C2962" s="8"/>
      <c r="D2962" s="8"/>
      <c r="E2962" s="8"/>
      <c r="F2962" s="8"/>
      <c r="G2962" s="30"/>
      <c r="H2962" s="8"/>
      <c r="I2962" s="30"/>
      <c r="J2962" s="8"/>
      <c r="K2962" s="30"/>
      <c r="L2962" s="8"/>
      <c r="M2962" s="9"/>
      <c r="N2962" s="9"/>
      <c r="O2962" s="9"/>
      <c r="P2962" s="9"/>
      <c r="Q2962" s="79"/>
      <c r="T2962" s="5"/>
      <c r="U2962" s="104"/>
      <c r="X2962" s="9"/>
    </row>
    <row r="2963" spans="1:24">
      <c r="A2963" s="29"/>
      <c r="B2963" s="30"/>
      <c r="C2963" s="8"/>
      <c r="D2963" s="8"/>
      <c r="E2963" s="8"/>
      <c r="F2963" s="8"/>
      <c r="G2963" s="30"/>
      <c r="H2963" s="8"/>
      <c r="I2963" s="30"/>
      <c r="J2963" s="8"/>
      <c r="K2963" s="30"/>
      <c r="L2963" s="8"/>
      <c r="M2963" s="9"/>
      <c r="N2963" s="9"/>
      <c r="O2963" s="9"/>
      <c r="P2963" s="9"/>
      <c r="Q2963" s="79"/>
      <c r="T2963" s="5"/>
      <c r="U2963" s="104"/>
      <c r="X2963" s="9"/>
    </row>
    <row r="2964" spans="1:24">
      <c r="A2964" s="29"/>
      <c r="B2964" s="30"/>
      <c r="C2964" s="8"/>
      <c r="D2964" s="8"/>
      <c r="E2964" s="8"/>
      <c r="F2964" s="8"/>
      <c r="G2964" s="30"/>
      <c r="H2964" s="8"/>
      <c r="I2964" s="30"/>
      <c r="J2964" s="8"/>
      <c r="K2964" s="30"/>
      <c r="L2964" s="8"/>
      <c r="M2964" s="9"/>
      <c r="N2964" s="9"/>
      <c r="O2964" s="9"/>
      <c r="P2964" s="9"/>
      <c r="Q2964" s="79"/>
      <c r="T2964" s="5"/>
      <c r="U2964" s="104"/>
      <c r="X2964" s="9"/>
    </row>
    <row r="2965" spans="1:24">
      <c r="A2965" s="29"/>
      <c r="B2965" s="30"/>
      <c r="C2965" s="8"/>
      <c r="D2965" s="8"/>
      <c r="E2965" s="8"/>
      <c r="F2965" s="8"/>
      <c r="G2965" s="30"/>
      <c r="H2965" s="8"/>
      <c r="I2965" s="30"/>
      <c r="J2965" s="8"/>
      <c r="K2965" s="30"/>
      <c r="L2965" s="8"/>
      <c r="M2965" s="9"/>
      <c r="N2965" s="9"/>
      <c r="O2965" s="9"/>
      <c r="P2965" s="9"/>
      <c r="Q2965" s="79"/>
      <c r="T2965" s="5"/>
      <c r="U2965" s="104"/>
      <c r="X2965" s="9"/>
    </row>
    <row r="2966" spans="1:24">
      <c r="A2966" s="29"/>
      <c r="B2966" s="30"/>
      <c r="C2966" s="8"/>
      <c r="D2966" s="8"/>
      <c r="E2966" s="8"/>
      <c r="F2966" s="8"/>
      <c r="G2966" s="30"/>
      <c r="H2966" s="8"/>
      <c r="I2966" s="30"/>
      <c r="J2966" s="8"/>
      <c r="K2966" s="30"/>
      <c r="L2966" s="8"/>
      <c r="M2966" s="9"/>
      <c r="N2966" s="9"/>
      <c r="O2966" s="9"/>
      <c r="P2966" s="9"/>
      <c r="Q2966" s="79"/>
      <c r="T2966" s="5"/>
      <c r="U2966" s="104"/>
      <c r="X2966" s="9"/>
    </row>
    <row r="2967" spans="1:24">
      <c r="A2967" s="29"/>
      <c r="B2967" s="30"/>
      <c r="C2967" s="8"/>
      <c r="D2967" s="8"/>
      <c r="E2967" s="8"/>
      <c r="F2967" s="8"/>
      <c r="G2967" s="30"/>
      <c r="H2967" s="8"/>
      <c r="I2967" s="30"/>
      <c r="J2967" s="8"/>
      <c r="K2967" s="30"/>
      <c r="L2967" s="8"/>
      <c r="M2967" s="9"/>
      <c r="N2967" s="9"/>
      <c r="O2967" s="9"/>
      <c r="P2967" s="9"/>
      <c r="Q2967" s="79"/>
      <c r="T2967" s="5"/>
      <c r="U2967" s="104"/>
      <c r="X2967" s="9"/>
    </row>
    <row r="2968" spans="1:24">
      <c r="A2968" s="29"/>
      <c r="B2968" s="30"/>
      <c r="C2968" s="8"/>
      <c r="D2968" s="8"/>
      <c r="E2968" s="8"/>
      <c r="F2968" s="8"/>
      <c r="G2968" s="30"/>
      <c r="H2968" s="8"/>
      <c r="I2968" s="30"/>
      <c r="J2968" s="8"/>
      <c r="K2968" s="30"/>
      <c r="L2968" s="8"/>
      <c r="M2968" s="9"/>
      <c r="N2968" s="9"/>
      <c r="O2968" s="9"/>
      <c r="P2968" s="9"/>
      <c r="Q2968" s="79"/>
      <c r="T2968" s="5"/>
      <c r="U2968" s="104"/>
      <c r="X2968" s="9"/>
    </row>
    <row r="2969" spans="1:24">
      <c r="A2969" s="29"/>
      <c r="B2969" s="30"/>
      <c r="C2969" s="8"/>
      <c r="D2969" s="8"/>
      <c r="E2969" s="8"/>
      <c r="F2969" s="8"/>
      <c r="G2969" s="30"/>
      <c r="H2969" s="8"/>
      <c r="I2969" s="30"/>
      <c r="J2969" s="8"/>
      <c r="K2969" s="30"/>
      <c r="L2969" s="8"/>
      <c r="M2969" s="9"/>
      <c r="N2969" s="9"/>
      <c r="O2969" s="9"/>
      <c r="P2969" s="9"/>
      <c r="Q2969" s="79"/>
      <c r="T2969" s="5"/>
      <c r="U2969" s="104"/>
      <c r="X2969" s="9"/>
    </row>
    <row r="2970" spans="1:24">
      <c r="A2970" s="29"/>
      <c r="B2970" s="30"/>
      <c r="C2970" s="8"/>
      <c r="D2970" s="8"/>
      <c r="E2970" s="8"/>
      <c r="F2970" s="8"/>
      <c r="G2970" s="30"/>
      <c r="H2970" s="8"/>
      <c r="I2970" s="30"/>
      <c r="J2970" s="8"/>
      <c r="K2970" s="30"/>
      <c r="L2970" s="8"/>
      <c r="M2970" s="9"/>
      <c r="N2970" s="9"/>
      <c r="O2970" s="9"/>
      <c r="P2970" s="9"/>
      <c r="Q2970" s="79"/>
      <c r="T2970" s="5"/>
      <c r="U2970" s="104"/>
      <c r="X2970" s="9"/>
    </row>
    <row r="2971" spans="1:24">
      <c r="A2971" s="29"/>
      <c r="B2971" s="30"/>
      <c r="C2971" s="8"/>
      <c r="D2971" s="8"/>
      <c r="E2971" s="8"/>
      <c r="F2971" s="8"/>
      <c r="G2971" s="30"/>
      <c r="H2971" s="8"/>
      <c r="I2971" s="30"/>
      <c r="J2971" s="8"/>
      <c r="K2971" s="30"/>
      <c r="L2971" s="8"/>
      <c r="M2971" s="9"/>
      <c r="N2971" s="9"/>
      <c r="O2971" s="9"/>
      <c r="P2971" s="9"/>
      <c r="Q2971" s="79"/>
      <c r="T2971" s="5"/>
      <c r="U2971" s="104"/>
      <c r="X2971" s="9"/>
    </row>
    <row r="2972" spans="1:24">
      <c r="A2972" s="29"/>
      <c r="B2972" s="30"/>
      <c r="C2972" s="8"/>
      <c r="D2972" s="8"/>
      <c r="E2972" s="8"/>
      <c r="F2972" s="8"/>
      <c r="G2972" s="30"/>
      <c r="H2972" s="8"/>
      <c r="I2972" s="30"/>
      <c r="J2972" s="8"/>
      <c r="K2972" s="30"/>
      <c r="L2972" s="8"/>
      <c r="M2972" s="9"/>
      <c r="N2972" s="9"/>
      <c r="O2972" s="9"/>
      <c r="P2972" s="9"/>
      <c r="Q2972" s="79"/>
      <c r="T2972" s="5"/>
      <c r="U2972" s="104"/>
      <c r="X2972" s="9"/>
    </row>
    <row r="2973" spans="1:24">
      <c r="A2973" s="29"/>
      <c r="B2973" s="30"/>
      <c r="C2973" s="8"/>
      <c r="D2973" s="8"/>
      <c r="E2973" s="8"/>
      <c r="F2973" s="8"/>
      <c r="G2973" s="30"/>
      <c r="H2973" s="8"/>
      <c r="I2973" s="30"/>
      <c r="J2973" s="8"/>
      <c r="K2973" s="30"/>
      <c r="L2973" s="8"/>
      <c r="M2973" s="9"/>
      <c r="N2973" s="9"/>
      <c r="O2973" s="9"/>
      <c r="P2973" s="9"/>
      <c r="Q2973" s="79"/>
      <c r="T2973" s="5"/>
      <c r="U2973" s="104"/>
      <c r="X2973" s="9"/>
    </row>
    <row r="2974" spans="1:24">
      <c r="A2974" s="29"/>
      <c r="B2974" s="30"/>
      <c r="C2974" s="8"/>
      <c r="D2974" s="8"/>
      <c r="E2974" s="8"/>
      <c r="F2974" s="8"/>
      <c r="G2974" s="30"/>
      <c r="H2974" s="8"/>
      <c r="I2974" s="30"/>
      <c r="J2974" s="8"/>
      <c r="K2974" s="30"/>
      <c r="L2974" s="8"/>
      <c r="M2974" s="9"/>
      <c r="N2974" s="9"/>
      <c r="O2974" s="9"/>
      <c r="P2974" s="9"/>
      <c r="Q2974" s="79"/>
      <c r="T2974" s="5"/>
      <c r="U2974" s="104"/>
      <c r="X2974" s="9"/>
    </row>
    <row r="2975" spans="1:24">
      <c r="A2975" s="29"/>
      <c r="B2975" s="30"/>
      <c r="C2975" s="8"/>
      <c r="D2975" s="8"/>
      <c r="E2975" s="8"/>
      <c r="F2975" s="8"/>
      <c r="G2975" s="30"/>
      <c r="H2975" s="8"/>
      <c r="I2975" s="30"/>
      <c r="J2975" s="8"/>
      <c r="K2975" s="30"/>
      <c r="L2975" s="8"/>
      <c r="M2975" s="9"/>
      <c r="N2975" s="9"/>
      <c r="O2975" s="9"/>
      <c r="P2975" s="9"/>
      <c r="Q2975" s="79"/>
      <c r="T2975" s="5"/>
      <c r="U2975" s="104"/>
      <c r="X2975" s="9"/>
    </row>
    <row r="2976" spans="1:24">
      <c r="A2976" s="29"/>
      <c r="B2976" s="30"/>
      <c r="C2976" s="8"/>
      <c r="D2976" s="8"/>
      <c r="E2976" s="8"/>
      <c r="F2976" s="8"/>
      <c r="G2976" s="30"/>
      <c r="H2976" s="8"/>
      <c r="I2976" s="30"/>
      <c r="J2976" s="8"/>
      <c r="K2976" s="30"/>
      <c r="L2976" s="8"/>
      <c r="M2976" s="9"/>
      <c r="N2976" s="9"/>
      <c r="O2976" s="9"/>
      <c r="P2976" s="9"/>
      <c r="Q2976" s="79"/>
      <c r="T2976" s="5"/>
      <c r="U2976" s="104"/>
      <c r="X2976" s="9"/>
    </row>
    <row r="2977" spans="1:24">
      <c r="A2977" s="29"/>
      <c r="B2977" s="30"/>
      <c r="C2977" s="8"/>
      <c r="D2977" s="8"/>
      <c r="E2977" s="8"/>
      <c r="F2977" s="8"/>
      <c r="G2977" s="30"/>
      <c r="H2977" s="8"/>
      <c r="I2977" s="30"/>
      <c r="J2977" s="8"/>
      <c r="K2977" s="30"/>
      <c r="L2977" s="8"/>
      <c r="M2977" s="9"/>
      <c r="N2977" s="9"/>
      <c r="O2977" s="9"/>
      <c r="P2977" s="9"/>
      <c r="Q2977" s="79"/>
      <c r="T2977" s="5"/>
      <c r="U2977" s="104"/>
      <c r="X2977" s="9"/>
    </row>
    <row r="2978" spans="1:24">
      <c r="A2978" s="29"/>
      <c r="B2978" s="30"/>
      <c r="C2978" s="8"/>
      <c r="D2978" s="8"/>
      <c r="E2978" s="8"/>
      <c r="F2978" s="8"/>
      <c r="G2978" s="30"/>
      <c r="H2978" s="8"/>
      <c r="I2978" s="30"/>
      <c r="J2978" s="8"/>
      <c r="K2978" s="30"/>
      <c r="L2978" s="8"/>
      <c r="M2978" s="9"/>
      <c r="N2978" s="9"/>
      <c r="O2978" s="9"/>
      <c r="P2978" s="9"/>
      <c r="Q2978" s="79"/>
      <c r="T2978" s="5"/>
      <c r="U2978" s="104"/>
      <c r="X2978" s="9"/>
    </row>
    <row r="2979" spans="1:24">
      <c r="A2979" s="29"/>
      <c r="B2979" s="30"/>
      <c r="C2979" s="8"/>
      <c r="D2979" s="8"/>
      <c r="E2979" s="8"/>
      <c r="F2979" s="8"/>
      <c r="G2979" s="30"/>
      <c r="H2979" s="8"/>
      <c r="I2979" s="30"/>
      <c r="J2979" s="8"/>
      <c r="K2979" s="30"/>
      <c r="L2979" s="8"/>
      <c r="M2979" s="9"/>
      <c r="N2979" s="9"/>
      <c r="O2979" s="9"/>
      <c r="P2979" s="9"/>
      <c r="Q2979" s="79"/>
      <c r="T2979" s="5"/>
      <c r="U2979" s="104"/>
      <c r="X2979" s="9"/>
    </row>
    <row r="2980" spans="1:24">
      <c r="A2980" s="29"/>
      <c r="B2980" s="30"/>
      <c r="C2980" s="8"/>
      <c r="D2980" s="8"/>
      <c r="E2980" s="8"/>
      <c r="F2980" s="8"/>
      <c r="G2980" s="30"/>
      <c r="H2980" s="8"/>
      <c r="I2980" s="30"/>
      <c r="J2980" s="8"/>
      <c r="K2980" s="30"/>
      <c r="L2980" s="8"/>
      <c r="M2980" s="9"/>
      <c r="N2980" s="9"/>
      <c r="O2980" s="9"/>
      <c r="P2980" s="9"/>
      <c r="Q2980" s="79"/>
      <c r="T2980" s="5"/>
      <c r="U2980" s="104"/>
      <c r="X2980" s="9"/>
    </row>
    <row r="2981" spans="1:24">
      <c r="A2981" s="29"/>
      <c r="B2981" s="30"/>
      <c r="C2981" s="8"/>
      <c r="D2981" s="8"/>
      <c r="E2981" s="8"/>
      <c r="F2981" s="8"/>
      <c r="G2981" s="30"/>
      <c r="H2981" s="8"/>
      <c r="I2981" s="30"/>
      <c r="J2981" s="8"/>
      <c r="K2981" s="30"/>
      <c r="L2981" s="8"/>
      <c r="M2981" s="9"/>
      <c r="N2981" s="9"/>
      <c r="O2981" s="9"/>
      <c r="P2981" s="9"/>
      <c r="Q2981" s="79"/>
      <c r="T2981" s="5"/>
      <c r="U2981" s="104"/>
      <c r="X2981" s="9"/>
    </row>
    <row r="2982" spans="1:24">
      <c r="A2982" s="29"/>
      <c r="B2982" s="30"/>
      <c r="C2982" s="8"/>
      <c r="D2982" s="8"/>
      <c r="E2982" s="8"/>
      <c r="F2982" s="8"/>
      <c r="G2982" s="30"/>
      <c r="H2982" s="8"/>
      <c r="I2982" s="30"/>
      <c r="J2982" s="8"/>
      <c r="K2982" s="30"/>
      <c r="L2982" s="8"/>
      <c r="M2982" s="9"/>
      <c r="N2982" s="9"/>
      <c r="O2982" s="9"/>
      <c r="P2982" s="9"/>
      <c r="Q2982" s="79"/>
      <c r="T2982" s="5"/>
      <c r="U2982" s="104"/>
      <c r="X2982" s="9"/>
    </row>
    <row r="2983" spans="1:24">
      <c r="A2983" s="29"/>
      <c r="B2983" s="30"/>
      <c r="C2983" s="8"/>
      <c r="D2983" s="8"/>
      <c r="E2983" s="8"/>
      <c r="F2983" s="8"/>
      <c r="G2983" s="30"/>
      <c r="H2983" s="8"/>
      <c r="I2983" s="30"/>
      <c r="J2983" s="8"/>
      <c r="K2983" s="30"/>
      <c r="L2983" s="8"/>
      <c r="M2983" s="9"/>
      <c r="N2983" s="9"/>
      <c r="O2983" s="9"/>
      <c r="P2983" s="9"/>
      <c r="Q2983" s="79"/>
      <c r="T2983" s="5"/>
      <c r="U2983" s="104"/>
      <c r="X2983" s="9"/>
    </row>
    <row r="2984" spans="1:24">
      <c r="A2984" s="29"/>
      <c r="B2984" s="30"/>
      <c r="C2984" s="8"/>
      <c r="D2984" s="8"/>
      <c r="E2984" s="8"/>
      <c r="F2984" s="8"/>
      <c r="G2984" s="30"/>
      <c r="H2984" s="8"/>
      <c r="I2984" s="30"/>
      <c r="J2984" s="8"/>
      <c r="K2984" s="30"/>
      <c r="L2984" s="8"/>
      <c r="M2984" s="9"/>
      <c r="N2984" s="9"/>
      <c r="O2984" s="9"/>
      <c r="P2984" s="9"/>
      <c r="Q2984" s="79"/>
      <c r="T2984" s="5"/>
      <c r="U2984" s="104"/>
      <c r="X2984" s="9"/>
    </row>
    <row r="2985" spans="1:24">
      <c r="A2985" s="29"/>
      <c r="B2985" s="30"/>
      <c r="C2985" s="8"/>
      <c r="D2985" s="8"/>
      <c r="E2985" s="8"/>
      <c r="F2985" s="8"/>
      <c r="G2985" s="30"/>
      <c r="H2985" s="8"/>
      <c r="I2985" s="30"/>
      <c r="J2985" s="8"/>
      <c r="K2985" s="30"/>
      <c r="L2985" s="8"/>
      <c r="M2985" s="9"/>
      <c r="N2985" s="9"/>
      <c r="O2985" s="9"/>
      <c r="P2985" s="9"/>
      <c r="Q2985" s="79"/>
      <c r="T2985" s="5"/>
      <c r="U2985" s="104"/>
      <c r="X2985" s="9"/>
    </row>
    <row r="2986" spans="1:24">
      <c r="A2986" s="29"/>
      <c r="B2986" s="30"/>
      <c r="C2986" s="8"/>
      <c r="D2986" s="8"/>
      <c r="E2986" s="8"/>
      <c r="F2986" s="8"/>
      <c r="G2986" s="30"/>
      <c r="H2986" s="8"/>
      <c r="I2986" s="30"/>
      <c r="J2986" s="8"/>
      <c r="K2986" s="30"/>
      <c r="L2986" s="8"/>
      <c r="M2986" s="9"/>
      <c r="N2986" s="9"/>
      <c r="O2986" s="9"/>
      <c r="P2986" s="9"/>
      <c r="Q2986" s="79"/>
      <c r="T2986" s="5"/>
      <c r="U2986" s="104"/>
      <c r="X2986" s="9"/>
    </row>
    <row r="2987" spans="1:24">
      <c r="A2987" s="29"/>
      <c r="B2987" s="30"/>
      <c r="C2987" s="8"/>
      <c r="D2987" s="8"/>
      <c r="E2987" s="8"/>
      <c r="F2987" s="8"/>
      <c r="G2987" s="30"/>
      <c r="H2987" s="8"/>
      <c r="I2987" s="30"/>
      <c r="J2987" s="8"/>
      <c r="K2987" s="30"/>
      <c r="L2987" s="8"/>
      <c r="M2987" s="9"/>
      <c r="N2987" s="9"/>
      <c r="O2987" s="9"/>
      <c r="P2987" s="9"/>
      <c r="Q2987" s="79"/>
      <c r="T2987" s="5"/>
      <c r="U2987" s="104"/>
      <c r="X2987" s="9"/>
    </row>
    <row r="2988" spans="1:24">
      <c r="A2988" s="29"/>
      <c r="B2988" s="30"/>
      <c r="C2988" s="8"/>
      <c r="D2988" s="8"/>
      <c r="E2988" s="8"/>
      <c r="F2988" s="8"/>
      <c r="G2988" s="30"/>
      <c r="H2988" s="8"/>
      <c r="I2988" s="30"/>
      <c r="J2988" s="8"/>
      <c r="K2988" s="30"/>
      <c r="L2988" s="8"/>
      <c r="M2988" s="9"/>
      <c r="N2988" s="9"/>
      <c r="O2988" s="9"/>
      <c r="P2988" s="9"/>
      <c r="Q2988" s="79"/>
      <c r="T2988" s="5"/>
      <c r="U2988" s="104"/>
      <c r="X2988" s="9"/>
    </row>
    <row r="2989" spans="1:24">
      <c r="A2989" s="29"/>
      <c r="B2989" s="30"/>
      <c r="C2989" s="8"/>
      <c r="D2989" s="8"/>
      <c r="E2989" s="8"/>
      <c r="F2989" s="8"/>
      <c r="G2989" s="30"/>
      <c r="H2989" s="8"/>
      <c r="I2989" s="30"/>
      <c r="J2989" s="8"/>
      <c r="K2989" s="30"/>
      <c r="L2989" s="8"/>
      <c r="M2989" s="9"/>
      <c r="N2989" s="9"/>
      <c r="O2989" s="9"/>
      <c r="P2989" s="9"/>
      <c r="Q2989" s="79"/>
      <c r="T2989" s="5"/>
      <c r="U2989" s="104"/>
      <c r="X2989" s="9"/>
    </row>
    <row r="2990" spans="1:24">
      <c r="A2990" s="29"/>
      <c r="B2990" s="30"/>
      <c r="C2990" s="8"/>
      <c r="D2990" s="8"/>
      <c r="E2990" s="8"/>
      <c r="F2990" s="8"/>
      <c r="G2990" s="30"/>
      <c r="H2990" s="8"/>
      <c r="I2990" s="30"/>
      <c r="J2990" s="8"/>
      <c r="K2990" s="30"/>
      <c r="L2990" s="8"/>
      <c r="M2990" s="9"/>
      <c r="N2990" s="9"/>
      <c r="O2990" s="9"/>
      <c r="P2990" s="9"/>
      <c r="Q2990" s="79"/>
      <c r="T2990" s="5"/>
      <c r="U2990" s="104"/>
      <c r="X2990" s="9"/>
    </row>
    <row r="2991" spans="1:24">
      <c r="A2991" s="29"/>
      <c r="B2991" s="30"/>
      <c r="C2991" s="8"/>
      <c r="D2991" s="8"/>
      <c r="E2991" s="8"/>
      <c r="F2991" s="8"/>
      <c r="G2991" s="30"/>
      <c r="H2991" s="8"/>
      <c r="I2991" s="30"/>
      <c r="J2991" s="8"/>
      <c r="K2991" s="30"/>
      <c r="L2991" s="8"/>
      <c r="M2991" s="9"/>
      <c r="N2991" s="9"/>
      <c r="O2991" s="9"/>
      <c r="P2991" s="9"/>
      <c r="Q2991" s="79"/>
      <c r="T2991" s="5"/>
      <c r="U2991" s="104"/>
      <c r="X2991" s="9"/>
    </row>
    <row r="2992" spans="1:24">
      <c r="A2992" s="29"/>
      <c r="B2992" s="30"/>
      <c r="C2992" s="8"/>
      <c r="D2992" s="8"/>
      <c r="E2992" s="8"/>
      <c r="F2992" s="8"/>
      <c r="G2992" s="30"/>
      <c r="H2992" s="8"/>
      <c r="I2992" s="30"/>
      <c r="J2992" s="8"/>
      <c r="K2992" s="30"/>
      <c r="L2992" s="8"/>
      <c r="M2992" s="9"/>
      <c r="N2992" s="9"/>
      <c r="O2992" s="9"/>
      <c r="P2992" s="9"/>
      <c r="Q2992" s="79"/>
      <c r="T2992" s="5"/>
      <c r="U2992" s="104"/>
      <c r="X2992" s="9"/>
    </row>
    <row r="2993" spans="1:24">
      <c r="A2993" s="29"/>
      <c r="B2993" s="30"/>
      <c r="C2993" s="8"/>
      <c r="D2993" s="8"/>
      <c r="E2993" s="8"/>
      <c r="F2993" s="8"/>
      <c r="G2993" s="30"/>
      <c r="H2993" s="8"/>
      <c r="I2993" s="30"/>
      <c r="J2993" s="8"/>
      <c r="K2993" s="30"/>
      <c r="L2993" s="8"/>
      <c r="M2993" s="9"/>
      <c r="N2993" s="9"/>
      <c r="O2993" s="9"/>
      <c r="P2993" s="9"/>
      <c r="Q2993" s="79"/>
      <c r="T2993" s="5"/>
      <c r="U2993" s="104"/>
      <c r="X2993" s="9"/>
    </row>
    <row r="2994" spans="1:24">
      <c r="A2994" s="29"/>
      <c r="B2994" s="30"/>
      <c r="C2994" s="8"/>
      <c r="D2994" s="8"/>
      <c r="E2994" s="8"/>
      <c r="F2994" s="8"/>
      <c r="G2994" s="30"/>
      <c r="H2994" s="8"/>
      <c r="I2994" s="30"/>
      <c r="J2994" s="8"/>
      <c r="K2994" s="30"/>
      <c r="L2994" s="8"/>
      <c r="M2994" s="9"/>
      <c r="N2994" s="9"/>
      <c r="O2994" s="9"/>
      <c r="P2994" s="9"/>
      <c r="Q2994" s="79"/>
      <c r="T2994" s="5"/>
      <c r="U2994" s="104"/>
      <c r="X2994" s="9"/>
    </row>
    <row r="2995" spans="1:24">
      <c r="A2995" s="29"/>
      <c r="B2995" s="30"/>
      <c r="C2995" s="8"/>
      <c r="D2995" s="8"/>
      <c r="E2995" s="8"/>
      <c r="F2995" s="8"/>
      <c r="G2995" s="30"/>
      <c r="H2995" s="8"/>
      <c r="I2995" s="30"/>
      <c r="J2995" s="8"/>
      <c r="K2995" s="30"/>
      <c r="L2995" s="8"/>
      <c r="M2995" s="9"/>
      <c r="N2995" s="9"/>
      <c r="O2995" s="9"/>
      <c r="P2995" s="9"/>
      <c r="Q2995" s="79"/>
      <c r="T2995" s="5"/>
      <c r="U2995" s="104"/>
      <c r="X2995" s="9"/>
    </row>
    <row r="2996" spans="1:24">
      <c r="A2996" s="29"/>
      <c r="B2996" s="30"/>
      <c r="C2996" s="8"/>
      <c r="D2996" s="8"/>
      <c r="E2996" s="8"/>
      <c r="F2996" s="8"/>
      <c r="G2996" s="30"/>
      <c r="H2996" s="8"/>
      <c r="I2996" s="30"/>
      <c r="J2996" s="8"/>
      <c r="K2996" s="30"/>
      <c r="L2996" s="8"/>
      <c r="M2996" s="9"/>
      <c r="N2996" s="9"/>
      <c r="O2996" s="9"/>
      <c r="P2996" s="9"/>
      <c r="Q2996" s="79"/>
      <c r="T2996" s="5"/>
      <c r="U2996" s="104"/>
      <c r="X2996" s="9"/>
    </row>
    <row r="2997" spans="1:24">
      <c r="A2997" s="29"/>
      <c r="B2997" s="30"/>
      <c r="C2997" s="8"/>
      <c r="D2997" s="8"/>
      <c r="E2997" s="8"/>
      <c r="F2997" s="8"/>
      <c r="G2997" s="30"/>
      <c r="H2997" s="8"/>
      <c r="I2997" s="30"/>
      <c r="J2997" s="8"/>
      <c r="K2997" s="30"/>
      <c r="L2997" s="8"/>
      <c r="M2997" s="9"/>
      <c r="N2997" s="9"/>
      <c r="O2997" s="9"/>
      <c r="P2997" s="9"/>
      <c r="Q2997" s="79"/>
      <c r="T2997" s="5"/>
      <c r="U2997" s="104"/>
      <c r="X2997" s="9"/>
    </row>
    <row r="2998" spans="1:24">
      <c r="A2998" s="29"/>
      <c r="B2998" s="30"/>
      <c r="C2998" s="8"/>
      <c r="D2998" s="8"/>
      <c r="E2998" s="8"/>
      <c r="F2998" s="8"/>
      <c r="G2998" s="30"/>
      <c r="H2998" s="8"/>
      <c r="I2998" s="30"/>
      <c r="J2998" s="8"/>
      <c r="K2998" s="30"/>
      <c r="L2998" s="8"/>
      <c r="M2998" s="9"/>
      <c r="N2998" s="9"/>
      <c r="O2998" s="9"/>
      <c r="P2998" s="9"/>
      <c r="Q2998" s="79"/>
      <c r="T2998" s="5"/>
      <c r="U2998" s="104"/>
      <c r="X2998" s="9"/>
    </row>
    <row r="2999" spans="1:24">
      <c r="A2999" s="29"/>
      <c r="B2999" s="30"/>
      <c r="C2999" s="8"/>
      <c r="D2999" s="8"/>
      <c r="E2999" s="8"/>
      <c r="F2999" s="8"/>
      <c r="G2999" s="30"/>
      <c r="H2999" s="8"/>
      <c r="I2999" s="30"/>
      <c r="J2999" s="8"/>
      <c r="K2999" s="30"/>
      <c r="L2999" s="8"/>
      <c r="M2999" s="9"/>
      <c r="N2999" s="9"/>
      <c r="O2999" s="9"/>
      <c r="P2999" s="9"/>
      <c r="Q2999" s="79"/>
      <c r="T2999" s="5"/>
      <c r="U2999" s="104"/>
      <c r="X2999" s="9"/>
    </row>
    <row r="3000" spans="1:24">
      <c r="A3000" s="29"/>
      <c r="B3000" s="30"/>
      <c r="C3000" s="8"/>
      <c r="D3000" s="8"/>
      <c r="E3000" s="8"/>
      <c r="F3000" s="8"/>
      <c r="G3000" s="30"/>
      <c r="H3000" s="8"/>
      <c r="I3000" s="30"/>
      <c r="J3000" s="8"/>
      <c r="K3000" s="30"/>
      <c r="L3000" s="8"/>
      <c r="M3000" s="9"/>
      <c r="N3000" s="9"/>
      <c r="O3000" s="9"/>
      <c r="P3000" s="9"/>
      <c r="Q3000" s="79"/>
      <c r="T3000" s="5"/>
      <c r="U3000" s="104"/>
      <c r="X3000" s="9"/>
    </row>
    <row r="3001" spans="1:24">
      <c r="A3001" s="29"/>
      <c r="B3001" s="30"/>
      <c r="C3001" s="8"/>
      <c r="D3001" s="8"/>
      <c r="E3001" s="8"/>
      <c r="F3001" s="8"/>
      <c r="G3001" s="30"/>
      <c r="H3001" s="8"/>
      <c r="I3001" s="30"/>
      <c r="J3001" s="8"/>
      <c r="K3001" s="30"/>
      <c r="L3001" s="8"/>
      <c r="M3001" s="9"/>
      <c r="N3001" s="9"/>
      <c r="O3001" s="9"/>
      <c r="P3001" s="9"/>
      <c r="Q3001" s="79"/>
      <c r="T3001" s="5"/>
      <c r="U3001" s="104"/>
      <c r="X3001" s="9"/>
    </row>
    <row r="3002" spans="1:24">
      <c r="A3002" s="29"/>
      <c r="B3002" s="30"/>
      <c r="C3002" s="41"/>
      <c r="D3002" s="41"/>
      <c r="E3002" s="41"/>
      <c r="F3002" s="41"/>
      <c r="G3002" s="30"/>
      <c r="H3002" s="41"/>
      <c r="I3002" s="30"/>
      <c r="J3002" s="41"/>
      <c r="K3002" s="30"/>
      <c r="L3002" s="41"/>
      <c r="M3002" s="9"/>
      <c r="N3002" s="9"/>
      <c r="O3002" s="84"/>
      <c r="P3002" s="84"/>
      <c r="Q3002" s="85"/>
      <c r="T3002" s="98"/>
      <c r="U3002" s="104"/>
      <c r="X3002" s="84"/>
    </row>
    <row r="3003" spans="1:24">
      <c r="A3003" s="29"/>
      <c r="B3003" s="30"/>
      <c r="C3003" s="8"/>
      <c r="D3003" s="8"/>
      <c r="E3003" s="8"/>
      <c r="F3003" s="8"/>
      <c r="G3003" s="30"/>
      <c r="H3003" s="8"/>
      <c r="I3003" s="30"/>
      <c r="J3003" s="8"/>
      <c r="K3003" s="30"/>
      <c r="L3003" s="8"/>
      <c r="M3003" s="9"/>
      <c r="N3003" s="9"/>
      <c r="O3003" s="9"/>
      <c r="P3003" s="9"/>
      <c r="Q3003" s="79"/>
      <c r="T3003" s="5"/>
      <c r="U3003" s="104"/>
      <c r="X3003" s="9"/>
    </row>
    <row r="3004" spans="1:24">
      <c r="A3004" s="29"/>
      <c r="B3004" s="30"/>
      <c r="C3004" s="42"/>
      <c r="D3004" s="42"/>
      <c r="E3004" s="42"/>
      <c r="F3004" s="42"/>
      <c r="G3004" s="30"/>
      <c r="H3004" s="42"/>
      <c r="I3004" s="30"/>
      <c r="J3004" s="42"/>
      <c r="K3004" s="30"/>
      <c r="L3004" s="42"/>
      <c r="M3004" s="9"/>
      <c r="N3004" s="9"/>
      <c r="O3004" s="86"/>
      <c r="P3004" s="86"/>
      <c r="Q3004" s="87"/>
      <c r="T3004" s="99"/>
      <c r="U3004" s="104"/>
      <c r="X3004" s="86"/>
    </row>
    <row r="3005" spans="1:24">
      <c r="A3005" s="29"/>
      <c r="B3005" s="30"/>
      <c r="C3005" s="8"/>
      <c r="D3005" s="8"/>
      <c r="E3005" s="8"/>
      <c r="F3005" s="8"/>
      <c r="G3005" s="30"/>
      <c r="H3005" s="8"/>
      <c r="I3005" s="30"/>
      <c r="J3005" s="8"/>
      <c r="K3005" s="30"/>
      <c r="L3005" s="8"/>
      <c r="M3005" s="9"/>
      <c r="N3005" s="9"/>
      <c r="O3005" s="9"/>
      <c r="P3005" s="9"/>
      <c r="Q3005" s="79"/>
      <c r="T3005" s="5"/>
      <c r="U3005" s="104"/>
      <c r="X3005" s="9"/>
    </row>
    <row r="3006" spans="1:24">
      <c r="A3006" s="29"/>
      <c r="B3006" s="30"/>
      <c r="C3006" s="8"/>
      <c r="D3006" s="8"/>
      <c r="E3006" s="8"/>
      <c r="F3006" s="8"/>
      <c r="G3006" s="30"/>
      <c r="H3006" s="8"/>
      <c r="I3006" s="30"/>
      <c r="J3006" s="8"/>
      <c r="K3006" s="30"/>
      <c r="L3006" s="8"/>
      <c r="M3006" s="9"/>
      <c r="N3006" s="9"/>
      <c r="O3006" s="9"/>
      <c r="P3006" s="9"/>
      <c r="Q3006" s="79"/>
      <c r="T3006" s="5"/>
      <c r="U3006" s="104"/>
      <c r="X3006" s="9"/>
    </row>
    <row r="3007" spans="1:24">
      <c r="A3007" s="29"/>
      <c r="B3007" s="30"/>
      <c r="C3007" s="8"/>
      <c r="D3007" s="8"/>
      <c r="E3007" s="8"/>
      <c r="F3007" s="8"/>
      <c r="G3007" s="30"/>
      <c r="H3007" s="8"/>
      <c r="I3007" s="30"/>
      <c r="J3007" s="8"/>
      <c r="K3007" s="30"/>
      <c r="L3007" s="8"/>
      <c r="M3007" s="9"/>
      <c r="N3007" s="9"/>
      <c r="O3007" s="9"/>
      <c r="P3007" s="9"/>
      <c r="Q3007" s="79"/>
      <c r="T3007" s="5"/>
      <c r="U3007" s="104"/>
      <c r="X3007" s="9"/>
    </row>
    <row r="3008" spans="1:24">
      <c r="A3008" s="29"/>
      <c r="B3008" s="30"/>
      <c r="C3008" s="8"/>
      <c r="D3008" s="8"/>
      <c r="E3008" s="8"/>
      <c r="F3008" s="8"/>
      <c r="G3008" s="30"/>
      <c r="H3008" s="8"/>
      <c r="I3008" s="30"/>
      <c r="J3008" s="8"/>
      <c r="K3008" s="30"/>
      <c r="L3008" s="8"/>
      <c r="M3008" s="9"/>
      <c r="N3008" s="9"/>
      <c r="O3008" s="9"/>
      <c r="P3008" s="9"/>
      <c r="Q3008" s="79"/>
      <c r="T3008" s="5"/>
      <c r="U3008" s="104"/>
      <c r="X3008" s="9"/>
    </row>
    <row r="3009" spans="1:24">
      <c r="A3009" s="29"/>
      <c r="B3009" s="30"/>
      <c r="C3009" s="8"/>
      <c r="D3009" s="8"/>
      <c r="E3009" s="8"/>
      <c r="F3009" s="8"/>
      <c r="G3009" s="30"/>
      <c r="H3009" s="8"/>
      <c r="I3009" s="30"/>
      <c r="J3009" s="8"/>
      <c r="K3009" s="30"/>
      <c r="L3009" s="8"/>
      <c r="M3009" s="9"/>
      <c r="N3009" s="9"/>
      <c r="O3009" s="9"/>
      <c r="P3009" s="9"/>
      <c r="Q3009" s="79"/>
      <c r="T3009" s="5"/>
      <c r="U3009" s="104"/>
      <c r="X3009" s="9"/>
    </row>
    <row r="3010" spans="1:24">
      <c r="A3010" s="29"/>
      <c r="B3010" s="30"/>
      <c r="C3010" s="8"/>
      <c r="D3010" s="8"/>
      <c r="E3010" s="8"/>
      <c r="F3010" s="8"/>
      <c r="G3010" s="30"/>
      <c r="H3010" s="8"/>
      <c r="I3010" s="30"/>
      <c r="J3010" s="8"/>
      <c r="K3010" s="30"/>
      <c r="L3010" s="8"/>
      <c r="M3010" s="9"/>
      <c r="N3010" s="9"/>
      <c r="O3010" s="9"/>
      <c r="P3010" s="9"/>
      <c r="Q3010" s="79"/>
      <c r="T3010" s="5"/>
      <c r="U3010" s="104"/>
      <c r="X3010" s="9"/>
    </row>
    <row r="3011" spans="1:24">
      <c r="A3011" s="29"/>
      <c r="B3011" s="30"/>
      <c r="C3011" s="8"/>
      <c r="D3011" s="8"/>
      <c r="E3011" s="8"/>
      <c r="F3011" s="8"/>
      <c r="G3011" s="30"/>
      <c r="H3011" s="8"/>
      <c r="I3011" s="30"/>
      <c r="J3011" s="8"/>
      <c r="K3011" s="30"/>
      <c r="L3011" s="8"/>
      <c r="M3011" s="9"/>
      <c r="N3011" s="9"/>
      <c r="O3011" s="9"/>
      <c r="P3011" s="9"/>
      <c r="Q3011" s="79"/>
      <c r="T3011" s="5"/>
      <c r="U3011" s="104"/>
      <c r="X3011" s="9"/>
    </row>
    <row r="3012" spans="1:24">
      <c r="A3012" s="29"/>
      <c r="B3012" s="30"/>
      <c r="C3012" s="8"/>
      <c r="D3012" s="8"/>
      <c r="E3012" s="8"/>
      <c r="F3012" s="8"/>
      <c r="G3012" s="30"/>
      <c r="H3012" s="8"/>
      <c r="I3012" s="30"/>
      <c r="J3012" s="8"/>
      <c r="K3012" s="30"/>
      <c r="L3012" s="8"/>
      <c r="M3012" s="9"/>
      <c r="N3012" s="9"/>
      <c r="O3012" s="9"/>
      <c r="P3012" s="9"/>
      <c r="Q3012" s="79"/>
      <c r="T3012" s="5"/>
      <c r="U3012" s="104"/>
      <c r="X3012" s="9"/>
    </row>
    <row r="3013" spans="1:24">
      <c r="A3013" s="29"/>
      <c r="B3013" s="30"/>
      <c r="C3013" s="8"/>
      <c r="D3013" s="8"/>
      <c r="E3013" s="8"/>
      <c r="F3013" s="8"/>
      <c r="G3013" s="30"/>
      <c r="H3013" s="8"/>
      <c r="I3013" s="30"/>
      <c r="J3013" s="8"/>
      <c r="K3013" s="30"/>
      <c r="L3013" s="8"/>
      <c r="M3013" s="9"/>
      <c r="N3013" s="9"/>
      <c r="O3013" s="9"/>
      <c r="P3013" s="9"/>
      <c r="Q3013" s="79"/>
      <c r="T3013" s="5"/>
      <c r="U3013" s="104"/>
      <c r="X3013" s="9"/>
    </row>
    <row r="3014" spans="1:24">
      <c r="A3014" s="29"/>
      <c r="B3014" s="30"/>
      <c r="C3014" s="8"/>
      <c r="D3014" s="8"/>
      <c r="E3014" s="8"/>
      <c r="F3014" s="8"/>
      <c r="G3014" s="30"/>
      <c r="H3014" s="8"/>
      <c r="I3014" s="30"/>
      <c r="J3014" s="8"/>
      <c r="K3014" s="30"/>
      <c r="L3014" s="8"/>
      <c r="M3014" s="9"/>
      <c r="N3014" s="9"/>
      <c r="O3014" s="9"/>
      <c r="P3014" s="9"/>
      <c r="Q3014" s="79"/>
      <c r="T3014" s="5"/>
      <c r="U3014" s="104"/>
      <c r="X3014" s="9"/>
    </row>
    <row r="3015" spans="1:24">
      <c r="A3015" s="29"/>
      <c r="B3015" s="30"/>
      <c r="C3015" s="8"/>
      <c r="D3015" s="8"/>
      <c r="E3015" s="8"/>
      <c r="F3015" s="8"/>
      <c r="G3015" s="30"/>
      <c r="H3015" s="8"/>
      <c r="I3015" s="30"/>
      <c r="J3015" s="8"/>
      <c r="K3015" s="30"/>
      <c r="L3015" s="8"/>
      <c r="M3015" s="9"/>
      <c r="N3015" s="9"/>
      <c r="O3015" s="9"/>
      <c r="P3015" s="9"/>
      <c r="Q3015" s="79"/>
      <c r="T3015" s="5"/>
      <c r="U3015" s="104"/>
      <c r="X3015" s="9"/>
    </row>
    <row r="3016" spans="1:24">
      <c r="A3016" s="29"/>
      <c r="B3016" s="30"/>
      <c r="C3016" s="8"/>
      <c r="D3016" s="8"/>
      <c r="E3016" s="8"/>
      <c r="F3016" s="8"/>
      <c r="G3016" s="30"/>
      <c r="H3016" s="8"/>
      <c r="I3016" s="30"/>
      <c r="J3016" s="8"/>
      <c r="K3016" s="30"/>
      <c r="L3016" s="8"/>
      <c r="M3016" s="9"/>
      <c r="N3016" s="9"/>
      <c r="O3016" s="9"/>
      <c r="P3016" s="9"/>
      <c r="Q3016" s="79"/>
      <c r="T3016" s="5"/>
      <c r="U3016" s="104"/>
      <c r="X3016" s="9"/>
    </row>
    <row r="3017" spans="1:24">
      <c r="A3017" s="29"/>
      <c r="B3017" s="30"/>
      <c r="C3017" s="8"/>
      <c r="D3017" s="8"/>
      <c r="E3017" s="8"/>
      <c r="F3017" s="8"/>
      <c r="G3017" s="30"/>
      <c r="H3017" s="8"/>
      <c r="I3017" s="30"/>
      <c r="J3017" s="8"/>
      <c r="K3017" s="30"/>
      <c r="L3017" s="8"/>
      <c r="M3017" s="9"/>
      <c r="N3017" s="9"/>
      <c r="O3017" s="9"/>
      <c r="P3017" s="9"/>
      <c r="Q3017" s="79"/>
      <c r="T3017" s="5"/>
      <c r="U3017" s="104"/>
      <c r="X3017" s="9"/>
    </row>
    <row r="3018" spans="1:24">
      <c r="A3018" s="29"/>
      <c r="B3018" s="30"/>
      <c r="C3018" s="8"/>
      <c r="D3018" s="8"/>
      <c r="E3018" s="8"/>
      <c r="F3018" s="8"/>
      <c r="G3018" s="30"/>
      <c r="H3018" s="8"/>
      <c r="I3018" s="30"/>
      <c r="J3018" s="8"/>
      <c r="K3018" s="30"/>
      <c r="L3018" s="8"/>
      <c r="M3018" s="9"/>
      <c r="N3018" s="9"/>
      <c r="O3018" s="9"/>
      <c r="P3018" s="9"/>
      <c r="Q3018" s="79"/>
      <c r="T3018" s="5"/>
      <c r="U3018" s="104"/>
      <c r="X3018" s="9"/>
    </row>
    <row r="3019" spans="1:24">
      <c r="A3019" s="29"/>
      <c r="B3019" s="30"/>
      <c r="C3019" s="8"/>
      <c r="D3019" s="8"/>
      <c r="E3019" s="8"/>
      <c r="F3019" s="8"/>
      <c r="G3019" s="30"/>
      <c r="H3019" s="8"/>
      <c r="I3019" s="30"/>
      <c r="J3019" s="8"/>
      <c r="K3019" s="30"/>
      <c r="L3019" s="8"/>
      <c r="M3019" s="9"/>
      <c r="N3019" s="9"/>
      <c r="O3019" s="9"/>
      <c r="P3019" s="9"/>
      <c r="Q3019" s="79"/>
      <c r="T3019" s="5"/>
      <c r="U3019" s="104"/>
      <c r="X3019" s="9"/>
    </row>
    <row r="3020" spans="1:24">
      <c r="A3020" s="29"/>
      <c r="B3020" s="30"/>
      <c r="C3020" s="8"/>
      <c r="D3020" s="8"/>
      <c r="E3020" s="8"/>
      <c r="F3020" s="8"/>
      <c r="G3020" s="30"/>
      <c r="H3020" s="8"/>
      <c r="I3020" s="30"/>
      <c r="J3020" s="8"/>
      <c r="K3020" s="30"/>
      <c r="L3020" s="8"/>
      <c r="M3020" s="9"/>
      <c r="N3020" s="9"/>
      <c r="O3020" s="9"/>
      <c r="P3020" s="9"/>
      <c r="Q3020" s="79"/>
      <c r="T3020" s="5"/>
      <c r="U3020" s="104"/>
      <c r="X3020" s="9"/>
    </row>
    <row r="3021" spans="1:24">
      <c r="A3021" s="29"/>
      <c r="B3021" s="30"/>
      <c r="C3021" s="8"/>
      <c r="D3021" s="8"/>
      <c r="E3021" s="8"/>
      <c r="F3021" s="8"/>
      <c r="G3021" s="30"/>
      <c r="H3021" s="8"/>
      <c r="I3021" s="30"/>
      <c r="J3021" s="8"/>
      <c r="K3021" s="30"/>
      <c r="L3021" s="8"/>
      <c r="M3021" s="9"/>
      <c r="N3021" s="9"/>
      <c r="O3021" s="9"/>
      <c r="P3021" s="9"/>
      <c r="Q3021" s="79"/>
      <c r="T3021" s="5"/>
      <c r="U3021" s="104"/>
      <c r="X3021" s="9"/>
    </row>
    <row r="3022" spans="1:24">
      <c r="A3022" s="29"/>
      <c r="B3022" s="30"/>
      <c r="C3022" s="8"/>
      <c r="D3022" s="8"/>
      <c r="E3022" s="8"/>
      <c r="F3022" s="8"/>
      <c r="G3022" s="30"/>
      <c r="H3022" s="8"/>
      <c r="I3022" s="30"/>
      <c r="J3022" s="8"/>
      <c r="K3022" s="30"/>
      <c r="L3022" s="8"/>
      <c r="M3022" s="9"/>
      <c r="N3022" s="9"/>
      <c r="O3022" s="9"/>
      <c r="P3022" s="9"/>
      <c r="Q3022" s="79"/>
      <c r="T3022" s="5"/>
      <c r="U3022" s="104"/>
      <c r="X3022" s="9"/>
    </row>
    <row r="3023" spans="1:24">
      <c r="A3023" s="29"/>
      <c r="B3023" s="30"/>
      <c r="C3023" s="8"/>
      <c r="D3023" s="8"/>
      <c r="E3023" s="8"/>
      <c r="F3023" s="8"/>
      <c r="G3023" s="30"/>
      <c r="H3023" s="8"/>
      <c r="I3023" s="30"/>
      <c r="J3023" s="8"/>
      <c r="K3023" s="30"/>
      <c r="L3023" s="8"/>
      <c r="M3023" s="9"/>
      <c r="N3023" s="9"/>
      <c r="O3023" s="9"/>
      <c r="P3023" s="9"/>
      <c r="Q3023" s="79"/>
      <c r="T3023" s="5"/>
      <c r="U3023" s="104"/>
      <c r="X3023" s="9"/>
    </row>
    <row r="3024" spans="1:24">
      <c r="A3024" s="29"/>
      <c r="B3024" s="30"/>
      <c r="C3024" s="8"/>
      <c r="D3024" s="8"/>
      <c r="E3024" s="8"/>
      <c r="F3024" s="8"/>
      <c r="G3024" s="30"/>
      <c r="H3024" s="8"/>
      <c r="I3024" s="30"/>
      <c r="J3024" s="8"/>
      <c r="K3024" s="30"/>
      <c r="L3024" s="8"/>
      <c r="M3024" s="9"/>
      <c r="N3024" s="9"/>
      <c r="O3024" s="9"/>
      <c r="P3024" s="9"/>
      <c r="Q3024" s="79"/>
      <c r="T3024" s="5"/>
      <c r="U3024" s="104"/>
      <c r="X3024" s="9"/>
    </row>
    <row r="3025" spans="1:24">
      <c r="A3025" s="29"/>
      <c r="B3025" s="30"/>
      <c r="C3025" s="8"/>
      <c r="D3025" s="8"/>
      <c r="E3025" s="8"/>
      <c r="F3025" s="8"/>
      <c r="G3025" s="30"/>
      <c r="H3025" s="8"/>
      <c r="I3025" s="30"/>
      <c r="J3025" s="8"/>
      <c r="K3025" s="30"/>
      <c r="L3025" s="8"/>
      <c r="M3025" s="9"/>
      <c r="N3025" s="9"/>
      <c r="O3025" s="9"/>
      <c r="P3025" s="9"/>
      <c r="Q3025" s="79"/>
      <c r="T3025" s="5"/>
      <c r="U3025" s="104"/>
      <c r="X3025" s="9"/>
    </row>
    <row r="3026" spans="1:24">
      <c r="A3026" s="29"/>
      <c r="B3026" s="30"/>
      <c r="C3026" s="8"/>
      <c r="D3026" s="8"/>
      <c r="E3026" s="8"/>
      <c r="F3026" s="8"/>
      <c r="G3026" s="30"/>
      <c r="H3026" s="8"/>
      <c r="I3026" s="30"/>
      <c r="J3026" s="8"/>
      <c r="K3026" s="30"/>
      <c r="L3026" s="8"/>
      <c r="M3026" s="9"/>
      <c r="N3026" s="9"/>
      <c r="O3026" s="9"/>
      <c r="P3026" s="9"/>
      <c r="Q3026" s="79"/>
      <c r="T3026" s="5"/>
      <c r="U3026" s="104"/>
      <c r="X3026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Q128"/>
  <sheetViews>
    <sheetView workbookViewId="0">
      <selection activeCell="A26" sqref="A26"/>
    </sheetView>
  </sheetViews>
  <sheetFormatPr baseColWidth="10" defaultColWidth="8.6640625" defaultRowHeight="15"/>
  <cols>
    <col min="1" max="1" width="10.5" bestFit="1" customWidth="1"/>
    <col min="2" max="4" width="10.6640625" style="32" customWidth="1"/>
    <col min="5" max="5" width="10.6640625" customWidth="1"/>
    <col min="14" max="14" width="9" bestFit="1" customWidth="1"/>
    <col min="17" max="17" width="11" bestFit="1" customWidth="1"/>
  </cols>
  <sheetData>
    <row r="1" spans="1:17" ht="128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425</v>
      </c>
      <c r="N1" s="31" t="s">
        <v>426</v>
      </c>
      <c r="O1" s="31" t="s">
        <v>427</v>
      </c>
      <c r="P1" s="31" t="s">
        <v>428</v>
      </c>
      <c r="Q1" s="31" t="s">
        <v>459</v>
      </c>
    </row>
    <row r="2" spans="1:17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455</v>
      </c>
      <c r="N2" s="95">
        <v>763000</v>
      </c>
      <c r="O2" s="96">
        <f>1/1000*10</f>
        <v>0.01</v>
      </c>
      <c r="P2" s="95">
        <f t="shared" ref="P2:P7" si="0">N2*O2</f>
        <v>7630</v>
      </c>
      <c r="Q2" s="103">
        <v>3.2565162051417691E-2</v>
      </c>
    </row>
    <row r="3" spans="1:17">
      <c r="A3" s="39">
        <v>45836</v>
      </c>
      <c r="B3" s="8">
        <v>23027.996446280995</v>
      </c>
      <c r="C3" s="8">
        <f>VLOOKUP(TEXT(A3,"Mmm"),Table2[],4, FALSE)</f>
        <v>6760</v>
      </c>
      <c r="D3" s="9">
        <v>15.5</v>
      </c>
      <c r="E3" s="4">
        <f>VLOOKUP(TEXT(A3,"Mmm"),Table2[],5, FALSE)</f>
        <v>3.2963928860399852E-2</v>
      </c>
      <c r="M3" t="s">
        <v>454</v>
      </c>
      <c r="N3" s="95">
        <v>710000</v>
      </c>
      <c r="O3" s="96">
        <f>1/1000*10</f>
        <v>0.01</v>
      </c>
      <c r="P3" s="95">
        <f t="shared" si="0"/>
        <v>7100</v>
      </c>
      <c r="Q3" s="103">
        <v>3.2963928860399852E-2</v>
      </c>
    </row>
    <row r="4" spans="1:17">
      <c r="A4" s="39">
        <v>45837</v>
      </c>
      <c r="B4" s="8">
        <v>23027.996446280995</v>
      </c>
      <c r="C4" s="8">
        <f>VLOOKUP(TEXT(A4,"Mmm"),Table2[],4, FALSE)</f>
        <v>6760</v>
      </c>
      <c r="D4" s="9">
        <v>15.5</v>
      </c>
      <c r="E4" s="4">
        <f>VLOOKUP(TEXT(A4,"Mmm"),Table2[],5, FALSE)</f>
        <v>3.2963928860399852E-2</v>
      </c>
      <c r="M4" t="s">
        <v>465</v>
      </c>
      <c r="N4" s="95">
        <v>676000</v>
      </c>
      <c r="O4" s="96">
        <f>1/1000*10</f>
        <v>0.01</v>
      </c>
      <c r="P4" s="95">
        <f t="shared" si="0"/>
        <v>6760</v>
      </c>
      <c r="Q4" s="103">
        <v>3.2963928860399852E-2</v>
      </c>
    </row>
    <row r="5" spans="1:17">
      <c r="A5" s="39">
        <v>45838</v>
      </c>
      <c r="B5" s="8">
        <v>23027.996446280995</v>
      </c>
      <c r="C5" s="8">
        <f>VLOOKUP(TEXT(A5,"Mmm"),Table2[],4, FALSE)</f>
        <v>6760</v>
      </c>
      <c r="D5" s="9">
        <v>15.5</v>
      </c>
      <c r="E5" s="4">
        <f>VLOOKUP(TEXT(A5,"Mmm"),Table2[],5, FALSE)</f>
        <v>3.2963928860399852E-2</v>
      </c>
      <c r="M5" t="s">
        <v>458</v>
      </c>
      <c r="N5" s="95">
        <v>500000</v>
      </c>
      <c r="O5" s="96">
        <f>1/1000*9</f>
        <v>9.0000000000000011E-3</v>
      </c>
      <c r="P5" s="95">
        <f t="shared" si="0"/>
        <v>4500.0000000000009</v>
      </c>
      <c r="Q5" s="103"/>
    </row>
    <row r="6" spans="1:17">
      <c r="A6" s="39">
        <v>45839</v>
      </c>
      <c r="B6" s="8">
        <v>23027.996446280995</v>
      </c>
      <c r="C6" s="8">
        <f>VLOOKUP(TEXT(A6,"Mmm"),Table2[],4, FALSE)</f>
        <v>7100</v>
      </c>
      <c r="D6" s="9">
        <v>15.5</v>
      </c>
      <c r="E6" s="4">
        <f>VLOOKUP(TEXT(A6,"Mmm"),Table2[],5, FALSE)</f>
        <v>3.2963928860399852E-2</v>
      </c>
      <c r="M6" t="s">
        <v>457</v>
      </c>
      <c r="N6" s="95">
        <v>480000</v>
      </c>
      <c r="O6" s="96">
        <f>1/1000*9</f>
        <v>9.0000000000000011E-3</v>
      </c>
      <c r="P6" s="95">
        <f t="shared" si="0"/>
        <v>4320.0000000000009</v>
      </c>
      <c r="Q6" s="103">
        <v>3.2079905917616398E-2</v>
      </c>
    </row>
    <row r="7" spans="1:17">
      <c r="A7" s="39">
        <v>45840</v>
      </c>
      <c r="B7" s="8">
        <v>23027.996446280995</v>
      </c>
      <c r="C7" s="8">
        <f>VLOOKUP(TEXT(A7,"Mmm"),Table2[],4, FALSE)</f>
        <v>7100</v>
      </c>
      <c r="D7" s="9">
        <v>15.5</v>
      </c>
      <c r="E7" s="4">
        <f>VLOOKUP(TEXT(A7,"Mmm"),Table2[],5, FALSE)</f>
        <v>3.2963928860399852E-2</v>
      </c>
      <c r="M7" t="s">
        <v>456</v>
      </c>
      <c r="N7" s="95">
        <v>568000</v>
      </c>
      <c r="O7" s="96">
        <f>1/1000*9</f>
        <v>9.0000000000000011E-3</v>
      </c>
      <c r="P7" s="95">
        <f t="shared" si="0"/>
        <v>5112.0000000000009</v>
      </c>
      <c r="Q7" s="103">
        <v>3.2236148876389689E-2</v>
      </c>
    </row>
    <row r="8" spans="1:17">
      <c r="A8" s="39">
        <v>45841</v>
      </c>
      <c r="B8" s="8">
        <v>23027.996446280995</v>
      </c>
      <c r="C8" s="8">
        <f>VLOOKUP(TEXT(A8,"Mmm"),Table2[],4, FALSE)</f>
        <v>7100</v>
      </c>
      <c r="D8" s="9">
        <v>15.5</v>
      </c>
      <c r="E8" s="4">
        <f>VLOOKUP(TEXT(A8,"Mmm"),Table2[],5, FALSE)</f>
        <v>3.2963928860399852E-2</v>
      </c>
    </row>
    <row r="9" spans="1:17">
      <c r="A9" s="39">
        <v>45842</v>
      </c>
      <c r="B9" s="8">
        <v>22483.541322314057</v>
      </c>
      <c r="C9" s="8">
        <f>VLOOKUP(TEXT(A9,"Mmm"),Table2[],4, FALSE)</f>
        <v>7100</v>
      </c>
      <c r="D9" s="9">
        <v>15.5</v>
      </c>
      <c r="E9" s="4">
        <f>VLOOKUP(TEXT(A9,"Mmm"),Table2[],5, FALSE)</f>
        <v>3.2963928860399852E-2</v>
      </c>
    </row>
    <row r="10" spans="1:17">
      <c r="A10" s="39">
        <v>45843</v>
      </c>
      <c r="B10" s="8">
        <v>22741.587190082653</v>
      </c>
      <c r="C10" s="8">
        <f>VLOOKUP(TEXT(A10,"Mmm"),Table2[],4, FALSE)</f>
        <v>7100</v>
      </c>
      <c r="D10" s="9">
        <v>15.5</v>
      </c>
      <c r="E10" s="4">
        <f>VLOOKUP(TEXT(A10,"Mmm"),Table2[],5, FALSE)</f>
        <v>3.2963928860399852E-2</v>
      </c>
    </row>
    <row r="11" spans="1:17">
      <c r="A11" s="39">
        <v>45844</v>
      </c>
      <c r="B11" s="8">
        <v>22483.541322314057</v>
      </c>
      <c r="C11" s="8">
        <f>VLOOKUP(TEXT(A11,"Mmm"),Table2[],4, FALSE)</f>
        <v>7100</v>
      </c>
      <c r="D11" s="9">
        <v>15.5</v>
      </c>
      <c r="E11" s="4">
        <f>VLOOKUP(TEXT(A11,"Mmm"),Table2[],5, FALSE)</f>
        <v>3.2963928860399852E-2</v>
      </c>
    </row>
    <row r="12" spans="1:17">
      <c r="A12" s="39">
        <v>45845</v>
      </c>
      <c r="B12" s="8">
        <v>23027.996446280995</v>
      </c>
      <c r="C12" s="8">
        <f>VLOOKUP(TEXT(A12,"Mmm"),Table2[],4, FALSE)</f>
        <v>7100</v>
      </c>
      <c r="D12" s="9">
        <v>15.5</v>
      </c>
      <c r="E12" s="4">
        <f>VLOOKUP(TEXT(A12,"Mmm"),Table2[],5, FALSE)</f>
        <v>3.2963928860399852E-2</v>
      </c>
    </row>
    <row r="13" spans="1:17">
      <c r="A13" s="39">
        <v>45846</v>
      </c>
      <c r="B13" s="8">
        <v>23027.996446280995</v>
      </c>
      <c r="C13" s="8">
        <f>VLOOKUP(TEXT(A13,"Mmm"),Table2[],4, FALSE)</f>
        <v>7100</v>
      </c>
      <c r="D13" s="9">
        <v>15.5</v>
      </c>
      <c r="E13" s="4">
        <f>VLOOKUP(TEXT(A13,"Mmm"),Table2[],5, FALSE)</f>
        <v>3.2963928860399852E-2</v>
      </c>
    </row>
    <row r="14" spans="1:17">
      <c r="A14" s="39">
        <v>45847</v>
      </c>
      <c r="B14" s="8">
        <v>23027.996446280995</v>
      </c>
      <c r="C14" s="8">
        <f>VLOOKUP(TEXT(A14,"Mmm"),Table2[],4, FALSE)</f>
        <v>7100</v>
      </c>
      <c r="D14" s="9">
        <v>15.5</v>
      </c>
      <c r="E14" s="4">
        <f>VLOOKUP(TEXT(A14,"Mmm"),Table2[],5, FALSE)</f>
        <v>3.2963928860399852E-2</v>
      </c>
    </row>
    <row r="15" spans="1:17">
      <c r="A15" s="39">
        <v>45848</v>
      </c>
      <c r="B15" s="8">
        <v>23027.996446280995</v>
      </c>
      <c r="C15" s="8">
        <f>VLOOKUP(TEXT(A15,"Mmm"),Table2[],4, FALSE)</f>
        <v>7100</v>
      </c>
      <c r="D15" s="9">
        <v>15.5</v>
      </c>
      <c r="E15" s="4">
        <f>VLOOKUP(TEXT(A15,"Mmm"),Table2[],5, FALSE)</f>
        <v>3.2963928860399852E-2</v>
      </c>
    </row>
    <row r="16" spans="1:17">
      <c r="A16" s="39">
        <v>45849</v>
      </c>
      <c r="B16" s="8">
        <v>23027.996446280995</v>
      </c>
      <c r="C16" s="8">
        <f>VLOOKUP(TEXT(A16,"Mmm"),Table2[],4, FALSE)</f>
        <v>7100</v>
      </c>
      <c r="D16" s="9">
        <v>15.5</v>
      </c>
      <c r="E16" s="4">
        <f>VLOOKUP(TEXT(A16,"Mmm"),Table2[],5, FALSE)</f>
        <v>3.2963928860399852E-2</v>
      </c>
    </row>
    <row r="17" spans="1:5">
      <c r="A17" s="39">
        <v>45850</v>
      </c>
      <c r="B17" s="8">
        <v>22741.587190082653</v>
      </c>
      <c r="C17" s="8">
        <f>VLOOKUP(TEXT(A17,"Mmm"),Table2[],4, FALSE)</f>
        <v>7100</v>
      </c>
      <c r="D17" s="9">
        <v>15.5</v>
      </c>
      <c r="E17" s="4">
        <f>VLOOKUP(TEXT(A17,"Mmm"),Table2[],5, FALSE)</f>
        <v>3.2963928860399852E-2</v>
      </c>
    </row>
    <row r="18" spans="1:5">
      <c r="A18" s="39">
        <v>45851</v>
      </c>
      <c r="B18" s="8">
        <v>22483.541322314057</v>
      </c>
      <c r="C18" s="8">
        <f>VLOOKUP(TEXT(A18,"Mmm"),Table2[],4, FALSE)</f>
        <v>7100</v>
      </c>
      <c r="D18" s="9">
        <v>15.5</v>
      </c>
      <c r="E18" s="4">
        <f>VLOOKUP(TEXT(A18,"Mmm"),Table2[],5, FALSE)</f>
        <v>3.2963928860399852E-2</v>
      </c>
    </row>
    <row r="19" spans="1:5">
      <c r="A19" s="39">
        <v>45852</v>
      </c>
      <c r="B19" s="8">
        <v>23027.996446280995</v>
      </c>
      <c r="C19" s="8">
        <f>VLOOKUP(TEXT(A19,"Mmm"),Table2[],4, FALSE)</f>
        <v>7100</v>
      </c>
      <c r="D19" s="9">
        <v>15.5</v>
      </c>
      <c r="E19" s="4">
        <f>VLOOKUP(TEXT(A19,"Mmm"),Table2[],5, FALSE)</f>
        <v>3.2963928860399852E-2</v>
      </c>
    </row>
    <row r="20" spans="1:5">
      <c r="A20" s="39">
        <v>45853</v>
      </c>
      <c r="B20" s="8">
        <v>23027.996446280995</v>
      </c>
      <c r="C20" s="8">
        <f>VLOOKUP(TEXT(A20,"Mmm"),Table2[],4, FALSE)</f>
        <v>7100</v>
      </c>
      <c r="D20" s="9">
        <v>15.5</v>
      </c>
      <c r="E20" s="4">
        <f>VLOOKUP(TEXT(A20,"Mmm"),Table2[],5, FALSE)</f>
        <v>3.2963928860399852E-2</v>
      </c>
    </row>
    <row r="21" spans="1:5">
      <c r="A21" s="39">
        <v>45854</v>
      </c>
      <c r="B21" s="8">
        <v>23027.996446280995</v>
      </c>
      <c r="C21" s="8">
        <f>VLOOKUP(TEXT(A21,"Mmm"),Table2[],4, FALSE)</f>
        <v>7100</v>
      </c>
      <c r="D21" s="9">
        <v>15.5</v>
      </c>
      <c r="E21" s="4">
        <f>VLOOKUP(TEXT(A21,"Mmm"),Table2[],5, FALSE)</f>
        <v>3.2963928860399852E-2</v>
      </c>
    </row>
    <row r="22" spans="1:5">
      <c r="A22" s="39">
        <v>45855</v>
      </c>
      <c r="B22" s="8">
        <v>23027.996446280995</v>
      </c>
      <c r="C22" s="8">
        <f>VLOOKUP(TEXT(A22,"Mmm"),Table2[],4, FALSE)</f>
        <v>7100</v>
      </c>
      <c r="D22" s="9">
        <v>15.5</v>
      </c>
      <c r="E22" s="4">
        <f>VLOOKUP(TEXT(A22,"Mmm"),Table2[],5, FALSE)</f>
        <v>3.2963928860399852E-2</v>
      </c>
    </row>
    <row r="23" spans="1:5">
      <c r="A23" s="39">
        <v>45856</v>
      </c>
      <c r="B23" s="8">
        <v>23027.996446280995</v>
      </c>
      <c r="C23" s="8">
        <f>VLOOKUP(TEXT(A23,"Mmm"),Table2[],4, FALSE)</f>
        <v>7100</v>
      </c>
      <c r="D23" s="9">
        <v>15.5</v>
      </c>
      <c r="E23" s="4">
        <f>VLOOKUP(TEXT(A23,"Mmm"),Table2[],5, FALSE)</f>
        <v>3.2963928860399852E-2</v>
      </c>
    </row>
    <row r="24" spans="1:5">
      <c r="A24" s="39">
        <v>45857</v>
      </c>
      <c r="B24" s="8">
        <v>22741.587190082653</v>
      </c>
      <c r="C24" s="8">
        <f>VLOOKUP(TEXT(A24,"Mmm"),Table2[],4, FALSE)</f>
        <v>7100</v>
      </c>
      <c r="D24" s="9">
        <v>15.5</v>
      </c>
      <c r="E24" s="4">
        <f>VLOOKUP(TEXT(A24,"Mmm"),Table2[],5, FALSE)</f>
        <v>3.2963928860399852E-2</v>
      </c>
    </row>
    <row r="25" spans="1:5">
      <c r="A25" s="39">
        <v>45858</v>
      </c>
      <c r="B25" s="8">
        <v>22483.541322314057</v>
      </c>
      <c r="C25" s="8">
        <f>VLOOKUP(TEXT(A25,"Mmm"),Table2[],4, FALSE)</f>
        <v>7100</v>
      </c>
      <c r="D25" s="9">
        <v>15.5</v>
      </c>
      <c r="E25" s="4">
        <f>VLOOKUP(TEXT(A25,"Mmm"),Table2[],5, FALSE)</f>
        <v>3.2963928860399852E-2</v>
      </c>
    </row>
    <row r="26" spans="1:5">
      <c r="A26" s="39">
        <v>45859</v>
      </c>
      <c r="B26" s="8">
        <v>23027.996446280995</v>
      </c>
      <c r="C26" s="8">
        <f>VLOOKUP(TEXT(A26,"Mmm"),Table2[],4, FALSE)</f>
        <v>7100</v>
      </c>
      <c r="D26" s="9">
        <v>15.5</v>
      </c>
      <c r="E26" s="4">
        <f>VLOOKUP(TEXT(A26,"Mmm"),Table2[],5, FALSE)</f>
        <v>3.2963928860399852E-2</v>
      </c>
    </row>
    <row r="27" spans="1:5">
      <c r="A27" s="39">
        <v>45860</v>
      </c>
      <c r="B27" s="8">
        <v>23027.996446280995</v>
      </c>
      <c r="C27" s="8">
        <f>VLOOKUP(TEXT(A27,"Mmm"),Table2[],4, FALSE)</f>
        <v>7100</v>
      </c>
      <c r="D27" s="9">
        <v>15.5</v>
      </c>
      <c r="E27" s="4">
        <f>VLOOKUP(TEXT(A27,"Mmm"),Table2[],5, FALSE)</f>
        <v>3.2963928860399852E-2</v>
      </c>
    </row>
    <row r="28" spans="1:5">
      <c r="A28" s="39">
        <v>45861</v>
      </c>
      <c r="B28" s="8">
        <v>23027.996446280995</v>
      </c>
      <c r="C28" s="8">
        <f>VLOOKUP(TEXT(A28,"Mmm"),Table2[],4, FALSE)</f>
        <v>7100</v>
      </c>
      <c r="D28" s="9">
        <v>15.5</v>
      </c>
      <c r="E28" s="4">
        <f>VLOOKUP(TEXT(A28,"Mmm"),Table2[],5, FALSE)</f>
        <v>3.2963928860399852E-2</v>
      </c>
    </row>
    <row r="29" spans="1:5">
      <c r="A29" s="39">
        <v>45862</v>
      </c>
      <c r="B29" s="8">
        <v>23027.996446280995</v>
      </c>
      <c r="C29" s="8">
        <f>VLOOKUP(TEXT(A29,"Mmm"),Table2[],4, FALSE)</f>
        <v>7100</v>
      </c>
      <c r="D29" s="9">
        <v>15.5</v>
      </c>
      <c r="E29" s="4">
        <f>VLOOKUP(TEXT(A29,"Mmm"),Table2[],5, FALSE)</f>
        <v>3.2963928860399852E-2</v>
      </c>
    </row>
    <row r="30" spans="1:5">
      <c r="A30" s="39">
        <v>45863</v>
      </c>
      <c r="B30" s="8">
        <v>23027.996446280995</v>
      </c>
      <c r="C30" s="8">
        <f>VLOOKUP(TEXT(A30,"Mmm"),Table2[],4, FALSE)</f>
        <v>7100</v>
      </c>
      <c r="D30" s="9">
        <v>15.5</v>
      </c>
      <c r="E30" s="4">
        <f>VLOOKUP(TEXT(A30,"Mmm"),Table2[],5, FALSE)</f>
        <v>3.2963928860399852E-2</v>
      </c>
    </row>
    <row r="31" spans="1:5">
      <c r="A31" s="39">
        <v>45864</v>
      </c>
      <c r="B31" s="8">
        <v>22741.587190082653</v>
      </c>
      <c r="C31" s="8">
        <f>VLOOKUP(TEXT(A31,"Mmm"),Table2[],4, FALSE)</f>
        <v>7100</v>
      </c>
      <c r="D31" s="9">
        <v>15.5</v>
      </c>
      <c r="E31" s="4">
        <f>VLOOKUP(TEXT(A31,"Mmm"),Table2[],5, FALSE)</f>
        <v>3.2963928860399852E-2</v>
      </c>
    </row>
    <row r="32" spans="1:5">
      <c r="A32" s="39">
        <v>45865</v>
      </c>
      <c r="B32" s="8">
        <v>22483.541322314057</v>
      </c>
      <c r="C32" s="8">
        <f>VLOOKUP(TEXT(A32,"Mmm"),Table2[],4, FALSE)</f>
        <v>7100</v>
      </c>
      <c r="D32" s="9">
        <v>15.5</v>
      </c>
      <c r="E32" s="4">
        <f>VLOOKUP(TEXT(A32,"Mmm"),Table2[],5, FALSE)</f>
        <v>3.2963928860399852E-2</v>
      </c>
    </row>
    <row r="33" spans="1:5">
      <c r="A33" s="39">
        <v>45866</v>
      </c>
      <c r="B33" s="8">
        <v>23027.996446280995</v>
      </c>
      <c r="C33" s="8">
        <f>VLOOKUP(TEXT(A33,"Mmm"),Table2[],4, FALSE)</f>
        <v>7100</v>
      </c>
      <c r="D33" s="9">
        <v>15.5</v>
      </c>
      <c r="E33" s="4">
        <f>VLOOKUP(TEXT(A33,"Mmm"),Table2[],5, FALSE)</f>
        <v>3.2963928860399852E-2</v>
      </c>
    </row>
    <row r="34" spans="1:5">
      <c r="A34" s="39">
        <v>45867</v>
      </c>
      <c r="B34" s="8">
        <v>23027.996446280995</v>
      </c>
      <c r="C34" s="8">
        <f>VLOOKUP(TEXT(A34,"Mmm"),Table2[],4, FALSE)</f>
        <v>7100</v>
      </c>
      <c r="D34" s="9">
        <v>15.5</v>
      </c>
      <c r="E34" s="4">
        <f>VLOOKUP(TEXT(A34,"Mmm"),Table2[],5, FALSE)</f>
        <v>3.2963928860399852E-2</v>
      </c>
    </row>
    <row r="35" spans="1:5">
      <c r="A35" s="39">
        <v>45868</v>
      </c>
      <c r="B35" s="8">
        <v>23027.996446280995</v>
      </c>
      <c r="C35" s="8">
        <f>VLOOKUP(TEXT(A35,"Mmm"),Table2[],4, FALSE)</f>
        <v>7100</v>
      </c>
      <c r="D35" s="9">
        <v>15.5</v>
      </c>
      <c r="E35" s="4">
        <f>VLOOKUP(TEXT(A35,"Mmm"),Table2[],5, FALSE)</f>
        <v>3.2963928860399852E-2</v>
      </c>
    </row>
    <row r="36" spans="1:5">
      <c r="A36" s="39">
        <v>45869</v>
      </c>
      <c r="B36" s="8">
        <v>23027.996446280995</v>
      </c>
      <c r="C36" s="8">
        <f>VLOOKUP(TEXT(A36,"Mmm"),Table2[],4, FALSE)</f>
        <v>7100</v>
      </c>
      <c r="D36" s="9">
        <v>15.5</v>
      </c>
      <c r="E36" s="4">
        <f>VLOOKUP(TEXT(A36,"Mmm"),Table2[],5, FALSE)</f>
        <v>3.2963928860399852E-2</v>
      </c>
    </row>
    <row r="37" spans="1:5">
      <c r="A37" s="39">
        <v>45870</v>
      </c>
      <c r="B37" s="8">
        <v>24850.188429752059</v>
      </c>
      <c r="C37" s="8">
        <f>VLOOKUP(TEXT(A37,"Mmm"),Table2[],4, FALSE)</f>
        <v>7630</v>
      </c>
      <c r="D37" s="9">
        <v>15.5</v>
      </c>
      <c r="E37" s="4">
        <f>VLOOKUP(TEXT(A37,"Mmm"),Table2[],5, FALSE)</f>
        <v>3.2565162051417691E-2</v>
      </c>
    </row>
    <row r="38" spans="1:5">
      <c r="A38" s="39">
        <v>45871</v>
      </c>
      <c r="B38" s="8">
        <v>23753.801404958675</v>
      </c>
      <c r="C38" s="8">
        <f>VLOOKUP(TEXT(A38,"Mmm"),Table2[],4, FALSE)</f>
        <v>7630</v>
      </c>
      <c r="D38" s="9">
        <v>15.5</v>
      </c>
      <c r="E38" s="4">
        <f>VLOOKUP(TEXT(A38,"Mmm"),Table2[],5, FALSE)</f>
        <v>3.2565162051417691E-2</v>
      </c>
    </row>
    <row r="39" spans="1:5">
      <c r="A39" s="39">
        <v>45872</v>
      </c>
      <c r="B39" s="8">
        <v>23275.408595041321</v>
      </c>
      <c r="C39" s="8">
        <f>VLOOKUP(TEXT(A39,"Mmm"),Table2[],4, FALSE)</f>
        <v>7630</v>
      </c>
      <c r="D39" s="9">
        <v>15.5</v>
      </c>
      <c r="E39" s="4">
        <f>VLOOKUP(TEXT(A39,"Mmm"),Table2[],5, FALSE)</f>
        <v>3.2565162051417691E-2</v>
      </c>
    </row>
    <row r="40" spans="1:5">
      <c r="A40" s="39">
        <v>45873</v>
      </c>
      <c r="B40" s="8">
        <v>24850.188429752059</v>
      </c>
      <c r="C40" s="8">
        <f>VLOOKUP(TEXT(A40,"Mmm"),Table2[],4, FALSE)</f>
        <v>7630</v>
      </c>
      <c r="D40" s="9">
        <v>15.5</v>
      </c>
      <c r="E40" s="4">
        <f>VLOOKUP(TEXT(A40,"Mmm"),Table2[],5, FALSE)</f>
        <v>3.2565162051417691E-2</v>
      </c>
    </row>
    <row r="41" spans="1:5">
      <c r="A41" s="39">
        <v>45874</v>
      </c>
      <c r="B41" s="8">
        <v>24850.188429752059</v>
      </c>
      <c r="C41" s="8">
        <f>VLOOKUP(TEXT(A41,"Mmm"),Table2[],4, FALSE)</f>
        <v>7630</v>
      </c>
      <c r="D41" s="9">
        <v>15.5</v>
      </c>
      <c r="E41" s="4">
        <f>VLOOKUP(TEXT(A41,"Mmm"),Table2[],5, FALSE)</f>
        <v>3.2565162051417691E-2</v>
      </c>
    </row>
    <row r="42" spans="1:5">
      <c r="A42" s="39">
        <v>45875</v>
      </c>
      <c r="B42" s="8">
        <v>24850.188429752059</v>
      </c>
      <c r="C42" s="8">
        <f>VLOOKUP(TEXT(A42,"Mmm"),Table2[],4, FALSE)</f>
        <v>7630</v>
      </c>
      <c r="D42" s="9">
        <v>15.5</v>
      </c>
      <c r="E42" s="4">
        <f>VLOOKUP(TEXT(A42,"Mmm"),Table2[],5, FALSE)</f>
        <v>3.2565162051417691E-2</v>
      </c>
    </row>
    <row r="43" spans="1:5">
      <c r="A43" s="39">
        <v>45876</v>
      </c>
      <c r="B43" s="8">
        <v>24850.188429752059</v>
      </c>
      <c r="C43" s="8">
        <f>VLOOKUP(TEXT(A43,"Mmm"),Table2[],4, FALSE)</f>
        <v>7630</v>
      </c>
      <c r="D43" s="9">
        <v>15.5</v>
      </c>
      <c r="E43" s="4">
        <f>VLOOKUP(TEXT(A43,"Mmm"),Table2[],5, FALSE)</f>
        <v>3.2565162051417691E-2</v>
      </c>
    </row>
    <row r="44" spans="1:5">
      <c r="A44" s="39">
        <v>45877</v>
      </c>
      <c r="B44" s="8">
        <v>24850.188429752059</v>
      </c>
      <c r="C44" s="8">
        <f>VLOOKUP(TEXT(A44,"Mmm"),Table2[],4, FALSE)</f>
        <v>7630</v>
      </c>
      <c r="D44" s="9">
        <v>15.5</v>
      </c>
      <c r="E44" s="4">
        <f>VLOOKUP(TEXT(A44,"Mmm"),Table2[],5, FALSE)</f>
        <v>3.2565162051417691E-2</v>
      </c>
    </row>
    <row r="45" spans="1:5">
      <c r="A45" s="39">
        <v>45878</v>
      </c>
      <c r="B45" s="8">
        <v>23753.801404958675</v>
      </c>
      <c r="C45" s="8">
        <f>VLOOKUP(TEXT(A45,"Mmm"),Table2[],4, FALSE)</f>
        <v>7630</v>
      </c>
      <c r="D45" s="9">
        <v>15.5</v>
      </c>
      <c r="E45" s="4">
        <f>VLOOKUP(TEXT(A45,"Mmm"),Table2[],5, FALSE)</f>
        <v>3.2565162051417691E-2</v>
      </c>
    </row>
    <row r="46" spans="1:5">
      <c r="A46" s="39">
        <v>45879</v>
      </c>
      <c r="B46" s="8">
        <v>23275.408595041321</v>
      </c>
      <c r="C46" s="8">
        <f>VLOOKUP(TEXT(A46,"Mmm"),Table2[],4, FALSE)</f>
        <v>7630</v>
      </c>
      <c r="D46" s="9">
        <v>15.5</v>
      </c>
      <c r="E46" s="4">
        <f>VLOOKUP(TEXT(A46,"Mmm"),Table2[],5, FALSE)</f>
        <v>3.2565162051417691E-2</v>
      </c>
    </row>
    <row r="47" spans="1:5">
      <c r="A47" s="39">
        <v>45880</v>
      </c>
      <c r="B47" s="8">
        <v>24850.188429752059</v>
      </c>
      <c r="C47" s="8">
        <f>VLOOKUP(TEXT(A47,"Mmm"),Table2[],4, FALSE)</f>
        <v>7630</v>
      </c>
      <c r="D47" s="9">
        <v>15.5</v>
      </c>
      <c r="E47" s="4">
        <f>VLOOKUP(TEXT(A47,"Mmm"),Table2[],5, FALSE)</f>
        <v>3.2565162051417691E-2</v>
      </c>
    </row>
    <row r="48" spans="1:5">
      <c r="A48" s="39">
        <v>45881</v>
      </c>
      <c r="B48" s="8">
        <v>24850.188429752059</v>
      </c>
      <c r="C48" s="8">
        <f>VLOOKUP(TEXT(A48,"Mmm"),Table2[],4, FALSE)</f>
        <v>7630</v>
      </c>
      <c r="D48" s="9">
        <v>15.5</v>
      </c>
      <c r="E48" s="4">
        <f>VLOOKUP(TEXT(A48,"Mmm"),Table2[],5, FALSE)</f>
        <v>3.2565162051417691E-2</v>
      </c>
    </row>
    <row r="49" spans="1:5">
      <c r="A49" s="39">
        <v>45882</v>
      </c>
      <c r="B49" s="8">
        <v>24850.188429752059</v>
      </c>
      <c r="C49" s="8">
        <f>VLOOKUP(TEXT(A49,"Mmm"),Table2[],4, FALSE)</f>
        <v>7630</v>
      </c>
      <c r="D49" s="9">
        <v>15.5</v>
      </c>
      <c r="E49" s="4">
        <f>VLOOKUP(TEXT(A49,"Mmm"),Table2[],5, FALSE)</f>
        <v>3.2565162051417691E-2</v>
      </c>
    </row>
    <row r="50" spans="1:5">
      <c r="A50" s="39">
        <v>45883</v>
      </c>
      <c r="B50" s="8">
        <v>24850.188429752059</v>
      </c>
      <c r="C50" s="8">
        <f>VLOOKUP(TEXT(A50,"Mmm"),Table2[],4, FALSE)</f>
        <v>7630</v>
      </c>
      <c r="D50" s="9">
        <v>15.5</v>
      </c>
      <c r="E50" s="4">
        <f>VLOOKUP(TEXT(A50,"Mmm"),Table2[],5, FALSE)</f>
        <v>3.2565162051417691E-2</v>
      </c>
    </row>
    <row r="51" spans="1:5">
      <c r="A51" s="39">
        <v>45884</v>
      </c>
      <c r="B51" s="8">
        <v>24850.188429752059</v>
      </c>
      <c r="C51" s="8">
        <f>VLOOKUP(TEXT(A51,"Mmm"),Table2[],4, FALSE)</f>
        <v>7630</v>
      </c>
      <c r="D51" s="9">
        <v>15.5</v>
      </c>
      <c r="E51" s="4">
        <f>VLOOKUP(TEXT(A51,"Mmm"),Table2[],5, FALSE)</f>
        <v>3.2565162051417691E-2</v>
      </c>
    </row>
    <row r="52" spans="1:5">
      <c r="A52" s="39">
        <v>45885</v>
      </c>
      <c r="B52" s="8">
        <v>23753.801404958675</v>
      </c>
      <c r="C52" s="8">
        <f>VLOOKUP(TEXT(A52,"Mmm"),Table2[],4, FALSE)</f>
        <v>7630</v>
      </c>
      <c r="D52" s="9">
        <v>15.5</v>
      </c>
      <c r="E52" s="4">
        <f>VLOOKUP(TEXT(A52,"Mmm"),Table2[],5, FALSE)</f>
        <v>3.2565162051417691E-2</v>
      </c>
    </row>
    <row r="53" spans="1:5">
      <c r="A53" s="39">
        <v>45886</v>
      </c>
      <c r="B53" s="8">
        <v>23275.408595041321</v>
      </c>
      <c r="C53" s="8">
        <f>VLOOKUP(TEXT(A53,"Mmm"),Table2[],4, FALSE)</f>
        <v>7630</v>
      </c>
      <c r="D53" s="9">
        <v>15.5</v>
      </c>
      <c r="E53" s="4">
        <f>VLOOKUP(TEXT(A53,"Mmm"),Table2[],5, FALSE)</f>
        <v>3.2565162051417691E-2</v>
      </c>
    </row>
    <row r="54" spans="1:5">
      <c r="A54" s="39">
        <v>45887</v>
      </c>
      <c r="B54" s="8">
        <v>24850.188429752059</v>
      </c>
      <c r="C54" s="8">
        <f>VLOOKUP(TEXT(A54,"Mmm"),Table2[],4, FALSE)</f>
        <v>7630</v>
      </c>
      <c r="D54" s="9">
        <v>15.5</v>
      </c>
      <c r="E54" s="4">
        <f>VLOOKUP(TEXT(A54,"Mmm"),Table2[],5, FALSE)</f>
        <v>3.2565162051417691E-2</v>
      </c>
    </row>
    <row r="55" spans="1:5">
      <c r="A55" s="39">
        <v>45888</v>
      </c>
      <c r="B55" s="8">
        <v>24850.188429752059</v>
      </c>
      <c r="C55" s="8">
        <f>VLOOKUP(TEXT(A55,"Mmm"),Table2[],4, FALSE)</f>
        <v>7630</v>
      </c>
      <c r="D55" s="9">
        <v>15.5</v>
      </c>
      <c r="E55" s="4">
        <f>VLOOKUP(TEXT(A55,"Mmm"),Table2[],5, FALSE)</f>
        <v>3.2565162051417691E-2</v>
      </c>
    </row>
    <row r="56" spans="1:5">
      <c r="A56" s="39">
        <v>45889</v>
      </c>
      <c r="B56" s="8">
        <v>24850.188429752059</v>
      </c>
      <c r="C56" s="8">
        <f>VLOOKUP(TEXT(A56,"Mmm"),Table2[],4, FALSE)</f>
        <v>7630</v>
      </c>
      <c r="D56" s="9">
        <v>15.5</v>
      </c>
      <c r="E56" s="4">
        <f>VLOOKUP(TEXT(A56,"Mmm"),Table2[],5, FALSE)</f>
        <v>3.2565162051417691E-2</v>
      </c>
    </row>
    <row r="57" spans="1:5">
      <c r="A57" s="39">
        <v>45890</v>
      </c>
      <c r="B57" s="8">
        <v>24850.188429752059</v>
      </c>
      <c r="C57" s="8">
        <f>VLOOKUP(TEXT(A57,"Mmm"),Table2[],4, FALSE)</f>
        <v>7630</v>
      </c>
      <c r="D57" s="9">
        <v>15.5</v>
      </c>
      <c r="E57" s="4">
        <f>VLOOKUP(TEXT(A57,"Mmm"),Table2[],5, FALSE)</f>
        <v>3.2565162051417691E-2</v>
      </c>
    </row>
    <row r="58" spans="1:5">
      <c r="A58" s="39">
        <v>45891</v>
      </c>
      <c r="B58" s="8">
        <v>24850.188429752059</v>
      </c>
      <c r="C58" s="8">
        <f>VLOOKUP(TEXT(A58,"Mmm"),Table2[],4, FALSE)</f>
        <v>7630</v>
      </c>
      <c r="D58" s="9">
        <v>15.5</v>
      </c>
      <c r="E58" s="4">
        <f>VLOOKUP(TEXT(A58,"Mmm"),Table2[],5, FALSE)</f>
        <v>3.2565162051417691E-2</v>
      </c>
    </row>
    <row r="59" spans="1:5">
      <c r="A59" s="39">
        <v>45892</v>
      </c>
      <c r="B59" s="8">
        <v>23753.801404958675</v>
      </c>
      <c r="C59" s="8">
        <f>VLOOKUP(TEXT(A59,"Mmm"),Table2[],4, FALSE)</f>
        <v>7630</v>
      </c>
      <c r="D59" s="9">
        <v>15.5</v>
      </c>
      <c r="E59" s="4">
        <f>VLOOKUP(TEXT(A59,"Mmm"),Table2[],5, FALSE)</f>
        <v>3.2565162051417691E-2</v>
      </c>
    </row>
    <row r="60" spans="1:5">
      <c r="A60" s="39">
        <v>45893</v>
      </c>
      <c r="B60" s="8">
        <v>23275.408595041321</v>
      </c>
      <c r="C60" s="8">
        <f>VLOOKUP(TEXT(A60,"Mmm"),Table2[],4, FALSE)</f>
        <v>7630</v>
      </c>
      <c r="D60" s="9">
        <v>15.5</v>
      </c>
      <c r="E60" s="4">
        <f>VLOOKUP(TEXT(A60,"Mmm"),Table2[],5, FALSE)</f>
        <v>3.2565162051417691E-2</v>
      </c>
    </row>
    <row r="61" spans="1:5">
      <c r="A61" s="39">
        <v>45894</v>
      </c>
      <c r="B61" s="8">
        <v>24850.188429752059</v>
      </c>
      <c r="C61" s="8">
        <f>VLOOKUP(TEXT(A61,"Mmm"),Table2[],4, FALSE)</f>
        <v>7630</v>
      </c>
      <c r="D61" s="9">
        <v>15.5</v>
      </c>
      <c r="E61" s="4">
        <f>VLOOKUP(TEXT(A61,"Mmm"),Table2[],5, FALSE)</f>
        <v>3.2565162051417691E-2</v>
      </c>
    </row>
    <row r="62" spans="1:5">
      <c r="A62" s="39">
        <v>45895</v>
      </c>
      <c r="B62" s="8">
        <v>24850.188429752059</v>
      </c>
      <c r="C62" s="8">
        <f>VLOOKUP(TEXT(A62,"Mmm"),Table2[],4, FALSE)</f>
        <v>7630</v>
      </c>
      <c r="D62" s="9">
        <v>15.5</v>
      </c>
      <c r="E62" s="4">
        <f>VLOOKUP(TEXT(A62,"Mmm"),Table2[],5, FALSE)</f>
        <v>3.2565162051417691E-2</v>
      </c>
    </row>
    <row r="63" spans="1:5">
      <c r="A63" s="39">
        <v>45896</v>
      </c>
      <c r="B63" s="8">
        <v>24850.188429752059</v>
      </c>
      <c r="C63" s="8">
        <f>VLOOKUP(TEXT(A63,"Mmm"),Table2[],4, FALSE)</f>
        <v>7630</v>
      </c>
      <c r="D63" s="9">
        <v>15.5</v>
      </c>
      <c r="E63" s="4">
        <f>VLOOKUP(TEXT(A63,"Mmm"),Table2[],5, FALSE)</f>
        <v>3.2565162051417691E-2</v>
      </c>
    </row>
    <row r="64" spans="1:5">
      <c r="A64" s="39">
        <v>45897</v>
      </c>
      <c r="B64" s="8">
        <v>24850.188429752059</v>
      </c>
      <c r="C64" s="8">
        <f>VLOOKUP(TEXT(A64,"Mmm"),Table2[],4, FALSE)</f>
        <v>7630</v>
      </c>
      <c r="D64" s="9">
        <v>15.5</v>
      </c>
      <c r="E64" s="4">
        <f>VLOOKUP(TEXT(A64,"Mmm"),Table2[],5, FALSE)</f>
        <v>3.2565162051417691E-2</v>
      </c>
    </row>
    <row r="65" spans="1:5">
      <c r="A65" s="39">
        <v>45898</v>
      </c>
      <c r="B65" s="8">
        <v>24850.188429752059</v>
      </c>
      <c r="C65" s="8">
        <f>VLOOKUP(TEXT(A65,"Mmm"),Table2[],4, FALSE)</f>
        <v>7630</v>
      </c>
      <c r="D65" s="9">
        <v>15.5</v>
      </c>
      <c r="E65" s="4">
        <f>VLOOKUP(TEXT(A65,"Mmm"),Table2[],5, FALSE)</f>
        <v>3.2565162051417691E-2</v>
      </c>
    </row>
    <row r="66" spans="1:5">
      <c r="A66" s="39">
        <v>45899</v>
      </c>
      <c r="B66" s="8">
        <v>23753.801404958675</v>
      </c>
      <c r="C66" s="8">
        <f>VLOOKUP(TEXT(A66,"Mmm"),Table2[],4, FALSE)</f>
        <v>7630</v>
      </c>
      <c r="D66" s="9">
        <v>15.5</v>
      </c>
      <c r="E66" s="4">
        <f>VLOOKUP(TEXT(A66,"Mmm"),Table2[],5, FALSE)</f>
        <v>3.2565162051417691E-2</v>
      </c>
    </row>
    <row r="67" spans="1:5">
      <c r="A67" s="39">
        <v>45900</v>
      </c>
      <c r="B67" s="8">
        <v>23275.408595041321</v>
      </c>
      <c r="C67" s="8">
        <f>VLOOKUP(TEXT(A67,"Mmm"),Table2[],4, FALSE)</f>
        <v>7630</v>
      </c>
      <c r="D67" s="9">
        <v>15.5</v>
      </c>
      <c r="E67" s="4">
        <f>VLOOKUP(TEXT(A67,"Mmm"),Table2[],5, FALSE)</f>
        <v>3.2565162051417691E-2</v>
      </c>
    </row>
    <row r="68" spans="1:5">
      <c r="A68" s="39">
        <v>45901</v>
      </c>
      <c r="B68" s="8">
        <v>18374.546859504131</v>
      </c>
      <c r="C68" s="8">
        <f>VLOOKUP(TEXT(A68,"Mmm"),Table2[],4, FALSE)</f>
        <v>5112.0000000000009</v>
      </c>
      <c r="D68" s="9">
        <v>15.5</v>
      </c>
      <c r="E68" s="4">
        <f>VLOOKUP(TEXT(A68,"Mmm"),Table2[],5, FALSE)</f>
        <v>3.2236148876389689E-2</v>
      </c>
    </row>
    <row r="69" spans="1:5">
      <c r="A69" s="39">
        <v>45902</v>
      </c>
      <c r="B69" s="8">
        <v>19039.413884297523</v>
      </c>
      <c r="C69" s="8">
        <f>VLOOKUP(TEXT(A69,"Mmm"),Table2[],4, FALSE)</f>
        <v>5112.0000000000009</v>
      </c>
      <c r="D69" s="9">
        <v>15.5</v>
      </c>
      <c r="E69" s="4">
        <f>VLOOKUP(TEXT(A69,"Mmm"),Table2[],5, FALSE)</f>
        <v>3.2236148876389689E-2</v>
      </c>
    </row>
    <row r="70" spans="1:5">
      <c r="A70" s="39">
        <v>45903</v>
      </c>
      <c r="B70" s="8">
        <v>19039.413884297523</v>
      </c>
      <c r="C70" s="8">
        <f>VLOOKUP(TEXT(A70,"Mmm"),Table2[],4, FALSE)</f>
        <v>5112.0000000000009</v>
      </c>
      <c r="D70" s="9">
        <v>15.5</v>
      </c>
      <c r="E70" s="4">
        <f>VLOOKUP(TEXT(A70,"Mmm"),Table2[],5, FALSE)</f>
        <v>3.2236148876389689E-2</v>
      </c>
    </row>
    <row r="71" spans="1:5">
      <c r="A71" s="39">
        <v>45904</v>
      </c>
      <c r="B71" s="8">
        <v>19039.413884297523</v>
      </c>
      <c r="C71" s="8">
        <f>VLOOKUP(TEXT(A71,"Mmm"),Table2[],4, FALSE)</f>
        <v>5112.0000000000009</v>
      </c>
      <c r="D71" s="9">
        <v>15.5</v>
      </c>
      <c r="E71" s="4">
        <f>VLOOKUP(TEXT(A71,"Mmm"),Table2[],5, FALSE)</f>
        <v>3.2236148876389689E-2</v>
      </c>
    </row>
    <row r="72" spans="1:5">
      <c r="A72" s="39">
        <v>45905</v>
      </c>
      <c r="B72" s="8">
        <v>19039.413884297523</v>
      </c>
      <c r="C72" s="8">
        <f>VLOOKUP(TEXT(A72,"Mmm"),Table2[],4, FALSE)</f>
        <v>5112.0000000000009</v>
      </c>
      <c r="D72" s="9">
        <v>15.5</v>
      </c>
      <c r="E72" s="4">
        <f>VLOOKUP(TEXT(A72,"Mmm"),Table2[],5, FALSE)</f>
        <v>3.2236148876389689E-2</v>
      </c>
    </row>
    <row r="73" spans="1:5">
      <c r="A73" s="39">
        <v>45906</v>
      </c>
      <c r="B73" s="8">
        <v>18619.893719008262</v>
      </c>
      <c r="C73" s="8">
        <f>VLOOKUP(TEXT(A73,"Mmm"),Table2[],4, FALSE)</f>
        <v>5112.0000000000009</v>
      </c>
      <c r="D73" s="9">
        <v>15.5</v>
      </c>
      <c r="E73" s="4">
        <f>VLOOKUP(TEXT(A73,"Mmm"),Table2[],5, FALSE)</f>
        <v>3.2236148876389689E-2</v>
      </c>
    </row>
    <row r="74" spans="1:5">
      <c r="A74" s="39">
        <v>45907</v>
      </c>
      <c r="B74" s="8">
        <v>18374.546859504131</v>
      </c>
      <c r="C74" s="8">
        <f>VLOOKUP(TEXT(A74,"Mmm"),Table2[],4, FALSE)</f>
        <v>5112.0000000000009</v>
      </c>
      <c r="D74" s="9">
        <v>15.5</v>
      </c>
      <c r="E74" s="4">
        <f>VLOOKUP(TEXT(A74,"Mmm"),Table2[],5, FALSE)</f>
        <v>3.2236148876389689E-2</v>
      </c>
    </row>
    <row r="75" spans="1:5">
      <c r="A75" s="39">
        <v>45908</v>
      </c>
      <c r="B75" s="8">
        <v>19039.413884297523</v>
      </c>
      <c r="C75" s="8">
        <f>VLOOKUP(TEXT(A75,"Mmm"),Table2[],4, FALSE)</f>
        <v>5112.0000000000009</v>
      </c>
      <c r="D75" s="9">
        <v>15.5</v>
      </c>
      <c r="E75" s="4">
        <f>VLOOKUP(TEXT(A75,"Mmm"),Table2[],5, FALSE)</f>
        <v>3.2236148876389689E-2</v>
      </c>
    </row>
    <row r="76" spans="1:5">
      <c r="A76" s="39">
        <v>45909</v>
      </c>
      <c r="B76" s="8">
        <v>19039.413884297523</v>
      </c>
      <c r="C76" s="8">
        <f>VLOOKUP(TEXT(A76,"Mmm"),Table2[],4, FALSE)</f>
        <v>5112.0000000000009</v>
      </c>
      <c r="D76" s="9">
        <v>15.5</v>
      </c>
      <c r="E76" s="4">
        <f>VLOOKUP(TEXT(A76,"Mmm"),Table2[],5, FALSE)</f>
        <v>3.2236148876389689E-2</v>
      </c>
    </row>
    <row r="77" spans="1:5">
      <c r="A77" s="39">
        <v>45910</v>
      </c>
      <c r="B77" s="8">
        <v>19039.413884297523</v>
      </c>
      <c r="C77" s="8">
        <f>VLOOKUP(TEXT(A77,"Mmm"),Table2[],4, FALSE)</f>
        <v>5112.0000000000009</v>
      </c>
      <c r="D77" s="9">
        <v>15.5</v>
      </c>
      <c r="E77" s="4">
        <f>VLOOKUP(TEXT(A77,"Mmm"),Table2[],5, FALSE)</f>
        <v>3.2236148876389689E-2</v>
      </c>
    </row>
    <row r="78" spans="1:5">
      <c r="A78" s="39">
        <v>45911</v>
      </c>
      <c r="B78" s="8">
        <v>19039.413884297523</v>
      </c>
      <c r="C78" s="8">
        <f>VLOOKUP(TEXT(A78,"Mmm"),Table2[],4, FALSE)</f>
        <v>5112.0000000000009</v>
      </c>
      <c r="D78" s="9">
        <v>15.5</v>
      </c>
      <c r="E78" s="4">
        <f>VLOOKUP(TEXT(A78,"Mmm"),Table2[],5, FALSE)</f>
        <v>3.2236148876389689E-2</v>
      </c>
    </row>
    <row r="79" spans="1:5">
      <c r="A79" s="39">
        <v>45912</v>
      </c>
      <c r="B79" s="8">
        <v>19039.413884297523</v>
      </c>
      <c r="C79" s="8">
        <f>VLOOKUP(TEXT(A79,"Mmm"),Table2[],4, FALSE)</f>
        <v>5112.0000000000009</v>
      </c>
      <c r="D79" s="9">
        <v>15.5</v>
      </c>
      <c r="E79" s="4">
        <f>VLOOKUP(TEXT(A79,"Mmm"),Table2[],5, FALSE)</f>
        <v>3.2236148876389689E-2</v>
      </c>
    </row>
    <row r="80" spans="1:5">
      <c r="A80" s="39">
        <v>45913</v>
      </c>
      <c r="B80" s="8">
        <v>18619.893719008262</v>
      </c>
      <c r="C80" s="8">
        <f>VLOOKUP(TEXT(A80,"Mmm"),Table2[],4, FALSE)</f>
        <v>5112.0000000000009</v>
      </c>
      <c r="D80" s="9">
        <v>15.5</v>
      </c>
      <c r="E80" s="4">
        <f>VLOOKUP(TEXT(A80,"Mmm"),Table2[],5, FALSE)</f>
        <v>3.2236148876389689E-2</v>
      </c>
    </row>
    <row r="81" spans="1:5">
      <c r="A81" s="39">
        <v>45914</v>
      </c>
      <c r="B81" s="8">
        <v>18374.546859504131</v>
      </c>
      <c r="C81" s="8">
        <f>VLOOKUP(TEXT(A81,"Mmm"),Table2[],4, FALSE)</f>
        <v>5112.0000000000009</v>
      </c>
      <c r="D81" s="9">
        <v>15.5</v>
      </c>
      <c r="E81" s="4">
        <f>VLOOKUP(TEXT(A81,"Mmm"),Table2[],5, FALSE)</f>
        <v>3.2236148876389689E-2</v>
      </c>
    </row>
    <row r="82" spans="1:5">
      <c r="A82" s="39">
        <v>45915</v>
      </c>
      <c r="B82" s="8">
        <v>19039.413884297523</v>
      </c>
      <c r="C82" s="8">
        <f>VLOOKUP(TEXT(A82,"Mmm"),Table2[],4, FALSE)</f>
        <v>5112.0000000000009</v>
      </c>
      <c r="D82" s="9">
        <v>15.5</v>
      </c>
      <c r="E82" s="4">
        <f>VLOOKUP(TEXT(A82,"Mmm"),Table2[],5, FALSE)</f>
        <v>3.2236148876389689E-2</v>
      </c>
    </row>
    <row r="83" spans="1:5">
      <c r="A83" s="39">
        <v>45916</v>
      </c>
      <c r="B83" s="8">
        <v>19039.413884297523</v>
      </c>
      <c r="C83" s="8">
        <f>VLOOKUP(TEXT(A83,"Mmm"),Table2[],4, FALSE)</f>
        <v>5112.0000000000009</v>
      </c>
      <c r="D83" s="9">
        <v>15.5</v>
      </c>
      <c r="E83" s="4">
        <f>VLOOKUP(TEXT(A83,"Mmm"),Table2[],5, FALSE)</f>
        <v>3.2236148876389689E-2</v>
      </c>
    </row>
    <row r="84" spans="1:5">
      <c r="A84" s="39">
        <v>45917</v>
      </c>
      <c r="B84" s="8">
        <v>19039.413884297523</v>
      </c>
      <c r="C84" s="8">
        <f>VLOOKUP(TEXT(A84,"Mmm"),Table2[],4, FALSE)</f>
        <v>5112.0000000000009</v>
      </c>
      <c r="D84" s="9">
        <v>15.5</v>
      </c>
      <c r="E84" s="4">
        <f>VLOOKUP(TEXT(A84,"Mmm"),Table2[],5, FALSE)</f>
        <v>3.2236148876389689E-2</v>
      </c>
    </row>
    <row r="85" spans="1:5">
      <c r="A85" s="39">
        <v>45918</v>
      </c>
      <c r="B85" s="8">
        <v>19039.413884297523</v>
      </c>
      <c r="C85" s="8">
        <f>VLOOKUP(TEXT(A85,"Mmm"),Table2[],4, FALSE)</f>
        <v>5112.0000000000009</v>
      </c>
      <c r="D85" s="9">
        <v>15.5</v>
      </c>
      <c r="E85" s="4">
        <f>VLOOKUP(TEXT(A85,"Mmm"),Table2[],5, FALSE)</f>
        <v>3.2236148876389689E-2</v>
      </c>
    </row>
    <row r="86" spans="1:5">
      <c r="A86" s="39">
        <v>45919</v>
      </c>
      <c r="B86" s="8">
        <v>19039.413884297523</v>
      </c>
      <c r="C86" s="8">
        <f>VLOOKUP(TEXT(A86,"Mmm"),Table2[],4, FALSE)</f>
        <v>5112.0000000000009</v>
      </c>
      <c r="D86" s="9">
        <v>15.5</v>
      </c>
      <c r="E86" s="4">
        <f>VLOOKUP(TEXT(A86,"Mmm"),Table2[],5, FALSE)</f>
        <v>3.2236148876389689E-2</v>
      </c>
    </row>
    <row r="87" spans="1:5">
      <c r="A87" s="39">
        <v>45920</v>
      </c>
      <c r="B87" s="8">
        <v>18619.893719008262</v>
      </c>
      <c r="C87" s="8">
        <f>VLOOKUP(TEXT(A87,"Mmm"),Table2[],4, FALSE)</f>
        <v>5112.0000000000009</v>
      </c>
      <c r="D87" s="9">
        <v>15.5</v>
      </c>
      <c r="E87" s="4">
        <f>VLOOKUP(TEXT(A87,"Mmm"),Table2[],5, FALSE)</f>
        <v>3.2236148876389689E-2</v>
      </c>
    </row>
    <row r="88" spans="1:5">
      <c r="A88" s="39">
        <v>45921</v>
      </c>
      <c r="B88" s="8">
        <v>18374.546859504131</v>
      </c>
      <c r="C88" s="8">
        <f>VLOOKUP(TEXT(A88,"Mmm"),Table2[],4, FALSE)</f>
        <v>5112.0000000000009</v>
      </c>
      <c r="D88" s="9">
        <v>15.5</v>
      </c>
      <c r="E88" s="4">
        <f>VLOOKUP(TEXT(A88,"Mmm"),Table2[],5, FALSE)</f>
        <v>3.2236148876389689E-2</v>
      </c>
    </row>
    <row r="89" spans="1:5">
      <c r="A89" s="39">
        <v>45922</v>
      </c>
      <c r="B89" s="8">
        <v>19039.413884297523</v>
      </c>
      <c r="C89" s="8">
        <f>VLOOKUP(TEXT(A89,"Mmm"),Table2[],4, FALSE)</f>
        <v>5112.0000000000009</v>
      </c>
      <c r="D89" s="9">
        <v>15.5</v>
      </c>
      <c r="E89" s="4">
        <f>VLOOKUP(TEXT(A89,"Mmm"),Table2[],5, FALSE)</f>
        <v>3.2236148876389689E-2</v>
      </c>
    </row>
    <row r="90" spans="1:5">
      <c r="A90" s="39">
        <v>45923</v>
      </c>
      <c r="B90" s="8">
        <v>19039.413884297523</v>
      </c>
      <c r="C90" s="8">
        <f>VLOOKUP(TEXT(A90,"Mmm"),Table2[],4, FALSE)</f>
        <v>5112.0000000000009</v>
      </c>
      <c r="D90" s="9">
        <v>15.5</v>
      </c>
      <c r="E90" s="4">
        <f>VLOOKUP(TEXT(A90,"Mmm"),Table2[],5, FALSE)</f>
        <v>3.2236148876389689E-2</v>
      </c>
    </row>
    <row r="91" spans="1:5">
      <c r="A91" s="39">
        <v>45924</v>
      </c>
      <c r="B91" s="8">
        <v>19039.413884297523</v>
      </c>
      <c r="C91" s="8">
        <f>VLOOKUP(TEXT(A91,"Mmm"),Table2[],4, FALSE)</f>
        <v>5112.0000000000009</v>
      </c>
      <c r="D91" s="9">
        <v>15.5</v>
      </c>
      <c r="E91" s="4">
        <f>VLOOKUP(TEXT(A91,"Mmm"),Table2[],5, FALSE)</f>
        <v>3.2236148876389689E-2</v>
      </c>
    </row>
    <row r="92" spans="1:5">
      <c r="A92" s="39">
        <v>45925</v>
      </c>
      <c r="B92" s="8">
        <v>19039.413884297523</v>
      </c>
      <c r="C92" s="8">
        <f>VLOOKUP(TEXT(A92,"Mmm"),Table2[],4, FALSE)</f>
        <v>5112.0000000000009</v>
      </c>
      <c r="D92" s="9">
        <v>15.5</v>
      </c>
      <c r="E92" s="4">
        <f>VLOOKUP(TEXT(A92,"Mmm"),Table2[],5, FALSE)</f>
        <v>3.2236148876389689E-2</v>
      </c>
    </row>
    <row r="93" spans="1:5">
      <c r="A93" s="39">
        <v>45926</v>
      </c>
      <c r="B93" s="8">
        <v>19039.413884297523</v>
      </c>
      <c r="C93" s="8">
        <f>VLOOKUP(TEXT(A93,"Mmm"),Table2[],4, FALSE)</f>
        <v>5112.0000000000009</v>
      </c>
      <c r="D93" s="9">
        <v>15.5</v>
      </c>
      <c r="E93" s="4">
        <f>VLOOKUP(TEXT(A93,"Mmm"),Table2[],5, FALSE)</f>
        <v>3.2236148876389689E-2</v>
      </c>
    </row>
    <row r="94" spans="1:5">
      <c r="A94" s="39">
        <v>45927</v>
      </c>
      <c r="B94" s="8">
        <v>18619.893719008262</v>
      </c>
      <c r="C94" s="8">
        <f>VLOOKUP(TEXT(A94,"Mmm"),Table2[],4, FALSE)</f>
        <v>5112.0000000000009</v>
      </c>
      <c r="D94" s="9">
        <v>15.5</v>
      </c>
      <c r="E94" s="4">
        <f>VLOOKUP(TEXT(A94,"Mmm"),Table2[],5, FALSE)</f>
        <v>3.2236148876389689E-2</v>
      </c>
    </row>
    <row r="95" spans="1:5">
      <c r="A95" s="39">
        <v>45928</v>
      </c>
      <c r="B95" s="8">
        <v>18374.546859504131</v>
      </c>
      <c r="C95" s="8">
        <f>VLOOKUP(TEXT(A95,"Mmm"),Table2[],4, FALSE)</f>
        <v>5112.0000000000009</v>
      </c>
      <c r="D95" s="9">
        <v>15.5</v>
      </c>
      <c r="E95" s="4">
        <f>VLOOKUP(TEXT(A95,"Mmm"),Table2[],5, FALSE)</f>
        <v>3.2236148876389689E-2</v>
      </c>
    </row>
    <row r="96" spans="1:5">
      <c r="A96" s="39">
        <v>45929</v>
      </c>
      <c r="B96" s="8">
        <v>19039.413884297523</v>
      </c>
      <c r="C96" s="8">
        <f>VLOOKUP(TEXT(A96,"Mmm"),Table2[],4, FALSE)</f>
        <v>5112.0000000000009</v>
      </c>
      <c r="D96" s="9">
        <v>15.5</v>
      </c>
      <c r="E96" s="4">
        <f>VLOOKUP(TEXT(A96,"Mmm"),Table2[],5, FALSE)</f>
        <v>3.2236148876389689E-2</v>
      </c>
    </row>
    <row r="97" spans="1:5">
      <c r="A97" s="39">
        <v>45930</v>
      </c>
      <c r="B97" s="8">
        <v>19039.413884297523</v>
      </c>
      <c r="C97" s="8">
        <f>VLOOKUP(TEXT(A97,"Mmm"),Table2[],4, FALSE)</f>
        <v>5112.0000000000009</v>
      </c>
      <c r="D97" s="9">
        <v>15.5</v>
      </c>
      <c r="E97" s="4">
        <f>VLOOKUP(TEXT(A97,"Mmm"),Table2[],5, FALSE)</f>
        <v>3.2236148876389689E-2</v>
      </c>
    </row>
    <row r="98" spans="1:5">
      <c r="A98" s="39">
        <v>45931</v>
      </c>
      <c r="B98" s="8">
        <v>15598.567520661161</v>
      </c>
      <c r="C98" s="8">
        <f>VLOOKUP(TEXT(A98,"Mmm"),Table2[],4, FALSE)</f>
        <v>4320.0000000000009</v>
      </c>
      <c r="D98" s="9">
        <v>15.5</v>
      </c>
      <c r="E98" s="4">
        <f>VLOOKUP(TEXT(A98,"Mmm"),Table2[],5, FALSE)</f>
        <v>3.2079905917616398E-2</v>
      </c>
    </row>
    <row r="99" spans="1:5">
      <c r="A99" s="39">
        <v>45932</v>
      </c>
      <c r="B99" s="8">
        <v>15598.567520661161</v>
      </c>
      <c r="C99" s="8">
        <f>VLOOKUP(TEXT(A99,"Mmm"),Table2[],4, FALSE)</f>
        <v>4320.0000000000009</v>
      </c>
      <c r="D99" s="9">
        <v>15.5</v>
      </c>
      <c r="E99" s="4">
        <f>VLOOKUP(TEXT(A99,"Mmm"),Table2[],5, FALSE)</f>
        <v>3.2079905917616398E-2</v>
      </c>
    </row>
    <row r="100" spans="1:5">
      <c r="A100" s="39">
        <v>45933</v>
      </c>
      <c r="B100" s="8">
        <v>15598.567520661161</v>
      </c>
      <c r="C100" s="8">
        <f>VLOOKUP(TEXT(A100,"Mmm"),Table2[],4, FALSE)</f>
        <v>4320.0000000000009</v>
      </c>
      <c r="D100" s="9">
        <v>15.5</v>
      </c>
      <c r="E100" s="4">
        <f>VLOOKUP(TEXT(A100,"Mmm"),Table2[],5, FALSE)</f>
        <v>3.2079905917616398E-2</v>
      </c>
    </row>
    <row r="101" spans="1:5">
      <c r="A101" s="39">
        <v>45934</v>
      </c>
      <c r="B101" s="8">
        <v>15083.36495867769</v>
      </c>
      <c r="C101" s="8">
        <f>VLOOKUP(TEXT(A101,"Mmm"),Table2[],4, FALSE)</f>
        <v>4320.0000000000009</v>
      </c>
      <c r="D101" s="9">
        <v>15.5</v>
      </c>
      <c r="E101" s="4">
        <f>VLOOKUP(TEXT(A101,"Mmm"),Table2[],5, FALSE)</f>
        <v>3.2079905917616398E-2</v>
      </c>
    </row>
    <row r="102" spans="1:5">
      <c r="A102" s="39">
        <v>45935</v>
      </c>
      <c r="B102" s="8">
        <v>15224.873719008268</v>
      </c>
      <c r="C102" s="8">
        <f>VLOOKUP(TEXT(A102,"Mmm"),Table2[],4, FALSE)</f>
        <v>4320.0000000000009</v>
      </c>
      <c r="D102" s="9">
        <v>15.5</v>
      </c>
      <c r="E102" s="4">
        <f>VLOOKUP(TEXT(A102,"Mmm"),Table2[],5, FALSE)</f>
        <v>3.2079905917616398E-2</v>
      </c>
    </row>
    <row r="103" spans="1:5">
      <c r="A103" s="39">
        <v>45936</v>
      </c>
      <c r="B103" s="8">
        <v>15598.567520661161</v>
      </c>
      <c r="C103" s="8">
        <f>VLOOKUP(TEXT(A103,"Mmm"),Table2[],4, FALSE)</f>
        <v>4320.0000000000009</v>
      </c>
      <c r="D103" s="9">
        <v>15.5</v>
      </c>
      <c r="E103" s="4">
        <f>VLOOKUP(TEXT(A103,"Mmm"),Table2[],5, FALSE)</f>
        <v>3.2079905917616398E-2</v>
      </c>
    </row>
    <row r="104" spans="1:5">
      <c r="A104" s="39">
        <v>45937</v>
      </c>
      <c r="B104" s="8">
        <v>15598.567520661161</v>
      </c>
      <c r="C104" s="8">
        <f>VLOOKUP(TEXT(A104,"Mmm"),Table2[],4, FALSE)</f>
        <v>4320.0000000000009</v>
      </c>
      <c r="D104" s="9">
        <v>15.5</v>
      </c>
      <c r="E104" s="4">
        <f>VLOOKUP(TEXT(A104,"Mmm"),Table2[],5, FALSE)</f>
        <v>3.2079905917616398E-2</v>
      </c>
    </row>
    <row r="105" spans="1:5">
      <c r="A105" s="39">
        <v>45938</v>
      </c>
      <c r="B105" s="8">
        <v>15598.567520661161</v>
      </c>
      <c r="C105" s="8">
        <f>VLOOKUP(TEXT(A105,"Mmm"),Table2[],4, FALSE)</f>
        <v>4320.0000000000009</v>
      </c>
      <c r="D105" s="9">
        <v>15.5</v>
      </c>
      <c r="E105" s="4">
        <f>VLOOKUP(TEXT(A105,"Mmm"),Table2[],5, FALSE)</f>
        <v>3.2079905917616398E-2</v>
      </c>
    </row>
    <row r="106" spans="1:5">
      <c r="A106" s="39">
        <v>45939</v>
      </c>
      <c r="B106" s="8">
        <v>15598.567520661161</v>
      </c>
      <c r="C106" s="8">
        <f>VLOOKUP(TEXT(A106,"Mmm"),Table2[],4, FALSE)</f>
        <v>4320.0000000000009</v>
      </c>
      <c r="D106" s="9">
        <v>15.5</v>
      </c>
      <c r="E106" s="4">
        <f>VLOOKUP(TEXT(A106,"Mmm"),Table2[],5, FALSE)</f>
        <v>3.2079905917616398E-2</v>
      </c>
    </row>
    <row r="107" spans="1:5">
      <c r="A107" s="39">
        <v>45940</v>
      </c>
      <c r="B107" s="8">
        <v>15598.567520661161</v>
      </c>
      <c r="C107" s="8">
        <f>VLOOKUP(TEXT(A107,"Mmm"),Table2[],4, FALSE)</f>
        <v>4320.0000000000009</v>
      </c>
      <c r="D107" s="9">
        <v>15.5</v>
      </c>
      <c r="E107" s="4">
        <f>VLOOKUP(TEXT(A107,"Mmm"),Table2[],5, FALSE)</f>
        <v>3.2079905917616398E-2</v>
      </c>
    </row>
    <row r="108" spans="1:5">
      <c r="A108" s="39">
        <v>45941</v>
      </c>
      <c r="B108" s="8">
        <v>15083.36495867769</v>
      </c>
      <c r="C108" s="8">
        <f>VLOOKUP(TEXT(A108,"Mmm"),Table2[],4, FALSE)</f>
        <v>4320.0000000000009</v>
      </c>
      <c r="D108" s="9">
        <v>15.5</v>
      </c>
      <c r="E108" s="4">
        <f>VLOOKUP(TEXT(A108,"Mmm"),Table2[],5, FALSE)</f>
        <v>3.2079905917616398E-2</v>
      </c>
    </row>
    <row r="109" spans="1:5">
      <c r="A109" s="39">
        <v>45942</v>
      </c>
      <c r="B109" s="8">
        <v>15224.873719008268</v>
      </c>
      <c r="C109" s="8">
        <f>VLOOKUP(TEXT(A109,"Mmm"),Table2[],4, FALSE)</f>
        <v>4320.0000000000009</v>
      </c>
      <c r="D109" s="9">
        <v>15.5</v>
      </c>
      <c r="E109" s="4">
        <f>VLOOKUP(TEXT(A109,"Mmm"),Table2[],5, FALSE)</f>
        <v>3.2079905917616398E-2</v>
      </c>
    </row>
    <row r="110" spans="1:5">
      <c r="A110" s="39">
        <v>45943</v>
      </c>
      <c r="B110" s="8">
        <v>15598.567520661161</v>
      </c>
      <c r="C110" s="8">
        <f>VLOOKUP(TEXT(A110,"Mmm"),Table2[],4, FALSE)</f>
        <v>4320.0000000000009</v>
      </c>
      <c r="D110" s="9">
        <v>15.5</v>
      </c>
      <c r="E110" s="4">
        <f>VLOOKUP(TEXT(A110,"Mmm"),Table2[],5, FALSE)</f>
        <v>3.2079905917616398E-2</v>
      </c>
    </row>
    <row r="111" spans="1:5">
      <c r="A111" s="39">
        <v>45944</v>
      </c>
      <c r="B111" s="8">
        <v>15598.567520661161</v>
      </c>
      <c r="C111" s="8">
        <f>VLOOKUP(TEXT(A111,"Mmm"),Table2[],4, FALSE)</f>
        <v>4320.0000000000009</v>
      </c>
      <c r="D111" s="9">
        <v>15.5</v>
      </c>
      <c r="E111" s="4">
        <f>VLOOKUP(TEXT(A111,"Mmm"),Table2[],5, FALSE)</f>
        <v>3.2079905917616398E-2</v>
      </c>
    </row>
    <row r="112" spans="1:5">
      <c r="A112" s="39">
        <v>45945</v>
      </c>
      <c r="B112" s="8">
        <v>15598.567520661161</v>
      </c>
      <c r="C112" s="8">
        <f>VLOOKUP(TEXT(A112,"Mmm"),Table2[],4, FALSE)</f>
        <v>4320.0000000000009</v>
      </c>
      <c r="D112" s="9">
        <v>15.5</v>
      </c>
      <c r="E112" s="4">
        <f>VLOOKUP(TEXT(A112,"Mmm"),Table2[],5, FALSE)</f>
        <v>3.2079905917616398E-2</v>
      </c>
    </row>
    <row r="113" spans="1:5">
      <c r="A113" s="39">
        <v>45946</v>
      </c>
      <c r="B113" s="8">
        <v>15598.567520661161</v>
      </c>
      <c r="C113" s="8">
        <f>VLOOKUP(TEXT(A113,"Mmm"),Table2[],4, FALSE)</f>
        <v>4320.0000000000009</v>
      </c>
      <c r="D113" s="9">
        <v>15.5</v>
      </c>
      <c r="E113" s="4">
        <f>VLOOKUP(TEXT(A113,"Mmm"),Table2[],5, FALSE)</f>
        <v>3.2079905917616398E-2</v>
      </c>
    </row>
    <row r="114" spans="1:5">
      <c r="A114" s="39">
        <v>45947</v>
      </c>
      <c r="B114" s="8">
        <v>15598.567520661161</v>
      </c>
      <c r="C114" s="8">
        <f>VLOOKUP(TEXT(A114,"Mmm"),Table2[],4, FALSE)</f>
        <v>4320.0000000000009</v>
      </c>
      <c r="D114" s="9">
        <v>15.5</v>
      </c>
      <c r="E114" s="4">
        <f>VLOOKUP(TEXT(A114,"Mmm"),Table2[],5, FALSE)</f>
        <v>3.2079905917616398E-2</v>
      </c>
    </row>
    <row r="115" spans="1:5">
      <c r="A115" s="39">
        <v>45948</v>
      </c>
      <c r="B115" s="8">
        <v>15083.36495867769</v>
      </c>
      <c r="C115" s="8">
        <f>VLOOKUP(TEXT(A115,"Mmm"),Table2[],4, FALSE)</f>
        <v>4320.0000000000009</v>
      </c>
      <c r="D115" s="9">
        <v>15.5</v>
      </c>
      <c r="E115" s="4">
        <f>VLOOKUP(TEXT(A115,"Mmm"),Table2[],5, FALSE)</f>
        <v>3.2079905917616398E-2</v>
      </c>
    </row>
    <row r="116" spans="1:5">
      <c r="A116" s="39">
        <v>45949</v>
      </c>
      <c r="B116" s="8">
        <v>15224.873719008268</v>
      </c>
      <c r="C116" s="8">
        <f>VLOOKUP(TEXT(A116,"Mmm"),Table2[],4, FALSE)</f>
        <v>4320.0000000000009</v>
      </c>
      <c r="D116" s="9">
        <v>15.5</v>
      </c>
      <c r="E116" s="4">
        <f>VLOOKUP(TEXT(A116,"Mmm"),Table2[],5, FALSE)</f>
        <v>3.2079905917616398E-2</v>
      </c>
    </row>
    <row r="117" spans="1:5">
      <c r="A117" s="39">
        <v>45950</v>
      </c>
      <c r="B117" s="8">
        <v>15598.567520661161</v>
      </c>
      <c r="C117" s="8">
        <f>VLOOKUP(TEXT(A117,"Mmm"),Table2[],4, FALSE)</f>
        <v>4320.0000000000009</v>
      </c>
      <c r="D117" s="9">
        <v>15.5</v>
      </c>
      <c r="E117" s="4">
        <f>VLOOKUP(TEXT(A117,"Mmm"),Table2[],5, FALSE)</f>
        <v>3.2079905917616398E-2</v>
      </c>
    </row>
    <row r="118" spans="1:5">
      <c r="A118" s="39">
        <v>45951</v>
      </c>
      <c r="B118" s="8">
        <v>15598.567520661161</v>
      </c>
      <c r="C118" s="8">
        <f>VLOOKUP(TEXT(A118,"Mmm"),Table2[],4, FALSE)</f>
        <v>4320.0000000000009</v>
      </c>
      <c r="D118" s="9">
        <v>15.5</v>
      </c>
      <c r="E118" s="4">
        <f>VLOOKUP(TEXT(A118,"Mmm"),Table2[],5, FALSE)</f>
        <v>3.2079905917616398E-2</v>
      </c>
    </row>
    <row r="119" spans="1:5">
      <c r="A119" s="39">
        <v>45952</v>
      </c>
      <c r="B119" s="8">
        <v>15598.567520661161</v>
      </c>
      <c r="C119" s="8">
        <f>VLOOKUP(TEXT(A119,"Mmm"),Table2[],4, FALSE)</f>
        <v>4320.0000000000009</v>
      </c>
      <c r="D119" s="9">
        <v>15.5</v>
      </c>
      <c r="E119" s="4">
        <f>VLOOKUP(TEXT(A119,"Mmm"),Table2[],5, FALSE)</f>
        <v>3.2079905917616398E-2</v>
      </c>
    </row>
    <row r="120" spans="1:5">
      <c r="A120" s="39">
        <v>45953</v>
      </c>
      <c r="B120" s="8">
        <v>15598.567520661161</v>
      </c>
      <c r="C120" s="8">
        <f>VLOOKUP(TEXT(A120,"Mmm"),Table2[],4, FALSE)</f>
        <v>4320.0000000000009</v>
      </c>
      <c r="D120" s="9">
        <v>15.5</v>
      </c>
      <c r="E120" s="4">
        <f>VLOOKUP(TEXT(A120,"Mmm"),Table2[],5, FALSE)</f>
        <v>3.2079905917616398E-2</v>
      </c>
    </row>
    <row r="121" spans="1:5">
      <c r="A121" s="39">
        <v>45954</v>
      </c>
      <c r="B121" s="8">
        <v>15598.567520661161</v>
      </c>
      <c r="C121" s="8">
        <f>VLOOKUP(TEXT(A121,"Mmm"),Table2[],4, FALSE)</f>
        <v>4320.0000000000009</v>
      </c>
      <c r="D121" s="9">
        <v>15.5</v>
      </c>
      <c r="E121" s="4">
        <f>VLOOKUP(TEXT(A121,"Mmm"),Table2[],5, FALSE)</f>
        <v>3.2079905917616398E-2</v>
      </c>
    </row>
    <row r="122" spans="1:5">
      <c r="A122" s="39">
        <v>45955</v>
      </c>
      <c r="B122" s="8">
        <v>15083.36495867769</v>
      </c>
      <c r="C122" s="8">
        <f>VLOOKUP(TEXT(A122,"Mmm"),Table2[],4, FALSE)</f>
        <v>4320.0000000000009</v>
      </c>
      <c r="D122" s="9">
        <v>15.5</v>
      </c>
      <c r="E122" s="4">
        <f>VLOOKUP(TEXT(A122,"Mmm"),Table2[],5, FALSE)</f>
        <v>3.2079905917616398E-2</v>
      </c>
    </row>
    <row r="123" spans="1:5">
      <c r="A123" s="39">
        <v>45956</v>
      </c>
      <c r="B123" s="8">
        <v>15224.873719008268</v>
      </c>
      <c r="C123" s="8">
        <f>VLOOKUP(TEXT(A123,"Mmm"),Table2[],4, FALSE)</f>
        <v>4320.0000000000009</v>
      </c>
      <c r="D123" s="9">
        <v>15.5</v>
      </c>
      <c r="E123" s="4">
        <f>VLOOKUP(TEXT(A123,"Mmm"),Table2[],5, FALSE)</f>
        <v>3.2079905917616398E-2</v>
      </c>
    </row>
    <row r="124" spans="1:5">
      <c r="A124" s="39">
        <v>45957</v>
      </c>
      <c r="B124" s="8">
        <v>15598.567520661161</v>
      </c>
      <c r="C124" s="8">
        <f>VLOOKUP(TEXT(A124,"Mmm"),Table2[],4, FALSE)</f>
        <v>4320.0000000000009</v>
      </c>
      <c r="D124" s="9">
        <v>15.5</v>
      </c>
      <c r="E124" s="4">
        <f>VLOOKUP(TEXT(A124,"Mmm"),Table2[],5, FALSE)</f>
        <v>3.2079905917616398E-2</v>
      </c>
    </row>
    <row r="125" spans="1:5">
      <c r="A125" s="39">
        <v>45958</v>
      </c>
      <c r="B125" s="8">
        <v>15598.567520661161</v>
      </c>
      <c r="C125" s="8">
        <f>VLOOKUP(TEXT(A125,"Mmm"),Table2[],4, FALSE)</f>
        <v>4320.0000000000009</v>
      </c>
      <c r="D125" s="9">
        <v>15.5</v>
      </c>
      <c r="E125" s="4">
        <f>VLOOKUP(TEXT(A125,"Mmm"),Table2[],5, FALSE)</f>
        <v>3.2079905917616398E-2</v>
      </c>
    </row>
    <row r="126" spans="1:5">
      <c r="A126" s="39">
        <v>45959</v>
      </c>
      <c r="B126" s="8">
        <v>15598.567520661161</v>
      </c>
      <c r="C126" s="8">
        <f>VLOOKUP(TEXT(A126,"Mmm"),Table2[],4, FALSE)</f>
        <v>4320.0000000000009</v>
      </c>
      <c r="D126" s="9">
        <v>15.5</v>
      </c>
      <c r="E126" s="4">
        <f>VLOOKUP(TEXT(A126,"Mmm"),Table2[],5, FALSE)</f>
        <v>3.2079905917616398E-2</v>
      </c>
    </row>
    <row r="127" spans="1:5">
      <c r="A127" s="39">
        <v>45960</v>
      </c>
      <c r="B127" s="8">
        <v>15598.567520661161</v>
      </c>
      <c r="C127" s="8">
        <f>VLOOKUP(TEXT(A127,"Mmm"),Table2[],4, FALSE)</f>
        <v>4320.0000000000009</v>
      </c>
      <c r="D127" s="9">
        <v>15.5</v>
      </c>
      <c r="E127" s="4">
        <f>VLOOKUP(TEXT(A127,"Mmm"),Table2[],5, FALSE)</f>
        <v>3.2079905917616398E-2</v>
      </c>
    </row>
    <row r="128" spans="1:5">
      <c r="A128" s="39">
        <v>45961</v>
      </c>
      <c r="B128" s="8">
        <v>15598.567520661161</v>
      </c>
      <c r="C128" s="8">
        <f>VLOOKUP(TEXT(A128,"Mmm"),Table2[],4, FALSE)</f>
        <v>4320.0000000000009</v>
      </c>
      <c r="D128" s="9">
        <v>15.5</v>
      </c>
      <c r="E128" s="4">
        <f>VLOOKUP(TEXT(A128,"Mmm"),Table2[],5, FALSE)</f>
        <v>3.2079905917616398E-2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baseColWidth="10" defaultColWidth="11.5" defaultRowHeight="15"/>
  <sheetData>
    <row r="2" spans="2:2">
      <c r="B2" s="80" t="s">
        <v>382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E387"/>
  <sheetViews>
    <sheetView topLeftCell="I1" workbookViewId="0">
      <selection activeCell="U10" sqref="U10"/>
    </sheetView>
  </sheetViews>
  <sheetFormatPr baseColWidth="10" defaultColWidth="8.83203125" defaultRowHeight="15"/>
  <cols>
    <col min="1" max="1" width="13.1640625" bestFit="1" customWidth="1"/>
    <col min="2" max="2" width="12.5" bestFit="1" customWidth="1"/>
    <col min="3" max="3" width="9.5" customWidth="1"/>
    <col min="4" max="4" width="11" customWidth="1"/>
    <col min="5" max="5" width="11" bestFit="1" customWidth="1"/>
    <col min="6" max="6" width="11.33203125" bestFit="1" customWidth="1"/>
    <col min="7" max="10" width="6.6640625" customWidth="1"/>
    <col min="11" max="11" width="10.5" bestFit="1" customWidth="1"/>
    <col min="12" max="12" width="10.33203125" bestFit="1" customWidth="1"/>
    <col min="17" max="17" width="10.5" bestFit="1" customWidth="1"/>
    <col min="18" max="18" width="10" bestFit="1" customWidth="1"/>
    <col min="19" max="21" width="7.6640625" customWidth="1"/>
    <col min="22" max="22" width="14" bestFit="1" customWidth="1"/>
    <col min="23" max="23" width="20" bestFit="1" customWidth="1"/>
    <col min="24" max="24" width="12.33203125" bestFit="1" customWidth="1"/>
    <col min="28" max="28" width="10.83203125" customWidth="1"/>
    <col min="30" max="30" width="23" customWidth="1"/>
  </cols>
  <sheetData>
    <row r="1" spans="1:31">
      <c r="B1" s="102" t="s">
        <v>452</v>
      </c>
    </row>
    <row r="2" spans="1:3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</row>
    <row r="3" spans="1:31" ht="32">
      <c r="A3" s="31" t="s">
        <v>423</v>
      </c>
      <c r="B3" s="31" t="s">
        <v>418</v>
      </c>
      <c r="C3" s="31" t="s">
        <v>420</v>
      </c>
      <c r="D3" s="31" t="s">
        <v>421</v>
      </c>
      <c r="E3" s="31" t="s">
        <v>422</v>
      </c>
      <c r="F3" s="31" t="s">
        <v>424</v>
      </c>
      <c r="K3" s="31" t="s">
        <v>429</v>
      </c>
      <c r="L3" s="31" t="s">
        <v>430</v>
      </c>
      <c r="M3" s="31" t="s">
        <v>431</v>
      </c>
      <c r="N3" s="31" t="s">
        <v>432</v>
      </c>
      <c r="O3" s="31" t="s">
        <v>433</v>
      </c>
      <c r="P3" s="31" t="s">
        <v>434</v>
      </c>
      <c r="Q3" s="31" t="s">
        <v>462</v>
      </c>
      <c r="R3" s="31" t="s">
        <v>463</v>
      </c>
      <c r="S3" s="31" t="s">
        <v>464</v>
      </c>
      <c r="AB3" t="s">
        <v>467</v>
      </c>
      <c r="AC3" t="s">
        <v>468</v>
      </c>
      <c r="AD3" t="s">
        <v>466</v>
      </c>
      <c r="AE3" t="s">
        <v>469</v>
      </c>
    </row>
    <row r="4" spans="1:31" ht="16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95">
        <v>9208.1389999999992</v>
      </c>
      <c r="D4">
        <v>761.00322314049583</v>
      </c>
      <c r="E4">
        <v>303.536</v>
      </c>
      <c r="F4" s="94">
        <v>53.341000000000001</v>
      </c>
      <c r="K4" s="106">
        <v>45836</v>
      </c>
      <c r="L4" s="107">
        <v>10.5</v>
      </c>
      <c r="M4" s="107">
        <v>12.8</v>
      </c>
      <c r="N4" s="107">
        <v>8.4</v>
      </c>
      <c r="O4" s="107">
        <v>0</v>
      </c>
      <c r="P4" s="107">
        <v>15.5</v>
      </c>
      <c r="Q4" s="107" t="str">
        <f>TEXT(FY24_Temp[[#This Row],[Date_Simple]],"Ddd")</f>
        <v>Sat</v>
      </c>
      <c r="R4" s="111"/>
      <c r="S4" s="107" t="str">
        <f>TEXT(FY24_Temp[[#This Row],[Old_Date]],"Ddd")</f>
        <v>Sat</v>
      </c>
      <c r="W4" t="s">
        <v>435</v>
      </c>
      <c r="X4" t="s">
        <v>437</v>
      </c>
      <c r="Y4" t="s">
        <v>436</v>
      </c>
      <c r="AB4" s="122" t="str">
        <f>Table6[[#This Row],[WeekNo]]&amp;"-"&amp;Table6[[#This Row],[HR]]</f>
        <v>1-0</v>
      </c>
      <c r="AC4">
        <v>1</v>
      </c>
      <c r="AD4">
        <v>0</v>
      </c>
      <c r="AE4">
        <v>2.990142822265625</v>
      </c>
    </row>
    <row r="5" spans="1:31" ht="16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95">
        <v>9208.1389999999992</v>
      </c>
      <c r="D5">
        <v>761.00322314049583</v>
      </c>
      <c r="E5">
        <v>303.536</v>
      </c>
      <c r="F5" s="94">
        <v>51.82</v>
      </c>
      <c r="K5" s="97">
        <v>45837</v>
      </c>
      <c r="L5" s="31">
        <v>10.5</v>
      </c>
      <c r="M5" s="31">
        <v>12.8</v>
      </c>
      <c r="N5" s="31">
        <v>8.4</v>
      </c>
      <c r="O5" s="31">
        <v>0</v>
      </c>
      <c r="P5" s="31">
        <v>15.5</v>
      </c>
      <c r="Q5" s="31" t="str">
        <f>TEXT(FY24_Temp[[#This Row],[Date_Simple]],"Ddd")</f>
        <v>Sun</v>
      </c>
      <c r="R5" s="110"/>
      <c r="S5" s="31" t="str">
        <f>TEXT(FY24_Temp[[#This Row],[Old_Date]],"Ddd")</f>
        <v>Sat</v>
      </c>
      <c r="W5" t="str">
        <f>Table4[[#This Row],[Week No]]&amp;"_"&amp;TEXT(Table4[[#This Row],[Start Date]],"mm")&amp;TEXT(Table4[[#This Row],[Start Date]],"-dd")</f>
        <v>Week00_06-28</v>
      </c>
      <c r="X5" t="s">
        <v>451</v>
      </c>
      <c r="Y5" s="101">
        <v>45836</v>
      </c>
      <c r="AB5" s="122" t="str">
        <f>Table6[[#This Row],[WeekNo]]&amp;"-"&amp;Table6[[#This Row],[HR]]</f>
        <v>1-1</v>
      </c>
      <c r="AC5">
        <v>1</v>
      </c>
      <c r="AD5">
        <v>1</v>
      </c>
      <c r="AE5">
        <v>2.8801428590502058</v>
      </c>
    </row>
    <row r="6" spans="1:31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95">
        <v>9208.1389999999992</v>
      </c>
      <c r="D6">
        <v>761.00322314049583</v>
      </c>
      <c r="E6">
        <v>303.536</v>
      </c>
      <c r="F6" s="94">
        <v>50.686999999999998</v>
      </c>
      <c r="K6" s="97">
        <v>45838</v>
      </c>
      <c r="L6" s="31">
        <v>10.5</v>
      </c>
      <c r="M6">
        <v>12.8</v>
      </c>
      <c r="N6">
        <v>8.4</v>
      </c>
      <c r="O6" s="31">
        <v>0</v>
      </c>
      <c r="P6">
        <v>15.5</v>
      </c>
      <c r="Q6" t="str">
        <f>TEXT(FY24_Temp[[#This Row],[Date_Simple]],"Ddd")</f>
        <v>Mon</v>
      </c>
      <c r="R6" s="39">
        <v>45474</v>
      </c>
      <c r="S6" t="str">
        <f>TEXT(FY24_Temp[[#This Row],[Old_Date]],"Ddd")</f>
        <v>Mon</v>
      </c>
      <c r="W6" t="str">
        <f>Table4[[#This Row],[Week No]]&amp;"_"&amp;TEXT(Table4[[#This Row],[Start Date]],"mm")&amp;TEXT(Table4[[#This Row],[Start Date]],"-dd")</f>
        <v>Week00_07-05</v>
      </c>
      <c r="X6" t="s">
        <v>451</v>
      </c>
      <c r="Y6" s="101">
        <f>Y5+7</f>
        <v>45843</v>
      </c>
      <c r="AB6" s="122" t="str">
        <f>Table6[[#This Row],[WeekNo]]&amp;"-"&amp;Table6[[#This Row],[HR]]</f>
        <v>1-2</v>
      </c>
      <c r="AC6">
        <v>1</v>
      </c>
      <c r="AD6">
        <v>2</v>
      </c>
      <c r="AE6">
        <v>2.7695714065006802</v>
      </c>
    </row>
    <row r="7" spans="1:31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95">
        <v>9208.1389999999992</v>
      </c>
      <c r="D7">
        <v>761.00322314049583</v>
      </c>
      <c r="E7">
        <v>303.536</v>
      </c>
      <c r="F7" s="94">
        <v>50.872999999999998</v>
      </c>
      <c r="K7" s="97">
        <f>K6+1</f>
        <v>45839</v>
      </c>
      <c r="L7" s="31">
        <v>10.5</v>
      </c>
      <c r="M7">
        <v>12.8</v>
      </c>
      <c r="N7">
        <v>8.4</v>
      </c>
      <c r="O7" s="31">
        <v>0</v>
      </c>
      <c r="P7">
        <v>15.5</v>
      </c>
      <c r="Q7" t="str">
        <f>TEXT(FY24_Temp[[#This Row],[Date_Simple]],"Ddd")</f>
        <v>Tue</v>
      </c>
      <c r="R7" s="39">
        <v>45475</v>
      </c>
      <c r="S7" t="str">
        <f>TEXT(FY24_Temp[[#This Row],[Old_Date]],"Ddd")</f>
        <v>Tue</v>
      </c>
      <c r="W7" t="str">
        <f>Table4[[#This Row],[Week No]]&amp;"_"&amp;TEXT(Table4[[#This Row],[Start Date]],"mm")&amp;TEXT(Table4[[#This Row],[Start Date]],"-dd")</f>
        <v>Week00_07-12</v>
      </c>
      <c r="X7" t="s">
        <v>451</v>
      </c>
      <c r="Y7" s="101">
        <f t="shared" ref="Y7:Y21" si="0">Y6+7</f>
        <v>45850</v>
      </c>
      <c r="AB7" s="122" t="str">
        <f>Table6[[#This Row],[WeekNo]]&amp;"-"&amp;Table6[[#This Row],[HR]]</f>
        <v>1-3</v>
      </c>
      <c r="AC7">
        <v>1</v>
      </c>
      <c r="AD7">
        <v>3</v>
      </c>
      <c r="AE7">
        <v>2.65728565624782</v>
      </c>
    </row>
    <row r="8" spans="1:31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95">
        <v>9208.1389999999992</v>
      </c>
      <c r="D8">
        <v>761.00322314049583</v>
      </c>
      <c r="E8">
        <v>303.536</v>
      </c>
      <c r="F8" s="94">
        <v>50.954000000000001</v>
      </c>
      <c r="K8" s="97">
        <f t="shared" ref="K8:K71" si="1">K7+1</f>
        <v>45840</v>
      </c>
      <c r="L8" s="31">
        <v>10.5</v>
      </c>
      <c r="M8">
        <v>12.8</v>
      </c>
      <c r="N8">
        <v>8.4</v>
      </c>
      <c r="O8" s="31">
        <v>0</v>
      </c>
      <c r="P8">
        <v>15.5</v>
      </c>
      <c r="Q8" t="str">
        <f>TEXT(FY24_Temp[[#This Row],[Date_Simple]],"Ddd")</f>
        <v>Wed</v>
      </c>
      <c r="R8" s="39">
        <v>45476</v>
      </c>
      <c r="S8" t="str">
        <f>TEXT(FY24_Temp[[#This Row],[Old_Date]],"Ddd")</f>
        <v>Wed</v>
      </c>
      <c r="W8" t="str">
        <f>Table4[[#This Row],[Week No]]&amp;"_"&amp;TEXT(Table4[[#This Row],[Start Date]],"mm")&amp;TEXT(Table4[[#This Row],[Start Date]],"-dd")</f>
        <v>Week01_07-19</v>
      </c>
      <c r="X8" t="s">
        <v>438</v>
      </c>
      <c r="Y8" s="101">
        <f t="shared" si="0"/>
        <v>45857</v>
      </c>
      <c r="AB8" s="122" t="str">
        <f>Table6[[#This Row],[WeekNo]]&amp;"-"&amp;Table6[[#This Row],[HR]]</f>
        <v>1-4</v>
      </c>
      <c r="AC8">
        <v>1</v>
      </c>
      <c r="AD8">
        <v>4</v>
      </c>
      <c r="AE8">
        <v>2.4975714342934743</v>
      </c>
    </row>
    <row r="9" spans="1:31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95">
        <v>9208.1389999999992</v>
      </c>
      <c r="D9">
        <v>761.00322314049583</v>
      </c>
      <c r="E9">
        <v>303.536</v>
      </c>
      <c r="F9" s="94">
        <v>52.765999999999998</v>
      </c>
      <c r="K9" s="97">
        <f t="shared" si="1"/>
        <v>45841</v>
      </c>
      <c r="L9" s="31">
        <v>10.5</v>
      </c>
      <c r="M9">
        <v>12.8</v>
      </c>
      <c r="N9">
        <v>8.4</v>
      </c>
      <c r="O9" s="31">
        <v>0</v>
      </c>
      <c r="P9">
        <v>15.5</v>
      </c>
      <c r="Q9" t="str">
        <f>TEXT(FY24_Temp[[#This Row],[Date_Simple]],"Ddd")</f>
        <v>Thu</v>
      </c>
      <c r="R9" s="39">
        <v>45477</v>
      </c>
      <c r="S9" t="str">
        <f>TEXT(FY24_Temp[[#This Row],[Old_Date]],"Ddd")</f>
        <v>Thu</v>
      </c>
      <c r="W9" t="str">
        <f>Table4[[#This Row],[Week No]]&amp;"_"&amp;TEXT(Table4[[#This Row],[Start Date]],"mm")&amp;TEXT(Table4[[#This Row],[Start Date]],"-dd")</f>
        <v>Week02_07-26</v>
      </c>
      <c r="X9" t="s">
        <v>439</v>
      </c>
      <c r="Y9" s="101">
        <f t="shared" si="0"/>
        <v>45864</v>
      </c>
      <c r="AB9" s="122" t="str">
        <f>Table6[[#This Row],[WeekNo]]&amp;"-"&amp;Table6[[#This Row],[HR]]</f>
        <v>1-5</v>
      </c>
      <c r="AC9">
        <v>1</v>
      </c>
      <c r="AD9">
        <v>5</v>
      </c>
      <c r="AE9">
        <v>2.3462857518877303</v>
      </c>
    </row>
    <row r="10" spans="1:31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95">
        <v>9208.1389999999992</v>
      </c>
      <c r="D10">
        <v>761.00322314049583</v>
      </c>
      <c r="E10">
        <v>303.536</v>
      </c>
      <c r="F10" s="94">
        <v>93.960999999999999</v>
      </c>
      <c r="K10" s="97">
        <f t="shared" si="1"/>
        <v>45842</v>
      </c>
      <c r="L10" s="31">
        <v>10.5</v>
      </c>
      <c r="M10">
        <v>12.8</v>
      </c>
      <c r="N10">
        <v>8.4</v>
      </c>
      <c r="O10" s="31">
        <v>0</v>
      </c>
      <c r="P10">
        <v>15.5</v>
      </c>
      <c r="Q10" t="str">
        <f>TEXT(FY24_Temp[[#This Row],[Date_Simple]],"Ddd")</f>
        <v>Fri</v>
      </c>
      <c r="R10" s="39">
        <v>45478</v>
      </c>
      <c r="S10" t="str">
        <f>TEXT(FY24_Temp[[#This Row],[Old_Date]],"Ddd")</f>
        <v>Fri</v>
      </c>
      <c r="W10" t="str">
        <f>Table4[[#This Row],[Week No]]&amp;"_"&amp;TEXT(Table4[[#This Row],[Start Date]],"mm")&amp;TEXT(Table4[[#This Row],[Start Date]],"-dd")</f>
        <v>Week03_08-02</v>
      </c>
      <c r="X10" t="s">
        <v>440</v>
      </c>
      <c r="Y10" s="101">
        <f t="shared" si="0"/>
        <v>45871</v>
      </c>
      <c r="AB10" s="122" t="str">
        <f>Table6[[#This Row],[WeekNo]]&amp;"-"&amp;Table6[[#This Row],[HR]]</f>
        <v>1-6</v>
      </c>
      <c r="AC10">
        <v>1</v>
      </c>
      <c r="AD10">
        <v>6</v>
      </c>
      <c r="AE10">
        <v>2.2328571251460483</v>
      </c>
    </row>
    <row r="11" spans="1:31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95">
        <v>9208.1389999999992</v>
      </c>
      <c r="D11">
        <v>761.00322314049583</v>
      </c>
      <c r="E11">
        <v>303.536</v>
      </c>
      <c r="F11" s="94">
        <v>79.301000000000002</v>
      </c>
      <c r="K11" s="106">
        <f t="shared" si="1"/>
        <v>45843</v>
      </c>
      <c r="L11" s="107">
        <v>10.5</v>
      </c>
      <c r="M11" s="108">
        <v>12.8</v>
      </c>
      <c r="N11" s="108">
        <v>8.4</v>
      </c>
      <c r="O11" s="107">
        <v>0</v>
      </c>
      <c r="P11" s="108">
        <v>15.5</v>
      </c>
      <c r="Q11" s="108" t="str">
        <f>TEXT(FY24_Temp[[#This Row],[Date_Simple]],"Ddd")</f>
        <v>Sat</v>
      </c>
      <c r="R11" s="109">
        <v>45479</v>
      </c>
      <c r="S11" s="108" t="str">
        <f>TEXT(FY24_Temp[[#This Row],[Old_Date]],"Ddd")</f>
        <v>Sat</v>
      </c>
      <c r="W11" t="str">
        <f>Table4[[#This Row],[Week No]]&amp;"_"&amp;TEXT(Table4[[#This Row],[Start Date]],"mm")&amp;TEXT(Table4[[#This Row],[Start Date]],"-dd")</f>
        <v>Week04_08-09</v>
      </c>
      <c r="X11" t="s">
        <v>441</v>
      </c>
      <c r="Y11" s="101">
        <f t="shared" si="0"/>
        <v>45878</v>
      </c>
      <c r="AB11" s="122" t="str">
        <f>Table6[[#This Row],[WeekNo]]&amp;"-"&amp;Table6[[#This Row],[HR]]</f>
        <v>1-7</v>
      </c>
      <c r="AC11">
        <v>1</v>
      </c>
      <c r="AD11">
        <v>7</v>
      </c>
      <c r="AE11">
        <v>2.127857106072562</v>
      </c>
    </row>
    <row r="12" spans="1:31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95">
        <v>9208.1389999999992</v>
      </c>
      <c r="D12">
        <v>761.00322314049583</v>
      </c>
      <c r="E12">
        <v>303.536</v>
      </c>
      <c r="F12" s="94">
        <v>63.335999999999999</v>
      </c>
      <c r="K12" s="97">
        <f t="shared" si="1"/>
        <v>45844</v>
      </c>
      <c r="L12" s="31">
        <v>10.5</v>
      </c>
      <c r="M12">
        <v>12.8</v>
      </c>
      <c r="N12">
        <v>8.4</v>
      </c>
      <c r="O12" s="31">
        <v>0</v>
      </c>
      <c r="P12">
        <v>15.5</v>
      </c>
      <c r="Q12" t="str">
        <f>TEXT(FY24_Temp[[#This Row],[Date_Simple]],"Ddd")</f>
        <v>Sun</v>
      </c>
      <c r="R12" s="39">
        <v>45480</v>
      </c>
      <c r="S12" t="str">
        <f>TEXT(FY24_Temp[[#This Row],[Old_Date]],"Ddd")</f>
        <v>Sun</v>
      </c>
      <c r="W12" t="str">
        <f>Table4[[#This Row],[Week No]]&amp;"_"&amp;TEXT(Table4[[#This Row],[Start Date]],"mm")&amp;TEXT(Table4[[#This Row],[Start Date]],"-dd")</f>
        <v>Week05_08-16</v>
      </c>
      <c r="X12" t="s">
        <v>442</v>
      </c>
      <c r="Y12" s="101">
        <f t="shared" si="0"/>
        <v>45885</v>
      </c>
      <c r="AB12" s="122" t="str">
        <f>Table6[[#This Row],[WeekNo]]&amp;"-"&amp;Table6[[#This Row],[HR]]</f>
        <v>1-8</v>
      </c>
      <c r="AC12">
        <v>1</v>
      </c>
      <c r="AD12">
        <v>8</v>
      </c>
      <c r="AE12">
        <v>2.00528575692858</v>
      </c>
    </row>
    <row r="13" spans="1:31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95">
        <v>9208.1389999999992</v>
      </c>
      <c r="D13">
        <v>761.00322314049583</v>
      </c>
      <c r="E13">
        <v>303.536</v>
      </c>
      <c r="F13" s="94">
        <v>51.085999999999999</v>
      </c>
      <c r="K13" s="97">
        <f t="shared" si="1"/>
        <v>45845</v>
      </c>
      <c r="L13" s="31">
        <v>10.5</v>
      </c>
      <c r="M13">
        <v>12.8</v>
      </c>
      <c r="N13">
        <v>8.4</v>
      </c>
      <c r="O13" s="31">
        <v>0</v>
      </c>
      <c r="P13">
        <v>15.5</v>
      </c>
      <c r="Q13" t="str">
        <f>TEXT(FY24_Temp[[#This Row],[Date_Simple]],"Ddd")</f>
        <v>Mon</v>
      </c>
      <c r="R13" s="39">
        <v>45481</v>
      </c>
      <c r="S13" t="str">
        <f>TEXT(FY24_Temp[[#This Row],[Old_Date]],"Ddd")</f>
        <v>Mon</v>
      </c>
      <c r="W13" t="str">
        <f>Table4[[#This Row],[Week No]]&amp;"_"&amp;TEXT(Table4[[#This Row],[Start Date]],"mm")&amp;TEXT(Table4[[#This Row],[Start Date]],"-dd")</f>
        <v>Week06_08-23</v>
      </c>
      <c r="X13" t="s">
        <v>443</v>
      </c>
      <c r="Y13" s="101">
        <f t="shared" si="0"/>
        <v>45892</v>
      </c>
      <c r="AB13" s="122" t="str">
        <f>Table6[[#This Row],[WeekNo]]&amp;"-"&amp;Table6[[#This Row],[HR]]</f>
        <v>1-9</v>
      </c>
      <c r="AC13">
        <v>1</v>
      </c>
      <c r="AD13">
        <v>9</v>
      </c>
      <c r="AE13">
        <v>1.90142856325422</v>
      </c>
    </row>
    <row r="14" spans="1:31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95">
        <v>9208.1389999999992</v>
      </c>
      <c r="D14">
        <v>761.00322314049583</v>
      </c>
      <c r="E14">
        <v>303.536</v>
      </c>
      <c r="F14" s="94">
        <v>48.877000000000002</v>
      </c>
      <c r="K14" s="97">
        <f t="shared" si="1"/>
        <v>45846</v>
      </c>
      <c r="L14">
        <v>10.5</v>
      </c>
      <c r="M14">
        <v>12.8</v>
      </c>
      <c r="N14">
        <v>8.4</v>
      </c>
      <c r="O14">
        <v>0</v>
      </c>
      <c r="P14">
        <v>15.5</v>
      </c>
      <c r="Q14" t="str">
        <f>TEXT(FY24_Temp[[#This Row],[Date_Simple]],"Ddd")</f>
        <v>Tue</v>
      </c>
      <c r="R14" s="39">
        <v>45482</v>
      </c>
      <c r="S14" t="str">
        <f>TEXT(FY24_Temp[[#This Row],[Old_Date]],"Ddd")</f>
        <v>Tue</v>
      </c>
      <c r="W14" t="str">
        <f>Table4[[#This Row],[Week No]]&amp;"_"&amp;TEXT(Table4[[#This Row],[Start Date]],"mm")&amp;TEXT(Table4[[#This Row],[Start Date]],"-dd")</f>
        <v>Week07_08-30</v>
      </c>
      <c r="X14" t="s">
        <v>444</v>
      </c>
      <c r="Y14" s="101">
        <f t="shared" si="0"/>
        <v>45899</v>
      </c>
      <c r="AB14" s="122" t="str">
        <f>Table6[[#This Row],[WeekNo]]&amp;"-"&amp;Table6[[#This Row],[HR]]</f>
        <v>1-10</v>
      </c>
      <c r="AC14">
        <v>1</v>
      </c>
      <c r="AD14">
        <v>10</v>
      </c>
      <c r="AE14">
        <v>1.8012857096535819</v>
      </c>
    </row>
    <row r="15" spans="1:31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95">
        <v>9208.1389999999992</v>
      </c>
      <c r="D15">
        <v>761.00322314049583</v>
      </c>
      <c r="E15">
        <v>303.536</v>
      </c>
      <c r="F15" s="94">
        <v>47.103999999999999</v>
      </c>
      <c r="K15" s="97">
        <f t="shared" si="1"/>
        <v>45847</v>
      </c>
      <c r="L15">
        <v>10.5</v>
      </c>
      <c r="M15">
        <v>12.8</v>
      </c>
      <c r="N15">
        <v>8.4</v>
      </c>
      <c r="O15">
        <v>0</v>
      </c>
      <c r="P15">
        <v>15.5</v>
      </c>
      <c r="Q15" t="str">
        <f>TEXT(FY24_Temp[[#This Row],[Date_Simple]],"Ddd")</f>
        <v>Wed</v>
      </c>
      <c r="R15" s="39">
        <v>45483</v>
      </c>
      <c r="S15" t="str">
        <f>TEXT(FY24_Temp[[#This Row],[Old_Date]],"Ddd")</f>
        <v>Wed</v>
      </c>
      <c r="W15" t="str">
        <f>Table4[[#This Row],[Week No]]&amp;"_"&amp;TEXT(Table4[[#This Row],[Start Date]],"mm")&amp;TEXT(Table4[[#This Row],[Start Date]],"-dd")</f>
        <v>Week08_09-06</v>
      </c>
      <c r="X15" t="s">
        <v>445</v>
      </c>
      <c r="Y15" s="101">
        <f t="shared" si="0"/>
        <v>45906</v>
      </c>
      <c r="AB15" s="122" t="str">
        <f>Table6[[#This Row],[WeekNo]]&amp;"-"&amp;Table6[[#This Row],[HR]]</f>
        <v>1-11</v>
      </c>
      <c r="AC15">
        <v>1</v>
      </c>
      <c r="AD15">
        <v>11</v>
      </c>
      <c r="AE15">
        <v>1.6742857013429915</v>
      </c>
    </row>
    <row r="16" spans="1:31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95">
        <v>9208.1389999999992</v>
      </c>
      <c r="D16">
        <v>761.00322314049583</v>
      </c>
      <c r="E16">
        <v>303.536</v>
      </c>
      <c r="F16" s="94">
        <v>49.77</v>
      </c>
      <c r="K16" s="97">
        <f t="shared" si="1"/>
        <v>45848</v>
      </c>
      <c r="L16">
        <v>10.5</v>
      </c>
      <c r="M16">
        <v>12.8</v>
      </c>
      <c r="N16">
        <v>8.4</v>
      </c>
      <c r="O16">
        <v>0</v>
      </c>
      <c r="P16">
        <v>15.5</v>
      </c>
      <c r="Q16" t="str">
        <f>TEXT(FY24_Temp[[#This Row],[Date_Simple]],"Ddd")</f>
        <v>Thu</v>
      </c>
      <c r="R16" s="39">
        <v>45484</v>
      </c>
      <c r="S16" t="str">
        <f>TEXT(FY24_Temp[[#This Row],[Old_Date]],"Ddd")</f>
        <v>Thu</v>
      </c>
      <c r="W16" t="str">
        <f>Table4[[#This Row],[Week No]]&amp;"_"&amp;TEXT(Table4[[#This Row],[Start Date]],"mm")&amp;TEXT(Table4[[#This Row],[Start Date]],"-dd")</f>
        <v>Week09_09-13</v>
      </c>
      <c r="X16" t="s">
        <v>446</v>
      </c>
      <c r="Y16" s="101">
        <f t="shared" si="0"/>
        <v>45913</v>
      </c>
      <c r="AB16" s="122" t="str">
        <f>Table6[[#This Row],[WeekNo]]&amp;"-"&amp;Table6[[#This Row],[HR]]</f>
        <v>1-12</v>
      </c>
      <c r="AC16">
        <v>1</v>
      </c>
      <c r="AD16">
        <v>12</v>
      </c>
      <c r="AE16">
        <v>1.5174285684313094</v>
      </c>
    </row>
    <row r="17" spans="1:31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95">
        <v>9208.1389999999992</v>
      </c>
      <c r="D17">
        <v>761.00322314049583</v>
      </c>
      <c r="E17">
        <v>303.536</v>
      </c>
      <c r="F17" s="94">
        <v>59.18</v>
      </c>
      <c r="K17" s="97">
        <f t="shared" si="1"/>
        <v>45849</v>
      </c>
      <c r="L17">
        <v>10.5</v>
      </c>
      <c r="M17">
        <v>12.8</v>
      </c>
      <c r="N17">
        <v>8.4</v>
      </c>
      <c r="O17">
        <v>0</v>
      </c>
      <c r="P17">
        <v>15.5</v>
      </c>
      <c r="Q17" t="str">
        <f>TEXT(FY24_Temp[[#This Row],[Date_Simple]],"Ddd")</f>
        <v>Fri</v>
      </c>
      <c r="R17" s="39">
        <v>45485</v>
      </c>
      <c r="S17" t="str">
        <f>TEXT(FY24_Temp[[#This Row],[Old_Date]],"Ddd")</f>
        <v>Fri</v>
      </c>
      <c r="W17" t="str">
        <f>Table4[[#This Row],[Week No]]&amp;"_"&amp;TEXT(Table4[[#This Row],[Start Date]],"mm")&amp;TEXT(Table4[[#This Row],[Start Date]],"-dd")</f>
        <v>Week10_09-20</v>
      </c>
      <c r="X17" t="s">
        <v>447</v>
      </c>
      <c r="Y17" s="101">
        <f t="shared" si="0"/>
        <v>45920</v>
      </c>
      <c r="AB17" s="122" t="str">
        <f>Table6[[#This Row],[WeekNo]]&amp;"-"&amp;Table6[[#This Row],[HR]]</f>
        <v>1-13</v>
      </c>
      <c r="AC17">
        <v>1</v>
      </c>
      <c r="AD17">
        <v>13</v>
      </c>
      <c r="AE17">
        <v>1.3370000123977661</v>
      </c>
    </row>
    <row r="18" spans="1:31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95">
        <v>12308.138999999999</v>
      </c>
      <c r="D18">
        <v>1017.2015702479339</v>
      </c>
      <c r="E18">
        <v>405.72399999999999</v>
      </c>
      <c r="F18" s="94">
        <v>72.688999999999993</v>
      </c>
      <c r="K18" s="106">
        <f t="shared" si="1"/>
        <v>45850</v>
      </c>
      <c r="L18" s="108">
        <v>10.5</v>
      </c>
      <c r="M18" s="108">
        <v>12.8</v>
      </c>
      <c r="N18" s="108">
        <v>8.4</v>
      </c>
      <c r="O18" s="108">
        <v>0</v>
      </c>
      <c r="P18" s="108">
        <v>15.5</v>
      </c>
      <c r="Q18" s="108" t="str">
        <f>TEXT(FY24_Temp[[#This Row],[Date_Simple]],"Ddd")</f>
        <v>Sat</v>
      </c>
      <c r="R18" s="109">
        <v>45486</v>
      </c>
      <c r="S18" s="108" t="str">
        <f>TEXT(FY24_Temp[[#This Row],[Old_Date]],"Ddd")</f>
        <v>Sat</v>
      </c>
      <c r="W18" t="str">
        <f>Table4[[#This Row],[Week No]]&amp;"_"&amp;TEXT(Table4[[#This Row],[Start Date]],"mm")&amp;TEXT(Table4[[#This Row],[Start Date]],"-dd")</f>
        <v>Week11_09-27</v>
      </c>
      <c r="X18" t="s">
        <v>448</v>
      </c>
      <c r="Y18" s="101">
        <f t="shared" si="0"/>
        <v>45927</v>
      </c>
      <c r="AB18" s="122" t="str">
        <f>Table6[[#This Row],[WeekNo]]&amp;"-"&amp;Table6[[#This Row],[HR]]</f>
        <v>1-14</v>
      </c>
      <c r="AC18">
        <v>1</v>
      </c>
      <c r="AD18">
        <v>14</v>
      </c>
      <c r="AE18">
        <v>1.1481428657259261</v>
      </c>
    </row>
    <row r="19" spans="1:31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95">
        <v>16308.138999999999</v>
      </c>
      <c r="D19">
        <v>1347.780082644628</v>
      </c>
      <c r="E19">
        <v>537.58000000000004</v>
      </c>
      <c r="F19" s="94">
        <v>85.55</v>
      </c>
      <c r="K19" s="97">
        <f t="shared" si="1"/>
        <v>45851</v>
      </c>
      <c r="L19">
        <v>10</v>
      </c>
      <c r="M19">
        <v>12.8</v>
      </c>
      <c r="N19">
        <v>8.4</v>
      </c>
      <c r="O19">
        <v>0</v>
      </c>
      <c r="P19">
        <v>15.5</v>
      </c>
      <c r="Q19" t="str">
        <f>TEXT(FY24_Temp[[#This Row],[Date_Simple]],"Ddd")</f>
        <v>Sun</v>
      </c>
      <c r="R19" s="39">
        <v>45487</v>
      </c>
      <c r="S19" t="str">
        <f>TEXT(FY24_Temp[[#This Row],[Old_Date]],"Ddd")</f>
        <v>Sun</v>
      </c>
      <c r="W19" t="str">
        <f>Table4[[#This Row],[Week No]]&amp;"_"&amp;TEXT(Table4[[#This Row],[Start Date]],"mm")&amp;TEXT(Table4[[#This Row],[Start Date]],"-dd")</f>
        <v>Week12_10-04</v>
      </c>
      <c r="X19" t="s">
        <v>449</v>
      </c>
      <c r="Y19" s="101">
        <f t="shared" si="0"/>
        <v>45934</v>
      </c>
      <c r="AB19" s="122" t="str">
        <f>Table6[[#This Row],[WeekNo]]&amp;"-"&amp;Table6[[#This Row],[HR]]</f>
        <v>1-15</v>
      </c>
      <c r="AC19">
        <v>1</v>
      </c>
      <c r="AD19">
        <v>15</v>
      </c>
      <c r="AE19">
        <v>0.98957143511090961</v>
      </c>
    </row>
    <row r="20" spans="1:31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95">
        <v>16308.138999999999</v>
      </c>
      <c r="D20">
        <v>1347.780082644628</v>
      </c>
      <c r="E20">
        <v>537.58000000000004</v>
      </c>
      <c r="F20" s="94">
        <v>102.501</v>
      </c>
      <c r="K20" s="97">
        <f t="shared" si="1"/>
        <v>45852</v>
      </c>
      <c r="L20">
        <v>10</v>
      </c>
      <c r="M20">
        <v>12.8</v>
      </c>
      <c r="N20">
        <v>8.4</v>
      </c>
      <c r="O20">
        <v>0</v>
      </c>
      <c r="P20">
        <v>15.5</v>
      </c>
      <c r="Q20" t="str">
        <f>TEXT(FY24_Temp[[#This Row],[Date_Simple]],"Ddd")</f>
        <v>Mon</v>
      </c>
      <c r="R20" s="39">
        <v>45488</v>
      </c>
      <c r="S20" t="str">
        <f>TEXT(FY24_Temp[[#This Row],[Old_Date]],"Ddd")</f>
        <v>Mon</v>
      </c>
      <c r="W20" t="str">
        <f>Table4[[#This Row],[Week No]]&amp;"_"&amp;TEXT(Table4[[#This Row],[Start Date]],"mm")&amp;TEXT(Table4[[#This Row],[Start Date]],"-dd")</f>
        <v>Week13_10-11</v>
      </c>
      <c r="X20" t="s">
        <v>450</v>
      </c>
      <c r="Y20" s="101">
        <f t="shared" si="0"/>
        <v>45941</v>
      </c>
      <c r="AB20" s="122" t="str">
        <f>Table6[[#This Row],[WeekNo]]&amp;"-"&amp;Table6[[#This Row],[HR]]</f>
        <v>1-16</v>
      </c>
      <c r="AC20">
        <v>1</v>
      </c>
      <c r="AD20">
        <v>16</v>
      </c>
      <c r="AE20">
        <v>0.95228569848196842</v>
      </c>
    </row>
    <row r="21" spans="1:31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95">
        <v>16308.138999999999</v>
      </c>
      <c r="D21">
        <v>1347.780082644628</v>
      </c>
      <c r="E21">
        <v>537.58000000000004</v>
      </c>
      <c r="F21" s="94">
        <v>113.28100000000001</v>
      </c>
      <c r="K21" s="97">
        <f t="shared" si="1"/>
        <v>45853</v>
      </c>
      <c r="L21">
        <v>10</v>
      </c>
      <c r="M21">
        <v>12.8</v>
      </c>
      <c r="N21">
        <v>8.4</v>
      </c>
      <c r="O21">
        <v>0</v>
      </c>
      <c r="P21">
        <v>15.5</v>
      </c>
      <c r="Q21" t="str">
        <f>TEXT(FY24_Temp[[#This Row],[Date_Simple]],"Ddd")</f>
        <v>Tue</v>
      </c>
      <c r="R21" s="39">
        <v>45489</v>
      </c>
      <c r="S21" t="str">
        <f>TEXT(FY24_Temp[[#This Row],[Old_Date]],"Ddd")</f>
        <v>Tue</v>
      </c>
      <c r="W21" t="str">
        <f>Table4[[#This Row],[Week No]]&amp;"_"&amp;TEXT(Table4[[#This Row],[Start Date]],"mm")&amp;TEXT(Table4[[#This Row],[Start Date]],"-dd")</f>
        <v>Week14_10-18</v>
      </c>
      <c r="X21" t="s">
        <v>453</v>
      </c>
      <c r="Y21" s="101">
        <f t="shared" si="0"/>
        <v>45948</v>
      </c>
      <c r="AB21" s="122" t="str">
        <f>Table6[[#This Row],[WeekNo]]&amp;"-"&amp;Table6[[#This Row],[HR]]</f>
        <v>1-17</v>
      </c>
      <c r="AC21">
        <v>1</v>
      </c>
      <c r="AD21">
        <v>17</v>
      </c>
      <c r="AE21">
        <v>1.1852857215063912</v>
      </c>
    </row>
    <row r="22" spans="1:31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95">
        <v>16308.138999999999</v>
      </c>
      <c r="D22">
        <v>1347.780082644628</v>
      </c>
      <c r="E22">
        <v>537.58000000000004</v>
      </c>
      <c r="F22" s="94">
        <v>121.649</v>
      </c>
      <c r="K22" s="97">
        <f t="shared" si="1"/>
        <v>45854</v>
      </c>
      <c r="L22">
        <v>10</v>
      </c>
      <c r="M22">
        <v>12.8</v>
      </c>
      <c r="N22">
        <v>8.4</v>
      </c>
      <c r="O22">
        <v>0</v>
      </c>
      <c r="P22">
        <v>15.5</v>
      </c>
      <c r="Q22" t="str">
        <f>TEXT(FY24_Temp[[#This Row],[Date_Simple]],"Ddd")</f>
        <v>Wed</v>
      </c>
      <c r="R22" s="39">
        <v>45490</v>
      </c>
      <c r="S22" t="str">
        <f>TEXT(FY24_Temp[[#This Row],[Old_Date]],"Ddd")</f>
        <v>Wed</v>
      </c>
      <c r="W22" t="str">
        <f>Table4[[#This Row],[Week No]]&amp;"_"&amp;TEXT(Table4[[#This Row],[Start Date]],"mm")&amp;TEXT(Table4[[#This Row],[Start Date]],"-dd")</f>
        <v>TEST_08-23</v>
      </c>
      <c r="X22" t="s">
        <v>460</v>
      </c>
      <c r="Y22" s="101">
        <v>45892</v>
      </c>
      <c r="AB22" s="122" t="str">
        <f>Table6[[#This Row],[WeekNo]]&amp;"-"&amp;Table6[[#This Row],[HR]]</f>
        <v>1-18</v>
      </c>
      <c r="AC22">
        <v>1</v>
      </c>
      <c r="AD22">
        <v>18</v>
      </c>
      <c r="AE22">
        <v>1.5737142562866211</v>
      </c>
    </row>
    <row r="23" spans="1:31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95">
        <v>16308.138999999999</v>
      </c>
      <c r="D23">
        <v>1347.780082644628</v>
      </c>
      <c r="E23">
        <v>537.58000000000004</v>
      </c>
      <c r="F23" s="94">
        <v>122.425</v>
      </c>
      <c r="K23" s="97">
        <f t="shared" si="1"/>
        <v>45855</v>
      </c>
      <c r="L23">
        <v>10</v>
      </c>
      <c r="M23">
        <v>12.8</v>
      </c>
      <c r="N23">
        <v>8.4</v>
      </c>
      <c r="O23">
        <v>0</v>
      </c>
      <c r="P23">
        <v>15.5</v>
      </c>
      <c r="Q23" t="str">
        <f>TEXT(FY24_Temp[[#This Row],[Date_Simple]],"Ddd")</f>
        <v>Thu</v>
      </c>
      <c r="R23" s="39">
        <v>45491</v>
      </c>
      <c r="S23" t="str">
        <f>TEXT(FY24_Temp[[#This Row],[Old_Date]],"Ddd")</f>
        <v>Thu</v>
      </c>
      <c r="AB23" s="122" t="str">
        <f>Table6[[#This Row],[WeekNo]]&amp;"-"&amp;Table6[[#This Row],[HR]]</f>
        <v>1-19</v>
      </c>
      <c r="AC23">
        <v>1</v>
      </c>
      <c r="AD23">
        <v>19</v>
      </c>
      <c r="AE23">
        <v>2.4347143173217773</v>
      </c>
    </row>
    <row r="24" spans="1:31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95">
        <v>16308.138999999999</v>
      </c>
      <c r="D24">
        <v>1347.780082644628</v>
      </c>
      <c r="E24">
        <v>537.58000000000004</v>
      </c>
      <c r="F24" s="94">
        <v>122.393</v>
      </c>
      <c r="K24" s="97">
        <f t="shared" si="1"/>
        <v>45856</v>
      </c>
      <c r="L24">
        <v>10</v>
      </c>
      <c r="M24">
        <v>12.8</v>
      </c>
      <c r="N24">
        <v>8.4</v>
      </c>
      <c r="O24">
        <v>0</v>
      </c>
      <c r="P24">
        <v>15.5</v>
      </c>
      <c r="Q24" t="str">
        <f>TEXT(FY24_Temp[[#This Row],[Date_Simple]],"Ddd")</f>
        <v>Fri</v>
      </c>
      <c r="R24" s="39">
        <v>45492</v>
      </c>
      <c r="S24" t="str">
        <f>TEXT(FY24_Temp[[#This Row],[Old_Date]],"Ddd")</f>
        <v>Fri</v>
      </c>
      <c r="AB24" s="122" t="str">
        <f>Table6[[#This Row],[WeekNo]]&amp;"-"&amp;Table6[[#This Row],[HR]]</f>
        <v>1-20</v>
      </c>
      <c r="AC24">
        <v>1</v>
      </c>
      <c r="AD24">
        <v>20</v>
      </c>
      <c r="AE24">
        <v>3.1158571583884105</v>
      </c>
    </row>
    <row r="25" spans="1:31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95">
        <v>16308.138999999999</v>
      </c>
      <c r="D25">
        <v>1347.780082644628</v>
      </c>
      <c r="E25">
        <v>537.58000000000004</v>
      </c>
      <c r="F25" s="94">
        <v>118.246</v>
      </c>
      <c r="K25" s="106">
        <f t="shared" si="1"/>
        <v>45857</v>
      </c>
      <c r="L25" s="108">
        <v>10</v>
      </c>
      <c r="M25" s="108">
        <v>12.8</v>
      </c>
      <c r="N25" s="108">
        <v>8.4</v>
      </c>
      <c r="O25" s="108">
        <v>1</v>
      </c>
      <c r="P25" s="108">
        <v>15.5</v>
      </c>
      <c r="Q25" s="108" t="str">
        <f>TEXT(FY24_Temp[[#This Row],[Date_Simple]],"Ddd")</f>
        <v>Sat</v>
      </c>
      <c r="R25" s="109">
        <v>45493</v>
      </c>
      <c r="S25" s="108" t="str">
        <f>TEXT(FY24_Temp[[#This Row],[Old_Date]],"Ddd")</f>
        <v>Sat</v>
      </c>
      <c r="AB25" s="122" t="str">
        <f>Table6[[#This Row],[WeekNo]]&amp;"-"&amp;Table6[[#This Row],[HR]]</f>
        <v>1-21</v>
      </c>
      <c r="AC25">
        <v>1</v>
      </c>
      <c r="AD25">
        <v>21</v>
      </c>
      <c r="AE25">
        <v>3.3202857630593434</v>
      </c>
    </row>
    <row r="26" spans="1:31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95">
        <v>13808.138999999999</v>
      </c>
      <c r="D26">
        <v>1141.1685123966943</v>
      </c>
      <c r="E26">
        <v>455.17</v>
      </c>
      <c r="F26" s="94">
        <v>65.784999999999997</v>
      </c>
      <c r="K26" s="97">
        <f t="shared" si="1"/>
        <v>45858</v>
      </c>
      <c r="L26">
        <v>10</v>
      </c>
      <c r="M26">
        <v>12.8</v>
      </c>
      <c r="N26">
        <v>8.4</v>
      </c>
      <c r="O26">
        <v>1</v>
      </c>
      <c r="P26">
        <v>15.5</v>
      </c>
      <c r="Q26" t="str">
        <f>TEXT(FY24_Temp[[#This Row],[Date_Simple]],"Ddd")</f>
        <v>Sun</v>
      </c>
      <c r="R26" s="39">
        <v>45494</v>
      </c>
      <c r="S26" t="str">
        <f>TEXT(FY24_Temp[[#This Row],[Old_Date]],"Ddd")</f>
        <v>Sun</v>
      </c>
      <c r="W26" s="90" t="s">
        <v>419</v>
      </c>
      <c r="X26" s="88" t="s">
        <v>418</v>
      </c>
      <c r="AB26" s="122" t="str">
        <f>Table6[[#This Row],[WeekNo]]&amp;"-"&amp;Table6[[#This Row],[HR]]</f>
        <v>1-22</v>
      </c>
      <c r="AC26">
        <v>1</v>
      </c>
      <c r="AD26">
        <v>22</v>
      </c>
      <c r="AE26">
        <v>3.2868570940835133</v>
      </c>
    </row>
    <row r="27" spans="1:31" ht="17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95">
        <v>11308.138999999999</v>
      </c>
      <c r="D27">
        <v>934.5569421487603</v>
      </c>
      <c r="E27">
        <v>372.76</v>
      </c>
      <c r="F27" s="94">
        <v>57.951000000000001</v>
      </c>
      <c r="K27" s="97">
        <f t="shared" si="1"/>
        <v>45859</v>
      </c>
      <c r="L27">
        <v>10</v>
      </c>
      <c r="M27">
        <v>12.8</v>
      </c>
      <c r="N27">
        <v>8.4</v>
      </c>
      <c r="O27">
        <v>1</v>
      </c>
      <c r="P27">
        <v>15.5</v>
      </c>
      <c r="Q27" t="str">
        <f>TEXT(FY24_Temp[[#This Row],[Date_Simple]],"Ddd")</f>
        <v>Mon</v>
      </c>
      <c r="R27" s="39">
        <v>45495</v>
      </c>
      <c r="S27" t="str">
        <f>TEXT(FY24_Temp[[#This Row],[Old_Date]],"Ddd")</f>
        <v>Mon</v>
      </c>
      <c r="W27" s="89" t="s">
        <v>383</v>
      </c>
      <c r="X27" s="89" t="s">
        <v>384</v>
      </c>
      <c r="AB27" s="122" t="str">
        <f>Table6[[#This Row],[WeekNo]]&amp;"-"&amp;Table6[[#This Row],[HR]]</f>
        <v>1-23</v>
      </c>
      <c r="AC27">
        <v>1</v>
      </c>
      <c r="AD27">
        <v>23</v>
      </c>
      <c r="AE27">
        <v>3.1470000062670027</v>
      </c>
    </row>
    <row r="28" spans="1:31" ht="17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95">
        <v>9208.1389999999992</v>
      </c>
      <c r="D28">
        <v>761.00322314049583</v>
      </c>
      <c r="E28">
        <v>303.536</v>
      </c>
      <c r="F28" s="94">
        <v>49.581000000000003</v>
      </c>
      <c r="K28" s="97">
        <f t="shared" si="1"/>
        <v>45860</v>
      </c>
      <c r="L28">
        <v>10</v>
      </c>
      <c r="M28">
        <v>12.8</v>
      </c>
      <c r="N28">
        <v>8.4</v>
      </c>
      <c r="O28">
        <v>1</v>
      </c>
      <c r="P28">
        <v>15.5</v>
      </c>
      <c r="Q28" t="str">
        <f>TEXT(FY24_Temp[[#This Row],[Date_Simple]],"Ddd")</f>
        <v>Tue</v>
      </c>
      <c r="R28" s="39">
        <v>45496</v>
      </c>
      <c r="S28" t="str">
        <f>TEXT(FY24_Temp[[#This Row],[Old_Date]],"Ddd")</f>
        <v>Tue</v>
      </c>
      <c r="W28" s="89" t="s">
        <v>385</v>
      </c>
      <c r="X28" s="89" t="s">
        <v>386</v>
      </c>
      <c r="AB28" s="122" t="str">
        <f>Table6[[#This Row],[WeekNo]]&amp;"-"&amp;Table6[[#This Row],[HR]]</f>
        <v>2-0</v>
      </c>
      <c r="AC28">
        <v>2</v>
      </c>
      <c r="AD28">
        <v>0</v>
      </c>
      <c r="AE28">
        <v>2.9907142775399342</v>
      </c>
    </row>
    <row r="29" spans="1:31" ht="17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95">
        <v>9208.1389999999992</v>
      </c>
      <c r="D29">
        <v>761.00322314049583</v>
      </c>
      <c r="E29">
        <v>303.536</v>
      </c>
      <c r="F29" s="94">
        <v>49.042000000000002</v>
      </c>
      <c r="K29" s="97">
        <f t="shared" si="1"/>
        <v>45861</v>
      </c>
      <c r="L29">
        <v>10</v>
      </c>
      <c r="M29">
        <v>12.8</v>
      </c>
      <c r="N29">
        <v>8.4</v>
      </c>
      <c r="O29">
        <v>1</v>
      </c>
      <c r="P29">
        <v>15.5</v>
      </c>
      <c r="Q29" t="str">
        <f>TEXT(FY24_Temp[[#This Row],[Date_Simple]],"Ddd")</f>
        <v>Wed</v>
      </c>
      <c r="R29" s="39">
        <v>45497</v>
      </c>
      <c r="S29" t="str">
        <f>TEXT(FY24_Temp[[#This Row],[Old_Date]],"Ddd")</f>
        <v>Wed</v>
      </c>
      <c r="W29" s="89" t="s">
        <v>387</v>
      </c>
      <c r="X29" s="89" t="s">
        <v>388</v>
      </c>
      <c r="AB29" s="122" t="str">
        <f>Table6[[#This Row],[WeekNo]]&amp;"-"&amp;Table6[[#This Row],[HR]]</f>
        <v>2-1</v>
      </c>
      <c r="AC29">
        <v>2</v>
      </c>
      <c r="AD29">
        <v>1</v>
      </c>
      <c r="AE29">
        <v>2.8792857101985385</v>
      </c>
    </row>
    <row r="30" spans="1:31" ht="17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95">
        <v>9208.1389999999992</v>
      </c>
      <c r="D30">
        <v>761.00322314049583</v>
      </c>
      <c r="E30">
        <v>303.536</v>
      </c>
      <c r="F30" s="94">
        <v>49.152999999999999</v>
      </c>
      <c r="K30" s="97">
        <f t="shared" si="1"/>
        <v>45862</v>
      </c>
      <c r="L30">
        <v>10</v>
      </c>
      <c r="M30">
        <v>12.8</v>
      </c>
      <c r="N30">
        <v>8.4</v>
      </c>
      <c r="O30">
        <v>1</v>
      </c>
      <c r="P30">
        <v>15.5</v>
      </c>
      <c r="Q30" t="str">
        <f>TEXT(FY24_Temp[[#This Row],[Date_Simple]],"Ddd")</f>
        <v>Thu</v>
      </c>
      <c r="R30" s="39">
        <v>45498</v>
      </c>
      <c r="S30" t="str">
        <f>TEXT(FY24_Temp[[#This Row],[Old_Date]],"Ddd")</f>
        <v>Thu</v>
      </c>
      <c r="W30" s="89" t="s">
        <v>389</v>
      </c>
      <c r="X30" s="89" t="s">
        <v>390</v>
      </c>
      <c r="AB30" s="122" t="str">
        <f>Table6[[#This Row],[WeekNo]]&amp;"-"&amp;Table6[[#This Row],[HR]]</f>
        <v>2-2</v>
      </c>
      <c r="AC30">
        <v>2</v>
      </c>
      <c r="AD30">
        <v>2</v>
      </c>
      <c r="AE30">
        <v>2.766571419579642</v>
      </c>
    </row>
    <row r="31" spans="1:31" ht="17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95">
        <v>9208.1389999999992</v>
      </c>
      <c r="D31">
        <v>761.00322314049583</v>
      </c>
      <c r="E31">
        <v>303.536</v>
      </c>
      <c r="F31" s="94">
        <v>49.261000000000003</v>
      </c>
      <c r="K31" s="97">
        <f t="shared" si="1"/>
        <v>45863</v>
      </c>
      <c r="L31">
        <v>10</v>
      </c>
      <c r="M31">
        <v>12.8</v>
      </c>
      <c r="N31">
        <v>8.4</v>
      </c>
      <c r="O31">
        <v>1</v>
      </c>
      <c r="P31">
        <v>15.5</v>
      </c>
      <c r="Q31" t="str">
        <f>TEXT(FY24_Temp[[#This Row],[Date_Simple]],"Ddd")</f>
        <v>Fri</v>
      </c>
      <c r="R31" s="39">
        <v>45499</v>
      </c>
      <c r="S31" t="str">
        <f>TEXT(FY24_Temp[[#This Row],[Old_Date]],"Ddd")</f>
        <v>Fri</v>
      </c>
      <c r="W31" s="89" t="s">
        <v>391</v>
      </c>
      <c r="X31" s="89" t="s">
        <v>392</v>
      </c>
      <c r="AB31" s="122" t="str">
        <f>Table6[[#This Row],[WeekNo]]&amp;"-"&amp;Table6[[#This Row],[HR]]</f>
        <v>2-3</v>
      </c>
      <c r="AC31">
        <v>2</v>
      </c>
      <c r="AD31">
        <v>3</v>
      </c>
      <c r="AE31">
        <v>2.6518571717398509</v>
      </c>
    </row>
    <row r="32" spans="1:31" ht="17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95">
        <v>9208.1389999999992</v>
      </c>
      <c r="D32">
        <v>761.00322314049583</v>
      </c>
      <c r="E32">
        <v>303.536</v>
      </c>
      <c r="F32" s="94">
        <v>49.161999999999999</v>
      </c>
      <c r="K32" s="106">
        <f t="shared" si="1"/>
        <v>45864</v>
      </c>
      <c r="L32" s="108">
        <v>10</v>
      </c>
      <c r="M32" s="108">
        <v>13.86</v>
      </c>
      <c r="N32" s="108">
        <v>8.5</v>
      </c>
      <c r="O32" s="108">
        <f>O25+1</f>
        <v>2</v>
      </c>
      <c r="P32" s="108">
        <v>15.5</v>
      </c>
      <c r="Q32" s="108" t="str">
        <f>TEXT(FY24_Temp[[#This Row],[Date_Simple]],"Ddd")</f>
        <v>Sat</v>
      </c>
      <c r="R32" s="109">
        <v>45500</v>
      </c>
      <c r="S32" s="108" t="str">
        <f>TEXT(FY24_Temp[[#This Row],[Old_Date]],"Ddd")</f>
        <v>Sat</v>
      </c>
      <c r="W32" s="89" t="s">
        <v>393</v>
      </c>
      <c r="X32" s="89" t="s">
        <v>394</v>
      </c>
      <c r="AB32" s="122" t="str">
        <f>Table6[[#This Row],[WeekNo]]&amp;"-"&amp;Table6[[#This Row],[HR]]</f>
        <v>2-4</v>
      </c>
      <c r="AC32">
        <v>2</v>
      </c>
      <c r="AD32">
        <v>4</v>
      </c>
      <c r="AE32">
        <v>2.4902857712336948</v>
      </c>
    </row>
    <row r="33" spans="1:31" ht="17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95">
        <v>9208.1389999999992</v>
      </c>
      <c r="D33">
        <v>761.00322314049583</v>
      </c>
      <c r="E33">
        <v>303.536</v>
      </c>
      <c r="F33" s="94">
        <v>49.518999999999998</v>
      </c>
      <c r="K33" s="97">
        <f t="shared" si="1"/>
        <v>45865</v>
      </c>
      <c r="L33">
        <v>10</v>
      </c>
      <c r="M33">
        <v>13.86</v>
      </c>
      <c r="N33">
        <v>8.5</v>
      </c>
      <c r="O33">
        <f t="shared" ref="O33:O96" si="2">O26+1</f>
        <v>2</v>
      </c>
      <c r="P33">
        <v>15.5</v>
      </c>
      <c r="Q33" t="str">
        <f>TEXT(FY24_Temp[[#This Row],[Date_Simple]],"Ddd")</f>
        <v>Sun</v>
      </c>
      <c r="R33" s="39">
        <v>45501</v>
      </c>
      <c r="S33" t="str">
        <f>TEXT(FY24_Temp[[#This Row],[Old_Date]],"Ddd")</f>
        <v>Sun</v>
      </c>
      <c r="W33" s="89" t="s">
        <v>395</v>
      </c>
      <c r="X33" s="89" t="s">
        <v>396</v>
      </c>
      <c r="AB33" s="122" t="str">
        <f>Table6[[#This Row],[WeekNo]]&amp;"-"&amp;Table6[[#This Row],[HR]]</f>
        <v>2-5</v>
      </c>
      <c r="AC33">
        <v>2</v>
      </c>
      <c r="AD33">
        <v>5</v>
      </c>
      <c r="AE33">
        <v>2.337571382522583</v>
      </c>
    </row>
    <row r="34" spans="1:31" ht="17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95">
        <v>9208.1389999999992</v>
      </c>
      <c r="D34">
        <v>761.00322314049583</v>
      </c>
      <c r="E34">
        <v>303.536</v>
      </c>
      <c r="F34" s="94">
        <v>78.53</v>
      </c>
      <c r="K34" s="97">
        <f t="shared" si="1"/>
        <v>45866</v>
      </c>
      <c r="L34">
        <v>10</v>
      </c>
      <c r="M34">
        <v>13.86</v>
      </c>
      <c r="N34">
        <v>8.5</v>
      </c>
      <c r="O34">
        <f t="shared" si="2"/>
        <v>2</v>
      </c>
      <c r="P34">
        <v>15.5</v>
      </c>
      <c r="Q34" t="str">
        <f>TEXT(FY24_Temp[[#This Row],[Date_Simple]],"Ddd")</f>
        <v>Mon</v>
      </c>
      <c r="R34" s="39">
        <v>45502</v>
      </c>
      <c r="S34" t="str">
        <f>TEXT(FY24_Temp[[#This Row],[Old_Date]],"Ddd")</f>
        <v>Mon</v>
      </c>
      <c r="W34" s="89" t="s">
        <v>397</v>
      </c>
      <c r="X34" s="89" t="s">
        <v>398</v>
      </c>
      <c r="AB34" s="122" t="str">
        <f>Table6[[#This Row],[WeekNo]]&amp;"-"&amp;Table6[[#This Row],[HR]]</f>
        <v>2-6</v>
      </c>
      <c r="AC34">
        <v>2</v>
      </c>
      <c r="AD34">
        <v>6</v>
      </c>
      <c r="AE34">
        <v>2.2231428963797435</v>
      </c>
    </row>
    <row r="35" spans="1:31" ht="17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95">
        <v>9208.1389999999992</v>
      </c>
      <c r="D35">
        <v>761.00322314049583</v>
      </c>
      <c r="E35">
        <v>303.536</v>
      </c>
      <c r="F35" s="94">
        <v>71.353999999999999</v>
      </c>
      <c r="K35" s="97">
        <f t="shared" si="1"/>
        <v>45867</v>
      </c>
      <c r="L35">
        <v>10</v>
      </c>
      <c r="M35">
        <v>13.86</v>
      </c>
      <c r="N35">
        <v>8.5</v>
      </c>
      <c r="O35">
        <f t="shared" si="2"/>
        <v>2</v>
      </c>
      <c r="P35">
        <v>15.5</v>
      </c>
      <c r="Q35" t="str">
        <f>TEXT(FY24_Temp[[#This Row],[Date_Simple]],"Ddd")</f>
        <v>Tue</v>
      </c>
      <c r="R35" s="39">
        <v>45503</v>
      </c>
      <c r="S35" t="str">
        <f>TEXT(FY24_Temp[[#This Row],[Old_Date]],"Ddd")</f>
        <v>Tue</v>
      </c>
      <c r="W35" s="91" t="s">
        <v>399</v>
      </c>
      <c r="X35" s="91" t="s">
        <v>400</v>
      </c>
      <c r="AB35" s="122" t="str">
        <f>Table6[[#This Row],[WeekNo]]&amp;"-"&amp;Table6[[#This Row],[HR]]</f>
        <v>2-7</v>
      </c>
      <c r="AC35">
        <v>2</v>
      </c>
      <c r="AD35">
        <v>7</v>
      </c>
      <c r="AE35">
        <v>2.1175714220319475</v>
      </c>
    </row>
    <row r="36" spans="1:31" ht="17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95">
        <v>9208.1389999999992</v>
      </c>
      <c r="D36">
        <v>761.00322314049583</v>
      </c>
      <c r="E36">
        <v>303.536</v>
      </c>
      <c r="F36" s="94">
        <v>56.476999999999997</v>
      </c>
      <c r="K36" s="97">
        <f t="shared" si="1"/>
        <v>45868</v>
      </c>
      <c r="L36">
        <v>10</v>
      </c>
      <c r="M36">
        <v>13.86</v>
      </c>
      <c r="N36">
        <v>8.5</v>
      </c>
      <c r="O36">
        <f t="shared" si="2"/>
        <v>2</v>
      </c>
      <c r="P36">
        <v>15.5</v>
      </c>
      <c r="Q36" t="str">
        <f>TEXT(FY24_Temp[[#This Row],[Date_Simple]],"Ddd")</f>
        <v>Wed</v>
      </c>
      <c r="R36" s="39">
        <v>45504</v>
      </c>
      <c r="S36" t="str">
        <f>TEXT(FY24_Temp[[#This Row],[Old_Date]],"Ddd")</f>
        <v>Wed</v>
      </c>
      <c r="W36" s="91" t="s">
        <v>401</v>
      </c>
      <c r="X36" s="91" t="s">
        <v>402</v>
      </c>
      <c r="AB36" s="122" t="str">
        <f>Table6[[#This Row],[WeekNo]]&amp;"-"&amp;Table6[[#This Row],[HR]]</f>
        <v>2-8</v>
      </c>
      <c r="AC36">
        <v>2</v>
      </c>
      <c r="AD36">
        <v>8</v>
      </c>
      <c r="AE36">
        <v>1.9947142941611153</v>
      </c>
    </row>
    <row r="37" spans="1:31" ht="17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95">
        <v>9208.1389999999992</v>
      </c>
      <c r="D37">
        <v>761.00322314049583</v>
      </c>
      <c r="E37">
        <v>303.536</v>
      </c>
      <c r="F37" s="94">
        <v>47.485999999999997</v>
      </c>
      <c r="K37" s="97">
        <f t="shared" si="1"/>
        <v>45869</v>
      </c>
      <c r="L37">
        <v>10</v>
      </c>
      <c r="M37">
        <v>13.86</v>
      </c>
      <c r="N37">
        <v>8.5</v>
      </c>
      <c r="O37">
        <f t="shared" si="2"/>
        <v>2</v>
      </c>
      <c r="P37">
        <v>15.5</v>
      </c>
      <c r="Q37" t="str">
        <f>TEXT(FY24_Temp[[#This Row],[Date_Simple]],"Ddd")</f>
        <v>Thu</v>
      </c>
      <c r="R37" s="39">
        <v>45505</v>
      </c>
      <c r="S37" t="str">
        <f>TEXT(FY24_Temp[[#This Row],[Old_Date]],"Ddd")</f>
        <v>Thu</v>
      </c>
      <c r="W37" s="89" t="s">
        <v>403</v>
      </c>
      <c r="X37" s="89" t="s">
        <v>404</v>
      </c>
      <c r="AB37" s="122" t="str">
        <f>Table6[[#This Row],[WeekNo]]&amp;"-"&amp;Table6[[#This Row],[HR]]</f>
        <v>2-9</v>
      </c>
      <c r="AC37">
        <v>2</v>
      </c>
      <c r="AD37">
        <v>9</v>
      </c>
      <c r="AE37">
        <v>1.8918571301868983</v>
      </c>
    </row>
    <row r="38" spans="1:31" ht="17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95">
        <v>9208.1389999999992</v>
      </c>
      <c r="D38">
        <v>761.00322314049583</v>
      </c>
      <c r="E38">
        <v>303.536</v>
      </c>
      <c r="F38" s="94">
        <v>46.225000000000001</v>
      </c>
      <c r="K38" s="97">
        <f t="shared" si="1"/>
        <v>45870</v>
      </c>
      <c r="L38">
        <v>10</v>
      </c>
      <c r="M38">
        <v>13.86</v>
      </c>
      <c r="N38">
        <v>8.5</v>
      </c>
      <c r="O38">
        <f t="shared" si="2"/>
        <v>2</v>
      </c>
      <c r="P38">
        <v>15.5</v>
      </c>
      <c r="Q38" t="str">
        <f>TEXT(FY24_Temp[[#This Row],[Date_Simple]],"Ddd")</f>
        <v>Fri</v>
      </c>
      <c r="R38" s="39">
        <v>45506</v>
      </c>
      <c r="S38" t="str">
        <f>TEXT(FY24_Temp[[#This Row],[Old_Date]],"Ddd")</f>
        <v>Fri</v>
      </c>
      <c r="W38" s="89" t="s">
        <v>405</v>
      </c>
      <c r="X38" s="89" t="s">
        <v>406</v>
      </c>
      <c r="AB38" s="122" t="str">
        <f>Table6[[#This Row],[WeekNo]]&amp;"-"&amp;Table6[[#This Row],[HR]]</f>
        <v>2-10</v>
      </c>
      <c r="AC38">
        <v>2</v>
      </c>
      <c r="AD38">
        <v>10</v>
      </c>
      <c r="AE38">
        <v>1.795285701751709</v>
      </c>
    </row>
    <row r="39" spans="1:31" ht="17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95">
        <v>9208.1389999999992</v>
      </c>
      <c r="D39">
        <v>761.00322314049583</v>
      </c>
      <c r="E39">
        <v>303.536</v>
      </c>
      <c r="F39" s="94">
        <v>46.170999999999999</v>
      </c>
      <c r="K39" s="106">
        <f t="shared" si="1"/>
        <v>45871</v>
      </c>
      <c r="L39" s="108">
        <v>10</v>
      </c>
      <c r="M39" s="108">
        <v>14</v>
      </c>
      <c r="N39" s="108">
        <v>8.5</v>
      </c>
      <c r="O39" s="108">
        <f t="shared" si="2"/>
        <v>3</v>
      </c>
      <c r="P39" s="108">
        <v>15.5</v>
      </c>
      <c r="Q39" s="108" t="str">
        <f>TEXT(FY24_Temp[[#This Row],[Date_Simple]],"Ddd")</f>
        <v>Sat</v>
      </c>
      <c r="R39" s="109">
        <v>45507</v>
      </c>
      <c r="S39" s="108" t="str">
        <f>TEXT(FY24_Temp[[#This Row],[Old_Date]],"Ddd")</f>
        <v>Sat</v>
      </c>
      <c r="W39" s="89" t="s">
        <v>407</v>
      </c>
      <c r="X39" s="89" t="s">
        <v>408</v>
      </c>
      <c r="AB39" s="122" t="str">
        <f>Table6[[#This Row],[WeekNo]]&amp;"-"&amp;Table6[[#This Row],[HR]]</f>
        <v>2-11</v>
      </c>
      <c r="AC39">
        <v>2</v>
      </c>
      <c r="AD39">
        <v>11</v>
      </c>
      <c r="AE39">
        <v>1.6731428759438651</v>
      </c>
    </row>
    <row r="40" spans="1:31" ht="17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95">
        <v>9208.1389999999992</v>
      </c>
      <c r="D40">
        <v>761.00322314049583</v>
      </c>
      <c r="E40">
        <v>303.536</v>
      </c>
      <c r="F40" s="94">
        <v>46.154000000000003</v>
      </c>
      <c r="K40" s="97">
        <f t="shared" si="1"/>
        <v>45872</v>
      </c>
      <c r="L40">
        <v>10</v>
      </c>
      <c r="M40">
        <v>14</v>
      </c>
      <c r="N40">
        <v>8.5</v>
      </c>
      <c r="O40">
        <f t="shared" si="2"/>
        <v>3</v>
      </c>
      <c r="P40">
        <v>15.5</v>
      </c>
      <c r="Q40" t="str">
        <f>TEXT(FY24_Temp[[#This Row],[Date_Simple]],"Ddd")</f>
        <v>Sun</v>
      </c>
      <c r="R40" s="39">
        <v>45508</v>
      </c>
      <c r="S40" t="str">
        <f>TEXT(FY24_Temp[[#This Row],[Old_Date]],"Ddd")</f>
        <v>Sun</v>
      </c>
      <c r="W40" s="89" t="s">
        <v>409</v>
      </c>
      <c r="X40" s="89" t="s">
        <v>410</v>
      </c>
      <c r="AB40" s="122" t="str">
        <f>Table6[[#This Row],[WeekNo]]&amp;"-"&amp;Table6[[#This Row],[HR]]</f>
        <v>2-12</v>
      </c>
      <c r="AC40">
        <v>2</v>
      </c>
      <c r="AD40">
        <v>12</v>
      </c>
      <c r="AE40">
        <v>1.5228571380887712</v>
      </c>
    </row>
    <row r="41" spans="1:31" ht="17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95">
        <v>9208.1389999999992</v>
      </c>
      <c r="D41">
        <v>761.00322314049583</v>
      </c>
      <c r="E41">
        <v>303.536</v>
      </c>
      <c r="F41" s="94">
        <v>46.168999999999997</v>
      </c>
      <c r="K41" s="97">
        <f t="shared" si="1"/>
        <v>45873</v>
      </c>
      <c r="L41">
        <v>10</v>
      </c>
      <c r="M41">
        <v>14</v>
      </c>
      <c r="N41">
        <v>8.5</v>
      </c>
      <c r="O41">
        <f t="shared" si="2"/>
        <v>3</v>
      </c>
      <c r="P41">
        <v>15.5</v>
      </c>
      <c r="Q41" t="str">
        <f>TEXT(FY24_Temp[[#This Row],[Date_Simple]],"Ddd")</f>
        <v>Mon</v>
      </c>
      <c r="R41" s="39">
        <v>45509</v>
      </c>
      <c r="S41" t="str">
        <f>TEXT(FY24_Temp[[#This Row],[Old_Date]],"Ddd")</f>
        <v>Mon</v>
      </c>
      <c r="W41" s="89" t="s">
        <v>411</v>
      </c>
      <c r="X41" s="89" t="s">
        <v>412</v>
      </c>
      <c r="AB41" s="122" t="str">
        <f>Table6[[#This Row],[WeekNo]]&amp;"-"&amp;Table6[[#This Row],[HR]]</f>
        <v>2-13</v>
      </c>
      <c r="AC41">
        <v>2</v>
      </c>
      <c r="AD41">
        <v>13</v>
      </c>
      <c r="AE41">
        <v>1.3490000111716134</v>
      </c>
    </row>
    <row r="42" spans="1:31" ht="17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95">
        <v>9208.1389999999992</v>
      </c>
      <c r="D42">
        <v>761.00322314049583</v>
      </c>
      <c r="E42">
        <v>303.536</v>
      </c>
      <c r="F42" s="94">
        <v>46.209000000000003</v>
      </c>
      <c r="K42" s="97">
        <f t="shared" si="1"/>
        <v>45874</v>
      </c>
      <c r="L42">
        <v>10</v>
      </c>
      <c r="M42">
        <v>14</v>
      </c>
      <c r="N42">
        <v>8.5</v>
      </c>
      <c r="O42">
        <f t="shared" si="2"/>
        <v>3</v>
      </c>
      <c r="P42">
        <v>15.5</v>
      </c>
      <c r="Q42" t="str">
        <f>TEXT(FY24_Temp[[#This Row],[Date_Simple]],"Ddd")</f>
        <v>Tue</v>
      </c>
      <c r="R42" s="39">
        <v>45510</v>
      </c>
      <c r="S42" t="str">
        <f>TEXT(FY24_Temp[[#This Row],[Old_Date]],"Ddd")</f>
        <v>Tue</v>
      </c>
      <c r="W42" s="89" t="s">
        <v>413</v>
      </c>
      <c r="X42" s="89" t="s">
        <v>414</v>
      </c>
      <c r="AB42" s="122" t="str">
        <f>Table6[[#This Row],[WeekNo]]&amp;"-"&amp;Table6[[#This Row],[HR]]</f>
        <v>2-14</v>
      </c>
      <c r="AC42">
        <v>2</v>
      </c>
      <c r="AD42">
        <v>14</v>
      </c>
      <c r="AE42">
        <v>1.165428570338658</v>
      </c>
    </row>
    <row r="43" spans="1:31" ht="17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95">
        <v>13208.138999999999</v>
      </c>
      <c r="D43">
        <v>1091.5817355371901</v>
      </c>
      <c r="E43">
        <v>435.392</v>
      </c>
      <c r="F43" s="94">
        <v>49.128999999999998</v>
      </c>
      <c r="K43" s="97">
        <f t="shared" si="1"/>
        <v>45875</v>
      </c>
      <c r="L43">
        <v>10</v>
      </c>
      <c r="M43">
        <v>14</v>
      </c>
      <c r="N43">
        <v>8.5</v>
      </c>
      <c r="O43">
        <f t="shared" si="2"/>
        <v>3</v>
      </c>
      <c r="P43">
        <v>15.5</v>
      </c>
      <c r="Q43" t="str">
        <f>TEXT(FY24_Temp[[#This Row],[Date_Simple]],"Ddd")</f>
        <v>Wed</v>
      </c>
      <c r="R43" s="39">
        <v>45511</v>
      </c>
      <c r="S43" t="str">
        <f>TEXT(FY24_Temp[[#This Row],[Old_Date]],"Ddd")</f>
        <v>Wed</v>
      </c>
      <c r="W43" s="89" t="s">
        <v>415</v>
      </c>
      <c r="X43" s="89" t="s">
        <v>416</v>
      </c>
      <c r="AB43" s="122" t="str">
        <f>Table6[[#This Row],[WeekNo]]&amp;"-"&amp;Table6[[#This Row],[HR]]</f>
        <v>2-15</v>
      </c>
      <c r="AC43">
        <v>2</v>
      </c>
      <c r="AD43">
        <v>15</v>
      </c>
      <c r="AE43">
        <v>1.0105714201927185</v>
      </c>
    </row>
    <row r="44" spans="1:31" ht="17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95">
        <v>14771.564</v>
      </c>
      <c r="D44">
        <v>1220.7904132231406</v>
      </c>
      <c r="E44">
        <v>486.928</v>
      </c>
      <c r="F44" s="94">
        <v>63.250999999999998</v>
      </c>
      <c r="K44" s="97">
        <f t="shared" si="1"/>
        <v>45876</v>
      </c>
      <c r="L44">
        <v>10</v>
      </c>
      <c r="M44">
        <v>14</v>
      </c>
      <c r="N44">
        <v>8.5</v>
      </c>
      <c r="O44">
        <f t="shared" si="2"/>
        <v>3</v>
      </c>
      <c r="P44">
        <v>15.5</v>
      </c>
      <c r="Q44" t="str">
        <f>TEXT(FY24_Temp[[#This Row],[Date_Simple]],"Ddd")</f>
        <v>Thu</v>
      </c>
      <c r="R44" s="39">
        <v>45512</v>
      </c>
      <c r="S44" t="str">
        <f>TEXT(FY24_Temp[[#This Row],[Old_Date]],"Ddd")</f>
        <v>Thu</v>
      </c>
      <c r="W44" s="89" t="s">
        <v>383</v>
      </c>
      <c r="X44" s="89" t="s">
        <v>417</v>
      </c>
      <c r="AB44" s="122" t="str">
        <f>Table6[[#This Row],[WeekNo]]&amp;"-"&amp;Table6[[#This Row],[HR]]</f>
        <v>2-16</v>
      </c>
      <c r="AC44">
        <v>2</v>
      </c>
      <c r="AD44">
        <v>16</v>
      </c>
      <c r="AE44">
        <v>0.96857144151415142</v>
      </c>
    </row>
    <row r="45" spans="1:31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95">
        <v>16308.138999999999</v>
      </c>
      <c r="D45">
        <v>1347.780082644628</v>
      </c>
      <c r="E45">
        <v>537.58000000000004</v>
      </c>
      <c r="F45" s="94">
        <v>84.153000000000006</v>
      </c>
      <c r="K45" s="97">
        <f t="shared" si="1"/>
        <v>45877</v>
      </c>
      <c r="L45">
        <v>10</v>
      </c>
      <c r="M45">
        <v>14</v>
      </c>
      <c r="N45">
        <v>8.5</v>
      </c>
      <c r="O45">
        <f t="shared" si="2"/>
        <v>3</v>
      </c>
      <c r="P45">
        <v>15.5</v>
      </c>
      <c r="Q45" t="str">
        <f>TEXT(FY24_Temp[[#This Row],[Date_Simple]],"Ddd")</f>
        <v>Fri</v>
      </c>
      <c r="R45" s="39">
        <v>45513</v>
      </c>
      <c r="S45" t="str">
        <f>TEXT(FY24_Temp[[#This Row],[Old_Date]],"Ddd")</f>
        <v>Fri</v>
      </c>
      <c r="AB45" s="122" t="str">
        <f>Table6[[#This Row],[WeekNo]]&amp;"-"&amp;Table6[[#This Row],[HR]]</f>
        <v>2-17</v>
      </c>
      <c r="AC45">
        <v>2</v>
      </c>
      <c r="AD45">
        <v>17</v>
      </c>
      <c r="AE45">
        <v>1.1941428525107247</v>
      </c>
    </row>
    <row r="46" spans="1:31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95">
        <v>16308.138999999999</v>
      </c>
      <c r="D46">
        <v>1347.780082644628</v>
      </c>
      <c r="E46">
        <v>537.58000000000004</v>
      </c>
      <c r="F46" s="94">
        <v>106.764</v>
      </c>
      <c r="K46" s="106">
        <f t="shared" si="1"/>
        <v>45878</v>
      </c>
      <c r="L46" s="108">
        <v>10</v>
      </c>
      <c r="M46" s="108">
        <v>14.4</v>
      </c>
      <c r="N46" s="108">
        <v>8.5</v>
      </c>
      <c r="O46" s="108">
        <f t="shared" si="2"/>
        <v>4</v>
      </c>
      <c r="P46" s="108">
        <v>15.5</v>
      </c>
      <c r="Q46" s="108" t="str">
        <f>TEXT(FY24_Temp[[#This Row],[Date_Simple]],"Ddd")</f>
        <v>Sat</v>
      </c>
      <c r="R46" s="109">
        <v>45514</v>
      </c>
      <c r="S46" s="108" t="str">
        <f>TEXT(FY24_Temp[[#This Row],[Old_Date]],"Ddd")</f>
        <v>Sat</v>
      </c>
      <c r="AB46" s="122" t="str">
        <f>Table6[[#This Row],[WeekNo]]&amp;"-"&amp;Table6[[#This Row],[HR]]</f>
        <v>2-18</v>
      </c>
      <c r="AC46">
        <v>2</v>
      </c>
      <c r="AD46">
        <v>18</v>
      </c>
      <c r="AE46">
        <v>1.5795714344297136</v>
      </c>
    </row>
    <row r="47" spans="1:31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95">
        <v>16308.138999999999</v>
      </c>
      <c r="D47">
        <v>1347.780082644628</v>
      </c>
      <c r="E47">
        <v>537.58000000000004</v>
      </c>
      <c r="F47" s="94">
        <v>114.77800000000001</v>
      </c>
      <c r="K47" s="97">
        <f t="shared" si="1"/>
        <v>45879</v>
      </c>
      <c r="L47">
        <v>10</v>
      </c>
      <c r="M47">
        <v>14.4</v>
      </c>
      <c r="N47">
        <v>8.5</v>
      </c>
      <c r="O47">
        <f t="shared" si="2"/>
        <v>4</v>
      </c>
      <c r="P47">
        <v>15.5</v>
      </c>
      <c r="Q47" t="str">
        <f>TEXT(FY24_Temp[[#This Row],[Date_Simple]],"Ddd")</f>
        <v>Sun</v>
      </c>
      <c r="R47" s="39">
        <v>45515</v>
      </c>
      <c r="S47" t="str">
        <f>TEXT(FY24_Temp[[#This Row],[Old_Date]],"Ddd")</f>
        <v>Sun</v>
      </c>
      <c r="AB47" s="122" t="str">
        <f>Table6[[#This Row],[WeekNo]]&amp;"-"&amp;Table6[[#This Row],[HR]]</f>
        <v>2-19</v>
      </c>
      <c r="AC47">
        <v>2</v>
      </c>
      <c r="AD47">
        <v>19</v>
      </c>
      <c r="AE47">
        <v>2.4291428497859409</v>
      </c>
    </row>
    <row r="48" spans="1:31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95">
        <v>16308.138999999999</v>
      </c>
      <c r="D48">
        <v>1347.780082644628</v>
      </c>
      <c r="E48">
        <v>537.58000000000004</v>
      </c>
      <c r="F48" s="94">
        <v>119.196</v>
      </c>
      <c r="K48" s="97">
        <f t="shared" si="1"/>
        <v>45880</v>
      </c>
      <c r="L48">
        <v>10</v>
      </c>
      <c r="M48">
        <v>14.4</v>
      </c>
      <c r="N48">
        <v>8.5</v>
      </c>
      <c r="O48">
        <f t="shared" si="2"/>
        <v>4</v>
      </c>
      <c r="P48">
        <v>15.5</v>
      </c>
      <c r="Q48" t="str">
        <f>TEXT(FY24_Temp[[#This Row],[Date_Simple]],"Ddd")</f>
        <v>Mon</v>
      </c>
      <c r="R48" s="39">
        <v>45516</v>
      </c>
      <c r="S48" t="str">
        <f>TEXT(FY24_Temp[[#This Row],[Old_Date]],"Ddd")</f>
        <v>Mon</v>
      </c>
      <c r="AB48" s="122" t="str">
        <f>Table6[[#This Row],[WeekNo]]&amp;"-"&amp;Table6[[#This Row],[HR]]</f>
        <v>2-20</v>
      </c>
      <c r="AC48">
        <v>2</v>
      </c>
      <c r="AD48">
        <v>20</v>
      </c>
      <c r="AE48">
        <v>3.1071428571428572</v>
      </c>
    </row>
    <row r="49" spans="1:31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95">
        <v>16308.138999999999</v>
      </c>
      <c r="D49">
        <v>1347.780082644628</v>
      </c>
      <c r="E49">
        <v>537.58000000000004</v>
      </c>
      <c r="F49" s="94">
        <v>112.533</v>
      </c>
      <c r="K49" s="97">
        <f t="shared" si="1"/>
        <v>45881</v>
      </c>
      <c r="L49">
        <v>10</v>
      </c>
      <c r="M49">
        <v>14.4</v>
      </c>
      <c r="N49">
        <v>8.5</v>
      </c>
      <c r="O49">
        <f t="shared" si="2"/>
        <v>4</v>
      </c>
      <c r="P49">
        <v>15.5</v>
      </c>
      <c r="Q49" t="str">
        <f>TEXT(FY24_Temp[[#This Row],[Date_Simple]],"Ddd")</f>
        <v>Tue</v>
      </c>
      <c r="R49" s="39">
        <v>45517</v>
      </c>
      <c r="S49" t="str">
        <f>TEXT(FY24_Temp[[#This Row],[Old_Date]],"Ddd")</f>
        <v>Tue</v>
      </c>
      <c r="AB49" s="122" t="str">
        <f>Table6[[#This Row],[WeekNo]]&amp;"-"&amp;Table6[[#This Row],[HR]]</f>
        <v>2-21</v>
      </c>
      <c r="AC49">
        <v>2</v>
      </c>
      <c r="AD49">
        <v>21</v>
      </c>
      <c r="AE49">
        <v>3.3121428489685059</v>
      </c>
    </row>
    <row r="50" spans="1:31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95">
        <v>13808.138999999999</v>
      </c>
      <c r="D50">
        <v>1141.1685123966943</v>
      </c>
      <c r="E50">
        <v>455.17</v>
      </c>
      <c r="F50" s="94">
        <v>60.777000000000001</v>
      </c>
      <c r="K50" s="97">
        <f t="shared" si="1"/>
        <v>45882</v>
      </c>
      <c r="L50">
        <v>10</v>
      </c>
      <c r="M50">
        <v>14.4</v>
      </c>
      <c r="N50">
        <v>8.5</v>
      </c>
      <c r="O50">
        <f t="shared" si="2"/>
        <v>4</v>
      </c>
      <c r="P50">
        <v>15.5</v>
      </c>
      <c r="Q50" t="str">
        <f>TEXT(FY24_Temp[[#This Row],[Date_Simple]],"Ddd")</f>
        <v>Wed</v>
      </c>
      <c r="R50" s="39">
        <v>45518</v>
      </c>
      <c r="S50" t="str">
        <f>TEXT(FY24_Temp[[#This Row],[Old_Date]],"Ddd")</f>
        <v>Wed</v>
      </c>
      <c r="AB50" s="122" t="str">
        <f>Table6[[#This Row],[WeekNo]]&amp;"-"&amp;Table6[[#This Row],[HR]]</f>
        <v>2-22</v>
      </c>
      <c r="AC50">
        <v>2</v>
      </c>
      <c r="AD50">
        <v>22</v>
      </c>
      <c r="AE50">
        <v>3.2781428268977573</v>
      </c>
    </row>
    <row r="51" spans="1:31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95">
        <v>11308.138999999999</v>
      </c>
      <c r="D51">
        <v>934.5569421487603</v>
      </c>
      <c r="E51">
        <v>372.76</v>
      </c>
      <c r="F51" s="94">
        <v>56.433999999999997</v>
      </c>
      <c r="K51" s="97">
        <f t="shared" si="1"/>
        <v>45883</v>
      </c>
      <c r="L51">
        <v>10</v>
      </c>
      <c r="M51">
        <v>14.4</v>
      </c>
      <c r="N51">
        <v>8.5</v>
      </c>
      <c r="O51">
        <f t="shared" si="2"/>
        <v>4</v>
      </c>
      <c r="P51">
        <v>15.5</v>
      </c>
      <c r="Q51" t="str">
        <f>TEXT(FY24_Temp[[#This Row],[Date_Simple]],"Ddd")</f>
        <v>Thu</v>
      </c>
      <c r="R51" s="39">
        <v>45519</v>
      </c>
      <c r="S51" t="str">
        <f>TEXT(FY24_Temp[[#This Row],[Old_Date]],"Ddd")</f>
        <v>Thu</v>
      </c>
      <c r="AB51" s="122" t="str">
        <f>Table6[[#This Row],[WeekNo]]&amp;"-"&amp;Table6[[#This Row],[HR]]</f>
        <v>2-23</v>
      </c>
      <c r="AC51">
        <v>2</v>
      </c>
      <c r="AD51">
        <v>23</v>
      </c>
      <c r="AE51">
        <v>3.138000045503889</v>
      </c>
    </row>
    <row r="52" spans="1:31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95">
        <v>9208.1389999999992</v>
      </c>
      <c r="D52">
        <v>761.00322314049583</v>
      </c>
      <c r="E52">
        <v>303.536</v>
      </c>
      <c r="F52" s="94">
        <v>48.893999999999998</v>
      </c>
      <c r="K52" s="97">
        <f t="shared" si="1"/>
        <v>45884</v>
      </c>
      <c r="L52">
        <v>10</v>
      </c>
      <c r="M52">
        <v>14.4</v>
      </c>
      <c r="N52">
        <v>8.5</v>
      </c>
      <c r="O52">
        <f t="shared" si="2"/>
        <v>4</v>
      </c>
      <c r="P52">
        <v>15.5</v>
      </c>
      <c r="Q52" t="str">
        <f>TEXT(FY24_Temp[[#This Row],[Date_Simple]],"Ddd")</f>
        <v>Fri</v>
      </c>
      <c r="R52" s="39">
        <v>45520</v>
      </c>
      <c r="S52" t="str">
        <f>TEXT(FY24_Temp[[#This Row],[Old_Date]],"Ddd")</f>
        <v>Fri</v>
      </c>
      <c r="AB52" s="122" t="str">
        <f>Table6[[#This Row],[WeekNo]]&amp;"-"&amp;Table6[[#This Row],[HR]]</f>
        <v>3-0</v>
      </c>
      <c r="AC52">
        <v>3</v>
      </c>
      <c r="AD52">
        <v>0</v>
      </c>
      <c r="AE52">
        <v>2.9064285414559499</v>
      </c>
    </row>
    <row r="53" spans="1:31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95">
        <v>9208.1389999999992</v>
      </c>
      <c r="D53">
        <v>761.00322314049583</v>
      </c>
      <c r="E53">
        <v>303.536</v>
      </c>
      <c r="F53" s="94">
        <v>48.759</v>
      </c>
      <c r="K53" s="106">
        <f t="shared" si="1"/>
        <v>45885</v>
      </c>
      <c r="L53" s="108">
        <v>10</v>
      </c>
      <c r="M53" s="108">
        <v>14.63</v>
      </c>
      <c r="N53" s="108">
        <v>8.5</v>
      </c>
      <c r="O53" s="108">
        <f t="shared" si="2"/>
        <v>5</v>
      </c>
      <c r="P53" s="108">
        <v>15.5</v>
      </c>
      <c r="Q53" s="108" t="str">
        <f>TEXT(FY24_Temp[[#This Row],[Date_Simple]],"Ddd")</f>
        <v>Sat</v>
      </c>
      <c r="R53" s="109">
        <v>45521</v>
      </c>
      <c r="S53" s="108" t="str">
        <f>TEXT(FY24_Temp[[#This Row],[Old_Date]],"Ddd")</f>
        <v>Sat</v>
      </c>
      <c r="AB53" s="122" t="str">
        <f>Table6[[#This Row],[WeekNo]]&amp;"-"&amp;Table6[[#This Row],[HR]]</f>
        <v>3-1</v>
      </c>
      <c r="AC53">
        <v>3</v>
      </c>
      <c r="AD53">
        <v>1</v>
      </c>
      <c r="AE53">
        <v>2.7961428506033763</v>
      </c>
    </row>
    <row r="54" spans="1:31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95">
        <v>9208.1389999999992</v>
      </c>
      <c r="D54">
        <v>761.00322314049583</v>
      </c>
      <c r="E54">
        <v>303.536</v>
      </c>
      <c r="F54" s="94">
        <v>48.32</v>
      </c>
      <c r="K54" s="97">
        <f t="shared" si="1"/>
        <v>45886</v>
      </c>
      <c r="L54">
        <v>10</v>
      </c>
      <c r="M54">
        <v>14.63</v>
      </c>
      <c r="N54">
        <v>8.5</v>
      </c>
      <c r="O54">
        <f t="shared" si="2"/>
        <v>5</v>
      </c>
      <c r="P54">
        <v>15.5</v>
      </c>
      <c r="Q54" t="str">
        <f>TEXT(FY24_Temp[[#This Row],[Date_Simple]],"Ddd")</f>
        <v>Sun</v>
      </c>
      <c r="R54" s="39">
        <v>45522</v>
      </c>
      <c r="S54" t="str">
        <f>TEXT(FY24_Temp[[#This Row],[Old_Date]],"Ddd")</f>
        <v>Sun</v>
      </c>
      <c r="AB54" s="122" t="str">
        <f>Table6[[#This Row],[WeekNo]]&amp;"-"&amp;Table6[[#This Row],[HR]]</f>
        <v>3-2</v>
      </c>
      <c r="AC54">
        <v>3</v>
      </c>
      <c r="AD54">
        <v>2</v>
      </c>
      <c r="AE54">
        <v>2.6915714400155202</v>
      </c>
    </row>
    <row r="55" spans="1:31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95">
        <v>9208.1389999999992</v>
      </c>
      <c r="D55">
        <v>761.00322314049583</v>
      </c>
      <c r="E55">
        <v>303.536</v>
      </c>
      <c r="F55" s="94">
        <v>48.072000000000003</v>
      </c>
      <c r="K55" s="97">
        <f t="shared" si="1"/>
        <v>45887</v>
      </c>
      <c r="L55">
        <v>10</v>
      </c>
      <c r="M55">
        <v>14.63</v>
      </c>
      <c r="N55">
        <v>8.5</v>
      </c>
      <c r="O55">
        <f t="shared" si="2"/>
        <v>5</v>
      </c>
      <c r="P55">
        <v>15.5</v>
      </c>
      <c r="Q55" t="str">
        <f>TEXT(FY24_Temp[[#This Row],[Date_Simple]],"Ddd")</f>
        <v>Mon</v>
      </c>
      <c r="R55" s="39">
        <v>45523</v>
      </c>
      <c r="S55" t="str">
        <f>TEXT(FY24_Temp[[#This Row],[Old_Date]],"Ddd")</f>
        <v>Mon</v>
      </c>
      <c r="AB55" s="122" t="str">
        <f>Table6[[#This Row],[WeekNo]]&amp;"-"&amp;Table6[[#This Row],[HR]]</f>
        <v>3-3</v>
      </c>
      <c r="AC55">
        <v>3</v>
      </c>
      <c r="AD55">
        <v>3</v>
      </c>
      <c r="AE55">
        <v>2.5627142701830183</v>
      </c>
    </row>
    <row r="56" spans="1:31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95">
        <v>9208.1389999999992</v>
      </c>
      <c r="D56">
        <v>761.00322314049583</v>
      </c>
      <c r="E56">
        <v>303.536</v>
      </c>
      <c r="F56" s="94">
        <v>48.481000000000002</v>
      </c>
      <c r="K56" s="97">
        <f t="shared" si="1"/>
        <v>45888</v>
      </c>
      <c r="L56">
        <v>10</v>
      </c>
      <c r="M56">
        <v>14.63</v>
      </c>
      <c r="N56">
        <v>8.5</v>
      </c>
      <c r="O56">
        <f t="shared" si="2"/>
        <v>5</v>
      </c>
      <c r="P56">
        <v>15.5</v>
      </c>
      <c r="Q56" t="str">
        <f>TEXT(FY24_Temp[[#This Row],[Date_Simple]],"Ddd")</f>
        <v>Tue</v>
      </c>
      <c r="R56" s="39">
        <v>45524</v>
      </c>
      <c r="S56" t="str">
        <f>TEXT(FY24_Temp[[#This Row],[Old_Date]],"Ddd")</f>
        <v>Tue</v>
      </c>
      <c r="AB56" s="122" t="str">
        <f>Table6[[#This Row],[WeekNo]]&amp;"-"&amp;Table6[[#This Row],[HR]]</f>
        <v>3-4</v>
      </c>
      <c r="AC56">
        <v>3</v>
      </c>
      <c r="AD56">
        <v>4</v>
      </c>
      <c r="AE56">
        <v>2.3978571210588728</v>
      </c>
    </row>
    <row r="57" spans="1:31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95">
        <v>9208.1389999999992</v>
      </c>
      <c r="D57">
        <v>761.00322314049583</v>
      </c>
      <c r="E57">
        <v>303.536</v>
      </c>
      <c r="F57" s="94">
        <v>48.835999999999999</v>
      </c>
      <c r="K57" s="97">
        <f t="shared" si="1"/>
        <v>45889</v>
      </c>
      <c r="L57">
        <v>10</v>
      </c>
      <c r="M57">
        <v>14.63</v>
      </c>
      <c r="N57">
        <v>8.5</v>
      </c>
      <c r="O57">
        <f t="shared" si="2"/>
        <v>5</v>
      </c>
      <c r="P57">
        <v>15.5</v>
      </c>
      <c r="Q57" t="str">
        <f>TEXT(FY24_Temp[[#This Row],[Date_Simple]],"Ddd")</f>
        <v>Wed</v>
      </c>
      <c r="R57" s="39">
        <v>45525</v>
      </c>
      <c r="S57" t="str">
        <f>TEXT(FY24_Temp[[#This Row],[Old_Date]],"Ddd")</f>
        <v>Wed</v>
      </c>
      <c r="AB57" s="122" t="str">
        <f>Table6[[#This Row],[WeekNo]]&amp;"-"&amp;Table6[[#This Row],[HR]]</f>
        <v>3-5</v>
      </c>
      <c r="AC57">
        <v>3</v>
      </c>
      <c r="AD57">
        <v>5</v>
      </c>
      <c r="AE57">
        <v>2.2397142818995883</v>
      </c>
    </row>
    <row r="58" spans="1:31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95">
        <v>9208.1389999999992</v>
      </c>
      <c r="D58">
        <v>761.00322314049583</v>
      </c>
      <c r="E58">
        <v>303.536</v>
      </c>
      <c r="F58" s="94">
        <v>53.771999999999998</v>
      </c>
      <c r="K58" s="97">
        <f t="shared" si="1"/>
        <v>45890</v>
      </c>
      <c r="L58">
        <v>10</v>
      </c>
      <c r="M58">
        <v>14.63</v>
      </c>
      <c r="N58">
        <v>8.5</v>
      </c>
      <c r="O58">
        <f t="shared" si="2"/>
        <v>5</v>
      </c>
      <c r="P58">
        <v>15.5</v>
      </c>
      <c r="Q58" t="str">
        <f>TEXT(FY24_Temp[[#This Row],[Date_Simple]],"Ddd")</f>
        <v>Thu</v>
      </c>
      <c r="R58" s="39">
        <v>45526</v>
      </c>
      <c r="S58" t="str">
        <f>TEXT(FY24_Temp[[#This Row],[Old_Date]],"Ddd")</f>
        <v>Thu</v>
      </c>
      <c r="AB58" s="122" t="str">
        <f>Table6[[#This Row],[WeekNo]]&amp;"-"&amp;Table6[[#This Row],[HR]]</f>
        <v>3-6</v>
      </c>
      <c r="AC58">
        <v>3</v>
      </c>
      <c r="AD58">
        <v>6</v>
      </c>
      <c r="AE58">
        <v>2.1271428721291676</v>
      </c>
    </row>
    <row r="59" spans="1:31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95">
        <v>9208.1389999999992</v>
      </c>
      <c r="D59">
        <v>761.00322314049583</v>
      </c>
      <c r="E59">
        <v>303.536</v>
      </c>
      <c r="F59" s="94">
        <v>47.149000000000001</v>
      </c>
      <c r="K59" s="97">
        <f t="shared" si="1"/>
        <v>45891</v>
      </c>
      <c r="L59">
        <v>10</v>
      </c>
      <c r="M59">
        <v>14.63</v>
      </c>
      <c r="N59">
        <v>8.5</v>
      </c>
      <c r="O59">
        <f t="shared" si="2"/>
        <v>5</v>
      </c>
      <c r="P59">
        <v>15.5</v>
      </c>
      <c r="Q59" t="str">
        <f>TEXT(FY24_Temp[[#This Row],[Date_Simple]],"Ddd")</f>
        <v>Fri</v>
      </c>
      <c r="R59" s="39">
        <v>45527</v>
      </c>
      <c r="S59" t="str">
        <f>TEXT(FY24_Temp[[#This Row],[Old_Date]],"Ddd")</f>
        <v>Fri</v>
      </c>
      <c r="AB59" s="122" t="str">
        <f>Table6[[#This Row],[WeekNo]]&amp;"-"&amp;Table6[[#This Row],[HR]]</f>
        <v>3-7</v>
      </c>
      <c r="AC59">
        <v>3</v>
      </c>
      <c r="AD59">
        <v>7</v>
      </c>
      <c r="AE59">
        <v>2.0365714345659529</v>
      </c>
    </row>
    <row r="60" spans="1:31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95">
        <v>9208.1389999999992</v>
      </c>
      <c r="D60">
        <v>761.00322314049583</v>
      </c>
      <c r="E60">
        <v>303.536</v>
      </c>
      <c r="F60" s="94">
        <v>46.155999999999999</v>
      </c>
      <c r="K60" s="106">
        <f t="shared" si="1"/>
        <v>45892</v>
      </c>
      <c r="L60" s="108">
        <v>10</v>
      </c>
      <c r="M60" s="108">
        <v>14.71</v>
      </c>
      <c r="N60" s="108">
        <v>8.5</v>
      </c>
      <c r="O60" s="108">
        <f t="shared" si="2"/>
        <v>6</v>
      </c>
      <c r="P60" s="108">
        <v>15</v>
      </c>
      <c r="Q60" s="108" t="str">
        <f>TEXT(FY24_Temp[[#This Row],[Date_Simple]],"Ddd")</f>
        <v>Sat</v>
      </c>
      <c r="R60" s="109">
        <v>45528</v>
      </c>
      <c r="S60" s="108" t="str">
        <f>TEXT(FY24_Temp[[#This Row],[Old_Date]],"Ddd")</f>
        <v>Sat</v>
      </c>
      <c r="AB60" s="122" t="str">
        <f>Table6[[#This Row],[WeekNo]]&amp;"-"&amp;Table6[[#This Row],[HR]]</f>
        <v>3-8</v>
      </c>
      <c r="AC60">
        <v>3</v>
      </c>
      <c r="AD60">
        <v>8</v>
      </c>
      <c r="AE60">
        <v>1.9252857310431344</v>
      </c>
    </row>
    <row r="61" spans="1:31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95">
        <v>9208.1389999999992</v>
      </c>
      <c r="D61">
        <v>761.00322314049583</v>
      </c>
      <c r="E61">
        <v>303.536</v>
      </c>
      <c r="F61" s="94">
        <v>46.026000000000003</v>
      </c>
      <c r="K61" s="97">
        <f t="shared" si="1"/>
        <v>45893</v>
      </c>
      <c r="L61">
        <v>10</v>
      </c>
      <c r="M61">
        <v>14.71</v>
      </c>
      <c r="N61">
        <v>8.5</v>
      </c>
      <c r="O61">
        <f t="shared" si="2"/>
        <v>6</v>
      </c>
      <c r="P61">
        <v>15</v>
      </c>
      <c r="Q61" t="str">
        <f>TEXT(FY24_Temp[[#This Row],[Date_Simple]],"Ddd")</f>
        <v>Sun</v>
      </c>
      <c r="R61" s="39">
        <v>45529</v>
      </c>
      <c r="S61" t="str">
        <f>TEXT(FY24_Temp[[#This Row],[Old_Date]],"Ddd")</f>
        <v>Sun</v>
      </c>
      <c r="AB61" s="122" t="str">
        <f>Table6[[#This Row],[WeekNo]]&amp;"-"&amp;Table6[[#This Row],[HR]]</f>
        <v>3-9</v>
      </c>
      <c r="AC61">
        <v>3</v>
      </c>
      <c r="AD61">
        <v>9</v>
      </c>
      <c r="AE61">
        <v>1.824714285986764</v>
      </c>
    </row>
    <row r="62" spans="1:31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95">
        <v>9208.1389999999992</v>
      </c>
      <c r="D62">
        <v>761.00322314049583</v>
      </c>
      <c r="E62">
        <v>303.536</v>
      </c>
      <c r="F62" s="94">
        <v>45.988999999999997</v>
      </c>
      <c r="K62" s="97">
        <f t="shared" si="1"/>
        <v>45894</v>
      </c>
      <c r="L62">
        <v>10</v>
      </c>
      <c r="M62">
        <v>14.71</v>
      </c>
      <c r="N62">
        <v>8.5</v>
      </c>
      <c r="O62">
        <f t="shared" si="2"/>
        <v>6</v>
      </c>
      <c r="P62">
        <v>15</v>
      </c>
      <c r="Q62" t="str">
        <f>TEXT(FY24_Temp[[#This Row],[Date_Simple]],"Ddd")</f>
        <v>Mon</v>
      </c>
      <c r="R62" s="39">
        <v>45530</v>
      </c>
      <c r="S62" t="str">
        <f>TEXT(FY24_Temp[[#This Row],[Old_Date]],"Ddd")</f>
        <v>Mon</v>
      </c>
      <c r="AB62" s="122" t="str">
        <f>Table6[[#This Row],[WeekNo]]&amp;"-"&amp;Table6[[#This Row],[HR]]</f>
        <v>3-10</v>
      </c>
      <c r="AC62">
        <v>3</v>
      </c>
      <c r="AD62">
        <v>10</v>
      </c>
      <c r="AE62">
        <v>1.7312857082911901</v>
      </c>
    </row>
    <row r="63" spans="1:31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95">
        <v>9208.1389999999992</v>
      </c>
      <c r="D63">
        <v>761.00322314049583</v>
      </c>
      <c r="E63">
        <v>303.536</v>
      </c>
      <c r="F63" s="94">
        <v>45.936999999999998</v>
      </c>
      <c r="K63" s="97">
        <f t="shared" si="1"/>
        <v>45895</v>
      </c>
      <c r="L63">
        <v>10</v>
      </c>
      <c r="M63">
        <v>14.71</v>
      </c>
      <c r="N63">
        <v>8.5</v>
      </c>
      <c r="O63">
        <f t="shared" si="2"/>
        <v>6</v>
      </c>
      <c r="P63">
        <v>15</v>
      </c>
      <c r="Q63" t="str">
        <f>TEXT(FY24_Temp[[#This Row],[Date_Simple]],"Ddd")</f>
        <v>Tue</v>
      </c>
      <c r="R63" s="39">
        <v>45531</v>
      </c>
      <c r="S63" t="str">
        <f>TEXT(FY24_Temp[[#This Row],[Old_Date]],"Ddd")</f>
        <v>Tue</v>
      </c>
      <c r="AB63" s="122" t="str">
        <f>Table6[[#This Row],[WeekNo]]&amp;"-"&amp;Table6[[#This Row],[HR]]</f>
        <v>3-11</v>
      </c>
      <c r="AC63">
        <v>3</v>
      </c>
      <c r="AD63">
        <v>11</v>
      </c>
      <c r="AE63">
        <v>1.6252857276371546</v>
      </c>
    </row>
    <row r="64" spans="1:31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95">
        <v>9208.1389999999992</v>
      </c>
      <c r="D64">
        <v>761.00322314049583</v>
      </c>
      <c r="E64">
        <v>303.536</v>
      </c>
      <c r="F64" s="94">
        <v>45.923000000000002</v>
      </c>
      <c r="K64" s="97">
        <f t="shared" si="1"/>
        <v>45896</v>
      </c>
      <c r="L64">
        <v>10</v>
      </c>
      <c r="M64">
        <v>14.71</v>
      </c>
      <c r="N64">
        <v>8.5</v>
      </c>
      <c r="O64">
        <f t="shared" si="2"/>
        <v>6</v>
      </c>
      <c r="P64">
        <v>15</v>
      </c>
      <c r="Q64" t="str">
        <f>TEXT(FY24_Temp[[#This Row],[Date_Simple]],"Ddd")</f>
        <v>Wed</v>
      </c>
      <c r="R64" s="39">
        <v>45532</v>
      </c>
      <c r="S64" t="str">
        <f>TEXT(FY24_Temp[[#This Row],[Old_Date]],"Ddd")</f>
        <v>Wed</v>
      </c>
      <c r="AB64" s="122" t="str">
        <f>Table6[[#This Row],[WeekNo]]&amp;"-"&amp;Table6[[#This Row],[HR]]</f>
        <v>3-12</v>
      </c>
      <c r="AC64">
        <v>3</v>
      </c>
      <c r="AD64">
        <v>12</v>
      </c>
      <c r="AE64">
        <v>1.4844285760607039</v>
      </c>
    </row>
    <row r="65" spans="1:31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95">
        <v>9208.1389999999992</v>
      </c>
      <c r="D65">
        <v>761.00322314049583</v>
      </c>
      <c r="E65">
        <v>303.536</v>
      </c>
      <c r="F65" s="94">
        <v>45.948999999999998</v>
      </c>
      <c r="K65" s="97">
        <f t="shared" si="1"/>
        <v>45897</v>
      </c>
      <c r="L65">
        <v>10</v>
      </c>
      <c r="M65">
        <v>14.71</v>
      </c>
      <c r="N65">
        <v>8.5</v>
      </c>
      <c r="O65">
        <f t="shared" si="2"/>
        <v>6</v>
      </c>
      <c r="P65">
        <v>15</v>
      </c>
      <c r="Q65" t="str">
        <f>TEXT(FY24_Temp[[#This Row],[Date_Simple]],"Ddd")</f>
        <v>Thu</v>
      </c>
      <c r="R65" s="39">
        <v>45533</v>
      </c>
      <c r="S65" t="str">
        <f>TEXT(FY24_Temp[[#This Row],[Old_Date]],"Ddd")</f>
        <v>Thu</v>
      </c>
      <c r="AB65" s="122" t="str">
        <f>Table6[[#This Row],[WeekNo]]&amp;"-"&amp;Table6[[#This Row],[HR]]</f>
        <v>3-13</v>
      </c>
      <c r="AC65">
        <v>3</v>
      </c>
      <c r="AD65">
        <v>13</v>
      </c>
      <c r="AE65">
        <v>1.3144285849162511</v>
      </c>
    </row>
    <row r="66" spans="1:31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95">
        <v>9208.1389999999992</v>
      </c>
      <c r="D66">
        <v>761.00322314049583</v>
      </c>
      <c r="E66">
        <v>303.536</v>
      </c>
      <c r="F66" s="94">
        <v>46.037999999999997</v>
      </c>
      <c r="K66" s="97">
        <f t="shared" si="1"/>
        <v>45898</v>
      </c>
      <c r="L66">
        <v>10</v>
      </c>
      <c r="M66">
        <v>14.71</v>
      </c>
      <c r="N66">
        <v>8.5</v>
      </c>
      <c r="O66">
        <f t="shared" si="2"/>
        <v>6</v>
      </c>
      <c r="P66">
        <v>15</v>
      </c>
      <c r="Q66" t="str">
        <f>TEXT(FY24_Temp[[#This Row],[Date_Simple]],"Ddd")</f>
        <v>Fri</v>
      </c>
      <c r="R66" s="39">
        <v>45534</v>
      </c>
      <c r="S66" t="str">
        <f>TEXT(FY24_Temp[[#This Row],[Old_Date]],"Ddd")</f>
        <v>Fri</v>
      </c>
      <c r="AB66" s="122" t="str">
        <f>Table6[[#This Row],[WeekNo]]&amp;"-"&amp;Table6[[#This Row],[HR]]</f>
        <v>3-14</v>
      </c>
      <c r="AC66">
        <v>3</v>
      </c>
      <c r="AD66">
        <v>14</v>
      </c>
      <c r="AE66">
        <v>1.131428565297808</v>
      </c>
    </row>
    <row r="67" spans="1:31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95">
        <v>13208.138999999999</v>
      </c>
      <c r="D67">
        <v>1091.5817355371901</v>
      </c>
      <c r="E67">
        <v>435.392</v>
      </c>
      <c r="F67" s="94">
        <v>46.131</v>
      </c>
      <c r="K67" s="106">
        <f t="shared" si="1"/>
        <v>45899</v>
      </c>
      <c r="L67" s="108">
        <v>10</v>
      </c>
      <c r="M67" s="108">
        <v>15.03</v>
      </c>
      <c r="N67" s="108">
        <v>8.5</v>
      </c>
      <c r="O67" s="108">
        <f t="shared" si="2"/>
        <v>7</v>
      </c>
      <c r="P67" s="108">
        <v>15.5</v>
      </c>
      <c r="Q67" s="108" t="str">
        <f>TEXT(FY24_Temp[[#This Row],[Date_Simple]],"Ddd")</f>
        <v>Sat</v>
      </c>
      <c r="R67" s="109">
        <v>45535</v>
      </c>
      <c r="S67" s="108" t="str">
        <f>TEXT(FY24_Temp[[#This Row],[Old_Date]],"Ddd")</f>
        <v>Sat</v>
      </c>
      <c r="AB67" s="122" t="str">
        <f>Table6[[#This Row],[WeekNo]]&amp;"-"&amp;Table6[[#This Row],[HR]]</f>
        <v>3-15</v>
      </c>
      <c r="AC67">
        <v>3</v>
      </c>
      <c r="AD67">
        <v>15</v>
      </c>
      <c r="AE67">
        <v>0.96828571387699669</v>
      </c>
    </row>
    <row r="68" spans="1:31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95">
        <v>15617.252</v>
      </c>
      <c r="D68">
        <v>1290.6819834710745</v>
      </c>
      <c r="E68">
        <v>514.80499999999995</v>
      </c>
      <c r="F68" s="94">
        <v>47.345999999999997</v>
      </c>
      <c r="K68" s="97">
        <f t="shared" si="1"/>
        <v>45900</v>
      </c>
      <c r="L68">
        <v>10</v>
      </c>
      <c r="M68">
        <v>15.03</v>
      </c>
      <c r="N68">
        <v>8.5</v>
      </c>
      <c r="O68">
        <f t="shared" si="2"/>
        <v>7</v>
      </c>
      <c r="P68">
        <v>15.5</v>
      </c>
      <c r="Q68" t="str">
        <f>TEXT(FY24_Temp[[#This Row],[Date_Simple]],"Ddd")</f>
        <v>Sun</v>
      </c>
      <c r="R68" s="39">
        <v>45536</v>
      </c>
      <c r="S68" t="str">
        <f>TEXT(FY24_Temp[[#This Row],[Old_Date]],"Ddd")</f>
        <v>Sun</v>
      </c>
      <c r="AB68" s="122" t="str">
        <f>Table6[[#This Row],[WeekNo]]&amp;"-"&amp;Table6[[#This Row],[HR]]</f>
        <v>3-16</v>
      </c>
      <c r="AC68">
        <v>3</v>
      </c>
      <c r="AD68">
        <v>16</v>
      </c>
      <c r="AE68">
        <v>0.89385713849748882</v>
      </c>
    </row>
    <row r="69" spans="1:31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95">
        <v>15617.252</v>
      </c>
      <c r="D69">
        <v>1290.6819834710745</v>
      </c>
      <c r="E69">
        <v>514.80499999999995</v>
      </c>
      <c r="F69" s="94">
        <v>54.688000000000002</v>
      </c>
      <c r="K69" s="97">
        <f t="shared" si="1"/>
        <v>45901</v>
      </c>
      <c r="L69">
        <v>10</v>
      </c>
      <c r="M69">
        <v>15.03</v>
      </c>
      <c r="N69">
        <v>8.5</v>
      </c>
      <c r="O69">
        <f t="shared" si="2"/>
        <v>7</v>
      </c>
      <c r="P69">
        <v>15.5</v>
      </c>
      <c r="Q69" t="str">
        <f>TEXT(FY24_Temp[[#This Row],[Date_Simple]],"Ddd")</f>
        <v>Mon</v>
      </c>
      <c r="R69" s="39">
        <v>45537</v>
      </c>
      <c r="S69" t="str">
        <f>TEXT(FY24_Temp[[#This Row],[Old_Date]],"Ddd")</f>
        <v>Mon</v>
      </c>
      <c r="AB69" s="122" t="str">
        <f>Table6[[#This Row],[WeekNo]]&amp;"-"&amp;Table6[[#This Row],[HR]]</f>
        <v>3-17</v>
      </c>
      <c r="AC69">
        <v>3</v>
      </c>
      <c r="AD69">
        <v>17</v>
      </c>
      <c r="AE69">
        <v>1.0775714346340723</v>
      </c>
    </row>
    <row r="70" spans="1:31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95">
        <v>16308.138999999999</v>
      </c>
      <c r="D70">
        <v>1347.780082644628</v>
      </c>
      <c r="E70">
        <v>537.58000000000004</v>
      </c>
      <c r="F70" s="94">
        <v>70.739000000000004</v>
      </c>
      <c r="K70" s="97">
        <f t="shared" si="1"/>
        <v>45902</v>
      </c>
      <c r="L70">
        <v>10</v>
      </c>
      <c r="M70">
        <v>15.03</v>
      </c>
      <c r="N70">
        <v>8.5</v>
      </c>
      <c r="O70">
        <f t="shared" si="2"/>
        <v>7</v>
      </c>
      <c r="P70">
        <v>15.5</v>
      </c>
      <c r="Q70" t="str">
        <f>TEXT(FY24_Temp[[#This Row],[Date_Simple]],"Ddd")</f>
        <v>Tue</v>
      </c>
      <c r="R70" s="39">
        <v>45538</v>
      </c>
      <c r="S70" t="str">
        <f>TEXT(FY24_Temp[[#This Row],[Old_Date]],"Ddd")</f>
        <v>Tue</v>
      </c>
      <c r="AB70" s="122" t="str">
        <f>Table6[[#This Row],[WeekNo]]&amp;"-"&amp;Table6[[#This Row],[HR]]</f>
        <v>3-18</v>
      </c>
      <c r="AC70">
        <v>3</v>
      </c>
      <c r="AD70">
        <v>18</v>
      </c>
      <c r="AE70">
        <v>1.43542856829507</v>
      </c>
    </row>
    <row r="71" spans="1:31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95">
        <v>16308.138999999999</v>
      </c>
      <c r="D71">
        <v>1347.780082644628</v>
      </c>
      <c r="E71">
        <v>537.58000000000004</v>
      </c>
      <c r="F71" s="94">
        <v>84.899000000000001</v>
      </c>
      <c r="K71" s="97">
        <f t="shared" si="1"/>
        <v>45903</v>
      </c>
      <c r="L71">
        <v>10</v>
      </c>
      <c r="M71">
        <v>15.03</v>
      </c>
      <c r="N71">
        <v>8.5</v>
      </c>
      <c r="O71">
        <f t="shared" si="2"/>
        <v>7</v>
      </c>
      <c r="P71">
        <v>15.5</v>
      </c>
      <c r="Q71" t="str">
        <f>TEXT(FY24_Temp[[#This Row],[Date_Simple]],"Ddd")</f>
        <v>Wed</v>
      </c>
      <c r="R71" s="39">
        <v>45539</v>
      </c>
      <c r="S71" t="str">
        <f>TEXT(FY24_Temp[[#This Row],[Old_Date]],"Ddd")</f>
        <v>Wed</v>
      </c>
      <c r="AB71" s="122" t="str">
        <f>Table6[[#This Row],[WeekNo]]&amp;"-"&amp;Table6[[#This Row],[HR]]</f>
        <v>3-19</v>
      </c>
      <c r="AC71">
        <v>3</v>
      </c>
      <c r="AD71">
        <v>19</v>
      </c>
      <c r="AE71">
        <v>2.2041428089141846</v>
      </c>
    </row>
    <row r="72" spans="1:31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95">
        <v>16308.138999999999</v>
      </c>
      <c r="D72">
        <v>1347.780082644628</v>
      </c>
      <c r="E72">
        <v>537.58000000000004</v>
      </c>
      <c r="F72" s="94">
        <v>83.715999999999994</v>
      </c>
      <c r="K72" s="97">
        <f t="shared" ref="K72:K135" si="3">K71+1</f>
        <v>45904</v>
      </c>
      <c r="L72">
        <v>10</v>
      </c>
      <c r="M72">
        <v>15.03</v>
      </c>
      <c r="N72">
        <v>8.5</v>
      </c>
      <c r="O72">
        <f t="shared" si="2"/>
        <v>7</v>
      </c>
      <c r="P72">
        <v>15.5</v>
      </c>
      <c r="Q72" t="str">
        <f>TEXT(FY24_Temp[[#This Row],[Date_Simple]],"Ddd")</f>
        <v>Thu</v>
      </c>
      <c r="R72" s="39">
        <v>45540</v>
      </c>
      <c r="S72" t="str">
        <f>TEXT(FY24_Temp[[#This Row],[Old_Date]],"Ddd")</f>
        <v>Thu</v>
      </c>
      <c r="AB72" s="122" t="str">
        <f>Table6[[#This Row],[WeekNo]]&amp;"-"&amp;Table6[[#This Row],[HR]]</f>
        <v>3-20</v>
      </c>
      <c r="AC72">
        <v>3</v>
      </c>
      <c r="AD72">
        <v>20</v>
      </c>
      <c r="AE72">
        <v>2.9597143105098178</v>
      </c>
    </row>
    <row r="73" spans="1:31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95">
        <v>13808.138999999999</v>
      </c>
      <c r="D73">
        <v>1141.1685123966943</v>
      </c>
      <c r="E73">
        <v>455.17</v>
      </c>
      <c r="F73" s="94">
        <v>74.587999999999994</v>
      </c>
      <c r="K73" s="97">
        <f t="shared" si="3"/>
        <v>45905</v>
      </c>
      <c r="L73">
        <v>10</v>
      </c>
      <c r="M73">
        <v>15.03</v>
      </c>
      <c r="N73">
        <v>8.5</v>
      </c>
      <c r="O73">
        <f t="shared" si="2"/>
        <v>7</v>
      </c>
      <c r="P73">
        <v>15.5</v>
      </c>
      <c r="Q73" t="str">
        <f>TEXT(FY24_Temp[[#This Row],[Date_Simple]],"Ddd")</f>
        <v>Fri</v>
      </c>
      <c r="R73" s="39">
        <v>45541</v>
      </c>
      <c r="S73" t="str">
        <f>TEXT(FY24_Temp[[#This Row],[Old_Date]],"Ddd")</f>
        <v>Fri</v>
      </c>
      <c r="AB73" s="122" t="str">
        <f>Table6[[#This Row],[WeekNo]]&amp;"-"&amp;Table6[[#This Row],[HR]]</f>
        <v>3-21</v>
      </c>
      <c r="AC73">
        <v>3</v>
      </c>
      <c r="AD73">
        <v>21</v>
      </c>
      <c r="AE73">
        <v>3.2167142799922397</v>
      </c>
    </row>
    <row r="74" spans="1:31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95">
        <v>11308.138999999999</v>
      </c>
      <c r="D74">
        <v>934.5569421487603</v>
      </c>
      <c r="E74">
        <v>372.76</v>
      </c>
      <c r="F74" s="94">
        <v>56.500999999999998</v>
      </c>
      <c r="K74" s="106">
        <f t="shared" si="3"/>
        <v>45906</v>
      </c>
      <c r="L74" s="108">
        <v>10</v>
      </c>
      <c r="M74" s="108">
        <v>15.21</v>
      </c>
      <c r="N74" s="108">
        <v>8.5</v>
      </c>
      <c r="O74" s="108">
        <f t="shared" si="2"/>
        <v>8</v>
      </c>
      <c r="P74" s="108">
        <v>15.5</v>
      </c>
      <c r="Q74" s="108" t="str">
        <f>TEXT(FY24_Temp[[#This Row],[Date_Simple]],"Ddd")</f>
        <v>Sat</v>
      </c>
      <c r="R74" s="109">
        <v>45542</v>
      </c>
      <c r="S74" s="108" t="str">
        <f>TEXT(FY24_Temp[[#This Row],[Old_Date]],"Ddd")</f>
        <v>Sat</v>
      </c>
      <c r="AB74" s="122" t="str">
        <f>Table6[[#This Row],[WeekNo]]&amp;"-"&amp;Table6[[#This Row],[HR]]</f>
        <v>3-22</v>
      </c>
      <c r="AC74">
        <v>3</v>
      </c>
      <c r="AD74">
        <v>22</v>
      </c>
      <c r="AE74">
        <v>3.1878571510314941</v>
      </c>
    </row>
    <row r="75" spans="1:31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95">
        <v>9208.1389999999992</v>
      </c>
      <c r="D75">
        <v>761.00322314049583</v>
      </c>
      <c r="E75">
        <v>303.536</v>
      </c>
      <c r="F75" s="94">
        <v>52.027999999999999</v>
      </c>
      <c r="K75" s="97">
        <f t="shared" si="3"/>
        <v>45907</v>
      </c>
      <c r="L75">
        <v>10</v>
      </c>
      <c r="M75">
        <v>15.21</v>
      </c>
      <c r="N75">
        <v>8.5</v>
      </c>
      <c r="O75">
        <f t="shared" si="2"/>
        <v>8</v>
      </c>
      <c r="P75">
        <v>15.5</v>
      </c>
      <c r="Q75" t="str">
        <f>TEXT(FY24_Temp[[#This Row],[Date_Simple]],"Ddd")</f>
        <v>Sun</v>
      </c>
      <c r="R75" s="39">
        <v>45543</v>
      </c>
      <c r="S75" t="str">
        <f>TEXT(FY24_Temp[[#This Row],[Old_Date]],"Ddd")</f>
        <v>Sun</v>
      </c>
      <c r="T75" t="s">
        <v>461</v>
      </c>
      <c r="AB75" s="122" t="str">
        <f>Table6[[#This Row],[WeekNo]]&amp;"-"&amp;Table6[[#This Row],[HR]]</f>
        <v>3-23</v>
      </c>
      <c r="AC75">
        <v>3</v>
      </c>
      <c r="AD75">
        <v>23</v>
      </c>
      <c r="AE75">
        <v>3.0497143268585205</v>
      </c>
    </row>
    <row r="76" spans="1:31">
      <c r="A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95">
        <v>9920.7199999999993</v>
      </c>
      <c r="D76">
        <v>819.89421487603306</v>
      </c>
      <c r="E76">
        <v>323.07</v>
      </c>
      <c r="F76" s="94">
        <v>58.895000000000003</v>
      </c>
      <c r="K76" s="97">
        <f t="shared" si="3"/>
        <v>45908</v>
      </c>
      <c r="L76">
        <v>10</v>
      </c>
      <c r="M76">
        <v>15.21</v>
      </c>
      <c r="N76">
        <v>8.5</v>
      </c>
      <c r="O76">
        <f t="shared" si="2"/>
        <v>8</v>
      </c>
      <c r="P76">
        <v>15.5</v>
      </c>
      <c r="Q76" t="str">
        <f>TEXT(FY24_Temp[[#This Row],[Date_Simple]],"Ddd")</f>
        <v>Mon</v>
      </c>
      <c r="R76" s="39">
        <v>45544</v>
      </c>
      <c r="S76" t="str">
        <f>TEXT(FY24_Temp[[#This Row],[Old_Date]],"Ddd")</f>
        <v>Mon</v>
      </c>
      <c r="T76" s="105">
        <v>19027.20765</v>
      </c>
      <c r="U76" s="105"/>
      <c r="V76">
        <v>1</v>
      </c>
      <c r="AB76" s="122" t="str">
        <f>Table6[[#This Row],[WeekNo]]&amp;"-"&amp;Table6[[#This Row],[HR]]</f>
        <v>4-0</v>
      </c>
      <c r="AC76">
        <v>4</v>
      </c>
      <c r="AD76">
        <v>0</v>
      </c>
      <c r="AE76">
        <v>2.8105713639940535</v>
      </c>
    </row>
    <row r="77" spans="1:31">
      <c r="A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95">
        <v>9850.7199999999993</v>
      </c>
      <c r="D77">
        <v>814.10909090909092</v>
      </c>
      <c r="E77">
        <v>320.79000000000002</v>
      </c>
      <c r="F77" s="94">
        <v>58.046999999999997</v>
      </c>
      <c r="K77" s="97">
        <f t="shared" si="3"/>
        <v>45909</v>
      </c>
      <c r="L77">
        <v>10</v>
      </c>
      <c r="M77">
        <v>15.21</v>
      </c>
      <c r="N77">
        <v>8.5</v>
      </c>
      <c r="O77">
        <f t="shared" si="2"/>
        <v>8</v>
      </c>
      <c r="P77">
        <v>15.5</v>
      </c>
      <c r="Q77" t="str">
        <f>TEXT(FY24_Temp[[#This Row],[Date_Simple]],"Ddd")</f>
        <v>Tue</v>
      </c>
      <c r="R77" s="39">
        <v>45545</v>
      </c>
      <c r="S77" t="str">
        <f>TEXT(FY24_Temp[[#This Row],[Old_Date]],"Ddd")</f>
        <v>Tue</v>
      </c>
      <c r="V77">
        <v>0.5</v>
      </c>
      <c r="W77" s="105">
        <f>$T$76*V76</f>
        <v>19027.20765</v>
      </c>
      <c r="AB77" s="122" t="str">
        <f>Table6[[#This Row],[WeekNo]]&amp;"-"&amp;Table6[[#This Row],[HR]]</f>
        <v>4-1</v>
      </c>
      <c r="AC77">
        <v>4</v>
      </c>
      <c r="AD77">
        <v>1</v>
      </c>
      <c r="AE77">
        <v>2.7044286046709334</v>
      </c>
    </row>
    <row r="78" spans="1:31">
      <c r="A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95">
        <v>9850.7199999999993</v>
      </c>
      <c r="D78">
        <v>814.10909090909092</v>
      </c>
      <c r="E78">
        <v>320.79000000000002</v>
      </c>
      <c r="F78" s="94">
        <v>55.771999999999998</v>
      </c>
      <c r="K78" s="97">
        <f t="shared" si="3"/>
        <v>45910</v>
      </c>
      <c r="L78">
        <v>10</v>
      </c>
      <c r="M78">
        <v>15.21</v>
      </c>
      <c r="N78">
        <v>8.5</v>
      </c>
      <c r="O78">
        <f t="shared" si="2"/>
        <v>8</v>
      </c>
      <c r="P78">
        <v>15.5</v>
      </c>
      <c r="Q78" t="str">
        <f>TEXT(FY24_Temp[[#This Row],[Date_Simple]],"Ddd")</f>
        <v>Wed</v>
      </c>
      <c r="R78" s="39">
        <v>45546</v>
      </c>
      <c r="S78" t="str">
        <f>TEXT(FY24_Temp[[#This Row],[Old_Date]],"Ddd")</f>
        <v>Wed</v>
      </c>
      <c r="V78">
        <v>0.1</v>
      </c>
      <c r="W78" s="105">
        <f>$T$76*V77</f>
        <v>9513.6038250000001</v>
      </c>
      <c r="AB78" s="122" t="str">
        <f>Table6[[#This Row],[WeekNo]]&amp;"-"&amp;Table6[[#This Row],[HR]]</f>
        <v>4-2</v>
      </c>
      <c r="AC78">
        <v>4</v>
      </c>
      <c r="AD78">
        <v>2</v>
      </c>
      <c r="AE78">
        <v>2.6111428737640381</v>
      </c>
    </row>
    <row r="79" spans="1:31">
      <c r="A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95">
        <v>9850.7199999999993</v>
      </c>
      <c r="D79">
        <v>814.10909090909092</v>
      </c>
      <c r="E79">
        <v>320.79000000000002</v>
      </c>
      <c r="F79" s="94">
        <v>56.281999999999996</v>
      </c>
      <c r="K79" s="97">
        <f t="shared" si="3"/>
        <v>45911</v>
      </c>
      <c r="L79">
        <v>10</v>
      </c>
      <c r="M79">
        <v>15.21</v>
      </c>
      <c r="N79">
        <v>8.5</v>
      </c>
      <c r="O79">
        <f t="shared" si="2"/>
        <v>8</v>
      </c>
      <c r="P79">
        <v>15.5</v>
      </c>
      <c r="Q79" t="str">
        <f>TEXT(FY24_Temp[[#This Row],[Date_Simple]],"Ddd")</f>
        <v>Thu</v>
      </c>
      <c r="R79" s="39">
        <v>45547</v>
      </c>
      <c r="S79" t="str">
        <f>TEXT(FY24_Temp[[#This Row],[Old_Date]],"Ddd")</f>
        <v>Thu</v>
      </c>
      <c r="V79">
        <v>0.01</v>
      </c>
      <c r="W79" s="105">
        <f>$T$76*V78</f>
        <v>1902.720765</v>
      </c>
      <c r="AB79" s="122" t="str">
        <f>Table6[[#This Row],[WeekNo]]&amp;"-"&amp;Table6[[#This Row],[HR]]</f>
        <v>4-3</v>
      </c>
      <c r="AC79">
        <v>4</v>
      </c>
      <c r="AD79">
        <v>3</v>
      </c>
      <c r="AE79">
        <v>2.4651428290775845</v>
      </c>
    </row>
    <row r="80" spans="1:31">
      <c r="A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95">
        <v>9850.7199999999993</v>
      </c>
      <c r="D80">
        <v>814.10909090909092</v>
      </c>
      <c r="E80">
        <v>320.79000000000002</v>
      </c>
      <c r="F80" s="94">
        <v>56.058999999999997</v>
      </c>
      <c r="K80" s="97">
        <f t="shared" si="3"/>
        <v>45912</v>
      </c>
      <c r="L80">
        <v>10</v>
      </c>
      <c r="M80">
        <v>15.21</v>
      </c>
      <c r="N80">
        <v>8.5</v>
      </c>
      <c r="O80">
        <f t="shared" si="2"/>
        <v>8</v>
      </c>
      <c r="P80">
        <v>15.5</v>
      </c>
      <c r="Q80" t="str">
        <f>TEXT(FY24_Temp[[#This Row],[Date_Simple]],"Ddd")</f>
        <v>Fri</v>
      </c>
      <c r="R80" s="39">
        <v>45548</v>
      </c>
      <c r="S80" t="str">
        <f>TEXT(FY24_Temp[[#This Row],[Old_Date]],"Ddd")</f>
        <v>Fri</v>
      </c>
      <c r="V80">
        <v>1E-3</v>
      </c>
      <c r="W80" s="105">
        <f>$T$76*V79</f>
        <v>190.2720765</v>
      </c>
      <c r="AB80" s="122" t="str">
        <f>Table6[[#This Row],[WeekNo]]&amp;"-"&amp;Table6[[#This Row],[HR]]</f>
        <v>4-4</v>
      </c>
      <c r="AC80">
        <v>4</v>
      </c>
      <c r="AD80">
        <v>4</v>
      </c>
      <c r="AE80">
        <v>2.3014285564422607</v>
      </c>
    </row>
    <row r="81" spans="1:31">
      <c r="A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95">
        <v>9850.7199999999993</v>
      </c>
      <c r="D81">
        <v>814.10909090909092</v>
      </c>
      <c r="E81">
        <v>320.79000000000002</v>
      </c>
      <c r="F81" s="94">
        <v>58.037999999999997</v>
      </c>
      <c r="K81" s="106">
        <f t="shared" si="3"/>
        <v>45913</v>
      </c>
      <c r="L81" s="108">
        <v>10</v>
      </c>
      <c r="M81" s="108">
        <v>15.49</v>
      </c>
      <c r="N81" s="108">
        <v>8.5</v>
      </c>
      <c r="O81" s="108">
        <f t="shared" si="2"/>
        <v>9</v>
      </c>
      <c r="P81" s="108">
        <v>15.5</v>
      </c>
      <c r="Q81" s="108" t="str">
        <f>TEXT(FY24_Temp[[#This Row],[Date_Simple]],"Ddd")</f>
        <v>Sat</v>
      </c>
      <c r="R81" s="109">
        <v>45549</v>
      </c>
      <c r="S81" s="108" t="str">
        <f>TEXT(FY24_Temp[[#This Row],[Old_Date]],"Ddd")</f>
        <v>Sat</v>
      </c>
      <c r="W81" s="105">
        <f>$T$76*V80</f>
        <v>19.027207650000001</v>
      </c>
      <c r="AB81" s="122" t="str">
        <f>Table6[[#This Row],[WeekNo]]&amp;"-"&amp;Table6[[#This Row],[HR]]</f>
        <v>4-5</v>
      </c>
      <c r="AC81">
        <v>4</v>
      </c>
      <c r="AD81">
        <v>5</v>
      </c>
      <c r="AE81">
        <v>2.1431428364345004</v>
      </c>
    </row>
    <row r="82" spans="1:31">
      <c r="A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95">
        <v>9850.7199999999993</v>
      </c>
      <c r="D82">
        <v>814.10909090909092</v>
      </c>
      <c r="E82">
        <v>320.79000000000002</v>
      </c>
      <c r="F82" s="94">
        <v>70.366</v>
      </c>
      <c r="K82" s="97">
        <f t="shared" si="3"/>
        <v>45914</v>
      </c>
      <c r="L82">
        <v>10</v>
      </c>
      <c r="M82">
        <v>15.49</v>
      </c>
      <c r="N82">
        <v>8.5</v>
      </c>
      <c r="O82">
        <f t="shared" si="2"/>
        <v>9</v>
      </c>
      <c r="P82">
        <v>15.5</v>
      </c>
      <c r="Q82" t="str">
        <f>TEXT(FY24_Temp[[#This Row],[Date_Simple]],"Ddd")</f>
        <v>Sun</v>
      </c>
      <c r="R82" s="39">
        <v>45550</v>
      </c>
      <c r="S82" t="str">
        <f>TEXT(FY24_Temp[[#This Row],[Old_Date]],"Ddd")</f>
        <v>Sun</v>
      </c>
      <c r="AB82" s="122" t="str">
        <f>Table6[[#This Row],[WeekNo]]&amp;"-"&amp;Table6[[#This Row],[HR]]</f>
        <v>4-6</v>
      </c>
      <c r="AC82">
        <v>4</v>
      </c>
      <c r="AD82">
        <v>6</v>
      </c>
      <c r="AE82">
        <v>2.0285714013235912</v>
      </c>
    </row>
    <row r="83" spans="1:31">
      <c r="A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95">
        <v>9850.7199999999993</v>
      </c>
      <c r="D83">
        <v>814.10909090909092</v>
      </c>
      <c r="E83">
        <v>320.79000000000002</v>
      </c>
      <c r="F83" s="94">
        <v>64.953999999999994</v>
      </c>
      <c r="K83" s="97">
        <f t="shared" si="3"/>
        <v>45915</v>
      </c>
      <c r="L83">
        <v>10</v>
      </c>
      <c r="M83">
        <v>15.49</v>
      </c>
      <c r="N83">
        <v>8.5</v>
      </c>
      <c r="O83">
        <f t="shared" si="2"/>
        <v>9</v>
      </c>
      <c r="P83">
        <v>15.5</v>
      </c>
      <c r="Q83" t="str">
        <f>TEXT(FY24_Temp[[#This Row],[Date_Simple]],"Ddd")</f>
        <v>Mon</v>
      </c>
      <c r="R83" s="39">
        <v>45551</v>
      </c>
      <c r="S83" t="str">
        <f>TEXT(FY24_Temp[[#This Row],[Old_Date]],"Ddd")</f>
        <v>Mon</v>
      </c>
      <c r="AB83" s="122" t="str">
        <f>Table6[[#This Row],[WeekNo]]&amp;"-"&amp;Table6[[#This Row],[HR]]</f>
        <v>4-7</v>
      </c>
      <c r="AC83">
        <v>4</v>
      </c>
      <c r="AD83">
        <v>7</v>
      </c>
      <c r="AE83">
        <v>1.9455714055470057</v>
      </c>
    </row>
    <row r="84" spans="1:31">
      <c r="A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95">
        <v>9850.7199999999993</v>
      </c>
      <c r="D84">
        <v>814.10909090909092</v>
      </c>
      <c r="E84">
        <v>320.79000000000002</v>
      </c>
      <c r="F84" s="94">
        <v>53.743000000000002</v>
      </c>
      <c r="K84" s="97">
        <f t="shared" si="3"/>
        <v>45916</v>
      </c>
      <c r="L84">
        <v>10</v>
      </c>
      <c r="M84">
        <v>15.49</v>
      </c>
      <c r="N84">
        <v>8.5</v>
      </c>
      <c r="O84">
        <f t="shared" si="2"/>
        <v>9</v>
      </c>
      <c r="P84">
        <v>15.5</v>
      </c>
      <c r="Q84" t="str">
        <f>TEXT(FY24_Temp[[#This Row],[Date_Simple]],"Ddd")</f>
        <v>Tue</v>
      </c>
      <c r="R84" s="39">
        <v>45552</v>
      </c>
      <c r="S84" t="str">
        <f>TEXT(FY24_Temp[[#This Row],[Old_Date]],"Ddd")</f>
        <v>Tue</v>
      </c>
      <c r="AB84" s="122" t="str">
        <f>Table6[[#This Row],[WeekNo]]&amp;"-"&amp;Table6[[#This Row],[HR]]</f>
        <v>4-8</v>
      </c>
      <c r="AC84">
        <v>4</v>
      </c>
      <c r="AD84">
        <v>8</v>
      </c>
      <c r="AE84">
        <v>1.8411428587777274</v>
      </c>
    </row>
    <row r="85" spans="1:31">
      <c r="A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95">
        <v>9850.7199999999993</v>
      </c>
      <c r="D85">
        <v>814.10909090909092</v>
      </c>
      <c r="E85">
        <v>320.79000000000002</v>
      </c>
      <c r="F85" s="94">
        <v>53.243000000000002</v>
      </c>
      <c r="K85" s="97">
        <f t="shared" si="3"/>
        <v>45917</v>
      </c>
      <c r="L85">
        <v>10</v>
      </c>
      <c r="M85">
        <v>15.49</v>
      </c>
      <c r="N85">
        <v>8.5</v>
      </c>
      <c r="O85">
        <f t="shared" si="2"/>
        <v>9</v>
      </c>
      <c r="P85">
        <v>15.5</v>
      </c>
      <c r="Q85" t="str">
        <f>TEXT(FY24_Temp[[#This Row],[Date_Simple]],"Ddd")</f>
        <v>Wed</v>
      </c>
      <c r="R85" s="39">
        <v>45553</v>
      </c>
      <c r="S85" t="str">
        <f>TEXT(FY24_Temp[[#This Row],[Old_Date]],"Ddd")</f>
        <v>Wed</v>
      </c>
      <c r="AB85" s="122" t="str">
        <f>Table6[[#This Row],[WeekNo]]&amp;"-"&amp;Table6[[#This Row],[HR]]</f>
        <v>4-9</v>
      </c>
      <c r="AC85">
        <v>4</v>
      </c>
      <c r="AD85">
        <v>9</v>
      </c>
      <c r="AE85">
        <v>1.7424285582133703</v>
      </c>
    </row>
    <row r="86" spans="1:31">
      <c r="A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95">
        <v>9850.7199999999993</v>
      </c>
      <c r="D86">
        <v>814.10909090909092</v>
      </c>
      <c r="E86">
        <v>320.79000000000002</v>
      </c>
      <c r="F86" s="94">
        <v>48.69</v>
      </c>
      <c r="K86" s="97">
        <f t="shared" si="3"/>
        <v>45918</v>
      </c>
      <c r="L86">
        <v>10</v>
      </c>
      <c r="M86">
        <v>15.49</v>
      </c>
      <c r="N86">
        <v>8.5</v>
      </c>
      <c r="O86">
        <f t="shared" si="2"/>
        <v>9</v>
      </c>
      <c r="P86">
        <v>15.5</v>
      </c>
      <c r="Q86" t="str">
        <f>TEXT(FY24_Temp[[#This Row],[Date_Simple]],"Ddd")</f>
        <v>Thu</v>
      </c>
      <c r="R86" s="39">
        <v>45554</v>
      </c>
      <c r="S86" t="str">
        <f>TEXT(FY24_Temp[[#This Row],[Old_Date]],"Ddd")</f>
        <v>Thu</v>
      </c>
      <c r="AB86" s="122" t="str">
        <f>Table6[[#This Row],[WeekNo]]&amp;"-"&amp;Table6[[#This Row],[HR]]</f>
        <v>4-10</v>
      </c>
      <c r="AC86">
        <v>4</v>
      </c>
      <c r="AD86">
        <v>10</v>
      </c>
      <c r="AE86">
        <v>1.6560000010899134</v>
      </c>
    </row>
    <row r="87" spans="1:31">
      <c r="A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95">
        <v>9850.7199999999993</v>
      </c>
      <c r="D87">
        <v>814.10909090909092</v>
      </c>
      <c r="E87">
        <v>320.79000000000002</v>
      </c>
      <c r="F87" s="94">
        <v>47.902999999999999</v>
      </c>
      <c r="K87" s="97">
        <f t="shared" si="3"/>
        <v>45919</v>
      </c>
      <c r="L87">
        <v>10</v>
      </c>
      <c r="M87">
        <v>15.49</v>
      </c>
      <c r="N87">
        <v>8.5</v>
      </c>
      <c r="O87">
        <f t="shared" si="2"/>
        <v>9</v>
      </c>
      <c r="P87">
        <v>15.5</v>
      </c>
      <c r="Q87" t="str">
        <f>TEXT(FY24_Temp[[#This Row],[Date_Simple]],"Ddd")</f>
        <v>Fri</v>
      </c>
      <c r="R87" s="39">
        <v>45555</v>
      </c>
      <c r="S87" t="str">
        <f>TEXT(FY24_Temp[[#This Row],[Old_Date]],"Ddd")</f>
        <v>Fri</v>
      </c>
      <c r="AB87" s="122" t="str">
        <f>Table6[[#This Row],[WeekNo]]&amp;"-"&amp;Table6[[#This Row],[HR]]</f>
        <v>4-11</v>
      </c>
      <c r="AC87">
        <v>4</v>
      </c>
      <c r="AD87">
        <v>11</v>
      </c>
      <c r="AE87">
        <v>1.5444285869598389</v>
      </c>
    </row>
    <row r="88" spans="1:31">
      <c r="A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95">
        <v>9850.7199999999993</v>
      </c>
      <c r="D88">
        <v>814.10909090909092</v>
      </c>
      <c r="E88">
        <v>320.79000000000002</v>
      </c>
      <c r="F88" s="94">
        <v>48.26</v>
      </c>
      <c r="K88" s="106">
        <f t="shared" si="3"/>
        <v>45920</v>
      </c>
      <c r="L88" s="108">
        <v>10.5</v>
      </c>
      <c r="M88" s="108">
        <v>15.84</v>
      </c>
      <c r="N88" s="108">
        <v>8.5</v>
      </c>
      <c r="O88" s="108">
        <f t="shared" si="2"/>
        <v>10</v>
      </c>
      <c r="P88" s="108">
        <v>15.35</v>
      </c>
      <c r="Q88" s="108" t="str">
        <f>TEXT(FY24_Temp[[#This Row],[Date_Simple]],"Ddd")</f>
        <v>Sat</v>
      </c>
      <c r="R88" s="109">
        <v>45556</v>
      </c>
      <c r="S88" s="108" t="str">
        <f>TEXT(FY24_Temp[[#This Row],[Old_Date]],"Ddd")</f>
        <v>Sat</v>
      </c>
      <c r="AB88" s="122" t="str">
        <f>Table6[[#This Row],[WeekNo]]&amp;"-"&amp;Table6[[#This Row],[HR]]</f>
        <v>4-12</v>
      </c>
      <c r="AC88">
        <v>4</v>
      </c>
      <c r="AD88">
        <v>12</v>
      </c>
      <c r="AE88">
        <v>1.4021428823471069</v>
      </c>
    </row>
    <row r="89" spans="1:31">
      <c r="A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95">
        <v>9850.7199999999993</v>
      </c>
      <c r="D89">
        <v>814.10909090909092</v>
      </c>
      <c r="E89">
        <v>320.79000000000002</v>
      </c>
      <c r="F89" s="94">
        <v>55.164999999999999</v>
      </c>
      <c r="K89" s="97">
        <f t="shared" si="3"/>
        <v>45921</v>
      </c>
      <c r="L89">
        <v>10.5</v>
      </c>
      <c r="M89">
        <v>15.84</v>
      </c>
      <c r="N89">
        <v>8.5</v>
      </c>
      <c r="O89">
        <f t="shared" si="2"/>
        <v>10</v>
      </c>
      <c r="P89">
        <v>15.35</v>
      </c>
      <c r="Q89" t="str">
        <f>TEXT(FY24_Temp[[#This Row],[Date_Simple]],"Ddd")</f>
        <v>Sun</v>
      </c>
      <c r="R89" s="39">
        <v>45557</v>
      </c>
      <c r="S89" t="str">
        <f>TEXT(FY24_Temp[[#This Row],[Old_Date]],"Ddd")</f>
        <v>Sun</v>
      </c>
      <c r="AB89" s="122" t="str">
        <f>Table6[[#This Row],[WeekNo]]&amp;"-"&amp;Table6[[#This Row],[HR]]</f>
        <v>4-13</v>
      </c>
      <c r="AC89">
        <v>4</v>
      </c>
      <c r="AD89">
        <v>13</v>
      </c>
      <c r="AE89">
        <v>1.2278571299144201</v>
      </c>
    </row>
    <row r="90" spans="1:31">
      <c r="A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95">
        <v>13420.72</v>
      </c>
      <c r="D90">
        <v>1109.1504132231405</v>
      </c>
      <c r="E90">
        <v>437.048</v>
      </c>
      <c r="F90" s="94">
        <v>67.209000000000003</v>
      </c>
      <c r="K90" s="97">
        <f t="shared" si="3"/>
        <v>45922</v>
      </c>
      <c r="L90">
        <v>10.5</v>
      </c>
      <c r="M90">
        <v>15.84</v>
      </c>
      <c r="N90">
        <v>8.5</v>
      </c>
      <c r="O90">
        <f t="shared" si="2"/>
        <v>10</v>
      </c>
      <c r="P90">
        <v>15.35</v>
      </c>
      <c r="Q90" t="str">
        <f>TEXT(FY24_Temp[[#This Row],[Date_Simple]],"Ddd")</f>
        <v>Mon</v>
      </c>
      <c r="R90" s="39">
        <v>45558</v>
      </c>
      <c r="S90" t="str">
        <f>TEXT(FY24_Temp[[#This Row],[Old_Date]],"Ddd")</f>
        <v>Mon</v>
      </c>
      <c r="AB90" s="122" t="str">
        <f>Table6[[#This Row],[WeekNo]]&amp;"-"&amp;Table6[[#This Row],[HR]]</f>
        <v>4-14</v>
      </c>
      <c r="AC90">
        <v>4</v>
      </c>
      <c r="AD90">
        <v>14</v>
      </c>
      <c r="AE90">
        <v>1.0399999959128243</v>
      </c>
    </row>
    <row r="91" spans="1:31">
      <c r="A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95">
        <v>17420.72</v>
      </c>
      <c r="D91">
        <v>1439.7289256198349</v>
      </c>
      <c r="E91">
        <v>567.30899999999997</v>
      </c>
      <c r="F91" s="94">
        <v>73.337000000000003</v>
      </c>
      <c r="K91" s="97">
        <f t="shared" si="3"/>
        <v>45923</v>
      </c>
      <c r="L91">
        <v>10.5</v>
      </c>
      <c r="M91">
        <v>15.84</v>
      </c>
      <c r="N91">
        <v>8.5</v>
      </c>
      <c r="O91">
        <f t="shared" si="2"/>
        <v>10</v>
      </c>
      <c r="P91">
        <v>15.35</v>
      </c>
      <c r="Q91" t="str">
        <f>TEXT(FY24_Temp[[#This Row],[Date_Simple]],"Ddd")</f>
        <v>Tue</v>
      </c>
      <c r="R91" s="39">
        <v>45559</v>
      </c>
      <c r="S91" t="str">
        <f>TEXT(FY24_Temp[[#This Row],[Old_Date]],"Ddd")</f>
        <v>Tue</v>
      </c>
      <c r="AB91" s="122" t="str">
        <f>Table6[[#This Row],[WeekNo]]&amp;"-"&amp;Table6[[#This Row],[HR]]</f>
        <v>4-15</v>
      </c>
      <c r="AC91">
        <v>4</v>
      </c>
      <c r="AD91">
        <v>15</v>
      </c>
      <c r="AE91">
        <v>0.86785714115415302</v>
      </c>
    </row>
    <row r="92" spans="1:31">
      <c r="A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95">
        <v>17420.72</v>
      </c>
      <c r="D92">
        <v>1439.7289256198349</v>
      </c>
      <c r="E92">
        <v>567.30899999999997</v>
      </c>
      <c r="F92" s="94">
        <v>87.905000000000001</v>
      </c>
      <c r="K92" s="97">
        <f t="shared" si="3"/>
        <v>45924</v>
      </c>
      <c r="L92">
        <v>10.5</v>
      </c>
      <c r="M92">
        <v>15.84</v>
      </c>
      <c r="N92">
        <v>8.5</v>
      </c>
      <c r="O92">
        <f t="shared" si="2"/>
        <v>10</v>
      </c>
      <c r="P92">
        <v>15.35</v>
      </c>
      <c r="Q92" t="str">
        <f>TEXT(FY24_Temp[[#This Row],[Date_Simple]],"Ddd")</f>
        <v>Wed</v>
      </c>
      <c r="R92" s="39">
        <v>45560</v>
      </c>
      <c r="S92" t="str">
        <f>TEXT(FY24_Temp[[#This Row],[Old_Date]],"Ddd")</f>
        <v>Wed</v>
      </c>
      <c r="AB92" s="122" t="str">
        <f>Table6[[#This Row],[WeekNo]]&amp;"-"&amp;Table6[[#This Row],[HR]]</f>
        <v>4-16</v>
      </c>
      <c r="AC92">
        <v>4</v>
      </c>
      <c r="AD92">
        <v>16</v>
      </c>
      <c r="AE92">
        <v>0.77942857572010582</v>
      </c>
    </row>
    <row r="93" spans="1:31">
      <c r="A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95">
        <v>17420.72</v>
      </c>
      <c r="D93">
        <v>1439.7289256198349</v>
      </c>
      <c r="E93">
        <v>567.30899999999997</v>
      </c>
      <c r="F93" s="94">
        <v>110.84099999999999</v>
      </c>
      <c r="K93" s="97">
        <f t="shared" si="3"/>
        <v>45925</v>
      </c>
      <c r="L93">
        <v>10.5</v>
      </c>
      <c r="M93">
        <v>15.84</v>
      </c>
      <c r="N93">
        <v>8.5</v>
      </c>
      <c r="O93">
        <f t="shared" si="2"/>
        <v>10</v>
      </c>
      <c r="P93">
        <v>15.35</v>
      </c>
      <c r="Q93" t="str">
        <f>TEXT(FY24_Temp[[#This Row],[Date_Simple]],"Ddd")</f>
        <v>Thu</v>
      </c>
      <c r="R93" s="39">
        <v>45561</v>
      </c>
      <c r="S93" t="str">
        <f>TEXT(FY24_Temp[[#This Row],[Old_Date]],"Ddd")</f>
        <v>Thu</v>
      </c>
      <c r="AB93" s="122" t="str">
        <f>Table6[[#This Row],[WeekNo]]&amp;"-"&amp;Table6[[#This Row],[HR]]</f>
        <v>4-17</v>
      </c>
      <c r="AC93">
        <v>4</v>
      </c>
      <c r="AD93">
        <v>17</v>
      </c>
      <c r="AE93">
        <v>0.93557143211364746</v>
      </c>
    </row>
    <row r="94" spans="1:31">
      <c r="A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95">
        <v>17420.72</v>
      </c>
      <c r="D94">
        <v>1439.7289256198349</v>
      </c>
      <c r="E94">
        <v>567.30899999999997</v>
      </c>
      <c r="F94" s="94">
        <v>136.20400000000001</v>
      </c>
      <c r="K94" s="97">
        <f t="shared" si="3"/>
        <v>45926</v>
      </c>
      <c r="L94">
        <v>10.5</v>
      </c>
      <c r="M94">
        <v>15.84</v>
      </c>
      <c r="N94">
        <v>8.5</v>
      </c>
      <c r="O94">
        <f t="shared" si="2"/>
        <v>10</v>
      </c>
      <c r="P94">
        <v>15.35</v>
      </c>
      <c r="Q94" t="str">
        <f>TEXT(FY24_Temp[[#This Row],[Date_Simple]],"Ddd")</f>
        <v>Fri</v>
      </c>
      <c r="R94" s="39">
        <v>45562</v>
      </c>
      <c r="S94" t="str">
        <f>TEXT(FY24_Temp[[#This Row],[Old_Date]],"Ddd")</f>
        <v>Fri</v>
      </c>
      <c r="AB94" s="122" t="str">
        <f>Table6[[#This Row],[WeekNo]]&amp;"-"&amp;Table6[[#This Row],[HR]]</f>
        <v>4-18</v>
      </c>
      <c r="AC94">
        <v>4</v>
      </c>
      <c r="AD94">
        <v>18</v>
      </c>
      <c r="AE94">
        <v>1.3035714285714286</v>
      </c>
    </row>
    <row r="95" spans="1:31">
      <c r="A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95">
        <v>17420.72</v>
      </c>
      <c r="D95">
        <v>1439.7289256198349</v>
      </c>
      <c r="E95">
        <v>567.30899999999997</v>
      </c>
      <c r="F95" s="94">
        <v>144.73400000000001</v>
      </c>
      <c r="K95" s="106">
        <f t="shared" si="3"/>
        <v>45927</v>
      </c>
      <c r="L95" s="108">
        <v>10.5</v>
      </c>
      <c r="M95" s="108">
        <v>16.8</v>
      </c>
      <c r="N95" s="108">
        <v>8.9</v>
      </c>
      <c r="O95" s="108">
        <f t="shared" si="2"/>
        <v>11</v>
      </c>
      <c r="P95" s="108">
        <v>15.5</v>
      </c>
      <c r="Q95" s="108" t="str">
        <f>TEXT(FY24_Temp[[#This Row],[Date_Simple]],"Ddd")</f>
        <v>Sat</v>
      </c>
      <c r="R95" s="109">
        <v>45563</v>
      </c>
      <c r="S95" s="108" t="str">
        <f>TEXT(FY24_Temp[[#This Row],[Old_Date]],"Ddd")</f>
        <v>Sat</v>
      </c>
      <c r="AB95" s="122" t="str">
        <f>Table6[[#This Row],[WeekNo]]&amp;"-"&amp;Table6[[#This Row],[HR]]</f>
        <v>4-19</v>
      </c>
      <c r="AC95">
        <v>4</v>
      </c>
      <c r="AD95">
        <v>19</v>
      </c>
      <c r="AE95">
        <v>2.0524285861424039</v>
      </c>
    </row>
    <row r="96" spans="1:31">
      <c r="A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95">
        <v>17420.72</v>
      </c>
      <c r="D96">
        <v>1439.7289256198349</v>
      </c>
      <c r="E96">
        <v>567.30899999999997</v>
      </c>
      <c r="F96" s="94">
        <v>132.541</v>
      </c>
      <c r="K96" s="97">
        <f t="shared" si="3"/>
        <v>45928</v>
      </c>
      <c r="L96">
        <v>10.5</v>
      </c>
      <c r="M96">
        <v>16.8</v>
      </c>
      <c r="N96">
        <v>8.9</v>
      </c>
      <c r="O96">
        <f t="shared" si="2"/>
        <v>11</v>
      </c>
      <c r="P96">
        <v>15.5</v>
      </c>
      <c r="Q96" t="str">
        <f>TEXT(FY24_Temp[[#This Row],[Date_Simple]],"Ddd")</f>
        <v>Sun</v>
      </c>
      <c r="R96" s="39">
        <v>45564</v>
      </c>
      <c r="S96" t="str">
        <f>TEXT(FY24_Temp[[#This Row],[Old_Date]],"Ddd")</f>
        <v>Sun</v>
      </c>
      <c r="AB96" s="122" t="str">
        <f>Table6[[#This Row],[WeekNo]]&amp;"-"&amp;Table6[[#This Row],[HR]]</f>
        <v>4-20</v>
      </c>
      <c r="AC96">
        <v>4</v>
      </c>
      <c r="AD96">
        <v>20</v>
      </c>
      <c r="AE96">
        <v>2.8517142704554965</v>
      </c>
    </row>
    <row r="97" spans="1:31">
      <c r="A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95">
        <v>17420.72</v>
      </c>
      <c r="D97">
        <v>1439.7289256198349</v>
      </c>
      <c r="E97">
        <v>567.30899999999997</v>
      </c>
      <c r="F97" s="94">
        <v>108.095</v>
      </c>
      <c r="K97" s="97">
        <f t="shared" si="3"/>
        <v>45929</v>
      </c>
      <c r="L97">
        <v>10.5</v>
      </c>
      <c r="M97">
        <v>16.8</v>
      </c>
      <c r="N97">
        <v>8.9</v>
      </c>
      <c r="O97">
        <f t="shared" ref="O97:O150" si="4">O90+1</f>
        <v>11</v>
      </c>
      <c r="P97">
        <v>15.5</v>
      </c>
      <c r="Q97" t="str">
        <f>TEXT(FY24_Temp[[#This Row],[Date_Simple]],"Ddd")</f>
        <v>Mon</v>
      </c>
      <c r="R97" s="39">
        <v>45565</v>
      </c>
      <c r="S97" t="str">
        <f>TEXT(FY24_Temp[[#This Row],[Old_Date]],"Ddd")</f>
        <v>Mon</v>
      </c>
      <c r="AB97" s="122" t="str">
        <f>Table6[[#This Row],[WeekNo]]&amp;"-"&amp;Table6[[#This Row],[HR]]</f>
        <v>4-21</v>
      </c>
      <c r="AC97">
        <v>4</v>
      </c>
      <c r="AD97">
        <v>21</v>
      </c>
      <c r="AE97">
        <v>3.1017143045152937</v>
      </c>
    </row>
    <row r="98" spans="1:31">
      <c r="A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95">
        <v>14920.72</v>
      </c>
      <c r="D98">
        <v>1233.1173553719009</v>
      </c>
      <c r="E98">
        <v>485.89600000000002</v>
      </c>
      <c r="F98" s="94">
        <v>66.775999999999996</v>
      </c>
      <c r="K98" s="97">
        <f t="shared" si="3"/>
        <v>45930</v>
      </c>
      <c r="L98">
        <v>10.5</v>
      </c>
      <c r="M98">
        <v>16.8</v>
      </c>
      <c r="N98">
        <v>8.9</v>
      </c>
      <c r="O98">
        <f t="shared" si="4"/>
        <v>11</v>
      </c>
      <c r="P98">
        <v>15.5</v>
      </c>
      <c r="Q98" t="str">
        <f>TEXT(FY24_Temp[[#This Row],[Date_Simple]],"Ddd")</f>
        <v>Tue</v>
      </c>
      <c r="R98" s="39">
        <v>45566</v>
      </c>
      <c r="S98" t="str">
        <f>TEXT(FY24_Temp[[#This Row],[Old_Date]],"Ddd")</f>
        <v>Tue</v>
      </c>
      <c r="AB98" s="122" t="str">
        <f>Table6[[#This Row],[WeekNo]]&amp;"-"&amp;Table6[[#This Row],[HR]]</f>
        <v>4-22</v>
      </c>
      <c r="AC98">
        <v>4</v>
      </c>
      <c r="AD98">
        <v>22</v>
      </c>
      <c r="AE98">
        <v>3.0557142666407993</v>
      </c>
    </row>
    <row r="99" spans="1:31">
      <c r="A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95">
        <v>12420.72</v>
      </c>
      <c r="D99">
        <v>1026.5057851239669</v>
      </c>
      <c r="E99">
        <v>404.483</v>
      </c>
      <c r="F99" s="94">
        <v>60.252000000000002</v>
      </c>
      <c r="K99" s="97">
        <f t="shared" si="3"/>
        <v>45931</v>
      </c>
      <c r="L99">
        <v>10.5</v>
      </c>
      <c r="M99">
        <v>16.8</v>
      </c>
      <c r="N99">
        <v>8.9</v>
      </c>
      <c r="O99">
        <f t="shared" si="4"/>
        <v>11</v>
      </c>
      <c r="P99">
        <v>15.5</v>
      </c>
      <c r="Q99" t="str">
        <f>TEXT(FY24_Temp[[#This Row],[Date_Simple]],"Ddd")</f>
        <v>Wed</v>
      </c>
      <c r="R99" s="39">
        <v>45567</v>
      </c>
      <c r="S99" t="str">
        <f>TEXT(FY24_Temp[[#This Row],[Old_Date]],"Ddd")</f>
        <v>Wed</v>
      </c>
      <c r="AB99" s="122" t="str">
        <f>Table6[[#This Row],[WeekNo]]&amp;"-"&amp;Table6[[#This Row],[HR]]</f>
        <v>4-23</v>
      </c>
      <c r="AC99">
        <v>4</v>
      </c>
      <c r="AD99">
        <v>23</v>
      </c>
      <c r="AE99">
        <v>2.9255714416503906</v>
      </c>
    </row>
    <row r="100" spans="1:31">
      <c r="A1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92">
        <v>45871</v>
      </c>
      <c r="C100" s="95">
        <v>9920.7199999999993</v>
      </c>
      <c r="D100">
        <v>819.89421487603306</v>
      </c>
      <c r="E100">
        <v>323.07</v>
      </c>
      <c r="F100" s="94">
        <v>55.472999999999999</v>
      </c>
      <c r="K100" s="97">
        <f t="shared" si="3"/>
        <v>45932</v>
      </c>
      <c r="L100">
        <v>10.5</v>
      </c>
      <c r="M100">
        <v>16.8</v>
      </c>
      <c r="N100">
        <v>8.9</v>
      </c>
      <c r="O100">
        <f t="shared" si="4"/>
        <v>11</v>
      </c>
      <c r="P100">
        <v>15.5</v>
      </c>
      <c r="Q100" t="str">
        <f>TEXT(FY24_Temp[[#This Row],[Date_Simple]],"Ddd")</f>
        <v>Thu</v>
      </c>
      <c r="R100" s="39">
        <v>45568</v>
      </c>
      <c r="S100" t="str">
        <f>TEXT(FY24_Temp[[#This Row],[Old_Date]],"Ddd")</f>
        <v>Thu</v>
      </c>
      <c r="AB100" s="122" t="str">
        <f>Table6[[#This Row],[WeekNo]]&amp;"-"&amp;Table6[[#This Row],[HR]]</f>
        <v>5-0</v>
      </c>
      <c r="AC100">
        <v>5</v>
      </c>
      <c r="AD100">
        <v>0</v>
      </c>
      <c r="AE100">
        <v>2.774571418762207</v>
      </c>
    </row>
    <row r="101" spans="1:31">
      <c r="A1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95">
        <v>9850.7199999999993</v>
      </c>
      <c r="D101">
        <v>814.10909090909092</v>
      </c>
      <c r="E101">
        <v>320.79000000000002</v>
      </c>
      <c r="F101" s="94">
        <v>54.152000000000001</v>
      </c>
      <c r="K101" s="97">
        <f t="shared" si="3"/>
        <v>45933</v>
      </c>
      <c r="L101">
        <v>10.5</v>
      </c>
      <c r="M101">
        <v>16.8</v>
      </c>
      <c r="N101">
        <v>8.9</v>
      </c>
      <c r="O101">
        <f t="shared" si="4"/>
        <v>11</v>
      </c>
      <c r="P101">
        <v>15.5</v>
      </c>
      <c r="Q101" t="str">
        <f>TEXT(FY24_Temp[[#This Row],[Date_Simple]],"Ddd")</f>
        <v>Fri</v>
      </c>
      <c r="R101" s="39">
        <v>45569</v>
      </c>
      <c r="S101" t="str">
        <f>TEXT(FY24_Temp[[#This Row],[Old_Date]],"Ddd")</f>
        <v>Fri</v>
      </c>
      <c r="AB101" s="122" t="str">
        <f>Table6[[#This Row],[WeekNo]]&amp;"-"&amp;Table6[[#This Row],[HR]]</f>
        <v>5-1</v>
      </c>
      <c r="AC101">
        <v>5</v>
      </c>
      <c r="AD101">
        <v>1</v>
      </c>
      <c r="AE101">
        <v>2.6695714337485179</v>
      </c>
    </row>
    <row r="102" spans="1:31">
      <c r="A1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95">
        <v>9850.7199999999993</v>
      </c>
      <c r="D102">
        <v>814.10909090909092</v>
      </c>
      <c r="E102">
        <v>320.79000000000002</v>
      </c>
      <c r="F102" s="94">
        <v>52.284999999999997</v>
      </c>
      <c r="K102" s="106">
        <f t="shared" si="3"/>
        <v>45934</v>
      </c>
      <c r="L102" s="108">
        <v>10.5</v>
      </c>
      <c r="M102" s="108">
        <v>17.25</v>
      </c>
      <c r="N102" s="108">
        <v>9</v>
      </c>
      <c r="O102" s="108">
        <f t="shared" si="4"/>
        <v>12</v>
      </c>
      <c r="P102" s="108">
        <v>15.2</v>
      </c>
      <c r="Q102" s="108" t="str">
        <f>TEXT(FY24_Temp[[#This Row],[Date_Simple]],"Ddd")</f>
        <v>Sat</v>
      </c>
      <c r="R102" s="109">
        <v>45570</v>
      </c>
      <c r="S102" s="108" t="str">
        <f>TEXT(FY24_Temp[[#This Row],[Old_Date]],"Ddd")</f>
        <v>Sat</v>
      </c>
      <c r="AB102" s="122" t="str">
        <f>Table6[[#This Row],[WeekNo]]&amp;"-"&amp;Table6[[#This Row],[HR]]</f>
        <v>5-2</v>
      </c>
      <c r="AC102">
        <v>5</v>
      </c>
      <c r="AD102">
        <v>2</v>
      </c>
      <c r="AE102">
        <v>2.576000009264265</v>
      </c>
    </row>
    <row r="103" spans="1:31">
      <c r="A1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95">
        <v>9850.7199999999993</v>
      </c>
      <c r="D103">
        <v>814.10909090909092</v>
      </c>
      <c r="E103">
        <v>320.79000000000002</v>
      </c>
      <c r="F103" s="94">
        <v>52.505000000000003</v>
      </c>
      <c r="K103" s="97">
        <f t="shared" si="3"/>
        <v>45935</v>
      </c>
      <c r="L103">
        <v>10.5</v>
      </c>
      <c r="M103">
        <v>17.25</v>
      </c>
      <c r="N103">
        <v>9</v>
      </c>
      <c r="O103">
        <f t="shared" si="4"/>
        <v>12</v>
      </c>
      <c r="P103">
        <v>15.2</v>
      </c>
      <c r="Q103" t="str">
        <f>TEXT(FY24_Temp[[#This Row],[Date_Simple]],"Ddd")</f>
        <v>Sun</v>
      </c>
      <c r="R103" s="39">
        <v>45571</v>
      </c>
      <c r="S103" t="str">
        <f>TEXT(FY24_Temp[[#This Row],[Old_Date]],"Ddd")</f>
        <v>Sun</v>
      </c>
      <c r="AB103" s="122" t="str">
        <f>Table6[[#This Row],[WeekNo]]&amp;"-"&amp;Table6[[#This Row],[HR]]</f>
        <v>5-3</v>
      </c>
      <c r="AC103">
        <v>5</v>
      </c>
      <c r="AD103">
        <v>3</v>
      </c>
      <c r="AE103">
        <v>2.4292857306344167</v>
      </c>
    </row>
    <row r="104" spans="1:31">
      <c r="A1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95">
        <v>9850.7199999999993</v>
      </c>
      <c r="D104">
        <v>814.10909090909092</v>
      </c>
      <c r="E104">
        <v>320.79000000000002</v>
      </c>
      <c r="F104" s="94">
        <v>52.793999999999997</v>
      </c>
      <c r="K104" s="97">
        <f t="shared" si="3"/>
        <v>45936</v>
      </c>
      <c r="L104">
        <v>10.5</v>
      </c>
      <c r="M104">
        <v>17.25</v>
      </c>
      <c r="N104">
        <v>9</v>
      </c>
      <c r="O104">
        <f t="shared" si="4"/>
        <v>12</v>
      </c>
      <c r="P104">
        <v>15.2</v>
      </c>
      <c r="Q104" t="str">
        <f>TEXT(FY24_Temp[[#This Row],[Date_Simple]],"Ddd")</f>
        <v>Mon</v>
      </c>
      <c r="R104" s="39">
        <v>45572</v>
      </c>
      <c r="S104" t="str">
        <f>TEXT(FY24_Temp[[#This Row],[Old_Date]],"Ddd")</f>
        <v>Mon</v>
      </c>
      <c r="AB104" s="122" t="str">
        <f>Table6[[#This Row],[WeekNo]]&amp;"-"&amp;Table6[[#This Row],[HR]]</f>
        <v>5-4</v>
      </c>
      <c r="AC104">
        <v>5</v>
      </c>
      <c r="AD104">
        <v>4</v>
      </c>
      <c r="AE104">
        <v>2.264857155936105</v>
      </c>
    </row>
    <row r="105" spans="1:31">
      <c r="A1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95">
        <v>9850.7199999999993</v>
      </c>
      <c r="D105">
        <v>814.10909090909092</v>
      </c>
      <c r="E105">
        <v>320.79000000000002</v>
      </c>
      <c r="F105" s="94">
        <v>53.218000000000004</v>
      </c>
      <c r="K105" s="97">
        <f t="shared" si="3"/>
        <v>45937</v>
      </c>
      <c r="L105">
        <v>10.5</v>
      </c>
      <c r="M105">
        <v>17.25</v>
      </c>
      <c r="N105">
        <v>9</v>
      </c>
      <c r="O105">
        <f t="shared" si="4"/>
        <v>12</v>
      </c>
      <c r="P105">
        <v>15.2</v>
      </c>
      <c r="Q105" t="str">
        <f>TEXT(FY24_Temp[[#This Row],[Date_Simple]],"Ddd")</f>
        <v>Tue</v>
      </c>
      <c r="R105" s="39">
        <v>45573</v>
      </c>
      <c r="S105" t="str">
        <f>TEXT(FY24_Temp[[#This Row],[Old_Date]],"Ddd")</f>
        <v>Tue</v>
      </c>
      <c r="AB105" s="122" t="str">
        <f>Table6[[#This Row],[WeekNo]]&amp;"-"&amp;Table6[[#This Row],[HR]]</f>
        <v>5-5</v>
      </c>
      <c r="AC105">
        <v>5</v>
      </c>
      <c r="AD105">
        <v>5</v>
      </c>
      <c r="AE105">
        <v>2.1067142827170238</v>
      </c>
    </row>
    <row r="106" spans="1:31">
      <c r="A1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95">
        <v>9850.7199999999993</v>
      </c>
      <c r="D106">
        <v>814.10909090909092</v>
      </c>
      <c r="E106">
        <v>320.79000000000002</v>
      </c>
      <c r="F106" s="94">
        <v>66.683999999999997</v>
      </c>
      <c r="K106" s="97">
        <f t="shared" si="3"/>
        <v>45938</v>
      </c>
      <c r="L106">
        <v>10.5</v>
      </c>
      <c r="M106">
        <v>17.25</v>
      </c>
      <c r="N106">
        <v>9</v>
      </c>
      <c r="O106">
        <f t="shared" si="4"/>
        <v>12</v>
      </c>
      <c r="P106">
        <v>15.2</v>
      </c>
      <c r="Q106" t="str">
        <f>TEXT(FY24_Temp[[#This Row],[Date_Simple]],"Ddd")</f>
        <v>Wed</v>
      </c>
      <c r="R106" s="39">
        <v>45574</v>
      </c>
      <c r="S106" t="str">
        <f>TEXT(FY24_Temp[[#This Row],[Old_Date]],"Ddd")</f>
        <v>Wed</v>
      </c>
      <c r="AB106" s="122" t="str">
        <f>Table6[[#This Row],[WeekNo]]&amp;"-"&amp;Table6[[#This Row],[HR]]</f>
        <v>5-6</v>
      </c>
      <c r="AC106">
        <v>5</v>
      </c>
      <c r="AD106">
        <v>6</v>
      </c>
      <c r="AE106">
        <v>1.992142847606114</v>
      </c>
    </row>
    <row r="107" spans="1:31">
      <c r="A1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95">
        <v>9850.7199999999993</v>
      </c>
      <c r="D107">
        <v>814.10909090909092</v>
      </c>
      <c r="E107">
        <v>320.79000000000002</v>
      </c>
      <c r="F107" s="94">
        <v>62.106999999999999</v>
      </c>
      <c r="K107" s="97">
        <f t="shared" si="3"/>
        <v>45939</v>
      </c>
      <c r="L107">
        <v>10.5</v>
      </c>
      <c r="M107">
        <v>17.25</v>
      </c>
      <c r="N107">
        <v>9</v>
      </c>
      <c r="O107">
        <f t="shared" si="4"/>
        <v>12</v>
      </c>
      <c r="P107">
        <v>15.2</v>
      </c>
      <c r="Q107" t="str">
        <f>TEXT(FY24_Temp[[#This Row],[Date_Simple]],"Ddd")</f>
        <v>Thu</v>
      </c>
      <c r="R107" s="39">
        <v>45575</v>
      </c>
      <c r="S107" t="str">
        <f>TEXT(FY24_Temp[[#This Row],[Old_Date]],"Ddd")</f>
        <v>Thu</v>
      </c>
      <c r="AB107" s="122" t="str">
        <f>Table6[[#This Row],[WeekNo]]&amp;"-"&amp;Table6[[#This Row],[HR]]</f>
        <v>5-7</v>
      </c>
      <c r="AC107">
        <v>5</v>
      </c>
      <c r="AD107">
        <v>7</v>
      </c>
      <c r="AE107">
        <v>1.9098571368626185</v>
      </c>
    </row>
    <row r="108" spans="1:31">
      <c r="A1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95">
        <v>9850.7199999999993</v>
      </c>
      <c r="D108">
        <v>814.10909090909092</v>
      </c>
      <c r="E108">
        <v>320.79000000000002</v>
      </c>
      <c r="F108" s="94">
        <v>51.05</v>
      </c>
      <c r="K108" s="97">
        <f t="shared" si="3"/>
        <v>45940</v>
      </c>
      <c r="L108">
        <v>10.5</v>
      </c>
      <c r="M108">
        <v>17.25</v>
      </c>
      <c r="N108">
        <v>9</v>
      </c>
      <c r="O108">
        <f t="shared" si="4"/>
        <v>12</v>
      </c>
      <c r="P108">
        <v>15.2</v>
      </c>
      <c r="Q108" t="str">
        <f>TEXT(FY24_Temp[[#This Row],[Date_Simple]],"Ddd")</f>
        <v>Fri</v>
      </c>
      <c r="R108" s="39">
        <v>45576</v>
      </c>
      <c r="S108" t="str">
        <f>TEXT(FY24_Temp[[#This Row],[Old_Date]],"Ddd")</f>
        <v>Fri</v>
      </c>
      <c r="AB108" s="122" t="str">
        <f>Table6[[#This Row],[WeekNo]]&amp;"-"&amp;Table6[[#This Row],[HR]]</f>
        <v>5-8</v>
      </c>
      <c r="AC108">
        <v>5</v>
      </c>
      <c r="AD108">
        <v>8</v>
      </c>
      <c r="AE108">
        <v>1.8045714242117745</v>
      </c>
    </row>
    <row r="109" spans="1:31">
      <c r="A1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95">
        <v>9850.7199999999993</v>
      </c>
      <c r="D109">
        <v>814.10909090909092</v>
      </c>
      <c r="E109">
        <v>320.79000000000002</v>
      </c>
      <c r="F109" s="94">
        <v>45.890999999999998</v>
      </c>
      <c r="K109" s="106">
        <f t="shared" si="3"/>
        <v>45941</v>
      </c>
      <c r="L109" s="108">
        <v>11.5</v>
      </c>
      <c r="M109" s="108">
        <v>17.25</v>
      </c>
      <c r="N109" s="108">
        <v>9</v>
      </c>
      <c r="O109" s="108">
        <f t="shared" si="4"/>
        <v>13</v>
      </c>
      <c r="P109" s="108">
        <v>15.5</v>
      </c>
      <c r="Q109" s="108" t="str">
        <f>TEXT(FY24_Temp[[#This Row],[Date_Simple]],"Ddd")</f>
        <v>Sat</v>
      </c>
      <c r="R109" s="109">
        <v>45577</v>
      </c>
      <c r="S109" s="108" t="str">
        <f>TEXT(FY24_Temp[[#This Row],[Old_Date]],"Ddd")</f>
        <v>Sat</v>
      </c>
      <c r="AB109" s="122" t="str">
        <f>Table6[[#This Row],[WeekNo]]&amp;"-"&amp;Table6[[#This Row],[HR]]</f>
        <v>5-9</v>
      </c>
      <c r="AC109">
        <v>5</v>
      </c>
      <c r="AD109">
        <v>9</v>
      </c>
      <c r="AE109">
        <v>1.7064285789217268</v>
      </c>
    </row>
    <row r="110" spans="1:31">
      <c r="A1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95">
        <v>9850.7199999999993</v>
      </c>
      <c r="D110">
        <v>814.10909090909092</v>
      </c>
      <c r="E110">
        <v>320.79000000000002</v>
      </c>
      <c r="F110" s="94">
        <v>45.808</v>
      </c>
      <c r="K110" s="97">
        <f t="shared" si="3"/>
        <v>45942</v>
      </c>
      <c r="L110">
        <v>11.5</v>
      </c>
      <c r="M110">
        <v>17.25</v>
      </c>
      <c r="N110">
        <v>9</v>
      </c>
      <c r="O110">
        <f t="shared" si="4"/>
        <v>13</v>
      </c>
      <c r="P110">
        <v>15.5</v>
      </c>
      <c r="Q110" t="str">
        <f>TEXT(FY24_Temp[[#This Row],[Date_Simple]],"Ddd")</f>
        <v>Sun</v>
      </c>
      <c r="R110" s="39">
        <v>45578</v>
      </c>
      <c r="S110" t="str">
        <f>TEXT(FY24_Temp[[#This Row],[Old_Date]],"Ddd")</f>
        <v>Sun</v>
      </c>
      <c r="AB110" s="122" t="str">
        <f>Table6[[#This Row],[WeekNo]]&amp;"-"&amp;Table6[[#This Row],[HR]]</f>
        <v>5-10</v>
      </c>
      <c r="AC110">
        <v>5</v>
      </c>
      <c r="AD110">
        <v>10</v>
      </c>
      <c r="AE110">
        <v>1.6218571492603846</v>
      </c>
    </row>
    <row r="111" spans="1:31">
      <c r="A1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95">
        <v>9850.7199999999993</v>
      </c>
      <c r="D111">
        <v>814.10909090909092</v>
      </c>
      <c r="E111">
        <v>320.79000000000002</v>
      </c>
      <c r="F111" s="94">
        <v>45.720999999999997</v>
      </c>
      <c r="K111" s="97">
        <f t="shared" si="3"/>
        <v>45943</v>
      </c>
      <c r="L111">
        <v>11.5</v>
      </c>
      <c r="M111">
        <v>17.25</v>
      </c>
      <c r="N111">
        <v>9</v>
      </c>
      <c r="O111">
        <f t="shared" si="4"/>
        <v>13</v>
      </c>
      <c r="P111">
        <v>15.5</v>
      </c>
      <c r="Q111" t="str">
        <f>TEXT(FY24_Temp[[#This Row],[Date_Simple]],"Ddd")</f>
        <v>Mon</v>
      </c>
      <c r="R111" s="39">
        <v>45579</v>
      </c>
      <c r="S111" t="str">
        <f>TEXT(FY24_Temp[[#This Row],[Old_Date]],"Ddd")</f>
        <v>Mon</v>
      </c>
      <c r="AB111" s="122" t="str">
        <f>Table6[[#This Row],[WeekNo]]&amp;"-"&amp;Table6[[#This Row],[HR]]</f>
        <v>5-11</v>
      </c>
      <c r="AC111">
        <v>5</v>
      </c>
      <c r="AD111">
        <v>11</v>
      </c>
      <c r="AE111">
        <v>1.5159999813352312</v>
      </c>
    </row>
    <row r="112" spans="1:31">
      <c r="A1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95">
        <v>9850.7199999999993</v>
      </c>
      <c r="D112">
        <v>814.10909090909092</v>
      </c>
      <c r="E112">
        <v>320.79000000000002</v>
      </c>
      <c r="F112" s="94">
        <v>45.734999999999999</v>
      </c>
      <c r="K112" s="97">
        <f t="shared" si="3"/>
        <v>45944</v>
      </c>
      <c r="L112">
        <v>11.5</v>
      </c>
      <c r="M112">
        <v>17.25</v>
      </c>
      <c r="N112">
        <v>9</v>
      </c>
      <c r="O112">
        <f t="shared" si="4"/>
        <v>13</v>
      </c>
      <c r="P112">
        <v>15.5</v>
      </c>
      <c r="Q112" t="str">
        <f>TEXT(FY24_Temp[[#This Row],[Date_Simple]],"Ddd")</f>
        <v>Tue</v>
      </c>
      <c r="R112" s="39">
        <v>45580</v>
      </c>
      <c r="S112" t="str">
        <f>TEXT(FY24_Temp[[#This Row],[Old_Date]],"Ddd")</f>
        <v>Tue</v>
      </c>
      <c r="AB112" s="122" t="str">
        <f>Table6[[#This Row],[WeekNo]]&amp;"-"&amp;Table6[[#This Row],[HR]]</f>
        <v>5-12</v>
      </c>
      <c r="AC112">
        <v>5</v>
      </c>
      <c r="AD112">
        <v>12</v>
      </c>
      <c r="AE112">
        <v>1.3808571270533971</v>
      </c>
    </row>
    <row r="113" spans="1:31">
      <c r="A1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95">
        <v>9850.7199999999993</v>
      </c>
      <c r="D113">
        <v>814.10909090909092</v>
      </c>
      <c r="E113">
        <v>320.79000000000002</v>
      </c>
      <c r="F113" s="94">
        <v>45.820999999999998</v>
      </c>
      <c r="K113" s="97">
        <f t="shared" si="3"/>
        <v>45945</v>
      </c>
      <c r="L113">
        <v>11.5</v>
      </c>
      <c r="M113">
        <v>17.25</v>
      </c>
      <c r="N113">
        <v>9</v>
      </c>
      <c r="O113">
        <f t="shared" si="4"/>
        <v>13</v>
      </c>
      <c r="P113">
        <v>15.5</v>
      </c>
      <c r="Q113" t="str">
        <f>TEXT(FY24_Temp[[#This Row],[Date_Simple]],"Ddd")</f>
        <v>Wed</v>
      </c>
      <c r="R113" s="39">
        <v>45581</v>
      </c>
      <c r="S113" t="str">
        <f>TEXT(FY24_Temp[[#This Row],[Old_Date]],"Ddd")</f>
        <v>Wed</v>
      </c>
      <c r="AB113" s="122" t="str">
        <f>Table6[[#This Row],[WeekNo]]&amp;"-"&amp;Table6[[#This Row],[HR]]</f>
        <v>5-13</v>
      </c>
      <c r="AC113">
        <v>5</v>
      </c>
      <c r="AD113">
        <v>13</v>
      </c>
      <c r="AE113">
        <v>1.2139999866485596</v>
      </c>
    </row>
    <row r="114" spans="1:31">
      <c r="A1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95">
        <v>9850.7199999999993</v>
      </c>
      <c r="D114">
        <v>814.10909090909092</v>
      </c>
      <c r="E114">
        <v>320.79000000000002</v>
      </c>
      <c r="F114" s="94">
        <v>46.119</v>
      </c>
      <c r="K114" s="97">
        <f t="shared" si="3"/>
        <v>45946</v>
      </c>
      <c r="L114">
        <v>11.5</v>
      </c>
      <c r="M114">
        <v>17.25</v>
      </c>
      <c r="N114">
        <v>9</v>
      </c>
      <c r="O114">
        <f t="shared" si="4"/>
        <v>13</v>
      </c>
      <c r="P114">
        <v>15.5</v>
      </c>
      <c r="Q114" t="str">
        <f>TEXT(FY24_Temp[[#This Row],[Date_Simple]],"Ddd")</f>
        <v>Thu</v>
      </c>
      <c r="R114" s="39">
        <v>45582</v>
      </c>
      <c r="S114" t="str">
        <f>TEXT(FY24_Temp[[#This Row],[Old_Date]],"Ddd")</f>
        <v>Thu</v>
      </c>
      <c r="AB114" s="122" t="str">
        <f>Table6[[#This Row],[WeekNo]]&amp;"-"&amp;Table6[[#This Row],[HR]]</f>
        <v>5-14</v>
      </c>
      <c r="AC114">
        <v>5</v>
      </c>
      <c r="AD114">
        <v>14</v>
      </c>
      <c r="AE114">
        <v>1.0331428476742335</v>
      </c>
    </row>
    <row r="115" spans="1:31">
      <c r="A1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95">
        <v>11584.608</v>
      </c>
      <c r="D115">
        <v>957.40561983471082</v>
      </c>
      <c r="E115">
        <v>377.255</v>
      </c>
      <c r="F115" s="94">
        <v>51.673999999999999</v>
      </c>
      <c r="K115" s="97">
        <f t="shared" si="3"/>
        <v>45947</v>
      </c>
      <c r="L115">
        <v>11.5</v>
      </c>
      <c r="M115">
        <v>17.25</v>
      </c>
      <c r="N115">
        <v>9</v>
      </c>
      <c r="O115">
        <f t="shared" si="4"/>
        <v>13</v>
      </c>
      <c r="P115">
        <v>15.5</v>
      </c>
      <c r="Q115" t="str">
        <f>TEXT(FY24_Temp[[#This Row],[Date_Simple]],"Ddd")</f>
        <v>Fri</v>
      </c>
      <c r="R115" s="39">
        <v>45583</v>
      </c>
      <c r="S115" t="str">
        <f>TEXT(FY24_Temp[[#This Row],[Old_Date]],"Ddd")</f>
        <v>Fri</v>
      </c>
      <c r="AB115" s="122" t="str">
        <f>Table6[[#This Row],[WeekNo]]&amp;"-"&amp;Table6[[#This Row],[HR]]</f>
        <v>5-15</v>
      </c>
      <c r="AC115">
        <v>5</v>
      </c>
      <c r="AD115">
        <v>15</v>
      </c>
      <c r="AE115">
        <v>0.8692857112203326</v>
      </c>
    </row>
    <row r="116" spans="1:31">
      <c r="A1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95">
        <v>13560.549000000001</v>
      </c>
      <c r="D116">
        <v>1120.70652892562</v>
      </c>
      <c r="E116">
        <v>441.60199999999998</v>
      </c>
      <c r="F116" s="94">
        <v>60.488</v>
      </c>
      <c r="K116" s="106">
        <f t="shared" si="3"/>
        <v>45948</v>
      </c>
      <c r="L116" s="108">
        <v>11.5</v>
      </c>
      <c r="M116" s="108">
        <v>17.399999999999999</v>
      </c>
      <c r="N116" s="108">
        <v>9</v>
      </c>
      <c r="O116" s="108">
        <f t="shared" si="4"/>
        <v>14</v>
      </c>
      <c r="P116" s="108">
        <v>15.5</v>
      </c>
      <c r="Q116" s="108" t="str">
        <f>TEXT(FY24_Temp[[#This Row],[Date_Simple]],"Ddd")</f>
        <v>Sat</v>
      </c>
      <c r="R116" s="109">
        <v>45584</v>
      </c>
      <c r="S116" s="108" t="str">
        <f>TEXT(FY24_Temp[[#This Row],[Old_Date]],"Ddd")</f>
        <v>Sat</v>
      </c>
      <c r="AB116" s="122" t="str">
        <f>Table6[[#This Row],[WeekNo]]&amp;"-"&amp;Table6[[#This Row],[HR]]</f>
        <v>5-16</v>
      </c>
      <c r="AC116">
        <v>5</v>
      </c>
      <c r="AD116">
        <v>16</v>
      </c>
      <c r="AE116">
        <v>0.78099999257496422</v>
      </c>
    </row>
    <row r="117" spans="1:31">
      <c r="A1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95">
        <v>17420.72</v>
      </c>
      <c r="D117">
        <v>1439.7289256198349</v>
      </c>
      <c r="E117">
        <v>567.30899999999997</v>
      </c>
      <c r="F117" s="94">
        <v>82.489000000000004</v>
      </c>
      <c r="K117" s="97">
        <f t="shared" si="3"/>
        <v>45949</v>
      </c>
      <c r="L117">
        <v>11.5</v>
      </c>
      <c r="M117">
        <v>17.399999999999999</v>
      </c>
      <c r="N117">
        <v>9</v>
      </c>
      <c r="O117">
        <f t="shared" si="4"/>
        <v>14</v>
      </c>
      <c r="P117">
        <v>15.5</v>
      </c>
      <c r="Q117" t="str">
        <f>TEXT(FY24_Temp[[#This Row],[Date_Simple]],"Ddd")</f>
        <v>Sun</v>
      </c>
      <c r="R117" s="39">
        <v>45585</v>
      </c>
      <c r="S117" t="str">
        <f>TEXT(FY24_Temp[[#This Row],[Old_Date]],"Ddd")</f>
        <v>Sun</v>
      </c>
      <c r="AB117" s="122" t="str">
        <f>Table6[[#This Row],[WeekNo]]&amp;"-"&amp;Table6[[#This Row],[HR]]</f>
        <v>5-17</v>
      </c>
      <c r="AC117">
        <v>5</v>
      </c>
      <c r="AD117">
        <v>17</v>
      </c>
      <c r="AE117">
        <v>0.92514285019465858</v>
      </c>
    </row>
    <row r="118" spans="1:31">
      <c r="A1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95">
        <v>17420.72</v>
      </c>
      <c r="D118">
        <v>1439.7289256198349</v>
      </c>
      <c r="E118">
        <v>567.30899999999997</v>
      </c>
      <c r="F118" s="94">
        <v>121.515</v>
      </c>
      <c r="K118" s="97">
        <f t="shared" si="3"/>
        <v>45950</v>
      </c>
      <c r="L118">
        <v>11.5</v>
      </c>
      <c r="M118">
        <v>17.399999999999999</v>
      </c>
      <c r="N118">
        <v>9</v>
      </c>
      <c r="O118">
        <f t="shared" si="4"/>
        <v>14</v>
      </c>
      <c r="P118">
        <v>15.5</v>
      </c>
      <c r="Q118" t="str">
        <f>TEXT(FY24_Temp[[#This Row],[Date_Simple]],"Ddd")</f>
        <v>Mon</v>
      </c>
      <c r="R118" s="39">
        <v>45586</v>
      </c>
      <c r="S118" t="str">
        <f>TEXT(FY24_Temp[[#This Row],[Old_Date]],"Ddd")</f>
        <v>Mon</v>
      </c>
      <c r="AB118" s="122" t="str">
        <f>Table6[[#This Row],[WeekNo]]&amp;"-"&amp;Table6[[#This Row],[HR]]</f>
        <v>5-18</v>
      </c>
      <c r="AC118">
        <v>5</v>
      </c>
      <c r="AD118">
        <v>18</v>
      </c>
      <c r="AE118">
        <v>1.2939999955041068</v>
      </c>
    </row>
    <row r="119" spans="1:31">
      <c r="A1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95">
        <v>17420.72</v>
      </c>
      <c r="D119">
        <v>1439.7289256198349</v>
      </c>
      <c r="E119">
        <v>567.30899999999997</v>
      </c>
      <c r="F119" s="94">
        <v>131.11500000000001</v>
      </c>
      <c r="K119" s="97">
        <f t="shared" si="3"/>
        <v>45951</v>
      </c>
      <c r="L119">
        <v>11.5</v>
      </c>
      <c r="M119">
        <v>17.399999999999999</v>
      </c>
      <c r="N119">
        <v>9</v>
      </c>
      <c r="O119">
        <f t="shared" si="4"/>
        <v>14</v>
      </c>
      <c r="P119">
        <v>15.5</v>
      </c>
      <c r="Q119" t="str">
        <f>TEXT(FY24_Temp[[#This Row],[Date_Simple]],"Ddd")</f>
        <v>Tue</v>
      </c>
      <c r="R119" s="39">
        <v>45587</v>
      </c>
      <c r="S119" t="str">
        <f>TEXT(FY24_Temp[[#This Row],[Old_Date]],"Ddd")</f>
        <v>Tue</v>
      </c>
      <c r="AB119" s="122" t="str">
        <f>Table6[[#This Row],[WeekNo]]&amp;"-"&amp;Table6[[#This Row],[HR]]</f>
        <v>5-19</v>
      </c>
      <c r="AC119">
        <v>5</v>
      </c>
      <c r="AD119">
        <v>19</v>
      </c>
      <c r="AE119">
        <v>2.0332857200077603</v>
      </c>
    </row>
    <row r="120" spans="1:31">
      <c r="A1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95">
        <v>17420.72</v>
      </c>
      <c r="D120">
        <v>1439.7289256198349</v>
      </c>
      <c r="E120">
        <v>567.30899999999997</v>
      </c>
      <c r="F120" s="94">
        <v>116.268</v>
      </c>
      <c r="K120" s="97">
        <f t="shared" si="3"/>
        <v>45952</v>
      </c>
      <c r="L120">
        <v>11.5</v>
      </c>
      <c r="M120">
        <v>17.399999999999999</v>
      </c>
      <c r="N120">
        <v>9</v>
      </c>
      <c r="O120">
        <f t="shared" si="4"/>
        <v>14</v>
      </c>
      <c r="P120">
        <v>15.5</v>
      </c>
      <c r="Q120" t="str">
        <f>TEXT(FY24_Temp[[#This Row],[Date_Simple]],"Ddd")</f>
        <v>Wed</v>
      </c>
      <c r="R120" s="39">
        <v>45588</v>
      </c>
      <c r="S120" t="str">
        <f>TEXT(FY24_Temp[[#This Row],[Old_Date]],"Ddd")</f>
        <v>Wed</v>
      </c>
      <c r="AB120" s="122" t="str">
        <f>Table6[[#This Row],[WeekNo]]&amp;"-"&amp;Table6[[#This Row],[HR]]</f>
        <v>5-20</v>
      </c>
      <c r="AC120">
        <v>5</v>
      </c>
      <c r="AD120">
        <v>20</v>
      </c>
      <c r="AE120">
        <v>2.8272856644221713</v>
      </c>
    </row>
    <row r="121" spans="1:31">
      <c r="A1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95">
        <v>17420.72</v>
      </c>
      <c r="D121">
        <v>1439.7289256198349</v>
      </c>
      <c r="E121">
        <v>567.30899999999997</v>
      </c>
      <c r="F121" s="94">
        <v>95.257999999999996</v>
      </c>
      <c r="K121" s="97">
        <f t="shared" si="3"/>
        <v>45953</v>
      </c>
      <c r="L121">
        <v>11.5</v>
      </c>
      <c r="M121">
        <v>17.399999999999999</v>
      </c>
      <c r="N121">
        <v>9</v>
      </c>
      <c r="O121">
        <f t="shared" si="4"/>
        <v>14</v>
      </c>
      <c r="P121">
        <v>15.5</v>
      </c>
      <c r="Q121" t="str">
        <f>TEXT(FY24_Temp[[#This Row],[Date_Simple]],"Ddd")</f>
        <v>Thu</v>
      </c>
      <c r="R121" s="39">
        <v>45589</v>
      </c>
      <c r="S121" t="str">
        <f>TEXT(FY24_Temp[[#This Row],[Old_Date]],"Ddd")</f>
        <v>Thu</v>
      </c>
      <c r="AB121" s="122" t="str">
        <f>Table6[[#This Row],[WeekNo]]&amp;"-"&amp;Table6[[#This Row],[HR]]</f>
        <v>5-21</v>
      </c>
      <c r="AC121">
        <v>5</v>
      </c>
      <c r="AD121">
        <v>21</v>
      </c>
      <c r="AE121">
        <v>3.0739999839237759</v>
      </c>
    </row>
    <row r="122" spans="1:31">
      <c r="A1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95">
        <v>14920.72</v>
      </c>
      <c r="D122">
        <v>1233.1173553719009</v>
      </c>
      <c r="E122">
        <v>485.89600000000002</v>
      </c>
      <c r="F122" s="94">
        <v>60.456000000000003</v>
      </c>
      <c r="K122" s="97">
        <f t="shared" si="3"/>
        <v>45954</v>
      </c>
      <c r="L122">
        <v>11.5</v>
      </c>
      <c r="M122">
        <v>17.399999999999999</v>
      </c>
      <c r="N122">
        <v>9</v>
      </c>
      <c r="O122">
        <f t="shared" si="4"/>
        <v>14</v>
      </c>
      <c r="P122">
        <v>15.5</v>
      </c>
      <c r="Q122" t="str">
        <f>TEXT(FY24_Temp[[#This Row],[Date_Simple]],"Ddd")</f>
        <v>Fri</v>
      </c>
      <c r="R122" s="39">
        <v>45590</v>
      </c>
      <c r="S122" t="str">
        <f>TEXT(FY24_Temp[[#This Row],[Old_Date]],"Ddd")</f>
        <v>Fri</v>
      </c>
      <c r="AB122" s="122" t="str">
        <f>Table6[[#This Row],[WeekNo]]&amp;"-"&amp;Table6[[#This Row],[HR]]</f>
        <v>5-22</v>
      </c>
      <c r="AC122">
        <v>5</v>
      </c>
      <c r="AD122">
        <v>22</v>
      </c>
      <c r="AE122">
        <v>3.0308571543012346</v>
      </c>
    </row>
    <row r="123" spans="1:31">
      <c r="A1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95">
        <v>12420.72</v>
      </c>
      <c r="D123">
        <v>1026.5057851239669</v>
      </c>
      <c r="E123">
        <v>404.483</v>
      </c>
      <c r="F123" s="94">
        <v>54.695</v>
      </c>
      <c r="K123" s="106">
        <f t="shared" si="3"/>
        <v>45955</v>
      </c>
      <c r="L123" s="108">
        <v>11.5</v>
      </c>
      <c r="M123" s="108">
        <v>17.5</v>
      </c>
      <c r="N123" s="108">
        <v>9</v>
      </c>
      <c r="O123" s="108">
        <f t="shared" si="4"/>
        <v>15</v>
      </c>
      <c r="P123" s="108">
        <v>15.7</v>
      </c>
      <c r="Q123" s="108" t="str">
        <f>TEXT(FY24_Temp[[#This Row],[Date_Simple]],"Ddd")</f>
        <v>Sat</v>
      </c>
      <c r="R123" s="109">
        <v>45591</v>
      </c>
      <c r="S123" s="108" t="str">
        <f>TEXT(FY24_Temp[[#This Row],[Old_Date]],"Ddd")</f>
        <v>Sat</v>
      </c>
      <c r="AB123" s="122" t="str">
        <f>Table6[[#This Row],[WeekNo]]&amp;"-"&amp;Table6[[#This Row],[HR]]</f>
        <v>5-23</v>
      </c>
      <c r="AC123">
        <v>5</v>
      </c>
      <c r="AD123">
        <v>23</v>
      </c>
      <c r="AE123">
        <v>2.9022857121058871</v>
      </c>
    </row>
    <row r="124" spans="1:31">
      <c r="A1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95">
        <v>9920.7199999999993</v>
      </c>
      <c r="D124">
        <v>819.89421487603306</v>
      </c>
      <c r="E124">
        <v>323.07</v>
      </c>
      <c r="F124" s="94">
        <v>55.396000000000001</v>
      </c>
      <c r="K124" s="97">
        <f t="shared" si="3"/>
        <v>45956</v>
      </c>
      <c r="L124">
        <v>11.5</v>
      </c>
      <c r="M124">
        <v>17.5</v>
      </c>
      <c r="N124">
        <v>9</v>
      </c>
      <c r="O124">
        <f t="shared" si="4"/>
        <v>15</v>
      </c>
      <c r="P124">
        <v>15.7</v>
      </c>
      <c r="Q124" t="str">
        <f>TEXT(FY24_Temp[[#This Row],[Date_Simple]],"Ddd")</f>
        <v>Sun</v>
      </c>
      <c r="R124" s="39">
        <v>45592</v>
      </c>
      <c r="S124" t="str">
        <f>TEXT(FY24_Temp[[#This Row],[Old_Date]],"Ddd")</f>
        <v>Sun</v>
      </c>
      <c r="AB124" s="122" t="str">
        <f>Table6[[#This Row],[WeekNo]]&amp;"-"&amp;Table6[[#This Row],[HR]]</f>
        <v>6-0</v>
      </c>
      <c r="AC124">
        <v>6</v>
      </c>
      <c r="AD124">
        <v>0</v>
      </c>
      <c r="AE124">
        <v>2.707571404320853</v>
      </c>
    </row>
    <row r="125" spans="1:31">
      <c r="A1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95">
        <v>9850.7199999999993</v>
      </c>
      <c r="D125">
        <v>814.10909090909092</v>
      </c>
      <c r="E125">
        <v>320.79000000000002</v>
      </c>
      <c r="F125" s="94">
        <v>53.805999999999997</v>
      </c>
      <c r="K125" s="97">
        <f t="shared" si="3"/>
        <v>45957</v>
      </c>
      <c r="L125">
        <v>11.5</v>
      </c>
      <c r="M125">
        <v>17.5</v>
      </c>
      <c r="N125">
        <v>9</v>
      </c>
      <c r="O125">
        <f t="shared" si="4"/>
        <v>15</v>
      </c>
      <c r="P125">
        <v>15.7</v>
      </c>
      <c r="Q125" t="str">
        <f>TEXT(FY24_Temp[[#This Row],[Date_Simple]],"Ddd")</f>
        <v>Mon</v>
      </c>
      <c r="R125" s="39">
        <v>45593</v>
      </c>
      <c r="S125" t="str">
        <f>TEXT(FY24_Temp[[#This Row],[Old_Date]],"Ddd")</f>
        <v>Mon</v>
      </c>
      <c r="AB125" s="122" t="str">
        <f>Table6[[#This Row],[WeekNo]]&amp;"-"&amp;Table6[[#This Row],[HR]]</f>
        <v>6-1</v>
      </c>
      <c r="AC125">
        <v>6</v>
      </c>
      <c r="AD125">
        <v>1</v>
      </c>
      <c r="AE125">
        <v>2.6045714105878557</v>
      </c>
    </row>
    <row r="126" spans="1:31">
      <c r="A1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95">
        <v>9850.7199999999993</v>
      </c>
      <c r="D126">
        <v>814.10909090909092</v>
      </c>
      <c r="E126">
        <v>320.79000000000002</v>
      </c>
      <c r="F126" s="94">
        <v>52.573</v>
      </c>
      <c r="K126" s="97">
        <f t="shared" si="3"/>
        <v>45958</v>
      </c>
      <c r="L126">
        <v>11.5</v>
      </c>
      <c r="M126">
        <v>17.5</v>
      </c>
      <c r="N126">
        <v>9</v>
      </c>
      <c r="O126">
        <f t="shared" si="4"/>
        <v>15</v>
      </c>
      <c r="P126">
        <v>15.7</v>
      </c>
      <c r="Q126" t="str">
        <f>TEXT(FY24_Temp[[#This Row],[Date_Simple]],"Ddd")</f>
        <v>Tue</v>
      </c>
      <c r="R126" s="39">
        <v>45594</v>
      </c>
      <c r="S126" t="str">
        <f>TEXT(FY24_Temp[[#This Row],[Old_Date]],"Ddd")</f>
        <v>Tue</v>
      </c>
      <c r="AB126" s="122" t="str">
        <f>Table6[[#This Row],[WeekNo]]&amp;"-"&amp;Table6[[#This Row],[HR]]</f>
        <v>6-2</v>
      </c>
      <c r="AC126">
        <v>6</v>
      </c>
      <c r="AD126">
        <v>2</v>
      </c>
      <c r="AE126">
        <v>2.5119999476841519</v>
      </c>
    </row>
    <row r="127" spans="1:31">
      <c r="A1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95">
        <v>9850.7199999999993</v>
      </c>
      <c r="D127">
        <v>814.10909090909092</v>
      </c>
      <c r="E127">
        <v>320.79000000000002</v>
      </c>
      <c r="F127" s="94">
        <v>51.31</v>
      </c>
      <c r="K127" s="97">
        <f t="shared" si="3"/>
        <v>45959</v>
      </c>
      <c r="L127">
        <v>11.5</v>
      </c>
      <c r="M127">
        <v>17.5</v>
      </c>
      <c r="N127">
        <v>9</v>
      </c>
      <c r="O127">
        <f t="shared" si="4"/>
        <v>15</v>
      </c>
      <c r="P127">
        <v>15.7</v>
      </c>
      <c r="Q127" t="str">
        <f>TEXT(FY24_Temp[[#This Row],[Date_Simple]],"Ddd")</f>
        <v>Wed</v>
      </c>
      <c r="R127" s="39">
        <v>45595</v>
      </c>
      <c r="S127" t="str">
        <f>TEXT(FY24_Temp[[#This Row],[Old_Date]],"Ddd")</f>
        <v>Wed</v>
      </c>
      <c r="AB127" s="122" t="str">
        <f>Table6[[#This Row],[WeekNo]]&amp;"-"&amp;Table6[[#This Row],[HR]]</f>
        <v>6-3</v>
      </c>
      <c r="AC127">
        <v>6</v>
      </c>
      <c r="AD127">
        <v>3</v>
      </c>
      <c r="AE127">
        <v>2.3667143072400774</v>
      </c>
    </row>
    <row r="128" spans="1:31">
      <c r="A1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95">
        <v>9850.7199999999993</v>
      </c>
      <c r="D128">
        <v>814.10909090909092</v>
      </c>
      <c r="E128">
        <v>320.79000000000002</v>
      </c>
      <c r="F128" s="94">
        <v>53.173000000000002</v>
      </c>
      <c r="K128" s="97">
        <f t="shared" si="3"/>
        <v>45960</v>
      </c>
      <c r="L128">
        <v>11.5</v>
      </c>
      <c r="M128">
        <v>17.5</v>
      </c>
      <c r="N128">
        <v>9</v>
      </c>
      <c r="O128">
        <f t="shared" si="4"/>
        <v>15</v>
      </c>
      <c r="P128">
        <v>15.7</v>
      </c>
      <c r="Q128" t="str">
        <f>TEXT(FY24_Temp[[#This Row],[Date_Simple]],"Ddd")</f>
        <v>Thu</v>
      </c>
      <c r="R128" s="39">
        <v>45596</v>
      </c>
      <c r="S128" t="str">
        <f>TEXT(FY24_Temp[[#This Row],[Old_Date]],"Ddd")</f>
        <v>Thu</v>
      </c>
      <c r="AB128" s="122" t="str">
        <f>Table6[[#This Row],[WeekNo]]&amp;"-"&amp;Table6[[#This Row],[HR]]</f>
        <v>6-4</v>
      </c>
      <c r="AC128">
        <v>6</v>
      </c>
      <c r="AD128">
        <v>4</v>
      </c>
      <c r="AE128">
        <v>2.2025713920593262</v>
      </c>
    </row>
    <row r="129" spans="1:31">
      <c r="A1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95">
        <v>9850.7199999999993</v>
      </c>
      <c r="D129">
        <v>814.10909090909092</v>
      </c>
      <c r="E129">
        <v>320.79000000000002</v>
      </c>
      <c r="F129" s="94">
        <v>54.345999999999997</v>
      </c>
      <c r="K129" s="97">
        <f t="shared" si="3"/>
        <v>45961</v>
      </c>
      <c r="L129">
        <v>11.5</v>
      </c>
      <c r="M129">
        <v>17.5</v>
      </c>
      <c r="N129">
        <v>9</v>
      </c>
      <c r="O129">
        <f t="shared" si="4"/>
        <v>15</v>
      </c>
      <c r="P129">
        <v>15.7</v>
      </c>
      <c r="Q129" t="str">
        <f>TEXT(FY24_Temp[[#This Row],[Date_Simple]],"Ddd")</f>
        <v>Fri</v>
      </c>
      <c r="R129" s="39">
        <v>45597</v>
      </c>
      <c r="S129" t="str">
        <f>TEXT(FY24_Temp[[#This Row],[Old_Date]],"Ddd")</f>
        <v>Fri</v>
      </c>
      <c r="AB129" s="122" t="str">
        <f>Table6[[#This Row],[WeekNo]]&amp;"-"&amp;Table6[[#This Row],[HR]]</f>
        <v>6-5</v>
      </c>
      <c r="AC129">
        <v>6</v>
      </c>
      <c r="AD129">
        <v>5</v>
      </c>
      <c r="AE129">
        <v>2.0452857358115062</v>
      </c>
    </row>
    <row r="130" spans="1:31">
      <c r="A1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95">
        <v>9850.7199999999993</v>
      </c>
      <c r="D130">
        <v>814.10909090909092</v>
      </c>
      <c r="E130">
        <v>320.79000000000002</v>
      </c>
      <c r="F130" s="94">
        <v>69.051000000000002</v>
      </c>
      <c r="K130" s="106">
        <f t="shared" si="3"/>
        <v>45962</v>
      </c>
      <c r="L130" s="108">
        <v>12.5</v>
      </c>
      <c r="M130" s="108">
        <v>17.5</v>
      </c>
      <c r="N130" s="108">
        <v>9</v>
      </c>
      <c r="O130" s="108">
        <f t="shared" si="4"/>
        <v>16</v>
      </c>
      <c r="P130" s="108">
        <v>15.5</v>
      </c>
      <c r="Q130" s="108" t="str">
        <f>TEXT(FY24_Temp[[#This Row],[Date_Simple]],"Ddd")</f>
        <v>Sat</v>
      </c>
      <c r="R130" s="109">
        <v>45598</v>
      </c>
      <c r="S130" s="108" t="str">
        <f>TEXT(FY24_Temp[[#This Row],[Old_Date]],"Ddd")</f>
        <v>Sat</v>
      </c>
      <c r="AB130" s="122" t="str">
        <f>Table6[[#This Row],[WeekNo]]&amp;"-"&amp;Table6[[#This Row],[HR]]</f>
        <v>6-6</v>
      </c>
      <c r="AC130">
        <v>6</v>
      </c>
      <c r="AD130">
        <v>6</v>
      </c>
      <c r="AE130">
        <v>1.9314285516738892</v>
      </c>
    </row>
    <row r="131" spans="1:31">
      <c r="A1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95">
        <v>9850.7199999999993</v>
      </c>
      <c r="D131">
        <v>814.10909090909092</v>
      </c>
      <c r="E131">
        <v>320.79000000000002</v>
      </c>
      <c r="F131" s="94">
        <v>60.741999999999997</v>
      </c>
      <c r="K131" s="97">
        <f t="shared" si="3"/>
        <v>45963</v>
      </c>
      <c r="L131">
        <v>12.5</v>
      </c>
      <c r="M131">
        <v>17.5</v>
      </c>
      <c r="N131">
        <v>9</v>
      </c>
      <c r="O131">
        <f t="shared" si="4"/>
        <v>16</v>
      </c>
      <c r="P131">
        <v>15.5</v>
      </c>
      <c r="Q131" t="str">
        <f>TEXT(FY24_Temp[[#This Row],[Date_Simple]],"Ddd")</f>
        <v>Sun</v>
      </c>
      <c r="R131" s="39">
        <v>45599</v>
      </c>
      <c r="S131" t="str">
        <f>TEXT(FY24_Temp[[#This Row],[Old_Date]],"Ddd")</f>
        <v>Sun</v>
      </c>
      <c r="AB131" s="122" t="str">
        <f>Table6[[#This Row],[WeekNo]]&amp;"-"&amp;Table6[[#This Row],[HR]]</f>
        <v>6-7</v>
      </c>
      <c r="AC131">
        <v>6</v>
      </c>
      <c r="AD131">
        <v>7</v>
      </c>
      <c r="AE131">
        <v>1.8508571556636266</v>
      </c>
    </row>
    <row r="132" spans="1:31">
      <c r="A1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95">
        <v>9850.7199999999993</v>
      </c>
      <c r="D132">
        <v>814.10909090909092</v>
      </c>
      <c r="E132">
        <v>320.79000000000002</v>
      </c>
      <c r="F132" s="94">
        <v>52.338999999999999</v>
      </c>
      <c r="K132" s="97">
        <f t="shared" si="3"/>
        <v>45964</v>
      </c>
      <c r="L132">
        <v>12.5</v>
      </c>
      <c r="M132">
        <v>17.5</v>
      </c>
      <c r="N132">
        <v>9</v>
      </c>
      <c r="O132">
        <f t="shared" si="4"/>
        <v>16</v>
      </c>
      <c r="P132">
        <v>15.5</v>
      </c>
      <c r="Q132" t="str">
        <f>TEXT(FY24_Temp[[#This Row],[Date_Simple]],"Ddd")</f>
        <v>Mon</v>
      </c>
      <c r="R132" s="39">
        <v>45600</v>
      </c>
      <c r="S132" t="str">
        <f>TEXT(FY24_Temp[[#This Row],[Old_Date]],"Ddd")</f>
        <v>Mon</v>
      </c>
      <c r="AB132" s="122" t="str">
        <f>Table6[[#This Row],[WeekNo]]&amp;"-"&amp;Table6[[#This Row],[HR]]</f>
        <v>6-8</v>
      </c>
      <c r="AC132">
        <v>6</v>
      </c>
      <c r="AD132">
        <v>8</v>
      </c>
      <c r="AE132">
        <v>1.7464285748345512</v>
      </c>
    </row>
    <row r="133" spans="1:31">
      <c r="A1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95">
        <v>9850.7199999999993</v>
      </c>
      <c r="D133">
        <v>814.10909090909092</v>
      </c>
      <c r="E133">
        <v>320.79000000000002</v>
      </c>
      <c r="F133" s="94">
        <v>45.901000000000003</v>
      </c>
      <c r="K133" s="97">
        <f t="shared" si="3"/>
        <v>45965</v>
      </c>
      <c r="L133">
        <v>12.5</v>
      </c>
      <c r="M133">
        <v>17.5</v>
      </c>
      <c r="N133">
        <v>9</v>
      </c>
      <c r="O133">
        <f t="shared" si="4"/>
        <v>16</v>
      </c>
      <c r="P133">
        <v>15.5</v>
      </c>
      <c r="Q133" t="str">
        <f>TEXT(FY24_Temp[[#This Row],[Date_Simple]],"Ddd")</f>
        <v>Tue</v>
      </c>
      <c r="R133" s="39">
        <v>45601</v>
      </c>
      <c r="S133" t="str">
        <f>TEXT(FY24_Temp[[#This Row],[Old_Date]],"Ddd")</f>
        <v>Tue</v>
      </c>
      <c r="AB133" s="122" t="str">
        <f>Table6[[#This Row],[WeekNo]]&amp;"-"&amp;Table6[[#This Row],[HR]]</f>
        <v>6-9</v>
      </c>
      <c r="AC133">
        <v>6</v>
      </c>
      <c r="AD133">
        <v>9</v>
      </c>
      <c r="AE133">
        <v>1.6497142996106828</v>
      </c>
    </row>
    <row r="134" spans="1:31">
      <c r="A1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95">
        <v>9850.7199999999993</v>
      </c>
      <c r="D134">
        <v>814.10909090909092</v>
      </c>
      <c r="E134">
        <v>320.79000000000002</v>
      </c>
      <c r="F134" s="94">
        <v>45.790999999999997</v>
      </c>
      <c r="K134" s="97">
        <f t="shared" si="3"/>
        <v>45966</v>
      </c>
      <c r="L134">
        <v>12.5</v>
      </c>
      <c r="M134">
        <v>17.5</v>
      </c>
      <c r="N134">
        <v>9</v>
      </c>
      <c r="O134">
        <f t="shared" si="4"/>
        <v>16</v>
      </c>
      <c r="P134">
        <v>15.5</v>
      </c>
      <c r="Q134" t="str">
        <f>TEXT(FY24_Temp[[#This Row],[Date_Simple]],"Ddd")</f>
        <v>Wed</v>
      </c>
      <c r="R134" s="39">
        <v>45602</v>
      </c>
      <c r="S134" t="str">
        <f>TEXT(FY24_Temp[[#This Row],[Old_Date]],"Ddd")</f>
        <v>Wed</v>
      </c>
      <c r="AB134" s="122" t="str">
        <f>Table6[[#This Row],[WeekNo]]&amp;"-"&amp;Table6[[#This Row],[HR]]</f>
        <v>6-10</v>
      </c>
      <c r="AC134">
        <v>6</v>
      </c>
      <c r="AD134">
        <v>10</v>
      </c>
      <c r="AE134">
        <v>1.5668571165629797</v>
      </c>
    </row>
    <row r="135" spans="1:31">
      <c r="A1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95">
        <v>9850.7199999999993</v>
      </c>
      <c r="D135">
        <v>814.10909090909092</v>
      </c>
      <c r="E135">
        <v>320.79000000000002</v>
      </c>
      <c r="F135" s="94">
        <v>45.738</v>
      </c>
      <c r="K135" s="97">
        <f t="shared" si="3"/>
        <v>45967</v>
      </c>
      <c r="L135">
        <v>12.5</v>
      </c>
      <c r="M135">
        <v>17.5</v>
      </c>
      <c r="N135">
        <v>9</v>
      </c>
      <c r="O135">
        <f t="shared" si="4"/>
        <v>16</v>
      </c>
      <c r="P135">
        <v>15.5</v>
      </c>
      <c r="Q135" t="str">
        <f>TEXT(FY24_Temp[[#This Row],[Date_Simple]],"Ddd")</f>
        <v>Thu</v>
      </c>
      <c r="R135" s="39">
        <v>45603</v>
      </c>
      <c r="S135" t="str">
        <f>TEXT(FY24_Temp[[#This Row],[Old_Date]],"Ddd")</f>
        <v>Thu</v>
      </c>
      <c r="AB135" s="122" t="str">
        <f>Table6[[#This Row],[WeekNo]]&amp;"-"&amp;Table6[[#This Row],[HR]]</f>
        <v>6-11</v>
      </c>
      <c r="AC135">
        <v>6</v>
      </c>
      <c r="AD135">
        <v>11</v>
      </c>
      <c r="AE135">
        <v>1.4631428718566895</v>
      </c>
    </row>
    <row r="136" spans="1:31">
      <c r="A1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95">
        <v>9850.7199999999993</v>
      </c>
      <c r="D136">
        <v>814.10909090909092</v>
      </c>
      <c r="E136">
        <v>320.79000000000002</v>
      </c>
      <c r="F136" s="94">
        <v>45.735999999999997</v>
      </c>
      <c r="K136" s="97">
        <f t="shared" ref="K136:K150" si="5">K135+1</f>
        <v>45968</v>
      </c>
      <c r="L136">
        <v>12.5</v>
      </c>
      <c r="M136">
        <v>17.5</v>
      </c>
      <c r="N136">
        <v>9</v>
      </c>
      <c r="O136">
        <f t="shared" si="4"/>
        <v>16</v>
      </c>
      <c r="P136">
        <v>15.5</v>
      </c>
      <c r="Q136" t="str">
        <f>TEXT(FY24_Temp[[#This Row],[Date_Simple]],"Ddd")</f>
        <v>Fri</v>
      </c>
      <c r="R136" s="39">
        <v>45604</v>
      </c>
      <c r="S136" t="str">
        <f>TEXT(FY24_Temp[[#This Row],[Old_Date]],"Ddd")</f>
        <v>Fri</v>
      </c>
      <c r="AB136" s="122" t="str">
        <f>Table6[[#This Row],[WeekNo]]&amp;"-"&amp;Table6[[#This Row],[HR]]</f>
        <v>6-12</v>
      </c>
      <c r="AC136">
        <v>6</v>
      </c>
      <c r="AD136">
        <v>12</v>
      </c>
      <c r="AE136">
        <v>1.3304285662514823</v>
      </c>
    </row>
    <row r="137" spans="1:31">
      <c r="A1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95">
        <v>9850.7199999999993</v>
      </c>
      <c r="D137">
        <v>814.10909090909092</v>
      </c>
      <c r="E137">
        <v>320.79000000000002</v>
      </c>
      <c r="F137" s="94">
        <v>45.829000000000001</v>
      </c>
      <c r="K137" s="106">
        <f t="shared" si="5"/>
        <v>45969</v>
      </c>
      <c r="L137" s="108">
        <v>12.5</v>
      </c>
      <c r="M137" s="108">
        <v>17.5</v>
      </c>
      <c r="N137" s="108">
        <v>9</v>
      </c>
      <c r="O137" s="108">
        <f t="shared" si="4"/>
        <v>17</v>
      </c>
      <c r="P137" s="108">
        <v>15.5</v>
      </c>
      <c r="Q137" s="108" t="str">
        <f>TEXT(FY24_Temp[[#This Row],[Date_Simple]],"Ddd")</f>
        <v>Sat</v>
      </c>
      <c r="R137" s="109">
        <v>45605</v>
      </c>
      <c r="S137" s="108" t="str">
        <f>TEXT(FY24_Temp[[#This Row],[Old_Date]],"Ddd")</f>
        <v>Sat</v>
      </c>
      <c r="AB137" s="122" t="str">
        <f>Table6[[#This Row],[WeekNo]]&amp;"-"&amp;Table6[[#This Row],[HR]]</f>
        <v>6-13</v>
      </c>
      <c r="AC137">
        <v>6</v>
      </c>
      <c r="AD137">
        <v>13</v>
      </c>
      <c r="AE137">
        <v>1.1667142765862601</v>
      </c>
    </row>
    <row r="138" spans="1:31">
      <c r="A1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95">
        <v>9850.7199999999993</v>
      </c>
      <c r="D138">
        <v>814.10909090909092</v>
      </c>
      <c r="E138">
        <v>320.79000000000002</v>
      </c>
      <c r="F138" s="94">
        <v>47.948999999999998</v>
      </c>
      <c r="K138" s="97">
        <f t="shared" si="5"/>
        <v>45970</v>
      </c>
      <c r="L138">
        <v>12.5</v>
      </c>
      <c r="M138">
        <v>17.5</v>
      </c>
      <c r="N138">
        <v>9</v>
      </c>
      <c r="O138">
        <f t="shared" si="4"/>
        <v>17</v>
      </c>
      <c r="P138">
        <v>15.5</v>
      </c>
      <c r="Q138" t="str">
        <f>TEXT(FY24_Temp[[#This Row],[Date_Simple]],"Ddd")</f>
        <v>Sun</v>
      </c>
      <c r="R138" s="39">
        <v>45606</v>
      </c>
      <c r="S138" t="str">
        <f>TEXT(FY24_Temp[[#This Row],[Old_Date]],"Ddd")</f>
        <v>Sun</v>
      </c>
      <c r="AB138" s="122" t="str">
        <f>Table6[[#This Row],[WeekNo]]&amp;"-"&amp;Table6[[#This Row],[HR]]</f>
        <v>6-14</v>
      </c>
      <c r="AC138">
        <v>6</v>
      </c>
      <c r="AD138">
        <v>14</v>
      </c>
      <c r="AE138">
        <v>0.98814284801483154</v>
      </c>
    </row>
    <row r="139" spans="1:31">
      <c r="A1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95">
        <v>12828.886</v>
      </c>
      <c r="D139">
        <v>1060.2385123966942</v>
      </c>
      <c r="E139">
        <v>417.77499999999998</v>
      </c>
      <c r="F139" s="94">
        <v>53.567999999999998</v>
      </c>
      <c r="K139" s="97">
        <f t="shared" si="5"/>
        <v>45971</v>
      </c>
      <c r="L139">
        <v>12.5</v>
      </c>
      <c r="M139">
        <v>17.5</v>
      </c>
      <c r="N139">
        <v>9</v>
      </c>
      <c r="O139">
        <f t="shared" si="4"/>
        <v>17</v>
      </c>
      <c r="P139">
        <v>15.5</v>
      </c>
      <c r="Q139" t="str">
        <f>TEXT(FY24_Temp[[#This Row],[Date_Simple]],"Ddd")</f>
        <v>Mon</v>
      </c>
      <c r="R139" s="39">
        <v>45607</v>
      </c>
      <c r="S139" t="str">
        <f>TEXT(FY24_Temp[[#This Row],[Old_Date]],"Ddd")</f>
        <v>Mon</v>
      </c>
      <c r="AB139" s="122" t="str">
        <f>Table6[[#This Row],[WeekNo]]&amp;"-"&amp;Table6[[#This Row],[HR]]</f>
        <v>6-15</v>
      </c>
      <c r="AC139">
        <v>6</v>
      </c>
      <c r="AD139">
        <v>15</v>
      </c>
      <c r="AE139">
        <v>0.82557142632348202</v>
      </c>
    </row>
    <row r="140" spans="1:31">
      <c r="A1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95">
        <v>15864.218999999999</v>
      </c>
      <c r="D140">
        <v>1311.0924793388428</v>
      </c>
      <c r="E140">
        <v>516.62099999999998</v>
      </c>
      <c r="F140" s="94">
        <v>67.022000000000006</v>
      </c>
      <c r="K140" s="97">
        <f t="shared" si="5"/>
        <v>45972</v>
      </c>
      <c r="L140">
        <v>12.5</v>
      </c>
      <c r="M140">
        <v>17.5</v>
      </c>
      <c r="N140">
        <v>9</v>
      </c>
      <c r="O140">
        <f t="shared" si="4"/>
        <v>17</v>
      </c>
      <c r="P140">
        <v>15.5</v>
      </c>
      <c r="Q140" t="str">
        <f>TEXT(FY24_Temp[[#This Row],[Date_Simple]],"Ddd")</f>
        <v>Tue</v>
      </c>
      <c r="R140" s="39">
        <v>45608</v>
      </c>
      <c r="S140" t="str">
        <f>TEXT(FY24_Temp[[#This Row],[Old_Date]],"Ddd")</f>
        <v>Tue</v>
      </c>
      <c r="AB140" s="122" t="str">
        <f>Table6[[#This Row],[WeekNo]]&amp;"-"&amp;Table6[[#This Row],[HR]]</f>
        <v>6-16</v>
      </c>
      <c r="AC140">
        <v>6</v>
      </c>
      <c r="AD140">
        <v>16</v>
      </c>
      <c r="AE140">
        <v>0.73714286088943481</v>
      </c>
    </row>
    <row r="141" spans="1:31">
      <c r="A1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95">
        <v>15864.218999999999</v>
      </c>
      <c r="D141">
        <v>1311.0924793388428</v>
      </c>
      <c r="E141">
        <v>516.62099999999998</v>
      </c>
      <c r="F141" s="94">
        <v>87.191000000000003</v>
      </c>
      <c r="K141" s="97">
        <f t="shared" si="5"/>
        <v>45973</v>
      </c>
      <c r="L141">
        <v>12.5</v>
      </c>
      <c r="M141">
        <v>17.5</v>
      </c>
      <c r="N141">
        <v>9</v>
      </c>
      <c r="O141">
        <f t="shared" si="4"/>
        <v>17</v>
      </c>
      <c r="P141">
        <v>15.5</v>
      </c>
      <c r="Q141" t="str">
        <f>TEXT(FY24_Temp[[#This Row],[Date_Simple]],"Ddd")</f>
        <v>Wed</v>
      </c>
      <c r="R141" s="39">
        <v>45609</v>
      </c>
      <c r="S141" t="str">
        <f>TEXT(FY24_Temp[[#This Row],[Old_Date]],"Ddd")</f>
        <v>Wed</v>
      </c>
      <c r="AB141" s="122" t="str">
        <f>Table6[[#This Row],[WeekNo]]&amp;"-"&amp;Table6[[#This Row],[HR]]</f>
        <v>6-17</v>
      </c>
      <c r="AC141">
        <v>6</v>
      </c>
      <c r="AD141">
        <v>17</v>
      </c>
      <c r="AE141">
        <v>0.86971428564616615</v>
      </c>
    </row>
    <row r="142" spans="1:31">
      <c r="A1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95">
        <v>17420.72</v>
      </c>
      <c r="D142">
        <v>1439.7289256198349</v>
      </c>
      <c r="E142">
        <v>567.30899999999997</v>
      </c>
      <c r="F142" s="94">
        <v>108.443</v>
      </c>
      <c r="K142" s="97">
        <f t="shared" si="5"/>
        <v>45974</v>
      </c>
      <c r="L142">
        <v>12.5</v>
      </c>
      <c r="M142">
        <v>17.5</v>
      </c>
      <c r="N142">
        <v>9</v>
      </c>
      <c r="O142">
        <f t="shared" si="4"/>
        <v>17</v>
      </c>
      <c r="P142">
        <v>15.5</v>
      </c>
      <c r="Q142" t="str">
        <f>TEXT(FY24_Temp[[#This Row],[Date_Simple]],"Ddd")</f>
        <v>Thu</v>
      </c>
      <c r="R142" s="39">
        <v>45610</v>
      </c>
      <c r="S142" t="str">
        <f>TEXT(FY24_Temp[[#This Row],[Old_Date]],"Ddd")</f>
        <v>Thu</v>
      </c>
      <c r="AB142" s="122" t="str">
        <f>Table6[[#This Row],[WeekNo]]&amp;"-"&amp;Table6[[#This Row],[HR]]</f>
        <v>6-18</v>
      </c>
      <c r="AC142">
        <v>6</v>
      </c>
      <c r="AD142">
        <v>18</v>
      </c>
      <c r="AE142">
        <v>1.2285714319774084</v>
      </c>
    </row>
    <row r="143" spans="1:31">
      <c r="A1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95">
        <v>17420.72</v>
      </c>
      <c r="D143">
        <v>1439.7289256198349</v>
      </c>
      <c r="E143">
        <v>567.30899999999997</v>
      </c>
      <c r="F143" s="94">
        <v>124.497</v>
      </c>
      <c r="K143" s="97">
        <f t="shared" si="5"/>
        <v>45975</v>
      </c>
      <c r="L143">
        <v>12.5</v>
      </c>
      <c r="M143">
        <v>17.5</v>
      </c>
      <c r="N143">
        <v>9</v>
      </c>
      <c r="O143">
        <f t="shared" si="4"/>
        <v>17</v>
      </c>
      <c r="P143">
        <v>15.5</v>
      </c>
      <c r="Q143" t="str">
        <f>TEXT(FY24_Temp[[#This Row],[Date_Simple]],"Ddd")</f>
        <v>Fri</v>
      </c>
      <c r="R143" s="39">
        <v>45611</v>
      </c>
      <c r="S143" t="str">
        <f>TEXT(FY24_Temp[[#This Row],[Old_Date]],"Ddd")</f>
        <v>Fri</v>
      </c>
      <c r="AB143" s="122" t="str">
        <f>Table6[[#This Row],[WeekNo]]&amp;"-"&amp;Table6[[#This Row],[HR]]</f>
        <v>6-19</v>
      </c>
      <c r="AC143">
        <v>6</v>
      </c>
      <c r="AD143">
        <v>19</v>
      </c>
      <c r="AE143">
        <v>1.949428609439305</v>
      </c>
    </row>
    <row r="144" spans="1:31">
      <c r="A1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95">
        <v>17350.72</v>
      </c>
      <c r="D144">
        <v>1433.9438016528927</v>
      </c>
      <c r="E144">
        <v>565.029</v>
      </c>
      <c r="F144" s="94">
        <v>117.727</v>
      </c>
      <c r="K144" s="106">
        <f t="shared" si="5"/>
        <v>45976</v>
      </c>
      <c r="L144" s="108">
        <v>12.5</v>
      </c>
      <c r="M144" s="108">
        <v>16.5</v>
      </c>
      <c r="N144" s="108">
        <v>9</v>
      </c>
      <c r="O144" s="108">
        <f t="shared" si="4"/>
        <v>18</v>
      </c>
      <c r="P144" s="108">
        <v>15.5</v>
      </c>
      <c r="Q144" s="108" t="str">
        <f>TEXT(FY24_Temp[[#This Row],[Date_Simple]],"Ddd")</f>
        <v>Sat</v>
      </c>
      <c r="R144" s="109">
        <v>45612</v>
      </c>
      <c r="S144" s="108" t="str">
        <f>TEXT(FY24_Temp[[#This Row],[Old_Date]],"Ddd")</f>
        <v>Sat</v>
      </c>
      <c r="AB144" s="122" t="str">
        <f>Table6[[#This Row],[WeekNo]]&amp;"-"&amp;Table6[[#This Row],[HR]]</f>
        <v>6-20</v>
      </c>
      <c r="AC144">
        <v>6</v>
      </c>
      <c r="AD144">
        <v>20</v>
      </c>
      <c r="AE144">
        <v>2.732428584780012</v>
      </c>
    </row>
    <row r="145" spans="1:31">
      <c r="A1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95">
        <v>14850.72</v>
      </c>
      <c r="D145">
        <v>1227.3322314049587</v>
      </c>
      <c r="E145">
        <v>483.61599999999999</v>
      </c>
      <c r="F145" s="94">
        <v>102.197</v>
      </c>
      <c r="K145" s="97">
        <f t="shared" si="5"/>
        <v>45977</v>
      </c>
      <c r="L145">
        <v>12.5</v>
      </c>
      <c r="M145">
        <v>16.5</v>
      </c>
      <c r="N145">
        <v>9</v>
      </c>
      <c r="O145">
        <f t="shared" si="4"/>
        <v>18</v>
      </c>
      <c r="P145">
        <v>15.5</v>
      </c>
      <c r="Q145" t="str">
        <f>TEXT(FY24_Temp[[#This Row],[Date_Simple]],"Ddd")</f>
        <v>Sun</v>
      </c>
      <c r="R145" s="39">
        <v>45613</v>
      </c>
      <c r="S145" t="str">
        <f>TEXT(FY24_Temp[[#This Row],[Old_Date]],"Ddd")</f>
        <v>Sun</v>
      </c>
      <c r="AB145" s="122" t="str">
        <f>Table6[[#This Row],[WeekNo]]&amp;"-"&amp;Table6[[#This Row],[HR]]</f>
        <v>6-21</v>
      </c>
      <c r="AC145">
        <v>6</v>
      </c>
      <c r="AD145">
        <v>21</v>
      </c>
      <c r="AE145">
        <v>2.9708571093423024</v>
      </c>
    </row>
    <row r="146" spans="1:31">
      <c r="A1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95">
        <v>12350.72</v>
      </c>
      <c r="D146">
        <v>1020.7206611570248</v>
      </c>
      <c r="E146">
        <v>402.20299999999997</v>
      </c>
      <c r="F146" s="94">
        <v>66.766000000000005</v>
      </c>
      <c r="K146" s="97">
        <f t="shared" si="5"/>
        <v>45978</v>
      </c>
      <c r="L146">
        <v>12.5</v>
      </c>
      <c r="M146">
        <v>16.5</v>
      </c>
      <c r="N146">
        <v>9</v>
      </c>
      <c r="O146">
        <f t="shared" si="4"/>
        <v>18</v>
      </c>
      <c r="P146">
        <v>15.5</v>
      </c>
      <c r="Q146" t="str">
        <f>TEXT(FY24_Temp[[#This Row],[Date_Simple]],"Ddd")</f>
        <v>Mon</v>
      </c>
      <c r="R146" s="39">
        <v>45614</v>
      </c>
      <c r="S146" t="str">
        <f>TEXT(FY24_Temp[[#This Row],[Old_Date]],"Ddd")</f>
        <v>Mon</v>
      </c>
      <c r="AB146" s="122" t="str">
        <f>Table6[[#This Row],[WeekNo]]&amp;"-"&amp;Table6[[#This Row],[HR]]</f>
        <v>6-22</v>
      </c>
      <c r="AC146">
        <v>6</v>
      </c>
      <c r="AD146">
        <v>22</v>
      </c>
      <c r="AE146">
        <v>2.9297142710004533</v>
      </c>
    </row>
    <row r="147" spans="1:31">
      <c r="A1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95">
        <v>9850.7199999999993</v>
      </c>
      <c r="D147">
        <v>814.10909090909092</v>
      </c>
      <c r="E147">
        <v>320.79000000000002</v>
      </c>
      <c r="F147" s="94">
        <v>61.406999999999996</v>
      </c>
      <c r="K147" s="97">
        <f t="shared" si="5"/>
        <v>45979</v>
      </c>
      <c r="L147">
        <v>12.5</v>
      </c>
      <c r="M147">
        <v>16.5</v>
      </c>
      <c r="N147">
        <v>9</v>
      </c>
      <c r="O147">
        <f t="shared" si="4"/>
        <v>18</v>
      </c>
      <c r="P147">
        <v>15.5</v>
      </c>
      <c r="Q147" t="str">
        <f>TEXT(FY24_Temp[[#This Row],[Date_Simple]],"Ddd")</f>
        <v>Tue</v>
      </c>
      <c r="R147" s="39">
        <v>45615</v>
      </c>
      <c r="S147" t="str">
        <f>TEXT(FY24_Temp[[#This Row],[Old_Date]],"Ddd")</f>
        <v>Tue</v>
      </c>
      <c r="AB147" s="122" t="str">
        <f>Table6[[#This Row],[WeekNo]]&amp;"-"&amp;Table6[[#This Row],[HR]]</f>
        <v>6-23</v>
      </c>
      <c r="AC147">
        <v>6</v>
      </c>
      <c r="AD147">
        <v>23</v>
      </c>
      <c r="AE147">
        <v>2.8045714242117747</v>
      </c>
    </row>
    <row r="148" spans="1:31">
      <c r="A1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92">
        <v>45905</v>
      </c>
      <c r="C148" s="95">
        <v>8000</v>
      </c>
      <c r="D148">
        <v>661.15702479338847</v>
      </c>
      <c r="E148">
        <v>257.88900000000001</v>
      </c>
      <c r="F148" s="94">
        <v>51.487000000000002</v>
      </c>
      <c r="K148" s="97">
        <f t="shared" si="5"/>
        <v>45980</v>
      </c>
      <c r="L148">
        <v>12.5</v>
      </c>
      <c r="M148">
        <v>16.5</v>
      </c>
      <c r="N148">
        <v>9</v>
      </c>
      <c r="O148">
        <f t="shared" si="4"/>
        <v>18</v>
      </c>
      <c r="P148">
        <v>15.5</v>
      </c>
      <c r="Q148" t="str">
        <f>TEXT(FY24_Temp[[#This Row],[Date_Simple]],"Ddd")</f>
        <v>Wed</v>
      </c>
      <c r="R148" s="39">
        <v>45616</v>
      </c>
      <c r="S148" t="str">
        <f>TEXT(FY24_Temp[[#This Row],[Old_Date]],"Ddd")</f>
        <v>Wed</v>
      </c>
      <c r="AB148" s="122" t="str">
        <f>Table6[[#This Row],[WeekNo]]&amp;"-"&amp;Table6[[#This Row],[HR]]</f>
        <v>7-0</v>
      </c>
      <c r="AC148">
        <v>7</v>
      </c>
      <c r="AD148">
        <v>0</v>
      </c>
      <c r="AE148">
        <v>2.6008571216038296</v>
      </c>
    </row>
    <row r="149" spans="1:31">
      <c r="A1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95">
        <v>8000</v>
      </c>
      <c r="D149">
        <v>661.15702479338847</v>
      </c>
      <c r="E149">
        <v>257.88900000000001</v>
      </c>
      <c r="F149" s="94">
        <v>50.177999999999997</v>
      </c>
      <c r="K149" s="97">
        <f t="shared" si="5"/>
        <v>45981</v>
      </c>
      <c r="L149">
        <v>12.5</v>
      </c>
      <c r="M149">
        <v>16.5</v>
      </c>
      <c r="N149">
        <v>9</v>
      </c>
      <c r="O149">
        <f t="shared" si="4"/>
        <v>18</v>
      </c>
      <c r="P149">
        <v>15.5</v>
      </c>
      <c r="Q149" t="str">
        <f>TEXT(FY24_Temp[[#This Row],[Date_Simple]],"Ddd")</f>
        <v>Thu</v>
      </c>
      <c r="R149" s="39">
        <v>45617</v>
      </c>
      <c r="S149" t="str">
        <f>TEXT(FY24_Temp[[#This Row],[Old_Date]],"Ddd")</f>
        <v>Thu</v>
      </c>
      <c r="AB149" s="122" t="str">
        <f>Table6[[#This Row],[WeekNo]]&amp;"-"&amp;Table6[[#This Row],[HR]]</f>
        <v>7-1</v>
      </c>
      <c r="AC149">
        <v>7</v>
      </c>
      <c r="AD149">
        <v>1</v>
      </c>
      <c r="AE149">
        <v>2.5028571741921559</v>
      </c>
    </row>
    <row r="150" spans="1:31">
      <c r="A1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95">
        <v>8000</v>
      </c>
      <c r="D150">
        <v>661.15702479338847</v>
      </c>
      <c r="E150">
        <v>257.88900000000001</v>
      </c>
      <c r="F150" s="94">
        <v>49.970999999999997</v>
      </c>
      <c r="K150" s="97">
        <f t="shared" si="5"/>
        <v>45982</v>
      </c>
      <c r="L150">
        <v>12.5</v>
      </c>
      <c r="M150">
        <v>16.5</v>
      </c>
      <c r="N150">
        <v>9</v>
      </c>
      <c r="O150">
        <f t="shared" si="4"/>
        <v>18</v>
      </c>
      <c r="P150">
        <v>15.5</v>
      </c>
      <c r="Q150" t="str">
        <f>TEXT(FY24_Temp[[#This Row],[Date_Simple]],"Ddd")</f>
        <v>Fri</v>
      </c>
      <c r="R150" s="39">
        <v>45618</v>
      </c>
      <c r="S150" t="str">
        <f>TEXT(FY24_Temp[[#This Row],[Old_Date]],"Ddd")</f>
        <v>Fri</v>
      </c>
      <c r="AB150" s="122" t="str">
        <f>Table6[[#This Row],[WeekNo]]&amp;"-"&amp;Table6[[#This Row],[HR]]</f>
        <v>7-2</v>
      </c>
      <c r="AC150">
        <v>7</v>
      </c>
      <c r="AD150">
        <v>2</v>
      </c>
      <c r="AE150">
        <v>2.4148571491241455</v>
      </c>
    </row>
    <row r="151" spans="1:31">
      <c r="A1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95">
        <v>8000</v>
      </c>
      <c r="D151">
        <v>661.15702479338847</v>
      </c>
      <c r="E151">
        <v>257.88900000000001</v>
      </c>
      <c r="F151" s="94">
        <v>50.127000000000002</v>
      </c>
      <c r="AB151" s="122" t="str">
        <f>Table6[[#This Row],[WeekNo]]&amp;"-"&amp;Table6[[#This Row],[HR]]</f>
        <v>7-3</v>
      </c>
      <c r="AC151">
        <v>7</v>
      </c>
      <c r="AD151">
        <v>3</v>
      </c>
      <c r="AE151">
        <v>2.2705714702606201</v>
      </c>
    </row>
    <row r="152" spans="1:31">
      <c r="A1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95">
        <v>8000</v>
      </c>
      <c r="D152">
        <v>661.15702479338847</v>
      </c>
      <c r="E152">
        <v>257.88900000000001</v>
      </c>
      <c r="F152" s="94">
        <v>50.921999999999997</v>
      </c>
      <c r="AB152" s="122" t="str">
        <f>Table6[[#This Row],[WeekNo]]&amp;"-"&amp;Table6[[#This Row],[HR]]</f>
        <v>7-4</v>
      </c>
      <c r="AC152">
        <v>7</v>
      </c>
      <c r="AD152">
        <v>4</v>
      </c>
      <c r="AE152">
        <v>2.1080000059945241</v>
      </c>
    </row>
    <row r="153" spans="1:31">
      <c r="A1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95">
        <v>8000</v>
      </c>
      <c r="D153">
        <v>661.15702479338847</v>
      </c>
      <c r="E153">
        <v>257.88900000000001</v>
      </c>
      <c r="F153" s="94">
        <v>50.851999999999997</v>
      </c>
      <c r="AB153" s="122" t="str">
        <f>Table6[[#This Row],[WeekNo]]&amp;"-"&amp;Table6[[#This Row],[HR]]</f>
        <v>7-5</v>
      </c>
      <c r="AC153">
        <v>7</v>
      </c>
      <c r="AD153">
        <v>5</v>
      </c>
      <c r="AE153">
        <v>1.9515714134488786</v>
      </c>
    </row>
    <row r="154" spans="1:31">
      <c r="A1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95">
        <v>8000</v>
      </c>
      <c r="D154">
        <v>661.15702479338847</v>
      </c>
      <c r="E154">
        <v>257.88900000000001</v>
      </c>
      <c r="F154" s="94">
        <v>77.376000000000005</v>
      </c>
      <c r="AB154" s="122" t="str">
        <f>Table6[[#This Row],[WeekNo]]&amp;"-"&amp;Table6[[#This Row],[HR]]</f>
        <v>7-6</v>
      </c>
      <c r="AC154">
        <v>7</v>
      </c>
      <c r="AD154">
        <v>6</v>
      </c>
      <c r="AE154">
        <v>1.8388571568897791</v>
      </c>
    </row>
    <row r="155" spans="1:31">
      <c r="A1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95">
        <v>8000</v>
      </c>
      <c r="D155">
        <v>661.15702479338847</v>
      </c>
      <c r="E155">
        <v>257.88900000000001</v>
      </c>
      <c r="F155" s="94">
        <v>68.486999999999995</v>
      </c>
      <c r="AB155" s="122" t="str">
        <f>Table6[[#This Row],[WeekNo]]&amp;"-"&amp;Table6[[#This Row],[HR]]</f>
        <v>7-7</v>
      </c>
      <c r="AC155">
        <v>7</v>
      </c>
      <c r="AD155">
        <v>7</v>
      </c>
      <c r="AE155">
        <v>1.7592856884002686</v>
      </c>
    </row>
    <row r="156" spans="1:31">
      <c r="A1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95">
        <v>8000</v>
      </c>
      <c r="D156">
        <v>661.15702479338847</v>
      </c>
      <c r="E156">
        <v>257.88900000000001</v>
      </c>
      <c r="F156" s="94">
        <v>55.08</v>
      </c>
      <c r="AB156" s="122" t="str">
        <f>Table6[[#This Row],[WeekNo]]&amp;"-"&amp;Table6[[#This Row],[HR]]</f>
        <v>7-8</v>
      </c>
      <c r="AC156">
        <v>7</v>
      </c>
      <c r="AD156">
        <v>8</v>
      </c>
      <c r="AE156">
        <v>1.6568571329116821</v>
      </c>
    </row>
    <row r="157" spans="1:31">
      <c r="A1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95">
        <v>8000</v>
      </c>
      <c r="D157">
        <v>661.15702479338847</v>
      </c>
      <c r="E157">
        <v>257.88900000000001</v>
      </c>
      <c r="F157" s="94">
        <v>48.548000000000002</v>
      </c>
      <c r="AB157" s="122" t="str">
        <f>Table6[[#This Row],[WeekNo]]&amp;"-"&amp;Table6[[#This Row],[HR]]</f>
        <v>7-9</v>
      </c>
      <c r="AC157">
        <v>7</v>
      </c>
      <c r="AD157">
        <v>9</v>
      </c>
      <c r="AE157">
        <v>1.5618571383612496</v>
      </c>
    </row>
    <row r="158" spans="1:31">
      <c r="A1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95">
        <v>8000</v>
      </c>
      <c r="D158">
        <v>661.15702479338847</v>
      </c>
      <c r="E158">
        <v>257.88900000000001</v>
      </c>
      <c r="F158" s="94">
        <v>46.29</v>
      </c>
      <c r="AB158" s="122" t="str">
        <f>Table6[[#This Row],[WeekNo]]&amp;"-"&amp;Table6[[#This Row],[HR]]</f>
        <v>7-10</v>
      </c>
      <c r="AC158">
        <v>7</v>
      </c>
      <c r="AD158">
        <v>10</v>
      </c>
      <c r="AE158">
        <v>1.4821428230830602</v>
      </c>
    </row>
    <row r="159" spans="1:31">
      <c r="A1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95">
        <v>8000</v>
      </c>
      <c r="D159">
        <v>661.15702479338847</v>
      </c>
      <c r="E159">
        <v>257.88900000000001</v>
      </c>
      <c r="F159" s="94">
        <v>46.253999999999998</v>
      </c>
      <c r="AB159" s="122" t="str">
        <f>Table6[[#This Row],[WeekNo]]&amp;"-"&amp;Table6[[#This Row],[HR]]</f>
        <v>7-11</v>
      </c>
      <c r="AC159">
        <v>7</v>
      </c>
      <c r="AD159">
        <v>11</v>
      </c>
      <c r="AE159">
        <v>1.3825714247567313</v>
      </c>
    </row>
    <row r="160" spans="1:31">
      <c r="A1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95">
        <v>8000</v>
      </c>
      <c r="D160">
        <v>661.15702479338847</v>
      </c>
      <c r="E160">
        <v>257.88900000000001</v>
      </c>
      <c r="F160" s="94">
        <v>46.207000000000001</v>
      </c>
      <c r="AB160" s="122" t="str">
        <f>Table6[[#This Row],[WeekNo]]&amp;"-"&amp;Table6[[#This Row],[HR]]</f>
        <v>7-12</v>
      </c>
      <c r="AC160">
        <v>7</v>
      </c>
      <c r="AD160">
        <v>12</v>
      </c>
      <c r="AE160">
        <v>1.2544285740171159</v>
      </c>
    </row>
    <row r="161" spans="1:31">
      <c r="A1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95">
        <v>8000</v>
      </c>
      <c r="D161">
        <v>661.15702479338847</v>
      </c>
      <c r="E161">
        <v>257.88900000000001</v>
      </c>
      <c r="F161" s="94">
        <v>46.271999999999998</v>
      </c>
      <c r="AB161" s="122" t="str">
        <f>Table6[[#This Row],[WeekNo]]&amp;"-"&amp;Table6[[#This Row],[HR]]</f>
        <v>7-13</v>
      </c>
      <c r="AC161">
        <v>7</v>
      </c>
      <c r="AD161">
        <v>13</v>
      </c>
      <c r="AE161">
        <v>1.0944285563060216</v>
      </c>
    </row>
    <row r="162" spans="1:31">
      <c r="A1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95">
        <v>9095.6200000000008</v>
      </c>
      <c r="D162">
        <v>751.70413223140508</v>
      </c>
      <c r="E162">
        <v>293.20800000000003</v>
      </c>
      <c r="F162" s="94">
        <v>46.350999999999999</v>
      </c>
      <c r="AB162" s="122" t="str">
        <f>Table6[[#This Row],[WeekNo]]&amp;"-"&amp;Table6[[#This Row],[HR]]</f>
        <v>7-14</v>
      </c>
      <c r="AC162">
        <v>7</v>
      </c>
      <c r="AD162">
        <v>14</v>
      </c>
      <c r="AE162">
        <v>0.91900000401905602</v>
      </c>
    </row>
    <row r="163" spans="1:31">
      <c r="A1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95">
        <v>13095.62</v>
      </c>
      <c r="D163">
        <v>1082.2826446280992</v>
      </c>
      <c r="E163">
        <v>422.15300000000002</v>
      </c>
      <c r="F163" s="94">
        <v>50.738</v>
      </c>
      <c r="AB163" s="122" t="str">
        <f>Table6[[#This Row],[WeekNo]]&amp;"-"&amp;Table6[[#This Row],[HR]]</f>
        <v>7-15</v>
      </c>
      <c r="AC163">
        <v>7</v>
      </c>
      <c r="AD163">
        <v>15</v>
      </c>
      <c r="AE163">
        <v>0.76014286279678345</v>
      </c>
    </row>
    <row r="164" spans="1:31">
      <c r="A1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95">
        <v>13095.62</v>
      </c>
      <c r="D164">
        <v>1082.2826446280992</v>
      </c>
      <c r="E164">
        <v>422.15300000000002</v>
      </c>
      <c r="F164" s="94">
        <v>60.96</v>
      </c>
      <c r="AB164" s="122" t="str">
        <f>Table6[[#This Row],[WeekNo]]&amp;"-"&amp;Table6[[#This Row],[HR]]</f>
        <v>7-16</v>
      </c>
      <c r="AC164">
        <v>7</v>
      </c>
      <c r="AD164">
        <v>16</v>
      </c>
      <c r="AE164">
        <v>0.67185714415141518</v>
      </c>
    </row>
    <row r="165" spans="1:31">
      <c r="A1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95">
        <v>13095.62</v>
      </c>
      <c r="D165">
        <v>1082.2826446280992</v>
      </c>
      <c r="E165">
        <v>422.15300000000002</v>
      </c>
      <c r="F165" s="94">
        <v>80.988</v>
      </c>
      <c r="AB165" s="122" t="str">
        <f>Table6[[#This Row],[WeekNo]]&amp;"-"&amp;Table6[[#This Row],[HR]]</f>
        <v>7-17</v>
      </c>
      <c r="AC165">
        <v>7</v>
      </c>
      <c r="AD165">
        <v>17</v>
      </c>
      <c r="AE165">
        <v>0.80171428407941547</v>
      </c>
    </row>
    <row r="166" spans="1:31">
      <c r="A1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95">
        <v>13095.62</v>
      </c>
      <c r="D166">
        <v>1082.2826446280992</v>
      </c>
      <c r="E166">
        <v>422.15300000000002</v>
      </c>
      <c r="F166" s="94">
        <v>98.658000000000001</v>
      </c>
      <c r="AB166" s="122" t="str">
        <f>Table6[[#This Row],[WeekNo]]&amp;"-"&amp;Table6[[#This Row],[HR]]</f>
        <v>7-18</v>
      </c>
      <c r="AC166">
        <v>7</v>
      </c>
      <c r="AD166">
        <v>18</v>
      </c>
      <c r="AE166">
        <v>1.1738571269171578</v>
      </c>
    </row>
    <row r="167" spans="1:31">
      <c r="A1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95">
        <v>13095.62</v>
      </c>
      <c r="D167">
        <v>1082.2826446280992</v>
      </c>
      <c r="E167">
        <v>422.15300000000002</v>
      </c>
      <c r="F167" s="94">
        <v>105.907</v>
      </c>
      <c r="AB167" s="122" t="str">
        <f>Table6[[#This Row],[WeekNo]]&amp;"-"&amp;Table6[[#This Row],[HR]]</f>
        <v>7-19</v>
      </c>
      <c r="AC167">
        <v>7</v>
      </c>
      <c r="AD167">
        <v>19</v>
      </c>
      <c r="AE167">
        <v>1.9135714258466447</v>
      </c>
    </row>
    <row r="168" spans="1:31">
      <c r="A1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95">
        <v>13095.62</v>
      </c>
      <c r="D168">
        <v>1082.2826446280992</v>
      </c>
      <c r="E168">
        <v>422.15300000000002</v>
      </c>
      <c r="F168" s="94">
        <v>93.4</v>
      </c>
      <c r="AB168" s="122" t="str">
        <f>Table6[[#This Row],[WeekNo]]&amp;"-"&amp;Table6[[#This Row],[HR]]</f>
        <v>7-20</v>
      </c>
      <c r="AC168">
        <v>7</v>
      </c>
      <c r="AD168">
        <v>20</v>
      </c>
      <c r="AE168">
        <v>2.6564285755157471</v>
      </c>
    </row>
    <row r="169" spans="1:31">
      <c r="A1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95">
        <v>12603.784</v>
      </c>
      <c r="D169">
        <v>1041.635041322314</v>
      </c>
      <c r="E169">
        <v>406.298</v>
      </c>
      <c r="F169" s="94">
        <v>84.938000000000002</v>
      </c>
      <c r="AB169" s="122" t="str">
        <f>Table6[[#This Row],[WeekNo]]&amp;"-"&amp;Table6[[#This Row],[HR]]</f>
        <v>7-21</v>
      </c>
      <c r="AC169">
        <v>7</v>
      </c>
      <c r="AD169">
        <v>21</v>
      </c>
      <c r="AE169">
        <v>2.854142870221819</v>
      </c>
    </row>
    <row r="170" spans="1:31">
      <c r="A1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95">
        <v>10103.784</v>
      </c>
      <c r="D170">
        <v>835.02347107438015</v>
      </c>
      <c r="E170">
        <v>325.70699999999999</v>
      </c>
      <c r="F170" s="94">
        <v>50.137999999999998</v>
      </c>
      <c r="AB170" s="122" t="str">
        <f>Table6[[#This Row],[WeekNo]]&amp;"-"&amp;Table6[[#This Row],[HR]]</f>
        <v>7-22</v>
      </c>
      <c r="AC170">
        <v>7</v>
      </c>
      <c r="AD170">
        <v>22</v>
      </c>
      <c r="AE170">
        <v>2.8205713544573103</v>
      </c>
    </row>
    <row r="171" spans="1:31">
      <c r="A1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95">
        <v>8000</v>
      </c>
      <c r="D171">
        <v>661.15702479338847</v>
      </c>
      <c r="E171">
        <v>257.88900000000001</v>
      </c>
      <c r="F171" s="94">
        <v>49.26</v>
      </c>
      <c r="AB171" s="122" t="str">
        <f>Table6[[#This Row],[WeekNo]]&amp;"-"&amp;Table6[[#This Row],[HR]]</f>
        <v>7-23</v>
      </c>
      <c r="AC171">
        <v>7</v>
      </c>
      <c r="AD171">
        <v>23</v>
      </c>
      <c r="AE171">
        <v>2.7085714680807933</v>
      </c>
    </row>
    <row r="172" spans="1:31">
      <c r="A1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95">
        <v>8000</v>
      </c>
      <c r="D172">
        <v>661.15702479338847</v>
      </c>
      <c r="E172">
        <v>257.88900000000001</v>
      </c>
      <c r="F172" s="94">
        <v>48.951999999999998</v>
      </c>
      <c r="AB172" s="122" t="str">
        <f>Table6[[#This Row],[WeekNo]]&amp;"-"&amp;Table6[[#This Row],[HR]]</f>
        <v>8-0</v>
      </c>
      <c r="AC172">
        <v>8</v>
      </c>
      <c r="AD172">
        <v>0</v>
      </c>
      <c r="AE172">
        <v>2.6951428822108676</v>
      </c>
    </row>
    <row r="173" spans="1:31">
      <c r="A1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95">
        <v>8000</v>
      </c>
      <c r="D173">
        <v>661.15702479338847</v>
      </c>
      <c r="E173">
        <v>257.88900000000001</v>
      </c>
      <c r="F173" s="94">
        <v>48.753999999999998</v>
      </c>
      <c r="AB173" s="122" t="str">
        <f>Table6[[#This Row],[WeekNo]]&amp;"-"&amp;Table6[[#This Row],[HR]]</f>
        <v>8-1</v>
      </c>
      <c r="AC173">
        <v>8</v>
      </c>
      <c r="AD173">
        <v>1</v>
      </c>
      <c r="AE173">
        <v>2.6332857268197194</v>
      </c>
    </row>
    <row r="174" spans="1:31">
      <c r="A1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95">
        <v>8000</v>
      </c>
      <c r="D174">
        <v>661.15702479338847</v>
      </c>
      <c r="E174">
        <v>257.88900000000001</v>
      </c>
      <c r="F174" s="94">
        <v>49.122</v>
      </c>
      <c r="AB174" s="122" t="str">
        <f>Table6[[#This Row],[WeekNo]]&amp;"-"&amp;Table6[[#This Row],[HR]]</f>
        <v>8-2</v>
      </c>
      <c r="AC174">
        <v>8</v>
      </c>
      <c r="AD174">
        <v>2</v>
      </c>
      <c r="AE174">
        <v>2.5004285403660367</v>
      </c>
    </row>
    <row r="175" spans="1:31">
      <c r="A1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95">
        <v>8000</v>
      </c>
      <c r="D175">
        <v>661.15702479338847</v>
      </c>
      <c r="E175">
        <v>257.88900000000001</v>
      </c>
      <c r="F175" s="94">
        <v>49.313000000000002</v>
      </c>
      <c r="AB175" s="122" t="str">
        <f>Table6[[#This Row],[WeekNo]]&amp;"-"&amp;Table6[[#This Row],[HR]]</f>
        <v>8-3</v>
      </c>
      <c r="AC175">
        <v>8</v>
      </c>
      <c r="AD175">
        <v>3</v>
      </c>
      <c r="AE175">
        <v>2.3495714323861256</v>
      </c>
    </row>
    <row r="176" spans="1:31">
      <c r="A1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95">
        <v>8000</v>
      </c>
      <c r="D176">
        <v>661.15702479338847</v>
      </c>
      <c r="E176">
        <v>257.88900000000001</v>
      </c>
      <c r="F176" s="94">
        <v>48.841000000000001</v>
      </c>
      <c r="AB176" s="122" t="str">
        <f>Table6[[#This Row],[WeekNo]]&amp;"-"&amp;Table6[[#This Row],[HR]]</f>
        <v>8-4</v>
      </c>
      <c r="AC176">
        <v>8</v>
      </c>
      <c r="AD176">
        <v>4</v>
      </c>
      <c r="AE176">
        <v>2.1924285548073903</v>
      </c>
    </row>
    <row r="177" spans="1:31">
      <c r="A1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95">
        <v>8000</v>
      </c>
      <c r="D177">
        <v>661.15702479338847</v>
      </c>
      <c r="E177">
        <v>257.88900000000001</v>
      </c>
      <c r="F177" s="94">
        <v>49.865000000000002</v>
      </c>
      <c r="AB177" s="122" t="str">
        <f>Table6[[#This Row],[WeekNo]]&amp;"-"&amp;Table6[[#This Row],[HR]]</f>
        <v>8-5</v>
      </c>
      <c r="AC177">
        <v>8</v>
      </c>
      <c r="AD177">
        <v>5</v>
      </c>
      <c r="AE177">
        <v>2.0738571711948941</v>
      </c>
    </row>
    <row r="178" spans="1:31">
      <c r="A1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95">
        <v>8000</v>
      </c>
      <c r="D178">
        <v>661.15702479338847</v>
      </c>
      <c r="E178">
        <v>257.88900000000001</v>
      </c>
      <c r="F178" s="94">
        <v>76.646000000000001</v>
      </c>
      <c r="AB178" s="122" t="str">
        <f>Table6[[#This Row],[WeekNo]]&amp;"-"&amp;Table6[[#This Row],[HR]]</f>
        <v>8-6</v>
      </c>
      <c r="AC178">
        <v>8</v>
      </c>
      <c r="AD178">
        <v>6</v>
      </c>
      <c r="AE178">
        <v>1.9711428540093558</v>
      </c>
    </row>
    <row r="179" spans="1:31">
      <c r="A1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95">
        <v>8000</v>
      </c>
      <c r="D179">
        <v>661.15702479338847</v>
      </c>
      <c r="E179">
        <v>257.88900000000001</v>
      </c>
      <c r="F179" s="94">
        <v>69.753</v>
      </c>
      <c r="AB179" s="122" t="str">
        <f>Table6[[#This Row],[WeekNo]]&amp;"-"&amp;Table6[[#This Row],[HR]]</f>
        <v>8-7</v>
      </c>
      <c r="AC179">
        <v>8</v>
      </c>
      <c r="AD179">
        <v>7</v>
      </c>
      <c r="AE179">
        <v>1.8018571478979928</v>
      </c>
    </row>
    <row r="180" spans="1:31">
      <c r="A1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95">
        <v>8000</v>
      </c>
      <c r="D180">
        <v>661.15702479338847</v>
      </c>
      <c r="E180">
        <v>257.88900000000001</v>
      </c>
      <c r="F180" s="94">
        <v>58.991999999999997</v>
      </c>
      <c r="AB180" s="122" t="str">
        <f>Table6[[#This Row],[WeekNo]]&amp;"-"&amp;Table6[[#This Row],[HR]]</f>
        <v>8-8</v>
      </c>
      <c r="AC180">
        <v>8</v>
      </c>
      <c r="AD180">
        <v>8</v>
      </c>
      <c r="AE180">
        <v>1.7142857142857142</v>
      </c>
    </row>
    <row r="181" spans="1:31">
      <c r="A1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95">
        <v>8000</v>
      </c>
      <c r="D181">
        <v>661.15702479338847</v>
      </c>
      <c r="E181">
        <v>257.88900000000001</v>
      </c>
      <c r="F181" s="94">
        <v>47.634</v>
      </c>
      <c r="AB181" s="122" t="str">
        <f>Table6[[#This Row],[WeekNo]]&amp;"-"&amp;Table6[[#This Row],[HR]]</f>
        <v>8-9</v>
      </c>
      <c r="AC181">
        <v>8</v>
      </c>
      <c r="AD181">
        <v>9</v>
      </c>
      <c r="AE181">
        <v>1.5628571510314941</v>
      </c>
    </row>
    <row r="182" spans="1:31">
      <c r="A1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95">
        <v>8000</v>
      </c>
      <c r="D182">
        <v>661.15702479338847</v>
      </c>
      <c r="E182">
        <v>257.88900000000001</v>
      </c>
      <c r="F182" s="94">
        <v>46.268999999999998</v>
      </c>
      <c r="AB182" s="122" t="str">
        <f>Table6[[#This Row],[WeekNo]]&amp;"-"&amp;Table6[[#This Row],[HR]]</f>
        <v>8-10</v>
      </c>
      <c r="AC182">
        <v>8</v>
      </c>
      <c r="AD182">
        <v>10</v>
      </c>
      <c r="AE182">
        <v>1.4149999959128243</v>
      </c>
    </row>
    <row r="183" spans="1:31">
      <c r="A1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95">
        <v>8000</v>
      </c>
      <c r="D183">
        <v>661.15702479338847</v>
      </c>
      <c r="E183">
        <v>257.88900000000001</v>
      </c>
      <c r="F183" s="94">
        <v>46.139000000000003</v>
      </c>
      <c r="AB183" s="122" t="str">
        <f>Table6[[#This Row],[WeekNo]]&amp;"-"&amp;Table6[[#This Row],[HR]]</f>
        <v>8-11</v>
      </c>
      <c r="AC183">
        <v>8</v>
      </c>
      <c r="AD183">
        <v>11</v>
      </c>
      <c r="AE183">
        <v>1.3002857310431344</v>
      </c>
    </row>
    <row r="184" spans="1:31">
      <c r="A1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95">
        <v>8000</v>
      </c>
      <c r="D184">
        <v>661.15702479338847</v>
      </c>
      <c r="E184">
        <v>257.88900000000001</v>
      </c>
      <c r="F184" s="94">
        <v>46.110999999999997</v>
      </c>
      <c r="AB184" s="122" t="str">
        <f>Table6[[#This Row],[WeekNo]]&amp;"-"&amp;Table6[[#This Row],[HR]]</f>
        <v>8-12</v>
      </c>
      <c r="AC184">
        <v>8</v>
      </c>
      <c r="AD184">
        <v>12</v>
      </c>
      <c r="AE184">
        <v>1.1327142715454102</v>
      </c>
    </row>
    <row r="185" spans="1:31">
      <c r="A1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95">
        <v>8000</v>
      </c>
      <c r="D185">
        <v>661.15702479338847</v>
      </c>
      <c r="E185">
        <v>257.88900000000001</v>
      </c>
      <c r="F185" s="94">
        <v>46.194000000000003</v>
      </c>
      <c r="AB185" s="122" t="str">
        <f>Table6[[#This Row],[WeekNo]]&amp;"-"&amp;Table6[[#This Row],[HR]]</f>
        <v>8-13</v>
      </c>
      <c r="AC185">
        <v>8</v>
      </c>
      <c r="AD185">
        <v>13</v>
      </c>
      <c r="AE185">
        <v>0.98357141869408748</v>
      </c>
    </row>
    <row r="186" spans="1:31">
      <c r="A1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95">
        <v>8000</v>
      </c>
      <c r="D186">
        <v>661.15702479338847</v>
      </c>
      <c r="E186">
        <v>257.88900000000001</v>
      </c>
      <c r="F186" s="94">
        <v>46.253</v>
      </c>
      <c r="AB186" s="122" t="str">
        <f>Table6[[#This Row],[WeekNo]]&amp;"-"&amp;Table6[[#This Row],[HR]]</f>
        <v>8-14</v>
      </c>
      <c r="AC186">
        <v>8</v>
      </c>
      <c r="AD186">
        <v>14</v>
      </c>
      <c r="AE186">
        <v>0.86971429416111534</v>
      </c>
    </row>
    <row r="187" spans="1:31">
      <c r="A1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95">
        <v>12000</v>
      </c>
      <c r="D187">
        <v>991.73553719008271</v>
      </c>
      <c r="E187">
        <v>386.834</v>
      </c>
      <c r="F187" s="94">
        <v>48.540999999999997</v>
      </c>
      <c r="AB187" s="122" t="str">
        <f>Table6[[#This Row],[WeekNo]]&amp;"-"&amp;Table6[[#This Row],[HR]]</f>
        <v>8-15</v>
      </c>
      <c r="AC187">
        <v>8</v>
      </c>
      <c r="AD187">
        <v>15</v>
      </c>
      <c r="AE187">
        <v>0.90028570379529682</v>
      </c>
    </row>
    <row r="188" spans="1:31">
      <c r="A1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95">
        <v>13095.62</v>
      </c>
      <c r="D188">
        <v>1082.2826446280992</v>
      </c>
      <c r="E188">
        <v>422.15300000000002</v>
      </c>
      <c r="F188" s="94">
        <v>57.029000000000003</v>
      </c>
      <c r="AB188" s="122" t="str">
        <f>Table6[[#This Row],[WeekNo]]&amp;"-"&amp;Table6[[#This Row],[HR]]</f>
        <v>8-16</v>
      </c>
      <c r="AC188">
        <v>8</v>
      </c>
      <c r="AD188">
        <v>16</v>
      </c>
      <c r="AE188">
        <v>1.2158571481704712</v>
      </c>
    </row>
    <row r="189" spans="1:31">
      <c r="A1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95">
        <v>13095.62</v>
      </c>
      <c r="D189">
        <v>1082.2826446280992</v>
      </c>
      <c r="E189">
        <v>422.15300000000002</v>
      </c>
      <c r="F189" s="94">
        <v>77.393000000000001</v>
      </c>
      <c r="AB189" s="122" t="str">
        <f>Table6[[#This Row],[WeekNo]]&amp;"-"&amp;Table6[[#This Row],[HR]]</f>
        <v>8-17</v>
      </c>
      <c r="AC189">
        <v>8</v>
      </c>
      <c r="AD189">
        <v>17</v>
      </c>
      <c r="AE189">
        <v>1.6385714156287057</v>
      </c>
    </row>
    <row r="190" spans="1:31">
      <c r="A1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95">
        <v>13095.62</v>
      </c>
      <c r="D190">
        <v>1082.2826446280992</v>
      </c>
      <c r="E190">
        <v>422.15300000000002</v>
      </c>
      <c r="F190" s="94">
        <v>104.131</v>
      </c>
      <c r="AB190" s="122" t="str">
        <f>Table6[[#This Row],[WeekNo]]&amp;"-"&amp;Table6[[#This Row],[HR]]</f>
        <v>8-18</v>
      </c>
      <c r="AC190">
        <v>8</v>
      </c>
      <c r="AD190">
        <v>18</v>
      </c>
      <c r="AE190">
        <v>2.1335714374269759</v>
      </c>
    </row>
    <row r="191" spans="1:31">
      <c r="A1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95">
        <v>13095.62</v>
      </c>
      <c r="D191">
        <v>1082.2826446280992</v>
      </c>
      <c r="E191">
        <v>422.15300000000002</v>
      </c>
      <c r="F191" s="94">
        <v>101.58</v>
      </c>
      <c r="AB191" s="122" t="str">
        <f>Table6[[#This Row],[WeekNo]]&amp;"-"&amp;Table6[[#This Row],[HR]]</f>
        <v>8-19</v>
      </c>
      <c r="AC191">
        <v>8</v>
      </c>
      <c r="AD191">
        <v>19</v>
      </c>
      <c r="AE191">
        <v>2.4782857213701521</v>
      </c>
    </row>
    <row r="192" spans="1:31">
      <c r="A1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95">
        <v>13095.62</v>
      </c>
      <c r="D192">
        <v>1082.2826446280992</v>
      </c>
      <c r="E192">
        <v>422.15300000000002</v>
      </c>
      <c r="F192" s="94">
        <v>95.641999999999996</v>
      </c>
      <c r="AB192" s="122" t="str">
        <f>Table6[[#This Row],[WeekNo]]&amp;"-"&amp;Table6[[#This Row],[HR]]</f>
        <v>8-20</v>
      </c>
      <c r="AC192">
        <v>8</v>
      </c>
      <c r="AD192">
        <v>20</v>
      </c>
      <c r="AE192">
        <v>2.6718571526663646</v>
      </c>
    </row>
    <row r="193" spans="1:31">
      <c r="A1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95">
        <v>11161.307000000001</v>
      </c>
      <c r="D193">
        <v>922.42206611570259</v>
      </c>
      <c r="E193">
        <v>359.798</v>
      </c>
      <c r="F193" s="94">
        <v>85.114999999999995</v>
      </c>
      <c r="AB193" s="122" t="str">
        <f>Table6[[#This Row],[WeekNo]]&amp;"-"&amp;Table6[[#This Row],[HR]]</f>
        <v>8-21</v>
      </c>
      <c r="AC193">
        <v>8</v>
      </c>
      <c r="AD193">
        <v>21</v>
      </c>
      <c r="AE193">
        <v>2.730428559439523</v>
      </c>
    </row>
    <row r="194" spans="1:31">
      <c r="A1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95">
        <v>8661.3070000000007</v>
      </c>
      <c r="D194">
        <v>715.81049586776862</v>
      </c>
      <c r="E194">
        <v>279.20699999999999</v>
      </c>
      <c r="F194" s="94">
        <v>51.753999999999998</v>
      </c>
      <c r="AB194" s="122" t="str">
        <f>Table6[[#This Row],[WeekNo]]&amp;"-"&amp;Table6[[#This Row],[HR]]</f>
        <v>8-22</v>
      </c>
      <c r="AC194">
        <v>8</v>
      </c>
      <c r="AD194">
        <v>22</v>
      </c>
      <c r="AE194">
        <v>2.702714272907802</v>
      </c>
    </row>
    <row r="195" spans="1:31">
      <c r="A1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95">
        <v>8000</v>
      </c>
      <c r="D195">
        <v>661.15702479338847</v>
      </c>
      <c r="E195">
        <v>257.88900000000001</v>
      </c>
      <c r="F195" s="94">
        <v>50.317</v>
      </c>
      <c r="AB195" s="122" t="str">
        <f>Table6[[#This Row],[WeekNo]]&amp;"-"&amp;Table6[[#This Row],[HR]]</f>
        <v>8-23</v>
      </c>
      <c r="AC195">
        <v>8</v>
      </c>
      <c r="AD195">
        <v>23</v>
      </c>
      <c r="AE195">
        <v>2.7027143069675992</v>
      </c>
    </row>
    <row r="196" spans="1:31">
      <c r="A1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95">
        <v>8000</v>
      </c>
      <c r="D196">
        <v>661.15702479338847</v>
      </c>
      <c r="E196">
        <v>257.88900000000001</v>
      </c>
      <c r="F196" s="94">
        <v>49.192999999999998</v>
      </c>
      <c r="AB196" s="122" t="str">
        <f>Table6[[#This Row],[WeekNo]]&amp;"-"&amp;Table6[[#This Row],[HR]]</f>
        <v>9-0</v>
      </c>
      <c r="AC196">
        <v>9</v>
      </c>
      <c r="AD196">
        <v>0</v>
      </c>
      <c r="AE196">
        <v>2.4424285888671875</v>
      </c>
    </row>
    <row r="197" spans="1:31">
      <c r="A1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95">
        <v>8000</v>
      </c>
      <c r="D197">
        <v>661.15702479338847</v>
      </c>
      <c r="E197">
        <v>257.88900000000001</v>
      </c>
      <c r="F197" s="94">
        <v>49.393000000000001</v>
      </c>
      <c r="AB197" s="122" t="str">
        <f>Table6[[#This Row],[WeekNo]]&amp;"-"&amp;Table6[[#This Row],[HR]]</f>
        <v>9-1</v>
      </c>
      <c r="AC197">
        <v>9</v>
      </c>
      <c r="AD197">
        <v>1</v>
      </c>
      <c r="AE197">
        <v>2.3764285360063826</v>
      </c>
    </row>
    <row r="198" spans="1:31">
      <c r="A1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95">
        <v>8000</v>
      </c>
      <c r="D198">
        <v>661.15702479338847</v>
      </c>
      <c r="E198">
        <v>257.88900000000001</v>
      </c>
      <c r="F198" s="94">
        <v>49.14</v>
      </c>
      <c r="AB198" s="122" t="str">
        <f>Table6[[#This Row],[WeekNo]]&amp;"-"&amp;Table6[[#This Row],[HR]]</f>
        <v>9-2</v>
      </c>
      <c r="AC198">
        <v>9</v>
      </c>
      <c r="AD198">
        <v>2</v>
      </c>
      <c r="AE198">
        <v>2.2488571235111783</v>
      </c>
    </row>
    <row r="199" spans="1:31">
      <c r="A1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95">
        <v>8000</v>
      </c>
      <c r="D199">
        <v>661.15702479338847</v>
      </c>
      <c r="E199">
        <v>257.88900000000001</v>
      </c>
      <c r="F199" s="94">
        <v>48.978999999999999</v>
      </c>
      <c r="AB199" s="122" t="str">
        <f>Table6[[#This Row],[WeekNo]]&amp;"-"&amp;Table6[[#This Row],[HR]]</f>
        <v>9-3</v>
      </c>
      <c r="AC199">
        <v>9</v>
      </c>
      <c r="AD199">
        <v>3</v>
      </c>
      <c r="AE199">
        <v>2.1057142530168806</v>
      </c>
    </row>
    <row r="200" spans="1:31">
      <c r="A2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95">
        <v>8000</v>
      </c>
      <c r="D200">
        <v>661.15702479338847</v>
      </c>
      <c r="E200">
        <v>257.88900000000001</v>
      </c>
      <c r="F200" s="94">
        <v>48.445999999999998</v>
      </c>
      <c r="AB200" s="122" t="str">
        <f>Table6[[#This Row],[WeekNo]]&amp;"-"&amp;Table6[[#This Row],[HR]]</f>
        <v>9-4</v>
      </c>
      <c r="AC200">
        <v>9</v>
      </c>
      <c r="AD200">
        <v>4</v>
      </c>
      <c r="AE200">
        <v>1.956142851284572</v>
      </c>
    </row>
    <row r="201" spans="1:31">
      <c r="A2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95">
        <v>8000</v>
      </c>
      <c r="D201">
        <v>661.15702479338847</v>
      </c>
      <c r="E201">
        <v>257.88900000000001</v>
      </c>
      <c r="F201" s="94">
        <v>48.991999999999997</v>
      </c>
      <c r="AB201" s="122" t="str">
        <f>Table6[[#This Row],[WeekNo]]&amp;"-"&amp;Table6[[#This Row],[HR]]</f>
        <v>9-5</v>
      </c>
      <c r="AC201">
        <v>9</v>
      </c>
      <c r="AD201">
        <v>5</v>
      </c>
      <c r="AE201">
        <v>1.8435714244842529</v>
      </c>
    </row>
    <row r="202" spans="1:31">
      <c r="A2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95">
        <v>8000</v>
      </c>
      <c r="D202">
        <v>661.15702479338847</v>
      </c>
      <c r="E202">
        <v>257.88900000000001</v>
      </c>
      <c r="F202" s="94">
        <v>77.492000000000004</v>
      </c>
      <c r="AB202" s="122" t="str">
        <f>Table6[[#This Row],[WeekNo]]&amp;"-"&amp;Table6[[#This Row],[HR]]</f>
        <v>9-6</v>
      </c>
      <c r="AC202">
        <v>9</v>
      </c>
      <c r="AD202">
        <v>6</v>
      </c>
      <c r="AE202">
        <v>1.7435714176722936</v>
      </c>
    </row>
    <row r="203" spans="1:31">
      <c r="A2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95">
        <v>8000</v>
      </c>
      <c r="D203">
        <v>661.15702479338847</v>
      </c>
      <c r="E203">
        <v>257.88900000000001</v>
      </c>
      <c r="F203" s="94">
        <v>59.267000000000003</v>
      </c>
      <c r="AB203" s="122" t="str">
        <f>Table6[[#This Row],[WeekNo]]&amp;"-"&amp;Table6[[#This Row],[HR]]</f>
        <v>9-7</v>
      </c>
      <c r="AC203">
        <v>9</v>
      </c>
      <c r="AD203">
        <v>7</v>
      </c>
      <c r="AE203">
        <v>1.5834285702024187</v>
      </c>
    </row>
    <row r="204" spans="1:31">
      <c r="A2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95">
        <v>8000</v>
      </c>
      <c r="D204">
        <v>661.15702479338847</v>
      </c>
      <c r="E204">
        <v>257.88900000000001</v>
      </c>
      <c r="F204" s="94">
        <v>50.845999999999997</v>
      </c>
      <c r="AB204" s="122" t="str">
        <f>Table6[[#This Row],[WeekNo]]&amp;"-"&amp;Table6[[#This Row],[HR]]</f>
        <v>9-8</v>
      </c>
      <c r="AC204">
        <v>9</v>
      </c>
      <c r="AD204">
        <v>8</v>
      </c>
      <c r="AE204">
        <v>1.5194285767418998</v>
      </c>
    </row>
    <row r="205" spans="1:31">
      <c r="A2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95">
        <v>8000</v>
      </c>
      <c r="D205">
        <v>661.15702479338847</v>
      </c>
      <c r="E205">
        <v>257.88900000000001</v>
      </c>
      <c r="F205" s="94">
        <v>46.298999999999999</v>
      </c>
      <c r="AB205" s="122" t="str">
        <f>Table6[[#This Row],[WeekNo]]&amp;"-"&amp;Table6[[#This Row],[HR]]</f>
        <v>9-9</v>
      </c>
      <c r="AC205">
        <v>9</v>
      </c>
      <c r="AD205">
        <v>9</v>
      </c>
      <c r="AE205">
        <v>1.3778571401323592</v>
      </c>
    </row>
    <row r="206" spans="1:31">
      <c r="A2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95">
        <v>8000</v>
      </c>
      <c r="D206">
        <v>661.15702479338847</v>
      </c>
      <c r="E206">
        <v>257.88900000000001</v>
      </c>
      <c r="F206" s="94">
        <v>46.225000000000001</v>
      </c>
      <c r="AB206" s="122" t="str">
        <f>Table6[[#This Row],[WeekNo]]&amp;"-"&amp;Table6[[#This Row],[HR]]</f>
        <v>9-10</v>
      </c>
      <c r="AC206">
        <v>9</v>
      </c>
      <c r="AD206">
        <v>10</v>
      </c>
      <c r="AE206">
        <v>1.2395714351109095</v>
      </c>
    </row>
    <row r="207" spans="1:31">
      <c r="A2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95">
        <v>8000</v>
      </c>
      <c r="D207">
        <v>661.15702479338847</v>
      </c>
      <c r="E207">
        <v>257.88900000000001</v>
      </c>
      <c r="F207" s="94">
        <v>46.226999999999997</v>
      </c>
      <c r="AB207" s="122" t="str">
        <f>Table6[[#This Row],[WeekNo]]&amp;"-"&amp;Table6[[#This Row],[HR]]</f>
        <v>9-11</v>
      </c>
      <c r="AC207">
        <v>9</v>
      </c>
      <c r="AD207">
        <v>11</v>
      </c>
      <c r="AE207">
        <v>1.1261428764888219</v>
      </c>
    </row>
    <row r="208" spans="1:31">
      <c r="A2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95">
        <v>8000</v>
      </c>
      <c r="D208">
        <v>661.15702479338847</v>
      </c>
      <c r="E208">
        <v>257.88900000000001</v>
      </c>
      <c r="F208" s="94">
        <v>46.256</v>
      </c>
      <c r="AB208" s="122" t="str">
        <f>Table6[[#This Row],[WeekNo]]&amp;"-"&amp;Table6[[#This Row],[HR]]</f>
        <v>9-12</v>
      </c>
      <c r="AC208">
        <v>9</v>
      </c>
      <c r="AD208">
        <v>12</v>
      </c>
      <c r="AE208">
        <v>0.97528570038931706</v>
      </c>
    </row>
    <row r="209" spans="1:31">
      <c r="A2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95">
        <v>8000</v>
      </c>
      <c r="D209">
        <v>661.15702479338847</v>
      </c>
      <c r="E209">
        <v>257.88900000000001</v>
      </c>
      <c r="F209" s="94">
        <v>46.32</v>
      </c>
      <c r="AB209" s="122" t="str">
        <f>Table6[[#This Row],[WeekNo]]&amp;"-"&amp;Table6[[#This Row],[HR]]</f>
        <v>9-13</v>
      </c>
      <c r="AC209">
        <v>9</v>
      </c>
      <c r="AD209">
        <v>13</v>
      </c>
      <c r="AE209">
        <v>0.83557144233158653</v>
      </c>
    </row>
    <row r="210" spans="1:31">
      <c r="A2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95">
        <v>8000</v>
      </c>
      <c r="D210">
        <v>661.15702479338847</v>
      </c>
      <c r="E210">
        <v>257.88900000000001</v>
      </c>
      <c r="F210" s="94">
        <v>48.832999999999998</v>
      </c>
      <c r="AB210" s="122" t="str">
        <f>Table6[[#This Row],[WeekNo]]&amp;"-"&amp;Table6[[#This Row],[HR]]</f>
        <v>9-14</v>
      </c>
      <c r="AC210">
        <v>9</v>
      </c>
      <c r="AD210">
        <v>14</v>
      </c>
      <c r="AE210">
        <v>0.71842856918062481</v>
      </c>
    </row>
    <row r="211" spans="1:31">
      <c r="A2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95">
        <v>12000</v>
      </c>
      <c r="D211">
        <v>991.73553719008271</v>
      </c>
      <c r="E211">
        <v>386.834</v>
      </c>
      <c r="F211" s="94">
        <v>54.095999999999997</v>
      </c>
      <c r="AB211" s="122" t="str">
        <f>Table6[[#This Row],[WeekNo]]&amp;"-"&amp;Table6[[#This Row],[HR]]</f>
        <v>9-15</v>
      </c>
      <c r="AC211">
        <v>9</v>
      </c>
      <c r="AD211">
        <v>15</v>
      </c>
      <c r="AE211">
        <v>0.71542857374463764</v>
      </c>
    </row>
    <row r="212" spans="1:31">
      <c r="A2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95">
        <v>13095.62</v>
      </c>
      <c r="D212">
        <v>1082.2826446280992</v>
      </c>
      <c r="E212">
        <v>422.15300000000002</v>
      </c>
      <c r="F212" s="94">
        <v>71.353999999999999</v>
      </c>
      <c r="AB212" s="122" t="str">
        <f>Table6[[#This Row],[WeekNo]]&amp;"-"&amp;Table6[[#This Row],[HR]]</f>
        <v>9-16</v>
      </c>
      <c r="AC212">
        <v>9</v>
      </c>
      <c r="AD212">
        <v>16</v>
      </c>
      <c r="AE212">
        <v>1.0005714382444109</v>
      </c>
    </row>
    <row r="213" spans="1:31">
      <c r="A2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95">
        <v>13095.62</v>
      </c>
      <c r="D213">
        <v>1082.2826446280992</v>
      </c>
      <c r="E213">
        <v>422.15300000000002</v>
      </c>
      <c r="F213" s="94">
        <v>93.861000000000004</v>
      </c>
      <c r="AB213" s="122" t="str">
        <f>Table6[[#This Row],[WeekNo]]&amp;"-"&amp;Table6[[#This Row],[HR]]</f>
        <v>9-17</v>
      </c>
      <c r="AC213">
        <v>9</v>
      </c>
      <c r="AD213">
        <v>17</v>
      </c>
      <c r="AE213">
        <v>1.4091428688594274</v>
      </c>
    </row>
    <row r="214" spans="1:31">
      <c r="A2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95">
        <v>13095.62</v>
      </c>
      <c r="D214">
        <v>1082.2826446280992</v>
      </c>
      <c r="E214">
        <v>422.15300000000002</v>
      </c>
      <c r="F214" s="94">
        <v>111.821</v>
      </c>
      <c r="AB214" s="122" t="str">
        <f>Table6[[#This Row],[WeekNo]]&amp;"-"&amp;Table6[[#This Row],[HR]]</f>
        <v>9-18</v>
      </c>
      <c r="AC214">
        <v>9</v>
      </c>
      <c r="AD214">
        <v>18</v>
      </c>
      <c r="AE214">
        <v>1.9017142908913749</v>
      </c>
    </row>
    <row r="215" spans="1:31">
      <c r="A2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95">
        <v>13095.62</v>
      </c>
      <c r="D215">
        <v>1082.2826446280992</v>
      </c>
      <c r="E215">
        <v>422.15300000000002</v>
      </c>
      <c r="F215" s="94">
        <v>115.958</v>
      </c>
      <c r="AB215" s="122" t="str">
        <f>Table6[[#This Row],[WeekNo]]&amp;"-"&amp;Table6[[#This Row],[HR]]</f>
        <v>9-19</v>
      </c>
      <c r="AC215">
        <v>9</v>
      </c>
      <c r="AD215">
        <v>19</v>
      </c>
      <c r="AE215">
        <v>2.2652856963021413</v>
      </c>
    </row>
    <row r="216" spans="1:31">
      <c r="A2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95">
        <v>11835.371999999999</v>
      </c>
      <c r="D216">
        <v>978.12991735537184</v>
      </c>
      <c r="E216">
        <v>381.52699999999999</v>
      </c>
      <c r="F216" s="94">
        <v>110.28700000000001</v>
      </c>
      <c r="AB216" s="122" t="str">
        <f>Table6[[#This Row],[WeekNo]]&amp;"-"&amp;Table6[[#This Row],[HR]]</f>
        <v>9-20</v>
      </c>
      <c r="AC216">
        <v>9</v>
      </c>
      <c r="AD216">
        <v>20</v>
      </c>
      <c r="AE216">
        <v>2.4488571711948941</v>
      </c>
    </row>
    <row r="217" spans="1:31">
      <c r="A2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95">
        <v>10114.165000000001</v>
      </c>
      <c r="D217">
        <v>835.88140495867776</v>
      </c>
      <c r="E217">
        <v>326.04199999999997</v>
      </c>
      <c r="F217" s="94">
        <v>93.088999999999999</v>
      </c>
      <c r="AB217" s="122" t="str">
        <f>Table6[[#This Row],[WeekNo]]&amp;"-"&amp;Table6[[#This Row],[HR]]</f>
        <v>9-21</v>
      </c>
      <c r="AC217">
        <v>9</v>
      </c>
      <c r="AD217">
        <v>21</v>
      </c>
      <c r="AE217">
        <v>2.5055713994162425</v>
      </c>
    </row>
    <row r="218" spans="1:31">
      <c r="A2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95">
        <v>8000</v>
      </c>
      <c r="D218">
        <v>661.15702479338847</v>
      </c>
      <c r="E218">
        <v>257.88900000000001</v>
      </c>
      <c r="F218" s="94">
        <v>56.322000000000003</v>
      </c>
      <c r="AB218" s="122" t="str">
        <f>Table6[[#This Row],[WeekNo]]&amp;"-"&amp;Table6[[#This Row],[HR]]</f>
        <v>9-22</v>
      </c>
      <c r="AC218">
        <v>9</v>
      </c>
      <c r="AD218">
        <v>22</v>
      </c>
      <c r="AE218">
        <v>2.4671428544180736</v>
      </c>
    </row>
    <row r="219" spans="1:31">
      <c r="A2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95">
        <v>8000</v>
      </c>
      <c r="D219">
        <v>661.15702479338847</v>
      </c>
      <c r="E219">
        <v>257.88900000000001</v>
      </c>
      <c r="F219" s="94">
        <v>54.856999999999999</v>
      </c>
      <c r="AB219" s="122" t="str">
        <f>Table6[[#This Row],[WeekNo]]&amp;"-"&amp;Table6[[#This Row],[HR]]</f>
        <v>9-23</v>
      </c>
      <c r="AC219">
        <v>9</v>
      </c>
      <c r="AD219">
        <v>23</v>
      </c>
      <c r="AE219">
        <v>2.4559999534061978</v>
      </c>
    </row>
    <row r="220" spans="1:31">
      <c r="A2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92">
        <v>45933</v>
      </c>
      <c r="C220" s="95">
        <v>6120.0810000000001</v>
      </c>
      <c r="D220">
        <v>505.7918181818182</v>
      </c>
      <c r="E220">
        <v>196.33199999999999</v>
      </c>
      <c r="F220" s="94">
        <v>45.024000000000001</v>
      </c>
      <c r="AB220" s="122" t="str">
        <f>Table6[[#This Row],[WeekNo]]&amp;"-"&amp;Table6[[#This Row],[HR]]</f>
        <v>10-0</v>
      </c>
      <c r="AC220">
        <v>10</v>
      </c>
      <c r="AD220">
        <v>0</v>
      </c>
      <c r="AE220">
        <v>2.2702856745038713</v>
      </c>
    </row>
    <row r="221" spans="1:31">
      <c r="A2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95">
        <v>6120.0810000000001</v>
      </c>
      <c r="D221">
        <v>505.7918181818182</v>
      </c>
      <c r="E221">
        <v>196.33199999999999</v>
      </c>
      <c r="F221" s="94">
        <v>44.981000000000002</v>
      </c>
      <c r="AB221" s="122" t="str">
        <f>Table6[[#This Row],[WeekNo]]&amp;"-"&amp;Table6[[#This Row],[HR]]</f>
        <v>10-1</v>
      </c>
      <c r="AC221">
        <v>10</v>
      </c>
      <c r="AD221">
        <v>1</v>
      </c>
      <c r="AE221">
        <v>2.2084285531725203</v>
      </c>
    </row>
    <row r="222" spans="1:31">
      <c r="A2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95">
        <v>6120.0810000000001</v>
      </c>
      <c r="D222">
        <v>505.7918181818182</v>
      </c>
      <c r="E222">
        <v>196.33199999999999</v>
      </c>
      <c r="F222" s="94">
        <v>44.956000000000003</v>
      </c>
      <c r="AB222" s="122" t="str">
        <f>Table6[[#This Row],[WeekNo]]&amp;"-"&amp;Table6[[#This Row],[HR]]</f>
        <v>10-2</v>
      </c>
      <c r="AC222">
        <v>10</v>
      </c>
      <c r="AD222">
        <v>2</v>
      </c>
      <c r="AE222">
        <v>2.083142876625061</v>
      </c>
    </row>
    <row r="223" spans="1:31">
      <c r="A2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95">
        <v>6120.0810000000001</v>
      </c>
      <c r="D223">
        <v>505.7918181818182</v>
      </c>
      <c r="E223">
        <v>196.33199999999999</v>
      </c>
      <c r="F223" s="94">
        <v>45.073</v>
      </c>
      <c r="AB223" s="122" t="str">
        <f>Table6[[#This Row],[WeekNo]]&amp;"-"&amp;Table6[[#This Row],[HR]]</f>
        <v>10-3</v>
      </c>
      <c r="AC223">
        <v>10</v>
      </c>
      <c r="AD223">
        <v>3</v>
      </c>
      <c r="AE223">
        <v>1.9411428485597884</v>
      </c>
    </row>
    <row r="224" spans="1:31">
      <c r="A2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95">
        <v>6120.0810000000001</v>
      </c>
      <c r="D224">
        <v>505.7918181818182</v>
      </c>
      <c r="E224">
        <v>196.33199999999999</v>
      </c>
      <c r="F224" s="94">
        <v>45.314</v>
      </c>
      <c r="AB224" s="122" t="str">
        <f>Table6[[#This Row],[WeekNo]]&amp;"-"&amp;Table6[[#This Row],[HR]]</f>
        <v>10-4</v>
      </c>
      <c r="AC224">
        <v>10</v>
      </c>
      <c r="AD224">
        <v>4</v>
      </c>
      <c r="AE224">
        <v>1.7910000085830688</v>
      </c>
    </row>
    <row r="225" spans="1:31">
      <c r="A2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95">
        <v>9320.8880000000008</v>
      </c>
      <c r="D225">
        <v>770.32132231404967</v>
      </c>
      <c r="E225">
        <v>299.01299999999998</v>
      </c>
      <c r="F225" s="94">
        <v>46.274999999999999</v>
      </c>
      <c r="AB225" s="122" t="str">
        <f>Table6[[#This Row],[WeekNo]]&amp;"-"&amp;Table6[[#This Row],[HR]]</f>
        <v>10-5</v>
      </c>
      <c r="AC225">
        <v>10</v>
      </c>
      <c r="AD225">
        <v>5</v>
      </c>
      <c r="AE225">
        <v>1.6772857052939278</v>
      </c>
    </row>
    <row r="226" spans="1:31">
      <c r="A2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95">
        <v>9320.8880000000008</v>
      </c>
      <c r="D226">
        <v>770.32132231404967</v>
      </c>
      <c r="E226">
        <v>299.01299999999998</v>
      </c>
      <c r="F226" s="94">
        <v>48.290999999999997</v>
      </c>
      <c r="AB226" s="122" t="str">
        <f>Table6[[#This Row],[WeekNo]]&amp;"-"&amp;Table6[[#This Row],[HR]]</f>
        <v>10-6</v>
      </c>
      <c r="AC226">
        <v>10</v>
      </c>
      <c r="AD226">
        <v>6</v>
      </c>
      <c r="AE226">
        <v>1.5761428390230452</v>
      </c>
    </row>
    <row r="227" spans="1:31">
      <c r="A2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95">
        <v>8000</v>
      </c>
      <c r="D227">
        <v>661.15702479338847</v>
      </c>
      <c r="E227">
        <v>256.63900000000001</v>
      </c>
      <c r="F227" s="94">
        <v>48.445999999999998</v>
      </c>
      <c r="AB227" s="122" t="str">
        <f>Table6[[#This Row],[WeekNo]]&amp;"-"&amp;Table6[[#This Row],[HR]]</f>
        <v>10-7</v>
      </c>
      <c r="AC227">
        <v>10</v>
      </c>
      <c r="AD227">
        <v>7</v>
      </c>
      <c r="AE227">
        <v>1.4162857021604265</v>
      </c>
    </row>
    <row r="228" spans="1:31">
      <c r="A2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95">
        <v>8000</v>
      </c>
      <c r="D228">
        <v>661.15702479338847</v>
      </c>
      <c r="E228">
        <v>256.63900000000001</v>
      </c>
      <c r="F228" s="94">
        <v>46.247</v>
      </c>
      <c r="AB228" s="122" t="str">
        <f>Table6[[#This Row],[WeekNo]]&amp;"-"&amp;Table6[[#This Row],[HR]]</f>
        <v>10-8</v>
      </c>
      <c r="AC228">
        <v>10</v>
      </c>
      <c r="AD228">
        <v>8</v>
      </c>
      <c r="AE228">
        <v>1.3535714490073067</v>
      </c>
    </row>
    <row r="229" spans="1:31">
      <c r="A2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95">
        <v>8000</v>
      </c>
      <c r="D229">
        <v>661.15702479338847</v>
      </c>
      <c r="E229">
        <v>256.63900000000001</v>
      </c>
      <c r="F229" s="94">
        <v>44.862000000000002</v>
      </c>
      <c r="AB229" s="122" t="str">
        <f>Table6[[#This Row],[WeekNo]]&amp;"-"&amp;Table6[[#This Row],[HR]]</f>
        <v>10-9</v>
      </c>
      <c r="AC229">
        <v>10</v>
      </c>
      <c r="AD229">
        <v>9</v>
      </c>
      <c r="AE229">
        <v>1.21599999495915</v>
      </c>
    </row>
    <row r="230" spans="1:31">
      <c r="A2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95">
        <v>8000</v>
      </c>
      <c r="D230">
        <v>661.15702479338847</v>
      </c>
      <c r="E230">
        <v>256.63900000000001</v>
      </c>
      <c r="F230" s="94">
        <v>44.749000000000002</v>
      </c>
      <c r="AB230" s="122" t="str">
        <f>Table6[[#This Row],[WeekNo]]&amp;"-"&amp;Table6[[#This Row],[HR]]</f>
        <v>10-10</v>
      </c>
      <c r="AC230">
        <v>10</v>
      </c>
      <c r="AD230">
        <v>10</v>
      </c>
      <c r="AE230">
        <v>1.082714285169329</v>
      </c>
    </row>
    <row r="231" spans="1:31">
      <c r="A2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95">
        <v>8000</v>
      </c>
      <c r="D231">
        <v>661.15702479338847</v>
      </c>
      <c r="E231">
        <v>256.63900000000001</v>
      </c>
      <c r="F231" s="94">
        <v>44.676000000000002</v>
      </c>
      <c r="AB231" s="122" t="str">
        <f>Table6[[#This Row],[WeekNo]]&amp;"-"&amp;Table6[[#This Row],[HR]]</f>
        <v>10-11</v>
      </c>
      <c r="AC231">
        <v>10</v>
      </c>
      <c r="AD231">
        <v>11</v>
      </c>
      <c r="AE231">
        <v>0.97514285360063824</v>
      </c>
    </row>
    <row r="232" spans="1:31">
      <c r="A2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95">
        <v>8000</v>
      </c>
      <c r="D232">
        <v>661.15702479338847</v>
      </c>
      <c r="E232">
        <v>256.63900000000001</v>
      </c>
      <c r="F232" s="94">
        <v>44.642000000000003</v>
      </c>
      <c r="AB232" s="122" t="str">
        <f>Table6[[#This Row],[WeekNo]]&amp;"-"&amp;Table6[[#This Row],[HR]]</f>
        <v>10-12</v>
      </c>
      <c r="AC232">
        <v>10</v>
      </c>
      <c r="AD232">
        <v>12</v>
      </c>
      <c r="AE232">
        <v>0.82942857061113628</v>
      </c>
    </row>
    <row r="233" spans="1:31">
      <c r="A2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95">
        <v>8000</v>
      </c>
      <c r="D233">
        <v>661.15702479338847</v>
      </c>
      <c r="E233">
        <v>256.63900000000001</v>
      </c>
      <c r="F233" s="94">
        <v>44.646999999999998</v>
      </c>
      <c r="AB233" s="122" t="str">
        <f>Table6[[#This Row],[WeekNo]]&amp;"-"&amp;Table6[[#This Row],[HR]]</f>
        <v>10-13</v>
      </c>
      <c r="AC233">
        <v>10</v>
      </c>
      <c r="AD233">
        <v>13</v>
      </c>
      <c r="AE233">
        <v>0.69342857599258423</v>
      </c>
    </row>
    <row r="234" spans="1:31">
      <c r="A2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95">
        <v>8000</v>
      </c>
      <c r="D234">
        <v>661.15702479338847</v>
      </c>
      <c r="E234">
        <v>256.63900000000001</v>
      </c>
      <c r="F234" s="94">
        <v>44.688000000000002</v>
      </c>
      <c r="AB234" s="122" t="str">
        <f>Table6[[#This Row],[WeekNo]]&amp;"-"&amp;Table6[[#This Row],[HR]]</f>
        <v>10-14</v>
      </c>
      <c r="AC234">
        <v>10</v>
      </c>
      <c r="AD234">
        <v>14</v>
      </c>
      <c r="AE234">
        <v>0.57800000480243141</v>
      </c>
    </row>
    <row r="235" spans="1:31">
      <c r="A2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95">
        <v>8000</v>
      </c>
      <c r="D235">
        <v>661.15702479338847</v>
      </c>
      <c r="E235">
        <v>256.63900000000001</v>
      </c>
      <c r="F235" s="94">
        <v>44.777000000000001</v>
      </c>
      <c r="AB235" s="122" t="str">
        <f>Table6[[#This Row],[WeekNo]]&amp;"-"&amp;Table6[[#This Row],[HR]]</f>
        <v>10-15</v>
      </c>
      <c r="AC235">
        <v>10</v>
      </c>
      <c r="AD235">
        <v>15</v>
      </c>
      <c r="AE235">
        <v>0.56385713389941627</v>
      </c>
    </row>
    <row r="236" spans="1:31">
      <c r="A2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95">
        <v>8000</v>
      </c>
      <c r="D236">
        <v>661.15702479338847</v>
      </c>
      <c r="E236">
        <v>256.63900000000001</v>
      </c>
      <c r="F236" s="94">
        <v>45.101999999999997</v>
      </c>
      <c r="AB236" s="122" t="str">
        <f>Table6[[#This Row],[WeekNo]]&amp;"-"&amp;Table6[[#This Row],[HR]]</f>
        <v>10-16</v>
      </c>
      <c r="AC236">
        <v>10</v>
      </c>
      <c r="AD236">
        <v>16</v>
      </c>
      <c r="AE236">
        <v>0.83414285523550846</v>
      </c>
    </row>
    <row r="237" spans="1:31">
      <c r="A2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95">
        <v>8000</v>
      </c>
      <c r="D237">
        <v>661.15702479338847</v>
      </c>
      <c r="E237">
        <v>256.63900000000001</v>
      </c>
      <c r="F237" s="94">
        <v>47.256</v>
      </c>
      <c r="AB237" s="122" t="str">
        <f>Table6[[#This Row],[WeekNo]]&amp;"-"&amp;Table6[[#This Row],[HR]]</f>
        <v>10-17</v>
      </c>
      <c r="AC237">
        <v>10</v>
      </c>
      <c r="AD237">
        <v>17</v>
      </c>
      <c r="AE237">
        <v>1.2335714272090368</v>
      </c>
    </row>
    <row r="238" spans="1:31">
      <c r="A2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95">
        <v>10440.081</v>
      </c>
      <c r="D238">
        <v>862.81661157024791</v>
      </c>
      <c r="E238">
        <v>334.91699999999997</v>
      </c>
      <c r="F238" s="94">
        <v>49.136000000000003</v>
      </c>
      <c r="AB238" s="122" t="str">
        <f>Table6[[#This Row],[WeekNo]]&amp;"-"&amp;Table6[[#This Row],[HR]]</f>
        <v>10-18</v>
      </c>
      <c r="AC238">
        <v>10</v>
      </c>
      <c r="AD238">
        <v>18</v>
      </c>
      <c r="AE238">
        <v>1.6985714265278407</v>
      </c>
    </row>
    <row r="239" spans="1:31">
      <c r="A2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95">
        <v>10440.081</v>
      </c>
      <c r="D239">
        <v>862.81661157024791</v>
      </c>
      <c r="E239">
        <v>334.91699999999997</v>
      </c>
      <c r="F239" s="94">
        <v>49.485999999999997</v>
      </c>
      <c r="AB239" s="122" t="str">
        <f>Table6[[#This Row],[WeekNo]]&amp;"-"&amp;Table6[[#This Row],[HR]]</f>
        <v>10-19</v>
      </c>
      <c r="AC239">
        <v>10</v>
      </c>
      <c r="AD239">
        <v>19</v>
      </c>
      <c r="AE239">
        <v>2.0531428711754933</v>
      </c>
    </row>
    <row r="240" spans="1:31">
      <c r="A2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95">
        <v>10440.081</v>
      </c>
      <c r="D240">
        <v>862.81661157024791</v>
      </c>
      <c r="E240">
        <v>334.91699999999997</v>
      </c>
      <c r="F240" s="94">
        <v>49.192</v>
      </c>
      <c r="AB240" s="122" t="str">
        <f>Table6[[#This Row],[WeekNo]]&amp;"-"&amp;Table6[[#This Row],[HR]]</f>
        <v>10-20</v>
      </c>
      <c r="AC240">
        <v>10</v>
      </c>
      <c r="AD240">
        <v>20</v>
      </c>
      <c r="AE240">
        <v>2.2329999378749301</v>
      </c>
    </row>
    <row r="241" spans="1:31">
      <c r="A2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95">
        <v>7940.0810000000001</v>
      </c>
      <c r="D241">
        <v>656.20504132231406</v>
      </c>
      <c r="E241">
        <v>254.71700000000001</v>
      </c>
      <c r="F241" s="94">
        <v>48.408999999999999</v>
      </c>
      <c r="AB241" s="122" t="str">
        <f>Table6[[#This Row],[WeekNo]]&amp;"-"&amp;Table6[[#This Row],[HR]]</f>
        <v>10-21</v>
      </c>
      <c r="AC241">
        <v>10</v>
      </c>
      <c r="AD241">
        <v>21</v>
      </c>
      <c r="AE241">
        <v>2.2924285616193498</v>
      </c>
    </row>
    <row r="242" spans="1:31">
      <c r="A2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95">
        <v>6120.0810000000001</v>
      </c>
      <c r="D242">
        <v>505.7918181818182</v>
      </c>
      <c r="E242">
        <v>196.33199999999999</v>
      </c>
      <c r="F242" s="94">
        <v>45.975000000000001</v>
      </c>
      <c r="AB242" s="122" t="str">
        <f>Table6[[#This Row],[WeekNo]]&amp;"-"&amp;Table6[[#This Row],[HR]]</f>
        <v>10-22</v>
      </c>
      <c r="AC242">
        <v>10</v>
      </c>
      <c r="AD242">
        <v>22</v>
      </c>
      <c r="AE242">
        <v>2.2601428713117326</v>
      </c>
    </row>
    <row r="243" spans="1:31">
      <c r="A2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95">
        <v>6120.0810000000001</v>
      </c>
      <c r="D243">
        <v>505.7918181818182</v>
      </c>
      <c r="E243">
        <v>196.33199999999999</v>
      </c>
      <c r="F243" s="94">
        <v>45.493000000000002</v>
      </c>
      <c r="AB243" s="122" t="str">
        <f>Table6[[#This Row],[WeekNo]]&amp;"-"&amp;Table6[[#This Row],[HR]]</f>
        <v>10-23</v>
      </c>
      <c r="AC243">
        <v>10</v>
      </c>
      <c r="AD243">
        <v>23</v>
      </c>
      <c r="AE243">
        <v>2.2548570973532542</v>
      </c>
    </row>
    <row r="244" spans="1:31">
      <c r="A2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95">
        <v>6120.0810000000001</v>
      </c>
      <c r="D244">
        <v>505.7918181818182</v>
      </c>
      <c r="E244">
        <v>196.33199999999999</v>
      </c>
      <c r="F244" s="94">
        <v>45.069000000000003</v>
      </c>
      <c r="AB244" s="122" t="str">
        <f>Table6[[#This Row],[WeekNo]]&amp;"-"&amp;Table6[[#This Row],[HR]]</f>
        <v>11-0</v>
      </c>
      <c r="AC244">
        <v>11</v>
      </c>
      <c r="AD244">
        <v>0</v>
      </c>
      <c r="AE244">
        <v>2.023857150759016</v>
      </c>
    </row>
    <row r="245" spans="1:31">
      <c r="A2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95">
        <v>6120.0810000000001</v>
      </c>
      <c r="D245">
        <v>505.7918181818182</v>
      </c>
      <c r="E245">
        <v>196.33199999999999</v>
      </c>
      <c r="F245" s="94">
        <v>45.048000000000002</v>
      </c>
      <c r="AB245" s="122" t="str">
        <f>Table6[[#This Row],[WeekNo]]&amp;"-"&amp;Table6[[#This Row],[HR]]</f>
        <v>11-1</v>
      </c>
      <c r="AC245">
        <v>11</v>
      </c>
      <c r="AD245">
        <v>1</v>
      </c>
      <c r="AE245">
        <v>1.9687142712729317</v>
      </c>
    </row>
    <row r="246" spans="1:31">
      <c r="A2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95">
        <v>6120.0810000000001</v>
      </c>
      <c r="D246">
        <v>505.7918181818182</v>
      </c>
      <c r="E246">
        <v>196.33199999999999</v>
      </c>
      <c r="F246" s="94">
        <v>45.01</v>
      </c>
      <c r="AB246" s="122" t="str">
        <f>Table6[[#This Row],[WeekNo]]&amp;"-"&amp;Table6[[#This Row],[HR]]</f>
        <v>11-2</v>
      </c>
      <c r="AC246">
        <v>11</v>
      </c>
      <c r="AD246">
        <v>2</v>
      </c>
      <c r="AE246">
        <v>1.8430000032697404</v>
      </c>
    </row>
    <row r="247" spans="1:31">
      <c r="A2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95">
        <v>6120.0810000000001</v>
      </c>
      <c r="D247">
        <v>505.7918181818182</v>
      </c>
      <c r="E247">
        <v>196.33199999999999</v>
      </c>
      <c r="F247" s="94">
        <v>45.073999999999998</v>
      </c>
      <c r="AB247" s="122" t="str">
        <f>Table6[[#This Row],[WeekNo]]&amp;"-"&amp;Table6[[#This Row],[HR]]</f>
        <v>11-3</v>
      </c>
      <c r="AC247">
        <v>11</v>
      </c>
      <c r="AD247">
        <v>3</v>
      </c>
      <c r="AE247">
        <v>1.7025714431490218</v>
      </c>
    </row>
    <row r="248" spans="1:31">
      <c r="A2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95">
        <v>7083.9530000000004</v>
      </c>
      <c r="D248">
        <v>585.4506611570248</v>
      </c>
      <c r="E248">
        <v>227.25200000000001</v>
      </c>
      <c r="F248" s="94">
        <v>45.018999999999998</v>
      </c>
      <c r="AB248" s="122" t="str">
        <f>Table6[[#This Row],[WeekNo]]&amp;"-"&amp;Table6[[#This Row],[HR]]</f>
        <v>11-4</v>
      </c>
      <c r="AC248">
        <v>11</v>
      </c>
      <c r="AD248">
        <v>4</v>
      </c>
      <c r="AE248">
        <v>1.5532857179641724</v>
      </c>
    </row>
    <row r="249" spans="1:31">
      <c r="A2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95">
        <v>7083.9530000000004</v>
      </c>
      <c r="D249">
        <v>585.4506611570248</v>
      </c>
      <c r="E249">
        <v>227.25200000000001</v>
      </c>
      <c r="F249" s="94">
        <v>45.177999999999997</v>
      </c>
      <c r="AB249" s="122" t="str">
        <f>Table6[[#This Row],[WeekNo]]&amp;"-"&amp;Table6[[#This Row],[HR]]</f>
        <v>11-5</v>
      </c>
      <c r="AC249">
        <v>11</v>
      </c>
      <c r="AD249">
        <v>5</v>
      </c>
      <c r="AE249">
        <v>1.4412857123783656</v>
      </c>
    </row>
    <row r="250" spans="1:31">
      <c r="A2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95">
        <v>8000</v>
      </c>
      <c r="D250">
        <v>661.15702479338847</v>
      </c>
      <c r="E250">
        <v>256.63900000000001</v>
      </c>
      <c r="F250" s="94">
        <v>47.375</v>
      </c>
      <c r="AB250" s="122" t="str">
        <f>Table6[[#This Row],[WeekNo]]&amp;"-"&amp;Table6[[#This Row],[HR]]</f>
        <v>11-6</v>
      </c>
      <c r="AC250">
        <v>11</v>
      </c>
      <c r="AD250">
        <v>6</v>
      </c>
      <c r="AE250">
        <v>1.3392857142857142</v>
      </c>
    </row>
    <row r="251" spans="1:31">
      <c r="A2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95">
        <v>8000</v>
      </c>
      <c r="D251">
        <v>661.15702479338847</v>
      </c>
      <c r="E251">
        <v>256.63900000000001</v>
      </c>
      <c r="F251" s="94">
        <v>47.460999999999999</v>
      </c>
      <c r="AB251" s="122" t="str">
        <f>Table6[[#This Row],[WeekNo]]&amp;"-"&amp;Table6[[#This Row],[HR]]</f>
        <v>11-7</v>
      </c>
      <c r="AC251">
        <v>11</v>
      </c>
      <c r="AD251">
        <v>7</v>
      </c>
      <c r="AE251">
        <v>1.180142845426287</v>
      </c>
    </row>
    <row r="252" spans="1:31">
      <c r="A2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95">
        <v>8000</v>
      </c>
      <c r="D252">
        <v>661.15702479338847</v>
      </c>
      <c r="E252">
        <v>256.63900000000001</v>
      </c>
      <c r="F252" s="94">
        <v>45.634</v>
      </c>
      <c r="AB252" s="122" t="str">
        <f>Table6[[#This Row],[WeekNo]]&amp;"-"&amp;Table6[[#This Row],[HR]]</f>
        <v>11-8</v>
      </c>
      <c r="AC252">
        <v>11</v>
      </c>
      <c r="AD252">
        <v>8</v>
      </c>
      <c r="AE252">
        <v>1.1274285657065255</v>
      </c>
    </row>
    <row r="253" spans="1:31">
      <c r="A2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95">
        <v>8000</v>
      </c>
      <c r="D253">
        <v>661.15702479338847</v>
      </c>
      <c r="E253">
        <v>256.63900000000001</v>
      </c>
      <c r="F253" s="94">
        <v>44.819000000000003</v>
      </c>
      <c r="AB253" s="122" t="str">
        <f>Table6[[#This Row],[WeekNo]]&amp;"-"&amp;Table6[[#This Row],[HR]]</f>
        <v>11-9</v>
      </c>
      <c r="AC253">
        <v>11</v>
      </c>
      <c r="AD253">
        <v>9</v>
      </c>
      <c r="AE253">
        <v>0.99485715797969276</v>
      </c>
    </row>
    <row r="254" spans="1:31">
      <c r="A2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95">
        <v>8000</v>
      </c>
      <c r="D254">
        <v>661.15702479338847</v>
      </c>
      <c r="E254">
        <v>256.63900000000001</v>
      </c>
      <c r="F254" s="94">
        <v>44.718000000000004</v>
      </c>
      <c r="AB254" s="122" t="str">
        <f>Table6[[#This Row],[WeekNo]]&amp;"-"&amp;Table6[[#This Row],[HR]]</f>
        <v>11-10</v>
      </c>
      <c r="AC254">
        <v>11</v>
      </c>
      <c r="AD254">
        <v>10</v>
      </c>
      <c r="AE254">
        <v>0.87171429395675659</v>
      </c>
    </row>
    <row r="255" spans="1:31">
      <c r="A2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95">
        <v>8000</v>
      </c>
      <c r="D255">
        <v>661.15702479338847</v>
      </c>
      <c r="E255">
        <v>256.63900000000001</v>
      </c>
      <c r="F255" s="94">
        <v>44.637999999999998</v>
      </c>
      <c r="AB255" s="122" t="str">
        <f>Table6[[#This Row],[WeekNo]]&amp;"-"&amp;Table6[[#This Row],[HR]]</f>
        <v>11-11</v>
      </c>
      <c r="AC255">
        <v>11</v>
      </c>
      <c r="AD255">
        <v>11</v>
      </c>
      <c r="AE255">
        <v>0.77757143974304199</v>
      </c>
    </row>
    <row r="256" spans="1:31">
      <c r="A2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95">
        <v>8000</v>
      </c>
      <c r="D256">
        <v>661.15702479338847</v>
      </c>
      <c r="E256">
        <v>256.63900000000001</v>
      </c>
      <c r="F256" s="94">
        <v>44.607999999999997</v>
      </c>
      <c r="AB256" s="122" t="str">
        <f>Table6[[#This Row],[WeekNo]]&amp;"-"&amp;Table6[[#This Row],[HR]]</f>
        <v>11-12</v>
      </c>
      <c r="AC256">
        <v>11</v>
      </c>
      <c r="AD256">
        <v>12</v>
      </c>
      <c r="AE256">
        <v>0.64328571728297645</v>
      </c>
    </row>
    <row r="257" spans="1:31">
      <c r="A2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95">
        <v>8000</v>
      </c>
      <c r="D257">
        <v>661.15702479338847</v>
      </c>
      <c r="E257">
        <v>256.63900000000001</v>
      </c>
      <c r="F257" s="94">
        <v>44.631999999999998</v>
      </c>
      <c r="AB257" s="122" t="str">
        <f>Table6[[#This Row],[WeekNo]]&amp;"-"&amp;Table6[[#This Row],[HR]]</f>
        <v>11-13</v>
      </c>
      <c r="AC257">
        <v>11</v>
      </c>
      <c r="AD257">
        <v>13</v>
      </c>
      <c r="AE257">
        <v>0.51885714275496342</v>
      </c>
    </row>
    <row r="258" spans="1:31">
      <c r="A2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95">
        <v>8000</v>
      </c>
      <c r="D258">
        <v>661.15702479338847</v>
      </c>
      <c r="E258">
        <v>256.63900000000001</v>
      </c>
      <c r="F258" s="94">
        <v>44.661999999999999</v>
      </c>
      <c r="AB258" s="122" t="str">
        <f>Table6[[#This Row],[WeekNo]]&amp;"-"&amp;Table6[[#This Row],[HR]]</f>
        <v>11-14</v>
      </c>
      <c r="AC258">
        <v>11</v>
      </c>
      <c r="AD258">
        <v>14</v>
      </c>
      <c r="AE258">
        <v>0.4115714303084782</v>
      </c>
    </row>
    <row r="259" spans="1:31">
      <c r="A2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95">
        <v>8000</v>
      </c>
      <c r="D259">
        <v>661.15702479338847</v>
      </c>
      <c r="E259">
        <v>256.63900000000001</v>
      </c>
      <c r="F259" s="94">
        <v>44.734999999999999</v>
      </c>
      <c r="AB259" s="122" t="str">
        <f>Table6[[#This Row],[WeekNo]]&amp;"-"&amp;Table6[[#This Row],[HR]]</f>
        <v>11-15</v>
      </c>
      <c r="AC259">
        <v>11</v>
      </c>
      <c r="AD259">
        <v>15</v>
      </c>
      <c r="AE259">
        <v>0.39228571312768118</v>
      </c>
    </row>
    <row r="260" spans="1:31">
      <c r="A2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95">
        <v>8000</v>
      </c>
      <c r="D260">
        <v>661.15702479338847</v>
      </c>
      <c r="E260">
        <v>256.63900000000001</v>
      </c>
      <c r="F260" s="94">
        <v>44.834000000000003</v>
      </c>
      <c r="AB260" s="122" t="str">
        <f>Table6[[#This Row],[WeekNo]]&amp;"-"&amp;Table6[[#This Row],[HR]]</f>
        <v>11-16</v>
      </c>
      <c r="AC260">
        <v>11</v>
      </c>
      <c r="AD260">
        <v>16</v>
      </c>
      <c r="AE260">
        <v>0.64628571271896362</v>
      </c>
    </row>
    <row r="261" spans="1:31">
      <c r="A2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95">
        <v>8000</v>
      </c>
      <c r="D261">
        <v>661.15702479338847</v>
      </c>
      <c r="E261">
        <v>256.63900000000001</v>
      </c>
      <c r="F261" s="94">
        <v>46.326000000000001</v>
      </c>
      <c r="AB261" s="122" t="str">
        <f>Table6[[#This Row],[WeekNo]]&amp;"-"&amp;Table6[[#This Row],[HR]]</f>
        <v>11-17</v>
      </c>
      <c r="AC261">
        <v>11</v>
      </c>
      <c r="AD261">
        <v>17</v>
      </c>
      <c r="AE261">
        <v>1.0399999873978751</v>
      </c>
    </row>
    <row r="262" spans="1:31">
      <c r="A2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95">
        <v>10440.081</v>
      </c>
      <c r="D262">
        <v>862.81661157024791</v>
      </c>
      <c r="E262">
        <v>334.91699999999997</v>
      </c>
      <c r="F262" s="94">
        <v>48.478999999999999</v>
      </c>
      <c r="AB262" s="122" t="str">
        <f>Table6[[#This Row],[WeekNo]]&amp;"-"&amp;Table6[[#This Row],[HR]]</f>
        <v>11-18</v>
      </c>
      <c r="AC262">
        <v>11</v>
      </c>
      <c r="AD262">
        <v>18</v>
      </c>
      <c r="AE262">
        <v>1.47700001512255</v>
      </c>
    </row>
    <row r="263" spans="1:31">
      <c r="A2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95">
        <v>10440.081</v>
      </c>
      <c r="D263">
        <v>862.81661157024791</v>
      </c>
      <c r="E263">
        <v>334.91699999999997</v>
      </c>
      <c r="F263" s="94">
        <v>48.808999999999997</v>
      </c>
      <c r="AB263" s="122" t="str">
        <f>Table6[[#This Row],[WeekNo]]&amp;"-"&amp;Table6[[#This Row],[HR]]</f>
        <v>11-19</v>
      </c>
      <c r="AC263">
        <v>11</v>
      </c>
      <c r="AD263">
        <v>19</v>
      </c>
      <c r="AE263">
        <v>1.8152856826782227</v>
      </c>
    </row>
    <row r="264" spans="1:31">
      <c r="A2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95">
        <v>8620.0810000000001</v>
      </c>
      <c r="D264">
        <v>712.40338842975211</v>
      </c>
      <c r="E264">
        <v>276.53100000000001</v>
      </c>
      <c r="F264" s="94">
        <v>48.231000000000002</v>
      </c>
      <c r="AB264" s="122" t="str">
        <f>Table6[[#This Row],[WeekNo]]&amp;"-"&amp;Table6[[#This Row],[HR]]</f>
        <v>11-20</v>
      </c>
      <c r="AC264">
        <v>11</v>
      </c>
      <c r="AD264">
        <v>20</v>
      </c>
      <c r="AE264">
        <v>1.9898571627480643</v>
      </c>
    </row>
    <row r="265" spans="1:31">
      <c r="A2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95">
        <v>6120.0810000000001</v>
      </c>
      <c r="D265">
        <v>505.7918181818182</v>
      </c>
      <c r="E265">
        <v>196.33199999999999</v>
      </c>
      <c r="F265" s="94">
        <v>47.183</v>
      </c>
      <c r="AB265" s="122" t="str">
        <f>Table6[[#This Row],[WeekNo]]&amp;"-"&amp;Table6[[#This Row],[HR]]</f>
        <v>11-21</v>
      </c>
      <c r="AC265">
        <v>11</v>
      </c>
      <c r="AD265">
        <v>21</v>
      </c>
      <c r="AE265">
        <v>2.0539999689374651</v>
      </c>
    </row>
    <row r="266" spans="1:31">
      <c r="A2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95">
        <v>6120.0810000000001</v>
      </c>
      <c r="D266">
        <v>505.7918181818182</v>
      </c>
      <c r="E266">
        <v>196.33199999999999</v>
      </c>
      <c r="F266" s="94">
        <v>45.36</v>
      </c>
      <c r="AB266" s="122" t="str">
        <f>Table6[[#This Row],[WeekNo]]&amp;"-"&amp;Table6[[#This Row],[HR]]</f>
        <v>11-22</v>
      </c>
      <c r="AC266">
        <v>11</v>
      </c>
      <c r="AD266">
        <v>22</v>
      </c>
      <c r="AE266">
        <v>2.032142860548837</v>
      </c>
    </row>
    <row r="267" spans="1:31">
      <c r="A2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95">
        <v>6120.0810000000001</v>
      </c>
      <c r="D267">
        <v>505.7918181818182</v>
      </c>
      <c r="E267">
        <v>196.33199999999999</v>
      </c>
      <c r="F267" s="94">
        <v>45.277000000000001</v>
      </c>
      <c r="AB267" s="122" t="str">
        <f>Table6[[#This Row],[WeekNo]]&amp;"-"&amp;Table6[[#This Row],[HR]]</f>
        <v>11-23</v>
      </c>
      <c r="AC267">
        <v>11</v>
      </c>
      <c r="AD267">
        <v>23</v>
      </c>
      <c r="AE267">
        <v>2.0300000224794661</v>
      </c>
    </row>
    <row r="268" spans="1:31">
      <c r="A2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95">
        <v>6120.0810000000001</v>
      </c>
      <c r="D268">
        <v>505.7918181818182</v>
      </c>
      <c r="E268">
        <v>196.33199999999999</v>
      </c>
      <c r="F268" s="94">
        <v>44.945</v>
      </c>
      <c r="AB268" s="122" t="str">
        <f>Table6[[#This Row],[WeekNo]]&amp;"-"&amp;Table6[[#This Row],[HR]]</f>
        <v>12-0</v>
      </c>
      <c r="AC268">
        <v>12</v>
      </c>
      <c r="AD268">
        <v>0</v>
      </c>
      <c r="AE268">
        <v>1.6792856965746199</v>
      </c>
    </row>
    <row r="269" spans="1:31">
      <c r="A2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95">
        <v>6120.0810000000001</v>
      </c>
      <c r="D269">
        <v>505.7918181818182</v>
      </c>
      <c r="E269">
        <v>196.33199999999999</v>
      </c>
      <c r="F269" s="94">
        <v>44.898000000000003</v>
      </c>
      <c r="AB269" s="122" t="str">
        <f>Table6[[#This Row],[WeekNo]]&amp;"-"&amp;Table6[[#This Row],[HR]]</f>
        <v>12-1</v>
      </c>
      <c r="AC269">
        <v>12</v>
      </c>
      <c r="AD269">
        <v>1</v>
      </c>
      <c r="AE269">
        <v>1.6901428699493408</v>
      </c>
    </row>
    <row r="270" spans="1:31">
      <c r="A2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95">
        <v>6120.0810000000001</v>
      </c>
      <c r="D270">
        <v>505.7918181818182</v>
      </c>
      <c r="E270">
        <v>196.33199999999999</v>
      </c>
      <c r="F270" s="94">
        <v>44.957000000000001</v>
      </c>
      <c r="AB270" s="122" t="str">
        <f>Table6[[#This Row],[WeekNo]]&amp;"-"&amp;Table6[[#This Row],[HR]]</f>
        <v>12-2</v>
      </c>
      <c r="AC270">
        <v>12</v>
      </c>
      <c r="AD270">
        <v>2</v>
      </c>
      <c r="AE270">
        <v>1.6235714299338204</v>
      </c>
    </row>
    <row r="271" spans="1:31">
      <c r="A2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95">
        <v>6120.0810000000001</v>
      </c>
      <c r="D271">
        <v>505.7918181818182</v>
      </c>
      <c r="E271">
        <v>196.33199999999999</v>
      </c>
      <c r="F271" s="94">
        <v>45.011000000000003</v>
      </c>
      <c r="AB271" s="122" t="str">
        <f>Table6[[#This Row],[WeekNo]]&amp;"-"&amp;Table6[[#This Row],[HR]]</f>
        <v>12-3</v>
      </c>
      <c r="AC271">
        <v>12</v>
      </c>
      <c r="AD271">
        <v>3</v>
      </c>
      <c r="AE271">
        <v>1.5127142838069372</v>
      </c>
    </row>
    <row r="272" spans="1:31">
      <c r="A2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95">
        <v>6120.0810000000001</v>
      </c>
      <c r="D272">
        <v>505.7918181818182</v>
      </c>
      <c r="E272">
        <v>196.33199999999999</v>
      </c>
      <c r="F272" s="94">
        <v>45.043999999999997</v>
      </c>
      <c r="AB272" s="122" t="str">
        <f>Table6[[#This Row],[WeekNo]]&amp;"-"&amp;Table6[[#This Row],[HR]]</f>
        <v>12-4</v>
      </c>
      <c r="AC272">
        <v>12</v>
      </c>
      <c r="AD272">
        <v>4</v>
      </c>
      <c r="AE272">
        <v>1.4104285751070296</v>
      </c>
    </row>
    <row r="273" spans="1:31">
      <c r="A2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95">
        <v>6120.0810000000001</v>
      </c>
      <c r="D273">
        <v>505.7918181818182</v>
      </c>
      <c r="E273">
        <v>196.33199999999999</v>
      </c>
      <c r="F273" s="94">
        <v>45.405999999999999</v>
      </c>
      <c r="AB273" s="122" t="str">
        <f>Table6[[#This Row],[WeekNo]]&amp;"-"&amp;Table6[[#This Row],[HR]]</f>
        <v>12-5</v>
      </c>
      <c r="AC273">
        <v>12</v>
      </c>
      <c r="AD273">
        <v>5</v>
      </c>
      <c r="AE273">
        <v>1.3584285974502563</v>
      </c>
    </row>
    <row r="274" spans="1:31">
      <c r="A2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95">
        <v>8000</v>
      </c>
      <c r="D274">
        <v>661.15702479338847</v>
      </c>
      <c r="E274">
        <v>256.63900000000001</v>
      </c>
      <c r="F274" s="94">
        <v>45.743000000000002</v>
      </c>
      <c r="AB274" s="122" t="str">
        <f>Table6[[#This Row],[WeekNo]]&amp;"-"&amp;Table6[[#This Row],[HR]]</f>
        <v>12-6</v>
      </c>
      <c r="AC274">
        <v>12</v>
      </c>
      <c r="AD274">
        <v>6</v>
      </c>
      <c r="AE274">
        <v>1.2088571446282523</v>
      </c>
    </row>
    <row r="275" spans="1:31">
      <c r="A2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95">
        <v>8000</v>
      </c>
      <c r="D275">
        <v>661.15702479338847</v>
      </c>
      <c r="E275">
        <v>256.63900000000001</v>
      </c>
      <c r="F275" s="94">
        <v>45.463999999999999</v>
      </c>
      <c r="AB275" s="122" t="str">
        <f>Table6[[#This Row],[WeekNo]]&amp;"-"&amp;Table6[[#This Row],[HR]]</f>
        <v>12-7</v>
      </c>
      <c r="AC275">
        <v>12</v>
      </c>
      <c r="AD275">
        <v>7</v>
      </c>
      <c r="AE275">
        <v>1.0575714196477617</v>
      </c>
    </row>
    <row r="276" spans="1:31">
      <c r="A27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95">
        <v>8000</v>
      </c>
      <c r="D276">
        <v>661.15702479338847</v>
      </c>
      <c r="E276">
        <v>256.63900000000001</v>
      </c>
      <c r="F276" s="94">
        <v>44.854999999999997</v>
      </c>
      <c r="AB276" s="122" t="str">
        <f>Table6[[#This Row],[WeekNo]]&amp;"-"&amp;Table6[[#This Row],[HR]]</f>
        <v>12-8</v>
      </c>
      <c r="AC276">
        <v>12</v>
      </c>
      <c r="AD276">
        <v>8</v>
      </c>
      <c r="AE276">
        <v>0.95157144750867573</v>
      </c>
    </row>
    <row r="277" spans="1:31">
      <c r="A27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95">
        <v>8000</v>
      </c>
      <c r="D277">
        <v>661.15702479338847</v>
      </c>
      <c r="E277">
        <v>256.63900000000001</v>
      </c>
      <c r="F277" s="94">
        <v>44.746000000000002</v>
      </c>
      <c r="AB277" s="122" t="str">
        <f>Table6[[#This Row],[WeekNo]]&amp;"-"&amp;Table6[[#This Row],[HR]]</f>
        <v>12-9</v>
      </c>
      <c r="AC277">
        <v>12</v>
      </c>
      <c r="AD277">
        <v>9</v>
      </c>
      <c r="AE277">
        <v>0.83871427604130333</v>
      </c>
    </row>
    <row r="278" spans="1:31">
      <c r="A27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95">
        <v>8000</v>
      </c>
      <c r="D278">
        <v>661.15702479338847</v>
      </c>
      <c r="E278">
        <v>256.63900000000001</v>
      </c>
      <c r="F278" s="94">
        <v>44.652000000000001</v>
      </c>
      <c r="AB278" s="122" t="str">
        <f>Table6[[#This Row],[WeekNo]]&amp;"-"&amp;Table6[[#This Row],[HR]]</f>
        <v>12-10</v>
      </c>
      <c r="AC278">
        <v>12</v>
      </c>
      <c r="AD278">
        <v>10</v>
      </c>
      <c r="AE278">
        <v>0.72357143674577984</v>
      </c>
    </row>
    <row r="279" spans="1:31">
      <c r="A27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95">
        <v>8000</v>
      </c>
      <c r="D279">
        <v>661.15702479338847</v>
      </c>
      <c r="E279">
        <v>256.63900000000001</v>
      </c>
      <c r="F279" s="94">
        <v>44.576999999999998</v>
      </c>
      <c r="AB279" s="122" t="str">
        <f>Table6[[#This Row],[WeekNo]]&amp;"-"&amp;Table6[[#This Row],[HR]]</f>
        <v>12-11</v>
      </c>
      <c r="AC279">
        <v>12</v>
      </c>
      <c r="AD279">
        <v>11</v>
      </c>
      <c r="AE279">
        <v>0.61371428200176781</v>
      </c>
    </row>
    <row r="280" spans="1:31">
      <c r="A28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95">
        <v>8000</v>
      </c>
      <c r="D280">
        <v>661.15702479338847</v>
      </c>
      <c r="E280">
        <v>256.63900000000001</v>
      </c>
      <c r="F280" s="94">
        <v>44.552999999999997</v>
      </c>
      <c r="AB280" s="122" t="str">
        <f>Table6[[#This Row],[WeekNo]]&amp;"-"&amp;Table6[[#This Row],[HR]]</f>
        <v>12-12</v>
      </c>
      <c r="AC280">
        <v>12</v>
      </c>
      <c r="AD280">
        <v>12</v>
      </c>
      <c r="AE280">
        <v>0.48757142680031912</v>
      </c>
    </row>
    <row r="281" spans="1:31">
      <c r="A28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95">
        <v>8000</v>
      </c>
      <c r="D281">
        <v>661.15702479338847</v>
      </c>
      <c r="E281">
        <v>256.63900000000001</v>
      </c>
      <c r="F281" s="94">
        <v>44.567999999999998</v>
      </c>
      <c r="AB281" s="122" t="str">
        <f>Table6[[#This Row],[WeekNo]]&amp;"-"&amp;Table6[[#This Row],[HR]]</f>
        <v>12-13</v>
      </c>
      <c r="AC281">
        <v>12</v>
      </c>
      <c r="AD281">
        <v>13</v>
      </c>
      <c r="AE281">
        <v>0.37585713820798056</v>
      </c>
    </row>
    <row r="282" spans="1:31">
      <c r="A28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95">
        <v>8000</v>
      </c>
      <c r="D282">
        <v>661.15702479338847</v>
      </c>
      <c r="E282">
        <v>256.63900000000001</v>
      </c>
      <c r="F282" s="94">
        <v>44.601999999999997</v>
      </c>
      <c r="AB282" s="122" t="str">
        <f>Table6[[#This Row],[WeekNo]]&amp;"-"&amp;Table6[[#This Row],[HR]]</f>
        <v>12-14</v>
      </c>
      <c r="AC282">
        <v>12</v>
      </c>
      <c r="AD282">
        <v>14</v>
      </c>
      <c r="AE282">
        <v>0.32000000349112917</v>
      </c>
    </row>
    <row r="283" spans="1:31">
      <c r="A28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95">
        <v>8000</v>
      </c>
      <c r="D283">
        <v>661.15702479338847</v>
      </c>
      <c r="E283">
        <v>256.63900000000001</v>
      </c>
      <c r="F283" s="94">
        <v>44.685000000000002</v>
      </c>
      <c r="AB283" s="122" t="str">
        <f>Table6[[#This Row],[WeekNo]]&amp;"-"&amp;Table6[[#This Row],[HR]]</f>
        <v>12-15</v>
      </c>
      <c r="AC283">
        <v>12</v>
      </c>
      <c r="AD283">
        <v>15</v>
      </c>
      <c r="AE283">
        <v>0.4050000011920929</v>
      </c>
    </row>
    <row r="284" spans="1:31">
      <c r="A28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95">
        <v>8000</v>
      </c>
      <c r="D284">
        <v>661.15702479338847</v>
      </c>
      <c r="E284">
        <v>256.63900000000001</v>
      </c>
      <c r="F284" s="94">
        <v>44.811</v>
      </c>
      <c r="AB284" s="122" t="str">
        <f>Table6[[#This Row],[WeekNo]]&amp;"-"&amp;Table6[[#This Row],[HR]]</f>
        <v>12-16</v>
      </c>
      <c r="AC284">
        <v>12</v>
      </c>
      <c r="AD284">
        <v>16</v>
      </c>
      <c r="AE284">
        <v>0.67542857357433861</v>
      </c>
    </row>
    <row r="285" spans="1:31">
      <c r="A28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95">
        <v>8000</v>
      </c>
      <c r="D285">
        <v>661.15702479338847</v>
      </c>
      <c r="E285">
        <v>256.63900000000001</v>
      </c>
      <c r="F285" s="94">
        <v>46.164000000000001</v>
      </c>
      <c r="AB285" s="122" t="str">
        <f>Table6[[#This Row],[WeekNo]]&amp;"-"&amp;Table6[[#This Row],[HR]]</f>
        <v>12-17</v>
      </c>
      <c r="AC285">
        <v>12</v>
      </c>
      <c r="AD285">
        <v>17</v>
      </c>
      <c r="AE285">
        <v>1.0648571423121862</v>
      </c>
    </row>
    <row r="286" spans="1:31">
      <c r="A28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95">
        <v>10440.081</v>
      </c>
      <c r="D286">
        <v>862.81661157024791</v>
      </c>
      <c r="E286">
        <v>334.91699999999997</v>
      </c>
      <c r="F286" s="94">
        <v>48.463000000000001</v>
      </c>
      <c r="AB286" s="122" t="str">
        <f>Table6[[#This Row],[WeekNo]]&amp;"-"&amp;Table6[[#This Row],[HR]]</f>
        <v>12-18</v>
      </c>
      <c r="AC286">
        <v>12</v>
      </c>
      <c r="AD286">
        <v>18</v>
      </c>
      <c r="AE286">
        <v>1.3020000287464686</v>
      </c>
    </row>
    <row r="287" spans="1:31">
      <c r="A28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95">
        <v>10440.081</v>
      </c>
      <c r="D287">
        <v>862.81661157024791</v>
      </c>
      <c r="E287">
        <v>334.91699999999997</v>
      </c>
      <c r="F287" s="94">
        <v>48.676000000000002</v>
      </c>
      <c r="AB287" s="122" t="str">
        <f>Table6[[#This Row],[WeekNo]]&amp;"-"&amp;Table6[[#This Row],[HR]]</f>
        <v>12-19</v>
      </c>
      <c r="AC287">
        <v>12</v>
      </c>
      <c r="AD287">
        <v>19</v>
      </c>
      <c r="AE287">
        <v>1.449857132775443</v>
      </c>
    </row>
    <row r="288" spans="1:31">
      <c r="A28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95">
        <v>10440.081</v>
      </c>
      <c r="D288">
        <v>862.81661157024791</v>
      </c>
      <c r="E288">
        <v>334.91699999999997</v>
      </c>
      <c r="F288" s="94">
        <v>47.984000000000002</v>
      </c>
      <c r="AB288" s="122" t="str">
        <f>Table6[[#This Row],[WeekNo]]&amp;"-"&amp;Table6[[#This Row],[HR]]</f>
        <v>12-20</v>
      </c>
      <c r="AC288">
        <v>12</v>
      </c>
      <c r="AD288">
        <v>20</v>
      </c>
      <c r="AE288">
        <v>1.5270000014986311</v>
      </c>
    </row>
    <row r="289" spans="1:31">
      <c r="A28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95">
        <v>7940.0810000000001</v>
      </c>
      <c r="D289">
        <v>656.20504132231406</v>
      </c>
      <c r="E289">
        <v>254.71700000000001</v>
      </c>
      <c r="F289" s="94">
        <v>46.436</v>
      </c>
      <c r="AB289" s="122" t="str">
        <f>Table6[[#This Row],[WeekNo]]&amp;"-"&amp;Table6[[#This Row],[HR]]</f>
        <v>12-21</v>
      </c>
      <c r="AC289">
        <v>12</v>
      </c>
      <c r="AD289">
        <v>21</v>
      </c>
      <c r="AE289">
        <v>1.6015714406967163</v>
      </c>
    </row>
    <row r="290" spans="1:31">
      <c r="A29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95">
        <v>6120.0810000000001</v>
      </c>
      <c r="D290">
        <v>505.7918181818182</v>
      </c>
      <c r="E290">
        <v>196.33199999999999</v>
      </c>
      <c r="F290" s="94">
        <v>45.57</v>
      </c>
      <c r="AB290" s="122" t="str">
        <f>Table6[[#This Row],[WeekNo]]&amp;"-"&amp;Table6[[#This Row],[HR]]</f>
        <v>12-22</v>
      </c>
      <c r="AC290">
        <v>12</v>
      </c>
      <c r="AD290">
        <v>22</v>
      </c>
      <c r="AE290">
        <v>1.6414285898208618</v>
      </c>
    </row>
    <row r="291" spans="1:31">
      <c r="A29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95">
        <v>6120.0810000000001</v>
      </c>
      <c r="D291">
        <v>505.7918181818182</v>
      </c>
      <c r="E291">
        <v>196.33199999999999</v>
      </c>
      <c r="F291" s="94">
        <v>45.201000000000001</v>
      </c>
      <c r="AB291" s="122" t="str">
        <f>Table6[[#This Row],[WeekNo]]&amp;"-"&amp;Table6[[#This Row],[HR]]</f>
        <v>12-23</v>
      </c>
      <c r="AC291">
        <v>12</v>
      </c>
      <c r="AD291">
        <v>23</v>
      </c>
      <c r="AE291">
        <v>1.6130000182560511</v>
      </c>
    </row>
    <row r="292" spans="1:31">
      <c r="A29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95">
        <v>9208.1389999999992</v>
      </c>
      <c r="D292">
        <v>761.00322314049583</v>
      </c>
      <c r="E292">
        <v>303.536</v>
      </c>
      <c r="F292" s="94">
        <v>49.581000000000003</v>
      </c>
      <c r="AB292" s="122" t="str">
        <f>Table6[[#This Row],[WeekNo]]&amp;"-"&amp;Table6[[#This Row],[HR]]</f>
        <v>13-0</v>
      </c>
      <c r="AC292">
        <v>13</v>
      </c>
      <c r="AD292">
        <v>0</v>
      </c>
      <c r="AE292">
        <v>1.232285703931536</v>
      </c>
    </row>
    <row r="293" spans="1:31">
      <c r="A29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6">B292+TIME(1,0,0)</f>
        <v>45836.041666666664</v>
      </c>
      <c r="C293" s="95">
        <v>9208.1389999999992</v>
      </c>
      <c r="D293">
        <v>761.00322314049583</v>
      </c>
      <c r="E293">
        <v>303.536</v>
      </c>
      <c r="F293" s="94">
        <v>49.042000000000002</v>
      </c>
      <c r="AB293" s="122" t="str">
        <f>Table6[[#This Row],[WeekNo]]&amp;"-"&amp;Table6[[#This Row],[HR]]</f>
        <v>13-1</v>
      </c>
      <c r="AC293">
        <v>13</v>
      </c>
      <c r="AD293">
        <v>1</v>
      </c>
      <c r="AE293">
        <v>1.2795714139938354</v>
      </c>
    </row>
    <row r="294" spans="1:31">
      <c r="A29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6"/>
        <v>45836.083333333328</v>
      </c>
      <c r="C294" s="95">
        <v>9208.1389999999992</v>
      </c>
      <c r="D294">
        <v>761.00322314049583</v>
      </c>
      <c r="E294">
        <v>303.536</v>
      </c>
      <c r="F294" s="94">
        <v>49.152999999999999</v>
      </c>
      <c r="AB294" s="122" t="str">
        <f>Table6[[#This Row],[WeekNo]]&amp;"-"&amp;Table6[[#This Row],[HR]]</f>
        <v>13-2</v>
      </c>
      <c r="AC294">
        <v>13</v>
      </c>
      <c r="AD294">
        <v>2</v>
      </c>
      <c r="AE294">
        <v>1.2324285677501134</v>
      </c>
    </row>
    <row r="295" spans="1:31">
      <c r="A29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6"/>
        <v>45836.124999999993</v>
      </c>
      <c r="C295" s="95">
        <v>9208.1389999999992</v>
      </c>
      <c r="D295">
        <v>761.00322314049583</v>
      </c>
      <c r="E295">
        <v>303.536</v>
      </c>
      <c r="F295" s="94">
        <v>49.261000000000003</v>
      </c>
      <c r="AB295" s="122" t="str">
        <f>Table6[[#This Row],[WeekNo]]&amp;"-"&amp;Table6[[#This Row],[HR]]</f>
        <v>13-3</v>
      </c>
      <c r="AC295">
        <v>13</v>
      </c>
      <c r="AD295">
        <v>3</v>
      </c>
      <c r="AE295">
        <v>1.132857152393886</v>
      </c>
    </row>
    <row r="296" spans="1:31">
      <c r="A29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6"/>
        <v>45836.166666666657</v>
      </c>
      <c r="C296" s="95">
        <v>9208.1389999999992</v>
      </c>
      <c r="D296">
        <v>761.00322314049583</v>
      </c>
      <c r="E296">
        <v>303.536</v>
      </c>
      <c r="F296" s="94">
        <v>49.161999999999999</v>
      </c>
      <c r="AB296" s="122" t="str">
        <f>Table6[[#This Row],[WeekNo]]&amp;"-"&amp;Table6[[#This Row],[HR]]</f>
        <v>13-4</v>
      </c>
      <c r="AC296">
        <v>13</v>
      </c>
      <c r="AD296">
        <v>4</v>
      </c>
      <c r="AE296">
        <v>1.0471428547586714</v>
      </c>
    </row>
    <row r="297" spans="1:31">
      <c r="A29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6"/>
        <v>45836.208333333321</v>
      </c>
      <c r="C297" s="95">
        <v>9208.1389999999992</v>
      </c>
      <c r="D297">
        <v>761.00322314049583</v>
      </c>
      <c r="E297">
        <v>303.536</v>
      </c>
      <c r="F297" s="94">
        <v>49.518999999999998</v>
      </c>
      <c r="AB297" s="122" t="str">
        <f>Table6[[#This Row],[WeekNo]]&amp;"-"&amp;Table6[[#This Row],[HR]]</f>
        <v>13-5</v>
      </c>
      <c r="AC297">
        <v>13</v>
      </c>
      <c r="AD297">
        <v>5</v>
      </c>
      <c r="AE297">
        <v>1.0077142885753088</v>
      </c>
    </row>
    <row r="298" spans="1:31">
      <c r="A29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6"/>
        <v>45836.249999999985</v>
      </c>
      <c r="C298" s="95">
        <v>9208.1389999999992</v>
      </c>
      <c r="D298">
        <v>761.00322314049583</v>
      </c>
      <c r="E298">
        <v>303.536</v>
      </c>
      <c r="F298" s="94">
        <v>78.53</v>
      </c>
      <c r="AB298" s="122" t="str">
        <f>Table6[[#This Row],[WeekNo]]&amp;"-"&amp;Table6[[#This Row],[HR]]</f>
        <v>13-6</v>
      </c>
      <c r="AC298">
        <v>13</v>
      </c>
      <c r="AD298">
        <v>6</v>
      </c>
      <c r="AE298">
        <v>0.85642857210976742</v>
      </c>
    </row>
    <row r="299" spans="1:31">
      <c r="A29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6"/>
        <v>45836.29166666665</v>
      </c>
      <c r="C299" s="95">
        <v>9208.1389999999992</v>
      </c>
      <c r="D299">
        <v>761.00322314049583</v>
      </c>
      <c r="E299">
        <v>303.536</v>
      </c>
      <c r="F299" s="94">
        <v>71.353999999999999</v>
      </c>
      <c r="AB299" s="122" t="str">
        <f>Table6[[#This Row],[WeekNo]]&amp;"-"&amp;Table6[[#This Row],[HR]]</f>
        <v>13-7</v>
      </c>
      <c r="AC299">
        <v>13</v>
      </c>
      <c r="AD299">
        <v>7</v>
      </c>
      <c r="AE299">
        <v>0.70771429368427818</v>
      </c>
    </row>
    <row r="300" spans="1:31">
      <c r="A30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6"/>
        <v>45836.333333333314</v>
      </c>
      <c r="C300" s="95">
        <v>9208.1389999999992</v>
      </c>
      <c r="D300">
        <v>761.00322314049583</v>
      </c>
      <c r="E300">
        <v>303.536</v>
      </c>
      <c r="F300" s="94">
        <v>56.476999999999997</v>
      </c>
      <c r="AB300" s="122" t="str">
        <f>Table6[[#This Row],[WeekNo]]&amp;"-"&amp;Table6[[#This Row],[HR]]</f>
        <v>13-8</v>
      </c>
      <c r="AC300">
        <v>13</v>
      </c>
      <c r="AD300">
        <v>8</v>
      </c>
      <c r="AE300">
        <v>0.6007142875875745</v>
      </c>
    </row>
    <row r="301" spans="1:31">
      <c r="A30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6"/>
        <v>45836.374999999978</v>
      </c>
      <c r="C301" s="95">
        <v>9208.1389999999992</v>
      </c>
      <c r="D301">
        <v>761.00322314049583</v>
      </c>
      <c r="E301">
        <v>303.536</v>
      </c>
      <c r="F301" s="94">
        <v>47.485999999999997</v>
      </c>
      <c r="AB301" s="122" t="str">
        <f>Table6[[#This Row],[WeekNo]]&amp;"-"&amp;Table6[[#This Row],[HR]]</f>
        <v>13-9</v>
      </c>
      <c r="AC301">
        <v>13</v>
      </c>
      <c r="AD301">
        <v>9</v>
      </c>
      <c r="AE301">
        <v>0.50428572722843712</v>
      </c>
    </row>
    <row r="302" spans="1:31">
      <c r="A30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6"/>
        <v>45836.416666666642</v>
      </c>
      <c r="C302" s="95">
        <v>9208.1389999999992</v>
      </c>
      <c r="D302">
        <v>761.00322314049583</v>
      </c>
      <c r="E302">
        <v>303.536</v>
      </c>
      <c r="F302" s="94">
        <v>46.225000000000001</v>
      </c>
      <c r="AB302" s="122" t="str">
        <f>Table6[[#This Row],[WeekNo]]&amp;"-"&amp;Table6[[#This Row],[HR]]</f>
        <v>13-10</v>
      </c>
      <c r="AC302">
        <v>13</v>
      </c>
      <c r="AD302">
        <v>10</v>
      </c>
      <c r="AE302">
        <v>0.40428571828774046</v>
      </c>
    </row>
    <row r="303" spans="1:31">
      <c r="A30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6"/>
        <v>45836.458333333307</v>
      </c>
      <c r="C303" s="95">
        <v>9208.1389999999992</v>
      </c>
      <c r="D303">
        <v>761.00322314049583</v>
      </c>
      <c r="E303">
        <v>303.536</v>
      </c>
      <c r="F303" s="94">
        <v>46.170999999999999</v>
      </c>
      <c r="AB303" s="122" t="str">
        <f>Table6[[#This Row],[WeekNo]]&amp;"-"&amp;Table6[[#This Row],[HR]]</f>
        <v>13-11</v>
      </c>
      <c r="AC303">
        <v>13</v>
      </c>
      <c r="AD303">
        <v>11</v>
      </c>
      <c r="AE303">
        <v>0.29914285136120661</v>
      </c>
    </row>
    <row r="304" spans="1:31">
      <c r="A30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6"/>
        <v>45836.499999999971</v>
      </c>
      <c r="C304" s="95">
        <v>9208.1389999999992</v>
      </c>
      <c r="D304">
        <v>761.00322314049583</v>
      </c>
      <c r="E304">
        <v>303.536</v>
      </c>
      <c r="F304" s="94">
        <v>46.154000000000003</v>
      </c>
      <c r="AB304" s="122" t="str">
        <f>Table6[[#This Row],[WeekNo]]&amp;"-"&amp;Table6[[#This Row],[HR]]</f>
        <v>13-12</v>
      </c>
      <c r="AC304">
        <v>13</v>
      </c>
      <c r="AD304">
        <v>12</v>
      </c>
      <c r="AE304">
        <v>0.19471428463501589</v>
      </c>
    </row>
    <row r="305" spans="1:31">
      <c r="A30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6"/>
        <v>45836.541666666635</v>
      </c>
      <c r="C305" s="95">
        <v>9208.1389999999992</v>
      </c>
      <c r="D305">
        <v>761.00322314049583</v>
      </c>
      <c r="E305">
        <v>303.536</v>
      </c>
      <c r="F305" s="94">
        <v>46.168999999999997</v>
      </c>
      <c r="AB305" s="122" t="str">
        <f>Table6[[#This Row],[WeekNo]]&amp;"-"&amp;Table6[[#This Row],[HR]]</f>
        <v>13-13</v>
      </c>
      <c r="AC305">
        <v>13</v>
      </c>
      <c r="AD305">
        <v>13</v>
      </c>
      <c r="AE305">
        <v>0.10557143097477299</v>
      </c>
    </row>
    <row r="306" spans="1:31">
      <c r="A30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6"/>
        <v>45836.583333333299</v>
      </c>
      <c r="C306" s="95">
        <v>9208.1389999999992</v>
      </c>
      <c r="D306">
        <v>761.00322314049583</v>
      </c>
      <c r="E306">
        <v>303.536</v>
      </c>
      <c r="F306" s="94">
        <v>46.209000000000003</v>
      </c>
      <c r="AB306" s="122" t="str">
        <f>Table6[[#This Row],[WeekNo]]&amp;"-"&amp;Table6[[#This Row],[HR]]</f>
        <v>13-14</v>
      </c>
      <c r="AC306">
        <v>13</v>
      </c>
      <c r="AD306">
        <v>14</v>
      </c>
      <c r="AE306">
        <v>7.8714286110230861E-2</v>
      </c>
    </row>
    <row r="307" spans="1:31">
      <c r="A30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6"/>
        <v>45836.624999999964</v>
      </c>
      <c r="C307" s="95">
        <v>13208.138999999999</v>
      </c>
      <c r="D307">
        <v>1091.5817355371901</v>
      </c>
      <c r="E307">
        <v>435.392</v>
      </c>
      <c r="F307" s="94">
        <v>49.128999999999998</v>
      </c>
      <c r="AB307" s="122" t="str">
        <f>Table6[[#This Row],[WeekNo]]&amp;"-"&amp;Table6[[#This Row],[HR]]</f>
        <v>13-15</v>
      </c>
      <c r="AC307">
        <v>13</v>
      </c>
      <c r="AD307">
        <v>15</v>
      </c>
      <c r="AE307">
        <v>0.20828571436660631</v>
      </c>
    </row>
    <row r="308" spans="1:31">
      <c r="A30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6"/>
        <v>45836.666666666628</v>
      </c>
      <c r="C308" s="95">
        <v>14771.564</v>
      </c>
      <c r="D308">
        <v>1220.7904132231406</v>
      </c>
      <c r="E308">
        <v>486.928</v>
      </c>
      <c r="F308" s="94">
        <v>63.250999999999998</v>
      </c>
      <c r="AB308" s="122" t="str">
        <f>Table6[[#This Row],[WeekNo]]&amp;"-"&amp;Table6[[#This Row],[HR]]</f>
        <v>13-16</v>
      </c>
      <c r="AC308">
        <v>13</v>
      </c>
      <c r="AD308">
        <v>16</v>
      </c>
      <c r="AE308">
        <v>0.47971428292138235</v>
      </c>
    </row>
    <row r="309" spans="1:31">
      <c r="A30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6"/>
        <v>45836.708333333292</v>
      </c>
      <c r="C309" s="95">
        <v>16308.138999999999</v>
      </c>
      <c r="D309">
        <v>1347.780082644628</v>
      </c>
      <c r="E309">
        <v>537.58000000000004</v>
      </c>
      <c r="F309" s="94">
        <v>84.153000000000006</v>
      </c>
      <c r="AB309" s="122" t="str">
        <f>Table6[[#This Row],[WeekNo]]&amp;"-"&amp;Table6[[#This Row],[HR]]</f>
        <v>13-17</v>
      </c>
      <c r="AC309">
        <v>13</v>
      </c>
      <c r="AD309">
        <v>17</v>
      </c>
      <c r="AE309">
        <v>0.81442855937140324</v>
      </c>
    </row>
    <row r="310" spans="1:31">
      <c r="A3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6"/>
        <v>45836.749999999956</v>
      </c>
      <c r="C310" s="95">
        <v>16308.138999999999</v>
      </c>
      <c r="D310">
        <v>1347.780082644628</v>
      </c>
      <c r="E310">
        <v>537.58000000000004</v>
      </c>
      <c r="F310" s="94">
        <v>106.764</v>
      </c>
      <c r="AB310" s="122" t="str">
        <f>Table6[[#This Row],[WeekNo]]&amp;"-"&amp;Table6[[#This Row],[HR]]</f>
        <v>13-18</v>
      </c>
      <c r="AC310">
        <v>13</v>
      </c>
      <c r="AD310">
        <v>18</v>
      </c>
      <c r="AE310">
        <v>0.94428572484425133</v>
      </c>
    </row>
    <row r="311" spans="1:31">
      <c r="A3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6"/>
        <v>45836.791666666621</v>
      </c>
      <c r="C311" s="95">
        <v>16308.138999999999</v>
      </c>
      <c r="D311">
        <v>1347.780082644628</v>
      </c>
      <c r="E311">
        <v>537.58000000000004</v>
      </c>
      <c r="F311" s="94">
        <v>114.77800000000001</v>
      </c>
      <c r="AB311" s="122" t="str">
        <f>Table6[[#This Row],[WeekNo]]&amp;"-"&amp;Table6[[#This Row],[HR]]</f>
        <v>13-19</v>
      </c>
      <c r="AC311">
        <v>13</v>
      </c>
      <c r="AD311">
        <v>19</v>
      </c>
      <c r="AE311">
        <v>1.0365714345659529</v>
      </c>
    </row>
    <row r="312" spans="1:31">
      <c r="A3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6"/>
        <v>45836.833333333285</v>
      </c>
      <c r="C312" s="95">
        <v>16308.138999999999</v>
      </c>
      <c r="D312">
        <v>1347.780082644628</v>
      </c>
      <c r="E312">
        <v>537.58000000000004</v>
      </c>
      <c r="F312" s="94">
        <v>119.196</v>
      </c>
      <c r="AB312" s="122" t="str">
        <f>Table6[[#This Row],[WeekNo]]&amp;"-"&amp;Table6[[#This Row],[HR]]</f>
        <v>13-20</v>
      </c>
      <c r="AC312">
        <v>13</v>
      </c>
      <c r="AD312">
        <v>20</v>
      </c>
      <c r="AE312">
        <v>1.1094285760607039</v>
      </c>
    </row>
    <row r="313" spans="1:31">
      <c r="A3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6"/>
        <v>45836.874999999949</v>
      </c>
      <c r="C313" s="95">
        <v>16308.138999999999</v>
      </c>
      <c r="D313">
        <v>1347.780082644628</v>
      </c>
      <c r="E313">
        <v>537.58000000000004</v>
      </c>
      <c r="F313" s="94">
        <v>112.533</v>
      </c>
      <c r="AB313" s="122" t="str">
        <f>Table6[[#This Row],[WeekNo]]&amp;"-"&amp;Table6[[#This Row],[HR]]</f>
        <v>13-21</v>
      </c>
      <c r="AC313">
        <v>13</v>
      </c>
      <c r="AD313">
        <v>21</v>
      </c>
      <c r="AE313">
        <v>1.2048571450369698</v>
      </c>
    </row>
    <row r="314" spans="1:31">
      <c r="A3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6"/>
        <v>45836.916666666613</v>
      </c>
      <c r="C314" s="95">
        <v>13808.138999999999</v>
      </c>
      <c r="D314">
        <v>1141.1685123966943</v>
      </c>
      <c r="E314">
        <v>455.17</v>
      </c>
      <c r="F314" s="94">
        <v>60.777000000000001</v>
      </c>
      <c r="AB314" s="122" t="str">
        <f>Table6[[#This Row],[WeekNo]]&amp;"-"&amp;Table6[[#This Row],[HR]]</f>
        <v>13-22</v>
      </c>
      <c r="AC314">
        <v>13</v>
      </c>
      <c r="AD314">
        <v>22</v>
      </c>
      <c r="AE314">
        <v>1.2747142825807845</v>
      </c>
    </row>
    <row r="315" spans="1:31">
      <c r="A3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6"/>
        <v>45836.958333333278</v>
      </c>
      <c r="C315" s="95">
        <v>11308.138999999999</v>
      </c>
      <c r="D315">
        <v>934.5569421487603</v>
      </c>
      <c r="E315">
        <v>372.76</v>
      </c>
      <c r="F315" s="94">
        <v>56.433999999999997</v>
      </c>
      <c r="AB315" s="122" t="str">
        <f>Table6[[#This Row],[WeekNo]]&amp;"-"&amp;Table6[[#This Row],[HR]]</f>
        <v>13-23</v>
      </c>
      <c r="AC315">
        <v>13</v>
      </c>
      <c r="AD315">
        <v>23</v>
      </c>
      <c r="AE315">
        <v>1.2435714176722936</v>
      </c>
    </row>
    <row r="316" spans="1:31">
      <c r="A3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6"/>
        <v>45836.999999999942</v>
      </c>
      <c r="C316" s="95">
        <v>9208.1389999999992</v>
      </c>
      <c r="D316">
        <v>761.00322314049583</v>
      </c>
      <c r="E316">
        <v>303.536</v>
      </c>
      <c r="F316" s="94">
        <v>48.893999999999998</v>
      </c>
      <c r="AB316" s="122" t="str">
        <f>Table6[[#This Row],[WeekNo]]&amp;"-"&amp;Table6[[#This Row],[HR]]</f>
        <v>14-0</v>
      </c>
      <c r="AC316">
        <v>14</v>
      </c>
      <c r="AD316">
        <v>0</v>
      </c>
      <c r="AE316">
        <v>0.52500001029895027</v>
      </c>
    </row>
    <row r="317" spans="1:31">
      <c r="A3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6"/>
        <v>45837.041666666606</v>
      </c>
      <c r="C317" s="95">
        <v>9208.1389999999992</v>
      </c>
      <c r="D317">
        <v>761.00322314049583</v>
      </c>
      <c r="E317">
        <v>303.536</v>
      </c>
      <c r="F317" s="94">
        <v>48.759</v>
      </c>
      <c r="AB317" s="122" t="str">
        <f>Table6[[#This Row],[WeekNo]]&amp;"-"&amp;Table6[[#This Row],[HR]]</f>
        <v>14-1</v>
      </c>
      <c r="AC317">
        <v>14</v>
      </c>
      <c r="AD317">
        <v>1</v>
      </c>
      <c r="AE317">
        <v>0.80228570532815979</v>
      </c>
    </row>
    <row r="318" spans="1:31">
      <c r="A3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6"/>
        <v>45837.08333333327</v>
      </c>
      <c r="C318" s="95">
        <v>9208.1389999999992</v>
      </c>
      <c r="D318">
        <v>761.00322314049583</v>
      </c>
      <c r="E318">
        <v>303.536</v>
      </c>
      <c r="F318" s="94">
        <v>48.32</v>
      </c>
      <c r="AB318" s="122" t="str">
        <f>Table6[[#This Row],[WeekNo]]&amp;"-"&amp;Table6[[#This Row],[HR]]</f>
        <v>14-2</v>
      </c>
      <c r="AC318">
        <v>14</v>
      </c>
      <c r="AD318">
        <v>2</v>
      </c>
      <c r="AE318">
        <v>0.82585714335577387</v>
      </c>
    </row>
    <row r="319" spans="1:31">
      <c r="A3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6"/>
        <v>45837.124999999935</v>
      </c>
      <c r="C319" s="95">
        <v>9208.1389999999992</v>
      </c>
      <c r="D319">
        <v>761.00322314049583</v>
      </c>
      <c r="E319">
        <v>303.536</v>
      </c>
      <c r="F319" s="94">
        <v>48.072000000000003</v>
      </c>
      <c r="AB319" s="122" t="str">
        <f>Table6[[#This Row],[WeekNo]]&amp;"-"&amp;Table6[[#This Row],[HR]]</f>
        <v>14-3</v>
      </c>
      <c r="AC319">
        <v>14</v>
      </c>
      <c r="AD319">
        <v>3</v>
      </c>
      <c r="AE319">
        <v>0.77514286660566056</v>
      </c>
    </row>
    <row r="320" spans="1:31">
      <c r="A3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6"/>
        <v>45837.166666666599</v>
      </c>
      <c r="C320" s="95">
        <v>9208.1389999999992</v>
      </c>
      <c r="D320">
        <v>761.00322314049583</v>
      </c>
      <c r="E320">
        <v>303.536</v>
      </c>
      <c r="F320" s="94">
        <v>48.481000000000002</v>
      </c>
      <c r="AB320" s="122" t="str">
        <f>Table6[[#This Row],[WeekNo]]&amp;"-"&amp;Table6[[#This Row],[HR]]</f>
        <v>14-4</v>
      </c>
      <c r="AC320">
        <v>14</v>
      </c>
      <c r="AD320">
        <v>4</v>
      </c>
      <c r="AE320">
        <v>0.71685714598402617</v>
      </c>
    </row>
    <row r="321" spans="1:31">
      <c r="A3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6"/>
        <v>45837.208333333263</v>
      </c>
      <c r="C321" s="95">
        <v>9208.1389999999992</v>
      </c>
      <c r="D321">
        <v>761.00322314049583</v>
      </c>
      <c r="E321">
        <v>303.536</v>
      </c>
      <c r="F321" s="94">
        <v>48.835999999999999</v>
      </c>
      <c r="AB321" s="122" t="str">
        <f>Table6[[#This Row],[WeekNo]]&amp;"-"&amp;Table6[[#This Row],[HR]]</f>
        <v>14-5</v>
      </c>
      <c r="AC321">
        <v>14</v>
      </c>
      <c r="AD321">
        <v>5</v>
      </c>
      <c r="AE321">
        <v>0.68157143264069042</v>
      </c>
    </row>
    <row r="322" spans="1:31">
      <c r="A3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6"/>
        <v>45837.249999999927</v>
      </c>
      <c r="C322" s="95">
        <v>9208.1389999999992</v>
      </c>
      <c r="D322">
        <v>761.00322314049583</v>
      </c>
      <c r="E322">
        <v>303.536</v>
      </c>
      <c r="F322" s="94">
        <v>53.771999999999998</v>
      </c>
      <c r="AB322" s="122" t="str">
        <f>Table6[[#This Row],[WeekNo]]&amp;"-"&amp;Table6[[#This Row],[HR]]</f>
        <v>14-6</v>
      </c>
      <c r="AC322">
        <v>14</v>
      </c>
      <c r="AD322">
        <v>6</v>
      </c>
      <c r="AE322">
        <v>0.5494285853817924</v>
      </c>
    </row>
    <row r="323" spans="1:31">
      <c r="A3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6"/>
        <v>45837.291666666591</v>
      </c>
      <c r="C323" s="95">
        <v>9208.1389999999992</v>
      </c>
      <c r="D323">
        <v>761.00322314049583</v>
      </c>
      <c r="E323">
        <v>303.536</v>
      </c>
      <c r="F323" s="94">
        <v>47.149000000000001</v>
      </c>
      <c r="AB323" s="122" t="str">
        <f>Table6[[#This Row],[WeekNo]]&amp;"-"&amp;Table6[[#This Row],[HR]]</f>
        <v>14-7</v>
      </c>
      <c r="AC323">
        <v>14</v>
      </c>
      <c r="AD323">
        <v>7</v>
      </c>
      <c r="AE323">
        <v>0.44057143108991348</v>
      </c>
    </row>
    <row r="324" spans="1:31">
      <c r="A3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6"/>
        <v>45837.333333333256</v>
      </c>
      <c r="C324" s="95">
        <v>9208.1389999999992</v>
      </c>
      <c r="D324">
        <v>761.00322314049583</v>
      </c>
      <c r="E324">
        <v>303.536</v>
      </c>
      <c r="F324" s="94">
        <v>46.155999999999999</v>
      </c>
      <c r="AB324" s="122" t="str">
        <f>Table6[[#This Row],[WeekNo]]&amp;"-"&amp;Table6[[#This Row],[HR]]</f>
        <v>14-8</v>
      </c>
      <c r="AC324">
        <v>14</v>
      </c>
      <c r="AD324">
        <v>8</v>
      </c>
      <c r="AE324">
        <v>0.35985714461501639</v>
      </c>
    </row>
    <row r="325" spans="1:31">
      <c r="A3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6"/>
        <v>45837.37499999992</v>
      </c>
      <c r="C325" s="95">
        <v>9208.1389999999992</v>
      </c>
      <c r="D325">
        <v>761.00322314049583</v>
      </c>
      <c r="E325">
        <v>303.536</v>
      </c>
      <c r="F325" s="94">
        <v>46.026000000000003</v>
      </c>
      <c r="AB325" s="122" t="str">
        <f>Table6[[#This Row],[WeekNo]]&amp;"-"&amp;Table6[[#This Row],[HR]]</f>
        <v>14-9</v>
      </c>
      <c r="AC325">
        <v>14</v>
      </c>
      <c r="AD325">
        <v>9</v>
      </c>
      <c r="AE325">
        <v>0.28685713816253877</v>
      </c>
    </row>
    <row r="326" spans="1:31">
      <c r="A3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6"/>
        <v>45837.416666666584</v>
      </c>
      <c r="C326" s="95">
        <v>9208.1389999999992</v>
      </c>
      <c r="D326">
        <v>761.00322314049583</v>
      </c>
      <c r="E326">
        <v>303.536</v>
      </c>
      <c r="F326" s="94">
        <v>45.988999999999997</v>
      </c>
      <c r="AB326" s="122" t="str">
        <f>Table6[[#This Row],[WeekNo]]&amp;"-"&amp;Table6[[#This Row],[HR]]</f>
        <v>14-10</v>
      </c>
      <c r="AC326">
        <v>14</v>
      </c>
      <c r="AD326">
        <v>10</v>
      </c>
      <c r="AE326">
        <v>0.21185714012194715</v>
      </c>
    </row>
    <row r="327" spans="1:31">
      <c r="A3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6"/>
        <v>45837.458333333248</v>
      </c>
      <c r="C327" s="95">
        <v>9208.1389999999992</v>
      </c>
      <c r="D327">
        <v>761.00322314049583</v>
      </c>
      <c r="E327">
        <v>303.536</v>
      </c>
      <c r="F327" s="94">
        <v>45.936999999999998</v>
      </c>
      <c r="AB327" s="122" t="str">
        <f>Table6[[#This Row],[WeekNo]]&amp;"-"&amp;Table6[[#This Row],[HR]]</f>
        <v>14-11</v>
      </c>
      <c r="AC327">
        <v>14</v>
      </c>
      <c r="AD327">
        <v>11</v>
      </c>
      <c r="AE327">
        <v>0.132285714167475</v>
      </c>
    </row>
    <row r="328" spans="1:31">
      <c r="A3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6"/>
        <v>45837.499999999913</v>
      </c>
      <c r="C328" s="95">
        <v>9208.1389999999992</v>
      </c>
      <c r="D328">
        <v>761.00322314049583</v>
      </c>
      <c r="E328">
        <v>303.536</v>
      </c>
      <c r="F328" s="94">
        <v>45.923000000000002</v>
      </c>
      <c r="AB328" s="122" t="str">
        <f>Table6[[#This Row],[WeekNo]]&amp;"-"&amp;Table6[[#This Row],[HR]]</f>
        <v>14-12</v>
      </c>
      <c r="AC328">
        <v>14</v>
      </c>
      <c r="AD328">
        <v>12</v>
      </c>
      <c r="AE328">
        <v>5.5857142192049847E-2</v>
      </c>
    </row>
    <row r="329" spans="1:31">
      <c r="A3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6"/>
        <v>45837.541666666577</v>
      </c>
      <c r="C329" s="95">
        <v>9208.1389999999992</v>
      </c>
      <c r="D329">
        <v>761.00322314049583</v>
      </c>
      <c r="E329">
        <v>303.536</v>
      </c>
      <c r="F329" s="94">
        <v>45.948999999999998</v>
      </c>
      <c r="AB329" s="122" t="str">
        <f>Table6[[#This Row],[WeekNo]]&amp;"-"&amp;Table6[[#This Row],[HR]]</f>
        <v>14-13</v>
      </c>
      <c r="AC329">
        <v>14</v>
      </c>
      <c r="AD329">
        <v>13</v>
      </c>
      <c r="AE329">
        <v>-3.7142866273079272E-3</v>
      </c>
    </row>
    <row r="330" spans="1:31">
      <c r="A3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6"/>
        <v>45837.583333333241</v>
      </c>
      <c r="C330" s="95">
        <v>9208.1389999999992</v>
      </c>
      <c r="D330">
        <v>761.00322314049583</v>
      </c>
      <c r="E330">
        <v>303.536</v>
      </c>
      <c r="F330" s="94">
        <v>46.037999999999997</v>
      </c>
      <c r="AB330" s="122" t="str">
        <f>Table6[[#This Row],[WeekNo]]&amp;"-"&amp;Table6[[#This Row],[HR]]</f>
        <v>14-14</v>
      </c>
      <c r="AC330">
        <v>14</v>
      </c>
      <c r="AD330">
        <v>14</v>
      </c>
      <c r="AE330">
        <v>2.4285705435232452E-3</v>
      </c>
    </row>
    <row r="331" spans="1:31">
      <c r="A3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6"/>
        <v>45837.624999999905</v>
      </c>
      <c r="C331" s="95">
        <v>13208.138999999999</v>
      </c>
      <c r="D331">
        <v>1091.5817355371901</v>
      </c>
      <c r="E331">
        <v>435.392</v>
      </c>
      <c r="F331" s="94">
        <v>46.131</v>
      </c>
      <c r="AB331" s="122" t="str">
        <f>Table6[[#This Row],[WeekNo]]&amp;"-"&amp;Table6[[#This Row],[HR]]</f>
        <v>14-15</v>
      </c>
      <c r="AC331">
        <v>14</v>
      </c>
      <c r="AD331">
        <v>15</v>
      </c>
      <c r="AE331">
        <v>0.13285714206451429</v>
      </c>
    </row>
    <row r="332" spans="1:31">
      <c r="A3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6"/>
        <v>45837.66666666657</v>
      </c>
      <c r="C332" s="95">
        <v>15617.252</v>
      </c>
      <c r="D332">
        <v>1290.6819834710745</v>
      </c>
      <c r="E332">
        <v>514.80499999999995</v>
      </c>
      <c r="F332" s="94">
        <v>47.345999999999997</v>
      </c>
      <c r="AB332" s="122" t="str">
        <f>Table6[[#This Row],[WeekNo]]&amp;"-"&amp;Table6[[#This Row],[HR]]</f>
        <v>14-16</v>
      </c>
      <c r="AC332">
        <v>14</v>
      </c>
      <c r="AD332">
        <v>16</v>
      </c>
      <c r="AE332">
        <v>0.3728571448816746</v>
      </c>
    </row>
    <row r="333" spans="1:31">
      <c r="A3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6"/>
        <v>45837.708333333234</v>
      </c>
      <c r="C333" s="95">
        <v>15617.252</v>
      </c>
      <c r="D333">
        <v>1290.6819834710745</v>
      </c>
      <c r="E333">
        <v>514.80499999999995</v>
      </c>
      <c r="F333" s="94">
        <v>54.688000000000002</v>
      </c>
      <c r="AB333" s="122" t="str">
        <f>Table6[[#This Row],[WeekNo]]&amp;"-"&amp;Table6[[#This Row],[HR]]</f>
        <v>14-17</v>
      </c>
      <c r="AC333">
        <v>14</v>
      </c>
      <c r="AD333">
        <v>17</v>
      </c>
      <c r="AE333">
        <v>0.63814285401985393</v>
      </c>
    </row>
    <row r="334" spans="1:31">
      <c r="A3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7">B333+TIME(1,0,0)</f>
        <v>45837.749999999898</v>
      </c>
      <c r="C334" s="95">
        <v>16308.138999999999</v>
      </c>
      <c r="D334">
        <v>1347.780082644628</v>
      </c>
      <c r="E334">
        <v>537.58000000000004</v>
      </c>
      <c r="F334" s="94">
        <v>70.739000000000004</v>
      </c>
      <c r="AB334" s="122" t="str">
        <f>Table6[[#This Row],[WeekNo]]&amp;"-"&amp;Table6[[#This Row],[HR]]</f>
        <v>14-18</v>
      </c>
      <c r="AC334">
        <v>14</v>
      </c>
      <c r="AD334">
        <v>18</v>
      </c>
      <c r="AE334">
        <v>0.73900000122615261</v>
      </c>
    </row>
    <row r="335" spans="1:31">
      <c r="A3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7"/>
        <v>45837.791666666562</v>
      </c>
      <c r="C335" s="95">
        <v>16308.138999999999</v>
      </c>
      <c r="D335">
        <v>1347.780082644628</v>
      </c>
      <c r="E335">
        <v>537.58000000000004</v>
      </c>
      <c r="F335" s="94">
        <v>84.899000000000001</v>
      </c>
      <c r="AB335" s="122" t="str">
        <f>Table6[[#This Row],[WeekNo]]&amp;"-"&amp;Table6[[#This Row],[HR]]</f>
        <v>14-19</v>
      </c>
      <c r="AC335">
        <v>14</v>
      </c>
      <c r="AD335">
        <v>19</v>
      </c>
      <c r="AE335">
        <v>0.80314285427247845</v>
      </c>
    </row>
    <row r="336" spans="1:31">
      <c r="A3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7"/>
        <v>45837.833333333227</v>
      </c>
      <c r="C336" s="95">
        <v>16308.138999999999</v>
      </c>
      <c r="D336">
        <v>1347.780082644628</v>
      </c>
      <c r="E336">
        <v>537.58000000000004</v>
      </c>
      <c r="F336" s="94">
        <v>83.715999999999994</v>
      </c>
      <c r="AB336" s="122" t="str">
        <f>Table6[[#This Row],[WeekNo]]&amp;"-"&amp;Table6[[#This Row],[HR]]</f>
        <v>14-20</v>
      </c>
      <c r="AC336">
        <v>14</v>
      </c>
      <c r="AD336">
        <v>20</v>
      </c>
      <c r="AE336">
        <v>0.86528570312539677</v>
      </c>
    </row>
    <row r="337" spans="1:31">
      <c r="A3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7"/>
        <v>45837.874999999891</v>
      </c>
      <c r="C337" s="95">
        <v>13808.138999999999</v>
      </c>
      <c r="D337">
        <v>1141.1685123966943</v>
      </c>
      <c r="E337">
        <v>455.17</v>
      </c>
      <c r="F337" s="94">
        <v>74.587999999999994</v>
      </c>
      <c r="AB337" s="122" t="str">
        <f>Table6[[#This Row],[WeekNo]]&amp;"-"&amp;Table6[[#This Row],[HR]]</f>
        <v>14-21</v>
      </c>
      <c r="AC337">
        <v>14</v>
      </c>
      <c r="AD337">
        <v>21</v>
      </c>
      <c r="AE337">
        <v>0.95742857465746201</v>
      </c>
    </row>
    <row r="338" spans="1:31">
      <c r="A3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7"/>
        <v>45837.916666666555</v>
      </c>
      <c r="C338" s="95">
        <v>11308.138999999999</v>
      </c>
      <c r="D338">
        <v>934.5569421487603</v>
      </c>
      <c r="E338">
        <v>372.76</v>
      </c>
      <c r="F338" s="94">
        <v>56.500999999999998</v>
      </c>
      <c r="AB338" s="122" t="str">
        <f>Table6[[#This Row],[WeekNo]]&amp;"-"&amp;Table6[[#This Row],[HR]]</f>
        <v>14-22</v>
      </c>
      <c r="AC338">
        <v>14</v>
      </c>
      <c r="AD338">
        <v>22</v>
      </c>
      <c r="AE338">
        <v>1.0430000169890485</v>
      </c>
    </row>
    <row r="339" spans="1:31">
      <c r="A3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7"/>
        <v>45837.958333333219</v>
      </c>
      <c r="C339" s="95">
        <v>9208.1389999999992</v>
      </c>
      <c r="D339">
        <v>761.00322314049583</v>
      </c>
      <c r="E339">
        <v>303.536</v>
      </c>
      <c r="F339" s="94">
        <v>52.027999999999999</v>
      </c>
      <c r="AB339" s="122" t="str">
        <f>Table6[[#This Row],[WeekNo]]&amp;"-"&amp;Table6[[#This Row],[HR]]</f>
        <v>14-23</v>
      </c>
      <c r="AC339">
        <v>14</v>
      </c>
      <c r="AD339">
        <v>23</v>
      </c>
      <c r="AE339">
        <v>1.0454285740700597</v>
      </c>
    </row>
    <row r="340" spans="1:31">
      <c r="A3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12">
        <v>45838</v>
      </c>
      <c r="C340" s="95">
        <v>9208.1389999999992</v>
      </c>
      <c r="D340">
        <v>761.00322314049583</v>
      </c>
      <c r="E340">
        <v>303.536</v>
      </c>
      <c r="F340" s="94">
        <v>53.341000000000001</v>
      </c>
      <c r="AB340" s="122" t="str">
        <f>Table6[[#This Row],[WeekNo]]&amp;"-"&amp;Table6[[#This Row],[HR]]</f>
        <v>15-0</v>
      </c>
      <c r="AC340">
        <v>15</v>
      </c>
      <c r="AD340">
        <v>0</v>
      </c>
      <c r="AE340">
        <v>1.5784285920000001</v>
      </c>
    </row>
    <row r="341" spans="1:31">
      <c r="A3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8">B340+TIME(1,0,0)</f>
        <v>45838.041666666664</v>
      </c>
      <c r="C341" s="95">
        <v>9208.1389999999992</v>
      </c>
      <c r="D341">
        <v>761.00322314049583</v>
      </c>
      <c r="E341">
        <v>303.536</v>
      </c>
      <c r="F341" s="94">
        <v>51.82</v>
      </c>
      <c r="AB341" s="122" t="str">
        <f>Table6[[#This Row],[WeekNo]]&amp;"-"&amp;Table6[[#This Row],[HR]]</f>
        <v>15-1</v>
      </c>
      <c r="AC341">
        <v>15</v>
      </c>
      <c r="AD341">
        <v>1</v>
      </c>
      <c r="AE341">
        <v>1.5087142842857144</v>
      </c>
    </row>
    <row r="342" spans="1:31">
      <c r="A3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8"/>
        <v>45838.083333333328</v>
      </c>
      <c r="C342" s="95">
        <v>9208.1389999999992</v>
      </c>
      <c r="D342">
        <v>761.00322314049583</v>
      </c>
      <c r="E342">
        <v>303.536</v>
      </c>
      <c r="F342" s="94">
        <v>50.686999999999998</v>
      </c>
      <c r="AB342" s="122" t="str">
        <f>Table6[[#This Row],[WeekNo]]&amp;"-"&amp;Table6[[#This Row],[HR]]</f>
        <v>15-2</v>
      </c>
      <c r="AC342">
        <v>15</v>
      </c>
      <c r="AD342">
        <v>2</v>
      </c>
      <c r="AE342">
        <v>1.393571444857143</v>
      </c>
    </row>
    <row r="343" spans="1:31">
      <c r="A3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8"/>
        <v>45838.124999999993</v>
      </c>
      <c r="C343" s="95">
        <v>9208.1389999999992</v>
      </c>
      <c r="D343">
        <v>761.00322314049583</v>
      </c>
      <c r="E343">
        <v>303.536</v>
      </c>
      <c r="F343" s="94">
        <v>50.872999999999998</v>
      </c>
      <c r="AB343" s="122" t="str">
        <f>Table6[[#This Row],[WeekNo]]&amp;"-"&amp;Table6[[#This Row],[HR]]</f>
        <v>15-3</v>
      </c>
      <c r="AC343">
        <v>15</v>
      </c>
      <c r="AD343">
        <v>3</v>
      </c>
      <c r="AE343">
        <v>1.2625714202857143</v>
      </c>
    </row>
    <row r="344" spans="1:31">
      <c r="A3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8"/>
        <v>45838.166666666657</v>
      </c>
      <c r="C344" s="95">
        <v>9208.1389999999992</v>
      </c>
      <c r="D344">
        <v>761.00322314049583</v>
      </c>
      <c r="E344">
        <v>303.536</v>
      </c>
      <c r="F344" s="94">
        <v>50.954000000000001</v>
      </c>
      <c r="AB344" s="122" t="str">
        <f>Table6[[#This Row],[WeekNo]]&amp;"-"&amp;Table6[[#This Row],[HR]]</f>
        <v>15-4</v>
      </c>
      <c r="AC344">
        <v>15</v>
      </c>
      <c r="AD344">
        <v>4</v>
      </c>
      <c r="AE344">
        <v>1.1234285491428573</v>
      </c>
    </row>
    <row r="345" spans="1:31">
      <c r="A3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8"/>
        <v>45838.208333333321</v>
      </c>
      <c r="C345" s="95">
        <v>9208.1389999999992</v>
      </c>
      <c r="D345">
        <v>761.00322314049583</v>
      </c>
      <c r="E345">
        <v>303.536</v>
      </c>
      <c r="F345" s="94">
        <v>52.765999999999998</v>
      </c>
      <c r="AB345" s="122" t="str">
        <f>Table6[[#This Row],[WeekNo]]&amp;"-"&amp;Table6[[#This Row],[HR]]</f>
        <v>15-5</v>
      </c>
      <c r="AC345">
        <v>15</v>
      </c>
      <c r="AD345">
        <v>5</v>
      </c>
      <c r="AE345">
        <v>0.98857142242857143</v>
      </c>
    </row>
    <row r="346" spans="1:31">
      <c r="A3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8"/>
        <v>45838.249999999985</v>
      </c>
      <c r="C346" s="95">
        <v>9208.1389999999992</v>
      </c>
      <c r="D346">
        <v>761.00322314049583</v>
      </c>
      <c r="E346">
        <v>303.536</v>
      </c>
      <c r="F346" s="94">
        <v>93.960999999999999</v>
      </c>
      <c r="AB346" s="122" t="str">
        <f>Table6[[#This Row],[WeekNo]]&amp;"-"&amp;Table6[[#This Row],[HR]]</f>
        <v>15-6</v>
      </c>
      <c r="AC346">
        <v>15</v>
      </c>
      <c r="AD346">
        <v>6</v>
      </c>
      <c r="AE346">
        <v>0.86557143071428577</v>
      </c>
    </row>
    <row r="347" spans="1:31">
      <c r="A3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8"/>
        <v>45838.29166666665</v>
      </c>
      <c r="C347" s="95">
        <v>9208.1389999999992</v>
      </c>
      <c r="D347">
        <v>761.00322314049583</v>
      </c>
      <c r="E347">
        <v>303.536</v>
      </c>
      <c r="F347" s="94">
        <v>79.301000000000002</v>
      </c>
      <c r="AB347" s="122" t="str">
        <f>Table6[[#This Row],[WeekNo]]&amp;"-"&amp;Table6[[#This Row],[HR]]</f>
        <v>15-7</v>
      </c>
      <c r="AC347">
        <v>15</v>
      </c>
      <c r="AD347">
        <v>7</v>
      </c>
      <c r="AE347">
        <v>0.75871427985714279</v>
      </c>
    </row>
    <row r="348" spans="1:31">
      <c r="A3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8"/>
        <v>45838.333333333314</v>
      </c>
      <c r="C348" s="95">
        <v>9208.1389999999992</v>
      </c>
      <c r="D348">
        <v>761.00322314049583</v>
      </c>
      <c r="E348">
        <v>303.536</v>
      </c>
      <c r="F348" s="94">
        <v>63.335999999999999</v>
      </c>
      <c r="AB348" s="122" t="str">
        <f>Table6[[#This Row],[WeekNo]]&amp;"-"&amp;Table6[[#This Row],[HR]]</f>
        <v>15-8</v>
      </c>
      <c r="AC348">
        <v>15</v>
      </c>
      <c r="AD348">
        <v>8</v>
      </c>
      <c r="AE348">
        <v>0.67285714385714279</v>
      </c>
    </row>
    <row r="349" spans="1:31">
      <c r="A3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8"/>
        <v>45838.374999999978</v>
      </c>
      <c r="C349" s="95">
        <v>9208.1389999999992</v>
      </c>
      <c r="D349">
        <v>761.00322314049583</v>
      </c>
      <c r="E349">
        <v>303.536</v>
      </c>
      <c r="F349" s="94">
        <v>51.085999999999999</v>
      </c>
      <c r="AB349" s="122" t="str">
        <f>Table6[[#This Row],[WeekNo]]&amp;"-"&amp;Table6[[#This Row],[HR]]</f>
        <v>15-9</v>
      </c>
      <c r="AC349">
        <v>15</v>
      </c>
      <c r="AD349">
        <v>9</v>
      </c>
      <c r="AE349">
        <v>0.60857142499999994</v>
      </c>
    </row>
    <row r="350" spans="1:31">
      <c r="A3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8"/>
        <v>45838.416666666642</v>
      </c>
      <c r="C350" s="95">
        <v>9208.1389999999992</v>
      </c>
      <c r="D350">
        <v>761.00322314049583</v>
      </c>
      <c r="E350">
        <v>303.536</v>
      </c>
      <c r="F350" s="94">
        <v>48.877000000000002</v>
      </c>
      <c r="AB350" s="122" t="str">
        <f>Table6[[#This Row],[WeekNo]]&amp;"-"&amp;Table6[[#This Row],[HR]]</f>
        <v>15-10</v>
      </c>
      <c r="AC350">
        <v>15</v>
      </c>
      <c r="AD350">
        <v>10</v>
      </c>
      <c r="AE350">
        <v>0.55842857057142858</v>
      </c>
    </row>
    <row r="351" spans="1:31">
      <c r="A3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8"/>
        <v>45838.458333333307</v>
      </c>
      <c r="C351" s="95">
        <v>9208.1389999999992</v>
      </c>
      <c r="D351">
        <v>761.00322314049583</v>
      </c>
      <c r="E351">
        <v>303.536</v>
      </c>
      <c r="F351" s="94">
        <v>47.103999999999999</v>
      </c>
      <c r="AB351" s="122" t="str">
        <f>Table6[[#This Row],[WeekNo]]&amp;"-"&amp;Table6[[#This Row],[HR]]</f>
        <v>15-11</v>
      </c>
      <c r="AC351">
        <v>15</v>
      </c>
      <c r="AD351">
        <v>11</v>
      </c>
      <c r="AE351">
        <v>0.51114285628571432</v>
      </c>
    </row>
    <row r="352" spans="1:31">
      <c r="A3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8"/>
        <v>45838.499999999971</v>
      </c>
      <c r="C352" s="95">
        <v>9208.1389999999992</v>
      </c>
      <c r="D352">
        <v>761.00322314049583</v>
      </c>
      <c r="E352">
        <v>303.536</v>
      </c>
      <c r="F352" s="94">
        <v>49.77</v>
      </c>
      <c r="AB352" s="122" t="str">
        <f>Table6[[#This Row],[WeekNo]]&amp;"-"&amp;Table6[[#This Row],[HR]]</f>
        <v>15-12</v>
      </c>
      <c r="AC352">
        <v>15</v>
      </c>
      <c r="AD352">
        <v>12</v>
      </c>
      <c r="AE352">
        <v>0.46342857814285715</v>
      </c>
    </row>
    <row r="353" spans="1:31">
      <c r="A3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8"/>
        <v>45838.541666666635</v>
      </c>
      <c r="C353" s="95">
        <v>9208.1389999999992</v>
      </c>
      <c r="D353">
        <v>761.00322314049583</v>
      </c>
      <c r="E353">
        <v>303.536</v>
      </c>
      <c r="F353" s="94">
        <v>59.18</v>
      </c>
      <c r="AB353" s="122" t="str">
        <f>Table6[[#This Row],[WeekNo]]&amp;"-"&amp;Table6[[#This Row],[HR]]</f>
        <v>15-13</v>
      </c>
      <c r="AC353">
        <v>15</v>
      </c>
      <c r="AD353">
        <v>13</v>
      </c>
      <c r="AE353">
        <v>0.4270000052857143</v>
      </c>
    </row>
    <row r="354" spans="1:31">
      <c r="A3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8"/>
        <v>45838.583333333299</v>
      </c>
      <c r="C354" s="95">
        <v>12308.138999999999</v>
      </c>
      <c r="D354">
        <v>1017.2015702479339</v>
      </c>
      <c r="E354">
        <v>405.72399999999999</v>
      </c>
      <c r="F354" s="94">
        <v>72.688999999999993</v>
      </c>
      <c r="AB354" s="122" t="str">
        <f>Table6[[#This Row],[WeekNo]]&amp;"-"&amp;Table6[[#This Row],[HR]]</f>
        <v>15-14</v>
      </c>
      <c r="AC354">
        <v>15</v>
      </c>
      <c r="AD354">
        <v>14</v>
      </c>
      <c r="AE354">
        <v>0.45342856214285715</v>
      </c>
    </row>
    <row r="355" spans="1:31">
      <c r="A3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8"/>
        <v>45838.624999999964</v>
      </c>
      <c r="C355" s="95">
        <v>16308.138999999999</v>
      </c>
      <c r="D355">
        <v>1347.780082644628</v>
      </c>
      <c r="E355">
        <v>537.58000000000004</v>
      </c>
      <c r="F355" s="94">
        <v>85.55</v>
      </c>
      <c r="AB355" s="122" t="str">
        <f>Table6[[#This Row],[WeekNo]]&amp;"-"&amp;Table6[[#This Row],[HR]]</f>
        <v>15-15</v>
      </c>
      <c r="AC355">
        <v>15</v>
      </c>
      <c r="AD355">
        <v>15</v>
      </c>
      <c r="AE355">
        <v>0.57742857442857143</v>
      </c>
    </row>
    <row r="356" spans="1:31">
      <c r="A3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8"/>
        <v>45838.666666666628</v>
      </c>
      <c r="C356" s="95">
        <v>16308.138999999999</v>
      </c>
      <c r="D356">
        <v>1347.780082644628</v>
      </c>
      <c r="E356">
        <v>537.58000000000004</v>
      </c>
      <c r="F356" s="94">
        <v>102.501</v>
      </c>
      <c r="AB356" s="122" t="str">
        <f>Table6[[#This Row],[WeekNo]]&amp;"-"&amp;Table6[[#This Row],[HR]]</f>
        <v>15-16</v>
      </c>
      <c r="AC356">
        <v>15</v>
      </c>
      <c r="AD356">
        <v>16</v>
      </c>
      <c r="AE356">
        <v>0.73742856928571421</v>
      </c>
    </row>
    <row r="357" spans="1:31">
      <c r="A3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8"/>
        <v>45838.708333333292</v>
      </c>
      <c r="C357" s="95">
        <v>16308.138999999999</v>
      </c>
      <c r="D357">
        <v>1347.780082644628</v>
      </c>
      <c r="E357">
        <v>537.58000000000004</v>
      </c>
      <c r="F357" s="94">
        <v>113.28100000000001</v>
      </c>
      <c r="AB357" s="122" t="str">
        <f>Table6[[#This Row],[WeekNo]]&amp;"-"&amp;Table6[[#This Row],[HR]]</f>
        <v>15-17</v>
      </c>
      <c r="AC357">
        <v>15</v>
      </c>
      <c r="AD357">
        <v>17</v>
      </c>
      <c r="AE357">
        <v>0.91628573200000007</v>
      </c>
    </row>
    <row r="358" spans="1:31">
      <c r="A3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8"/>
        <v>45838.749999999956</v>
      </c>
      <c r="C358" s="95">
        <v>16308.138999999999</v>
      </c>
      <c r="D358">
        <v>1347.780082644628</v>
      </c>
      <c r="E358">
        <v>537.58000000000004</v>
      </c>
      <c r="F358" s="94">
        <v>121.649</v>
      </c>
      <c r="AB358" s="122" t="str">
        <f>Table6[[#This Row],[WeekNo]]&amp;"-"&amp;Table6[[#This Row],[HR]]</f>
        <v>15-18</v>
      </c>
      <c r="AC358">
        <v>15</v>
      </c>
      <c r="AD358">
        <v>18</v>
      </c>
      <c r="AE358">
        <v>1.086285723</v>
      </c>
    </row>
    <row r="359" spans="1:31">
      <c r="A3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8"/>
        <v>45838.791666666621</v>
      </c>
      <c r="C359" s="95">
        <v>16308.138999999999</v>
      </c>
      <c r="D359">
        <v>1347.780082644628</v>
      </c>
      <c r="E359">
        <v>537.58000000000004</v>
      </c>
      <c r="F359" s="94">
        <v>122.425</v>
      </c>
      <c r="AB359" s="122" t="str">
        <f>Table6[[#This Row],[WeekNo]]&amp;"-"&amp;Table6[[#This Row],[HR]]</f>
        <v>15-19</v>
      </c>
      <c r="AC359">
        <v>15</v>
      </c>
      <c r="AD359">
        <v>19</v>
      </c>
      <c r="AE359">
        <v>1.1839999898571427</v>
      </c>
    </row>
    <row r="360" spans="1:31">
      <c r="A3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8"/>
        <v>45838.833333333285</v>
      </c>
      <c r="C360" s="95">
        <v>16308.138999999999</v>
      </c>
      <c r="D360">
        <v>1347.780082644628</v>
      </c>
      <c r="E360">
        <v>537.58000000000004</v>
      </c>
      <c r="F360" s="94">
        <v>122.393</v>
      </c>
      <c r="AB360" s="122" t="str">
        <f>Table6[[#This Row],[WeekNo]]&amp;"-"&amp;Table6[[#This Row],[HR]]</f>
        <v>15-20</v>
      </c>
      <c r="AC360">
        <v>15</v>
      </c>
      <c r="AD360">
        <v>20</v>
      </c>
      <c r="AE360">
        <v>1.2420000010000003</v>
      </c>
    </row>
    <row r="361" spans="1:31">
      <c r="A3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8"/>
        <v>45838.874999999949</v>
      </c>
      <c r="C361" s="95">
        <v>16308.138999999999</v>
      </c>
      <c r="D361">
        <v>1347.780082644628</v>
      </c>
      <c r="E361">
        <v>537.58000000000004</v>
      </c>
      <c r="F361" s="94">
        <v>118.246</v>
      </c>
      <c r="AB361" s="122" t="str">
        <f>Table6[[#This Row],[WeekNo]]&amp;"-"&amp;Table6[[#This Row],[HR]]</f>
        <v>15-21</v>
      </c>
      <c r="AC361">
        <v>15</v>
      </c>
      <c r="AD361">
        <v>21</v>
      </c>
      <c r="AE361">
        <v>1.2934285488571429</v>
      </c>
    </row>
    <row r="362" spans="1:31">
      <c r="A3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8"/>
        <v>45838.916666666613</v>
      </c>
      <c r="C362" s="95">
        <v>13808.138999999999</v>
      </c>
      <c r="D362">
        <v>1141.1685123966943</v>
      </c>
      <c r="E362">
        <v>455.17</v>
      </c>
      <c r="F362" s="94">
        <v>65.784999999999997</v>
      </c>
      <c r="AB362" s="122" t="str">
        <f>Table6[[#This Row],[WeekNo]]&amp;"-"&amp;Table6[[#This Row],[HR]]</f>
        <v>15-22</v>
      </c>
      <c r="AC362">
        <v>15</v>
      </c>
      <c r="AD362">
        <v>22</v>
      </c>
      <c r="AE362">
        <v>1.3798571400000001</v>
      </c>
    </row>
    <row r="363" spans="1:31">
      <c r="A3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8"/>
        <v>45838.958333333278</v>
      </c>
      <c r="C363" s="95">
        <v>11308.138999999999</v>
      </c>
      <c r="D363">
        <v>934.5569421487603</v>
      </c>
      <c r="E363">
        <v>372.76</v>
      </c>
      <c r="F363" s="94">
        <v>57.951000000000001</v>
      </c>
      <c r="AB363" s="122" t="str">
        <f>Table6[[#This Row],[WeekNo]]&amp;"-"&amp;Table6[[#This Row],[HR]]</f>
        <v>15-23</v>
      </c>
      <c r="AC363">
        <v>15</v>
      </c>
      <c r="AD363">
        <v>23</v>
      </c>
      <c r="AE363">
        <v>1.509714279857143</v>
      </c>
    </row>
    <row r="364" spans="1:31">
      <c r="AB364" s="122" t="str">
        <f>Table6[[#This Row],[WeekNo]]&amp;"-"&amp;Table6[[#This Row],[HR]]</f>
        <v>0-0</v>
      </c>
      <c r="AC364">
        <v>0</v>
      </c>
      <c r="AD364">
        <v>0</v>
      </c>
      <c r="AE364">
        <v>0.5</v>
      </c>
    </row>
    <row r="365" spans="1:31">
      <c r="AB365" s="122" t="str">
        <f>Table6[[#This Row],[WeekNo]]&amp;"-"&amp;Table6[[#This Row],[HR]]</f>
        <v>0-1</v>
      </c>
      <c r="AC365">
        <v>0</v>
      </c>
      <c r="AD365">
        <v>1</v>
      </c>
      <c r="AE365">
        <v>0.5</v>
      </c>
    </row>
    <row r="366" spans="1:31">
      <c r="AB366" s="122" t="str">
        <f>Table6[[#This Row],[WeekNo]]&amp;"-"&amp;Table6[[#This Row],[HR]]</f>
        <v>0-2</v>
      </c>
      <c r="AC366">
        <v>0</v>
      </c>
      <c r="AD366">
        <v>2</v>
      </c>
      <c r="AE366">
        <v>0.5</v>
      </c>
    </row>
    <row r="367" spans="1:31">
      <c r="AB367" s="122" t="str">
        <f>Table6[[#This Row],[WeekNo]]&amp;"-"&amp;Table6[[#This Row],[HR]]</f>
        <v>0-3</v>
      </c>
      <c r="AC367">
        <v>0</v>
      </c>
      <c r="AD367">
        <v>3</v>
      </c>
      <c r="AE367">
        <v>0.5</v>
      </c>
    </row>
    <row r="368" spans="1:31">
      <c r="AB368" s="122" t="str">
        <f>Table6[[#This Row],[WeekNo]]&amp;"-"&amp;Table6[[#This Row],[HR]]</f>
        <v>0-4</v>
      </c>
      <c r="AC368">
        <v>0</v>
      </c>
      <c r="AD368">
        <v>4</v>
      </c>
      <c r="AE368">
        <v>0.5</v>
      </c>
    </row>
    <row r="369" spans="28:31">
      <c r="AB369" s="122" t="str">
        <f>Table6[[#This Row],[WeekNo]]&amp;"-"&amp;Table6[[#This Row],[HR]]</f>
        <v>0-5</v>
      </c>
      <c r="AC369">
        <v>0</v>
      </c>
      <c r="AD369">
        <v>5</v>
      </c>
      <c r="AE369">
        <v>0.5</v>
      </c>
    </row>
    <row r="370" spans="28:31">
      <c r="AB370" s="122" t="str">
        <f>Table6[[#This Row],[WeekNo]]&amp;"-"&amp;Table6[[#This Row],[HR]]</f>
        <v>0-6</v>
      </c>
      <c r="AC370">
        <v>0</v>
      </c>
      <c r="AD370">
        <v>6</v>
      </c>
      <c r="AE370">
        <v>0.5</v>
      </c>
    </row>
    <row r="371" spans="28:31">
      <c r="AB371" s="122" t="str">
        <f>Table6[[#This Row],[WeekNo]]&amp;"-"&amp;Table6[[#This Row],[HR]]</f>
        <v>0-7</v>
      </c>
      <c r="AC371">
        <v>0</v>
      </c>
      <c r="AD371">
        <v>7</v>
      </c>
      <c r="AE371">
        <v>0.5</v>
      </c>
    </row>
    <row r="372" spans="28:31">
      <c r="AB372" s="122" t="str">
        <f>Table6[[#This Row],[WeekNo]]&amp;"-"&amp;Table6[[#This Row],[HR]]</f>
        <v>0-8</v>
      </c>
      <c r="AC372">
        <v>0</v>
      </c>
      <c r="AD372">
        <v>8</v>
      </c>
      <c r="AE372">
        <v>0.5</v>
      </c>
    </row>
    <row r="373" spans="28:31">
      <c r="AB373" s="122" t="str">
        <f>Table6[[#This Row],[WeekNo]]&amp;"-"&amp;Table6[[#This Row],[HR]]</f>
        <v>0-9</v>
      </c>
      <c r="AC373">
        <v>0</v>
      </c>
      <c r="AD373">
        <v>9</v>
      </c>
      <c r="AE373">
        <v>0.5</v>
      </c>
    </row>
    <row r="374" spans="28:31">
      <c r="AB374" s="122" t="str">
        <f>Table6[[#This Row],[WeekNo]]&amp;"-"&amp;Table6[[#This Row],[HR]]</f>
        <v>0-10</v>
      </c>
      <c r="AC374">
        <v>0</v>
      </c>
      <c r="AD374">
        <v>10</v>
      </c>
      <c r="AE374">
        <v>0.5</v>
      </c>
    </row>
    <row r="375" spans="28:31">
      <c r="AB375" s="122" t="str">
        <f>Table6[[#This Row],[WeekNo]]&amp;"-"&amp;Table6[[#This Row],[HR]]</f>
        <v>0-11</v>
      </c>
      <c r="AC375">
        <v>0</v>
      </c>
      <c r="AD375">
        <v>11</v>
      </c>
      <c r="AE375">
        <v>0.5</v>
      </c>
    </row>
    <row r="376" spans="28:31">
      <c r="AB376" s="122" t="str">
        <f>Table6[[#This Row],[WeekNo]]&amp;"-"&amp;Table6[[#This Row],[HR]]</f>
        <v>0-12</v>
      </c>
      <c r="AC376">
        <v>0</v>
      </c>
      <c r="AD376">
        <v>12</v>
      </c>
      <c r="AE376">
        <v>0.5</v>
      </c>
    </row>
    <row r="377" spans="28:31">
      <c r="AB377" s="122" t="str">
        <f>Table6[[#This Row],[WeekNo]]&amp;"-"&amp;Table6[[#This Row],[HR]]</f>
        <v>0-13</v>
      </c>
      <c r="AC377">
        <v>0</v>
      </c>
      <c r="AD377">
        <v>13</v>
      </c>
      <c r="AE377">
        <v>0.5</v>
      </c>
    </row>
    <row r="378" spans="28:31">
      <c r="AB378" s="122" t="str">
        <f>Table6[[#This Row],[WeekNo]]&amp;"-"&amp;Table6[[#This Row],[HR]]</f>
        <v>0-14</v>
      </c>
      <c r="AC378">
        <v>0</v>
      </c>
      <c r="AD378">
        <v>14</v>
      </c>
      <c r="AE378">
        <v>0.5</v>
      </c>
    </row>
    <row r="379" spans="28:31">
      <c r="AB379" s="122" t="str">
        <f>Table6[[#This Row],[WeekNo]]&amp;"-"&amp;Table6[[#This Row],[HR]]</f>
        <v>0-15</v>
      </c>
      <c r="AC379">
        <v>0</v>
      </c>
      <c r="AD379">
        <v>15</v>
      </c>
      <c r="AE379">
        <v>0.5</v>
      </c>
    </row>
    <row r="380" spans="28:31">
      <c r="AB380" s="122" t="str">
        <f>Table6[[#This Row],[WeekNo]]&amp;"-"&amp;Table6[[#This Row],[HR]]</f>
        <v>0-16</v>
      </c>
      <c r="AC380">
        <v>0</v>
      </c>
      <c r="AD380">
        <v>16</v>
      </c>
      <c r="AE380">
        <v>0.5</v>
      </c>
    </row>
    <row r="381" spans="28:31">
      <c r="AB381" s="122" t="str">
        <f>Table6[[#This Row],[WeekNo]]&amp;"-"&amp;Table6[[#This Row],[HR]]</f>
        <v>0-17</v>
      </c>
      <c r="AC381">
        <v>0</v>
      </c>
      <c r="AD381">
        <v>17</v>
      </c>
      <c r="AE381">
        <v>0.5</v>
      </c>
    </row>
    <row r="382" spans="28:31">
      <c r="AB382" s="122" t="str">
        <f>Table6[[#This Row],[WeekNo]]&amp;"-"&amp;Table6[[#This Row],[HR]]</f>
        <v>0-18</v>
      </c>
      <c r="AC382">
        <v>0</v>
      </c>
      <c r="AD382">
        <v>18</v>
      </c>
      <c r="AE382">
        <v>0.5</v>
      </c>
    </row>
    <row r="383" spans="28:31">
      <c r="AB383" s="122" t="str">
        <f>Table6[[#This Row],[WeekNo]]&amp;"-"&amp;Table6[[#This Row],[HR]]</f>
        <v>0-19</v>
      </c>
      <c r="AC383">
        <v>0</v>
      </c>
      <c r="AD383">
        <v>19</v>
      </c>
      <c r="AE383">
        <v>0.5</v>
      </c>
    </row>
    <row r="384" spans="28:31">
      <c r="AB384" s="122" t="str">
        <f>Table6[[#This Row],[WeekNo]]&amp;"-"&amp;Table6[[#This Row],[HR]]</f>
        <v>0-20</v>
      </c>
      <c r="AC384">
        <v>0</v>
      </c>
      <c r="AD384">
        <v>20</v>
      </c>
      <c r="AE384">
        <v>0.5</v>
      </c>
    </row>
    <row r="385" spans="28:31">
      <c r="AB385" s="122" t="str">
        <f>Table6[[#This Row],[WeekNo]]&amp;"-"&amp;Table6[[#This Row],[HR]]</f>
        <v>0-21</v>
      </c>
      <c r="AC385">
        <v>0</v>
      </c>
      <c r="AD385">
        <v>21</v>
      </c>
      <c r="AE385">
        <v>0.5</v>
      </c>
    </row>
    <row r="386" spans="28:31">
      <c r="AB386" s="122" t="str">
        <f>Table6[[#This Row],[WeekNo]]&amp;"-"&amp;Table6[[#This Row],[HR]]</f>
        <v>0-22</v>
      </c>
      <c r="AC386">
        <v>0</v>
      </c>
      <c r="AD386">
        <v>22</v>
      </c>
      <c r="AE386">
        <v>0.5</v>
      </c>
    </row>
    <row r="387" spans="28:31">
      <c r="AB387" s="122" t="str">
        <f>Table6[[#This Row],[WeekNo]]&amp;"-"&amp;Table6[[#This Row],[HR]]</f>
        <v>0-23</v>
      </c>
      <c r="AC387">
        <v>0</v>
      </c>
      <c r="AD387">
        <v>23</v>
      </c>
      <c r="AE387">
        <v>0.5</v>
      </c>
    </row>
  </sheetData>
  <phoneticPr fontId="7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Maris Usis</cp:lastModifiedBy>
  <dcterms:created xsi:type="dcterms:W3CDTF">2024-06-18T13:16:56Z</dcterms:created>
  <dcterms:modified xsi:type="dcterms:W3CDTF">2025-07-18T02:20:55Z</dcterms:modified>
</cp:coreProperties>
</file>